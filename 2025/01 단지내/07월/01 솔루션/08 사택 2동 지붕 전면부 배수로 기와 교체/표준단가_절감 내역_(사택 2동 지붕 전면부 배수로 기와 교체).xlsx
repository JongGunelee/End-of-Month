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7월\01 솔루션\08 사택 2동 지붕 전면부 배수로 기와 교체\"/>
    </mc:Choice>
  </mc:AlternateContent>
  <xr:revisionPtr revIDLastSave="0" documentId="13_ncr:1_{B8613A4B-270B-4475-BAE6-C78E2A7BB78B}" xr6:coauthVersionLast="47" xr6:coauthVersionMax="47" xr10:uidLastSave="{00000000-0000-0000-0000-000000000000}"/>
  <bookViews>
    <workbookView xWindow="-60" yWindow="-60" windowWidth="28920" windowHeight="15600" activeTab="1" xr2:uid="{00000000-000D-0000-FFFF-FFFF00000000}"/>
  </bookViews>
  <sheets>
    <sheet name="갑지" sheetId="5" r:id="rId1"/>
    <sheet name="내역서(표준단가)" sheetId="4" r:id="rId2"/>
    <sheet name="시중가 근거서류" sheetId="1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5" l="1"/>
  <c r="A5" i="4"/>
  <c r="A6" i="4"/>
  <c r="S7" i="4"/>
  <c r="V7" i="4" s="1"/>
  <c r="Q5" i="4" l="1"/>
  <c r="Q6" i="4"/>
  <c r="O6" i="4" l="1"/>
  <c r="V6" i="4" s="1"/>
  <c r="O5" i="4"/>
  <c r="V5" i="4" s="1"/>
  <c r="U8" i="4" l="1"/>
  <c r="Q8" i="4"/>
  <c r="S8" i="4" l="1"/>
  <c r="V8" i="4" l="1"/>
  <c r="F18" i="5" l="1"/>
  <c r="O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<sst xmlns="http://schemas.openxmlformats.org/spreadsheetml/2006/main" count="116" uniqueCount="96">
  <si>
    <t>수량</t>
  </si>
  <si>
    <t>견 적 서</t>
    <phoneticPr fontId="13" type="noConversion"/>
  </si>
  <si>
    <t xml:space="preserve">금액: </t>
    <phoneticPr fontId="13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</si>
  <si>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</si>
  <si>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</si>
  <si>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</si>
  <si>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</si>
  <si>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</si>
  <si>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</si>
  <si>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</si>
  <si>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</si>
  <si>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</si>
  <si>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3" type="noConversion"/>
  </si>
  <si>
    <t>재료비</t>
    <phoneticPr fontId="13" type="noConversion"/>
  </si>
  <si>
    <t>노무비</t>
    <phoneticPr fontId="15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</si>
  <si>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</si>
  <si>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</si>
  <si>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</si>
  <si>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15" type="noConversion"/>
  </si>
  <si>
    <t> 노무비*4.5%</t>
    <phoneticPr fontId="15" type="noConversion"/>
  </si>
  <si>
    <t>식</t>
    <phoneticPr fontId="15" type="noConversion"/>
  </si>
  <si>
    <t>모든공사에 적용</t>
    <phoneticPr fontId="15" type="noConversion"/>
  </si>
  <si>
    <t>  건강보험료</t>
    <phoneticPr fontId="15" type="noConversion"/>
  </si>
  <si>
    <t>모든공사에 적용</t>
    <phoneticPr fontId="15" type="noConversion"/>
  </si>
  <si>
    <t>  장기요양보험료</t>
    <phoneticPr fontId="15" type="noConversion"/>
  </si>
  <si>
    <t>  고용보험료</t>
    <phoneticPr fontId="15" type="noConversion"/>
  </si>
  <si>
    <t>  산재보험료</t>
    <phoneticPr fontId="15" type="noConversion"/>
  </si>
  <si>
    <t xml:space="preserve">  산업안전보건관리비</t>
    <phoneticPr fontId="15" type="noConversion"/>
  </si>
  <si>
    <t>소계</t>
    <phoneticPr fontId="13" type="noConversion"/>
  </si>
  <si>
    <t>합계(단수조정)</t>
    <phoneticPr fontId="13" type="noConversion"/>
  </si>
  <si>
    <t>VAT별도</t>
    <phoneticPr fontId="15" type="noConversion"/>
  </si>
  <si>
    <t>일반관리비/이윤</t>
    <phoneticPr fontId="15" type="noConversion"/>
  </si>
  <si>
    <t> (노무비+간접공사비)*5%</t>
    <phoneticPr fontId="15" type="noConversion"/>
  </si>
  <si>
    <t>등록번호</t>
    <phoneticPr fontId="9" type="noConversion"/>
  </si>
  <si>
    <t>종 목</t>
    <phoneticPr fontId="9" type="noConversion"/>
  </si>
  <si>
    <t>TEL, FAX</t>
    <phoneticPr fontId="9" type="noConversion"/>
  </si>
  <si>
    <t>상 호</t>
    <phoneticPr fontId="9" type="noConversion"/>
  </si>
  <si>
    <t>대표 이사</t>
    <phoneticPr fontId="9" type="noConversion"/>
  </si>
  <si>
    <t>사업장</t>
    <phoneticPr fontId="9" type="noConversion"/>
  </si>
  <si>
    <t>업 태</t>
    <phoneticPr fontId="9" type="noConversion"/>
  </si>
  <si>
    <t> 노무비*1.01%</t>
    <phoneticPr fontId="15" type="noConversion"/>
  </si>
  <si>
    <t>단위</t>
  </si>
  <si>
    <t xml:space="preserve"> 수신인 : 주식회사 에스엔아이 코퍼레이션</t>
    <phoneticPr fontId="13" type="noConversion"/>
  </si>
  <si>
    <t> 노무비*3.545%</t>
    <phoneticPr fontId="15" type="noConversion"/>
  </si>
  <si>
    <t> 건강보험료*12.95%</t>
    <phoneticPr fontId="15" type="noConversion"/>
  </si>
  <si>
    <t> 노무비*3.56%</t>
    <phoneticPr fontId="15" type="noConversion"/>
  </si>
  <si>
    <t>314-86-35718</t>
    <phoneticPr fontId="7" type="noConversion"/>
  </si>
  <si>
    <t>㈜일성건축</t>
    <phoneticPr fontId="7" type="noConversion"/>
  </si>
  <si>
    <t>상 석 희</t>
    <phoneticPr fontId="7" type="noConversion"/>
  </si>
  <si>
    <t>대전 서구 도마6길 107 (도마동)</t>
    <phoneticPr fontId="7" type="noConversion"/>
  </si>
  <si>
    <t>건설업</t>
    <phoneticPr fontId="7" type="noConversion"/>
  </si>
  <si>
    <t>실내건축,인테리어공사</t>
    <phoneticPr fontId="7" type="noConversion"/>
  </si>
  <si>
    <t>042)527-0995, 042)527-0996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</si>
  <si>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</si>
  <si>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</si>
  <si>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</si>
  <si>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</si>
  <si>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</si>
  <si>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</si>
  <si>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</si>
  <si>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</si>
  <si>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</si>
  <si>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</si>
  <si>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</si>
  <si>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</si>
  <si>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</si>
  <si>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</si>
  <si>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</si>
  <si>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</si>
  <si>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</si>
  <si>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</si>
  <si>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</si>
  <si>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</si>
  <si>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 (재료비+노무비)*3.11%</t>
    <phoneticPr fontId="15" type="noConversion"/>
  </si>
  <si>
    <t xml:space="preserve"> 견적일 : 2025년  05월  28일</t>
    <phoneticPr fontId="13" type="noConversion"/>
  </si>
  <si>
    <t xml:space="preserve"> 공사명 : 사택 2동 지붕 전면 배수로 기와교체 외</t>
    <phoneticPr fontId="13" type="noConversion"/>
  </si>
  <si>
    <t>일</t>
    <phoneticPr fontId="7" type="noConversion"/>
  </si>
  <si>
    <t>■ 사다리차 전문업체 견적서(999999)</t>
    <phoneticPr fontId="9" type="noConversion"/>
  </si>
  <si>
    <t>코드</t>
    <phoneticPr fontId="9" type="noConversion"/>
  </si>
  <si>
    <t>품목</t>
    <phoneticPr fontId="9" type="noConversion"/>
  </si>
  <si>
    <t>규격</t>
    <phoneticPr fontId="9" type="noConversion"/>
  </si>
  <si>
    <t>적용기준</t>
    <phoneticPr fontId="9" type="noConversion"/>
  </si>
  <si>
    <t>스카이 임대</t>
    <phoneticPr fontId="9" type="noConversion"/>
  </si>
  <si>
    <t>시중가</t>
    <phoneticPr fontId="9" type="noConversion"/>
  </si>
  <si>
    <t xml:space="preserve">5ton </t>
    <phoneticPr fontId="9" type="noConversion"/>
  </si>
  <si>
    <t>5톤  2023년 전문업체 견적서 첨부</t>
    <phoneticPr fontId="7" type="noConversion"/>
  </si>
  <si>
    <t>L002</t>
  </si>
  <si>
    <t>인</t>
    <phoneticPr fontId="7" type="noConversion"/>
  </si>
  <si>
    <t>보통인부 (신호수)
1인*1일=1인</t>
    <phoneticPr fontId="7" type="noConversion"/>
  </si>
  <si>
    <t>특별인부 (고소작업)
(2인*1일=1인)</t>
    <phoneticPr fontId="7" type="noConversion"/>
  </si>
  <si>
    <t>시중노임단가
(5동 지붕 고장 무동력 휀 교체)
(7동 지붕 환기구 점검)</t>
    <phoneticPr fontId="7" type="noConversion"/>
  </si>
  <si>
    <t>시중가</t>
    <phoneticPr fontId="7" type="noConversion"/>
  </si>
  <si>
    <t>고 소
10m이상</t>
    <phoneticPr fontId="7" type="noConversion"/>
  </si>
  <si>
    <t>노무비
할증</t>
    <phoneticPr fontId="7" type="noConversion"/>
  </si>
  <si>
    <t>할증
기준</t>
    <phoneticPr fontId="7" type="noConversion"/>
  </si>
  <si>
    <t>Fee 포함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</si>
</sst>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2" formatCode="0.0%"/>
    <numFmt numFmtId="183" formatCode="_-* #,##0.0_-;\-* #,##0.0_-;_-* &quot;-&quot;_-;_-@_-"/>
    <numFmt numFmtId="185" formatCode="#,##0_ "/>
    <numFmt numFmtId="186" formatCode="#,##0;\-#,##0;"/>
    <numFmt numFmtId="190" formatCode="0_);[Red]\(0\)"/>
  </numFmts>
  <fonts count="3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2"/>
      <color theme="1"/>
      <name val="LG스마트체 Regular"/>
      <family val="3"/>
      <charset val="129"/>
    </font>
    <font>
      <b/>
      <sz val="12"/>
      <color theme="1"/>
      <name val="LG스마트체 Regular"/>
      <family val="3"/>
      <charset val="129"/>
    </font>
    <font>
      <sz val="12"/>
      <color indexed="8"/>
      <name val="LG스마트체 Regular"/>
      <family val="3"/>
      <charset val="129"/>
    </font>
    <font>
      <sz val="12"/>
      <name val="LG스마트체 Regular"/>
      <family val="3"/>
      <charset val="129"/>
    </font>
    <font>
      <b/>
      <sz val="25"/>
      <color rgb="FFFF00FF"/>
      <name val="LG스마트체 Regular"/>
      <family val="3"/>
      <charset val="129"/>
    </font>
    <font>
      <sz val="20"/>
      <color rgb="FFFF00FF"/>
      <name val="LG스마트체 Regular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3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9" fillId="0" borderId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14" fillId="0" borderId="6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4" xfId="6" applyFont="1" applyBorder="1" applyAlignment="1">
      <alignment horizontal="center" vertical="center"/>
    </xf>
    <xf numFmtId="0" fontId="14" fillId="0" borderId="5" xfId="6" applyFont="1" applyBorder="1" applyAlignment="1">
      <alignment horizontal="right" vertical="center"/>
    </xf>
    <xf numFmtId="0" fontId="14" fillId="4" borderId="24" xfId="6" applyFont="1" applyFill="1" applyBorder="1" applyAlignment="1">
      <alignment horizontal="center" vertical="center"/>
    </xf>
    <xf numFmtId="0" fontId="14" fillId="4" borderId="25" xfId="6" applyFont="1" applyFill="1" applyBorder="1" applyAlignment="1">
      <alignment vertical="center" shrinkToFit="1"/>
    </xf>
    <xf numFmtId="0" fontId="14" fillId="4" borderId="1" xfId="6" applyFont="1" applyFill="1" applyBorder="1" applyAlignment="1">
      <alignment horizontal="center" vertical="center"/>
    </xf>
    <xf numFmtId="0" fontId="14" fillId="4" borderId="26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4" fillId="4" borderId="1" xfId="6" applyFont="1" applyFill="1" applyBorder="1" applyAlignment="1">
      <alignment horizontal="center" vertical="center" shrinkToFit="1"/>
    </xf>
    <xf numFmtId="0" fontId="14" fillId="0" borderId="1" xfId="6" applyFont="1" applyBorder="1" applyAlignment="1">
      <alignment horizontal="center" vertical="center"/>
    </xf>
    <xf numFmtId="0" fontId="14" fillId="0" borderId="26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4" fillId="0" borderId="27" xfId="6" applyFont="1" applyBorder="1" applyAlignment="1">
      <alignment horizontal="center" vertical="center" shrinkToFit="1"/>
    </xf>
    <xf numFmtId="0" fontId="14" fillId="0" borderId="28" xfId="6" applyFont="1" applyBorder="1" applyAlignment="1">
      <alignment vertical="center" shrinkToFit="1"/>
    </xf>
    <xf numFmtId="0" fontId="23" fillId="0" borderId="6" xfId="6" applyFont="1" applyBorder="1" applyAlignment="1">
      <alignment vertical="center"/>
    </xf>
    <xf numFmtId="179" fontId="22" fillId="0" borderId="6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4" fillId="0" borderId="7" xfId="6" applyFont="1" applyBorder="1" applyAlignment="1">
      <alignment horizontal="center" vertical="center"/>
    </xf>
    <xf numFmtId="0" fontId="14" fillId="0" borderId="8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24" fillId="0" borderId="10" xfId="6" applyFont="1" applyBorder="1" applyAlignment="1">
      <alignment horizontal="center" vertical="center"/>
    </xf>
    <xf numFmtId="0" fontId="14" fillId="0" borderId="11" xfId="6" applyFont="1" applyBorder="1" applyAlignment="1">
      <alignment vertical="center"/>
    </xf>
    <xf numFmtId="0" fontId="24" fillId="0" borderId="11" xfId="6" applyFont="1" applyBorder="1" applyAlignment="1">
      <alignment vertical="center"/>
    </xf>
    <xf numFmtId="1" fontId="24" fillId="0" borderId="11" xfId="6" applyNumberFormat="1" applyFont="1" applyBorder="1" applyAlignment="1">
      <alignment horizontal="center" vertical="center"/>
    </xf>
    <xf numFmtId="180" fontId="24" fillId="0" borderId="11" xfId="7" applyFont="1" applyBorder="1" applyAlignment="1">
      <alignment horizontal="right" vertical="center"/>
    </xf>
    <xf numFmtId="0" fontId="24" fillId="0" borderId="12" xfId="6" applyFont="1" applyBorder="1" applyAlignment="1">
      <alignment vertical="center"/>
    </xf>
    <xf numFmtId="0" fontId="24" fillId="0" borderId="13" xfId="6" applyFont="1" applyBorder="1" applyAlignment="1">
      <alignment horizontal="center" vertical="center"/>
    </xf>
    <xf numFmtId="0" fontId="24" fillId="0" borderId="14" xfId="6" applyFont="1" applyBorder="1" applyAlignment="1">
      <alignment horizontal="center" vertical="center"/>
    </xf>
    <xf numFmtId="0" fontId="24" fillId="0" borderId="14" xfId="3" applyFont="1" applyBorder="1" applyAlignment="1">
      <alignment horizontal="center" vertical="center"/>
    </xf>
    <xf numFmtId="1" fontId="24" fillId="0" borderId="14" xfId="6" applyNumberFormat="1" applyFont="1" applyBorder="1" applyAlignment="1">
      <alignment horizontal="center" vertical="center"/>
    </xf>
    <xf numFmtId="180" fontId="24" fillId="0" borderId="14" xfId="7" applyFont="1" applyBorder="1" applyAlignment="1">
      <alignment horizontal="right" vertical="center"/>
    </xf>
    <xf numFmtId="0" fontId="24" fillId="0" borderId="15" xfId="6" quotePrefix="1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0" fontId="14" fillId="7" borderId="14" xfId="6" applyFont="1" applyFill="1" applyBorder="1" applyAlignment="1">
      <alignment vertical="center"/>
    </xf>
    <xf numFmtId="1" fontId="14" fillId="7" borderId="14" xfId="6" applyNumberFormat="1" applyFont="1" applyFill="1" applyBorder="1" applyAlignment="1">
      <alignment horizontal="center" vertical="center"/>
    </xf>
    <xf numFmtId="180" fontId="14" fillId="7" borderId="14" xfId="7" applyFont="1" applyFill="1" applyBorder="1" applyAlignment="1">
      <alignment horizontal="right" vertical="center"/>
    </xf>
    <xf numFmtId="0" fontId="14" fillId="0" borderId="14" xfId="6" applyFont="1" applyBorder="1" applyAlignment="1">
      <alignment vertical="center"/>
    </xf>
    <xf numFmtId="0" fontId="24" fillId="0" borderId="14" xfId="6" applyFont="1" applyBorder="1" applyAlignment="1">
      <alignment vertical="center"/>
    </xf>
    <xf numFmtId="180" fontId="14" fillId="0" borderId="14" xfId="7" applyFont="1" applyFill="1" applyBorder="1" applyAlignment="1">
      <alignment horizontal="right" vertical="center"/>
    </xf>
    <xf numFmtId="0" fontId="24" fillId="0" borderId="14" xfId="8" applyFont="1" applyBorder="1" applyAlignment="1">
      <alignment horizontal="center" vertical="center"/>
    </xf>
    <xf numFmtId="178" fontId="24" fillId="0" borderId="14" xfId="5" applyFont="1" applyFill="1" applyBorder="1" applyAlignment="1">
      <alignment horizontal="right" vertical="center"/>
    </xf>
    <xf numFmtId="0" fontId="24" fillId="4" borderId="14" xfId="8" applyFont="1" applyFill="1" applyBorder="1" applyAlignment="1">
      <alignment horizontal="center" vertical="center"/>
    </xf>
    <xf numFmtId="0" fontId="24" fillId="4" borderId="14" xfId="6" applyFont="1" applyFill="1" applyBorder="1" applyAlignment="1">
      <alignment vertical="center"/>
    </xf>
    <xf numFmtId="0" fontId="24" fillId="4" borderId="14" xfId="6" applyFont="1" applyFill="1" applyBorder="1" applyAlignment="1">
      <alignment horizontal="center" vertical="center"/>
    </xf>
    <xf numFmtId="178" fontId="24" fillId="4" borderId="14" xfId="5" applyFont="1" applyFill="1" applyBorder="1" applyAlignment="1">
      <alignment horizontal="right" vertical="center"/>
    </xf>
    <xf numFmtId="0" fontId="24" fillId="4" borderId="15" xfId="6" applyFont="1" applyFill="1" applyBorder="1" applyAlignment="1">
      <alignment vertical="center"/>
    </xf>
    <xf numFmtId="0" fontId="24" fillId="0" borderId="14" xfId="3" applyFont="1" applyBorder="1" applyAlignment="1">
      <alignment horizontal="left" vertical="center"/>
    </xf>
    <xf numFmtId="9" fontId="14" fillId="7" borderId="14" xfId="3" applyNumberFormat="1" applyFont="1" applyFill="1" applyBorder="1" applyAlignment="1">
      <alignment horizontal="right" vertical="center"/>
    </xf>
    <xf numFmtId="1" fontId="14" fillId="7" borderId="14" xfId="9" applyNumberFormat="1" applyFont="1" applyFill="1" applyBorder="1" applyAlignment="1">
      <alignment horizontal="center" vertical="center"/>
    </xf>
    <xf numFmtId="176" fontId="14" fillId="7" borderId="14" xfId="7" applyNumberFormat="1" applyFont="1" applyFill="1" applyBorder="1" applyAlignment="1">
      <alignment horizontal="right" vertical="center"/>
    </xf>
    <xf numFmtId="9" fontId="24" fillId="0" borderId="14" xfId="3" applyNumberFormat="1" applyFont="1" applyBorder="1" applyAlignment="1">
      <alignment horizontal="right" vertical="center"/>
    </xf>
    <xf numFmtId="1" fontId="24" fillId="0" borderId="14" xfId="9" applyNumberFormat="1" applyFont="1" applyFill="1" applyBorder="1" applyAlignment="1">
      <alignment horizontal="center" vertical="center"/>
    </xf>
    <xf numFmtId="176" fontId="14" fillId="0" borderId="14" xfId="7" applyNumberFormat="1" applyFont="1" applyFill="1" applyBorder="1" applyAlignment="1">
      <alignment horizontal="right" vertical="center"/>
    </xf>
    <xf numFmtId="0" fontId="24" fillId="0" borderId="14" xfId="3" applyFont="1" applyBorder="1" applyAlignment="1">
      <alignment vertical="center"/>
    </xf>
    <xf numFmtId="180" fontId="24" fillId="4" borderId="14" xfId="7" applyFont="1" applyFill="1" applyBorder="1" applyAlignment="1">
      <alignment horizontal="right" vertical="center"/>
    </xf>
    <xf numFmtId="180" fontId="14" fillId="7" borderId="0" xfId="3" applyNumberFormat="1" applyFont="1" applyFill="1" applyAlignment="1">
      <alignment vertical="center"/>
    </xf>
    <xf numFmtId="0" fontId="14" fillId="0" borderId="16" xfId="6" applyFont="1" applyBorder="1" applyAlignment="1">
      <alignment horizontal="center" vertical="center" textRotation="255"/>
    </xf>
    <xf numFmtId="0" fontId="14" fillId="0" borderId="17" xfId="6" applyFont="1" applyBorder="1" applyAlignment="1">
      <alignment vertical="top"/>
    </xf>
    <xf numFmtId="0" fontId="24" fillId="0" borderId="18" xfId="6" applyFont="1" applyBorder="1" applyAlignment="1">
      <alignment vertical="center"/>
    </xf>
    <xf numFmtId="0" fontId="24" fillId="0" borderId="18" xfId="6" applyFont="1" applyBorder="1" applyAlignment="1">
      <alignment horizontal="right" vertical="center"/>
    </xf>
    <xf numFmtId="0" fontId="14" fillId="0" borderId="0" xfId="10" applyFont="1"/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0" xfId="6" applyFont="1" applyAlignment="1">
      <alignment vertical="center"/>
    </xf>
    <xf numFmtId="0" fontId="14" fillId="0" borderId="3" xfId="6" applyFont="1" applyBorder="1" applyAlignment="1">
      <alignment vertical="center"/>
    </xf>
    <xf numFmtId="0" fontId="22" fillId="0" borderId="0" xfId="19" applyFont="1">
      <alignment vertical="center"/>
    </xf>
    <xf numFmtId="0" fontId="26" fillId="0" borderId="0" xfId="19" applyFont="1">
      <alignment vertical="center"/>
    </xf>
    <xf numFmtId="0" fontId="22" fillId="0" borderId="0" xfId="19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0" fontId="25" fillId="4" borderId="0" xfId="0" applyFont="1" applyFill="1">
      <alignment vertical="center"/>
    </xf>
    <xf numFmtId="176" fontId="21" fillId="0" borderId="0" xfId="0" applyNumberFormat="1" applyFont="1">
      <alignment vertical="center"/>
    </xf>
    <xf numFmtId="176" fontId="14" fillId="9" borderId="0" xfId="0" applyNumberFormat="1" applyFont="1" applyFill="1">
      <alignment vertical="center"/>
    </xf>
    <xf numFmtId="176" fontId="14" fillId="0" borderId="0" xfId="0" applyNumberFormat="1" applyFont="1">
      <alignment vertical="center"/>
    </xf>
    <xf numFmtId="0" fontId="27" fillId="0" borderId="32" xfId="21" applyFont="1" applyBorder="1">
      <alignment vertical="center"/>
    </xf>
    <xf numFmtId="0" fontId="28" fillId="0" borderId="0" xfId="21" applyFont="1">
      <alignment vertical="center"/>
    </xf>
    <xf numFmtId="0" fontId="27" fillId="0" borderId="0" xfId="21" applyFont="1">
      <alignment vertical="center"/>
    </xf>
    <xf numFmtId="0" fontId="28" fillId="0" borderId="0" xfId="21" applyFont="1" applyAlignment="1">
      <alignment horizontal="center" vertical="center"/>
    </xf>
    <xf numFmtId="176" fontId="29" fillId="5" borderId="24" xfId="22" applyFont="1" applyFill="1" applyBorder="1" applyAlignment="1">
      <alignment horizontal="center" vertical="center"/>
    </xf>
    <xf numFmtId="176" fontId="29" fillId="5" borderId="33" xfId="22" applyFont="1" applyFill="1" applyBorder="1" applyAlignment="1">
      <alignment horizontal="center" vertical="center"/>
    </xf>
    <xf numFmtId="176" fontId="29" fillId="5" borderId="25" xfId="22" applyFont="1" applyFill="1" applyBorder="1" applyAlignment="1">
      <alignment horizontal="center" vertical="center"/>
    </xf>
    <xf numFmtId="0" fontId="30" fillId="4" borderId="27" xfId="22" applyNumberFormat="1" applyFont="1" applyFill="1" applyBorder="1" applyAlignment="1">
      <alignment horizontal="center" vertical="center"/>
    </xf>
    <xf numFmtId="176" fontId="30" fillId="0" borderId="34" xfId="22" applyFont="1" applyFill="1" applyBorder="1" applyAlignment="1">
      <alignment horizontal="center" vertical="center" shrinkToFit="1"/>
    </xf>
    <xf numFmtId="176" fontId="31" fillId="9" borderId="34" xfId="22" applyFont="1" applyFill="1" applyBorder="1" applyAlignment="1">
      <alignment horizontal="center" vertical="center"/>
    </xf>
    <xf numFmtId="0" fontId="31" fillId="4" borderId="28" xfId="21" applyFont="1" applyFill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4" fillId="0" borderId="3" xfId="6" applyFont="1" applyBorder="1" applyAlignment="1">
      <alignment vertical="center"/>
    </xf>
    <xf numFmtId="0" fontId="14" fillId="0" borderId="4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3" xfId="6" applyFont="1" applyBorder="1" applyAlignment="1">
      <alignment vertical="center" wrapText="1"/>
    </xf>
    <xf numFmtId="0" fontId="14" fillId="0" borderId="4" xfId="6" applyFont="1" applyBorder="1" applyAlignment="1">
      <alignment vertical="center" wrapText="1"/>
    </xf>
    <xf numFmtId="0" fontId="14" fillId="0" borderId="5" xfId="6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4" fillId="5" borderId="21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49" fontId="24" fillId="6" borderId="2" xfId="0" applyNumberFormat="1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/>
    </xf>
    <xf numFmtId="186" fontId="24" fillId="4" borderId="2" xfId="0" applyNumberFormat="1" applyFont="1" applyFill="1" applyBorder="1" applyAlignment="1">
      <alignment horizontal="right" vertical="center"/>
    </xf>
    <xf numFmtId="186" fontId="24" fillId="5" borderId="2" xfId="1" applyNumberFormat="1" applyFont="1" applyFill="1" applyBorder="1" applyAlignment="1">
      <alignment horizontal="right" vertical="center" wrapText="1"/>
    </xf>
    <xf numFmtId="186" fontId="24" fillId="4" borderId="2" xfId="0" applyNumberFormat="1" applyFont="1" applyFill="1" applyBorder="1" applyAlignment="1">
      <alignment horizontal="right" vertical="center" wrapText="1"/>
    </xf>
    <xf numFmtId="186" fontId="24" fillId="0" borderId="2" xfId="1" applyNumberFormat="1" applyFont="1" applyFill="1" applyBorder="1" applyAlignment="1">
      <alignment horizontal="right" vertical="center" wrapText="1"/>
    </xf>
    <xf numFmtId="176" fontId="24" fillId="0" borderId="2" xfId="1" applyFont="1" applyFill="1" applyBorder="1" applyAlignment="1">
      <alignment horizontal="center" vertical="center" wrapText="1"/>
    </xf>
    <xf numFmtId="183" fontId="24" fillId="4" borderId="2" xfId="1" applyNumberFormat="1" applyFont="1" applyFill="1" applyBorder="1" applyAlignment="1">
      <alignment horizontal="center" vertical="center"/>
    </xf>
    <xf numFmtId="49" fontId="32" fillId="6" borderId="2" xfId="0" applyNumberFormat="1" applyFont="1" applyFill="1" applyBorder="1" applyAlignment="1">
      <alignment horizontal="center" vertical="center" wrapText="1"/>
    </xf>
    <xf numFmtId="0" fontId="33" fillId="6" borderId="2" xfId="0" applyFont="1" applyFill="1" applyBorder="1" applyAlignment="1">
      <alignment horizontal="center" vertical="center"/>
    </xf>
    <xf numFmtId="49" fontId="34" fillId="6" borderId="2" xfId="0" applyNumberFormat="1" applyFont="1" applyFill="1" applyBorder="1" applyAlignment="1">
      <alignment horizontal="center" vertical="center"/>
    </xf>
    <xf numFmtId="49" fontId="34" fillId="4" borderId="35" xfId="0" applyNumberFormat="1" applyFont="1" applyFill="1" applyBorder="1" applyAlignment="1">
      <alignment horizontal="center" vertical="center" wrapText="1"/>
    </xf>
    <xf numFmtId="49" fontId="34" fillId="4" borderId="2" xfId="0" applyNumberFormat="1" applyFont="1" applyFill="1" applyBorder="1" applyAlignment="1">
      <alignment horizontal="center" vertical="center" wrapText="1"/>
    </xf>
    <xf numFmtId="49" fontId="34" fillId="4" borderId="2" xfId="0" applyNumberFormat="1" applyFont="1" applyFill="1" applyBorder="1" applyAlignment="1">
      <alignment horizontal="center" vertical="center"/>
    </xf>
    <xf numFmtId="176" fontId="24" fillId="4" borderId="2" xfId="20" applyFont="1" applyFill="1" applyBorder="1" applyAlignment="1">
      <alignment horizontal="center" vertical="center" wrapText="1"/>
    </xf>
    <xf numFmtId="176" fontId="24" fillId="5" borderId="2" xfId="1" applyFont="1" applyFill="1" applyBorder="1" applyAlignment="1">
      <alignment horizontal="center" vertical="center" wrapText="1"/>
    </xf>
    <xf numFmtId="185" fontId="24" fillId="4" borderId="2" xfId="0" applyNumberFormat="1" applyFont="1" applyFill="1" applyBorder="1" applyAlignment="1">
      <alignment vertical="center" wrapText="1"/>
    </xf>
    <xf numFmtId="176" fontId="35" fillId="0" borderId="2" xfId="1" applyFont="1" applyFill="1" applyBorder="1" applyAlignment="1">
      <alignment horizontal="center" vertical="center" wrapText="1"/>
    </xf>
    <xf numFmtId="176" fontId="24" fillId="4" borderId="2" xfId="1" applyFont="1" applyFill="1" applyBorder="1" applyAlignment="1">
      <alignment horizontal="center" vertical="center" wrapText="1"/>
    </xf>
    <xf numFmtId="49" fontId="34" fillId="4" borderId="36" xfId="0" applyNumberFormat="1" applyFont="1" applyFill="1" applyBorder="1" applyAlignment="1">
      <alignment horizontal="center" vertical="center" wrapText="1"/>
    </xf>
    <xf numFmtId="9" fontId="24" fillId="0" borderId="2" xfId="0" applyNumberFormat="1" applyFont="1" applyBorder="1" applyAlignment="1">
      <alignment horizontal="center" vertical="center"/>
    </xf>
    <xf numFmtId="49" fontId="34" fillId="4" borderId="37" xfId="0" applyNumberFormat="1" applyFont="1" applyFill="1" applyBorder="1" applyAlignment="1">
      <alignment horizontal="center" vertical="center" wrapText="1"/>
    </xf>
    <xf numFmtId="0" fontId="35" fillId="4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182" fontId="14" fillId="2" borderId="0" xfId="2" applyNumberFormat="1" applyFont="1" applyFill="1" applyAlignment="1">
      <alignment horizontal="center" vertical="center"/>
    </xf>
    <xf numFmtId="0" fontId="14" fillId="8" borderId="23" xfId="0" applyFont="1" applyFill="1" applyBorder="1">
      <alignment vertical="center"/>
    </xf>
    <xf numFmtId="0" fontId="14" fillId="8" borderId="20" xfId="0" applyFont="1" applyFill="1" applyBorder="1">
      <alignment vertical="center"/>
    </xf>
    <xf numFmtId="0" fontId="14" fillId="3" borderId="20" xfId="3" applyFont="1" applyFill="1" applyBorder="1" applyAlignment="1">
      <alignment horizontal="center" vertical="center" wrapText="1"/>
    </xf>
    <xf numFmtId="0" fontId="14" fillId="3" borderId="20" xfId="3" applyFont="1" applyFill="1" applyBorder="1" applyAlignment="1">
      <alignment horizontal="center" vertical="center"/>
    </xf>
    <xf numFmtId="176" fontId="14" fillId="3" borderId="20" xfId="4" applyFont="1" applyFill="1" applyBorder="1" applyAlignment="1">
      <alignment horizontal="center" vertical="center"/>
    </xf>
    <xf numFmtId="178" fontId="14" fillId="3" borderId="20" xfId="5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3" borderId="2" xfId="3" applyFont="1" applyFill="1" applyBorder="1" applyAlignment="1">
      <alignment horizontal="center" vertical="center" wrapText="1"/>
    </xf>
    <xf numFmtId="0" fontId="14" fillId="3" borderId="2" xfId="3" applyFont="1" applyFill="1" applyBorder="1" applyAlignment="1">
      <alignment horizontal="center" vertical="center"/>
    </xf>
    <xf numFmtId="176" fontId="14" fillId="3" borderId="2" xfId="4" applyFont="1" applyFill="1" applyBorder="1" applyAlignment="1">
      <alignment horizontal="center" vertical="center"/>
    </xf>
    <xf numFmtId="178" fontId="14" fillId="3" borderId="2" xfId="5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9" fontId="35" fillId="0" borderId="2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190" fontId="32" fillId="4" borderId="2" xfId="1" applyNumberFormat="1" applyFont="1" applyFill="1" applyBorder="1" applyAlignment="1">
      <alignment horizontal="center" vertical="center"/>
    </xf>
    <xf numFmtId="190" fontId="35" fillId="4" borderId="2" xfId="20" applyNumberFormat="1" applyFont="1" applyFill="1" applyBorder="1" applyAlignment="1">
      <alignment horizontal="center" vertical="center"/>
    </xf>
    <xf numFmtId="176" fontId="36" fillId="0" borderId="15" xfId="1" applyFont="1" applyBorder="1" applyAlignment="1">
      <alignment vertical="center"/>
    </xf>
    <xf numFmtId="0" fontId="37" fillId="0" borderId="19" xfId="6" applyFont="1" applyBorder="1" applyAlignment="1">
      <alignment horizontal="right" vertical="center"/>
    </xf>
  </cellXfs>
  <cellStyles count="2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4 3" xfId="22" xr:uid="{8CD1BC60-8847-4B14-9CB8-A2AF33C99651}"/>
    <cellStyle name="쉼표 [0] 3" xfId="16" xr:uid="{8F7BE219-40E1-4BBB-A9BD-02188B74B2A3}"/>
    <cellStyle name="쉼표 [0] 5" xfId="20" xr:uid="{5D194C4A-224D-4C6D-AD9B-CDEC53062FE8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 7 4" xfId="21" xr:uid="{764DBB5F-CB5A-46A0-BADE-086505B9E78B}"/>
    <cellStyle name="표준_봉강빌딩신축공사" xfId="6" xr:uid="{00000000-0005-0000-0000-00000E00000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531358</xdr:colOff>
      <xdr:row>27</xdr:row>
      <xdr:rowOff>408213</xdr:rowOff>
    </xdr:from>
    <xdr:to>
      <xdr:col>73</xdr:col>
      <xdr:colOff>178082</xdr:colOff>
      <xdr:row>101</xdr:row>
      <xdr:rowOff>174818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433EBDC4-7BFF-0953-69E5-C99074BA56FE}"/>
            </a:ext>
          </a:extLst>
        </xdr:cNvPr>
        <xdr:cNvGrpSpPr>
          <a:grpSpLocks noChangeAspect="1"/>
        </xdr:cNvGrpSpPr>
      </xdr:nvGrpSpPr>
      <xdr:grpSpPr>
        <a:xfrm>
          <a:off x="21295858" y="13552713"/>
          <a:ext cx="26983474" cy="35009105"/>
          <a:chOff x="11675608" y="6123213"/>
          <a:chExt cx="59963277" cy="77798011"/>
        </a:xfrm>
        <a:solidFill>
          <a:schemeClr val="bg1"/>
        </a:solidFill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3A32A112-6823-A34B-BF88-789AA54EB28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675608" y="22581731"/>
            <a:ext cx="59476142" cy="61339493"/>
          </a:xfrm>
          <a:prstGeom prst="rect">
            <a:avLst/>
          </a:prstGeom>
          <a:grpFill/>
          <a:ln w="12700">
            <a:solidFill>
              <a:schemeClr val="bg1">
                <a:lumMod val="50000"/>
              </a:schemeClr>
            </a:solidFill>
          </a:ln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119AA6AC-E087-29DB-C722-028173F3556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974285" y="6123213"/>
            <a:ext cx="59664600" cy="15716250"/>
          </a:xfrm>
          <a:prstGeom prst="rect">
            <a:avLst/>
          </a:prstGeom>
          <a:grpFill/>
          <a:ln w="12700">
            <a:solidFill>
              <a:schemeClr val="bg1">
                <a:lumMod val="50000"/>
              </a:schemeClr>
            </a:solidFill>
          </a:ln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76200</xdr:colOff>
      <xdr:row>22</xdr:row>
      <xdr:rowOff>114300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E88EE17F-9F5F-4789-B632-7E05A0E9AFE9}"/>
            </a:ext>
          </a:extLst>
        </xdr:cNvPr>
        <xdr:cNvSpPr/>
      </xdr:nvSpPr>
      <xdr:spPr>
        <a:xfrm>
          <a:off x="0" y="171450"/>
          <a:ext cx="5172075" cy="371475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고소할증 근거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209550</xdr:colOff>
      <xdr:row>2</xdr:row>
      <xdr:rowOff>142875</xdr:rowOff>
    </xdr:from>
    <xdr:to>
      <xdr:col>4</xdr:col>
      <xdr:colOff>712660</xdr:colOff>
      <xdr:row>20</xdr:row>
      <xdr:rowOff>114300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2740296-3BBA-46D0-9A9B-D5C37BABE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485775"/>
          <a:ext cx="4684585" cy="3057525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28</xdr:row>
      <xdr:rowOff>1</xdr:rowOff>
    </xdr:from>
    <xdr:to>
      <xdr:col>9</xdr:col>
      <xdr:colOff>638176</xdr:colOff>
      <xdr:row>52</xdr:row>
      <xdr:rowOff>76201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B7F7E95-4EA0-497E-9FD2-D5C7A17A113F}"/>
            </a:ext>
          </a:extLst>
        </xdr:cNvPr>
        <xdr:cNvSpPr/>
      </xdr:nvSpPr>
      <xdr:spPr>
        <a:xfrm>
          <a:off x="1" y="5429251"/>
          <a:ext cx="9353550" cy="41910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장비임대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314325</xdr:colOff>
      <xdr:row>30</xdr:row>
      <xdr:rowOff>104775</xdr:rowOff>
    </xdr:from>
    <xdr:to>
      <xdr:col>2</xdr:col>
      <xdr:colOff>923925</xdr:colOff>
      <xdr:row>50</xdr:row>
      <xdr:rowOff>10364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37D6D77-C508-4D0F-B42E-36FDA4CD7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876925"/>
          <a:ext cx="2847975" cy="3334589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30</xdr:row>
      <xdr:rowOff>47625</xdr:rowOff>
    </xdr:from>
    <xdr:to>
      <xdr:col>6</xdr:col>
      <xdr:colOff>219075</xdr:colOff>
      <xdr:row>50</xdr:row>
      <xdr:rowOff>85413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3D6B58F0-2DE2-49A6-996D-C9CECDBE7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5819775"/>
          <a:ext cx="2638425" cy="3466788"/>
        </a:xfrm>
        <a:prstGeom prst="rect">
          <a:avLst/>
        </a:prstGeom>
      </xdr:spPr>
    </xdr:pic>
    <xdr:clientData/>
  </xdr:twoCellAnchor>
  <xdr:twoCellAnchor editAs="oneCell">
    <xdr:from>
      <xdr:col>6</xdr:col>
      <xdr:colOff>447675</xdr:colOff>
      <xdr:row>29</xdr:row>
      <xdr:rowOff>161926</xdr:rowOff>
    </xdr:from>
    <xdr:to>
      <xdr:col>9</xdr:col>
      <xdr:colOff>310076</xdr:colOff>
      <xdr:row>50</xdr:row>
      <xdr:rowOff>104776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8D5C34A-E5F2-4A59-83CE-0BD8C2AF8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3175" y="5762626"/>
          <a:ext cx="2672276" cy="3543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55" zoomScaleNormal="55" workbookViewId="0">
      <selection activeCell="A2" sqref="A2:G32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91" t="s">
        <v>1</v>
      </c>
      <c r="B2" s="91"/>
      <c r="C2" s="91"/>
      <c r="D2" s="91"/>
      <c r="E2" s="91"/>
      <c r="F2" s="91"/>
      <c r="G2" s="91"/>
      <c r="H2" s="2"/>
    </row>
    <row r="3" spans="1:9" ht="14.25" x14ac:dyDescent="0.2">
      <c r="A3" s="67"/>
      <c r="B3" s="67"/>
      <c r="C3" s="67"/>
      <c r="D3" s="67"/>
      <c r="E3" s="67"/>
      <c r="F3" s="67"/>
      <c r="G3" s="67"/>
      <c r="H3" s="67"/>
    </row>
    <row r="4" spans="1:9" ht="14.25" x14ac:dyDescent="0.2">
      <c r="A4" s="67"/>
      <c r="B4" s="67"/>
      <c r="C4" s="67"/>
      <c r="D4" s="67"/>
      <c r="E4" s="67"/>
      <c r="H4" s="67"/>
    </row>
    <row r="5" spans="1:9" ht="27" customHeight="1" x14ac:dyDescent="0.2">
      <c r="A5" s="68" t="s">
        <v>42</v>
      </c>
      <c r="B5" s="4"/>
      <c r="C5" s="5"/>
      <c r="D5" s="67"/>
      <c r="E5" s="67"/>
      <c r="F5" s="6" t="s">
        <v>33</v>
      </c>
      <c r="G5" s="7" t="s">
        <v>46</v>
      </c>
      <c r="H5" s="67"/>
    </row>
    <row r="6" spans="1:9" ht="27" customHeight="1" x14ac:dyDescent="0.2">
      <c r="A6" s="67"/>
      <c r="B6" s="67"/>
      <c r="C6" s="67"/>
      <c r="D6" s="67"/>
      <c r="E6" s="67"/>
      <c r="F6" s="8" t="s">
        <v>36</v>
      </c>
      <c r="G6" s="9" t="s">
        <v>47</v>
      </c>
      <c r="H6" s="67"/>
    </row>
    <row r="7" spans="1:9" ht="27" customHeight="1" x14ac:dyDescent="0.2">
      <c r="A7" s="97" t="s">
        <v>75</v>
      </c>
      <c r="B7" s="98"/>
      <c r="C7" s="99"/>
      <c r="D7" s="67"/>
      <c r="E7" s="10"/>
      <c r="F7" s="11" t="s">
        <v>37</v>
      </c>
      <c r="G7" s="9" t="s">
        <v>48</v>
      </c>
      <c r="H7" s="67"/>
    </row>
    <row r="8" spans="1:9" ht="27" customHeight="1" x14ac:dyDescent="0.2">
      <c r="A8" s="67"/>
      <c r="B8" s="67"/>
      <c r="C8" s="67"/>
      <c r="D8" s="67"/>
      <c r="E8" s="67"/>
      <c r="F8" s="8" t="s">
        <v>38</v>
      </c>
      <c r="G8" s="9" t="s">
        <v>49</v>
      </c>
      <c r="H8" s="67"/>
    </row>
    <row r="9" spans="1:9" ht="27" customHeight="1" x14ac:dyDescent="0.2">
      <c r="A9" s="94" t="s">
        <v>74</v>
      </c>
      <c r="B9" s="95"/>
      <c r="C9" s="96"/>
      <c r="D9" s="67"/>
      <c r="E9" s="67"/>
      <c r="F9" s="8" t="s">
        <v>39</v>
      </c>
      <c r="G9" s="9" t="s">
        <v>50</v>
      </c>
      <c r="H9" s="67"/>
    </row>
    <row r="10" spans="1:9" ht="27" customHeight="1" x14ac:dyDescent="0.2">
      <c r="A10" s="67"/>
      <c r="B10" s="67"/>
      <c r="C10" s="67"/>
      <c r="D10" s="67"/>
      <c r="E10" s="67"/>
      <c r="F10" s="12" t="s">
        <v>34</v>
      </c>
      <c r="G10" s="13" t="s">
        <v>51</v>
      </c>
      <c r="H10" s="67"/>
      <c r="I10" s="67"/>
    </row>
    <row r="11" spans="1:9" ht="27" customHeight="1" x14ac:dyDescent="0.2">
      <c r="A11" s="92"/>
      <c r="B11" s="93"/>
      <c r="C11" s="93"/>
      <c r="D11" s="67"/>
      <c r="E11" s="14"/>
      <c r="F11" s="15" t="s">
        <v>35</v>
      </c>
      <c r="G11" s="16" t="s">
        <v>52</v>
      </c>
      <c r="H11" s="14"/>
    </row>
    <row r="12" spans="1:9" ht="18.75" thickBot="1" x14ac:dyDescent="0.25">
      <c r="A12" s="17" t="s">
        <v>2</v>
      </c>
      <c r="B12" s="17" t="str">
        <f>NUMBERSTRING(F31,1)</f>
        <v>일백오십구만구천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67"/>
      <c r="B13" s="67"/>
      <c r="C13" s="67"/>
      <c r="D13" s="67"/>
      <c r="E13" s="67"/>
      <c r="F13" s="67"/>
      <c r="G13" s="67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'내역서(표준단가)'!O8</f>
        <v>0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'내역서(표준단가)'!Q8</f>
        <v>737315.6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'내역서(표준단가)'!S8+'내역서(표준단가)'!U8</f>
        <v>700000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1437315.6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33179.201999999997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43</v>
      </c>
      <c r="D22" s="46">
        <v>1</v>
      </c>
      <c r="E22" s="46" t="s">
        <v>20</v>
      </c>
      <c r="F22" s="47">
        <f>F17*3.545%</f>
        <v>26137.838019999999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44</v>
      </c>
      <c r="D23" s="30">
        <v>1</v>
      </c>
      <c r="E23" s="30" t="s">
        <v>20</v>
      </c>
      <c r="F23" s="43">
        <f>F22*12.95%</f>
        <v>3384.8500235900001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40</v>
      </c>
      <c r="D24" s="30">
        <v>1</v>
      </c>
      <c r="E24" s="30" t="s">
        <v>20</v>
      </c>
      <c r="F24" s="43">
        <f>F17*1.01%</f>
        <v>7446.8875599999992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45</v>
      </c>
      <c r="D25" s="30">
        <v>1</v>
      </c>
      <c r="E25" s="30" t="s">
        <v>20</v>
      </c>
      <c r="F25" s="43">
        <f>F17*3.56%</f>
        <v>26248.435359999999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73</v>
      </c>
      <c r="D26" s="30">
        <v>1</v>
      </c>
      <c r="E26" s="30" t="s">
        <v>20</v>
      </c>
      <c r="F26" s="43">
        <f>(F16+F17)*3.11%</f>
        <v>22930.515159999999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42832.166406179502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162159.89452976949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1599475.4945297695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1599000</v>
      </c>
      <c r="G31" s="155">
        <f>F31*1.075</f>
        <v>1718925</v>
      </c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156" t="s">
        <v>95</v>
      </c>
    </row>
    <row r="33" spans="2:2" ht="15.75" x14ac:dyDescent="0.25">
      <c r="B33" s="63"/>
    </row>
    <row r="34" spans="2:2" ht="15.75" x14ac:dyDescent="0.25">
      <c r="B34" s="63"/>
    </row>
  </sheetData>
  <mergeCells count="4">
    <mergeCell ref="A2:G2"/>
    <mergeCell ref="A11:C11"/>
    <mergeCell ref="A9:C9"/>
    <mergeCell ref="A7:C7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6"/>
  <sheetViews>
    <sheetView showGridLines="0" tabSelected="1" topLeftCell="J1" zoomScale="10" zoomScaleNormal="10" workbookViewId="0">
      <pane ySplit="4" topLeftCell="A32" activePane="bottomLeft" state="frozen"/>
      <selection pane="bottomLeft" activeCell="CS96" sqref="CS96"/>
    </sheetView>
  </sheetViews>
  <sheetFormatPr defaultColWidth="9" defaultRowHeight="38.1" customHeight="1" x14ac:dyDescent="0.3"/>
  <cols>
    <col min="1" max="1" width="17.5" style="76" customWidth="1"/>
    <col min="2" max="5" width="18.5" style="76" hidden="1" customWidth="1"/>
    <col min="6" max="6" width="20.625" style="64" hidden="1" customWidth="1"/>
    <col min="7" max="7" width="15.125" style="64" hidden="1" customWidth="1"/>
    <col min="8" max="8" width="14.625" style="64" hidden="1" customWidth="1"/>
    <col min="9" max="9" width="13.875" style="64" hidden="1" customWidth="1"/>
    <col min="10" max="10" width="30.625" style="72" bestFit="1" customWidth="1"/>
    <col min="11" max="11" width="33.375" style="72" bestFit="1" customWidth="1"/>
    <col min="12" max="12" width="5.25" style="64" customWidth="1"/>
    <col min="13" max="13" width="5.625" style="64" bestFit="1" customWidth="1"/>
    <col min="14" max="14" width="11.125" style="64" bestFit="1" customWidth="1"/>
    <col min="15" max="15" width="9" style="64" bestFit="1" customWidth="1"/>
    <col min="16" max="16" width="10.5" style="64" bestFit="1" customWidth="1"/>
    <col min="17" max="17" width="13.375" style="64" bestFit="1" customWidth="1"/>
    <col min="18" max="18" width="9.875" style="64" customWidth="1"/>
    <col min="19" max="19" width="13.375" style="64" bestFit="1" customWidth="1"/>
    <col min="20" max="20" width="9.5" style="64" hidden="1" customWidth="1"/>
    <col min="21" max="21" width="8.25" style="64" hidden="1" customWidth="1"/>
    <col min="22" max="22" width="15.75" style="64" bestFit="1" customWidth="1"/>
    <col min="23" max="23" width="12.625" style="65" customWidth="1"/>
    <col min="24" max="24" width="12.625" style="64" customWidth="1"/>
    <col min="25" max="16384" width="9" style="64"/>
  </cols>
  <sheetData>
    <row r="1" spans="1:24" s="75" customFormat="1" ht="19.899999999999999" customHeight="1" x14ac:dyDescent="0.3">
      <c r="A1" s="126"/>
      <c r="B1" s="126"/>
      <c r="C1" s="126"/>
      <c r="D1" s="126"/>
      <c r="E1" s="126"/>
      <c r="F1" s="126"/>
      <c r="G1" s="126"/>
      <c r="H1" s="126"/>
      <c r="I1" s="126"/>
      <c r="J1" s="73"/>
      <c r="K1" s="73"/>
      <c r="N1" s="66"/>
      <c r="O1" s="127" t="s">
        <v>53</v>
      </c>
      <c r="Q1" s="127" t="s">
        <v>53</v>
      </c>
      <c r="S1" s="127" t="s">
        <v>53</v>
      </c>
      <c r="U1" s="127" t="s">
        <v>53</v>
      </c>
      <c r="W1" s="66"/>
    </row>
    <row r="2" spans="1:24" s="75" customFormat="1" ht="30" customHeight="1" thickBot="1" x14ac:dyDescent="0.35">
      <c r="A2" s="150"/>
      <c r="B2" s="150"/>
      <c r="C2" s="150"/>
      <c r="D2" s="150"/>
      <c r="E2" s="150"/>
      <c r="F2" s="150"/>
      <c r="G2" s="150"/>
      <c r="H2" s="150"/>
      <c r="I2" s="150"/>
      <c r="J2" s="73"/>
      <c r="K2" s="73"/>
      <c r="N2" s="128"/>
      <c r="O2" s="129">
        <v>0.83499999999999996</v>
      </c>
      <c r="Q2" s="129">
        <v>0.83499999999999996</v>
      </c>
      <c r="S2" s="129">
        <v>0.83499999999999996</v>
      </c>
      <c r="U2" s="129">
        <v>0.83499999999999996</v>
      </c>
      <c r="W2" s="66"/>
    </row>
    <row r="3" spans="1:24" s="75" customFormat="1" ht="30" customHeight="1" x14ac:dyDescent="0.3">
      <c r="A3" s="130"/>
      <c r="B3" s="130"/>
      <c r="C3" s="130"/>
      <c r="D3" s="130"/>
      <c r="E3" s="130"/>
      <c r="F3" s="130" t="s">
        <v>54</v>
      </c>
      <c r="G3" s="131"/>
      <c r="H3" s="131"/>
      <c r="I3" s="131"/>
      <c r="J3" s="132" t="s">
        <v>55</v>
      </c>
      <c r="K3" s="132"/>
      <c r="L3" s="133" t="s">
        <v>41</v>
      </c>
      <c r="M3" s="133" t="s">
        <v>0</v>
      </c>
      <c r="N3" s="134" t="s">
        <v>56</v>
      </c>
      <c r="O3" s="134"/>
      <c r="P3" s="134" t="s">
        <v>57</v>
      </c>
      <c r="Q3" s="134"/>
      <c r="R3" s="135" t="s">
        <v>58</v>
      </c>
      <c r="S3" s="135"/>
      <c r="T3" s="135" t="s">
        <v>59</v>
      </c>
      <c r="U3" s="135"/>
      <c r="V3" s="136" t="s">
        <v>60</v>
      </c>
      <c r="W3" s="137" t="s">
        <v>93</v>
      </c>
      <c r="X3" s="138" t="s">
        <v>94</v>
      </c>
    </row>
    <row r="4" spans="1:24" s="75" customFormat="1" ht="30" customHeight="1" x14ac:dyDescent="0.3">
      <c r="A4" s="139" t="s">
        <v>61</v>
      </c>
      <c r="B4" s="140"/>
      <c r="C4" s="140"/>
      <c r="D4" s="140"/>
      <c r="E4" s="140"/>
      <c r="F4" s="141" t="s">
        <v>62</v>
      </c>
      <c r="G4" s="141" t="s">
        <v>63</v>
      </c>
      <c r="H4" s="141" t="s">
        <v>64</v>
      </c>
      <c r="I4" s="141" t="s">
        <v>65</v>
      </c>
      <c r="J4" s="142" t="s">
        <v>66</v>
      </c>
      <c r="K4" s="142" t="s">
        <v>67</v>
      </c>
      <c r="L4" s="143"/>
      <c r="M4" s="143"/>
      <c r="N4" s="144" t="s">
        <v>68</v>
      </c>
      <c r="O4" s="145" t="s">
        <v>69</v>
      </c>
      <c r="P4" s="144" t="s">
        <v>70</v>
      </c>
      <c r="Q4" s="145" t="s">
        <v>69</v>
      </c>
      <c r="R4" s="145" t="s">
        <v>71</v>
      </c>
      <c r="S4" s="145" t="s">
        <v>69</v>
      </c>
      <c r="T4" s="145" t="s">
        <v>71</v>
      </c>
      <c r="U4" s="145" t="s">
        <v>69</v>
      </c>
      <c r="V4" s="146"/>
      <c r="W4" s="147"/>
      <c r="X4" s="148"/>
    </row>
    <row r="5" spans="1:24" s="75" customFormat="1" ht="60" customHeight="1" x14ac:dyDescent="0.3">
      <c r="A5" s="101" t="str">
        <f t="shared" ref="A5" si="0">F5&amp;G5&amp;H5&amp;I5</f>
        <v>L003</v>
      </c>
      <c r="B5" s="102"/>
      <c r="C5" s="102"/>
      <c r="D5" s="102"/>
      <c r="E5" s="102"/>
      <c r="F5" s="111"/>
      <c r="G5" s="112"/>
      <c r="H5" s="113"/>
      <c r="I5" s="103" t="s">
        <v>72</v>
      </c>
      <c r="J5" s="114" t="s">
        <v>90</v>
      </c>
      <c r="K5" s="115" t="s">
        <v>89</v>
      </c>
      <c r="L5" s="116" t="s">
        <v>87</v>
      </c>
      <c r="M5" s="153">
        <v>2</v>
      </c>
      <c r="N5" s="117"/>
      <c r="O5" s="118">
        <f>SUM(N5:N5)*M5*$O$2</f>
        <v>0</v>
      </c>
      <c r="P5" s="119">
        <v>219321</v>
      </c>
      <c r="Q5" s="118">
        <f>(M5*P5)*130%</f>
        <v>570234.6</v>
      </c>
      <c r="R5" s="120"/>
      <c r="S5" s="118"/>
      <c r="T5" s="120"/>
      <c r="U5" s="118"/>
      <c r="V5" s="121">
        <f t="shared" ref="V5:V7" si="1">SUM(O5+Q5)+S5+U5</f>
        <v>570234.6</v>
      </c>
      <c r="W5" s="151">
        <v>0.3</v>
      </c>
      <c r="X5" s="152" t="s">
        <v>92</v>
      </c>
    </row>
    <row r="6" spans="1:24" s="75" customFormat="1" ht="60" customHeight="1" x14ac:dyDescent="0.3">
      <c r="A6" s="101" t="str">
        <f>F6&amp;G6&amp;H6&amp;I6</f>
        <v>L002</v>
      </c>
      <c r="B6" s="102"/>
      <c r="C6" s="102"/>
      <c r="D6" s="102"/>
      <c r="E6" s="102"/>
      <c r="F6" s="111"/>
      <c r="G6" s="112"/>
      <c r="H6" s="113"/>
      <c r="I6" s="103" t="s">
        <v>86</v>
      </c>
      <c r="J6" s="122"/>
      <c r="K6" s="115" t="s">
        <v>88</v>
      </c>
      <c r="L6" s="116" t="s">
        <v>87</v>
      </c>
      <c r="M6" s="153">
        <v>1</v>
      </c>
      <c r="N6" s="117"/>
      <c r="O6" s="118">
        <f>SUM(N6:N6)*M6*$O$2</f>
        <v>0</v>
      </c>
      <c r="P6" s="119">
        <v>167081</v>
      </c>
      <c r="Q6" s="118">
        <f>M6*P6</f>
        <v>167081</v>
      </c>
      <c r="R6" s="120"/>
      <c r="S6" s="118"/>
      <c r="T6" s="120"/>
      <c r="U6" s="118"/>
      <c r="V6" s="121">
        <f t="shared" si="1"/>
        <v>167081</v>
      </c>
      <c r="W6" s="123"/>
      <c r="X6" s="149"/>
    </row>
    <row r="7" spans="1:24" s="75" customFormat="1" ht="60" customHeight="1" x14ac:dyDescent="0.3">
      <c r="A7" s="101" t="s">
        <v>91</v>
      </c>
      <c r="B7" s="102"/>
      <c r="C7" s="102"/>
      <c r="D7" s="102"/>
      <c r="E7" s="102"/>
      <c r="F7" s="103"/>
      <c r="G7" s="104"/>
      <c r="H7" s="104"/>
      <c r="I7" s="103"/>
      <c r="J7" s="124"/>
      <c r="K7" s="115" t="s">
        <v>85</v>
      </c>
      <c r="L7" s="125" t="s">
        <v>76</v>
      </c>
      <c r="M7" s="154">
        <v>1</v>
      </c>
      <c r="N7" s="105"/>
      <c r="O7" s="106"/>
      <c r="P7" s="107"/>
      <c r="Q7" s="106"/>
      <c r="R7" s="108">
        <v>700000</v>
      </c>
      <c r="S7" s="106">
        <f>M7*R7</f>
        <v>700000</v>
      </c>
      <c r="T7" s="108"/>
      <c r="U7" s="106"/>
      <c r="V7" s="109">
        <f t="shared" si="1"/>
        <v>700000</v>
      </c>
      <c r="W7" s="110"/>
      <c r="X7" s="149"/>
    </row>
    <row r="8" spans="1:24" s="75" customFormat="1" ht="30" customHeight="1" x14ac:dyDescent="0.3">
      <c r="A8" s="74"/>
      <c r="B8" s="74"/>
      <c r="C8" s="74"/>
      <c r="D8" s="74"/>
      <c r="E8" s="74"/>
      <c r="J8" s="73"/>
      <c r="K8" s="73"/>
      <c r="O8" s="78">
        <f>SUM(O5:O7)</f>
        <v>0</v>
      </c>
      <c r="Q8" s="78">
        <f>SUM(Q5:Q7)</f>
        <v>737315.6</v>
      </c>
      <c r="S8" s="78">
        <f>SUM(S5:S7)</f>
        <v>700000</v>
      </c>
      <c r="U8" s="78">
        <f>SUM(U5:U7)</f>
        <v>0</v>
      </c>
      <c r="V8" s="79">
        <f>SUM(V5:V7)</f>
        <v>1437315.6</v>
      </c>
      <c r="W8" s="66"/>
    </row>
    <row r="9" spans="1:24" ht="75.75" customHeight="1" x14ac:dyDescent="0.3">
      <c r="J9" s="64"/>
      <c r="K9" s="64"/>
      <c r="U9" s="65"/>
      <c r="W9" s="64"/>
    </row>
    <row r="10" spans="1:24" ht="30" customHeight="1" x14ac:dyDescent="0.3">
      <c r="J10" s="64"/>
      <c r="K10" s="64"/>
      <c r="U10" s="65"/>
      <c r="W10" s="64"/>
    </row>
    <row r="11" spans="1:24" ht="30" customHeight="1" x14ac:dyDescent="0.3">
      <c r="J11" s="64"/>
      <c r="K11" s="64"/>
      <c r="U11" s="65"/>
      <c r="W11" s="64"/>
    </row>
    <row r="12" spans="1:24" ht="30" customHeight="1" x14ac:dyDescent="0.3">
      <c r="J12" s="64"/>
      <c r="K12" s="64"/>
      <c r="O12" s="77"/>
      <c r="U12" s="65"/>
      <c r="W12" s="64"/>
    </row>
    <row r="13" spans="1:24" ht="30" customHeight="1" x14ac:dyDescent="0.3">
      <c r="J13" s="64"/>
      <c r="K13" s="64"/>
      <c r="O13" s="77"/>
      <c r="U13" s="65"/>
      <c r="W13" s="64"/>
    </row>
    <row r="14" spans="1:24" ht="30" customHeight="1" x14ac:dyDescent="0.3">
      <c r="J14" s="64"/>
      <c r="K14" s="64"/>
      <c r="O14" s="77"/>
      <c r="U14" s="65"/>
      <c r="W14" s="64"/>
    </row>
    <row r="15" spans="1:24" ht="38.1" customHeight="1" x14ac:dyDescent="0.3">
      <c r="J15" s="100"/>
      <c r="K15" s="100"/>
      <c r="Q15" s="77"/>
    </row>
    <row r="16" spans="1:24" ht="38.1" customHeight="1" x14ac:dyDescent="0.3">
      <c r="J16" s="100"/>
      <c r="K16" s="100"/>
      <c r="Q16" s="77"/>
    </row>
  </sheetData>
  <mergeCells count="15">
    <mergeCell ref="J15:K15"/>
    <mergeCell ref="J16:K16"/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  <mergeCell ref="J5:J7"/>
  </mergeCells>
  <phoneticPr fontId="7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A25:P27"/>
  <sheetViews>
    <sheetView topLeftCell="A2" zoomScale="130" zoomScaleNormal="130" zoomScaleSheetLayoutView="85" workbookViewId="0">
      <selection activeCell="E36" sqref="E36"/>
    </sheetView>
  </sheetViews>
  <sheetFormatPr defaultColWidth="9" defaultRowHeight="14.25" x14ac:dyDescent="0.3"/>
  <cols>
    <col min="1" max="1" width="11.5" style="69" bestFit="1" customWidth="1"/>
    <col min="2" max="2" width="17.875" style="69" customWidth="1"/>
    <col min="3" max="3" width="14.625" style="69" customWidth="1"/>
    <col min="4" max="4" width="10.875" style="69" customWidth="1"/>
    <col min="5" max="5" width="12" style="69" customWidth="1"/>
    <col min="6" max="6" width="10.625" style="69" customWidth="1"/>
    <col min="7" max="7" width="13.625" style="70" customWidth="1"/>
    <col min="8" max="8" width="9.625" style="69" customWidth="1"/>
    <col min="9" max="9" width="13.625" style="69" customWidth="1"/>
    <col min="10" max="10" width="12.75" style="69" customWidth="1"/>
    <col min="11" max="11" width="9.25" style="69" customWidth="1"/>
    <col min="12" max="12" width="13.625" style="70" customWidth="1"/>
    <col min="13" max="13" width="9.625" style="69" customWidth="1"/>
    <col min="14" max="14" width="13.625" style="70" customWidth="1"/>
    <col min="15" max="15" width="19.75" style="71" bestFit="1" customWidth="1"/>
    <col min="16" max="16" width="12.25" style="71" bestFit="1" customWidth="1"/>
    <col min="17" max="16384" width="9" style="69"/>
  </cols>
  <sheetData>
    <row r="25" spans="1:16" s="81" customFormat="1" ht="30" customHeight="1" x14ac:dyDescent="0.3">
      <c r="A25" s="80" t="s">
        <v>77</v>
      </c>
      <c r="B25" s="80"/>
      <c r="G25" s="82"/>
      <c r="L25" s="82"/>
      <c r="N25" s="82"/>
      <c r="O25" s="83"/>
      <c r="P25" s="83"/>
    </row>
    <row r="26" spans="1:16" s="81" customFormat="1" ht="30" customHeight="1" x14ac:dyDescent="0.3">
      <c r="A26" s="84" t="s">
        <v>78</v>
      </c>
      <c r="B26" s="85" t="s">
        <v>79</v>
      </c>
      <c r="C26" s="85" t="s">
        <v>80</v>
      </c>
      <c r="D26" s="85" t="s">
        <v>70</v>
      </c>
      <c r="E26" s="86" t="s">
        <v>81</v>
      </c>
      <c r="G26" s="82"/>
      <c r="L26" s="82"/>
      <c r="N26" s="82"/>
      <c r="O26" s="83"/>
      <c r="P26" s="83"/>
    </row>
    <row r="27" spans="1:16" s="81" customFormat="1" ht="30" customHeight="1" x14ac:dyDescent="0.3">
      <c r="A27" s="87">
        <v>999999</v>
      </c>
      <c r="B27" s="88" t="s">
        <v>82</v>
      </c>
      <c r="C27" s="88" t="s">
        <v>84</v>
      </c>
      <c r="D27" s="89">
        <v>700000</v>
      </c>
      <c r="E27" s="90" t="s">
        <v>83</v>
      </c>
      <c r="G27" s="82"/>
      <c r="L27" s="82"/>
      <c r="N27" s="82"/>
      <c r="O27" s="83"/>
      <c r="P27" s="83"/>
    </row>
  </sheetData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시중가 근거서류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2025-07-29T04:07:34Z</dcterms:modified>
</cp:coreProperties>
</file>
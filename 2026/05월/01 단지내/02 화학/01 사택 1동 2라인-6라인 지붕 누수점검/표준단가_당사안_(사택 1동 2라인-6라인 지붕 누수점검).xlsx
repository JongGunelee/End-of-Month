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12F894BE-7C4E-48A4-9DDE-AFB50AC15765}" xr6:coauthVersionLast="47" xr6:coauthVersionMax="47" xr10:uidLastSave="{00000000-0000-0000-0000-000000000000}"/>
  <bookViews>
    <workbookView xWindow="14190" yWindow="0" windowWidth="14610" windowHeight="15480" activeTab="1" xr2:uid="{00000000-000D-0000-FFFF-FFFF00000000}"/>
  </bookViews>
  <sheets>
    <sheet name="갑지" sheetId="5" r:id="rId1"/>
    <sheet name="내역서(표준단가)" sheetId="4" r:id="rId2"/>
    <sheet name="시중가 근거서류" sheetId="14" r:id="rId3"/>
    <sheet name="Upload(시중가)" sheetId="13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M6" i="4"/>
  <c r="F3" i="1"/>
  <c r="E3" i="1"/>
  <c r="D3" i="1"/>
  <c r="C3" i="1"/>
  <c r="B3" i="1"/>
  <c r="A6" i="4"/>
  <c r="A3" i="1" s="1"/>
  <c r="Q6" i="4"/>
  <c r="O6" i="4"/>
  <c r="K6" i="4"/>
  <c r="M5" i="4"/>
  <c r="O7" i="4"/>
  <c r="R7" i="4" s="1"/>
  <c r="R6" i="4" l="1"/>
  <c r="Q5" i="4"/>
  <c r="O5" i="4"/>
  <c r="K5" i="4"/>
  <c r="A5" i="4"/>
  <c r="R5" i="4" l="1"/>
  <c r="F2" i="1" l="1"/>
  <c r="E2" i="1"/>
  <c r="D2" i="1"/>
  <c r="C2" i="1"/>
  <c r="B2" i="1"/>
  <c r="A2" i="1" l="1"/>
  <c r="K8" i="4" l="1"/>
  <c r="M8" i="4"/>
  <c r="F17" i="5" s="1"/>
  <c r="F21" i="5" l="1"/>
  <c r="F22" i="5"/>
  <c r="R8" i="4"/>
  <c r="Q8" i="4"/>
  <c r="F16" i="5"/>
  <c r="O8" i="4"/>
  <c r="F18" i="5" l="1"/>
  <c r="F26" i="5" l="1"/>
  <c r="F19" i="5"/>
  <c r="F24" i="5"/>
  <c r="F25" i="5"/>
  <c r="F23" i="5"/>
  <c r="F27" i="5" l="1"/>
  <c r="F28" i="5" s="1"/>
  <c r="F31" i="5" s="1"/>
  <c r="B12" i="5" s="1"/>
</calcChain>
</file>

<file path=xl/sharedStrings.xml><?xml version="1.0" encoding="utf-8"?>
<sst xmlns="http://schemas.openxmlformats.org/spreadsheetml/2006/main" count="144" uniqueCount="120">
  <si>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</si>
  <si>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</si>
  <si>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</si>
  <si>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</si>
  <si>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</si>
  <si>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</si>
  <si>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</si>
  <si>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</si>
  <si>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</si>
  <si>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/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</si>
  <si>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</si>
  <si>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</si>
  <si>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</si>
  <si>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</si>
  <si>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</si>
  <si>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</si>
  <si>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</si>
  <si>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</si>
  <si>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</si>
  <si>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</si>
  <si>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</si>
  <si>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</si>
  <si>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</si>
  <si>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</si>
  <si>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</si>
  <si>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</si>
  <si>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</si>
  <si>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</si>
  <si>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</si>
  <si>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</si>
  <si>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</si>
  <si>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</si>
  <si>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</si>
  <si>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</si>
  <si>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</si>
  <si>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</si>
  <si>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</si>
  <si>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</si>
  <si>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</si>
  <si>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</si>
  <si>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</si>
  <si>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</si>
  <si>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</si>
  <si>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</si>
  <si>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</si>
  <si>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</si>
  <si>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</si>
  <si>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단위</t>
  </si>
  <si>
    <t xml:space="preserve"> 수신인 : 주식회사 에스엔아이 코퍼레이션</t>
    <phoneticPr fontId="13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</si>
  <si>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</si>
  <si>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</si>
  <si>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</si>
  <si>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</si>
  <si>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</si>
  <si>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</si>
  <si>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</si>
  <si>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</si>
  <si>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</si>
  <si>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</si>
  <si>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</si>
  <si>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</si>
  <si>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</si>
  <si>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</si>
  <si>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</si>
  <si>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</si>
  <si>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</si>
  <si>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</si>
  <si>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</si>
  <si>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</si>
  <si>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</si>
  <si>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</si>
  <si>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</si>
  <si>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</si>
  <si>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</si>
  <si>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</si>
  <si>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</si>
  <si>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</si>
  <si>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</si>
  <si>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 노무비*4.75%</t>
    <phoneticPr fontId="15" type="noConversion"/>
  </si>
  <si>
    <t> 노무비*3.595%</t>
    <phoneticPr fontId="15" type="noConversion"/>
  </si>
  <si>
    <t>L003</t>
  </si>
  <si>
    <t>인</t>
    <phoneticPr fontId="7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</si>
  <si>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</si>
  <si>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</si>
  <si>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</si>
  <si>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</si>
  <si>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</si>
  <si>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</si>
  <si>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</si>
  <si>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</si>
  <si>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</si>
  <si>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</si>
  <si>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</si>
  <si>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</si>
  <si>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</si>
  <si>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</si>
  <si>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</si>
  <si>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</si>
  <si>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7" type="noConversion"/>
  </si>
  <si>
    <t xml:space="preserve"> 공사명 : 사택 1동 지붕 누수점검</t>
    <phoneticPr fontId="13" type="noConversion"/>
  </si>
  <si>
    <t xml:space="preserve"> 견적일 : 2026년  03월  06일</t>
    <phoneticPr fontId="7" type="noConversion"/>
  </si>
  <si>
    <t>■ 사다리차 전문업체 견적서(999999)</t>
    <phoneticPr fontId="9" type="noConversion"/>
  </si>
  <si>
    <t>코드</t>
    <phoneticPr fontId="9" type="noConversion"/>
  </si>
  <si>
    <t>품목</t>
    <phoneticPr fontId="9" type="noConversion"/>
  </si>
  <si>
    <t>규격</t>
    <phoneticPr fontId="9" type="noConversion"/>
  </si>
  <si>
    <t>적용기준</t>
    <phoneticPr fontId="9" type="noConversion"/>
  </si>
  <si>
    <t>스카이 임대</t>
    <phoneticPr fontId="9" type="noConversion"/>
  </si>
  <si>
    <t xml:space="preserve">5ton </t>
    <phoneticPr fontId="9" type="noConversion"/>
  </si>
  <si>
    <t>시중가</t>
    <phoneticPr fontId="9" type="noConversion"/>
  </si>
  <si>
    <t xml:space="preserve">스카이, 5일 작업 </t>
    <phoneticPr fontId="7" type="noConversion"/>
  </si>
  <si>
    <t>5톤  2023년 전문업체 견적서 첨부</t>
    <phoneticPr fontId="7" type="noConversion"/>
  </si>
  <si>
    <t>대</t>
    <phoneticPr fontId="7" type="noConversion"/>
  </si>
  <si>
    <t>일</t>
    <phoneticPr fontId="7" type="noConversion"/>
  </si>
  <si>
    <t>지붕점검</t>
    <phoneticPr fontId="7" type="noConversion"/>
  </si>
  <si>
    <t>특별인부 2인*고소할증 30% 적용</t>
    <phoneticPr fontId="7" type="noConversion"/>
  </si>
  <si>
    <t>L002</t>
    <phoneticPr fontId="7" type="noConversion"/>
  </si>
  <si>
    <t>스카이 장비, 신호수</t>
    <phoneticPr fontId="7" type="noConversion"/>
  </si>
  <si>
    <t>보통인부</t>
    <phoneticPr fontId="7" type="noConversion"/>
  </si>
  <si>
    <t>스카이 장비 임대</t>
    <phoneticPr fontId="7" type="noConversion"/>
  </si>
  <si>
    <t>10m-15m
고소 할증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</si>
</sst>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 "/>
    <numFmt numFmtId="184" formatCode="0.000_ "/>
    <numFmt numFmtId="185" formatCode="#,##0;\-#,##0;"/>
    <numFmt numFmtId="186" formatCode="0.000"/>
    <numFmt numFmtId="187" formatCode="_-* #,##0.0_-;\-* #,##0.0_-;_-* &quot;-&quot;_-;_-@_-"/>
    <numFmt numFmtId="188" formatCode="0.0_ 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4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24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6" fillId="0" borderId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14" fillId="0" borderId="7" xfId="6" applyFont="1" applyBorder="1" applyAlignment="1">
      <alignment horizontal="right" vertical="center"/>
    </xf>
    <xf numFmtId="0" fontId="17" fillId="0" borderId="0" xfId="6" applyFont="1" applyAlignment="1">
      <alignment vertical="center"/>
    </xf>
    <xf numFmtId="0" fontId="18" fillId="0" borderId="0" xfId="3" applyFont="1"/>
    <xf numFmtId="0" fontId="19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0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19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0" fillId="0" borderId="7" xfId="6" applyFont="1" applyBorder="1" applyAlignment="1">
      <alignment vertical="center"/>
    </xf>
    <xf numFmtId="179" fontId="19" fillId="0" borderId="7" xfId="6" applyNumberFormat="1" applyFont="1" applyBorder="1" applyAlignment="1">
      <alignment vertical="center"/>
    </xf>
    <xf numFmtId="0" fontId="19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1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1" fillId="0" borderId="12" xfId="6" applyFont="1" applyBorder="1" applyAlignment="1">
      <alignment vertical="center"/>
    </xf>
    <xf numFmtId="1" fontId="21" fillId="0" borderId="12" xfId="6" applyNumberFormat="1" applyFont="1" applyBorder="1" applyAlignment="1">
      <alignment horizontal="center" vertical="center"/>
    </xf>
    <xf numFmtId="180" fontId="21" fillId="0" borderId="12" xfId="7" applyFont="1" applyBorder="1" applyAlignment="1">
      <alignment horizontal="right" vertical="center"/>
    </xf>
    <xf numFmtId="0" fontId="21" fillId="0" borderId="13" xfId="6" applyFont="1" applyBorder="1" applyAlignment="1">
      <alignment vertical="center"/>
    </xf>
    <xf numFmtId="0" fontId="21" fillId="0" borderId="14" xfId="6" applyFont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/>
    </xf>
    <xf numFmtId="1" fontId="21" fillId="0" borderId="15" xfId="6" applyNumberFormat="1" applyFont="1" applyBorder="1" applyAlignment="1">
      <alignment horizontal="center" vertical="center"/>
    </xf>
    <xf numFmtId="180" fontId="21" fillId="0" borderId="15" xfId="7" applyFont="1" applyBorder="1" applyAlignment="1">
      <alignment horizontal="right" vertical="center"/>
    </xf>
    <xf numFmtId="0" fontId="21" fillId="0" borderId="16" xfId="6" quotePrefix="1" applyFont="1" applyBorder="1" applyAlignment="1">
      <alignment vertical="center"/>
    </xf>
    <xf numFmtId="0" fontId="21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1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1" fillId="0" borderId="15" xfId="8" applyFont="1" applyBorder="1" applyAlignment="1">
      <alignment horizontal="center" vertical="center"/>
    </xf>
    <xf numFmtId="178" fontId="21" fillId="0" borderId="15" xfId="5" applyFont="1" applyFill="1" applyBorder="1" applyAlignment="1">
      <alignment horizontal="right" vertical="center"/>
    </xf>
    <xf numFmtId="0" fontId="21" fillId="5" borderId="16" xfId="6" applyFont="1" applyFill="1" applyBorder="1" applyAlignment="1">
      <alignment vertical="center"/>
    </xf>
    <xf numFmtId="0" fontId="21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6" fontId="14" fillId="8" borderId="15" xfId="7" applyNumberFormat="1" applyFont="1" applyFill="1" applyBorder="1" applyAlignment="1">
      <alignment horizontal="right" vertical="center"/>
    </xf>
    <xf numFmtId="9" fontId="21" fillId="0" borderId="15" xfId="3" applyNumberFormat="1" applyFont="1" applyBorder="1" applyAlignment="1">
      <alignment horizontal="right" vertical="center"/>
    </xf>
    <xf numFmtId="1" fontId="21" fillId="0" borderId="15" xfId="9" applyNumberFormat="1" applyFont="1" applyFill="1" applyBorder="1" applyAlignment="1">
      <alignment horizontal="center" vertical="center"/>
    </xf>
    <xf numFmtId="176" fontId="14" fillId="0" borderId="15" xfId="7" applyNumberFormat="1" applyFont="1" applyFill="1" applyBorder="1" applyAlignment="1">
      <alignment horizontal="right" vertical="center"/>
    </xf>
    <xf numFmtId="0" fontId="21" fillId="0" borderId="15" xfId="3" applyFont="1" applyBorder="1" applyAlignment="1">
      <alignment vertical="center"/>
    </xf>
    <xf numFmtId="180" fontId="21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1" fillId="0" borderId="19" xfId="6" applyFont="1" applyBorder="1" applyAlignment="1">
      <alignment vertical="center"/>
    </xf>
    <xf numFmtId="0" fontId="21" fillId="0" borderId="19" xfId="6" applyFont="1" applyBorder="1" applyAlignment="1">
      <alignment horizontal="right" vertical="center"/>
    </xf>
    <xf numFmtId="0" fontId="21" fillId="0" borderId="20" xfId="6" applyFont="1" applyBorder="1" applyAlignment="1">
      <alignment vertical="center"/>
    </xf>
    <xf numFmtId="0" fontId="14" fillId="0" borderId="0" xfId="10" applyFont="1"/>
    <xf numFmtId="181" fontId="19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2" fontId="22" fillId="3" borderId="0" xfId="2" applyNumberFormat="1" applyFont="1" applyFill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176" fontId="22" fillId="4" borderId="3" xfId="4" applyFont="1" applyFill="1" applyBorder="1" applyAlignment="1">
      <alignment horizontal="center" vertical="center"/>
    </xf>
    <xf numFmtId="178" fontId="22" fillId="4" borderId="3" xfId="5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49" fontId="18" fillId="5" borderId="3" xfId="0" applyNumberFormat="1" applyFont="1" applyFill="1" applyBorder="1" applyAlignment="1">
      <alignment horizontal="center" vertical="center" wrapText="1"/>
    </xf>
    <xf numFmtId="176" fontId="18" fillId="0" borderId="3" xfId="1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19" fillId="0" borderId="0" xfId="0" applyFont="1">
      <alignment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1" fontId="18" fillId="7" borderId="1" xfId="1" applyNumberFormat="1" applyFont="1" applyFill="1" applyBorder="1" applyAlignment="1">
      <alignment horizontal="center" vertical="center"/>
    </xf>
    <xf numFmtId="181" fontId="18" fillId="0" borderId="1" xfId="1" applyNumberFormat="1" applyFont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184" fontId="18" fillId="0" borderId="1" xfId="1" applyNumberFormat="1" applyFont="1" applyBorder="1" applyAlignment="1">
      <alignment horizontal="center" vertical="center"/>
    </xf>
    <xf numFmtId="0" fontId="19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185" fontId="18" fillId="5" borderId="3" xfId="0" applyNumberFormat="1" applyFont="1" applyFill="1" applyBorder="1" applyAlignment="1">
      <alignment horizontal="right" vertical="center" wrapText="1"/>
    </xf>
    <xf numFmtId="185" fontId="18" fillId="6" borderId="3" xfId="1" applyNumberFormat="1" applyFont="1" applyFill="1" applyBorder="1" applyAlignment="1">
      <alignment horizontal="right" vertical="center" wrapText="1"/>
    </xf>
    <xf numFmtId="185" fontId="18" fillId="0" borderId="3" xfId="1" applyNumberFormat="1" applyFont="1" applyFill="1" applyBorder="1" applyAlignment="1">
      <alignment horizontal="righ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2" fillId="4" borderId="3" xfId="3" applyFont="1" applyFill="1" applyBorder="1" applyAlignment="1">
      <alignment horizontal="center" vertical="center" wrapText="1"/>
    </xf>
    <xf numFmtId="0" fontId="21" fillId="5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2" fillId="9" borderId="24" xfId="0" applyFont="1" applyFill="1" applyBorder="1">
      <alignment vertical="center"/>
    </xf>
    <xf numFmtId="0" fontId="22" fillId="9" borderId="21" xfId="0" applyFont="1" applyFill="1" applyBorder="1">
      <alignment vertical="center"/>
    </xf>
    <xf numFmtId="0" fontId="23" fillId="0" borderId="0" xfId="0" applyFont="1">
      <alignment vertical="center"/>
    </xf>
    <xf numFmtId="0" fontId="21" fillId="10" borderId="0" xfId="0" applyFont="1" applyFill="1">
      <alignment vertical="center"/>
    </xf>
    <xf numFmtId="0" fontId="21" fillId="5" borderId="0" xfId="0" applyFont="1" applyFill="1">
      <alignment vertical="center"/>
    </xf>
    <xf numFmtId="176" fontId="14" fillId="10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1" fillId="0" borderId="0" xfId="0" applyFont="1">
      <alignment vertical="center"/>
    </xf>
    <xf numFmtId="0" fontId="22" fillId="5" borderId="0" xfId="0" applyFont="1" applyFill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49" fontId="18" fillId="7" borderId="3" xfId="0" applyNumberFormat="1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186" fontId="18" fillId="0" borderId="3" xfId="1" applyNumberFormat="1" applyFont="1" applyFill="1" applyBorder="1" applyAlignment="1">
      <alignment horizontal="center" vertical="center"/>
    </xf>
    <xf numFmtId="185" fontId="18" fillId="0" borderId="3" xfId="0" applyNumberFormat="1" applyFont="1" applyBorder="1" applyAlignment="1">
      <alignment horizontal="right" vertical="center"/>
    </xf>
    <xf numFmtId="187" fontId="18" fillId="5" borderId="3" xfId="1" applyNumberFormat="1" applyFont="1" applyFill="1" applyBorder="1" applyAlignment="1">
      <alignment horizontal="center" vertical="center"/>
    </xf>
    <xf numFmtId="49" fontId="18" fillId="2" borderId="31" xfId="0" applyNumberFormat="1" applyFont="1" applyFill="1" applyBorder="1" applyAlignment="1">
      <alignment horizontal="center" vertical="center" wrapText="1"/>
    </xf>
    <xf numFmtId="49" fontId="18" fillId="2" borderId="32" xfId="0" applyNumberFormat="1" applyFont="1" applyFill="1" applyBorder="1" applyAlignment="1">
      <alignment horizontal="center" vertical="center" wrapText="1"/>
    </xf>
    <xf numFmtId="188" fontId="18" fillId="0" borderId="0" xfId="0" applyNumberFormat="1" applyFont="1">
      <alignment vertical="center"/>
    </xf>
    <xf numFmtId="183" fontId="18" fillId="0" borderId="0" xfId="0" applyNumberFormat="1" applyFont="1">
      <alignment vertical="center"/>
    </xf>
    <xf numFmtId="0" fontId="27" fillId="0" borderId="33" xfId="20" applyFont="1" applyBorder="1">
      <alignment vertical="center"/>
    </xf>
    <xf numFmtId="0" fontId="28" fillId="0" borderId="0" xfId="20" applyFont="1">
      <alignment vertical="center"/>
    </xf>
    <xf numFmtId="0" fontId="27" fillId="0" borderId="0" xfId="20" applyFont="1">
      <alignment vertical="center"/>
    </xf>
    <xf numFmtId="0" fontId="28" fillId="0" borderId="0" xfId="20" applyFont="1" applyAlignment="1">
      <alignment horizontal="center" vertical="center"/>
    </xf>
    <xf numFmtId="176" fontId="29" fillId="6" borderId="25" xfId="21" applyFont="1" applyFill="1" applyBorder="1" applyAlignment="1">
      <alignment horizontal="center" vertical="center"/>
    </xf>
    <xf numFmtId="176" fontId="29" fillId="6" borderId="34" xfId="21" applyFont="1" applyFill="1" applyBorder="1" applyAlignment="1">
      <alignment horizontal="center" vertical="center"/>
    </xf>
    <xf numFmtId="176" fontId="29" fillId="6" borderId="26" xfId="21" applyFont="1" applyFill="1" applyBorder="1" applyAlignment="1">
      <alignment horizontal="center" vertical="center"/>
    </xf>
    <xf numFmtId="0" fontId="30" fillId="5" borderId="28" xfId="21" applyNumberFormat="1" applyFont="1" applyFill="1" applyBorder="1" applyAlignment="1">
      <alignment horizontal="center" vertical="center"/>
    </xf>
    <xf numFmtId="176" fontId="30" fillId="0" borderId="35" xfId="21" applyFont="1" applyFill="1" applyBorder="1" applyAlignment="1">
      <alignment horizontal="center" vertical="center" shrinkToFit="1"/>
    </xf>
    <xf numFmtId="176" fontId="31" fillId="10" borderId="35" xfId="21" applyFont="1" applyFill="1" applyBorder="1" applyAlignment="1">
      <alignment horizontal="center" vertical="center"/>
    </xf>
    <xf numFmtId="0" fontId="31" fillId="5" borderId="29" xfId="20" applyFont="1" applyFill="1" applyBorder="1" applyAlignment="1">
      <alignment horizontal="center" vertical="center"/>
    </xf>
    <xf numFmtId="0" fontId="19" fillId="0" borderId="0" xfId="22" applyFont="1">
      <alignment vertical="center"/>
    </xf>
    <xf numFmtId="0" fontId="24" fillId="0" borderId="0" xfId="22" applyFont="1">
      <alignment vertical="center"/>
    </xf>
    <xf numFmtId="0" fontId="19" fillId="0" borderId="0" xfId="22" applyFont="1" applyAlignment="1">
      <alignment horizontal="center" vertical="center"/>
    </xf>
    <xf numFmtId="49" fontId="32" fillId="5" borderId="3" xfId="0" applyNumberFormat="1" applyFont="1" applyFill="1" applyBorder="1" applyAlignment="1">
      <alignment horizontal="center" vertical="center" wrapText="1"/>
    </xf>
    <xf numFmtId="49" fontId="33" fillId="5" borderId="3" xfId="0" applyNumberFormat="1" applyFont="1" applyFill="1" applyBorder="1" applyAlignment="1">
      <alignment horizontal="center" vertical="center" wrapText="1"/>
    </xf>
    <xf numFmtId="185" fontId="18" fillId="5" borderId="3" xfId="0" applyNumberFormat="1" applyFont="1" applyFill="1" applyBorder="1" applyAlignment="1">
      <alignment horizontal="right" vertical="center"/>
    </xf>
    <xf numFmtId="0" fontId="17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176" fontId="22" fillId="4" borderId="21" xfId="4" applyFont="1" applyFill="1" applyBorder="1" applyAlignment="1">
      <alignment horizontal="center" vertical="center"/>
    </xf>
    <xf numFmtId="178" fontId="22" fillId="4" borderId="21" xfId="5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2" fillId="4" borderId="21" xfId="3" applyFont="1" applyFill="1" applyBorder="1" applyAlignment="1">
      <alignment horizontal="center" vertical="center"/>
    </xf>
    <xf numFmtId="0" fontId="22" fillId="4" borderId="3" xfId="3" applyFont="1" applyFill="1" applyBorder="1" applyAlignment="1">
      <alignment horizontal="center" vertical="center"/>
    </xf>
    <xf numFmtId="0" fontId="22" fillId="4" borderId="21" xfId="3" applyFont="1" applyFill="1" applyBorder="1" applyAlignment="1">
      <alignment horizontal="center" vertical="center" wrapText="1"/>
    </xf>
    <xf numFmtId="9" fontId="34" fillId="5" borderId="3" xfId="2" applyFont="1" applyFill="1" applyBorder="1" applyAlignment="1">
      <alignment horizontal="center" vertical="center"/>
    </xf>
    <xf numFmtId="9" fontId="34" fillId="0" borderId="23" xfId="0" applyNumberFormat="1" applyFont="1" applyBorder="1" applyAlignment="1">
      <alignment horizontal="center" vertical="center" wrapText="1"/>
    </xf>
  </cellXfs>
  <cellStyles count="24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 3" xfId="21" xr:uid="{99214C93-BE46-4C58-8C44-80B8C6815BFB}"/>
    <cellStyle name="쉼표 [0] 3" xfId="16" xr:uid="{8F7BE219-40E1-4BBB-A9BD-02188B74B2A3}"/>
    <cellStyle name="쉼표 [0] 5" xfId="23" xr:uid="{312AFDAB-9C28-4A56-86B4-BB189647FDB9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B476147B-5E36-4C13-9919-3A8145950663}"/>
    <cellStyle name="표준 5 2 2" xfId="22" xr:uid="{7AC8D4B0-5347-4B82-9BEC-EE79AD352978}"/>
    <cellStyle name="표준 7 4" xfId="20" xr:uid="{8A680FEF-D3DB-46AD-B486-E41DA8099926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76200</xdr:colOff>
      <xdr:row>22</xdr:row>
      <xdr:rowOff>114300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FA2663-3EC9-428D-B5E2-6E42B2577A5E}"/>
            </a:ext>
          </a:extLst>
        </xdr:cNvPr>
        <xdr:cNvSpPr/>
      </xdr:nvSpPr>
      <xdr:spPr>
        <a:xfrm>
          <a:off x="0" y="171450"/>
          <a:ext cx="5172075" cy="37147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고소할증 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209550</xdr:colOff>
      <xdr:row>2</xdr:row>
      <xdr:rowOff>142875</xdr:rowOff>
    </xdr:from>
    <xdr:to>
      <xdr:col>4</xdr:col>
      <xdr:colOff>712660</xdr:colOff>
      <xdr:row>20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00EB07-2327-4FA7-A109-BA7F597D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85775"/>
          <a:ext cx="4684585" cy="305752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28</xdr:row>
      <xdr:rowOff>1</xdr:rowOff>
    </xdr:from>
    <xdr:to>
      <xdr:col>9</xdr:col>
      <xdr:colOff>638176</xdr:colOff>
      <xdr:row>52</xdr:row>
      <xdr:rowOff>76201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6494F40-6CB3-4656-A00D-16F36C36A2E0}"/>
            </a:ext>
          </a:extLst>
        </xdr:cNvPr>
        <xdr:cNvSpPr/>
      </xdr:nvSpPr>
      <xdr:spPr>
        <a:xfrm>
          <a:off x="1" y="5429251"/>
          <a:ext cx="9353550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장비임대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314325</xdr:colOff>
      <xdr:row>30</xdr:row>
      <xdr:rowOff>104775</xdr:rowOff>
    </xdr:from>
    <xdr:to>
      <xdr:col>2</xdr:col>
      <xdr:colOff>923925</xdr:colOff>
      <xdr:row>50</xdr:row>
      <xdr:rowOff>10364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76E9D0-B483-401B-92B9-858691767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876925"/>
          <a:ext cx="2847975" cy="3334589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30</xdr:row>
      <xdr:rowOff>47625</xdr:rowOff>
    </xdr:from>
    <xdr:to>
      <xdr:col>6</xdr:col>
      <xdr:colOff>219075</xdr:colOff>
      <xdr:row>50</xdr:row>
      <xdr:rowOff>85413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69A27B1-1F45-4401-8F43-C58F1B2E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5819775"/>
          <a:ext cx="2638425" cy="3466788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30</xdr:row>
      <xdr:rowOff>22730</xdr:rowOff>
    </xdr:from>
    <xdr:to>
      <xdr:col>9</xdr:col>
      <xdr:colOff>285750</xdr:colOff>
      <xdr:row>50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CE4B123-4B19-4021-9206-48227446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5794880"/>
          <a:ext cx="2647950" cy="3511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8" zoomScale="85" zoomScaleNormal="85" workbookViewId="0">
      <selection activeCell="F30" sqref="F3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38" t="s">
        <v>6</v>
      </c>
      <c r="B2" s="138"/>
      <c r="C2" s="138"/>
      <c r="D2" s="138"/>
      <c r="E2" s="138"/>
      <c r="F2" s="138"/>
      <c r="G2" s="138"/>
      <c r="H2" s="2"/>
    </row>
    <row r="3" spans="1:9" ht="14.25" x14ac:dyDescent="0.2">
      <c r="A3" s="80"/>
      <c r="B3" s="80"/>
      <c r="C3" s="80"/>
      <c r="D3" s="80"/>
      <c r="E3" s="80"/>
      <c r="F3" s="80"/>
      <c r="G3" s="80"/>
      <c r="H3" s="80"/>
    </row>
    <row r="4" spans="1:9" ht="14.25" x14ac:dyDescent="0.2">
      <c r="A4" s="80"/>
      <c r="B4" s="80"/>
      <c r="C4" s="80"/>
      <c r="D4" s="80"/>
      <c r="E4" s="80"/>
      <c r="H4" s="80"/>
    </row>
    <row r="5" spans="1:9" ht="27" customHeight="1" x14ac:dyDescent="0.2">
      <c r="A5" s="81" t="s">
        <v>48</v>
      </c>
      <c r="B5" s="4"/>
      <c r="C5" s="5"/>
      <c r="D5" s="80"/>
      <c r="E5" s="80"/>
      <c r="F5" s="6" t="s">
        <v>38</v>
      </c>
      <c r="G5" s="7" t="s">
        <v>51</v>
      </c>
      <c r="H5" s="80"/>
    </row>
    <row r="6" spans="1:9" ht="27" customHeight="1" x14ac:dyDescent="0.2">
      <c r="A6" s="80"/>
      <c r="B6" s="80"/>
      <c r="C6" s="80"/>
      <c r="D6" s="80"/>
      <c r="E6" s="80"/>
      <c r="F6" s="8" t="s">
        <v>41</v>
      </c>
      <c r="G6" s="9" t="s">
        <v>52</v>
      </c>
      <c r="H6" s="80"/>
    </row>
    <row r="7" spans="1:9" ht="27" customHeight="1" x14ac:dyDescent="0.2">
      <c r="A7" s="141" t="s">
        <v>99</v>
      </c>
      <c r="B7" s="142"/>
      <c r="C7" s="143"/>
      <c r="D7" s="80"/>
      <c r="E7" s="10"/>
      <c r="F7" s="11" t="s">
        <v>42</v>
      </c>
      <c r="G7" s="9" t="s">
        <v>53</v>
      </c>
      <c r="H7" s="80"/>
    </row>
    <row r="8" spans="1:9" ht="27" customHeight="1" x14ac:dyDescent="0.2">
      <c r="A8" s="80"/>
      <c r="B8" s="80"/>
      <c r="C8" s="80"/>
      <c r="D8" s="80"/>
      <c r="E8" s="80"/>
      <c r="F8" s="8" t="s">
        <v>43</v>
      </c>
      <c r="G8" s="9" t="s">
        <v>54</v>
      </c>
      <c r="H8" s="80"/>
    </row>
    <row r="9" spans="1:9" ht="27" customHeight="1" x14ac:dyDescent="0.2">
      <c r="A9" s="81" t="s">
        <v>100</v>
      </c>
      <c r="B9" s="101"/>
      <c r="C9" s="102"/>
      <c r="D9" s="80"/>
      <c r="E9" s="80"/>
      <c r="F9" s="8" t="s">
        <v>44</v>
      </c>
      <c r="G9" s="9" t="s">
        <v>55</v>
      </c>
      <c r="H9" s="80"/>
    </row>
    <row r="10" spans="1:9" ht="27" customHeight="1" x14ac:dyDescent="0.2">
      <c r="A10" s="80"/>
      <c r="B10" s="80"/>
      <c r="C10" s="80"/>
      <c r="D10" s="80"/>
      <c r="E10" s="80"/>
      <c r="F10" s="12" t="s">
        <v>39</v>
      </c>
      <c r="G10" s="13" t="s">
        <v>56</v>
      </c>
      <c r="H10" s="80"/>
      <c r="I10" s="80"/>
    </row>
    <row r="11" spans="1:9" ht="27" customHeight="1" x14ac:dyDescent="0.2">
      <c r="A11" s="139"/>
      <c r="B11" s="140"/>
      <c r="C11" s="140"/>
      <c r="D11" s="80"/>
      <c r="E11" s="14"/>
      <c r="F11" s="15" t="s">
        <v>40</v>
      </c>
      <c r="G11" s="16" t="s">
        <v>57</v>
      </c>
      <c r="H11" s="14"/>
    </row>
    <row r="12" spans="1:9" ht="18.75" thickBot="1" x14ac:dyDescent="0.25">
      <c r="A12" s="17" t="s">
        <v>7</v>
      </c>
      <c r="B12" s="17" t="str">
        <f>NUMBERSTRING(F31,1)</f>
        <v>일백육십이만삼천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0"/>
      <c r="B13" s="80"/>
      <c r="C13" s="80"/>
      <c r="D13" s="80"/>
      <c r="E13" s="80"/>
      <c r="F13" s="80"/>
      <c r="G13" s="8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'내역서(표준단가)'!K8</f>
        <v>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'내역서(표준단가)'!M8</f>
        <v>754711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'내역서(표준단가)'!O8+'내역서(표준단가)'!Q8</f>
        <v>700000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1454711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03" t="s">
        <v>23</v>
      </c>
      <c r="C21" s="104" t="s">
        <v>78</v>
      </c>
      <c r="D21" s="105">
        <v>1</v>
      </c>
      <c r="E21" s="105" t="s">
        <v>24</v>
      </c>
      <c r="F21" s="106">
        <f>F17*4.75%</f>
        <v>35848.772499999999</v>
      </c>
      <c r="G21" s="35" t="s">
        <v>25</v>
      </c>
    </row>
    <row r="22" spans="1:7" ht="33" customHeight="1" x14ac:dyDescent="0.2">
      <c r="A22" s="29"/>
      <c r="B22" s="107" t="s">
        <v>26</v>
      </c>
      <c r="C22" s="104" t="s">
        <v>79</v>
      </c>
      <c r="D22" s="108">
        <v>1</v>
      </c>
      <c r="E22" s="108" t="s">
        <v>24</v>
      </c>
      <c r="F22" s="109">
        <f>F17*3.595%</f>
        <v>27131.860450000004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3513.5759282750005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7622.5810999999994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26867.711599999999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22113.032300000003</v>
      </c>
      <c r="G26" s="35" t="s">
        <v>25</v>
      </c>
    </row>
    <row r="27" spans="1:7" ht="33" customHeight="1" x14ac:dyDescent="0.2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43890.426693913752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166987.96057218875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F19+F28+F29+2000</f>
        <v>1623698.9605721887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1623000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3">
    <mergeCell ref="A2:G2"/>
    <mergeCell ref="A11:C11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8"/>
  <sheetViews>
    <sheetView showGridLines="0" tabSelected="1" zoomScale="90" zoomScaleNormal="90" workbookViewId="0">
      <pane ySplit="4" topLeftCell="A5" activePane="bottomLeft" state="frozen"/>
      <selection pane="bottomLeft" activeCell="F12" sqref="F12"/>
    </sheetView>
  </sheetViews>
  <sheetFormatPr defaultColWidth="9" defaultRowHeight="38.1" customHeight="1" x14ac:dyDescent="0.3"/>
  <cols>
    <col min="1" max="1" width="20.5" style="100" bestFit="1" customWidth="1"/>
    <col min="2" max="2" width="9" style="90" hidden="1" customWidth="1"/>
    <col min="3" max="5" width="12.625" style="90" hidden="1" customWidth="1"/>
    <col min="6" max="7" width="30.625" style="86" customWidth="1"/>
    <col min="8" max="8" width="12.25" style="90" bestFit="1" customWidth="1"/>
    <col min="9" max="9" width="8.25" style="90" customWidth="1"/>
    <col min="10" max="10" width="10.625" style="90" bestFit="1" customWidth="1"/>
    <col min="11" max="11" width="14" style="90" customWidth="1"/>
    <col min="12" max="12" width="12" style="90" bestFit="1" customWidth="1"/>
    <col min="13" max="13" width="15" style="90" bestFit="1" customWidth="1"/>
    <col min="14" max="14" width="9" style="90" customWidth="1"/>
    <col min="15" max="15" width="12.75" style="90" bestFit="1" customWidth="1"/>
    <col min="16" max="16" width="10.5" style="90" customWidth="1"/>
    <col min="17" max="17" width="8.375" style="90" bestFit="1" customWidth="1"/>
    <col min="18" max="18" width="15.625" style="90" bestFit="1" customWidth="1"/>
    <col min="19" max="19" width="10.625" style="62" bestFit="1" customWidth="1"/>
    <col min="20" max="20" width="13.125" style="90" bestFit="1" customWidth="1"/>
    <col min="21" max="16384" width="9" style="90"/>
  </cols>
  <sheetData>
    <row r="1" spans="1:20" ht="19.899999999999999" customHeight="1" x14ac:dyDescent="0.3">
      <c r="A1" s="144"/>
      <c r="B1" s="144"/>
      <c r="C1" s="144"/>
      <c r="D1" s="144"/>
      <c r="E1" s="144"/>
      <c r="J1" s="62"/>
      <c r="K1" s="89" t="s">
        <v>58</v>
      </c>
      <c r="M1" s="89" t="s">
        <v>58</v>
      </c>
      <c r="O1" s="89" t="s">
        <v>58</v>
      </c>
      <c r="Q1" s="89" t="s">
        <v>58</v>
      </c>
    </row>
    <row r="2" spans="1:20" ht="19.899999999999999" customHeight="1" thickBot="1" x14ac:dyDescent="0.35">
      <c r="A2" s="144"/>
      <c r="B2" s="144"/>
      <c r="C2" s="144"/>
      <c r="D2" s="144"/>
      <c r="E2" s="14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91"/>
      <c r="B3" s="92" t="s">
        <v>59</v>
      </c>
      <c r="C3" s="92"/>
      <c r="D3" s="92"/>
      <c r="E3" s="92"/>
      <c r="F3" s="155" t="s">
        <v>60</v>
      </c>
      <c r="G3" s="155"/>
      <c r="H3" s="153" t="s">
        <v>47</v>
      </c>
      <c r="I3" s="153" t="s">
        <v>5</v>
      </c>
      <c r="J3" s="149" t="s">
        <v>61</v>
      </c>
      <c r="K3" s="149"/>
      <c r="L3" s="149" t="s">
        <v>62</v>
      </c>
      <c r="M3" s="149"/>
      <c r="N3" s="150" t="s">
        <v>63</v>
      </c>
      <c r="O3" s="150"/>
      <c r="P3" s="150" t="s">
        <v>64</v>
      </c>
      <c r="Q3" s="150"/>
      <c r="R3" s="151" t="s">
        <v>65</v>
      </c>
      <c r="S3" s="147" t="s">
        <v>66</v>
      </c>
      <c r="T3" s="145" t="s">
        <v>45</v>
      </c>
    </row>
    <row r="4" spans="1:20" ht="19.899999999999999" customHeight="1" x14ac:dyDescent="0.3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87" t="s">
        <v>72</v>
      </c>
      <c r="G4" s="87" t="s">
        <v>73</v>
      </c>
      <c r="H4" s="154"/>
      <c r="I4" s="154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52"/>
      <c r="S4" s="148"/>
      <c r="T4" s="146"/>
    </row>
    <row r="5" spans="1:20" s="93" customFormat="1" ht="38.1" customHeight="1" x14ac:dyDescent="0.3">
      <c r="A5" s="69" t="str">
        <f t="shared" ref="A5:A6" si="0">B5&amp;C5&amp;D5&amp;E5</f>
        <v>L003</v>
      </c>
      <c r="B5" s="110"/>
      <c r="C5" s="70"/>
      <c r="D5" s="111"/>
      <c r="E5" s="112" t="s">
        <v>80</v>
      </c>
      <c r="F5" s="113" t="s">
        <v>113</v>
      </c>
      <c r="G5" s="85" t="s">
        <v>114</v>
      </c>
      <c r="H5" s="71" t="s">
        <v>81</v>
      </c>
      <c r="I5" s="114">
        <v>2</v>
      </c>
      <c r="J5" s="115"/>
      <c r="K5" s="83">
        <f>I5*J5</f>
        <v>0</v>
      </c>
      <c r="L5" s="82">
        <v>224490</v>
      </c>
      <c r="M5" s="83">
        <f>(I5*L5)*130%</f>
        <v>583674</v>
      </c>
      <c r="N5" s="84"/>
      <c r="O5" s="83">
        <f t="shared" ref="O5" si="1">N5*I5*$O$2</f>
        <v>0</v>
      </c>
      <c r="P5" s="84"/>
      <c r="Q5" s="83">
        <f t="shared" ref="Q5" si="2">P5*I5*$Q$2</f>
        <v>0</v>
      </c>
      <c r="R5" s="72">
        <f t="shared" ref="R5" si="3">SUM(K5+M5)+O5+Q5</f>
        <v>583674</v>
      </c>
      <c r="S5" s="156">
        <v>0.3</v>
      </c>
      <c r="T5" s="157" t="s">
        <v>119</v>
      </c>
    </row>
    <row r="6" spans="1:20" s="93" customFormat="1" ht="38.1" customHeight="1" x14ac:dyDescent="0.3">
      <c r="A6" s="69" t="str">
        <f t="shared" si="0"/>
        <v>L002</v>
      </c>
      <c r="B6" s="110"/>
      <c r="C6" s="70"/>
      <c r="D6" s="111"/>
      <c r="E6" s="112" t="s">
        <v>115</v>
      </c>
      <c r="F6" s="113" t="s">
        <v>116</v>
      </c>
      <c r="G6" s="85" t="s">
        <v>117</v>
      </c>
      <c r="H6" s="71" t="s">
        <v>81</v>
      </c>
      <c r="I6" s="114">
        <v>1</v>
      </c>
      <c r="J6" s="115"/>
      <c r="K6" s="83">
        <f>I6*J6</f>
        <v>0</v>
      </c>
      <c r="L6" s="82">
        <v>171037</v>
      </c>
      <c r="M6" s="83">
        <f>(I6*L6)</f>
        <v>171037</v>
      </c>
      <c r="N6" s="84"/>
      <c r="O6" s="83">
        <f t="shared" ref="O6" si="4">N6*I6*$O$2</f>
        <v>0</v>
      </c>
      <c r="P6" s="84"/>
      <c r="Q6" s="83">
        <f t="shared" ref="Q6" si="5">P6*I6*$Q$2</f>
        <v>0</v>
      </c>
      <c r="R6" s="72">
        <f t="shared" ref="R6" si="6">SUM(K6+M6)+O6+Q6</f>
        <v>171037</v>
      </c>
      <c r="S6" s="116"/>
      <c r="T6" s="73"/>
    </row>
    <row r="7" spans="1:20" s="93" customFormat="1" ht="38.1" customHeight="1" x14ac:dyDescent="0.3">
      <c r="A7" s="69">
        <v>999999</v>
      </c>
      <c r="B7" s="110"/>
      <c r="C7" s="70"/>
      <c r="D7" s="111"/>
      <c r="E7" s="110"/>
      <c r="F7" s="113" t="s">
        <v>118</v>
      </c>
      <c r="G7" s="85" t="s">
        <v>110</v>
      </c>
      <c r="H7" s="71" t="s">
        <v>112</v>
      </c>
      <c r="I7" s="114">
        <v>1</v>
      </c>
      <c r="J7" s="137"/>
      <c r="K7" s="83"/>
      <c r="L7" s="82"/>
      <c r="M7" s="83"/>
      <c r="N7" s="84">
        <v>700000</v>
      </c>
      <c r="O7" s="83">
        <f>I7*N7</f>
        <v>700000</v>
      </c>
      <c r="P7" s="84"/>
      <c r="Q7" s="83"/>
      <c r="R7" s="72">
        <f t="shared" ref="R7" si="7">SUM(K7+M7)+O7+Q7</f>
        <v>700000</v>
      </c>
      <c r="S7" s="116"/>
      <c r="T7" s="73"/>
    </row>
    <row r="8" spans="1:20" s="99" customFormat="1" ht="38.1" customHeight="1" x14ac:dyDescent="0.3">
      <c r="A8" s="94"/>
      <c r="B8" s="95"/>
      <c r="C8" s="95"/>
      <c r="D8" s="95"/>
      <c r="E8" s="95"/>
      <c r="F8" s="88"/>
      <c r="G8" s="88"/>
      <c r="H8" s="95"/>
      <c r="I8" s="95"/>
      <c r="J8" s="95"/>
      <c r="K8" s="96">
        <f>SUM(K5:K7)</f>
        <v>0</v>
      </c>
      <c r="L8" s="97"/>
      <c r="M8" s="96">
        <f>SUM(M5:M7)</f>
        <v>754711</v>
      </c>
      <c r="N8" s="97"/>
      <c r="O8" s="96">
        <f>SUM(O5:O7)</f>
        <v>700000</v>
      </c>
      <c r="P8" s="97"/>
      <c r="Q8" s="96">
        <f>SUM(Q5:Q7)</f>
        <v>0</v>
      </c>
      <c r="R8" s="98">
        <f>SUM(R5:R7)</f>
        <v>1454711</v>
      </c>
      <c r="S8" s="78"/>
      <c r="T8" s="9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4B98-C388-4800-AEF4-F1128E633F75}">
  <sheetPr>
    <pageSetUpPr fitToPage="1"/>
  </sheetPr>
  <dimension ref="A25:P27"/>
  <sheetViews>
    <sheetView topLeftCell="A13" zoomScaleNormal="100" zoomScaleSheetLayoutView="85" workbookViewId="0">
      <selection activeCell="N31" sqref="N31"/>
    </sheetView>
  </sheetViews>
  <sheetFormatPr defaultColWidth="9" defaultRowHeight="14.25" x14ac:dyDescent="0.3"/>
  <cols>
    <col min="1" max="1" width="11.5" style="132" bestFit="1" customWidth="1"/>
    <col min="2" max="2" width="17.875" style="132" customWidth="1"/>
    <col min="3" max="3" width="14.625" style="132" customWidth="1"/>
    <col min="4" max="4" width="10.875" style="132" customWidth="1"/>
    <col min="5" max="5" width="12" style="132" customWidth="1"/>
    <col min="6" max="6" width="10.625" style="132" customWidth="1"/>
    <col min="7" max="7" width="13.625" style="133" customWidth="1"/>
    <col min="8" max="8" width="9.625" style="132" customWidth="1"/>
    <col min="9" max="9" width="13.625" style="132" customWidth="1"/>
    <col min="10" max="10" width="12.75" style="132" customWidth="1"/>
    <col min="11" max="11" width="9.25" style="132" customWidth="1"/>
    <col min="12" max="12" width="13.625" style="133" customWidth="1"/>
    <col min="13" max="13" width="9.625" style="132" customWidth="1"/>
    <col min="14" max="14" width="13.625" style="133" customWidth="1"/>
    <col min="15" max="15" width="19.75" style="134" bestFit="1" customWidth="1"/>
    <col min="16" max="16" width="12.25" style="134" bestFit="1" customWidth="1"/>
    <col min="17" max="16384" width="9" style="132"/>
  </cols>
  <sheetData>
    <row r="25" spans="1:16" s="122" customFormat="1" ht="30" customHeight="1" x14ac:dyDescent="0.3">
      <c r="A25" s="121" t="s">
        <v>101</v>
      </c>
      <c r="B25" s="121"/>
      <c r="G25" s="123"/>
      <c r="L25" s="123"/>
      <c r="N25" s="123"/>
      <c r="O25" s="124"/>
      <c r="P25" s="124"/>
    </row>
    <row r="26" spans="1:16" s="122" customFormat="1" ht="30" customHeight="1" x14ac:dyDescent="0.3">
      <c r="A26" s="125" t="s">
        <v>102</v>
      </c>
      <c r="B26" s="126" t="s">
        <v>103</v>
      </c>
      <c r="C26" s="126" t="s">
        <v>104</v>
      </c>
      <c r="D26" s="126" t="s">
        <v>76</v>
      </c>
      <c r="E26" s="127" t="s">
        <v>105</v>
      </c>
      <c r="G26" s="123"/>
      <c r="L26" s="123"/>
      <c r="N26" s="123"/>
      <c r="O26" s="124"/>
      <c r="P26" s="124"/>
    </row>
    <row r="27" spans="1:16" s="122" customFormat="1" ht="30" customHeight="1" x14ac:dyDescent="0.3">
      <c r="A27" s="128">
        <v>999999</v>
      </c>
      <c r="B27" s="129" t="s">
        <v>106</v>
      </c>
      <c r="C27" s="129" t="s">
        <v>107</v>
      </c>
      <c r="D27" s="130">
        <v>700000</v>
      </c>
      <c r="E27" s="131" t="s">
        <v>108</v>
      </c>
      <c r="G27" s="123"/>
      <c r="L27" s="123"/>
      <c r="N27" s="123"/>
      <c r="O27" s="124"/>
      <c r="P27" s="124"/>
    </row>
  </sheetData>
  <phoneticPr fontId="7" type="noConversion"/>
  <pageMargins left="0.23622047244094491" right="0.23622047244094491" top="0.55118110236220474" bottom="0.55118110236220474" header="0.31496062992125984" footer="0.31496062992125984"/>
  <pageSetup paperSize="9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174F-753B-4488-A6B3-0C92BBDEAE99}">
  <sheetPr>
    <pageSetUpPr fitToPage="1"/>
  </sheetPr>
  <dimension ref="A1:R2"/>
  <sheetViews>
    <sheetView topLeftCell="B1" zoomScale="110" zoomScaleNormal="110" workbookViewId="0">
      <selection activeCell="K21" sqref="K21"/>
    </sheetView>
  </sheetViews>
  <sheetFormatPr defaultColWidth="9" defaultRowHeight="14.25" x14ac:dyDescent="0.3"/>
  <cols>
    <col min="1" max="1" width="11.125" style="74" customWidth="1"/>
    <col min="2" max="2" width="13.375" style="74" customWidth="1"/>
    <col min="3" max="3" width="28.625" style="74" customWidth="1"/>
    <col min="4" max="4" width="28.75" style="74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 x14ac:dyDescent="0.3">
      <c r="A1" s="75" t="s">
        <v>82</v>
      </c>
      <c r="B1" s="117" t="s">
        <v>83</v>
      </c>
      <c r="C1" s="118" t="s">
        <v>84</v>
      </c>
      <c r="D1" s="118" t="s">
        <v>85</v>
      </c>
      <c r="E1" s="118" t="s">
        <v>47</v>
      </c>
      <c r="F1" s="118" t="s">
        <v>5</v>
      </c>
      <c r="G1" s="117" t="s">
        <v>86</v>
      </c>
      <c r="H1" s="117" t="s">
        <v>87</v>
      </c>
      <c r="I1" s="117" t="s">
        <v>88</v>
      </c>
      <c r="J1" s="117" t="s">
        <v>89</v>
      </c>
      <c r="K1" s="117" t="s">
        <v>90</v>
      </c>
      <c r="L1" s="117" t="s">
        <v>91</v>
      </c>
      <c r="M1" s="117" t="s">
        <v>92</v>
      </c>
      <c r="N1" s="117" t="s">
        <v>93</v>
      </c>
      <c r="O1" s="117" t="s">
        <v>94</v>
      </c>
      <c r="P1" s="117" t="s">
        <v>95</v>
      </c>
      <c r="Q1" s="117" t="s">
        <v>96</v>
      </c>
      <c r="R1" s="117" t="s">
        <v>97</v>
      </c>
    </row>
    <row r="2" spans="1:18" x14ac:dyDescent="0.3">
      <c r="A2" s="62">
        <v>999999</v>
      </c>
      <c r="B2" s="62" t="s">
        <v>98</v>
      </c>
      <c r="C2" s="135" t="s">
        <v>109</v>
      </c>
      <c r="D2" s="136" t="s">
        <v>110</v>
      </c>
      <c r="E2" s="62" t="s">
        <v>111</v>
      </c>
      <c r="F2" s="119">
        <v>1</v>
      </c>
      <c r="G2" s="120"/>
      <c r="H2" s="90"/>
      <c r="I2" s="90"/>
      <c r="J2" s="90"/>
      <c r="K2" s="90">
        <v>700000</v>
      </c>
      <c r="L2" s="90"/>
      <c r="M2" s="90"/>
      <c r="N2" s="90"/>
      <c r="O2" s="90"/>
      <c r="P2" s="90"/>
      <c r="Q2" s="90"/>
      <c r="R2" s="90"/>
    </row>
  </sheetData>
  <phoneticPr fontId="7" type="noConversion"/>
  <pageMargins left="0.7" right="0.7" top="0.75" bottom="0.75" header="0.3" footer="0.3"/>
  <pageSetup paperSize="9" scale="52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="110" zoomScaleNormal="110" workbookViewId="0">
      <selection activeCell="F28" sqref="F27:F28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 x14ac:dyDescent="0.3">
      <c r="A2" s="76" t="str">
        <f>'내역서(표준단가)'!A5</f>
        <v>L003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L003</v>
      </c>
      <c r="F2" s="79">
        <f>'내역서(표준단가)'!I5</f>
        <v>2</v>
      </c>
    </row>
    <row r="3" spans="1:6" x14ac:dyDescent="0.3">
      <c r="A3" s="76" t="str">
        <f>'내역서(표준단가)'!A6</f>
        <v>L002</v>
      </c>
      <c r="B3" s="77">
        <f>'내역서(표준단가)'!B6</f>
        <v>0</v>
      </c>
      <c r="C3" s="77">
        <f>'내역서(표준단가)'!C6</f>
        <v>0</v>
      </c>
      <c r="D3" s="77">
        <f>'내역서(표준단가)'!D6</f>
        <v>0</v>
      </c>
      <c r="E3" s="77" t="str">
        <f>'내역서(표준단가)'!E6</f>
        <v>L002</v>
      </c>
      <c r="F3" s="79">
        <f>'내역서(표준단가)'!I6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2026-04-09T00:37:10Z</dcterms:modified>
</cp:coreProperties>
</file>
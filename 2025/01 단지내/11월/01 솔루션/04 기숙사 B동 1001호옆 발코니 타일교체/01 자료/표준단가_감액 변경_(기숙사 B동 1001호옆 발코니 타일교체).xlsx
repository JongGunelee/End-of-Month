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11월\01 솔루션\03 ■변경계약_감액■ 기숙사 B동 1001호옆 발코니 타일교체\"/>
    </mc:Choice>
  </mc:AlternateContent>
  <xr:revisionPtr revIDLastSave="0" documentId="13_ncr:1_{AF79F476-10CD-46EC-BFBE-FF94A77F8DBA}" xr6:coauthVersionLast="47" xr6:coauthVersionMax="47" xr10:uidLastSave="{00000000-0000-0000-0000-000000000000}"/>
  <bookViews>
    <workbookView xWindow="-45" yWindow="0" windowWidth="14490" windowHeight="16245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9" i="4" l="1"/>
  <c r="S19" i="4"/>
  <c r="Q19" i="4"/>
  <c r="V19" i="4" s="1"/>
  <c r="O19" i="4"/>
  <c r="A19" i="4"/>
  <c r="U18" i="4"/>
  <c r="S18" i="4"/>
  <c r="Q18" i="4"/>
  <c r="O18" i="4"/>
  <c r="V18" i="4" s="1"/>
  <c r="A18" i="4"/>
  <c r="Q5" i="4" l="1"/>
  <c r="Q6" i="4"/>
  <c r="Q7" i="4"/>
  <c r="Q8" i="4"/>
  <c r="Q9" i="4"/>
  <c r="Q10" i="4"/>
  <c r="Q11" i="4"/>
  <c r="F15" i="1"/>
  <c r="E15" i="1"/>
  <c r="D15" i="1"/>
  <c r="C15" i="1"/>
  <c r="F14" i="1"/>
  <c r="E14" i="1"/>
  <c r="D14" i="1"/>
  <c r="C14" i="1"/>
  <c r="F13" i="1"/>
  <c r="E13" i="1"/>
  <c r="D13" i="1"/>
  <c r="C13" i="1"/>
  <c r="F12" i="1"/>
  <c r="E12" i="1"/>
  <c r="D12" i="1"/>
  <c r="C12" i="1"/>
  <c r="F11" i="1"/>
  <c r="E11" i="1"/>
  <c r="D11" i="1"/>
  <c r="C11" i="1"/>
  <c r="F10" i="1"/>
  <c r="E10" i="1"/>
  <c r="D10" i="1"/>
  <c r="C10" i="1"/>
  <c r="F9" i="1"/>
  <c r="E9" i="1"/>
  <c r="D9" i="1"/>
  <c r="C9" i="1"/>
  <c r="F8" i="1"/>
  <c r="E8" i="1"/>
  <c r="D8" i="1"/>
  <c r="C8" i="1"/>
  <c r="F7" i="1"/>
  <c r="E7" i="1"/>
  <c r="D7" i="1"/>
  <c r="C7" i="1"/>
  <c r="F6" i="1"/>
  <c r="E6" i="1"/>
  <c r="D6" i="1"/>
  <c r="C6" i="1"/>
  <c r="F5" i="1"/>
  <c r="E5" i="1"/>
  <c r="D5" i="1"/>
  <c r="C5" i="1"/>
  <c r="F4" i="1"/>
  <c r="E4" i="1"/>
  <c r="D4" i="1"/>
  <c r="C4" i="1"/>
  <c r="F3" i="1"/>
  <c r="E3" i="1"/>
  <c r="D3" i="1"/>
  <c r="C3" i="1"/>
  <c r="F2" i="1"/>
  <c r="E2" i="1"/>
  <c r="D2" i="1"/>
  <c r="C2" i="1"/>
  <c r="A20" i="4" l="1"/>
  <c r="A15" i="1" s="1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A6" i="4"/>
  <c r="A3" i="1" s="1"/>
  <c r="U8" i="4"/>
  <c r="S8" i="4"/>
  <c r="O8" i="4"/>
  <c r="V8" i="4" l="1"/>
  <c r="U17" i="4"/>
  <c r="S17" i="4"/>
  <c r="Q17" i="4"/>
  <c r="O17" i="4"/>
  <c r="U16" i="4"/>
  <c r="S16" i="4"/>
  <c r="Q16" i="4"/>
  <c r="O16" i="4"/>
  <c r="U15" i="4"/>
  <c r="S15" i="4"/>
  <c r="Q15" i="4"/>
  <c r="O15" i="4"/>
  <c r="U14" i="4"/>
  <c r="S14" i="4"/>
  <c r="Q14" i="4"/>
  <c r="O14" i="4"/>
  <c r="U13" i="4"/>
  <c r="S13" i="4"/>
  <c r="Q13" i="4"/>
  <c r="O13" i="4"/>
  <c r="U12" i="4"/>
  <c r="S12" i="4"/>
  <c r="Q12" i="4"/>
  <c r="O12" i="4"/>
  <c r="V12" i="4" l="1"/>
  <c r="V14" i="4"/>
  <c r="V13" i="4"/>
  <c r="V17" i="4"/>
  <c r="V16" i="4"/>
  <c r="V15" i="4"/>
  <c r="U21" i="4"/>
  <c r="S21" i="4"/>
  <c r="Q21" i="4"/>
  <c r="O21" i="4"/>
  <c r="A21" i="4"/>
  <c r="U20" i="4"/>
  <c r="S20" i="4"/>
  <c r="Q20" i="4"/>
  <c r="O20" i="4"/>
  <c r="U11" i="4"/>
  <c r="S11" i="4"/>
  <c r="O11" i="4"/>
  <c r="U10" i="4"/>
  <c r="S10" i="4"/>
  <c r="O10" i="4"/>
  <c r="U9" i="4"/>
  <c r="S9" i="4"/>
  <c r="O9" i="4"/>
  <c r="U7" i="4"/>
  <c r="S7" i="4"/>
  <c r="O7" i="4"/>
  <c r="U6" i="4"/>
  <c r="S6" i="4"/>
  <c r="O6" i="4"/>
  <c r="U5" i="4"/>
  <c r="S5" i="4"/>
  <c r="O5" i="4"/>
  <c r="A5" i="4"/>
  <c r="A2" i="1" s="1"/>
  <c r="V7" i="4" l="1"/>
  <c r="V11" i="4"/>
  <c r="V20" i="4"/>
  <c r="V9" i="4"/>
  <c r="V21" i="4"/>
  <c r="V10" i="4"/>
  <c r="V5" i="4"/>
  <c r="V6" i="4"/>
  <c r="U22" i="4" l="1"/>
  <c r="Q22" i="4"/>
  <c r="S22" i="4" l="1"/>
  <c r="V22" i="4" l="1"/>
  <c r="F18" i="5" l="1"/>
  <c r="O22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<sst xmlns="http://schemas.openxmlformats.org/spreadsheetml/2006/main" count="173" uniqueCount="147">
  <si>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</si>
  <si>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</si>
  <si>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</si>
  <si>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</si>
  <si>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</si>
  <si>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</si>
  <si>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5" type="noConversion"/>
  </si>
  <si>
    <t xml:space="preserve">금액: </t>
    <phoneticPr fontId="15" type="noConversion"/>
  </si>
  <si>
    <t>원정</t>
    <phoneticPr fontId="17" type="noConversion"/>
  </si>
  <si>
    <t xml:space="preserve">  </t>
  </si>
  <si>
    <t>NO</t>
  </si>
  <si>
    <t>품명</t>
    <phoneticPr fontId="17" type="noConversion"/>
  </si>
  <si>
    <t>규격</t>
    <phoneticPr fontId="17" type="noConversion"/>
  </si>
  <si>
    <t>수량</t>
    <phoneticPr fontId="17" type="noConversion"/>
  </si>
  <si>
    <t>단위</t>
    <phoneticPr fontId="17" type="noConversion"/>
  </si>
  <si>
    <t>금액</t>
    <phoneticPr fontId="17" type="noConversion"/>
  </si>
  <si>
    <t>비고</t>
    <phoneticPr fontId="17" type="noConversion"/>
  </si>
  <si>
    <t>직접비</t>
    <phoneticPr fontId="15" type="noConversion"/>
  </si>
  <si>
    <t>재료비</t>
    <phoneticPr fontId="15" type="noConversion"/>
  </si>
  <si>
    <t>노무비</t>
    <phoneticPr fontId="17" type="noConversion"/>
  </si>
  <si>
    <t>기계/기타경비</t>
    <phoneticPr fontId="15" type="noConversion"/>
  </si>
  <si>
    <t>소계</t>
    <phoneticPr fontId="15" type="noConversion"/>
  </si>
  <si>
    <t>간접비</t>
    <phoneticPr fontId="15" type="noConversion"/>
  </si>
  <si>
    <t>  국민연금</t>
    <phoneticPr fontId="17" type="noConversion"/>
  </si>
  <si>
    <t> 노무비*4.5%</t>
    <phoneticPr fontId="17" type="noConversion"/>
  </si>
  <si>
    <t>식</t>
    <phoneticPr fontId="17" type="noConversion"/>
  </si>
  <si>
    <t>모든공사에 적용</t>
    <phoneticPr fontId="17" type="noConversion"/>
  </si>
  <si>
    <t>  건강보험료</t>
    <phoneticPr fontId="17" type="noConversion"/>
  </si>
  <si>
    <t>모든공사에 적용</t>
    <phoneticPr fontId="17" type="noConversion"/>
  </si>
  <si>
    <t>  장기요양보험료</t>
    <phoneticPr fontId="17" type="noConversion"/>
  </si>
  <si>
    <t>  고용보험료</t>
    <phoneticPr fontId="17" type="noConversion"/>
  </si>
  <si>
    <t>  산재보험료</t>
    <phoneticPr fontId="17" type="noConversion"/>
  </si>
  <si>
    <t xml:space="preserve">  산업안전보건관리비</t>
    <phoneticPr fontId="17" type="noConversion"/>
  </si>
  <si>
    <t>소계</t>
    <phoneticPr fontId="15" type="noConversion"/>
  </si>
  <si>
    <t>합계(단수조정)</t>
    <phoneticPr fontId="15" type="noConversion"/>
  </si>
  <si>
    <t>VAT별도</t>
    <phoneticPr fontId="17" type="noConversion"/>
  </si>
  <si>
    <t>일반관리비/이윤</t>
    <phoneticPr fontId="17" type="noConversion"/>
  </si>
  <si>
    <t> (노무비+간접공사비)*5%</t>
    <phoneticPr fontId="17" type="noConversion"/>
  </si>
  <si>
    <t>등록번호</t>
    <phoneticPr fontId="11" type="noConversion"/>
  </si>
  <si>
    <t>종 목</t>
    <phoneticPr fontId="11" type="noConversion"/>
  </si>
  <si>
    <t>TEL, FAX</t>
    <phoneticPr fontId="11" type="noConversion"/>
  </si>
  <si>
    <t>상 호</t>
    <phoneticPr fontId="11" type="noConversion"/>
  </si>
  <si>
    <t>대표 이사</t>
    <phoneticPr fontId="11" type="noConversion"/>
  </si>
  <si>
    <t>사업장</t>
    <phoneticPr fontId="11" type="noConversion"/>
  </si>
  <si>
    <t>업 태</t>
    <phoneticPr fontId="11" type="noConversion"/>
  </si>
  <si>
    <t>할증기준</t>
    <phoneticPr fontId="9" type="noConversion"/>
  </si>
  <si>
    <t> 노무비*1.01%</t>
    <phoneticPr fontId="17" type="noConversion"/>
  </si>
  <si>
    <t>단위</t>
  </si>
  <si>
    <t xml:space="preserve"> 수신인 : 주식회사 에스엔아이 코퍼레이션</t>
    <phoneticPr fontId="15" type="noConversion"/>
  </si>
  <si>
    <t> 노무비*3.545%</t>
    <phoneticPr fontId="17" type="noConversion"/>
  </si>
  <si>
    <t> 건강보험료*12.95%</t>
    <phoneticPr fontId="17" type="noConversion"/>
  </si>
  <si>
    <t> 노무비*3.56%</t>
    <phoneticPr fontId="17" type="noConversion"/>
  </si>
  <si>
    <t>314-86-35718</t>
    <phoneticPr fontId="9" type="noConversion"/>
  </si>
  <si>
    <t>㈜일성건축</t>
    <phoneticPr fontId="9" type="noConversion"/>
  </si>
  <si>
    <t>상 석 희</t>
    <phoneticPr fontId="9" type="noConversion"/>
  </si>
  <si>
    <t>대전 서구 도마6길 107 (도마동)</t>
    <phoneticPr fontId="9" type="noConversion"/>
  </si>
  <si>
    <t>건설업</t>
    <phoneticPr fontId="9" type="noConversion"/>
  </si>
  <si>
    <t>실내건축,인테리어공사</t>
    <phoneticPr fontId="9" type="noConversion"/>
  </si>
  <si>
    <t>042)527-0995, 042)527-0996</t>
    <phoneticPr fontId="9" type="noConversion"/>
  </si>
  <si>
    <t>단가</t>
    <phoneticPr fontId="11" type="noConversion"/>
  </si>
  <si>
    <t>▼낙찰율</t>
    <phoneticPr fontId="11" type="noConversion"/>
  </si>
  <si>
    <t>▶ 표준 Code(표준단가/품셈/물정/노임) 순서별 입력(Upload 자동반영)</t>
    <phoneticPr fontId="9" type="noConversion"/>
  </si>
  <si>
    <t>주요내역</t>
    <phoneticPr fontId="9" type="noConversion"/>
  </si>
  <si>
    <t>재료비</t>
    <phoneticPr fontId="11" type="noConversion"/>
  </si>
  <si>
    <t>노무비</t>
    <phoneticPr fontId="11" type="noConversion"/>
  </si>
  <si>
    <t>기계경비</t>
  </si>
  <si>
    <t>기타경비(부자재비)</t>
  </si>
  <si>
    <t>합계</t>
    <phoneticPr fontId="11" type="noConversion"/>
  </si>
  <si>
    <t>노무비 할증</t>
    <phoneticPr fontId="9" type="noConversion"/>
  </si>
  <si>
    <t>합계</t>
    <phoneticPr fontId="9" type="noConversion"/>
  </si>
  <si>
    <t>표준단가 D</t>
    <phoneticPr fontId="9" type="noConversion"/>
  </si>
  <si>
    <t>표준품셈 E</t>
    <phoneticPr fontId="9" type="noConversion"/>
  </si>
  <si>
    <t>물가정보 M</t>
    <phoneticPr fontId="9" type="noConversion"/>
  </si>
  <si>
    <t>노임단가 L</t>
    <phoneticPr fontId="9" type="noConversion"/>
  </si>
  <si>
    <t>품목</t>
    <phoneticPr fontId="9" type="noConversion"/>
  </si>
  <si>
    <t>규격</t>
    <phoneticPr fontId="9" type="noConversion"/>
  </si>
  <si>
    <t>품셈/표단</t>
    <phoneticPr fontId="9" type="noConversion"/>
  </si>
  <si>
    <t>금액</t>
  </si>
  <si>
    <t>단가</t>
  </si>
  <si>
    <t> (재료비+노무비)*3.11%</t>
    <phoneticPr fontId="17" type="noConversion"/>
  </si>
  <si>
    <t xml:space="preserve"> 공사명 : 기숙사 B동 10층 1001호 옆 테라스 타일교체</t>
    <phoneticPr fontId="15" type="noConversion"/>
  </si>
  <si>
    <t>테라스톤타일, 200×200×18㎜</t>
  </si>
  <si>
    <t>포</t>
  </si>
  <si>
    <t>쌍곰 압착시멘트</t>
  </si>
  <si>
    <t>다우실 MS 704</t>
  </si>
  <si>
    <t>1액형 변성 실리콘, 크랙 보수용, 비오염성, 방수씰링</t>
  </si>
  <si>
    <t>E00000801011510102</t>
  </si>
  <si>
    <t>E00000801011510201</t>
  </si>
  <si>
    <t>건축물보양</t>
  </si>
  <si>
    <t>보양지 붙이기</t>
  </si>
  <si>
    <t>(보양면적 ㎡ 당)</t>
  </si>
  <si>
    <t>건출물 현장정리</t>
  </si>
  <si>
    <t>철근콘크리트조·철골·철근콘크리트조</t>
  </si>
  <si>
    <t>(연면적 ㎡ 당)</t>
  </si>
  <si>
    <t>E00000803071250901</t>
  </si>
  <si>
    <t>타일 해체</t>
  </si>
  <si>
    <t>떠붙이기</t>
  </si>
  <si>
    <t>(㎡ 당)</t>
  </si>
  <si>
    <t>E00000803021040201</t>
  </si>
  <si>
    <t>압착붙이기 - 바닥면</t>
  </si>
  <si>
    <t>0.04~0.10㎡이하</t>
  </si>
  <si>
    <t>(㎡당)</t>
  </si>
  <si>
    <t>E00000803021120201</t>
  </si>
  <si>
    <t>타일줄눈 설치 - 바닥면</t>
  </si>
  <si>
    <t>타일규격 0.04~0.1㎡이하</t>
  </si>
  <si>
    <t>E00000803051260301</t>
  </si>
  <si>
    <t>코킹</t>
  </si>
  <si>
    <t>(10m 당)</t>
  </si>
  <si>
    <t>M020170910170101</t>
  </si>
  <si>
    <t>M010550114370101</t>
  </si>
  <si>
    <t>REMIBOND, 소포장</t>
  </si>
  <si>
    <t>바탕고름용, 대리석 바탕고름, 붙임용</t>
  </si>
  <si>
    <t>40㎏/포</t>
  </si>
  <si>
    <t>M010550114050101</t>
  </si>
  <si>
    <t>REMIFLOW</t>
  </si>
  <si>
    <t>REMIFLOW FS100, 일반 바닥미장용</t>
  </si>
  <si>
    <t>M010551213750101</t>
  </si>
  <si>
    <t>M010551213790101</t>
  </si>
  <si>
    <t>쌍곰 탄성줄눈</t>
  </si>
  <si>
    <t>내장줄눈전용칼라 탄성 줄눈(백색,14가지 주문색상)(20㎏)</t>
  </si>
  <si>
    <t>M020251411760101</t>
  </si>
  <si>
    <t>270㎖</t>
  </si>
  <si>
    <t>M020806810430101</t>
  </si>
  <si>
    <t>STEEL CONCORE PANEL 기준, (소운반비별도), 적용</t>
    <phoneticPr fontId="9" type="noConversion"/>
  </si>
  <si>
    <t>TON</t>
  </si>
  <si>
    <t>산업폐기물처리비=폐타일외</t>
    <phoneticPr fontId="9" type="noConversion"/>
  </si>
  <si>
    <t>코킹(11.5*2)+(2.9*2)28.8m</t>
    <phoneticPr fontId="9" type="noConversion"/>
  </si>
  <si>
    <t>E00000803073010101</t>
  </si>
  <si>
    <t>바탕처리</t>
  </si>
  <si>
    <t>보통 - 바닥</t>
  </si>
  <si>
    <t>압착용&amp;#160;회색&amp;#160;(25㎏, 20㎏)&amp;#160;</t>
    <phoneticPr fontId="9" type="noConversion"/>
  </si>
  <si>
    <t xml:space="preserve"> 견적일 : 2025년  06월  25일</t>
    <phoneticPr fontId="15" type="noConversion"/>
  </si>
  <si>
    <t>㎡</t>
    <phoneticPr fontId="9" type="noConversion"/>
  </si>
  <si>
    <t>(11.5m*2.9m)=33.35㎡</t>
    <phoneticPr fontId="9" type="noConversion"/>
  </si>
  <si>
    <t>33.35㎡*105%(손실율 5%)=35㎡</t>
    <phoneticPr fontId="9" type="noConversion"/>
  </si>
  <si>
    <t xml:space="preserve">1. 타일교체 산출근거 </t>
    <phoneticPr fontId="9" type="noConversion"/>
  </si>
  <si>
    <t>2.특별인부-사택 긴급 보수작업으로 전환 노무비 처리예정</t>
    <phoneticPr fontId="9" type="noConversion"/>
  </si>
  <si>
    <t>2-1.테라스 벽 파손부위 미장 양생후 도장 노무비, 자재비 포함</t>
    <phoneticPr fontId="9" type="noConversion"/>
  </si>
  <si>
    <t>2-2.자재 및 폐기물운반 1→10층 노무비</t>
    <phoneticPr fontId="9" type="noConversion"/>
  </si>
  <si>
    <t>L003</t>
  </si>
  <si>
    <t>특별인부 2일 작업*1인</t>
    <phoneticPr fontId="9" type="noConversion"/>
  </si>
  <si>
    <t>인</t>
    <phoneticPr fontId="9" type="noConversion"/>
  </si>
  <si>
    <t>시중노임단가, 자재 및 폐기물운반 1→10층</t>
    <phoneticPr fontId="9" type="noConversion"/>
  </si>
  <si>
    <t>특별인부 3일 작업*2인</t>
    <phoneticPr fontId="9" type="noConversion"/>
  </si>
  <si>
    <t>건축 긴급 보수 인원으로 전환</t>
    <phoneticPr fontId="9" type="noConversion"/>
  </si>
  <si>
    <r>
      <t xml:space="preserve">TS석재타일, (11.5m*2.9m)=33.35, </t>
    </r>
    <r>
      <rPr>
        <sz val="10"/>
        <color theme="1"/>
        <rFont val="Malgun Gothic"/>
        <family val="3"/>
        <charset val="129"/>
      </rPr>
      <t>손실율 5% 적용, 33.35*105%=35</t>
    </r>
    <phoneticPr fontId="9" type="noConversion"/>
  </si>
  <si>
    <t>벽 파손부위 미장 양생후 도장, 자재비 포함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</si>
</sst>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##,###,###,##0"/>
    <numFmt numFmtId="184" formatCode="0.000"/>
    <numFmt numFmtId="185" formatCode="_(* #,##0.000_);_(* \(#,##0.000\);_(* &quot;-&quot;_);_(@_)"/>
  </numFmts>
  <fonts count="4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0"/>
      <color indexed="8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10"/>
      <color indexed="8"/>
      <name val="맑은 고딕"/>
      <family val="2"/>
      <scheme val="minor"/>
    </font>
    <font>
      <sz val="10"/>
      <color theme="1"/>
      <name val="돋움"/>
      <family val="3"/>
      <charset val="129"/>
    </font>
    <font>
      <sz val="10"/>
      <name val="Segoe UI"/>
      <family val="2"/>
      <charset val="1"/>
    </font>
    <font>
      <sz val="10"/>
      <name val="돋움"/>
      <family val="3"/>
      <charset val="129"/>
    </font>
    <font>
      <sz val="10"/>
      <color rgb="FFFF0000"/>
      <name val="Malgun Gothic"/>
      <family val="3"/>
      <charset val="129"/>
    </font>
    <font>
      <sz val="10"/>
      <name val="맑은 고딕"/>
      <family val="2"/>
      <scheme val="minor"/>
    </font>
    <font>
      <b/>
      <sz val="16"/>
      <color rgb="FF000000"/>
      <name val="LG스마트체 Regular"/>
      <family val="3"/>
      <charset val="129"/>
    </font>
    <font>
      <b/>
      <sz val="16"/>
      <color rgb="FFFF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sz val="10"/>
      <color theme="1"/>
      <name val="Malgun Gothic"/>
      <family val="3"/>
      <charset val="129"/>
    </font>
    <font>
      <b/>
      <sz val="10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28">
    <xf numFmtId="0" fontId="0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2" fillId="0" borderId="0"/>
    <xf numFmtId="177" fontId="8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/>
    <xf numFmtId="0" fontId="14" fillId="0" borderId="0"/>
    <xf numFmtId="180" fontId="14" fillId="0" borderId="0" applyFont="0" applyFill="0" applyBorder="0" applyAlignment="0" applyProtection="0"/>
    <xf numFmtId="0" fontId="8" fillId="0" borderId="0">
      <alignment vertical="center"/>
    </xf>
    <xf numFmtId="9" fontId="13" fillId="0" borderId="0" applyFont="0" applyFill="0" applyBorder="0" applyAlignment="0" applyProtection="0"/>
    <xf numFmtId="0" fontId="12" fillId="0" borderId="0"/>
    <xf numFmtId="0" fontId="21" fillId="0" borderId="0"/>
    <xf numFmtId="176" fontId="21" fillId="0" borderId="0" applyFont="0" applyFill="0" applyBorder="0" applyAlignment="0" applyProtection="0"/>
    <xf numFmtId="177" fontId="2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</cellStyleXfs>
  <cellXfs count="172">
    <xf numFmtId="0" fontId="0" fillId="0" borderId="0" xfId="0">
      <alignment vertical="center"/>
    </xf>
    <xf numFmtId="0" fontId="16" fillId="0" borderId="7" xfId="6" applyFont="1" applyBorder="1" applyAlignment="1">
      <alignment horizontal="right" vertical="center"/>
    </xf>
    <xf numFmtId="0" fontId="22" fillId="0" borderId="0" xfId="6" applyFont="1" applyAlignment="1">
      <alignment vertical="center"/>
    </xf>
    <xf numFmtId="0" fontId="23" fillId="0" borderId="0" xfId="3" applyFont="1"/>
    <xf numFmtId="0" fontId="24" fillId="0" borderId="5" xfId="6" applyFont="1" applyBorder="1" applyAlignment="1">
      <alignment horizontal="center" vertical="center"/>
    </xf>
    <xf numFmtId="0" fontId="16" fillId="0" borderId="6" xfId="6" applyFont="1" applyBorder="1" applyAlignment="1">
      <alignment horizontal="right" vertical="center"/>
    </xf>
    <xf numFmtId="0" fontId="16" fillId="5" borderId="25" xfId="6" applyFont="1" applyFill="1" applyBorder="1" applyAlignment="1">
      <alignment horizontal="center" vertical="center"/>
    </xf>
    <xf numFmtId="0" fontId="16" fillId="5" borderId="26" xfId="6" applyFont="1" applyFill="1" applyBorder="1" applyAlignment="1">
      <alignment vertical="center" shrinkToFit="1"/>
    </xf>
    <xf numFmtId="0" fontId="16" fillId="5" borderId="2" xfId="6" applyFont="1" applyFill="1" applyBorder="1" applyAlignment="1">
      <alignment horizontal="center" vertical="center"/>
    </xf>
    <xf numFmtId="0" fontId="16" fillId="5" borderId="27" xfId="6" applyFont="1" applyFill="1" applyBorder="1" applyAlignment="1">
      <alignment vertical="center" shrinkToFit="1"/>
    </xf>
    <xf numFmtId="0" fontId="25" fillId="0" borderId="0" xfId="6" applyFont="1" applyAlignment="1">
      <alignment vertical="center" shrinkToFit="1"/>
    </xf>
    <xf numFmtId="0" fontId="16" fillId="5" borderId="2" xfId="6" applyFont="1" applyFill="1" applyBorder="1" applyAlignment="1">
      <alignment horizontal="center" vertical="center" shrinkToFit="1"/>
    </xf>
    <xf numFmtId="0" fontId="16" fillId="0" borderId="2" xfId="6" applyFont="1" applyBorder="1" applyAlignment="1">
      <alignment horizontal="center" vertical="center"/>
    </xf>
    <xf numFmtId="0" fontId="16" fillId="0" borderId="27" xfId="6" applyFont="1" applyBorder="1" applyAlignment="1">
      <alignment vertical="center"/>
    </xf>
    <xf numFmtId="0" fontId="24" fillId="0" borderId="0" xfId="6" applyFont="1" applyAlignment="1">
      <alignment horizontal="center" vertical="center" shrinkToFit="1"/>
    </xf>
    <xf numFmtId="0" fontId="16" fillId="0" borderId="28" xfId="6" applyFont="1" applyBorder="1" applyAlignment="1">
      <alignment horizontal="center" vertical="center" shrinkToFit="1"/>
    </xf>
    <xf numFmtId="0" fontId="16" fillId="0" borderId="29" xfId="6" applyFont="1" applyBorder="1" applyAlignment="1">
      <alignment vertical="center" shrinkToFit="1"/>
    </xf>
    <xf numFmtId="0" fontId="25" fillId="0" borderId="7" xfId="6" applyFont="1" applyBorder="1" applyAlignment="1">
      <alignment vertical="center"/>
    </xf>
    <xf numFmtId="179" fontId="24" fillId="0" borderId="7" xfId="6" applyNumberFormat="1" applyFont="1" applyBorder="1" applyAlignment="1">
      <alignment vertical="center"/>
    </xf>
    <xf numFmtId="0" fontId="24" fillId="0" borderId="0" xfId="6" applyFont="1" applyAlignment="1">
      <alignment vertical="center" shrinkToFit="1"/>
    </xf>
    <xf numFmtId="0" fontId="16" fillId="0" borderId="8" xfId="6" applyFont="1" applyBorder="1" applyAlignment="1">
      <alignment horizontal="center" vertical="center"/>
    </xf>
    <xf numFmtId="0" fontId="16" fillId="0" borderId="9" xfId="6" applyFont="1" applyBorder="1" applyAlignment="1">
      <alignment horizontal="center" vertical="center"/>
    </xf>
    <xf numFmtId="0" fontId="16" fillId="0" borderId="10" xfId="6" applyFont="1" applyBorder="1" applyAlignment="1">
      <alignment horizontal="center" vertical="center"/>
    </xf>
    <xf numFmtId="0" fontId="26" fillId="0" borderId="11" xfId="6" applyFont="1" applyBorder="1" applyAlignment="1">
      <alignment horizontal="center" vertical="center"/>
    </xf>
    <xf numFmtId="0" fontId="16" fillId="0" borderId="12" xfId="6" applyFont="1" applyBorder="1" applyAlignment="1">
      <alignment vertical="center"/>
    </xf>
    <xf numFmtId="0" fontId="26" fillId="0" borderId="12" xfId="6" applyFont="1" applyBorder="1" applyAlignment="1">
      <alignment vertical="center"/>
    </xf>
    <xf numFmtId="1" fontId="26" fillId="0" borderId="12" xfId="6" applyNumberFormat="1" applyFont="1" applyBorder="1" applyAlignment="1">
      <alignment horizontal="center" vertical="center"/>
    </xf>
    <xf numFmtId="180" fontId="26" fillId="0" borderId="12" xfId="7" applyFont="1" applyBorder="1" applyAlignment="1">
      <alignment horizontal="right" vertical="center"/>
    </xf>
    <xf numFmtId="0" fontId="26" fillId="0" borderId="13" xfId="6" applyFont="1" applyBorder="1" applyAlignment="1">
      <alignment vertical="center"/>
    </xf>
    <xf numFmtId="0" fontId="26" fillId="0" borderId="14" xfId="6" applyFont="1" applyBorder="1" applyAlignment="1">
      <alignment horizontal="center" vertical="center"/>
    </xf>
    <xf numFmtId="0" fontId="26" fillId="0" borderId="15" xfId="6" applyFont="1" applyBorder="1" applyAlignment="1">
      <alignment horizontal="center" vertical="center"/>
    </xf>
    <xf numFmtId="0" fontId="26" fillId="0" borderId="15" xfId="3" applyFont="1" applyBorder="1" applyAlignment="1">
      <alignment horizontal="center" vertical="center"/>
    </xf>
    <xf numFmtId="1" fontId="26" fillId="0" borderId="15" xfId="6" applyNumberFormat="1" applyFont="1" applyBorder="1" applyAlignment="1">
      <alignment horizontal="center" vertical="center"/>
    </xf>
    <xf numFmtId="180" fontId="26" fillId="0" borderId="15" xfId="7" applyFont="1" applyBorder="1" applyAlignment="1">
      <alignment horizontal="right" vertical="center"/>
    </xf>
    <xf numFmtId="0" fontId="26" fillId="0" borderId="16" xfId="6" quotePrefix="1" applyFont="1" applyBorder="1" applyAlignment="1">
      <alignment vertical="center"/>
    </xf>
    <xf numFmtId="0" fontId="26" fillId="0" borderId="16" xfId="6" applyFont="1" applyBorder="1" applyAlignment="1">
      <alignment vertical="center"/>
    </xf>
    <xf numFmtId="0" fontId="16" fillId="8" borderId="15" xfId="6" applyFont="1" applyFill="1" applyBorder="1" applyAlignment="1">
      <alignment vertical="center"/>
    </xf>
    <xf numFmtId="1" fontId="16" fillId="8" borderId="15" xfId="6" applyNumberFormat="1" applyFont="1" applyFill="1" applyBorder="1" applyAlignment="1">
      <alignment horizontal="center" vertical="center"/>
    </xf>
    <xf numFmtId="180" fontId="16" fillId="8" borderId="15" xfId="7" applyFont="1" applyFill="1" applyBorder="1" applyAlignment="1">
      <alignment horizontal="right" vertical="center"/>
    </xf>
    <xf numFmtId="0" fontId="16" fillId="0" borderId="15" xfId="6" applyFont="1" applyBorder="1" applyAlignment="1">
      <alignment vertical="center"/>
    </xf>
    <xf numFmtId="0" fontId="26" fillId="0" borderId="15" xfId="6" applyFont="1" applyBorder="1" applyAlignment="1">
      <alignment vertical="center"/>
    </xf>
    <xf numFmtId="180" fontId="16" fillId="0" borderId="15" xfId="7" applyFont="1" applyFill="1" applyBorder="1" applyAlignment="1">
      <alignment horizontal="right" vertical="center"/>
    </xf>
    <xf numFmtId="0" fontId="26" fillId="0" borderId="15" xfId="8" applyFont="1" applyBorder="1" applyAlignment="1">
      <alignment horizontal="center" vertical="center"/>
    </xf>
    <xf numFmtId="178" fontId="26" fillId="0" borderId="15" xfId="5" applyFont="1" applyFill="1" applyBorder="1" applyAlignment="1">
      <alignment horizontal="right" vertical="center"/>
    </xf>
    <xf numFmtId="0" fontId="26" fillId="5" borderId="15" xfId="8" applyFont="1" applyFill="1" applyBorder="1" applyAlignment="1">
      <alignment horizontal="center" vertical="center"/>
    </xf>
    <xf numFmtId="0" fontId="26" fillId="5" borderId="15" xfId="6" applyFont="1" applyFill="1" applyBorder="1" applyAlignment="1">
      <alignment vertical="center"/>
    </xf>
    <xf numFmtId="0" fontId="26" fillId="5" borderId="15" xfId="6" applyFont="1" applyFill="1" applyBorder="1" applyAlignment="1">
      <alignment horizontal="center" vertical="center"/>
    </xf>
    <xf numFmtId="178" fontId="26" fillId="5" borderId="15" xfId="5" applyFont="1" applyFill="1" applyBorder="1" applyAlignment="1">
      <alignment horizontal="right" vertical="center"/>
    </xf>
    <xf numFmtId="0" fontId="26" fillId="5" borderId="16" xfId="6" applyFont="1" applyFill="1" applyBorder="1" applyAlignment="1">
      <alignment vertical="center"/>
    </xf>
    <xf numFmtId="0" fontId="26" fillId="0" borderId="15" xfId="3" applyFont="1" applyBorder="1" applyAlignment="1">
      <alignment horizontal="left" vertical="center"/>
    </xf>
    <xf numFmtId="9" fontId="16" fillId="8" borderId="15" xfId="3" applyNumberFormat="1" applyFont="1" applyFill="1" applyBorder="1" applyAlignment="1">
      <alignment horizontal="right" vertical="center"/>
    </xf>
    <xf numFmtId="1" fontId="16" fillId="8" borderId="15" xfId="9" applyNumberFormat="1" applyFont="1" applyFill="1" applyBorder="1" applyAlignment="1">
      <alignment horizontal="center" vertical="center"/>
    </xf>
    <xf numFmtId="177" fontId="16" fillId="8" borderId="15" xfId="7" applyNumberFormat="1" applyFont="1" applyFill="1" applyBorder="1" applyAlignment="1">
      <alignment horizontal="right" vertical="center"/>
    </xf>
    <xf numFmtId="9" fontId="26" fillId="0" borderId="15" xfId="3" applyNumberFormat="1" applyFont="1" applyBorder="1" applyAlignment="1">
      <alignment horizontal="right" vertical="center"/>
    </xf>
    <xf numFmtId="1" fontId="26" fillId="0" borderId="15" xfId="9" applyNumberFormat="1" applyFont="1" applyFill="1" applyBorder="1" applyAlignment="1">
      <alignment horizontal="center" vertical="center"/>
    </xf>
    <xf numFmtId="177" fontId="16" fillId="0" borderId="15" xfId="7" applyNumberFormat="1" applyFont="1" applyFill="1" applyBorder="1" applyAlignment="1">
      <alignment horizontal="right" vertical="center"/>
    </xf>
    <xf numFmtId="0" fontId="26" fillId="0" borderId="15" xfId="3" applyFont="1" applyBorder="1" applyAlignment="1">
      <alignment vertical="center"/>
    </xf>
    <xf numFmtId="180" fontId="26" fillId="5" borderId="15" xfId="7" applyFont="1" applyFill="1" applyBorder="1" applyAlignment="1">
      <alignment horizontal="right" vertical="center"/>
    </xf>
    <xf numFmtId="180" fontId="16" fillId="8" borderId="0" xfId="3" applyNumberFormat="1" applyFont="1" applyFill="1" applyAlignment="1">
      <alignment vertical="center"/>
    </xf>
    <xf numFmtId="0" fontId="16" fillId="0" borderId="17" xfId="6" applyFont="1" applyBorder="1" applyAlignment="1">
      <alignment horizontal="center" vertical="center" textRotation="255"/>
    </xf>
    <xf numFmtId="0" fontId="16" fillId="0" borderId="18" xfId="6" applyFont="1" applyBorder="1" applyAlignment="1">
      <alignment vertical="top"/>
    </xf>
    <xf numFmtId="0" fontId="26" fillId="0" borderId="19" xfId="6" applyFont="1" applyBorder="1" applyAlignment="1">
      <alignment vertical="center"/>
    </xf>
    <xf numFmtId="0" fontId="26" fillId="0" borderId="19" xfId="6" applyFont="1" applyBorder="1" applyAlignment="1">
      <alignment horizontal="right" vertical="center"/>
    </xf>
    <xf numFmtId="0" fontId="26" fillId="0" borderId="20" xfId="6" applyFont="1" applyBorder="1" applyAlignment="1">
      <alignment vertical="center"/>
    </xf>
    <xf numFmtId="0" fontId="16" fillId="0" borderId="0" xfId="10" applyFont="1"/>
    <xf numFmtId="181" fontId="24" fillId="0" borderId="0" xfId="1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9" fontId="27" fillId="0" borderId="0" xfId="0" applyNumberFormat="1" applyFont="1" applyAlignment="1">
      <alignment horizontal="center" vertical="center"/>
    </xf>
    <xf numFmtId="182" fontId="27" fillId="3" borderId="0" xfId="2" applyNumberFormat="1" applyFont="1" applyFill="1" applyAlignment="1">
      <alignment horizontal="center" vertical="center"/>
    </xf>
    <xf numFmtId="0" fontId="27" fillId="4" borderId="22" xfId="0" applyFont="1" applyFill="1" applyBorder="1" applyAlignment="1">
      <alignment horizontal="center" vertical="center"/>
    </xf>
    <xf numFmtId="0" fontId="27" fillId="4" borderId="6" xfId="0" applyFont="1" applyFill="1" applyBorder="1" applyAlignment="1">
      <alignment horizontal="center" vertical="center"/>
    </xf>
    <xf numFmtId="0" fontId="27" fillId="7" borderId="3" xfId="0" applyFont="1" applyFill="1" applyBorder="1" applyAlignment="1">
      <alignment horizontal="center" vertical="center"/>
    </xf>
    <xf numFmtId="177" fontId="27" fillId="4" borderId="3" xfId="4" applyFont="1" applyFill="1" applyBorder="1" applyAlignment="1">
      <alignment horizontal="center" vertical="center"/>
    </xf>
    <xf numFmtId="178" fontId="27" fillId="4" borderId="3" xfId="5" applyFont="1" applyFill="1" applyBorder="1" applyAlignment="1">
      <alignment horizontal="center" vertical="center"/>
    </xf>
    <xf numFmtId="0" fontId="23" fillId="6" borderId="22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49" fontId="23" fillId="2" borderId="1" xfId="0" applyNumberFormat="1" applyFont="1" applyFill="1" applyBorder="1" applyAlignment="1">
      <alignment horizontal="center" vertical="center" wrapText="1"/>
    </xf>
    <xf numFmtId="181" fontId="23" fillId="7" borderId="1" xfId="1" applyNumberFormat="1" applyFont="1" applyFill="1" applyBorder="1" applyAlignment="1">
      <alignment horizontal="center" vertical="center"/>
    </xf>
    <xf numFmtId="181" fontId="23" fillId="0" borderId="1" xfId="1" applyNumberFormat="1" applyFont="1" applyBorder="1" applyAlignment="1">
      <alignment horizontal="center" vertical="center"/>
    </xf>
    <xf numFmtId="183" fontId="23" fillId="5" borderId="3" xfId="0" applyNumberFormat="1" applyFont="1" applyFill="1" applyBorder="1" applyAlignment="1">
      <alignment vertical="center" wrapText="1"/>
    </xf>
    <xf numFmtId="177" fontId="23" fillId="6" borderId="3" xfId="1" applyFont="1" applyFill="1" applyBorder="1" applyAlignment="1">
      <alignment vertical="center" wrapText="1"/>
    </xf>
    <xf numFmtId="177" fontId="23" fillId="0" borderId="3" xfId="1" applyFont="1" applyFill="1" applyBorder="1" applyAlignment="1">
      <alignment vertical="center" wrapText="1"/>
    </xf>
    <xf numFmtId="0" fontId="23" fillId="5" borderId="3" xfId="0" applyFont="1" applyFill="1" applyBorder="1">
      <alignment vertical="center"/>
    </xf>
    <xf numFmtId="9" fontId="23" fillId="0" borderId="3" xfId="0" applyNumberFormat="1" applyFont="1" applyBorder="1">
      <alignment vertical="center"/>
    </xf>
    <xf numFmtId="0" fontId="23" fillId="0" borderId="23" xfId="0" applyFont="1" applyBorder="1">
      <alignment vertical="center"/>
    </xf>
    <xf numFmtId="0" fontId="23" fillId="6" borderId="3" xfId="0" applyFont="1" applyFill="1" applyBorder="1">
      <alignment vertical="center"/>
    </xf>
    <xf numFmtId="49" fontId="27" fillId="7" borderId="3" xfId="0" applyNumberFormat="1" applyFont="1" applyFill="1" applyBorder="1" applyAlignment="1">
      <alignment vertical="center" wrapText="1"/>
    </xf>
    <xf numFmtId="0" fontId="23" fillId="7" borderId="3" xfId="0" applyFont="1" applyFill="1" applyBorder="1">
      <alignment vertical="center"/>
    </xf>
    <xf numFmtId="0" fontId="24" fillId="0" borderId="0" xfId="6" applyFont="1" applyAlignment="1">
      <alignment vertical="center"/>
    </xf>
    <xf numFmtId="0" fontId="16" fillId="0" borderId="4" xfId="6" applyFont="1" applyBorder="1" applyAlignment="1">
      <alignment vertical="center"/>
    </xf>
    <xf numFmtId="49" fontId="28" fillId="7" borderId="3" xfId="0" applyNumberFormat="1" applyFont="1" applyFill="1" applyBorder="1" applyAlignment="1">
      <alignment horizontal="center" vertical="center" wrapText="1"/>
    </xf>
    <xf numFmtId="0" fontId="24" fillId="0" borderId="0" xfId="0" applyFont="1">
      <alignment vertical="center"/>
    </xf>
    <xf numFmtId="49" fontId="23" fillId="5" borderId="3" xfId="1" applyNumberFormat="1" applyFont="1" applyFill="1" applyBorder="1" applyAlignment="1">
      <alignment horizontal="center" vertical="center"/>
    </xf>
    <xf numFmtId="184" fontId="23" fillId="5" borderId="3" xfId="1" applyNumberFormat="1" applyFont="1" applyFill="1" applyBorder="1" applyAlignment="1">
      <alignment horizontal="center" vertical="center"/>
    </xf>
    <xf numFmtId="49" fontId="23" fillId="0" borderId="3" xfId="3" applyNumberFormat="1" applyFont="1" applyBorder="1" applyAlignment="1">
      <alignment horizontal="center" vertical="center" wrapText="1" shrinkToFit="1"/>
    </xf>
    <xf numFmtId="0" fontId="23" fillId="0" borderId="0" xfId="0" applyFont="1" applyAlignment="1">
      <alignment vertical="center" wrapText="1"/>
    </xf>
    <xf numFmtId="0" fontId="27" fillId="4" borderId="3" xfId="3" applyFont="1" applyFill="1" applyBorder="1" applyAlignment="1">
      <alignment horizontal="center" vertical="center" wrapText="1"/>
    </xf>
    <xf numFmtId="49" fontId="23" fillId="0" borderId="3" xfId="1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vertical="center" wrapText="1"/>
    </xf>
    <xf numFmtId="0" fontId="27" fillId="0" borderId="0" xfId="0" applyFont="1" applyAlignment="1">
      <alignment horizontal="center" vertical="center"/>
    </xf>
    <xf numFmtId="0" fontId="23" fillId="0" borderId="0" xfId="0" applyFont="1">
      <alignment vertical="center"/>
    </xf>
    <xf numFmtId="0" fontId="27" fillId="9" borderId="24" xfId="0" applyFont="1" applyFill="1" applyBorder="1">
      <alignment vertical="center"/>
    </xf>
    <xf numFmtId="0" fontId="27" fillId="9" borderId="21" xfId="0" applyFont="1" applyFill="1" applyBorder="1">
      <alignment vertical="center"/>
    </xf>
    <xf numFmtId="0" fontId="28" fillId="0" borderId="0" xfId="0" applyFont="1">
      <alignment vertical="center"/>
    </xf>
    <xf numFmtId="0" fontId="26" fillId="10" borderId="0" xfId="0" applyFont="1" applyFill="1">
      <alignment vertical="center"/>
    </xf>
    <xf numFmtId="0" fontId="26" fillId="0" borderId="0" xfId="0" applyFont="1">
      <alignment vertical="center"/>
    </xf>
    <xf numFmtId="177" fontId="16" fillId="10" borderId="0" xfId="0" applyNumberFormat="1" applyFont="1" applyFill="1">
      <alignment vertical="center"/>
    </xf>
    <xf numFmtId="0" fontId="16" fillId="0" borderId="0" xfId="0" applyFont="1">
      <alignment vertical="center"/>
    </xf>
    <xf numFmtId="177" fontId="16" fillId="0" borderId="0" xfId="0" applyNumberFormat="1" applyFont="1">
      <alignment vertical="center"/>
    </xf>
    <xf numFmtId="0" fontId="27" fillId="5" borderId="0" xfId="0" applyFont="1" applyFill="1">
      <alignment vertical="center"/>
    </xf>
    <xf numFmtId="177" fontId="23" fillId="0" borderId="0" xfId="0" applyNumberFormat="1" applyFont="1">
      <alignment vertical="center"/>
    </xf>
    <xf numFmtId="49" fontId="23" fillId="0" borderId="3" xfId="0" applyNumberFormat="1" applyFont="1" applyBorder="1" applyAlignment="1">
      <alignment horizontal="center" vertical="center" wrapText="1"/>
    </xf>
    <xf numFmtId="177" fontId="23" fillId="5" borderId="3" xfId="1" applyFont="1" applyFill="1" applyBorder="1" applyAlignment="1">
      <alignment horizontal="center" vertical="center" wrapText="1"/>
    </xf>
    <xf numFmtId="49" fontId="23" fillId="7" borderId="3" xfId="0" applyNumberFormat="1" applyFont="1" applyFill="1" applyBorder="1" applyAlignment="1">
      <alignment horizontal="center" vertical="center" wrapText="1"/>
    </xf>
    <xf numFmtId="177" fontId="30" fillId="5" borderId="3" xfId="1" applyFont="1" applyFill="1" applyBorder="1" applyAlignment="1">
      <alignment horizontal="center" vertical="center" wrapText="1"/>
    </xf>
    <xf numFmtId="49" fontId="29" fillId="5" borderId="3" xfId="0" applyNumberFormat="1" applyFont="1" applyFill="1" applyBorder="1" applyAlignment="1">
      <alignment horizontal="center" vertical="center" wrapText="1"/>
    </xf>
    <xf numFmtId="0" fontId="34" fillId="5" borderId="3" xfId="0" applyFont="1" applyFill="1" applyBorder="1" applyAlignment="1">
      <alignment horizontal="center" vertical="center" wrapText="1"/>
    </xf>
    <xf numFmtId="0" fontId="33" fillId="5" borderId="3" xfId="0" applyFont="1" applyFill="1" applyBorder="1" applyAlignment="1">
      <alignment horizontal="center" vertical="center" wrapText="1"/>
    </xf>
    <xf numFmtId="0" fontId="31" fillId="5" borderId="3" xfId="0" applyFont="1" applyFill="1" applyBorder="1" applyAlignment="1">
      <alignment horizontal="center" vertical="center" wrapText="1"/>
    </xf>
    <xf numFmtId="0" fontId="29" fillId="5" borderId="3" xfId="0" applyFont="1" applyFill="1" applyBorder="1" applyAlignment="1">
      <alignment horizontal="center" vertical="center" wrapText="1"/>
    </xf>
    <xf numFmtId="0" fontId="23" fillId="6" borderId="22" xfId="0" applyFont="1" applyFill="1" applyBorder="1" applyAlignment="1">
      <alignment horizontal="center" vertical="center" wrapText="1"/>
    </xf>
    <xf numFmtId="0" fontId="23" fillId="6" borderId="3" xfId="0" applyFont="1" applyFill="1" applyBorder="1" applyAlignment="1">
      <alignment vertical="center" wrapText="1"/>
    </xf>
    <xf numFmtId="0" fontId="23" fillId="7" borderId="3" xfId="0" applyFont="1" applyFill="1" applyBorder="1" applyAlignment="1">
      <alignment vertical="center" wrapText="1"/>
    </xf>
    <xf numFmtId="0" fontId="23" fillId="5" borderId="3" xfId="0" applyFont="1" applyFill="1" applyBorder="1" applyAlignment="1">
      <alignment vertical="center" wrapText="1"/>
    </xf>
    <xf numFmtId="185" fontId="33" fillId="5" borderId="3" xfId="1" applyNumberFormat="1" applyFont="1" applyFill="1" applyBorder="1" applyAlignment="1">
      <alignment vertical="center" wrapText="1"/>
    </xf>
    <xf numFmtId="177" fontId="33" fillId="5" borderId="3" xfId="1" applyFont="1" applyFill="1" applyBorder="1" applyAlignment="1">
      <alignment vertical="center" wrapText="1"/>
    </xf>
    <xf numFmtId="0" fontId="32" fillId="5" borderId="3" xfId="0" applyFont="1" applyFill="1" applyBorder="1" applyAlignment="1">
      <alignment horizontal="center" vertical="center" wrapText="1"/>
    </xf>
    <xf numFmtId="185" fontId="31" fillId="5" borderId="3" xfId="1" applyNumberFormat="1" applyFont="1" applyFill="1" applyBorder="1" applyAlignment="1">
      <alignment vertical="center" wrapText="1"/>
    </xf>
    <xf numFmtId="177" fontId="31" fillId="5" borderId="3" xfId="1" applyFont="1" applyFill="1" applyBorder="1" applyAlignment="1">
      <alignment vertical="center" wrapText="1"/>
    </xf>
    <xf numFmtId="184" fontId="23" fillId="5" borderId="3" xfId="1" applyNumberFormat="1" applyFont="1" applyFill="1" applyBorder="1" applyAlignment="1">
      <alignment horizontal="center" vertical="center" wrapText="1"/>
    </xf>
    <xf numFmtId="177" fontId="29" fillId="5" borderId="3" xfId="1" applyFont="1" applyFill="1" applyBorder="1" applyAlignment="1">
      <alignment horizontal="center" vertical="center" wrapText="1"/>
    </xf>
    <xf numFmtId="49" fontId="23" fillId="5" borderId="3" xfId="1" applyNumberFormat="1" applyFont="1" applyFill="1" applyBorder="1" applyAlignment="1">
      <alignment horizontal="center" vertical="center" wrapText="1"/>
    </xf>
    <xf numFmtId="0" fontId="23" fillId="7" borderId="3" xfId="0" applyFont="1" applyFill="1" applyBorder="1" applyAlignment="1">
      <alignment horizontal="center" vertical="center" wrapText="1"/>
    </xf>
    <xf numFmtId="184" fontId="23" fillId="0" borderId="3" xfId="1" applyNumberFormat="1" applyFont="1" applyFill="1" applyBorder="1" applyAlignment="1">
      <alignment horizontal="center" vertical="center" wrapText="1"/>
    </xf>
    <xf numFmtId="0" fontId="29" fillId="7" borderId="3" xfId="0" applyFont="1" applyFill="1" applyBorder="1" applyAlignment="1">
      <alignment horizontal="center" vertical="center" wrapText="1"/>
    </xf>
    <xf numFmtId="0" fontId="36" fillId="7" borderId="3" xfId="0" applyFont="1" applyFill="1" applyBorder="1" applyAlignment="1">
      <alignment horizontal="center" vertical="center" wrapText="1"/>
    </xf>
    <xf numFmtId="0" fontId="33" fillId="7" borderId="3" xfId="0" applyFont="1" applyFill="1" applyBorder="1" applyAlignment="1">
      <alignment horizontal="center" vertical="center" wrapText="1"/>
    </xf>
    <xf numFmtId="0" fontId="36" fillId="7" borderId="0" xfId="0" applyFont="1" applyFill="1" applyAlignment="1">
      <alignment horizontal="center" vertical="center" wrapText="1"/>
    </xf>
    <xf numFmtId="177" fontId="31" fillId="5" borderId="0" xfId="1" applyFont="1" applyFill="1" applyAlignment="1">
      <alignment vertical="center" wrapText="1"/>
    </xf>
    <xf numFmtId="0" fontId="39" fillId="0" borderId="0" xfId="0" applyFont="1">
      <alignment vertical="center"/>
    </xf>
    <xf numFmtId="0" fontId="40" fillId="0" borderId="23" xfId="0" applyFont="1" applyBorder="1">
      <alignment vertical="center"/>
    </xf>
    <xf numFmtId="184" fontId="39" fillId="5" borderId="3" xfId="1" applyNumberFormat="1" applyFont="1" applyFill="1" applyBorder="1" applyAlignment="1">
      <alignment horizontal="center" vertical="center" wrapText="1"/>
    </xf>
    <xf numFmtId="0" fontId="39" fillId="6" borderId="22" xfId="0" applyFont="1" applyFill="1" applyBorder="1" applyAlignment="1">
      <alignment horizontal="center" vertical="center" wrapText="1"/>
    </xf>
    <xf numFmtId="0" fontId="39" fillId="6" borderId="3" xfId="0" applyFont="1" applyFill="1" applyBorder="1" applyAlignment="1">
      <alignment vertical="center" wrapText="1"/>
    </xf>
    <xf numFmtId="49" fontId="42" fillId="7" borderId="3" xfId="0" applyNumberFormat="1" applyFont="1" applyFill="1" applyBorder="1" applyAlignment="1">
      <alignment vertical="center" wrapText="1"/>
    </xf>
    <xf numFmtId="0" fontId="39" fillId="7" borderId="3" xfId="0" applyFont="1" applyFill="1" applyBorder="1" applyAlignment="1">
      <alignment vertical="center" wrapText="1"/>
    </xf>
    <xf numFmtId="0" fontId="35" fillId="7" borderId="3" xfId="0" applyFont="1" applyFill="1" applyBorder="1" applyAlignment="1">
      <alignment horizontal="center" vertical="center" wrapText="1"/>
    </xf>
    <xf numFmtId="49" fontId="35" fillId="7" borderId="3" xfId="0" applyNumberFormat="1" applyFont="1" applyFill="1" applyBorder="1" applyAlignment="1">
      <alignment horizontal="center" vertical="center" wrapText="1"/>
    </xf>
    <xf numFmtId="0" fontId="35" fillId="5" borderId="3" xfId="0" applyFont="1" applyFill="1" applyBorder="1" applyAlignment="1">
      <alignment horizontal="center" vertical="center" wrapText="1"/>
    </xf>
    <xf numFmtId="49" fontId="43" fillId="5" borderId="3" xfId="0" applyNumberFormat="1" applyFont="1" applyFill="1" applyBorder="1" applyAlignment="1">
      <alignment horizontal="center" vertical="center" wrapText="1"/>
    </xf>
    <xf numFmtId="49" fontId="39" fillId="5" borderId="3" xfId="1" applyNumberFormat="1" applyFont="1" applyFill="1" applyBorder="1" applyAlignment="1">
      <alignment horizontal="center" vertical="center" wrapText="1"/>
    </xf>
    <xf numFmtId="177" fontId="43" fillId="5" borderId="3" xfId="1" applyFont="1" applyFill="1" applyBorder="1" applyAlignment="1">
      <alignment horizontal="center" vertical="center" wrapText="1"/>
    </xf>
    <xf numFmtId="0" fontId="22" fillId="0" borderId="0" xfId="6" applyFont="1" applyAlignment="1">
      <alignment horizontal="center" vertical="center"/>
    </xf>
    <xf numFmtId="0" fontId="25" fillId="0" borderId="0" xfId="6" applyFont="1" applyAlignment="1">
      <alignment vertical="center"/>
    </xf>
    <xf numFmtId="0" fontId="24" fillId="0" borderId="0" xfId="6" applyFont="1" applyAlignment="1">
      <alignment vertical="center"/>
    </xf>
    <xf numFmtId="0" fontId="16" fillId="0" borderId="4" xfId="6" applyFont="1" applyBorder="1" applyAlignment="1">
      <alignment vertical="center"/>
    </xf>
    <xf numFmtId="0" fontId="16" fillId="0" borderId="5" xfId="6" applyFont="1" applyBorder="1" applyAlignment="1">
      <alignment vertical="center"/>
    </xf>
    <xf numFmtId="0" fontId="16" fillId="0" borderId="6" xfId="6" applyFont="1" applyBorder="1" applyAlignment="1">
      <alignment vertical="center"/>
    </xf>
    <xf numFmtId="0" fontId="38" fillId="0" borderId="0" xfId="0" applyFont="1" applyAlignment="1">
      <alignment vertical="center" wrapText="1"/>
    </xf>
    <xf numFmtId="0" fontId="37" fillId="0" borderId="0" xfId="0" applyFont="1" applyAlignment="1">
      <alignment vertical="center" wrapText="1"/>
    </xf>
    <xf numFmtId="0" fontId="27" fillId="0" borderId="0" xfId="0" applyFont="1" applyAlignment="1">
      <alignment horizontal="center" vertical="center"/>
    </xf>
    <xf numFmtId="0" fontId="23" fillId="0" borderId="31" xfId="0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9" borderId="4" xfId="0" applyFont="1" applyFill="1" applyBorder="1" applyAlignment="1">
      <alignment horizontal="center" vertical="center"/>
    </xf>
    <xf numFmtId="177" fontId="27" fillId="4" borderId="21" xfId="4" applyFont="1" applyFill="1" applyBorder="1" applyAlignment="1">
      <alignment horizontal="center" vertical="center"/>
    </xf>
    <xf numFmtId="178" fontId="27" fillId="4" borderId="21" xfId="5" applyFont="1" applyFill="1" applyBorder="1" applyAlignment="1">
      <alignment horizontal="center" vertical="center"/>
    </xf>
    <xf numFmtId="0" fontId="27" fillId="4" borderId="21" xfId="0" applyFont="1" applyFill="1" applyBorder="1" applyAlignment="1">
      <alignment horizontal="center" vertical="center"/>
    </xf>
    <xf numFmtId="0" fontId="27" fillId="4" borderId="3" xfId="0" applyFont="1" applyFill="1" applyBorder="1" applyAlignment="1">
      <alignment horizontal="center" vertical="center"/>
    </xf>
    <xf numFmtId="0" fontId="27" fillId="4" borderId="21" xfId="3" applyFont="1" applyFill="1" applyBorder="1" applyAlignment="1">
      <alignment horizontal="center" vertical="center"/>
    </xf>
    <xf numFmtId="0" fontId="27" fillId="4" borderId="3" xfId="3" applyFont="1" applyFill="1" applyBorder="1" applyAlignment="1">
      <alignment horizontal="center" vertical="center"/>
    </xf>
    <xf numFmtId="0" fontId="27" fillId="4" borderId="21" xfId="3" applyFont="1" applyFill="1" applyBorder="1" applyAlignment="1">
      <alignment horizontal="center" vertical="center" wrapText="1"/>
    </xf>
  </cellXfs>
  <cellStyles count="28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4" zoomScale="85" zoomScaleNormal="85" workbookViewId="0">
      <selection activeCell="F31" sqref="F31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52" t="s">
        <v>6</v>
      </c>
      <c r="B2" s="152"/>
      <c r="C2" s="152"/>
      <c r="D2" s="152"/>
      <c r="E2" s="152"/>
      <c r="F2" s="152"/>
      <c r="G2" s="152"/>
      <c r="H2" s="2"/>
    </row>
    <row r="3" spans="1:9" ht="14.25">
      <c r="A3" s="88"/>
      <c r="B3" s="88"/>
      <c r="C3" s="88"/>
      <c r="D3" s="88"/>
      <c r="E3" s="88"/>
      <c r="F3" s="88"/>
      <c r="G3" s="88"/>
      <c r="H3" s="88"/>
    </row>
    <row r="4" spans="1:9" ht="14.25">
      <c r="A4" s="88"/>
      <c r="B4" s="88"/>
      <c r="C4" s="88"/>
      <c r="D4" s="88"/>
      <c r="E4" s="88"/>
      <c r="H4" s="88"/>
    </row>
    <row r="5" spans="1:9" ht="27" customHeight="1">
      <c r="A5" s="89" t="s">
        <v>48</v>
      </c>
      <c r="B5" s="4"/>
      <c r="C5" s="5"/>
      <c r="D5" s="88"/>
      <c r="E5" s="88"/>
      <c r="F5" s="6" t="s">
        <v>38</v>
      </c>
      <c r="G5" s="7" t="s">
        <v>52</v>
      </c>
      <c r="H5" s="88"/>
    </row>
    <row r="6" spans="1:9" ht="27" customHeight="1">
      <c r="A6" s="88"/>
      <c r="B6" s="88"/>
      <c r="C6" s="88"/>
      <c r="D6" s="88"/>
      <c r="E6" s="88"/>
      <c r="F6" s="8" t="s">
        <v>41</v>
      </c>
      <c r="G6" s="9" t="s">
        <v>53</v>
      </c>
      <c r="H6" s="88"/>
    </row>
    <row r="7" spans="1:9" ht="27" customHeight="1">
      <c r="A7" s="155" t="s">
        <v>80</v>
      </c>
      <c r="B7" s="156"/>
      <c r="C7" s="157"/>
      <c r="D7" s="88"/>
      <c r="E7" s="10"/>
      <c r="F7" s="11" t="s">
        <v>42</v>
      </c>
      <c r="G7" s="9" t="s">
        <v>54</v>
      </c>
      <c r="H7" s="88"/>
    </row>
    <row r="8" spans="1:9" ht="27" customHeight="1">
      <c r="A8" s="88"/>
      <c r="B8" s="88"/>
      <c r="C8" s="88"/>
      <c r="D8" s="88"/>
      <c r="E8" s="88"/>
      <c r="F8" s="8" t="s">
        <v>43</v>
      </c>
      <c r="G8" s="9" t="s">
        <v>55</v>
      </c>
      <c r="H8" s="88"/>
    </row>
    <row r="9" spans="1:9" ht="27" customHeight="1">
      <c r="A9" s="155" t="s">
        <v>131</v>
      </c>
      <c r="B9" s="156"/>
      <c r="C9" s="157"/>
      <c r="D9" s="88"/>
      <c r="E9" s="88"/>
      <c r="F9" s="8" t="s">
        <v>44</v>
      </c>
      <c r="G9" s="9" t="s">
        <v>56</v>
      </c>
      <c r="H9" s="88"/>
    </row>
    <row r="10" spans="1:9" ht="27" customHeight="1">
      <c r="A10" s="88"/>
      <c r="B10" s="88"/>
      <c r="C10" s="88"/>
      <c r="D10" s="88"/>
      <c r="E10" s="88"/>
      <c r="F10" s="12" t="s">
        <v>39</v>
      </c>
      <c r="G10" s="13" t="s">
        <v>57</v>
      </c>
      <c r="H10" s="88"/>
      <c r="I10" s="88"/>
    </row>
    <row r="11" spans="1:9" ht="27" customHeight="1">
      <c r="A11" s="153"/>
      <c r="B11" s="154"/>
      <c r="C11" s="154"/>
      <c r="D11" s="88"/>
      <c r="E11" s="14"/>
      <c r="F11" s="15" t="s">
        <v>40</v>
      </c>
      <c r="G11" s="16" t="s">
        <v>58</v>
      </c>
      <c r="H11" s="14"/>
    </row>
    <row r="12" spans="1:9" ht="18.75" thickBot="1">
      <c r="A12" s="17" t="s">
        <v>7</v>
      </c>
      <c r="B12" s="17" t="str">
        <f>NUMBERSTRING(F31,1)</f>
        <v>사백사십삼만사천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88"/>
      <c r="B13" s="88"/>
      <c r="C13" s="88"/>
      <c r="D13" s="88"/>
      <c r="E13" s="88"/>
      <c r="F13" s="88"/>
      <c r="G13" s="88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'내역서(표준단가)'!O22</f>
        <v>1590257.5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'내역서(표준단가)'!Q22</f>
        <v>2288768.9343999997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'내역서(표준단가)'!S22+'내역서(표준단가)'!U22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3879026.4343999997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102994.60204799999</v>
      </c>
      <c r="G21" s="35" t="s">
        <v>26</v>
      </c>
    </row>
    <row r="22" spans="1:7" ht="33" customHeight="1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81136.85872448</v>
      </c>
      <c r="G22" s="48" t="s">
        <v>28</v>
      </c>
    </row>
    <row r="23" spans="1:7" ht="33" customHeight="1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10507.22320482016</v>
      </c>
      <c r="G23" s="35" t="s">
        <v>28</v>
      </c>
    </row>
    <row r="24" spans="1:7" ht="33" customHeight="1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23116.566237439994</v>
      </c>
      <c r="G24" s="35" t="s">
        <v>28</v>
      </c>
    </row>
    <row r="25" spans="1:7" ht="33" customHeight="1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81480.174064639985</v>
      </c>
      <c r="G25" s="35" t="s">
        <v>28</v>
      </c>
    </row>
    <row r="26" spans="1:7" ht="33" customHeight="1">
      <c r="A26" s="29"/>
      <c r="B26" s="42" t="s">
        <v>32</v>
      </c>
      <c r="C26" s="49" t="s">
        <v>79</v>
      </c>
      <c r="D26" s="30">
        <v>1</v>
      </c>
      <c r="E26" s="30" t="s">
        <v>25</v>
      </c>
      <c r="F26" s="43">
        <f>(F16+F17)*3.11%</f>
        <v>120637.72210983999</v>
      </c>
      <c r="G26" s="35" t="s">
        <v>26</v>
      </c>
    </row>
    <row r="27" spans="1:7" ht="33" customHeight="1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135432.10403946097</v>
      </c>
      <c r="G27" s="35"/>
    </row>
    <row r="28" spans="1:7" ht="33" customHeight="1">
      <c r="A28" s="29"/>
      <c r="B28" s="36" t="s">
        <v>33</v>
      </c>
      <c r="C28" s="50"/>
      <c r="D28" s="51"/>
      <c r="E28" s="37"/>
      <c r="F28" s="52">
        <f>F21+F22+F23+F24+F25+F26+F27</f>
        <v>555305.25042868115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4434331.6848286809</v>
      </c>
      <c r="G30" s="35"/>
    </row>
    <row r="31" spans="1:7" ht="33" customHeight="1">
      <c r="A31" s="29"/>
      <c r="B31" s="36" t="s">
        <v>34</v>
      </c>
      <c r="C31" s="36"/>
      <c r="D31" s="37"/>
      <c r="E31" s="37"/>
      <c r="F31" s="58">
        <f>ROUNDDOWN(F30,-3)</f>
        <v>4434000</v>
      </c>
      <c r="G31" s="35"/>
    </row>
    <row r="32" spans="1:7" ht="33" customHeight="1" thickBot="1">
      <c r="A32" s="59"/>
      <c r="B32" s="60" t="s">
        <v>35</v>
      </c>
      <c r="C32" s="61"/>
      <c r="D32" s="61"/>
      <c r="E32" s="61"/>
      <c r="F32" s="62"/>
      <c r="G32" s="63"/>
    </row>
    <row r="33" spans="2:2" ht="15.75">
      <c r="B33" s="64"/>
    </row>
    <row r="34" spans="2:2" ht="15.75">
      <c r="B34" s="64"/>
    </row>
  </sheetData>
  <mergeCells count="4">
    <mergeCell ref="A2:G2"/>
    <mergeCell ref="A11:C11"/>
    <mergeCell ref="A9:C9"/>
    <mergeCell ref="A7:C7"/>
  </mergeCells>
  <phoneticPr fontId="9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28"/>
  <sheetViews>
    <sheetView showGridLines="0" zoomScale="80" zoomScaleNormal="80" workbookViewId="0">
      <pane ySplit="4" topLeftCell="A5" activePane="bottomLeft" state="frozen"/>
      <selection pane="bottomLeft" activeCell="A19" sqref="A19"/>
    </sheetView>
  </sheetViews>
  <sheetFormatPr defaultColWidth="9" defaultRowHeight="38.1" customHeight="1"/>
  <cols>
    <col min="1" max="1" width="22.625" style="109" bestFit="1" customWidth="1"/>
    <col min="2" max="5" width="23.875" style="109" hidden="1" customWidth="1"/>
    <col min="6" max="9" width="23.875" style="100" hidden="1" customWidth="1"/>
    <col min="10" max="10" width="38.375" style="95" customWidth="1"/>
    <col min="11" max="11" width="30.625" style="95" customWidth="1"/>
    <col min="12" max="12" width="15.75" style="100" customWidth="1"/>
    <col min="13" max="13" width="8.125" style="100" bestFit="1" customWidth="1"/>
    <col min="14" max="14" width="10.5" style="100" bestFit="1" customWidth="1"/>
    <col min="15" max="15" width="15.625" style="100" bestFit="1" customWidth="1"/>
    <col min="16" max="16" width="11.625" style="100" bestFit="1" customWidth="1"/>
    <col min="17" max="17" width="15.625" style="100" bestFit="1" customWidth="1"/>
    <col min="18" max="18" width="11.5" style="100" hidden="1" customWidth="1"/>
    <col min="19" max="19" width="8.75" style="100" hidden="1" customWidth="1"/>
    <col min="20" max="20" width="9.625" style="100" hidden="1" customWidth="1"/>
    <col min="21" max="21" width="13.25" style="100" hidden="1" customWidth="1"/>
    <col min="22" max="22" width="16.75" style="100" bestFit="1" customWidth="1"/>
    <col min="23" max="23" width="10.75" style="66" bestFit="1" customWidth="1"/>
    <col min="24" max="24" width="25.625" style="100" customWidth="1"/>
    <col min="25" max="16384" width="9" style="100"/>
  </cols>
  <sheetData>
    <row r="1" spans="1:24" ht="19.899999999999999" customHeight="1">
      <c r="A1" s="160"/>
      <c r="B1" s="160"/>
      <c r="C1" s="160"/>
      <c r="D1" s="160"/>
      <c r="E1" s="160"/>
      <c r="F1" s="160"/>
      <c r="G1" s="160"/>
      <c r="H1" s="160"/>
      <c r="I1" s="160"/>
      <c r="N1" s="66"/>
      <c r="O1" s="99" t="s">
        <v>60</v>
      </c>
      <c r="Q1" s="99" t="s">
        <v>60</v>
      </c>
      <c r="S1" s="99" t="s">
        <v>60</v>
      </c>
      <c r="U1" s="99" t="s">
        <v>60</v>
      </c>
    </row>
    <row r="2" spans="1:24" ht="19.899999999999999" customHeight="1" thickBot="1">
      <c r="A2" s="160"/>
      <c r="B2" s="160"/>
      <c r="C2" s="160"/>
      <c r="D2" s="160"/>
      <c r="E2" s="160"/>
      <c r="F2" s="160"/>
      <c r="G2" s="160"/>
      <c r="H2" s="160"/>
      <c r="I2" s="160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>
      <c r="A3" s="101"/>
      <c r="B3" s="101"/>
      <c r="C3" s="101"/>
      <c r="D3" s="101"/>
      <c r="E3" s="101"/>
      <c r="F3" s="101" t="s">
        <v>61</v>
      </c>
      <c r="G3" s="102"/>
      <c r="H3" s="102"/>
      <c r="I3" s="102"/>
      <c r="J3" s="171" t="s">
        <v>62</v>
      </c>
      <c r="K3" s="171"/>
      <c r="L3" s="169" t="s">
        <v>47</v>
      </c>
      <c r="M3" s="169" t="s">
        <v>5</v>
      </c>
      <c r="N3" s="165" t="s">
        <v>63</v>
      </c>
      <c r="O3" s="165"/>
      <c r="P3" s="165" t="s">
        <v>64</v>
      </c>
      <c r="Q3" s="165"/>
      <c r="R3" s="166" t="s">
        <v>65</v>
      </c>
      <c r="S3" s="166"/>
      <c r="T3" s="166" t="s">
        <v>66</v>
      </c>
      <c r="U3" s="166"/>
      <c r="V3" s="167" t="s">
        <v>67</v>
      </c>
      <c r="W3" s="163" t="s">
        <v>68</v>
      </c>
      <c r="X3" s="161" t="s">
        <v>45</v>
      </c>
    </row>
    <row r="4" spans="1:24" ht="19.899999999999999" customHeight="1">
      <c r="A4" s="69" t="s">
        <v>69</v>
      </c>
      <c r="B4" s="70"/>
      <c r="C4" s="70"/>
      <c r="D4" s="70"/>
      <c r="E4" s="70"/>
      <c r="F4" s="71" t="s">
        <v>70</v>
      </c>
      <c r="G4" s="71" t="s">
        <v>71</v>
      </c>
      <c r="H4" s="71" t="s">
        <v>72</v>
      </c>
      <c r="I4" s="71" t="s">
        <v>73</v>
      </c>
      <c r="J4" s="96" t="s">
        <v>74</v>
      </c>
      <c r="K4" s="96" t="s">
        <v>75</v>
      </c>
      <c r="L4" s="170"/>
      <c r="M4" s="170"/>
      <c r="N4" s="72" t="s">
        <v>76</v>
      </c>
      <c r="O4" s="73" t="s">
        <v>77</v>
      </c>
      <c r="P4" s="72" t="s">
        <v>59</v>
      </c>
      <c r="Q4" s="73" t="s">
        <v>77</v>
      </c>
      <c r="R4" s="73" t="s">
        <v>78</v>
      </c>
      <c r="S4" s="73" t="s">
        <v>77</v>
      </c>
      <c r="T4" s="73" t="s">
        <v>78</v>
      </c>
      <c r="U4" s="73" t="s">
        <v>77</v>
      </c>
      <c r="V4" s="168"/>
      <c r="W4" s="164"/>
      <c r="X4" s="162"/>
    </row>
    <row r="5" spans="1:24" s="103" customFormat="1" ht="24" customHeight="1">
      <c r="A5" s="120" t="str">
        <f t="shared" ref="A5:A21" si="0">F5&amp;G5&amp;H5&amp;I5</f>
        <v>E00000801011510102</v>
      </c>
      <c r="B5" s="121"/>
      <c r="C5" s="121"/>
      <c r="D5" s="121"/>
      <c r="E5" s="121"/>
      <c r="F5" s="86"/>
      <c r="G5" s="135" t="s">
        <v>86</v>
      </c>
      <c r="H5" s="122"/>
      <c r="I5" s="113"/>
      <c r="J5" s="126" t="s">
        <v>88</v>
      </c>
      <c r="K5" s="118" t="s">
        <v>89</v>
      </c>
      <c r="L5" s="126" t="s">
        <v>90</v>
      </c>
      <c r="M5" s="127">
        <v>40</v>
      </c>
      <c r="N5" s="123"/>
      <c r="O5" s="80">
        <f t="shared" ref="O5:O21" si="1">SUM(N5:N5)*M5*$O$2</f>
        <v>0</v>
      </c>
      <c r="P5" s="128">
        <v>1655</v>
      </c>
      <c r="Q5" s="80">
        <f t="shared" ref="Q5:Q11" si="2">M5*P5*$Q$2</f>
        <v>55277</v>
      </c>
      <c r="R5" s="81"/>
      <c r="S5" s="80">
        <f t="shared" ref="S5:S21" si="3">R5*M5*$S$2</f>
        <v>0</v>
      </c>
      <c r="T5" s="81"/>
      <c r="U5" s="80">
        <f t="shared" ref="U5:U21" si="4">T5*M5*$U$2</f>
        <v>0</v>
      </c>
      <c r="V5" s="81">
        <f t="shared" ref="V5:V21" si="5">SUM(O5+Q5)+S5+U5</f>
        <v>55277</v>
      </c>
      <c r="W5" s="83"/>
      <c r="X5" s="84"/>
    </row>
    <row r="6" spans="1:24" s="103" customFormat="1" ht="24" customHeight="1">
      <c r="A6" s="120" t="str">
        <f t="shared" si="0"/>
        <v>E00000801011510201</v>
      </c>
      <c r="B6" s="121"/>
      <c r="C6" s="121"/>
      <c r="D6" s="121"/>
      <c r="E6" s="121"/>
      <c r="F6" s="86"/>
      <c r="G6" s="135" t="s">
        <v>87</v>
      </c>
      <c r="H6" s="122"/>
      <c r="I6" s="113"/>
      <c r="J6" s="126" t="s">
        <v>91</v>
      </c>
      <c r="K6" s="126" t="s">
        <v>92</v>
      </c>
      <c r="L6" s="118" t="s">
        <v>93</v>
      </c>
      <c r="M6" s="127">
        <v>20</v>
      </c>
      <c r="N6" s="123"/>
      <c r="O6" s="80">
        <f t="shared" si="1"/>
        <v>0</v>
      </c>
      <c r="P6" s="128">
        <v>21520</v>
      </c>
      <c r="Q6" s="80">
        <f t="shared" si="2"/>
        <v>359384</v>
      </c>
      <c r="R6" s="81"/>
      <c r="S6" s="80">
        <f t="shared" si="3"/>
        <v>0</v>
      </c>
      <c r="T6" s="81"/>
      <c r="U6" s="80">
        <f t="shared" si="4"/>
        <v>0</v>
      </c>
      <c r="V6" s="81">
        <f t="shared" si="5"/>
        <v>359384</v>
      </c>
      <c r="W6" s="83"/>
      <c r="X6" s="84"/>
    </row>
    <row r="7" spans="1:24" s="103" customFormat="1" ht="24" customHeight="1">
      <c r="A7" s="120" t="str">
        <f t="shared" si="0"/>
        <v>E00000803071250901</v>
      </c>
      <c r="B7" s="121"/>
      <c r="C7" s="121"/>
      <c r="D7" s="121"/>
      <c r="E7" s="121"/>
      <c r="F7" s="86"/>
      <c r="G7" s="136" t="s">
        <v>94</v>
      </c>
      <c r="H7" s="122"/>
      <c r="I7" s="113"/>
      <c r="J7" s="116" t="s">
        <v>95</v>
      </c>
      <c r="K7" s="116" t="s">
        <v>96</v>
      </c>
      <c r="L7" s="116" t="s">
        <v>97</v>
      </c>
      <c r="M7" s="124">
        <v>33</v>
      </c>
      <c r="N7" s="123"/>
      <c r="O7" s="80">
        <f t="shared" si="1"/>
        <v>0</v>
      </c>
      <c r="P7" s="125">
        <v>14123</v>
      </c>
      <c r="Q7" s="80">
        <f t="shared" si="2"/>
        <v>389159.26499999996</v>
      </c>
      <c r="R7" s="81"/>
      <c r="S7" s="80">
        <f t="shared" si="3"/>
        <v>0</v>
      </c>
      <c r="T7" s="81"/>
      <c r="U7" s="80">
        <f t="shared" si="4"/>
        <v>0</v>
      </c>
      <c r="V7" s="81">
        <f t="shared" si="5"/>
        <v>389159.26499999996</v>
      </c>
      <c r="W7" s="83"/>
      <c r="X7" s="84"/>
    </row>
    <row r="8" spans="1:24" s="103" customFormat="1" ht="24" customHeight="1">
      <c r="A8" s="120" t="str">
        <f t="shared" si="0"/>
        <v>E00000803073010101</v>
      </c>
      <c r="B8" s="121"/>
      <c r="C8" s="121"/>
      <c r="D8" s="121"/>
      <c r="E8" s="121"/>
      <c r="F8" s="86"/>
      <c r="G8" s="137" t="s">
        <v>127</v>
      </c>
      <c r="H8" s="122"/>
      <c r="I8" s="113"/>
      <c r="J8" s="126" t="s">
        <v>128</v>
      </c>
      <c r="K8" s="118" t="s">
        <v>129</v>
      </c>
      <c r="L8" s="126" t="s">
        <v>97</v>
      </c>
      <c r="M8" s="124">
        <v>33</v>
      </c>
      <c r="N8" s="123"/>
      <c r="O8" s="80">
        <f t="shared" ref="O8" si="6">SUM(N8:N8)*M8*$O$2</f>
        <v>0</v>
      </c>
      <c r="P8" s="138">
        <v>8363</v>
      </c>
      <c r="Q8" s="80">
        <f t="shared" si="2"/>
        <v>230442.465</v>
      </c>
      <c r="R8" s="81"/>
      <c r="S8" s="80">
        <f t="shared" ref="S8" si="7">R8*M8*$S$2</f>
        <v>0</v>
      </c>
      <c r="T8" s="81"/>
      <c r="U8" s="80">
        <f t="shared" ref="U8" si="8">T8*M8*$U$2</f>
        <v>0</v>
      </c>
      <c r="V8" s="81">
        <f t="shared" ref="V8" si="9">SUM(O8+Q8)+S8+U8</f>
        <v>230442.465</v>
      </c>
      <c r="W8" s="83"/>
      <c r="X8" s="84"/>
    </row>
    <row r="9" spans="1:24" s="103" customFormat="1" ht="24" customHeight="1">
      <c r="A9" s="120" t="str">
        <f t="shared" si="0"/>
        <v>E00000803021040201</v>
      </c>
      <c r="B9" s="121"/>
      <c r="C9" s="121"/>
      <c r="D9" s="121"/>
      <c r="E9" s="121"/>
      <c r="F9" s="86"/>
      <c r="G9" s="136" t="s">
        <v>98</v>
      </c>
      <c r="H9" s="122"/>
      <c r="I9" s="113"/>
      <c r="J9" s="116" t="s">
        <v>99</v>
      </c>
      <c r="K9" s="116" t="s">
        <v>100</v>
      </c>
      <c r="L9" s="116" t="s">
        <v>101</v>
      </c>
      <c r="M9" s="124">
        <v>33</v>
      </c>
      <c r="N9" s="123"/>
      <c r="O9" s="80">
        <f t="shared" si="1"/>
        <v>0</v>
      </c>
      <c r="P9" s="125">
        <v>38765</v>
      </c>
      <c r="Q9" s="80">
        <f t="shared" si="2"/>
        <v>1068169.575</v>
      </c>
      <c r="R9" s="81"/>
      <c r="S9" s="80">
        <f t="shared" si="3"/>
        <v>0</v>
      </c>
      <c r="T9" s="81"/>
      <c r="U9" s="80">
        <f t="shared" si="4"/>
        <v>0</v>
      </c>
      <c r="V9" s="81">
        <f t="shared" si="5"/>
        <v>1068169.575</v>
      </c>
      <c r="W9" s="83"/>
      <c r="X9" s="84"/>
    </row>
    <row r="10" spans="1:24" s="103" customFormat="1" ht="24" customHeight="1">
      <c r="A10" s="120" t="str">
        <f t="shared" si="0"/>
        <v>E00000803021120201</v>
      </c>
      <c r="B10" s="121"/>
      <c r="C10" s="121"/>
      <c r="D10" s="121"/>
      <c r="E10" s="121"/>
      <c r="F10" s="86"/>
      <c r="G10" s="136" t="s">
        <v>102</v>
      </c>
      <c r="H10" s="122"/>
      <c r="I10" s="113"/>
      <c r="J10" s="116" t="s">
        <v>103</v>
      </c>
      <c r="K10" s="117" t="s">
        <v>104</v>
      </c>
      <c r="L10" s="116" t="s">
        <v>97</v>
      </c>
      <c r="M10" s="124">
        <v>33</v>
      </c>
      <c r="N10" s="123"/>
      <c r="O10" s="80">
        <f t="shared" si="1"/>
        <v>0</v>
      </c>
      <c r="P10" s="125">
        <v>3125</v>
      </c>
      <c r="Q10" s="80">
        <f t="shared" si="2"/>
        <v>86109.375</v>
      </c>
      <c r="R10" s="81"/>
      <c r="S10" s="80">
        <f t="shared" si="3"/>
        <v>0</v>
      </c>
      <c r="T10" s="81"/>
      <c r="U10" s="80">
        <f t="shared" si="4"/>
        <v>0</v>
      </c>
      <c r="V10" s="81">
        <f t="shared" si="5"/>
        <v>86109.375</v>
      </c>
      <c r="W10" s="83"/>
      <c r="X10" s="84"/>
    </row>
    <row r="11" spans="1:24" s="103" customFormat="1" ht="24" customHeight="1">
      <c r="A11" s="120" t="str">
        <f t="shared" si="0"/>
        <v>E00000803051260301</v>
      </c>
      <c r="B11" s="121"/>
      <c r="C11" s="121"/>
      <c r="D11" s="121"/>
      <c r="E11" s="121"/>
      <c r="F11" s="86"/>
      <c r="G11" s="135" t="s">
        <v>105</v>
      </c>
      <c r="H11" s="122"/>
      <c r="I11" s="113"/>
      <c r="J11" s="126" t="s">
        <v>106</v>
      </c>
      <c r="K11" s="118" t="s">
        <v>126</v>
      </c>
      <c r="L11" s="126" t="s">
        <v>107</v>
      </c>
      <c r="M11" s="127">
        <v>2.88</v>
      </c>
      <c r="N11" s="123"/>
      <c r="O11" s="80">
        <f t="shared" si="1"/>
        <v>0</v>
      </c>
      <c r="P11" s="128">
        <v>41678</v>
      </c>
      <c r="Q11" s="80">
        <f t="shared" si="2"/>
        <v>100227.25439999999</v>
      </c>
      <c r="R11" s="81"/>
      <c r="S11" s="80">
        <f t="shared" si="3"/>
        <v>0</v>
      </c>
      <c r="T11" s="81"/>
      <c r="U11" s="80">
        <f t="shared" si="4"/>
        <v>0</v>
      </c>
      <c r="V11" s="81">
        <f t="shared" si="5"/>
        <v>100227.25439999999</v>
      </c>
      <c r="W11" s="83"/>
      <c r="X11" s="84"/>
    </row>
    <row r="12" spans="1:24" s="103" customFormat="1" ht="34.5" customHeight="1">
      <c r="A12" s="120" t="str">
        <f t="shared" si="0"/>
        <v>M020170910170101</v>
      </c>
      <c r="B12" s="121"/>
      <c r="C12" s="121"/>
      <c r="D12" s="121"/>
      <c r="E12" s="121"/>
      <c r="F12" s="86"/>
      <c r="G12" s="122"/>
      <c r="H12" s="134" t="s">
        <v>108</v>
      </c>
      <c r="I12" s="113"/>
      <c r="J12" s="126" t="s">
        <v>145</v>
      </c>
      <c r="K12" s="115" t="s">
        <v>81</v>
      </c>
      <c r="L12" s="115" t="s">
        <v>132</v>
      </c>
      <c r="M12" s="129">
        <v>35</v>
      </c>
      <c r="N12" s="114">
        <v>35000</v>
      </c>
      <c r="O12" s="80">
        <f t="shared" ref="O12:O19" si="10">SUM(N12:N12)*M12*$O$2</f>
        <v>1022875</v>
      </c>
      <c r="P12" s="79"/>
      <c r="Q12" s="80">
        <f t="shared" ref="Q12:Q17" si="11">M12*P12</f>
        <v>0</v>
      </c>
      <c r="R12" s="81"/>
      <c r="S12" s="80">
        <f t="shared" ref="S12:S19" si="12">R12*M12*$S$2</f>
        <v>0</v>
      </c>
      <c r="T12" s="81"/>
      <c r="U12" s="80">
        <f t="shared" ref="U12:U19" si="13">T12*M12*$U$2</f>
        <v>0</v>
      </c>
      <c r="V12" s="81">
        <f t="shared" ref="V12:V19" si="14">SUM(O12+Q12)+S12+U12</f>
        <v>1022875</v>
      </c>
      <c r="W12" s="83"/>
      <c r="X12" s="84"/>
    </row>
    <row r="13" spans="1:24" s="103" customFormat="1" ht="24" customHeight="1">
      <c r="A13" s="120" t="str">
        <f t="shared" si="0"/>
        <v>M010550114370101</v>
      </c>
      <c r="B13" s="121"/>
      <c r="C13" s="121"/>
      <c r="D13" s="121"/>
      <c r="E13" s="121"/>
      <c r="F13" s="86"/>
      <c r="G13" s="122"/>
      <c r="H13" s="134" t="s">
        <v>109</v>
      </c>
      <c r="I13" s="113"/>
      <c r="J13" s="115" t="s">
        <v>110</v>
      </c>
      <c r="K13" s="115" t="s">
        <v>111</v>
      </c>
      <c r="L13" s="115" t="s">
        <v>112</v>
      </c>
      <c r="M13" s="129">
        <v>5</v>
      </c>
      <c r="N13" s="114">
        <v>5600</v>
      </c>
      <c r="O13" s="80">
        <f t="shared" si="10"/>
        <v>23380</v>
      </c>
      <c r="P13" s="79"/>
      <c r="Q13" s="80">
        <f t="shared" si="11"/>
        <v>0</v>
      </c>
      <c r="R13" s="81"/>
      <c r="S13" s="80">
        <f t="shared" si="12"/>
        <v>0</v>
      </c>
      <c r="T13" s="81"/>
      <c r="U13" s="80">
        <f t="shared" si="13"/>
        <v>0</v>
      </c>
      <c r="V13" s="81">
        <f t="shared" si="14"/>
        <v>23380</v>
      </c>
      <c r="W13" s="83"/>
      <c r="X13" s="84"/>
    </row>
    <row r="14" spans="1:24" s="103" customFormat="1" ht="24" customHeight="1">
      <c r="A14" s="120" t="str">
        <f t="shared" si="0"/>
        <v>M010550114050101</v>
      </c>
      <c r="B14" s="121"/>
      <c r="C14" s="121"/>
      <c r="D14" s="121"/>
      <c r="E14" s="121"/>
      <c r="F14" s="86"/>
      <c r="G14" s="122"/>
      <c r="H14" s="134" t="s">
        <v>113</v>
      </c>
      <c r="I14" s="113"/>
      <c r="J14" s="115" t="s">
        <v>114</v>
      </c>
      <c r="K14" s="115" t="s">
        <v>115</v>
      </c>
      <c r="L14" s="115" t="s">
        <v>112</v>
      </c>
      <c r="M14" s="129">
        <v>35</v>
      </c>
      <c r="N14" s="114">
        <v>6500</v>
      </c>
      <c r="O14" s="80">
        <f t="shared" si="10"/>
        <v>189962.5</v>
      </c>
      <c r="P14" s="79"/>
      <c r="Q14" s="80">
        <f t="shared" si="11"/>
        <v>0</v>
      </c>
      <c r="R14" s="81"/>
      <c r="S14" s="80">
        <f t="shared" si="12"/>
        <v>0</v>
      </c>
      <c r="T14" s="81"/>
      <c r="U14" s="80">
        <f t="shared" si="13"/>
        <v>0</v>
      </c>
      <c r="V14" s="81">
        <f t="shared" si="14"/>
        <v>189962.5</v>
      </c>
      <c r="W14" s="83"/>
      <c r="X14" s="84"/>
    </row>
    <row r="15" spans="1:24" s="103" customFormat="1" ht="27">
      <c r="A15" s="120" t="str">
        <f t="shared" si="0"/>
        <v>M010551213750101</v>
      </c>
      <c r="B15" s="121"/>
      <c r="C15" s="121"/>
      <c r="D15" s="121"/>
      <c r="E15" s="121"/>
      <c r="F15" s="86"/>
      <c r="G15" s="122"/>
      <c r="H15" s="134" t="s">
        <v>116</v>
      </c>
      <c r="I15" s="113"/>
      <c r="J15" s="115" t="s">
        <v>83</v>
      </c>
      <c r="K15" s="115" t="s">
        <v>130</v>
      </c>
      <c r="L15" s="115" t="s">
        <v>82</v>
      </c>
      <c r="M15" s="129">
        <v>7</v>
      </c>
      <c r="N15" s="114">
        <v>6000</v>
      </c>
      <c r="O15" s="80">
        <f t="shared" si="10"/>
        <v>35070</v>
      </c>
      <c r="P15" s="79"/>
      <c r="Q15" s="80">
        <f t="shared" si="11"/>
        <v>0</v>
      </c>
      <c r="R15" s="81"/>
      <c r="S15" s="80">
        <f t="shared" si="12"/>
        <v>0</v>
      </c>
      <c r="T15" s="81"/>
      <c r="U15" s="80">
        <f t="shared" si="13"/>
        <v>0</v>
      </c>
      <c r="V15" s="81">
        <f t="shared" si="14"/>
        <v>35070</v>
      </c>
      <c r="W15" s="83"/>
      <c r="X15" s="84"/>
    </row>
    <row r="16" spans="1:24" s="103" customFormat="1" ht="27">
      <c r="A16" s="120" t="str">
        <f t="shared" si="0"/>
        <v>M010551213790101</v>
      </c>
      <c r="B16" s="121"/>
      <c r="C16" s="121"/>
      <c r="D16" s="121"/>
      <c r="E16" s="121"/>
      <c r="F16" s="86"/>
      <c r="G16" s="122"/>
      <c r="H16" s="134" t="s">
        <v>117</v>
      </c>
      <c r="I16" s="113"/>
      <c r="J16" s="115" t="s">
        <v>118</v>
      </c>
      <c r="K16" s="115" t="s">
        <v>119</v>
      </c>
      <c r="L16" s="115" t="s">
        <v>82</v>
      </c>
      <c r="M16" s="129">
        <v>2</v>
      </c>
      <c r="N16" s="114">
        <v>11000</v>
      </c>
      <c r="O16" s="80">
        <f t="shared" si="10"/>
        <v>18370</v>
      </c>
      <c r="P16" s="79"/>
      <c r="Q16" s="80">
        <f t="shared" si="11"/>
        <v>0</v>
      </c>
      <c r="R16" s="81"/>
      <c r="S16" s="80">
        <f t="shared" si="12"/>
        <v>0</v>
      </c>
      <c r="T16" s="81"/>
      <c r="U16" s="80">
        <f t="shared" si="13"/>
        <v>0</v>
      </c>
      <c r="V16" s="81">
        <f t="shared" si="14"/>
        <v>18370</v>
      </c>
      <c r="W16" s="83"/>
      <c r="X16" s="84"/>
    </row>
    <row r="17" spans="1:24" s="103" customFormat="1" ht="27">
      <c r="A17" s="120" t="str">
        <f t="shared" si="0"/>
        <v>M020251411760101</v>
      </c>
      <c r="B17" s="121"/>
      <c r="C17" s="121"/>
      <c r="D17" s="121"/>
      <c r="E17" s="121"/>
      <c r="F17" s="86"/>
      <c r="G17" s="122"/>
      <c r="H17" s="134" t="s">
        <v>120</v>
      </c>
      <c r="I17" s="113"/>
      <c r="J17" s="119" t="s">
        <v>84</v>
      </c>
      <c r="K17" s="119" t="s">
        <v>85</v>
      </c>
      <c r="L17" s="119" t="s">
        <v>121</v>
      </c>
      <c r="M17" s="129">
        <v>12</v>
      </c>
      <c r="N17" s="130">
        <v>5000</v>
      </c>
      <c r="O17" s="80">
        <f t="shared" si="10"/>
        <v>50100</v>
      </c>
      <c r="P17" s="79"/>
      <c r="Q17" s="80">
        <f t="shared" si="11"/>
        <v>0</v>
      </c>
      <c r="R17" s="81"/>
      <c r="S17" s="80">
        <f t="shared" si="12"/>
        <v>0</v>
      </c>
      <c r="T17" s="81"/>
      <c r="U17" s="80">
        <f t="shared" si="13"/>
        <v>0</v>
      </c>
      <c r="V17" s="81">
        <f t="shared" si="14"/>
        <v>50100</v>
      </c>
      <c r="W17" s="83"/>
      <c r="X17" s="84"/>
    </row>
    <row r="18" spans="1:24" s="103" customFormat="1" ht="24" customHeight="1">
      <c r="A18" s="142" t="str">
        <f t="shared" si="0"/>
        <v>L003</v>
      </c>
      <c r="B18" s="143"/>
      <c r="C18" s="143"/>
      <c r="D18" s="143"/>
      <c r="E18" s="143"/>
      <c r="F18" s="144"/>
      <c r="G18" s="145"/>
      <c r="H18" s="146"/>
      <c r="I18" s="147" t="s">
        <v>139</v>
      </c>
      <c r="J18" s="148" t="s">
        <v>146</v>
      </c>
      <c r="K18" s="149" t="s">
        <v>140</v>
      </c>
      <c r="L18" s="150" t="s">
        <v>141</v>
      </c>
      <c r="M18" s="141">
        <v>2</v>
      </c>
      <c r="N18" s="123"/>
      <c r="O18" s="80">
        <f t="shared" si="10"/>
        <v>0</v>
      </c>
      <c r="P18" s="79"/>
      <c r="Q18" s="80">
        <f>M18*P18</f>
        <v>0</v>
      </c>
      <c r="R18" s="81"/>
      <c r="S18" s="80">
        <f t="shared" si="12"/>
        <v>0</v>
      </c>
      <c r="T18" s="81"/>
      <c r="U18" s="80">
        <f t="shared" si="13"/>
        <v>0</v>
      </c>
      <c r="V18" s="81">
        <f t="shared" si="14"/>
        <v>0</v>
      </c>
      <c r="W18" s="83"/>
      <c r="X18" s="140" t="s">
        <v>144</v>
      </c>
    </row>
    <row r="19" spans="1:24" s="103" customFormat="1" ht="24" customHeight="1">
      <c r="A19" s="142" t="str">
        <f t="shared" si="0"/>
        <v>L003</v>
      </c>
      <c r="B19" s="143"/>
      <c r="C19" s="143"/>
      <c r="D19" s="143"/>
      <c r="E19" s="143"/>
      <c r="F19" s="144"/>
      <c r="G19" s="145"/>
      <c r="H19" s="145"/>
      <c r="I19" s="147" t="s">
        <v>139</v>
      </c>
      <c r="J19" s="151" t="s">
        <v>142</v>
      </c>
      <c r="K19" s="149" t="s">
        <v>143</v>
      </c>
      <c r="L19" s="150" t="s">
        <v>141</v>
      </c>
      <c r="M19" s="141">
        <v>6</v>
      </c>
      <c r="N19" s="123"/>
      <c r="O19" s="80">
        <f t="shared" si="10"/>
        <v>0</v>
      </c>
      <c r="P19" s="79"/>
      <c r="Q19" s="80">
        <f>M19*P19</f>
        <v>0</v>
      </c>
      <c r="R19" s="81"/>
      <c r="S19" s="80">
        <f t="shared" si="12"/>
        <v>0</v>
      </c>
      <c r="T19" s="81"/>
      <c r="U19" s="80">
        <f t="shared" si="13"/>
        <v>0</v>
      </c>
      <c r="V19" s="81">
        <f t="shared" si="14"/>
        <v>0</v>
      </c>
      <c r="W19" s="83"/>
      <c r="X19" s="140" t="s">
        <v>144</v>
      </c>
    </row>
    <row r="20" spans="1:24" s="103" customFormat="1" ht="25.5">
      <c r="A20" s="120" t="str">
        <f t="shared" si="0"/>
        <v>M020806810430101</v>
      </c>
      <c r="B20" s="121"/>
      <c r="C20" s="121"/>
      <c r="D20" s="121"/>
      <c r="E20" s="121"/>
      <c r="F20" s="86"/>
      <c r="G20" s="122"/>
      <c r="H20" s="132" t="s">
        <v>122</v>
      </c>
      <c r="I20" s="113"/>
      <c r="J20" s="111" t="s">
        <v>125</v>
      </c>
      <c r="K20" s="111" t="s">
        <v>123</v>
      </c>
      <c r="L20" s="131" t="s">
        <v>124</v>
      </c>
      <c r="M20" s="133">
        <v>2</v>
      </c>
      <c r="N20" s="112">
        <v>150000</v>
      </c>
      <c r="O20" s="80">
        <f t="shared" si="1"/>
        <v>250500</v>
      </c>
      <c r="P20" s="79"/>
      <c r="Q20" s="80">
        <f t="shared" ref="Q20:Q21" si="15">M20*P20</f>
        <v>0</v>
      </c>
      <c r="R20" s="81"/>
      <c r="S20" s="80">
        <f t="shared" si="3"/>
        <v>0</v>
      </c>
      <c r="T20" s="81"/>
      <c r="U20" s="80">
        <f t="shared" si="4"/>
        <v>0</v>
      </c>
      <c r="V20" s="81">
        <f t="shared" si="5"/>
        <v>250500</v>
      </c>
      <c r="W20" s="83"/>
      <c r="X20" s="84"/>
    </row>
    <row r="21" spans="1:24" s="103" customFormat="1" ht="24" customHeight="1">
      <c r="A21" s="74" t="str">
        <f t="shared" si="0"/>
        <v/>
      </c>
      <c r="B21" s="85"/>
      <c r="C21" s="85"/>
      <c r="D21" s="85"/>
      <c r="E21" s="85"/>
      <c r="F21" s="86"/>
      <c r="G21" s="87"/>
      <c r="H21" s="87"/>
      <c r="I21" s="90"/>
      <c r="J21" s="94"/>
      <c r="K21" s="97"/>
      <c r="L21" s="92"/>
      <c r="M21" s="93"/>
      <c r="N21" s="82"/>
      <c r="O21" s="80">
        <f t="shared" si="1"/>
        <v>0</v>
      </c>
      <c r="P21" s="79"/>
      <c r="Q21" s="80">
        <f t="shared" si="15"/>
        <v>0</v>
      </c>
      <c r="R21" s="81"/>
      <c r="S21" s="80">
        <f t="shared" si="3"/>
        <v>0</v>
      </c>
      <c r="T21" s="81"/>
      <c r="U21" s="80">
        <f t="shared" si="4"/>
        <v>0</v>
      </c>
      <c r="V21" s="81">
        <f t="shared" si="5"/>
        <v>0</v>
      </c>
      <c r="W21" s="83"/>
      <c r="X21" s="84"/>
    </row>
    <row r="22" spans="1:24" s="105" customFormat="1" ht="38.1" customHeight="1">
      <c r="A22" s="104"/>
      <c r="B22" s="104"/>
      <c r="C22" s="104"/>
      <c r="D22" s="104"/>
      <c r="E22" s="104"/>
      <c r="J22" s="98"/>
      <c r="K22" s="98"/>
      <c r="O22" s="106">
        <f>SUM(O5:O21)</f>
        <v>1590257.5</v>
      </c>
      <c r="P22" s="107"/>
      <c r="Q22" s="106">
        <f>SUM(Q5:Q21)</f>
        <v>2288768.9343999997</v>
      </c>
      <c r="R22" s="107"/>
      <c r="S22" s="106">
        <f>SUM(S5:S21)</f>
        <v>0</v>
      </c>
      <c r="T22" s="107"/>
      <c r="U22" s="106">
        <f>SUM(U5:U21)</f>
        <v>0</v>
      </c>
      <c r="V22" s="108">
        <f>SUM(V5:V21)</f>
        <v>3879026.4343999997</v>
      </c>
      <c r="W22" s="75"/>
    </row>
    <row r="23" spans="1:24" ht="38.1" customHeight="1">
      <c r="K23" s="159" t="s">
        <v>135</v>
      </c>
      <c r="L23" s="159"/>
      <c r="M23" s="159"/>
      <c r="N23" s="159"/>
    </row>
    <row r="24" spans="1:24" ht="37.5" customHeight="1">
      <c r="K24" s="159" t="s">
        <v>133</v>
      </c>
      <c r="L24" s="159"/>
      <c r="M24" s="159"/>
      <c r="N24" s="159"/>
    </row>
    <row r="25" spans="1:24" ht="38.1" customHeight="1">
      <c r="K25" s="159" t="s">
        <v>134</v>
      </c>
      <c r="L25" s="159"/>
      <c r="M25" s="159"/>
      <c r="N25" s="159"/>
    </row>
    <row r="26" spans="1:24" ht="38.1" customHeight="1">
      <c r="K26" s="158" t="s">
        <v>136</v>
      </c>
      <c r="L26" s="158"/>
      <c r="M26" s="158"/>
      <c r="N26" s="158"/>
      <c r="O26" s="158"/>
      <c r="Q26" s="110"/>
    </row>
    <row r="27" spans="1:24" ht="37.5" customHeight="1">
      <c r="K27" s="158" t="s">
        <v>137</v>
      </c>
      <c r="L27" s="158"/>
      <c r="M27" s="158"/>
      <c r="N27" s="158"/>
      <c r="O27" s="158"/>
    </row>
    <row r="28" spans="1:24" ht="38.1" customHeight="1">
      <c r="K28" s="158" t="s">
        <v>138</v>
      </c>
      <c r="L28" s="158"/>
      <c r="M28" s="158"/>
      <c r="N28" s="158"/>
      <c r="O28" s="139"/>
    </row>
  </sheetData>
  <mergeCells count="18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  <mergeCell ref="K27:O27"/>
    <mergeCell ref="K26:O26"/>
    <mergeCell ref="K28:N28"/>
    <mergeCell ref="K23:N23"/>
    <mergeCell ref="K24:N24"/>
    <mergeCell ref="K25:N25"/>
  </mergeCells>
  <phoneticPr fontId="9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F15"/>
  <sheetViews>
    <sheetView showGridLines="0" zoomScaleNormal="100" workbookViewId="0">
      <selection activeCell="E33" sqref="E33"/>
    </sheetView>
  </sheetViews>
  <sheetFormatPr defaultRowHeight="14.25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91"/>
  </cols>
  <sheetData>
    <row r="1" spans="1:6" ht="18" customHeight="1">
      <c r="A1" s="76" t="s">
        <v>0</v>
      </c>
      <c r="B1" s="76" t="s">
        <v>1</v>
      </c>
      <c r="C1" s="76" t="s">
        <v>2</v>
      </c>
      <c r="D1" s="76" t="s">
        <v>3</v>
      </c>
      <c r="E1" s="76" t="s">
        <v>4</v>
      </c>
      <c r="F1" s="76" t="s">
        <v>5</v>
      </c>
    </row>
    <row r="2" spans="1:6">
      <c r="A2" s="77" t="str">
        <f>'내역서(표준단가)'!A5</f>
        <v>E00000801011510102</v>
      </c>
      <c r="B2" s="78"/>
      <c r="C2" s="78" t="str">
        <f>'내역서(표준단가)'!G5</f>
        <v>E00000801011510102</v>
      </c>
      <c r="D2" s="78">
        <f>'내역서(표준단가)'!H5</f>
        <v>0</v>
      </c>
      <c r="E2" s="78">
        <f>'내역서(표준단가)'!I5</f>
        <v>0</v>
      </c>
      <c r="F2" s="78">
        <f>'내역서(표준단가)'!M5</f>
        <v>40</v>
      </c>
    </row>
    <row r="3" spans="1:6">
      <c r="A3" s="77" t="str">
        <f>'내역서(표준단가)'!A6</f>
        <v>E00000801011510201</v>
      </c>
      <c r="B3" s="78"/>
      <c r="C3" s="78" t="str">
        <f>'내역서(표준단가)'!G6</f>
        <v>E00000801011510201</v>
      </c>
      <c r="D3" s="78">
        <f>'내역서(표준단가)'!H6</f>
        <v>0</v>
      </c>
      <c r="E3" s="78">
        <f>'내역서(표준단가)'!I6</f>
        <v>0</v>
      </c>
      <c r="F3" s="78">
        <f>'내역서(표준단가)'!M6</f>
        <v>20</v>
      </c>
    </row>
    <row r="4" spans="1:6">
      <c r="A4" s="77" t="str">
        <f>'내역서(표준단가)'!A7</f>
        <v>E00000803071250901</v>
      </c>
      <c r="B4" s="78"/>
      <c r="C4" s="78" t="str">
        <f>'내역서(표준단가)'!G7</f>
        <v>E00000803071250901</v>
      </c>
      <c r="D4" s="78">
        <f>'내역서(표준단가)'!H7</f>
        <v>0</v>
      </c>
      <c r="E4" s="78">
        <f>'내역서(표준단가)'!I7</f>
        <v>0</v>
      </c>
      <c r="F4" s="78">
        <f>'내역서(표준단가)'!M7</f>
        <v>33</v>
      </c>
    </row>
    <row r="5" spans="1:6">
      <c r="A5" s="77" t="str">
        <f>'내역서(표준단가)'!A8</f>
        <v>E00000803073010101</v>
      </c>
      <c r="B5" s="78"/>
      <c r="C5" s="78" t="str">
        <f>'내역서(표준단가)'!G8</f>
        <v>E00000803073010101</v>
      </c>
      <c r="D5" s="78">
        <f>'내역서(표준단가)'!H8</f>
        <v>0</v>
      </c>
      <c r="E5" s="78">
        <f>'내역서(표준단가)'!I8</f>
        <v>0</v>
      </c>
      <c r="F5" s="78">
        <f>'내역서(표준단가)'!M8</f>
        <v>33</v>
      </c>
    </row>
    <row r="6" spans="1:6">
      <c r="A6" s="77" t="str">
        <f>'내역서(표준단가)'!A9</f>
        <v>E00000803021040201</v>
      </c>
      <c r="B6" s="78"/>
      <c r="C6" s="78" t="str">
        <f>'내역서(표준단가)'!G9</f>
        <v>E00000803021040201</v>
      </c>
      <c r="D6" s="78">
        <f>'내역서(표준단가)'!H9</f>
        <v>0</v>
      </c>
      <c r="E6" s="78">
        <f>'내역서(표준단가)'!I9</f>
        <v>0</v>
      </c>
      <c r="F6" s="78">
        <f>'내역서(표준단가)'!M9</f>
        <v>33</v>
      </c>
    </row>
    <row r="7" spans="1:6">
      <c r="A7" s="77" t="str">
        <f>'내역서(표준단가)'!A10</f>
        <v>E00000803021120201</v>
      </c>
      <c r="B7" s="78"/>
      <c r="C7" s="78" t="str">
        <f>'내역서(표준단가)'!G10</f>
        <v>E00000803021120201</v>
      </c>
      <c r="D7" s="78">
        <f>'내역서(표준단가)'!H10</f>
        <v>0</v>
      </c>
      <c r="E7" s="78">
        <f>'내역서(표준단가)'!I10</f>
        <v>0</v>
      </c>
      <c r="F7" s="78">
        <f>'내역서(표준단가)'!M10</f>
        <v>33</v>
      </c>
    </row>
    <row r="8" spans="1:6">
      <c r="A8" s="77" t="str">
        <f>'내역서(표준단가)'!A11</f>
        <v>E00000803051260301</v>
      </c>
      <c r="B8" s="78"/>
      <c r="C8" s="78" t="str">
        <f>'내역서(표준단가)'!G11</f>
        <v>E00000803051260301</v>
      </c>
      <c r="D8" s="78">
        <f>'내역서(표준단가)'!H11</f>
        <v>0</v>
      </c>
      <c r="E8" s="78">
        <f>'내역서(표준단가)'!I11</f>
        <v>0</v>
      </c>
      <c r="F8" s="78">
        <f>'내역서(표준단가)'!M11</f>
        <v>2.88</v>
      </c>
    </row>
    <row r="9" spans="1:6">
      <c r="A9" s="77" t="str">
        <f>'내역서(표준단가)'!A12</f>
        <v>M020170910170101</v>
      </c>
      <c r="B9" s="78"/>
      <c r="C9" s="78">
        <f>'내역서(표준단가)'!G12</f>
        <v>0</v>
      </c>
      <c r="D9" s="78" t="str">
        <f>'내역서(표준단가)'!H12</f>
        <v>M020170910170101</v>
      </c>
      <c r="E9" s="78">
        <f>'내역서(표준단가)'!I12</f>
        <v>0</v>
      </c>
      <c r="F9" s="78">
        <f>'내역서(표준단가)'!M12</f>
        <v>35</v>
      </c>
    </row>
    <row r="10" spans="1:6">
      <c r="A10" s="77" t="str">
        <f>'내역서(표준단가)'!A13</f>
        <v>M010550114370101</v>
      </c>
      <c r="B10" s="78"/>
      <c r="C10" s="78">
        <f>'내역서(표준단가)'!G13</f>
        <v>0</v>
      </c>
      <c r="D10" s="78" t="str">
        <f>'내역서(표준단가)'!H13</f>
        <v>M010550114370101</v>
      </c>
      <c r="E10" s="78">
        <f>'내역서(표준단가)'!I13</f>
        <v>0</v>
      </c>
      <c r="F10" s="78">
        <f>'내역서(표준단가)'!M13</f>
        <v>5</v>
      </c>
    </row>
    <row r="11" spans="1:6">
      <c r="A11" s="77" t="str">
        <f>'내역서(표준단가)'!A14</f>
        <v>M010550114050101</v>
      </c>
      <c r="B11" s="78"/>
      <c r="C11" s="78">
        <f>'내역서(표준단가)'!G14</f>
        <v>0</v>
      </c>
      <c r="D11" s="78" t="str">
        <f>'내역서(표준단가)'!H14</f>
        <v>M010550114050101</v>
      </c>
      <c r="E11" s="78">
        <f>'내역서(표준단가)'!I14</f>
        <v>0</v>
      </c>
      <c r="F11" s="78">
        <f>'내역서(표준단가)'!M14</f>
        <v>35</v>
      </c>
    </row>
    <row r="12" spans="1:6">
      <c r="A12" s="77" t="str">
        <f>'내역서(표준단가)'!A15</f>
        <v>M010551213750101</v>
      </c>
      <c r="B12" s="78"/>
      <c r="C12" s="78">
        <f>'내역서(표준단가)'!G15</f>
        <v>0</v>
      </c>
      <c r="D12" s="78" t="str">
        <f>'내역서(표준단가)'!H15</f>
        <v>M010551213750101</v>
      </c>
      <c r="E12" s="78">
        <f>'내역서(표준단가)'!I15</f>
        <v>0</v>
      </c>
      <c r="F12" s="78">
        <f>'내역서(표준단가)'!M15</f>
        <v>7</v>
      </c>
    </row>
    <row r="13" spans="1:6">
      <c r="A13" s="77" t="str">
        <f>'내역서(표준단가)'!A16</f>
        <v>M010551213790101</v>
      </c>
      <c r="B13" s="78"/>
      <c r="C13" s="78">
        <f>'내역서(표준단가)'!G16</f>
        <v>0</v>
      </c>
      <c r="D13" s="78" t="str">
        <f>'내역서(표준단가)'!H16</f>
        <v>M010551213790101</v>
      </c>
      <c r="E13" s="78">
        <f>'내역서(표준단가)'!I16</f>
        <v>0</v>
      </c>
      <c r="F13" s="78">
        <f>'내역서(표준단가)'!M16</f>
        <v>2</v>
      </c>
    </row>
    <row r="14" spans="1:6">
      <c r="A14" s="77" t="str">
        <f>'내역서(표준단가)'!A17</f>
        <v>M020251411760101</v>
      </c>
      <c r="B14" s="78"/>
      <c r="C14" s="78">
        <f>'내역서(표준단가)'!G17</f>
        <v>0</v>
      </c>
      <c r="D14" s="78" t="str">
        <f>'내역서(표준단가)'!H17</f>
        <v>M020251411760101</v>
      </c>
      <c r="E14" s="78">
        <f>'내역서(표준단가)'!I17</f>
        <v>0</v>
      </c>
      <c r="F14" s="78">
        <f>'내역서(표준단가)'!M17</f>
        <v>12</v>
      </c>
    </row>
    <row r="15" spans="1:6">
      <c r="A15" s="77" t="str">
        <f>'내역서(표준단가)'!A20</f>
        <v>M020806810430101</v>
      </c>
      <c r="B15" s="78"/>
      <c r="C15" s="78">
        <f>'내역서(표준단가)'!G20</f>
        <v>0</v>
      </c>
      <c r="D15" s="78" t="str">
        <f>'내역서(표준단가)'!H20</f>
        <v>M020806810430101</v>
      </c>
      <c r="E15" s="78">
        <f>'내역서(표준단가)'!I20</f>
        <v>0</v>
      </c>
      <c r="F15" s="78">
        <f>'내역서(표준단가)'!M20</f>
        <v>2</v>
      </c>
    </row>
  </sheetData>
  <phoneticPr fontId="9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2025-11-05T02:08:48Z</dcterms:modified>
</cp:coreProperties>
</file>
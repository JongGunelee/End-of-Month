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18\06 작업폴더\06 사택 7-301 수장공사\"/>
    </mc:Choice>
  </mc:AlternateContent>
  <xr:revisionPtr revIDLastSave="0" documentId="13_ncr:1_{9BB1D29E-BB96-4EDB-9251-1AC3681D2DCB}" xr6:coauthVersionLast="47" xr6:coauthVersionMax="47" xr10:uidLastSave="{00000000-0000-0000-0000-000000000000}"/>
  <bookViews>
    <workbookView xWindow="1170" yWindow="0" windowWidth="21540" windowHeight="16245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D5" i="9" l="1"/>
  <c r="D19" i="9"/>
  <c r="D9" i="9"/>
  <c r="D7" i="9"/>
  <c r="F2" i="1"/>
  <c r="E2" i="1"/>
  <c r="D2" i="1"/>
  <c r="C2" i="1"/>
  <c r="B2" i="1"/>
  <c r="D11" i="9" l="1"/>
  <c r="P5" i="9"/>
  <c r="U5" i="4"/>
  <c r="S5" i="4"/>
  <c r="Q5" i="4"/>
  <c r="O5" i="4"/>
  <c r="A5" i="4"/>
  <c r="A2" i="1" s="1"/>
  <c r="V5" i="4" l="1"/>
  <c r="U12" i="4"/>
  <c r="S12" i="4"/>
  <c r="Q12" i="4"/>
  <c r="O12" i="4"/>
  <c r="A12" i="4"/>
  <c r="A9" i="1" s="1"/>
  <c r="U7" i="4"/>
  <c r="S7" i="4"/>
  <c r="Q7" i="4"/>
  <c r="O7" i="4"/>
  <c r="A7" i="4"/>
  <c r="A4" i="1" s="1"/>
  <c r="U6" i="4"/>
  <c r="S6" i="4"/>
  <c r="Q6" i="4"/>
  <c r="O6" i="4"/>
  <c r="A6" i="4"/>
  <c r="A3" i="1" s="1"/>
  <c r="V7" i="4" l="1"/>
  <c r="V12" i="4"/>
  <c r="V6" i="4"/>
  <c r="F17" i="9" l="1"/>
  <c r="N17" i="9" s="1"/>
  <c r="O9" i="4"/>
  <c r="V9" i="4" s="1"/>
  <c r="A9" i="4"/>
  <c r="A6" i="1" s="1"/>
  <c r="L29" i="9" l="1"/>
  <c r="J29" i="9"/>
  <c r="H28" i="9"/>
  <c r="H29" i="9" s="1"/>
  <c r="L27" i="9"/>
  <c r="J27" i="9"/>
  <c r="H20" i="9"/>
  <c r="F20" i="9"/>
  <c r="H19" i="9"/>
  <c r="F19" i="9"/>
  <c r="L15" i="9"/>
  <c r="J15" i="9"/>
  <c r="D15" i="9"/>
  <c r="H14" i="9"/>
  <c r="F14" i="9"/>
  <c r="H13" i="9"/>
  <c r="F13" i="9"/>
  <c r="H12" i="9"/>
  <c r="F12" i="9"/>
  <c r="L11" i="9"/>
  <c r="J11" i="9"/>
  <c r="H9" i="9"/>
  <c r="F9" i="9"/>
  <c r="H7" i="9"/>
  <c r="F7" i="9"/>
  <c r="H5" i="9"/>
  <c r="F5" i="9"/>
  <c r="L30" i="9" l="1"/>
  <c r="N19" i="9"/>
  <c r="J30" i="9"/>
  <c r="N13" i="9"/>
  <c r="N9" i="9"/>
  <c r="N12" i="9"/>
  <c r="F27" i="9"/>
  <c r="H15" i="9"/>
  <c r="N20" i="9"/>
  <c r="F11" i="9"/>
  <c r="N14" i="9"/>
  <c r="H27" i="9"/>
  <c r="H11" i="9"/>
  <c r="N7" i="9"/>
  <c r="N28" i="9"/>
  <c r="N29" i="9" s="1"/>
  <c r="N5" i="9"/>
  <c r="F15" i="9"/>
  <c r="F30" i="9" l="1"/>
  <c r="N15" i="9"/>
  <c r="H30" i="9"/>
  <c r="N11" i="9"/>
  <c r="N27" i="9"/>
  <c r="N30" i="9" l="1"/>
  <c r="A11" i="4" l="1"/>
  <c r="A8" i="1" s="1"/>
  <c r="A10" i="4"/>
  <c r="A7" i="1" s="1"/>
  <c r="A8" i="4"/>
  <c r="A5" i="1" s="1"/>
  <c r="U11" i="4" l="1"/>
  <c r="S11" i="4"/>
  <c r="Q11" i="4"/>
  <c r="O11" i="4"/>
  <c r="U10" i="4"/>
  <c r="S10" i="4"/>
  <c r="Q10" i="4"/>
  <c r="O10" i="4"/>
  <c r="U8" i="4"/>
  <c r="S8" i="4"/>
  <c r="Q8" i="4"/>
  <c r="O8" i="4"/>
  <c r="Q13" i="4" l="1"/>
  <c r="F17" i="5" s="1"/>
  <c r="V8" i="4"/>
  <c r="V11" i="4"/>
  <c r="V10" i="4"/>
  <c r="U13" i="4" l="1"/>
  <c r="O13" i="4"/>
  <c r="F16" i="5" s="1"/>
  <c r="F26" i="5" s="1"/>
  <c r="S13" i="4"/>
  <c r="F18" i="5" l="1"/>
  <c r="V13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<sst xmlns="http://schemas.openxmlformats.org/spreadsheetml/2006/main" count="209" uniqueCount="157">
  <si>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</si>
  <si>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</si>
  <si>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</si>
  <si>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</si>
  <si>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</si>
  <si>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</si>
  <si>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</si>
  <si>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</si>
  <si>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</si>
  <si>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</si>
  <si>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</si>
  <si>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</si>
  <si>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</si>
  <si>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</si>
  <si>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</si>
  <si>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</si>
  <si>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</si>
  <si>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</si>
  <si>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</si>
  <si>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</si>
  <si>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</si>
  <si>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</si>
  <si>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</si>
  <si>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</si>
  <si>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</si>
  <si>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</si>
  <si>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</si>
  <si>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</si>
  <si>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</si>
  <si>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</si>
  <si>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</si>
  <si>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</si>
  <si>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</si>
  <si>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</si>
  <si>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</si>
  <si>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</si>
  <si>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</si>
  <si>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</si>
  <si>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</si>
  <si>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</si>
  <si>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</si>
  <si>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</si>
  <si>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</si>
  <si>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</si>
  <si>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</si>
  <si>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</si>
  <si>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</si>
  <si>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</si>
  <si>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</si>
  <si>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</si>
  <si>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</si>
  <si>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</si>
  <si>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</si>
  <si>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</si>
  <si>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</si>
  <si>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</si>
  <si>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</si>
  <si>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</si>
  <si>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</si>
  <si>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</si>
  <si>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</si>
  <si>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</si>
  <si>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</si>
  <si>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</si>
  <si>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</si>
  <si>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</si>
  <si>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</si>
  <si>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</si>
  <si>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</si>
  <si>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</si>
  <si>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</si>
  <si>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</si>
  <si>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</si>
  <si>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</si>
  <si>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</si>
  <si>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</si>
  <si>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</si>
  <si>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</si>
  <si>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</si>
  <si>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</si>
  <si>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</si>
  <si>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</si>
  <si>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</si>
  <si>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</si>
  <si>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</si>
  <si>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</si>
  <si>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</si>
  <si>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</si>
  <si>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</si>
  <si>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</si>
  <si>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</si>
  <si>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</si>
  <si>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</si>
  <si>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</si>
  <si>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</si>
  <si>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</si>
  <si>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</si>
  <si>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</si>
  <si>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</si>
  <si>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</si>
  <si>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</si>
  <si>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</si>
  <si>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</si>
  <si>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</si>
  <si>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</si>
  <si>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</si>
  <si>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</si>
  <si>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</si>
  <si>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</si>
  <si>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</si>
  <si>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</si>
  <si>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</si>
  <si>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</si>
  <si>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</si>
  <si>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</si>
  <si>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</si>
  <si>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</si>
  <si>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</si>
  <si>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</si>
  <si>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</si>
  <si>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</si>
  <si>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</si>
  <si>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</si>
  <si>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</si>
  <si>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</si>
  <si>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</si>
  <si>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</si>
  <si>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</si>
  <si>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</si>
  <si>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</si>
  <si>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</si>
  <si>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</si>
  <si>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</si>
  <si>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</si>
  <si>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</si>
  <si>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</si>
  <si>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</si>
  <si>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</si>
  <si>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</si>
  <si>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</si>
  <si>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</si>
  <si>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</si>
  <si>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</si>
  <si>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</si>
  <si>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</si>
  <si>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</si>
  <si>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</si>
  <si>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</si>
  <si>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>E00000801011510701</t>
  </si>
  <si>
    <t>R/L</t>
  </si>
  <si>
    <t xml:space="preserve">일당 시공량-61㎡ 적산정보 500p 참조,시공총량39.6/일당61=0.887 </t>
    <phoneticPr fontId="5" type="noConversion"/>
  </si>
  <si>
    <t>일당 시공량-벽 46㎡, 적산정보 500p 참조,시공총량91/일당46=1.978</t>
    <phoneticPr fontId="5" type="noConversion"/>
  </si>
  <si>
    <t xml:space="preserve">(앞,뒤베란다 걸레받이(앞,뒤베란다 창고바닥포함)), </t>
  </si>
  <si>
    <t xml:space="preserve"> 공사명 : 사택 7-301 수장공사</t>
    <phoneticPr fontId="11" type="noConversion"/>
  </si>
  <si>
    <t xml:space="preserve"> 견적일 : 2025 년  08월  26일</t>
    <phoneticPr fontId="11" type="noConversion"/>
  </si>
  <si>
    <t>사택 7-301 수장공사</t>
    <phoneticPr fontId="5" type="noConversion"/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</si>
  <si>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>, 소요량91/16.51=5.5119R/L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</si>
</sst>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#,##0.0_);[Red]\(#,##0.0\)"/>
    <numFmt numFmtId="189" formatCode="0.000_ "/>
    <numFmt numFmtId="190" formatCode="0.0_);[Red]\(0.0\)"/>
    <numFmt numFmtId="191" formatCode="#,##0;\-#,##0;"/>
    <numFmt numFmtId="192" formatCode="0.000"/>
    <numFmt numFmtId="193" formatCode="0.00_);[Red]\(0.00\)"/>
  </numFmts>
  <fonts count="31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b/>
      <sz val="10"/>
      <color rgb="FFFF0000"/>
      <name val="굴림"/>
      <family val="3"/>
      <charset val="129"/>
    </font>
    <font>
      <sz val="9"/>
      <color rgb="FFFF0000"/>
      <name val="LG스마트체 Regular"/>
      <family val="3"/>
      <charset val="129"/>
    </font>
    <font>
      <sz val="1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6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8" fontId="24" fillId="5" borderId="31" xfId="13" applyNumberFormat="1" applyFont="1" applyFill="1" applyBorder="1" applyAlignment="1">
      <alignment horizontal="center" vertical="center" wrapText="1"/>
    </xf>
    <xf numFmtId="189" fontId="19" fillId="0" borderId="1" xfId="1" applyNumberFormat="1" applyFont="1" applyBorder="1" applyAlignment="1">
      <alignment horizontal="center" vertical="center"/>
    </xf>
    <xf numFmtId="187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3" fontId="24" fillId="0" borderId="31" xfId="13" applyNumberFormat="1" applyFont="1" applyBorder="1" applyAlignment="1">
      <alignment horizontal="right" vertical="center" wrapText="1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5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1" fontId="19" fillId="5" borderId="3" xfId="0" applyNumberFormat="1" applyFont="1" applyFill="1" applyBorder="1" applyAlignment="1">
      <alignment horizontal="right" vertical="center" wrapText="1"/>
    </xf>
    <xf numFmtId="191" fontId="19" fillId="6" borderId="3" xfId="1" applyNumberFormat="1" applyFont="1" applyFill="1" applyBorder="1" applyAlignment="1">
      <alignment horizontal="right" vertical="center" wrapText="1"/>
    </xf>
    <xf numFmtId="191" fontId="19" fillId="0" borderId="3" xfId="1" applyNumberFormat="1" applyFont="1" applyFill="1" applyBorder="1" applyAlignment="1">
      <alignment horizontal="right" vertical="center" wrapText="1"/>
    </xf>
    <xf numFmtId="191" fontId="19" fillId="5" borderId="3" xfId="0" applyNumberFormat="1" applyFont="1" applyFill="1" applyBorder="1" applyAlignment="1">
      <alignment horizontal="right" vertical="center"/>
    </xf>
    <xf numFmtId="191" fontId="19" fillId="5" borderId="3" xfId="1" applyNumberFormat="1" applyFont="1" applyFill="1" applyBorder="1" applyAlignment="1">
      <alignment horizontal="right" vertical="center" wrapText="1"/>
    </xf>
    <xf numFmtId="192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1" fontId="19" fillId="5" borderId="3" xfId="1" applyNumberFormat="1" applyFont="1" applyFill="1" applyBorder="1" applyAlignment="1">
      <alignment horizontal="right" vertical="center"/>
    </xf>
    <xf numFmtId="0" fontId="24" fillId="7" borderId="3" xfId="0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191" fontId="24" fillId="5" borderId="3" xfId="1" applyNumberFormat="1" applyFont="1" applyFill="1" applyBorder="1" applyAlignment="1">
      <alignment horizontal="right" vertical="center" wrapText="1"/>
    </xf>
    <xf numFmtId="177" fontId="19" fillId="5" borderId="3" xfId="1" applyFont="1" applyFill="1" applyBorder="1" applyAlignment="1">
      <alignment vertical="center"/>
    </xf>
    <xf numFmtId="192" fontId="19" fillId="0" borderId="3" xfId="1" applyNumberFormat="1" applyFont="1" applyFill="1" applyBorder="1" applyAlignment="1">
      <alignment horizontal="center" vertical="center"/>
    </xf>
    <xf numFmtId="49" fontId="27" fillId="0" borderId="3" xfId="0" applyNumberFormat="1" applyFont="1" applyBorder="1" applyAlignment="1">
      <alignment horizontal="center" vertical="center" wrapText="1"/>
    </xf>
    <xf numFmtId="185" fontId="24" fillId="0" borderId="31" xfId="13" applyNumberFormat="1" applyFont="1" applyFill="1" applyBorder="1" applyAlignment="1">
      <alignment horizontal="center" vertical="center"/>
    </xf>
    <xf numFmtId="177" fontId="24" fillId="0" borderId="31" xfId="13" applyFont="1" applyFill="1" applyBorder="1" applyAlignment="1">
      <alignment horizontal="center" vertical="center"/>
    </xf>
    <xf numFmtId="0" fontId="19" fillId="0" borderId="31" xfId="13" applyNumberFormat="1" applyFont="1" applyFill="1" applyBorder="1" applyAlignment="1">
      <alignment vertical="center"/>
    </xf>
    <xf numFmtId="49" fontId="24" fillId="0" borderId="31" xfId="0" applyNumberFormat="1" applyFont="1" applyBorder="1" applyAlignment="1">
      <alignment horizontal="center" vertical="center"/>
    </xf>
    <xf numFmtId="183" fontId="24" fillId="0" borderId="31" xfId="13" applyNumberFormat="1" applyFont="1" applyFill="1" applyBorder="1" applyAlignment="1">
      <alignment horizontal="center" vertical="center" wrapText="1"/>
    </xf>
    <xf numFmtId="180" fontId="22" fillId="0" borderId="16" xfId="6" applyNumberFormat="1" applyFont="1" applyBorder="1" applyAlignment="1">
      <alignment vertical="center"/>
    </xf>
    <xf numFmtId="190" fontId="24" fillId="10" borderId="31" xfId="13" applyNumberFormat="1" applyFont="1" applyFill="1" applyBorder="1" applyAlignment="1">
      <alignment horizontal="center" vertical="center"/>
    </xf>
    <xf numFmtId="190" fontId="24" fillId="0" borderId="31" xfId="13" applyNumberFormat="1" applyFont="1" applyBorder="1" applyAlignment="1">
      <alignment horizontal="center" vertical="center" wrapText="1"/>
    </xf>
    <xf numFmtId="188" fontId="29" fillId="0" borderId="31" xfId="13" applyNumberFormat="1" applyFont="1" applyFill="1" applyBorder="1" applyAlignment="1">
      <alignment horizontal="center" vertical="center" wrapText="1"/>
    </xf>
    <xf numFmtId="193" fontId="29" fillId="0" borderId="31" xfId="13" applyNumberFormat="1" applyFont="1" applyFill="1" applyBorder="1" applyAlignment="1">
      <alignment horizontal="right" vertical="center"/>
    </xf>
    <xf numFmtId="188" fontId="25" fillId="11" borderId="31" xfId="13" applyNumberFormat="1" applyFont="1" applyFill="1" applyBorder="1" applyAlignment="1">
      <alignment horizontal="center" vertical="center" wrapText="1"/>
    </xf>
    <xf numFmtId="185" fontId="24" fillId="7" borderId="31" xfId="13" applyNumberFormat="1" applyFont="1" applyFill="1" applyBorder="1" applyAlignment="1">
      <alignment horizontal="center" vertical="center"/>
    </xf>
    <xf numFmtId="177" fontId="24" fillId="7" borderId="31" xfId="13" applyFont="1" applyFill="1" applyBorder="1" applyAlignment="1">
      <alignment horizontal="center" vertical="center"/>
    </xf>
    <xf numFmtId="193" fontId="29" fillId="7" borderId="31" xfId="13" applyNumberFormat="1" applyFont="1" applyFill="1" applyBorder="1" applyAlignment="1">
      <alignment horizontal="right" vertical="center"/>
    </xf>
    <xf numFmtId="183" fontId="24" fillId="7" borderId="31" xfId="13" applyNumberFormat="1" applyFont="1" applyFill="1" applyBorder="1" applyAlignment="1">
      <alignment horizontal="right" vertical="center" wrapText="1"/>
    </xf>
    <xf numFmtId="193" fontId="20" fillId="0" borderId="0" xfId="0" applyNumberFormat="1" applyFo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  <xf numFmtId="0" fontId="19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0" borderId="31" xfId="13" applyNumberFormat="1" applyFont="1" applyFill="1" applyBorder="1" applyAlignment="1">
      <alignment vertical="center"/>
    </xf>
    <xf numFmtId="0" fontId="28" fillId="0" borderId="32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7" zoomScale="85" zoomScaleNormal="85" workbookViewId="0">
      <selection activeCell="K25" sqref="K25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77" t="s">
        <v>6</v>
      </c>
      <c r="B2" s="177"/>
      <c r="C2" s="177"/>
      <c r="D2" s="177"/>
      <c r="E2" s="177"/>
      <c r="F2" s="177"/>
      <c r="G2" s="177"/>
      <c r="H2" s="2"/>
    </row>
    <row r="3" spans="1:9" ht="14.25" x14ac:dyDescent="0.2">
      <c r="A3" s="122"/>
      <c r="B3" s="122"/>
      <c r="C3" s="122"/>
      <c r="D3" s="122"/>
      <c r="E3" s="122"/>
      <c r="F3" s="122"/>
      <c r="G3" s="122"/>
      <c r="H3" s="122"/>
    </row>
    <row r="4" spans="1:9" ht="14.25" x14ac:dyDescent="0.2">
      <c r="A4" s="122"/>
      <c r="B4" s="122"/>
      <c r="C4" s="122"/>
      <c r="D4" s="122"/>
      <c r="E4" s="122"/>
      <c r="H4" s="122"/>
    </row>
    <row r="5" spans="1:9" ht="27" customHeight="1" x14ac:dyDescent="0.2">
      <c r="A5" s="123" t="s">
        <v>48</v>
      </c>
      <c r="B5" s="4"/>
      <c r="C5" s="5"/>
      <c r="D5" s="122"/>
      <c r="E5" s="122"/>
      <c r="F5" s="6" t="s">
        <v>38</v>
      </c>
      <c r="G5" s="7" t="s">
        <v>52</v>
      </c>
      <c r="H5" s="122"/>
    </row>
    <row r="6" spans="1:9" ht="27" customHeight="1" x14ac:dyDescent="0.2">
      <c r="A6" s="122"/>
      <c r="B6" s="122"/>
      <c r="C6" s="122"/>
      <c r="D6" s="122"/>
      <c r="E6" s="122"/>
      <c r="F6" s="8" t="s">
        <v>41</v>
      </c>
      <c r="G6" s="9" t="s">
        <v>53</v>
      </c>
      <c r="H6" s="122"/>
    </row>
    <row r="7" spans="1:9" ht="27" customHeight="1" x14ac:dyDescent="0.2">
      <c r="A7" s="180" t="s">
        <v>153</v>
      </c>
      <c r="B7" s="181"/>
      <c r="C7" s="182"/>
      <c r="D7" s="122"/>
      <c r="E7" s="10"/>
      <c r="F7" s="11" t="s">
        <v>42</v>
      </c>
      <c r="G7" s="9" t="s">
        <v>54</v>
      </c>
      <c r="H7" s="122"/>
    </row>
    <row r="8" spans="1:9" ht="27" customHeight="1" x14ac:dyDescent="0.2">
      <c r="A8" s="122"/>
      <c r="B8" s="122"/>
      <c r="C8" s="122"/>
      <c r="D8" s="122"/>
      <c r="E8" s="122"/>
      <c r="F8" s="8" t="s">
        <v>43</v>
      </c>
      <c r="G8" s="9" t="s">
        <v>55</v>
      </c>
      <c r="H8" s="122"/>
    </row>
    <row r="9" spans="1:9" ht="27" customHeight="1" x14ac:dyDescent="0.2">
      <c r="A9" s="180" t="s">
        <v>154</v>
      </c>
      <c r="B9" s="181"/>
      <c r="C9" s="182"/>
      <c r="D9" s="122"/>
      <c r="E9" s="122"/>
      <c r="F9" s="8" t="s">
        <v>44</v>
      </c>
      <c r="G9" s="9" t="s">
        <v>56</v>
      </c>
      <c r="H9" s="122"/>
    </row>
    <row r="10" spans="1:9" ht="27" customHeight="1" x14ac:dyDescent="0.2">
      <c r="A10" s="122"/>
      <c r="B10" s="122"/>
      <c r="C10" s="122"/>
      <c r="D10" s="122"/>
      <c r="E10" s="122"/>
      <c r="F10" s="12" t="s">
        <v>39</v>
      </c>
      <c r="G10" s="13" t="s">
        <v>57</v>
      </c>
      <c r="H10" s="122"/>
      <c r="I10" s="122"/>
    </row>
    <row r="11" spans="1:9" ht="27" customHeight="1" x14ac:dyDescent="0.2">
      <c r="A11" s="178"/>
      <c r="B11" s="179"/>
      <c r="C11" s="179"/>
      <c r="D11" s="122"/>
      <c r="E11" s="14"/>
      <c r="F11" s="15" t="s">
        <v>40</v>
      </c>
      <c r="G11" s="16" t="s">
        <v>58</v>
      </c>
      <c r="H11" s="14"/>
    </row>
    <row r="12" spans="1:9" ht="18.75" thickBot="1" x14ac:dyDescent="0.25">
      <c r="A12" s="17" t="s">
        <v>7</v>
      </c>
      <c r="B12" s="17" t="str">
        <f>NUMBERSTRING(F31,1)</f>
        <v>이백오십구만오천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22"/>
      <c r="B13" s="122"/>
      <c r="C13" s="122"/>
      <c r="D13" s="122"/>
      <c r="E13" s="122"/>
      <c r="F13" s="122"/>
      <c r="G13" s="12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'내역서(표준단가)'!O13</f>
        <v>536987.42284999997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'내역서(표준단가)'!Q13</f>
        <v>1673409.0144199999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'내역서(표준단가)'!S13+'내역서(표준단가)'!U13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2210396.4372699996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75303.405648899992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59322.349561189003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7682.2442681739758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16901.431045641999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59573.360913351993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138</v>
      </c>
      <c r="D26" s="30">
        <v>1</v>
      </c>
      <c r="E26" s="30" t="s">
        <v>25</v>
      </c>
      <c r="F26" s="43">
        <f>(F16+F17)*3.11%</f>
        <v>68743.329199096988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98046.756752817702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385572.87738917168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2595969.3146591713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2595000</v>
      </c>
      <c r="G31" s="166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3"/>
  <sheetViews>
    <sheetView showGridLines="0" zoomScale="80" zoomScaleNormal="80" workbookViewId="0">
      <pane ySplit="4" topLeftCell="A5" activePane="bottomLeft" state="frozen"/>
      <selection pane="bottomLeft" activeCell="M16" sqref="M16"/>
    </sheetView>
  </sheetViews>
  <sheetFormatPr defaultColWidth="9" defaultRowHeight="38.1" customHeight="1" x14ac:dyDescent="0.3"/>
  <cols>
    <col min="1" max="1" width="22.625" style="153" bestFit="1" customWidth="1"/>
    <col min="2" max="5" width="4.625" style="153" hidden="1" customWidth="1"/>
    <col min="6" max="6" width="9" style="140" hidden="1" customWidth="1"/>
    <col min="7" max="9" width="12.625" style="140" hidden="1" customWidth="1"/>
    <col min="10" max="11" width="30.625" style="135" customWidth="1"/>
    <col min="12" max="12" width="12.375" style="140" bestFit="1" customWidth="1"/>
    <col min="13" max="13" width="8.25" style="140" customWidth="1"/>
    <col min="14" max="14" width="10.625" style="140" bestFit="1" customWidth="1"/>
    <col min="15" max="15" width="13.25" style="140" bestFit="1" customWidth="1"/>
    <col min="16" max="16" width="12" style="140" bestFit="1" customWidth="1"/>
    <col min="17" max="17" width="15.625" style="140" bestFit="1" customWidth="1"/>
    <col min="18" max="18" width="9" style="140" customWidth="1"/>
    <col min="19" max="19" width="8.75" style="140" bestFit="1" customWidth="1"/>
    <col min="20" max="20" width="10.5" style="140" customWidth="1"/>
    <col min="21" max="21" width="8.75" style="140" bestFit="1" customWidth="1"/>
    <col min="22" max="22" width="15.625" style="140" bestFit="1" customWidth="1"/>
    <col min="23" max="23" width="10.625" style="66" bestFit="1" customWidth="1"/>
    <col min="24" max="24" width="8.5" style="140" bestFit="1" customWidth="1"/>
    <col min="25" max="16384" width="9" style="140"/>
  </cols>
  <sheetData>
    <row r="1" spans="1:24" ht="19.899999999999999" customHeight="1" x14ac:dyDescent="0.3">
      <c r="A1" s="183"/>
      <c r="B1" s="183"/>
      <c r="C1" s="183"/>
      <c r="D1" s="183"/>
      <c r="E1" s="183"/>
      <c r="F1" s="183"/>
      <c r="G1" s="183"/>
      <c r="H1" s="183"/>
      <c r="I1" s="183"/>
      <c r="N1" s="66"/>
      <c r="O1" s="138" t="s">
        <v>96</v>
      </c>
      <c r="Q1" s="138" t="s">
        <v>96</v>
      </c>
      <c r="S1" s="138" t="s">
        <v>96</v>
      </c>
      <c r="U1" s="138" t="s">
        <v>96</v>
      </c>
    </row>
    <row r="2" spans="1:24" ht="19.899999999999999" customHeight="1" thickBot="1" x14ac:dyDescent="0.35">
      <c r="A2" s="183"/>
      <c r="B2" s="183"/>
      <c r="C2" s="183"/>
      <c r="D2" s="183"/>
      <c r="E2" s="183"/>
      <c r="F2" s="183"/>
      <c r="G2" s="183"/>
      <c r="H2" s="183"/>
      <c r="I2" s="183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41"/>
      <c r="B3" s="142"/>
      <c r="C3" s="142"/>
      <c r="D3" s="142"/>
      <c r="E3" s="142"/>
      <c r="F3" s="142" t="s">
        <v>97</v>
      </c>
      <c r="G3" s="142"/>
      <c r="H3" s="142"/>
      <c r="I3" s="142"/>
      <c r="J3" s="194" t="s">
        <v>98</v>
      </c>
      <c r="K3" s="194"/>
      <c r="L3" s="192" t="s">
        <v>47</v>
      </c>
      <c r="M3" s="192" t="s">
        <v>5</v>
      </c>
      <c r="N3" s="188" t="s">
        <v>99</v>
      </c>
      <c r="O3" s="188"/>
      <c r="P3" s="188" t="s">
        <v>100</v>
      </c>
      <c r="Q3" s="188"/>
      <c r="R3" s="189" t="s">
        <v>101</v>
      </c>
      <c r="S3" s="189"/>
      <c r="T3" s="189" t="s">
        <v>102</v>
      </c>
      <c r="U3" s="189"/>
      <c r="V3" s="190" t="s">
        <v>103</v>
      </c>
      <c r="W3" s="186" t="s">
        <v>104</v>
      </c>
      <c r="X3" s="184" t="s">
        <v>45</v>
      </c>
    </row>
    <row r="4" spans="1:24" ht="19.899999999999999" customHeight="1" x14ac:dyDescent="0.3">
      <c r="A4" s="69" t="s">
        <v>105</v>
      </c>
      <c r="B4" s="139"/>
      <c r="C4" s="139"/>
      <c r="D4" s="139"/>
      <c r="E4" s="139"/>
      <c r="F4" s="70" t="s">
        <v>106</v>
      </c>
      <c r="G4" s="70" t="s">
        <v>107</v>
      </c>
      <c r="H4" s="70" t="s">
        <v>108</v>
      </c>
      <c r="I4" s="70" t="s">
        <v>109</v>
      </c>
      <c r="J4" s="136" t="s">
        <v>110</v>
      </c>
      <c r="K4" s="136" t="s">
        <v>111</v>
      </c>
      <c r="L4" s="193"/>
      <c r="M4" s="193"/>
      <c r="N4" s="71" t="s">
        <v>112</v>
      </c>
      <c r="O4" s="72" t="s">
        <v>113</v>
      </c>
      <c r="P4" s="71" t="s">
        <v>114</v>
      </c>
      <c r="Q4" s="72" t="s">
        <v>113</v>
      </c>
      <c r="R4" s="72" t="s">
        <v>115</v>
      </c>
      <c r="S4" s="72" t="s">
        <v>113</v>
      </c>
      <c r="T4" s="72" t="s">
        <v>115</v>
      </c>
      <c r="U4" s="72" t="s">
        <v>113</v>
      </c>
      <c r="V4" s="191"/>
      <c r="W4" s="187"/>
      <c r="X4" s="185"/>
    </row>
    <row r="5" spans="1:24" s="143" customFormat="1" ht="38.1" customHeight="1" x14ac:dyDescent="0.3">
      <c r="A5" s="73" t="str">
        <f t="shared" ref="A5" si="0">F5&amp;G5&amp;H5&amp;I5</f>
        <v>M020853710050101</v>
      </c>
      <c r="B5" s="107"/>
      <c r="C5" s="107"/>
      <c r="D5" s="107"/>
      <c r="E5" s="107"/>
      <c r="F5" s="101"/>
      <c r="G5" s="74"/>
      <c r="H5" s="74" t="s">
        <v>139</v>
      </c>
      <c r="I5" s="101"/>
      <c r="J5" s="134" t="s">
        <v>140</v>
      </c>
      <c r="K5" s="160" t="s">
        <v>156</v>
      </c>
      <c r="L5" s="118" t="s">
        <v>149</v>
      </c>
      <c r="M5" s="159">
        <v>5.5118999999999998</v>
      </c>
      <c r="N5" s="154">
        <v>20900</v>
      </c>
      <c r="O5" s="129">
        <f t="shared" ref="O5" si="1">SUM(N5:N5)*M5*$O$2</f>
        <v>96190.922849999988</v>
      </c>
      <c r="P5" s="128"/>
      <c r="Q5" s="129">
        <f t="shared" ref="Q5" si="2">(P5*M5)*$Q$2</f>
        <v>0</v>
      </c>
      <c r="R5" s="130"/>
      <c r="S5" s="129">
        <f t="shared" ref="S5" si="3">R5*M5*$S$2</f>
        <v>0</v>
      </c>
      <c r="T5" s="130"/>
      <c r="U5" s="129">
        <f t="shared" ref="U5" si="4">T5*M5*$U$2</f>
        <v>0</v>
      </c>
      <c r="V5" s="77">
        <f t="shared" ref="V5" si="5">SUM(O5+Q5)+S5+U5</f>
        <v>96190.922849999988</v>
      </c>
      <c r="W5" s="117"/>
      <c r="X5" s="78"/>
    </row>
    <row r="6" spans="1:24" s="143" customFormat="1" ht="38.1" customHeight="1" x14ac:dyDescent="0.3">
      <c r="A6" s="73" t="str">
        <f t="shared" ref="A6" si="6">F6&amp;G6&amp;H6&amp;I6</f>
        <v>E00000803071260301</v>
      </c>
      <c r="B6" s="107"/>
      <c r="C6" s="107"/>
      <c r="D6" s="107"/>
      <c r="E6" s="107"/>
      <c r="F6" s="101"/>
      <c r="G6" s="74" t="s">
        <v>116</v>
      </c>
      <c r="H6" s="74"/>
      <c r="I6" s="101"/>
      <c r="J6" s="134" t="s">
        <v>118</v>
      </c>
      <c r="K6" s="160" t="s">
        <v>151</v>
      </c>
      <c r="L6" s="75" t="s">
        <v>117</v>
      </c>
      <c r="M6" s="159">
        <v>1.978</v>
      </c>
      <c r="N6" s="131"/>
      <c r="O6" s="129">
        <f t="shared" ref="O6" si="7">SUM(N6:N6)*M6*$O$2</f>
        <v>0</v>
      </c>
      <c r="P6" s="128">
        <v>487076</v>
      </c>
      <c r="Q6" s="129">
        <f t="shared" ref="Q6" si="8">(P6*M6)*$Q$2</f>
        <v>804469.33387999993</v>
      </c>
      <c r="R6" s="130"/>
      <c r="S6" s="129">
        <f t="shared" ref="S6" si="9">R6*M6*$S$2</f>
        <v>0</v>
      </c>
      <c r="T6" s="130"/>
      <c r="U6" s="129">
        <f t="shared" ref="U6" si="10">T6*M6*$U$2</f>
        <v>0</v>
      </c>
      <c r="V6" s="77">
        <f t="shared" ref="V6" si="11">SUM(O6+Q6)+S6+U6</f>
        <v>804469.33387999993</v>
      </c>
      <c r="W6" s="117"/>
      <c r="X6" s="78"/>
    </row>
    <row r="7" spans="1:24" s="143" customFormat="1" ht="38.1" customHeight="1" x14ac:dyDescent="0.3">
      <c r="A7" s="73" t="str">
        <f t="shared" ref="A7" si="12">F7&amp;G7&amp;H7&amp;I7</f>
        <v>M020809012520101</v>
      </c>
      <c r="B7" s="107"/>
      <c r="C7" s="107"/>
      <c r="D7" s="107"/>
      <c r="E7" s="107"/>
      <c r="F7" s="101"/>
      <c r="G7" s="74"/>
      <c r="H7" s="74" t="s">
        <v>142</v>
      </c>
      <c r="I7" s="101"/>
      <c r="J7" s="134" t="s">
        <v>143</v>
      </c>
      <c r="K7" s="134" t="s">
        <v>144</v>
      </c>
      <c r="L7" s="118" t="s">
        <v>141</v>
      </c>
      <c r="M7" s="133">
        <v>39.6</v>
      </c>
      <c r="N7" s="132">
        <v>13000</v>
      </c>
      <c r="O7" s="129">
        <f t="shared" ref="O7:O11" si="13">SUM(N7:N7)*M7*$O$2</f>
        <v>429858</v>
      </c>
      <c r="P7" s="128"/>
      <c r="Q7" s="129">
        <f t="shared" ref="Q7:Q12" si="14">(P7*M7)*$Q$2</f>
        <v>0</v>
      </c>
      <c r="R7" s="130"/>
      <c r="S7" s="129">
        <f t="shared" ref="S7:S12" si="15">R7*M7*$S$2</f>
        <v>0</v>
      </c>
      <c r="T7" s="130"/>
      <c r="U7" s="129">
        <f t="shared" ref="U7:U12" si="16">T7*M7*$U$2</f>
        <v>0</v>
      </c>
      <c r="V7" s="77">
        <f t="shared" ref="V7:V12" si="17">SUM(O7+Q7)+S7+U7</f>
        <v>429858</v>
      </c>
      <c r="W7" s="117"/>
      <c r="X7" s="78"/>
    </row>
    <row r="8" spans="1:24" s="143" customFormat="1" ht="38.1" customHeight="1" x14ac:dyDescent="0.3">
      <c r="A8" s="73" t="str">
        <f t="shared" ref="A8:A12" si="18">F8&amp;G8&amp;H8&amp;I8</f>
        <v>E00000803071260401</v>
      </c>
      <c r="B8" s="107"/>
      <c r="C8" s="107"/>
      <c r="D8" s="107"/>
      <c r="E8" s="107"/>
      <c r="F8" s="101"/>
      <c r="G8" s="74" t="s">
        <v>119</v>
      </c>
      <c r="H8" s="74"/>
      <c r="I8" s="101"/>
      <c r="J8" s="134" t="s">
        <v>120</v>
      </c>
      <c r="K8" s="134" t="s">
        <v>150</v>
      </c>
      <c r="L8" s="75" t="s">
        <v>117</v>
      </c>
      <c r="M8" s="133">
        <v>0.64900000000000002</v>
      </c>
      <c r="N8" s="131"/>
      <c r="O8" s="129">
        <f t="shared" si="13"/>
        <v>0</v>
      </c>
      <c r="P8" s="128">
        <v>487076</v>
      </c>
      <c r="Q8" s="129">
        <f t="shared" si="14"/>
        <v>263953.79054000002</v>
      </c>
      <c r="R8" s="130"/>
      <c r="S8" s="129">
        <f t="shared" si="15"/>
        <v>0</v>
      </c>
      <c r="T8" s="130"/>
      <c r="U8" s="129">
        <f t="shared" si="16"/>
        <v>0</v>
      </c>
      <c r="V8" s="77">
        <f t="shared" si="17"/>
        <v>263953.79054000002</v>
      </c>
      <c r="W8" s="117"/>
      <c r="X8" s="78"/>
    </row>
    <row r="9" spans="1:24" s="143" customFormat="1" ht="38.1" customHeight="1" x14ac:dyDescent="0.3">
      <c r="A9" s="73" t="str">
        <f t="shared" si="18"/>
        <v>M020412614110102</v>
      </c>
      <c r="B9" s="107"/>
      <c r="C9" s="107"/>
      <c r="D9" s="107"/>
      <c r="E9" s="107"/>
      <c r="F9" s="101"/>
      <c r="G9" s="74"/>
      <c r="H9" s="155" t="s">
        <v>136</v>
      </c>
      <c r="I9" s="101"/>
      <c r="J9" s="156" t="s">
        <v>135</v>
      </c>
      <c r="K9" s="156" t="s">
        <v>131</v>
      </c>
      <c r="L9" s="125" t="s">
        <v>130</v>
      </c>
      <c r="M9" s="133">
        <v>0.2</v>
      </c>
      <c r="N9" s="157">
        <v>65500</v>
      </c>
      <c r="O9" s="129">
        <f t="shared" si="13"/>
        <v>10938.5</v>
      </c>
      <c r="P9" s="128"/>
      <c r="Q9" s="129"/>
      <c r="R9" s="130"/>
      <c r="S9" s="129"/>
      <c r="T9" s="130"/>
      <c r="U9" s="129"/>
      <c r="V9" s="77">
        <f t="shared" si="17"/>
        <v>10938.5</v>
      </c>
      <c r="W9" s="117"/>
      <c r="X9" s="78"/>
    </row>
    <row r="10" spans="1:24" s="143" customFormat="1" ht="38.1" customHeight="1" x14ac:dyDescent="0.3">
      <c r="A10" s="73" t="str">
        <f t="shared" si="18"/>
        <v>E00000803061120402</v>
      </c>
      <c r="B10" s="107"/>
      <c r="C10" s="107"/>
      <c r="D10" s="107"/>
      <c r="E10" s="107"/>
      <c r="F10" s="101"/>
      <c r="G10" s="74" t="s">
        <v>121</v>
      </c>
      <c r="H10" s="74"/>
      <c r="I10" s="101"/>
      <c r="J10" s="134" t="s">
        <v>122</v>
      </c>
      <c r="K10" s="134" t="s">
        <v>123</v>
      </c>
      <c r="L10" s="118" t="s">
        <v>128</v>
      </c>
      <c r="M10" s="133">
        <v>20</v>
      </c>
      <c r="N10" s="128"/>
      <c r="O10" s="129">
        <f t="shared" si="13"/>
        <v>0</v>
      </c>
      <c r="P10" s="128">
        <v>10432</v>
      </c>
      <c r="Q10" s="129">
        <f t="shared" si="14"/>
        <v>174214.39999999999</v>
      </c>
      <c r="R10" s="130"/>
      <c r="S10" s="129">
        <f t="shared" si="15"/>
        <v>0</v>
      </c>
      <c r="T10" s="130"/>
      <c r="U10" s="129">
        <f t="shared" si="16"/>
        <v>0</v>
      </c>
      <c r="V10" s="77">
        <f t="shared" si="17"/>
        <v>174214.39999999999</v>
      </c>
      <c r="W10" s="117"/>
      <c r="X10" s="78"/>
    </row>
    <row r="11" spans="1:24" s="143" customFormat="1" ht="38.1" customHeight="1" x14ac:dyDescent="0.3">
      <c r="A11" s="73" t="str">
        <f t="shared" si="18"/>
        <v>E00000803061300201</v>
      </c>
      <c r="B11" s="107"/>
      <c r="C11" s="107"/>
      <c r="D11" s="107"/>
      <c r="E11" s="107"/>
      <c r="F11" s="101"/>
      <c r="G11" s="74" t="s">
        <v>125</v>
      </c>
      <c r="H11" s="74"/>
      <c r="I11" s="101"/>
      <c r="J11" s="134" t="s">
        <v>126</v>
      </c>
      <c r="K11" s="134" t="s">
        <v>127</v>
      </c>
      <c r="L11" s="118" t="s">
        <v>124</v>
      </c>
      <c r="M11" s="133">
        <v>20</v>
      </c>
      <c r="N11" s="128"/>
      <c r="O11" s="129">
        <f t="shared" si="13"/>
        <v>0</v>
      </c>
      <c r="P11" s="128">
        <v>6179</v>
      </c>
      <c r="Q11" s="129">
        <f t="shared" si="14"/>
        <v>103189.29999999999</v>
      </c>
      <c r="R11" s="130"/>
      <c r="S11" s="129">
        <f t="shared" si="15"/>
        <v>0</v>
      </c>
      <c r="T11" s="130"/>
      <c r="U11" s="129">
        <f t="shared" si="16"/>
        <v>0</v>
      </c>
      <c r="V11" s="77">
        <f t="shared" si="17"/>
        <v>103189.29999999999</v>
      </c>
      <c r="W11" s="117"/>
      <c r="X11" s="78"/>
    </row>
    <row r="12" spans="1:24" s="143" customFormat="1" ht="38.1" customHeight="1" x14ac:dyDescent="0.3">
      <c r="A12" s="73" t="str">
        <f t="shared" si="18"/>
        <v>E00000801011510701</v>
      </c>
      <c r="B12" s="107"/>
      <c r="C12" s="107"/>
      <c r="D12" s="107"/>
      <c r="E12" s="107"/>
      <c r="F12" s="101"/>
      <c r="G12" s="74" t="s">
        <v>148</v>
      </c>
      <c r="H12" s="74"/>
      <c r="I12" s="101"/>
      <c r="J12" s="145" t="s">
        <v>145</v>
      </c>
      <c r="K12" s="145" t="s">
        <v>146</v>
      </c>
      <c r="L12" s="146" t="s">
        <v>147</v>
      </c>
      <c r="M12" s="133">
        <v>79</v>
      </c>
      <c r="N12" s="144"/>
      <c r="O12" s="76">
        <f t="shared" ref="O12" si="19">SUM(N12:N12)*M12*$O$2</f>
        <v>0</v>
      </c>
      <c r="P12" s="158">
        <v>4966</v>
      </c>
      <c r="Q12" s="76">
        <f t="shared" si="14"/>
        <v>327582.19</v>
      </c>
      <c r="R12" s="77"/>
      <c r="S12" s="76">
        <f t="shared" si="15"/>
        <v>0</v>
      </c>
      <c r="T12" s="77"/>
      <c r="U12" s="76">
        <f t="shared" si="16"/>
        <v>0</v>
      </c>
      <c r="V12" s="77">
        <f t="shared" si="17"/>
        <v>327582.19</v>
      </c>
      <c r="W12" s="117"/>
      <c r="X12" s="78"/>
    </row>
    <row r="13" spans="1:24" s="152" customFormat="1" ht="38.1" customHeight="1" x14ac:dyDescent="0.3">
      <c r="A13" s="147"/>
      <c r="B13" s="148"/>
      <c r="C13" s="148"/>
      <c r="D13" s="148"/>
      <c r="E13" s="148"/>
      <c r="F13" s="148"/>
      <c r="G13" s="148"/>
      <c r="H13" s="148"/>
      <c r="I13" s="148"/>
      <c r="J13" s="137"/>
      <c r="K13" s="137"/>
      <c r="L13" s="148"/>
      <c r="M13" s="148"/>
      <c r="N13" s="148"/>
      <c r="O13" s="149">
        <f>SUM(O5:O12)</f>
        <v>536987.42284999997</v>
      </c>
      <c r="P13" s="150"/>
      <c r="Q13" s="149">
        <f>SUM(Q5:Q12)</f>
        <v>1673409.0144199999</v>
      </c>
      <c r="R13" s="150"/>
      <c r="S13" s="149">
        <f>SUM(S5:S12)</f>
        <v>0</v>
      </c>
      <c r="T13" s="150"/>
      <c r="U13" s="149">
        <f>SUM(U5:U12)</f>
        <v>0</v>
      </c>
      <c r="V13" s="151">
        <f>SUM(V5:V12)</f>
        <v>2210396.4372700001</v>
      </c>
      <c r="W13" s="110"/>
      <c r="X13" s="14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0"/>
  <sheetViews>
    <sheetView zoomScaleNormal="100" workbookViewId="0">
      <selection activeCell="P6" sqref="P6"/>
    </sheetView>
  </sheetViews>
  <sheetFormatPr defaultColWidth="9" defaultRowHeight="14.25" x14ac:dyDescent="0.3"/>
  <cols>
    <col min="1" max="1" width="22.625" style="100" customWidth="1"/>
    <col min="2" max="2" width="27.625" style="100" customWidth="1"/>
    <col min="3" max="3" width="5.75" style="100" customWidth="1"/>
    <col min="4" max="4" width="6" style="100" bestFit="1" customWidth="1"/>
    <col min="5" max="8" width="20.625" style="100" customWidth="1"/>
    <col min="9" max="12" width="20.625" style="100" hidden="1" customWidth="1"/>
    <col min="13" max="14" width="20.625" style="100" customWidth="1"/>
    <col min="15" max="15" width="32.75" style="100" customWidth="1"/>
    <col min="16" max="16384" width="9" style="79"/>
  </cols>
  <sheetData>
    <row r="1" spans="1:16" ht="27" customHeight="1" x14ac:dyDescent="0.3">
      <c r="A1" s="197" t="s">
        <v>59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</row>
    <row r="2" spans="1:16" ht="15" customHeight="1" x14ac:dyDescent="0.3">
      <c r="A2" s="198" t="s">
        <v>60</v>
      </c>
      <c r="B2" s="199" t="s">
        <v>61</v>
      </c>
      <c r="C2" s="200" t="s">
        <v>47</v>
      </c>
      <c r="D2" s="200" t="s">
        <v>62</v>
      </c>
      <c r="E2" s="202" t="s">
        <v>63</v>
      </c>
      <c r="F2" s="199"/>
      <c r="G2" s="199" t="s">
        <v>64</v>
      </c>
      <c r="H2" s="199"/>
      <c r="I2" s="203" t="s">
        <v>65</v>
      </c>
      <c r="J2" s="204"/>
      <c r="K2" s="203" t="s">
        <v>66</v>
      </c>
      <c r="L2" s="204"/>
      <c r="M2" s="202" t="s">
        <v>67</v>
      </c>
      <c r="N2" s="199"/>
      <c r="O2" s="205" t="s">
        <v>68</v>
      </c>
    </row>
    <row r="3" spans="1:16" ht="15" customHeight="1" x14ac:dyDescent="0.3">
      <c r="A3" s="198"/>
      <c r="B3" s="199"/>
      <c r="C3" s="201"/>
      <c r="D3" s="201"/>
      <c r="E3" s="124" t="s">
        <v>69</v>
      </c>
      <c r="F3" s="124" t="s">
        <v>70</v>
      </c>
      <c r="G3" s="80" t="s">
        <v>69</v>
      </c>
      <c r="H3" s="124" t="s">
        <v>71</v>
      </c>
      <c r="I3" s="124"/>
      <c r="J3" s="124"/>
      <c r="K3" s="80" t="s">
        <v>69</v>
      </c>
      <c r="L3" s="124" t="s">
        <v>71</v>
      </c>
      <c r="M3" s="80" t="s">
        <v>69</v>
      </c>
      <c r="N3" s="124" t="s">
        <v>71</v>
      </c>
      <c r="O3" s="206"/>
    </row>
    <row r="4" spans="1:16" ht="15" customHeight="1" x14ac:dyDescent="0.3">
      <c r="A4" s="195" t="s">
        <v>155</v>
      </c>
      <c r="B4" s="196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6" ht="15" customHeight="1" x14ac:dyDescent="0.3">
      <c r="A5" s="208" t="s">
        <v>72</v>
      </c>
      <c r="B5" s="161" t="s">
        <v>73</v>
      </c>
      <c r="C5" s="162" t="s">
        <v>74</v>
      </c>
      <c r="D5" s="170">
        <f>55-7.7</f>
        <v>47.3</v>
      </c>
      <c r="E5" s="84">
        <v>1057</v>
      </c>
      <c r="F5" s="84">
        <f t="shared" ref="F5:F9" si="0">D5*E5</f>
        <v>49996.1</v>
      </c>
      <c r="G5" s="84">
        <v>8839.9</v>
      </c>
      <c r="H5" s="84">
        <f t="shared" ref="H5:H9" si="1">D5*G5</f>
        <v>418127.26999999996</v>
      </c>
      <c r="I5" s="84"/>
      <c r="J5" s="84"/>
      <c r="K5" s="84"/>
      <c r="L5" s="84"/>
      <c r="M5" s="84"/>
      <c r="N5" s="84">
        <f>F5+H5+J5+L5</f>
        <v>468123.36999999994</v>
      </c>
      <c r="O5" s="210"/>
      <c r="P5" s="176">
        <f>D5+D7+D9</f>
        <v>91</v>
      </c>
    </row>
    <row r="6" spans="1:16" ht="15" customHeight="1" x14ac:dyDescent="0.3">
      <c r="A6" s="209"/>
      <c r="B6" s="172" t="s">
        <v>75</v>
      </c>
      <c r="C6" s="173" t="s">
        <v>74</v>
      </c>
      <c r="D6" s="174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211"/>
    </row>
    <row r="7" spans="1:16" ht="15" customHeight="1" x14ac:dyDescent="0.3">
      <c r="A7" s="209"/>
      <c r="B7" s="161" t="s">
        <v>76</v>
      </c>
      <c r="C7" s="162" t="s">
        <v>74</v>
      </c>
      <c r="D7" s="170">
        <f>30-5.9</f>
        <v>24.1</v>
      </c>
      <c r="E7" s="84">
        <v>1057</v>
      </c>
      <c r="F7" s="84">
        <f t="shared" si="0"/>
        <v>25473.7</v>
      </c>
      <c r="G7" s="84">
        <v>8839.9</v>
      </c>
      <c r="H7" s="84">
        <f t="shared" si="1"/>
        <v>213041.59</v>
      </c>
      <c r="I7" s="84"/>
      <c r="J7" s="84"/>
      <c r="K7" s="84"/>
      <c r="L7" s="84"/>
      <c r="M7" s="84"/>
      <c r="N7" s="84">
        <f t="shared" ref="N7:N9" si="2">F7+H7+J7+L7</f>
        <v>238515.29</v>
      </c>
      <c r="O7" s="211"/>
    </row>
    <row r="8" spans="1:16" ht="15" customHeight="1" x14ac:dyDescent="0.3">
      <c r="A8" s="209"/>
      <c r="B8" s="172" t="s">
        <v>77</v>
      </c>
      <c r="C8" s="173" t="s">
        <v>74</v>
      </c>
      <c r="D8" s="174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211"/>
    </row>
    <row r="9" spans="1:16" ht="15" customHeight="1" x14ac:dyDescent="0.3">
      <c r="A9" s="209"/>
      <c r="B9" s="161" t="s">
        <v>78</v>
      </c>
      <c r="C9" s="162" t="s">
        <v>74</v>
      </c>
      <c r="D9" s="170">
        <f>20-0.4</f>
        <v>19.600000000000001</v>
      </c>
      <c r="E9" s="84">
        <v>1057</v>
      </c>
      <c r="F9" s="84">
        <f t="shared" si="0"/>
        <v>20717.2</v>
      </c>
      <c r="G9" s="84">
        <v>8839.9</v>
      </c>
      <c r="H9" s="84">
        <f t="shared" si="1"/>
        <v>173262.04</v>
      </c>
      <c r="I9" s="84"/>
      <c r="J9" s="84"/>
      <c r="K9" s="84"/>
      <c r="L9" s="84"/>
      <c r="M9" s="84"/>
      <c r="N9" s="84">
        <f t="shared" si="2"/>
        <v>193979.24000000002</v>
      </c>
      <c r="O9" s="211"/>
    </row>
    <row r="10" spans="1:16" ht="15" customHeight="1" x14ac:dyDescent="0.3">
      <c r="A10" s="209"/>
      <c r="B10" s="172" t="s">
        <v>79</v>
      </c>
      <c r="C10" s="173" t="s">
        <v>74</v>
      </c>
      <c r="D10" s="174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211"/>
    </row>
    <row r="11" spans="1:16" ht="15" customHeight="1" x14ac:dyDescent="0.3">
      <c r="A11" s="111" t="s">
        <v>80</v>
      </c>
      <c r="B11" s="112"/>
      <c r="C11" s="113"/>
      <c r="D11" s="89">
        <f>SUM(D5:D10)</f>
        <v>91</v>
      </c>
      <c r="E11" s="114"/>
      <c r="F11" s="114">
        <f>SUM(F5:F10)</f>
        <v>96187</v>
      </c>
      <c r="G11" s="114"/>
      <c r="H11" s="114">
        <f>SUM(H5:H10)</f>
        <v>804430.9</v>
      </c>
      <c r="I11" s="114"/>
      <c r="J11" s="114">
        <f>SUM(J5:J10)</f>
        <v>0</v>
      </c>
      <c r="K11" s="114"/>
      <c r="L11" s="114">
        <f>SUM(L5:L10)</f>
        <v>0</v>
      </c>
      <c r="M11" s="114"/>
      <c r="N11" s="114">
        <f>SUM(N5:N10)</f>
        <v>900617.89999999991</v>
      </c>
      <c r="O11" s="114"/>
    </row>
    <row r="12" spans="1:16" ht="15" customHeight="1" x14ac:dyDescent="0.3">
      <c r="A12" s="212" t="s">
        <v>137</v>
      </c>
      <c r="B12" s="82" t="s">
        <v>81</v>
      </c>
      <c r="C12" s="83" t="s">
        <v>74</v>
      </c>
      <c r="D12" s="167">
        <v>20.7</v>
      </c>
      <c r="E12" s="119">
        <v>10855</v>
      </c>
      <c r="F12" s="119">
        <f>D12*E12</f>
        <v>224698.5</v>
      </c>
      <c r="G12" s="84">
        <v>6668.1</v>
      </c>
      <c r="H12" s="119">
        <f>D12*G12</f>
        <v>138029.67000000001</v>
      </c>
      <c r="I12" s="119"/>
      <c r="J12" s="119"/>
      <c r="K12" s="84"/>
      <c r="L12" s="119"/>
      <c r="M12" s="84"/>
      <c r="N12" s="119">
        <f t="shared" ref="N12:N14" si="3">F12+H12+J12+L12</f>
        <v>362728.17000000004</v>
      </c>
      <c r="O12" s="211"/>
    </row>
    <row r="13" spans="1:16" ht="15" customHeight="1" x14ac:dyDescent="0.3">
      <c r="A13" s="212"/>
      <c r="B13" s="82" t="s">
        <v>82</v>
      </c>
      <c r="C13" s="83" t="s">
        <v>74</v>
      </c>
      <c r="D13" s="168">
        <v>11.2</v>
      </c>
      <c r="E13" s="119">
        <v>10855</v>
      </c>
      <c r="F13" s="119">
        <f>D13*E13</f>
        <v>121575.99999999999</v>
      </c>
      <c r="G13" s="84">
        <v>6668.1</v>
      </c>
      <c r="H13" s="119">
        <f>D13*G13</f>
        <v>74682.720000000001</v>
      </c>
      <c r="I13" s="119"/>
      <c r="J13" s="119"/>
      <c r="K13" s="84"/>
      <c r="L13" s="119"/>
      <c r="M13" s="84"/>
      <c r="N13" s="119">
        <f t="shared" si="3"/>
        <v>196258.71999999997</v>
      </c>
      <c r="O13" s="211"/>
    </row>
    <row r="14" spans="1:16" ht="15" customHeight="1" x14ac:dyDescent="0.3">
      <c r="A14" s="212"/>
      <c r="B14" s="82" t="s">
        <v>83</v>
      </c>
      <c r="C14" s="83" t="s">
        <v>74</v>
      </c>
      <c r="D14" s="168">
        <v>7.8</v>
      </c>
      <c r="E14" s="119">
        <v>10855</v>
      </c>
      <c r="F14" s="119">
        <f>D14*E14</f>
        <v>84669</v>
      </c>
      <c r="G14" s="84">
        <v>6668.1</v>
      </c>
      <c r="H14" s="119">
        <f>D14*G14</f>
        <v>52011.18</v>
      </c>
      <c r="I14" s="119"/>
      <c r="J14" s="119"/>
      <c r="K14" s="84"/>
      <c r="L14" s="119"/>
      <c r="M14" s="84"/>
      <c r="N14" s="119">
        <f t="shared" si="3"/>
        <v>136680.18</v>
      </c>
      <c r="O14" s="211"/>
    </row>
    <row r="15" spans="1:16" ht="15" customHeight="1" x14ac:dyDescent="0.3">
      <c r="A15" s="102" t="s">
        <v>80</v>
      </c>
      <c r="B15" s="85"/>
      <c r="C15" s="89"/>
      <c r="D15" s="171">
        <f>SUM(D12:D14)</f>
        <v>39.699999999999996</v>
      </c>
      <c r="E15" s="88"/>
      <c r="F15" s="88">
        <f>SUM(F12:F14)</f>
        <v>430943.5</v>
      </c>
      <c r="G15" s="88"/>
      <c r="H15" s="88">
        <f>SUM(H12:H14)</f>
        <v>264723.57</v>
      </c>
      <c r="I15" s="88"/>
      <c r="J15" s="88">
        <f>SUM(J12:J14)</f>
        <v>0</v>
      </c>
      <c r="K15" s="88"/>
      <c r="L15" s="88">
        <f>SUM(L12:L14)</f>
        <v>0</v>
      </c>
      <c r="M15" s="88"/>
      <c r="N15" s="88">
        <f>SUM(N12:N14)</f>
        <v>695667.07000000007</v>
      </c>
      <c r="O15" s="88"/>
    </row>
    <row r="16" spans="1:16" ht="15" customHeight="1" x14ac:dyDescent="0.3">
      <c r="A16" s="108" t="s">
        <v>84</v>
      </c>
      <c r="B16" s="90"/>
      <c r="C16" s="91"/>
      <c r="D16" s="92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</row>
    <row r="17" spans="1:15" ht="15" customHeight="1" x14ac:dyDescent="0.3">
      <c r="A17" s="163" t="s">
        <v>134</v>
      </c>
      <c r="B17" s="164" t="s">
        <v>131</v>
      </c>
      <c r="C17" s="164" t="s">
        <v>130</v>
      </c>
      <c r="D17" s="169">
        <v>0.2</v>
      </c>
      <c r="E17" s="84">
        <v>54693</v>
      </c>
      <c r="F17" s="119">
        <f>D17*E17</f>
        <v>10938.6</v>
      </c>
      <c r="G17" s="84"/>
      <c r="H17" s="84"/>
      <c r="I17" s="84"/>
      <c r="J17" s="84"/>
      <c r="K17" s="84"/>
      <c r="L17" s="84"/>
      <c r="M17" s="84"/>
      <c r="N17" s="120">
        <f t="shared" ref="N17:N20" si="4">F17+H17+J17+L17</f>
        <v>10938.6</v>
      </c>
      <c r="O17" s="84"/>
    </row>
    <row r="18" spans="1:15" ht="15" customHeight="1" x14ac:dyDescent="0.3">
      <c r="A18" s="213" t="s">
        <v>85</v>
      </c>
      <c r="B18" s="161" t="s">
        <v>86</v>
      </c>
      <c r="C18" s="162" t="s">
        <v>74</v>
      </c>
      <c r="D18" s="165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84"/>
    </row>
    <row r="19" spans="1:15" ht="15" customHeight="1" x14ac:dyDescent="0.3">
      <c r="A19" s="213"/>
      <c r="B19" s="161" t="s">
        <v>87</v>
      </c>
      <c r="C19" s="162" t="s">
        <v>74</v>
      </c>
      <c r="D19" s="165">
        <f>20</f>
        <v>20</v>
      </c>
      <c r="E19" s="120"/>
      <c r="F19" s="120">
        <f t="shared" ref="F19" si="5">D19*E19</f>
        <v>0</v>
      </c>
      <c r="G19" s="120">
        <v>5159</v>
      </c>
      <c r="H19" s="120">
        <f t="shared" ref="H19:H20" si="6">D19*G19</f>
        <v>103180</v>
      </c>
      <c r="I19" s="120"/>
      <c r="J19" s="120"/>
      <c r="K19" s="120"/>
      <c r="L19" s="120"/>
      <c r="M19" s="120"/>
      <c r="N19" s="120">
        <f t="shared" si="4"/>
        <v>103180</v>
      </c>
      <c r="O19" s="214" t="s">
        <v>152</v>
      </c>
    </row>
    <row r="20" spans="1:15" ht="15" customHeight="1" x14ac:dyDescent="0.3">
      <c r="A20" s="207" t="s">
        <v>88</v>
      </c>
      <c r="B20" s="90" t="s">
        <v>86</v>
      </c>
      <c r="C20" s="91" t="s">
        <v>74</v>
      </c>
      <c r="D20" s="92">
        <v>20</v>
      </c>
      <c r="E20" s="120"/>
      <c r="F20" s="120">
        <f>D20*E20</f>
        <v>0</v>
      </c>
      <c r="G20" s="120">
        <v>8711</v>
      </c>
      <c r="H20" s="120">
        <f t="shared" si="6"/>
        <v>174220</v>
      </c>
      <c r="I20" s="120"/>
      <c r="J20" s="120"/>
      <c r="K20" s="120"/>
      <c r="L20" s="120"/>
      <c r="M20" s="120"/>
      <c r="N20" s="120">
        <f t="shared" si="4"/>
        <v>174220</v>
      </c>
      <c r="O20" s="215"/>
    </row>
    <row r="21" spans="1:15" ht="15" customHeight="1" x14ac:dyDescent="0.3">
      <c r="A21" s="207"/>
      <c r="B21" s="90" t="s">
        <v>87</v>
      </c>
      <c r="C21" s="91" t="s">
        <v>74</v>
      </c>
      <c r="D21" s="92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84"/>
    </row>
    <row r="22" spans="1:15" ht="15" customHeight="1" x14ac:dyDescent="0.3">
      <c r="A22" s="127" t="s">
        <v>132</v>
      </c>
      <c r="B22" s="126" t="s">
        <v>133</v>
      </c>
      <c r="C22" s="126" t="s">
        <v>130</v>
      </c>
      <c r="D22" s="115"/>
      <c r="E22" s="84"/>
      <c r="F22" s="120"/>
      <c r="G22" s="84"/>
      <c r="H22" s="84"/>
      <c r="I22" s="84"/>
      <c r="J22" s="84"/>
      <c r="K22" s="84"/>
      <c r="L22" s="84"/>
      <c r="M22" s="84"/>
      <c r="N22" s="120"/>
      <c r="O22" s="84"/>
    </row>
    <row r="23" spans="1:15" ht="15" customHeight="1" x14ac:dyDescent="0.3">
      <c r="A23" s="207" t="s">
        <v>89</v>
      </c>
      <c r="B23" s="90" t="s">
        <v>90</v>
      </c>
      <c r="C23" s="91" t="s">
        <v>74</v>
      </c>
      <c r="D23" s="92"/>
      <c r="E23" s="84"/>
      <c r="F23" s="84"/>
      <c r="G23" s="84"/>
      <c r="H23" s="84"/>
      <c r="I23" s="84"/>
      <c r="J23" s="84"/>
      <c r="K23" s="84"/>
      <c r="L23" s="119"/>
      <c r="M23" s="84"/>
      <c r="N23" s="119"/>
      <c r="O23" s="84"/>
    </row>
    <row r="24" spans="1:15" ht="15" customHeight="1" x14ac:dyDescent="0.3">
      <c r="A24" s="207"/>
      <c r="B24" s="90" t="s">
        <v>91</v>
      </c>
      <c r="C24" s="91" t="s">
        <v>74</v>
      </c>
      <c r="D24" s="92"/>
      <c r="E24" s="84"/>
      <c r="F24" s="84"/>
      <c r="G24" s="84"/>
      <c r="H24" s="84"/>
      <c r="I24" s="84"/>
      <c r="J24" s="84"/>
      <c r="K24" s="84"/>
      <c r="L24" s="119"/>
      <c r="M24" s="84"/>
      <c r="N24" s="119"/>
      <c r="O24" s="84"/>
    </row>
    <row r="25" spans="1:15" ht="15" customHeight="1" x14ac:dyDescent="0.3">
      <c r="A25" s="207" t="s">
        <v>92</v>
      </c>
      <c r="B25" s="90" t="s">
        <v>90</v>
      </c>
      <c r="C25" s="91" t="s">
        <v>74</v>
      </c>
      <c r="D25" s="92"/>
      <c r="E25" s="84"/>
      <c r="F25" s="84"/>
      <c r="G25" s="84"/>
      <c r="H25" s="84"/>
      <c r="I25" s="84"/>
      <c r="J25" s="84"/>
      <c r="K25" s="84"/>
      <c r="L25" s="119"/>
      <c r="M25" s="84"/>
      <c r="N25" s="119"/>
      <c r="O25" s="84"/>
    </row>
    <row r="26" spans="1:15" ht="15" customHeight="1" x14ac:dyDescent="0.3">
      <c r="A26" s="207"/>
      <c r="B26" s="90" t="s">
        <v>93</v>
      </c>
      <c r="C26" s="91" t="s">
        <v>74</v>
      </c>
      <c r="D26" s="92"/>
      <c r="E26" s="84"/>
      <c r="F26" s="84"/>
      <c r="G26" s="84"/>
      <c r="H26" s="84"/>
      <c r="I26" s="84"/>
      <c r="J26" s="84"/>
      <c r="K26" s="84"/>
      <c r="L26" s="119"/>
      <c r="M26" s="84"/>
      <c r="N26" s="119"/>
      <c r="O26" s="84"/>
    </row>
    <row r="27" spans="1:15" ht="15" customHeight="1" x14ac:dyDescent="0.3">
      <c r="A27" s="102" t="s">
        <v>80</v>
      </c>
      <c r="B27" s="93"/>
      <c r="C27" s="94"/>
      <c r="D27" s="87"/>
      <c r="E27" s="88"/>
      <c r="F27" s="88">
        <f>SUM(F16:F26)</f>
        <v>10938.6</v>
      </c>
      <c r="G27" s="88"/>
      <c r="H27" s="88">
        <f>SUM(H16:H26)</f>
        <v>277400</v>
      </c>
      <c r="I27" s="88"/>
      <c r="J27" s="88">
        <f>SUM(J16:J26)</f>
        <v>0</v>
      </c>
      <c r="K27" s="88"/>
      <c r="L27" s="88">
        <f>SUM(L16:L26)</f>
        <v>0</v>
      </c>
      <c r="M27" s="88"/>
      <c r="N27" s="88">
        <f>SUM(N16:N26)</f>
        <v>288338.59999999998</v>
      </c>
      <c r="O27" s="88"/>
    </row>
    <row r="28" spans="1:15" ht="15" customHeight="1" x14ac:dyDescent="0.3">
      <c r="A28" s="109" t="s">
        <v>94</v>
      </c>
      <c r="B28" s="82" t="s">
        <v>95</v>
      </c>
      <c r="C28" s="83" t="s">
        <v>74</v>
      </c>
      <c r="D28" s="121">
        <v>79</v>
      </c>
      <c r="E28" s="119"/>
      <c r="F28" s="119"/>
      <c r="G28" s="84">
        <v>4147</v>
      </c>
      <c r="H28" s="119">
        <f>D28*G28</f>
        <v>327613</v>
      </c>
      <c r="I28" s="119"/>
      <c r="J28" s="119"/>
      <c r="K28" s="119"/>
      <c r="L28" s="119"/>
      <c r="M28" s="119"/>
      <c r="N28" s="119">
        <f>F28+H28+J28+L28</f>
        <v>327613</v>
      </c>
      <c r="O28" s="95"/>
    </row>
    <row r="29" spans="1:15" ht="15" customHeight="1" x14ac:dyDescent="0.3">
      <c r="A29" s="103" t="s">
        <v>80</v>
      </c>
      <c r="B29" s="85"/>
      <c r="C29" s="86"/>
      <c r="D29" s="96"/>
      <c r="E29" s="97"/>
      <c r="F29" s="97"/>
      <c r="G29" s="97"/>
      <c r="H29" s="88">
        <f>SUM(H28:H28)</f>
        <v>327613</v>
      </c>
      <c r="I29" s="97"/>
      <c r="J29" s="88">
        <f t="shared" ref="J29:N29" si="7">SUM(J28:J28)</f>
        <v>0</v>
      </c>
      <c r="K29" s="88"/>
      <c r="L29" s="88">
        <f t="shared" si="7"/>
        <v>0</v>
      </c>
      <c r="M29" s="88"/>
      <c r="N29" s="88">
        <f t="shared" si="7"/>
        <v>327613</v>
      </c>
      <c r="O29" s="97"/>
    </row>
    <row r="30" spans="1:15" ht="15" customHeight="1" x14ac:dyDescent="0.3">
      <c r="A30" s="102" t="s">
        <v>129</v>
      </c>
      <c r="B30" s="85"/>
      <c r="C30" s="86"/>
      <c r="D30" s="96"/>
      <c r="E30" s="98"/>
      <c r="F30" s="99">
        <f>F11+F15+F27+F29</f>
        <v>538069.1</v>
      </c>
      <c r="G30" s="99"/>
      <c r="H30" s="99">
        <f>H11+H15+H27+H29</f>
        <v>1674167.47</v>
      </c>
      <c r="I30" s="98"/>
      <c r="J30" s="99">
        <f>J11+J15+J27+J29</f>
        <v>0</v>
      </c>
      <c r="K30" s="98"/>
      <c r="L30" s="99">
        <f>L11+L15+L27+L29</f>
        <v>0</v>
      </c>
      <c r="M30" s="98"/>
      <c r="N30" s="99">
        <f>N11+N15+N27+N29</f>
        <v>2212236.5699999998</v>
      </c>
      <c r="O30" s="98"/>
    </row>
  </sheetData>
  <mergeCells count="21"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9"/>
  <sheetViews>
    <sheetView showGridLines="0" zoomScaleNormal="100" workbookViewId="0">
      <selection activeCell="K25" sqref="J25:K25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 x14ac:dyDescent="0.3">
      <c r="A1" s="104" t="s">
        <v>0</v>
      </c>
      <c r="B1" s="104" t="s">
        <v>1</v>
      </c>
      <c r="C1" s="104" t="s">
        <v>2</v>
      </c>
      <c r="D1" s="104" t="s">
        <v>3</v>
      </c>
      <c r="E1" s="104" t="s">
        <v>4</v>
      </c>
      <c r="F1" s="104" t="s">
        <v>5</v>
      </c>
    </row>
    <row r="2" spans="1:6" x14ac:dyDescent="0.3">
      <c r="A2" s="105" t="str">
        <f>'내역서(표준단가)'!A5</f>
        <v>M020853710050101</v>
      </c>
      <c r="B2" s="106">
        <f>'내역서(표준단가)'!F5</f>
        <v>0</v>
      </c>
      <c r="C2" s="106">
        <f>'내역서(표준단가)'!G5</f>
        <v>0</v>
      </c>
      <c r="D2" s="106" t="str">
        <f>'내역서(표준단가)'!H5</f>
        <v>M020853710050101</v>
      </c>
      <c r="E2" s="106">
        <f>'내역서(표준단가)'!I5</f>
        <v>0</v>
      </c>
      <c r="F2" s="116">
        <f>'내역서(표준단가)'!M5</f>
        <v>5.5118999999999998</v>
      </c>
    </row>
    <row r="3" spans="1:6" x14ac:dyDescent="0.3">
      <c r="A3" s="105" t="str">
        <f>'내역서(표준단가)'!A6</f>
        <v>E00000803071260301</v>
      </c>
      <c r="B3" s="106">
        <f>'내역서(표준단가)'!F6</f>
        <v>0</v>
      </c>
      <c r="C3" s="106" t="str">
        <f>'내역서(표준단가)'!G6</f>
        <v>E00000803071260301</v>
      </c>
      <c r="D3" s="106">
        <f>'내역서(표준단가)'!H6</f>
        <v>0</v>
      </c>
      <c r="E3" s="106">
        <f>'내역서(표준단가)'!I6</f>
        <v>0</v>
      </c>
      <c r="F3" s="116">
        <f>'내역서(표준단가)'!M6</f>
        <v>1.978</v>
      </c>
    </row>
    <row r="4" spans="1:6" x14ac:dyDescent="0.3">
      <c r="A4" s="105" t="str">
        <f>'내역서(표준단가)'!A7</f>
        <v>M020809012520101</v>
      </c>
      <c r="B4" s="106">
        <f>'내역서(표준단가)'!F7</f>
        <v>0</v>
      </c>
      <c r="C4" s="106">
        <f>'내역서(표준단가)'!G7</f>
        <v>0</v>
      </c>
      <c r="D4" s="106" t="str">
        <f>'내역서(표준단가)'!H7</f>
        <v>M020809012520101</v>
      </c>
      <c r="E4" s="106">
        <f>'내역서(표준단가)'!I7</f>
        <v>0</v>
      </c>
      <c r="F4" s="116">
        <f>'내역서(표준단가)'!M7</f>
        <v>39.6</v>
      </c>
    </row>
    <row r="5" spans="1:6" x14ac:dyDescent="0.3">
      <c r="A5" s="105" t="str">
        <f>'내역서(표준단가)'!A8</f>
        <v>E00000803071260401</v>
      </c>
      <c r="B5" s="106">
        <f>'내역서(표준단가)'!F8</f>
        <v>0</v>
      </c>
      <c r="C5" s="106" t="str">
        <f>'내역서(표준단가)'!G8</f>
        <v>E00000803071260401</v>
      </c>
      <c r="D5" s="106">
        <f>'내역서(표준단가)'!H8</f>
        <v>0</v>
      </c>
      <c r="E5" s="106">
        <f>'내역서(표준단가)'!I8</f>
        <v>0</v>
      </c>
      <c r="F5" s="116">
        <f>'내역서(표준단가)'!M8</f>
        <v>0.64900000000000002</v>
      </c>
    </row>
    <row r="6" spans="1:6" x14ac:dyDescent="0.3">
      <c r="A6" s="105" t="str">
        <f>'내역서(표준단가)'!A9</f>
        <v>M020412614110102</v>
      </c>
      <c r="B6" s="106">
        <f>'내역서(표준단가)'!F9</f>
        <v>0</v>
      </c>
      <c r="C6" s="106">
        <f>'내역서(표준단가)'!G9</f>
        <v>0</v>
      </c>
      <c r="D6" s="106" t="str">
        <f>'내역서(표준단가)'!H9</f>
        <v>M020412614110102</v>
      </c>
      <c r="E6" s="106">
        <f>'내역서(표준단가)'!I9</f>
        <v>0</v>
      </c>
      <c r="F6" s="116">
        <f>'내역서(표준단가)'!M9</f>
        <v>0.2</v>
      </c>
    </row>
    <row r="7" spans="1:6" x14ac:dyDescent="0.3">
      <c r="A7" s="105" t="str">
        <f>'내역서(표준단가)'!A10</f>
        <v>E00000803061120402</v>
      </c>
      <c r="B7" s="106">
        <f>'내역서(표준단가)'!F10</f>
        <v>0</v>
      </c>
      <c r="C7" s="106" t="str">
        <f>'내역서(표준단가)'!G10</f>
        <v>E00000803061120402</v>
      </c>
      <c r="D7" s="106">
        <f>'내역서(표준단가)'!H10</f>
        <v>0</v>
      </c>
      <c r="E7" s="106">
        <f>'내역서(표준단가)'!I10</f>
        <v>0</v>
      </c>
      <c r="F7" s="116">
        <f>'내역서(표준단가)'!M10</f>
        <v>20</v>
      </c>
    </row>
    <row r="8" spans="1:6" x14ac:dyDescent="0.3">
      <c r="A8" s="105" t="str">
        <f>'내역서(표준단가)'!A11</f>
        <v>E00000803061300201</v>
      </c>
      <c r="B8" s="106">
        <f>'내역서(표준단가)'!F11</f>
        <v>0</v>
      </c>
      <c r="C8" s="106" t="str">
        <f>'내역서(표준단가)'!G11</f>
        <v>E00000803061300201</v>
      </c>
      <c r="D8" s="106">
        <f>'내역서(표준단가)'!H11</f>
        <v>0</v>
      </c>
      <c r="E8" s="106">
        <f>'내역서(표준단가)'!I11</f>
        <v>0</v>
      </c>
      <c r="F8" s="116">
        <f>'내역서(표준단가)'!M11</f>
        <v>20</v>
      </c>
    </row>
    <row r="9" spans="1:6" x14ac:dyDescent="0.3">
      <c r="A9" s="105" t="str">
        <f>'내역서(표준단가)'!A12</f>
        <v>E00000801011510701</v>
      </c>
      <c r="B9" s="106">
        <f>'내역서(표준단가)'!F12</f>
        <v>0</v>
      </c>
      <c r="C9" s="106" t="str">
        <f>'내역서(표준단가)'!G12</f>
        <v>E00000801011510701</v>
      </c>
      <c r="D9" s="106">
        <f>'내역서(표준단가)'!H12</f>
        <v>0</v>
      </c>
      <c r="E9" s="106">
        <f>'내역서(표준단가)'!I12</f>
        <v>0</v>
      </c>
      <c r="F9" s="116">
        <f>'내역서(표준단가)'!M12</f>
        <v>79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2025-09-18T06:58:47Z</dcterms:modified>
</cp:coreProperties>
</file>
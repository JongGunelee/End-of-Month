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000\38 기숙사 AB동 급배기 및 제연휀 윤활유 교체\"/>
    </mc:Choice>
  </mc:AlternateContent>
  <xr:revisionPtr revIDLastSave="0" documentId="13_ncr:1_{7CCCE175-89E5-4155-A539-566D497B4B00}" xr6:coauthVersionLast="47" xr6:coauthVersionMax="47" xr10:uidLastSave="{00000000-0000-0000-0000-000000000000}"/>
  <bookViews>
    <workbookView xWindow="14355" yWindow="0" windowWidth="14490" windowHeight="16245" tabRatio="805" xr2:uid="{00000000-000D-0000-FFFF-FFFF00000000}"/>
  </bookViews>
  <sheets>
    <sheet name="갑지" sheetId="12" r:id="rId1"/>
    <sheet name="내역서(표준단가)" sheetId="4" r:id="rId2"/>
    <sheet name="Upload(시중가)-별도입력" sheetId="7" r:id="rId3"/>
    <sheet name="공사수립계획서" sheetId="10" r:id="rId4"/>
    <sheet name="산출서" sheetId="11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1" l="1"/>
  <c r="B7" i="11"/>
  <c r="C7" i="11"/>
  <c r="D7" i="11"/>
  <c r="M6" i="4"/>
  <c r="B4" i="1"/>
  <c r="C4" i="1"/>
  <c r="D4" i="1"/>
  <c r="E4" i="1"/>
  <c r="F4" i="1"/>
  <c r="Q7" i="4"/>
  <c r="D6" i="11" l="1"/>
  <c r="C6" i="11"/>
  <c r="B6" i="11"/>
  <c r="A6" i="11"/>
  <c r="B3" i="1"/>
  <c r="C3" i="1"/>
  <c r="D3" i="1"/>
  <c r="E3" i="1"/>
  <c r="E6" i="4"/>
  <c r="A3" i="1" s="1"/>
  <c r="O6" i="4"/>
  <c r="U6" i="4"/>
  <c r="F3" i="1" l="1"/>
  <c r="Q6" i="4"/>
  <c r="Q9" i="4" s="1"/>
  <c r="S6" i="4"/>
  <c r="V6" i="4" l="1"/>
  <c r="E7" i="4"/>
  <c r="A4" i="1" s="1"/>
  <c r="O7" i="4" l="1"/>
  <c r="O9" i="4" s="1"/>
  <c r="S7" i="4"/>
  <c r="S9" i="4" s="1"/>
  <c r="U7" i="4"/>
  <c r="U9" i="4" s="1"/>
  <c r="V9" i="4" l="1"/>
  <c r="V7" i="4"/>
  <c r="A2" i="1"/>
  <c r="A3" i="11" l="1"/>
  <c r="D5" i="11"/>
  <c r="C5" i="11"/>
  <c r="B5" i="11"/>
  <c r="A5" i="11"/>
  <c r="E4" i="10" l="1"/>
  <c r="C5" i="10" l="1"/>
  <c r="N2" i="7"/>
  <c r="N3" i="7"/>
  <c r="E8" i="4" l="1"/>
  <c r="F15" i="12" l="1"/>
  <c r="F16" i="12" l="1"/>
  <c r="F22" i="12" l="1"/>
  <c r="F23" i="12"/>
  <c r="F25" i="12"/>
  <c r="F24" i="12"/>
  <c r="F26" i="12" s="1"/>
  <c r="F21" i="12"/>
  <c r="F27" i="12" l="1"/>
  <c r="F28" i="12" s="1"/>
  <c r="F17" i="12" l="1"/>
  <c r="F19" i="12" s="1"/>
  <c r="F30" i="12" s="1"/>
  <c r="F31" i="12" s="1"/>
  <c r="F2" i="1"/>
  <c r="E2" i="1"/>
  <c r="D2" i="1"/>
  <c r="C2" i="1"/>
  <c r="B2" i="1"/>
  <c r="B1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<sst xmlns="http://schemas.openxmlformats.org/spreadsheetml/2006/main" count="179" uniqueCount="160">
  <si>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</si>
  <si>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</si>
  <si>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</si>
  <si>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</si>
  <si>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</si>
  <si>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</si>
  <si>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</si>
  <si>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</si>
  <si>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</si>
  <si>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</si>
  <si>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</si>
  <si>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</si>
  <si>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</si>
  <si>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</si>
  <si>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</si>
  <si>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</si>
  <si>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</si>
  <si>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</si>
  <si>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</si>
  <si>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</si>
  <si>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</si>
  <si>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</si>
  <si>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</si>
  <si>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</si>
  <si>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</si>
  <si>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</si>
  <si>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</si>
  <si>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</si>
  <si>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</si>
  <si>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</si>
  <si>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</si>
  <si>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</si>
  <si>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</si>
  <si>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</si>
  <si>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</si>
  <si>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</si>
  <si>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</si>
  <si>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</si>
  <si>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</si>
  <si>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</si>
  <si>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</si>
  <si>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</si>
  <si>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</si>
  <si>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</si>
  <si>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</si>
  <si>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</si>
  <si>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</si>
  <si>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</si>
  <si>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</si>
  <si>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</si>
  <si>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</si>
  <si>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</si>
  <si>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</si>
  <si>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</si>
  <si>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</si>
  <si>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</si>
  <si>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</si>
  <si>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</si>
  <si>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</si>
  <si>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</si>
  <si>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</si>
  <si>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</si>
  <si>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</si>
  <si>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</si>
  <si>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</si>
  <si>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</si>
  <si>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</si>
  <si>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</si>
  <si>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</si>
  <si>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</si>
  <si>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</si>
  <si>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</si>
  <si>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</si>
  <si>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</si>
  <si>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</si>
  <si>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</si>
  <si>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</si>
  <si>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</si>
  <si>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</si>
  <si>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</si>
  <si>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</si>
  <si>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</si>
  <si>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</si>
  <si>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</si>
  <si>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</si>
  <si>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</si>
  <si>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</si>
  <si>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</si>
  <si>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</si>
  <si>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</si>
  <si>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</si>
  <si>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</si>
  <si>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</si>
  <si>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</si>
  <si>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</si>
  <si>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</si>
  <si>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</si>
  <si>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</si>
  <si>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</si>
  <si>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</si>
  <si>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</si>
  <si>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품명</t>
    <phoneticPr fontId="244" type="noConversion"/>
  </si>
  <si>
    <t>규격</t>
    <phoneticPr fontId="244" type="noConversion"/>
  </si>
  <si>
    <t>단위</t>
    <phoneticPr fontId="244" type="noConversion"/>
  </si>
  <si>
    <t>수량</t>
    <phoneticPr fontId="128" type="noConversion"/>
  </si>
  <si>
    <t>산출근거</t>
    <phoneticPr fontId="244" type="noConversion"/>
  </si>
  <si>
    <t>내역도면번호</t>
    <phoneticPr fontId="244" type="noConversion"/>
  </si>
  <si>
    <t>비고</t>
    <phoneticPr fontId="244" type="noConversion"/>
  </si>
  <si>
    <t>■ 위험작업 유무 :  유(고소,화기,신호수)</t>
    <phoneticPr fontId="15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</si>
  <si>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</si>
  <si>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</si>
  <si>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</si>
  <si>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</si>
  <si>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</si>
  <si>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</si>
  <si>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</si>
  <si>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</si>
  <si>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</si>
  <si>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</si>
  <si>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</si>
  <si>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</si>
  <si>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</si>
  <si>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</si>
  <si>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</si>
  <si>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</si>
  <si>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</si>
  <si>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</si>
  <si>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</si>
  <si>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</si>
  <si>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</si>
  <si>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</si>
  <si>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</si>
  <si>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</si>
  <si>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</si>
  <si>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</si>
  <si>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</si>
  <si>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</si>
  <si>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</si>
  <si>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인</t>
  </si>
  <si>
    <t>L002</t>
  </si>
  <si>
    <t>보통인부</t>
  </si>
  <si>
    <t>사다리보조자</t>
    <phoneticPr fontId="15" type="noConversion"/>
  </si>
  <si>
    <t xml:space="preserve"> -. 주변정리</t>
    <phoneticPr fontId="15" type="noConversion"/>
  </si>
  <si>
    <t>=4</t>
  </si>
  <si>
    <t>B01</t>
    <phoneticPr fontId="15" type="noConversion"/>
  </si>
  <si>
    <t>자동 구리스 주입기 교체</t>
  </si>
  <si>
    <t>자동 구리스 주입기 교체</t>
    <phoneticPr fontId="15" type="noConversion"/>
  </si>
  <si>
    <t>기숙사 A,B동 급,배기팬 자동구리스 설치</t>
    <phoneticPr fontId="15" type="noConversion"/>
  </si>
  <si>
    <t>자동 구리스 주입기 교체</t>
    <phoneticPr fontId="15" type="noConversion"/>
  </si>
  <si>
    <t>식</t>
  </si>
  <si>
    <t>식</t>
    <phoneticPr fontId="15" type="noConversion"/>
  </si>
  <si>
    <t xml:space="preserve"> -. 기 설치된 자동 구리스 및 호스 철거</t>
    <phoneticPr fontId="15" type="noConversion"/>
  </si>
  <si>
    <t xml:space="preserve"> -. 자동 구리스 철거 시 급,배기팬 철거 후 재설치</t>
    <phoneticPr fontId="15" type="noConversion"/>
  </si>
  <si>
    <t xml:space="preserve"> -. 사다리 보조자 배치</t>
    <phoneticPr fontId="15" type="noConversion"/>
  </si>
  <si>
    <t>=1</t>
    <phoneticPr fontId="15" type="noConversion"/>
  </si>
  <si>
    <t xml:space="preserve"> 공사명 : 기숙사 A,B동 급,배기팬 자동 구리스 주입기 교체공사</t>
    <phoneticPr fontId="25" type="noConversion"/>
  </si>
  <si>
    <t xml:space="preserve"> 견적일 : 2025년  09 월  08 일</t>
    <phoneticPr fontId="25" type="noConversion"/>
  </si>
  <si>
    <t>신흥산업전기</t>
  </si>
  <si>
    <t>신흥산업전기</t>
    <phoneticPr fontId="15" type="noConversion"/>
  </si>
  <si>
    <t>비교견적 - 아성이엔지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</si>
</sst>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</numFmts>
  <fonts count="25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6" fillId="0" borderId="0"/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6" fillId="0" borderId="0" applyFont="0" applyFill="0" applyBorder="0" applyAlignment="0" applyProtection="0"/>
    <xf numFmtId="0" fontId="22" fillId="0" borderId="0"/>
    <xf numFmtId="186" fontId="66" fillId="0" borderId="0" applyFont="0" applyFill="0" applyBorder="0" applyAlignment="0" applyProtection="0"/>
    <xf numFmtId="0" fontId="67" fillId="0" borderId="0"/>
    <xf numFmtId="0" fontId="68" fillId="0" borderId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71" fillId="0" borderId="54">
      <alignment horizontal="center"/>
    </xf>
    <xf numFmtId="0" fontId="72" fillId="0" borderId="0"/>
    <xf numFmtId="187" fontId="73" fillId="0" borderId="55" applyBorder="0">
      <alignment horizontal="center"/>
    </xf>
    <xf numFmtId="10" fontId="73" fillId="0" borderId="55" applyBorder="0">
      <alignment horizontal="center"/>
    </xf>
    <xf numFmtId="0" fontId="73" fillId="0" borderId="0"/>
    <xf numFmtId="0" fontId="68" fillId="0" borderId="43">
      <alignment horizontal="centerContinuous" vertical="center"/>
    </xf>
    <xf numFmtId="3" fontId="66" fillId="0" borderId="56"/>
    <xf numFmtId="3" fontId="74" fillId="0" borderId="0" applyFont="0" applyFill="0" applyBorder="0" applyAlignment="0" applyProtection="0">
      <alignment vertical="center"/>
    </xf>
    <xf numFmtId="188" fontId="56" fillId="0" borderId="0" applyFont="0" applyFill="0" applyBorder="0" applyAlignment="0" applyProtection="0"/>
    <xf numFmtId="189" fontId="69" fillId="0" borderId="0" applyFont="0" applyFill="0" applyBorder="0" applyAlignment="0" applyProtection="0"/>
    <xf numFmtId="190" fontId="56" fillId="0" borderId="56" applyFont="0" applyFill="0" applyBorder="0" applyAlignment="0" applyProtection="0">
      <alignment vertical="center"/>
    </xf>
    <xf numFmtId="191" fontId="69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202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4" fontId="69" fillId="0" borderId="0">
      <alignment vertical="center"/>
    </xf>
    <xf numFmtId="203" fontId="56" fillId="0" borderId="0" applyFont="0" applyFill="0" applyBorder="0" applyAlignment="0" applyProtection="0"/>
    <xf numFmtId="204" fontId="56" fillId="0" borderId="56" applyFont="0" applyFill="0" applyBorder="0" applyAlignment="0" applyProtection="0">
      <alignment vertical="center"/>
    </xf>
    <xf numFmtId="205" fontId="56" fillId="0" borderId="0" applyFont="0" applyFill="0" applyBorder="0" applyAlignment="0" applyProtection="0"/>
    <xf numFmtId="206" fontId="56" fillId="0" borderId="0" applyFont="0" applyFill="0" applyBorder="0" applyAlignment="0" applyProtection="0"/>
    <xf numFmtId="207" fontId="56" fillId="0" borderId="0" applyFont="0" applyFill="0" applyBorder="0" applyAlignment="0" applyProtection="0"/>
    <xf numFmtId="208" fontId="56" fillId="0" borderId="0" applyFont="0" applyFill="0" applyBorder="0" applyAlignment="0" applyProtection="0"/>
    <xf numFmtId="20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212" fontId="56" fillId="0" borderId="0" applyFont="0" applyFill="0" applyBorder="0" applyAlignment="0" applyProtection="0"/>
    <xf numFmtId="191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4" fontId="69" fillId="0" borderId="0">
      <alignment vertical="center"/>
    </xf>
    <xf numFmtId="214" fontId="69" fillId="0" borderId="0">
      <alignment vertical="center"/>
    </xf>
    <xf numFmtId="3" fontId="66" fillId="0" borderId="56"/>
    <xf numFmtId="24" fontId="71" fillId="0" borderId="0" applyFont="0" applyFill="0" applyBorder="0" applyAlignment="0" applyProtection="0"/>
    <xf numFmtId="215" fontId="54" fillId="0" borderId="0" applyNumberFormat="0" applyFont="0" applyFill="0" applyBorder="0" applyAlignment="0" applyProtection="0"/>
    <xf numFmtId="215" fontId="54" fillId="0" borderId="0" applyNumberFormat="0" applyFont="0" applyFill="0" applyBorder="0" applyAlignment="0" applyProtection="0"/>
    <xf numFmtId="216" fontId="56" fillId="0" borderId="0" applyNumberFormat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6" fillId="0" borderId="0">
      <alignment vertical="center"/>
    </xf>
    <xf numFmtId="217" fontId="77" fillId="0" borderId="56" applyFill="0" applyBorder="0" applyProtection="0">
      <alignment horizontal="right" vertical="center"/>
    </xf>
    <xf numFmtId="0" fontId="75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6" fillId="0" borderId="0"/>
    <xf numFmtId="0" fontId="78" fillId="0" borderId="0" applyFont="0" applyFill="0" applyBorder="0" applyAlignment="0" applyProtection="0"/>
    <xf numFmtId="0" fontId="67" fillId="0" borderId="0"/>
    <xf numFmtId="0" fontId="69" fillId="0" borderId="0"/>
    <xf numFmtId="0" fontId="79" fillId="0" borderId="0"/>
    <xf numFmtId="0" fontId="69" fillId="0" borderId="0"/>
    <xf numFmtId="0" fontId="69" fillId="0" borderId="0"/>
    <xf numFmtId="0" fontId="22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179" fontId="81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83" fillId="0" borderId="0"/>
    <xf numFmtId="0" fontId="22" fillId="0" borderId="0"/>
    <xf numFmtId="0" fontId="22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71" fillId="0" borderId="0"/>
    <xf numFmtId="0" fontId="71" fillId="0" borderId="0"/>
    <xf numFmtId="0" fontId="7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83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83" fillId="0" borderId="0"/>
    <xf numFmtId="0" fontId="56" fillId="0" borderId="0"/>
    <xf numFmtId="0" fontId="22" fillId="0" borderId="0"/>
    <xf numFmtId="0" fontId="56" fillId="0" borderId="0"/>
    <xf numFmtId="0" fontId="71" fillId="0" borderId="0"/>
    <xf numFmtId="0" fontId="56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22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71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83" fillId="0" borderId="0"/>
    <xf numFmtId="0" fontId="73" fillId="0" borderId="0" applyFont="0" applyFill="0" applyBorder="0" applyAlignment="0" applyProtection="0"/>
    <xf numFmtId="0" fontId="56" fillId="0" borderId="0"/>
    <xf numFmtId="0" fontId="22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73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83" fillId="0" borderId="0"/>
    <xf numFmtId="0" fontId="73" fillId="0" borderId="0"/>
    <xf numFmtId="0" fontId="83" fillId="0" borderId="0"/>
    <xf numFmtId="0" fontId="83" fillId="0" borderId="0"/>
    <xf numFmtId="0" fontId="83" fillId="0" borderId="0"/>
    <xf numFmtId="0" fontId="73" fillId="0" borderId="0"/>
    <xf numFmtId="0" fontId="22" fillId="0" borderId="0"/>
    <xf numFmtId="0" fontId="22" fillId="0" borderId="0"/>
    <xf numFmtId="0" fontId="71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73" fillId="0" borderId="0"/>
    <xf numFmtId="0" fontId="71" fillId="0" borderId="0"/>
    <xf numFmtId="0" fontId="22" fillId="0" borderId="0"/>
    <xf numFmtId="0" fontId="73" fillId="0" borderId="0"/>
    <xf numFmtId="0" fontId="22" fillId="0" borderId="0"/>
    <xf numFmtId="0" fontId="71" fillId="0" borderId="0"/>
    <xf numFmtId="0" fontId="72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3" fillId="0" borderId="0"/>
    <xf numFmtId="0" fontId="8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/>
    <xf numFmtId="0" fontId="71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73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70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19" fontId="56" fillId="0" borderId="0" applyFont="0" applyFill="0" applyBorder="0" applyAlignment="0" applyProtection="0"/>
    <xf numFmtId="218" fontId="5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/>
    <xf numFmtId="0" fontId="56" fillId="0" borderId="0" applyFont="0" applyFill="0" applyBorder="0" applyProtection="0">
      <alignment vertical="center"/>
    </xf>
    <xf numFmtId="0" fontId="56" fillId="0" borderId="0">
      <alignment vertical="center"/>
    </xf>
    <xf numFmtId="221" fontId="86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0" fillId="0" borderId="0">
      <protection locked="0"/>
    </xf>
    <xf numFmtId="222" fontId="56" fillId="0" borderId="0">
      <protection locked="0"/>
    </xf>
    <xf numFmtId="0" fontId="70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1" fillId="0" borderId="0"/>
    <xf numFmtId="223" fontId="84" fillId="0" borderId="0">
      <protection locked="0"/>
    </xf>
    <xf numFmtId="220" fontId="8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8" fillId="0" borderId="0">
      <alignment vertical="center"/>
    </xf>
    <xf numFmtId="0" fontId="56" fillId="0" borderId="0"/>
    <xf numFmtId="0" fontId="8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88" fontId="89" fillId="0" borderId="58" applyFill="0" applyProtection="0">
      <alignment horizontal="center"/>
    </xf>
    <xf numFmtId="3" fontId="66" fillId="0" borderId="56"/>
    <xf numFmtId="0" fontId="68" fillId="0" borderId="0">
      <alignment vertical="center"/>
    </xf>
    <xf numFmtId="3" fontId="66" fillId="0" borderId="56"/>
    <xf numFmtId="10" fontId="68" fillId="0" borderId="0">
      <alignment vertical="center"/>
    </xf>
    <xf numFmtId="0" fontId="68" fillId="0" borderId="0">
      <alignment vertical="center"/>
    </xf>
    <xf numFmtId="224" fontId="56" fillId="0" borderId="0">
      <alignment vertical="center"/>
    </xf>
    <xf numFmtId="0" fontId="23" fillId="0" borderId="56">
      <alignment vertical="center"/>
    </xf>
    <xf numFmtId="0" fontId="69" fillId="0" borderId="0">
      <alignment vertical="center"/>
    </xf>
    <xf numFmtId="0" fontId="56" fillId="0" borderId="0"/>
    <xf numFmtId="0" fontId="90" fillId="0" borderId="59"/>
    <xf numFmtId="3" fontId="91" fillId="0" borderId="28">
      <alignment horizontal="right" vertical="center"/>
    </xf>
    <xf numFmtId="225" fontId="22" fillId="0" borderId="0" applyFont="0" applyFill="0" applyBorder="0" applyAlignment="0" applyProtection="0"/>
    <xf numFmtId="3" fontId="91" fillId="0" borderId="28">
      <alignment horizontal="right"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3" fontId="91" fillId="0" borderId="28">
      <alignment horizontal="right" vertical="center"/>
    </xf>
    <xf numFmtId="0" fontId="75" fillId="0" borderId="0"/>
    <xf numFmtId="0" fontId="75" fillId="0" borderId="0"/>
    <xf numFmtId="0" fontId="75" fillId="0" borderId="0"/>
    <xf numFmtId="3" fontId="91" fillId="0" borderId="28">
      <alignment horizontal="right" vertical="center"/>
    </xf>
    <xf numFmtId="3" fontId="91" fillId="0" borderId="28">
      <alignment horizontal="right" vertical="center"/>
    </xf>
    <xf numFmtId="177" fontId="69" fillId="0" borderId="0">
      <alignment horizontal="center" vertical="center"/>
    </xf>
    <xf numFmtId="177" fontId="69" fillId="0" borderId="0">
      <alignment horizontal="center" vertical="center"/>
    </xf>
    <xf numFmtId="226" fontId="92" fillId="0" borderId="0">
      <alignment horizontal="center" vertical="center"/>
    </xf>
    <xf numFmtId="3" fontId="91" fillId="0" borderId="28">
      <alignment horizontal="right" vertical="center"/>
    </xf>
    <xf numFmtId="3" fontId="91" fillId="0" borderId="28">
      <alignment horizontal="right" vertical="center"/>
    </xf>
    <xf numFmtId="0" fontId="75" fillId="0" borderId="0"/>
    <xf numFmtId="0" fontId="75" fillId="0" borderId="0"/>
    <xf numFmtId="3" fontId="91" fillId="0" borderId="28">
      <alignment horizontal="right" vertical="center"/>
    </xf>
    <xf numFmtId="0" fontId="75" fillId="0" borderId="0"/>
    <xf numFmtId="3" fontId="91" fillId="0" borderId="28">
      <alignment horizontal="right"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3" fontId="94" fillId="0" borderId="0">
      <protection locked="0"/>
    </xf>
    <xf numFmtId="9" fontId="95" fillId="0" borderId="0" applyFont="0" applyFill="0" applyBorder="0" applyAlignment="0" applyProtection="0"/>
    <xf numFmtId="10" fontId="96" fillId="0" borderId="0" applyFont="0" applyFill="0" applyBorder="0" applyAlignment="0" applyProtection="0"/>
    <xf numFmtId="2" fontId="91" fillId="0" borderId="28">
      <alignment horizontal="right" vertical="center"/>
    </xf>
    <xf numFmtId="0" fontId="69" fillId="0" borderId="0"/>
    <xf numFmtId="0" fontId="69" fillId="0" borderId="2">
      <alignment horizontal="center"/>
    </xf>
    <xf numFmtId="2" fontId="91" fillId="0" borderId="28">
      <alignment horizontal="right"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2" fillId="0" borderId="0"/>
    <xf numFmtId="0" fontId="70" fillId="0" borderId="0">
      <protection locked="0"/>
    </xf>
    <xf numFmtId="0" fontId="84" fillId="0" borderId="0">
      <protection locked="0"/>
    </xf>
    <xf numFmtId="227" fontId="73" fillId="0" borderId="0">
      <alignment vertical="center"/>
    </xf>
    <xf numFmtId="0" fontId="88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9" fontId="69" fillId="0" borderId="0">
      <protection locked="0"/>
    </xf>
    <xf numFmtId="0" fontId="99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22" fillId="0" borderId="0"/>
    <xf numFmtId="0" fontId="102" fillId="0" borderId="60">
      <alignment horizontal="center" vertical="center"/>
    </xf>
    <xf numFmtId="228" fontId="56" fillId="0" borderId="0" applyFont="0" applyFill="0" applyBorder="0" applyAlignment="0" applyProtection="0"/>
    <xf numFmtId="0" fontId="84" fillId="0" borderId="0">
      <protection locked="0"/>
    </xf>
    <xf numFmtId="0" fontId="10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5" fillId="63" borderId="61">
      <alignment horizontal="center" vertical="center"/>
    </xf>
    <xf numFmtId="223" fontId="84" fillId="0" borderId="0">
      <protection locked="0"/>
    </xf>
    <xf numFmtId="0" fontId="84" fillId="0" borderId="0">
      <protection locked="0"/>
    </xf>
    <xf numFmtId="0" fontId="56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18" fillId="0" borderId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56" fillId="0" borderId="0">
      <protection locked="0"/>
    </xf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18" fillId="0" borderId="0"/>
    <xf numFmtId="231" fontId="95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70" fillId="0" borderId="0">
      <protection locked="0"/>
    </xf>
    <xf numFmtId="223" fontId="84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32" fontId="56" fillId="0" borderId="0">
      <protection locked="0"/>
    </xf>
    <xf numFmtId="0" fontId="71" fillId="0" borderId="0"/>
    <xf numFmtId="233" fontId="77" fillId="0" borderId="56" applyFont="0" applyFill="0" applyBorder="0">
      <alignment horizontal="right" vertical="center"/>
    </xf>
    <xf numFmtId="0" fontId="18" fillId="0" borderId="0"/>
    <xf numFmtId="0" fontId="18" fillId="0" borderId="0"/>
    <xf numFmtId="223" fontId="94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18" fillId="0" borderId="0"/>
    <xf numFmtId="179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18" fillId="0" borderId="0"/>
    <xf numFmtId="220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4" fontId="84" fillId="0" borderId="0">
      <protection locked="0"/>
    </xf>
    <xf numFmtId="234" fontId="56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1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2" fillId="0" borderId="0" applyNumberFormat="0" applyFill="0" applyBorder="0" applyAlignment="0" applyProtection="0"/>
    <xf numFmtId="0" fontId="18" fillId="0" borderId="0"/>
    <xf numFmtId="0" fontId="84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94" fillId="0" borderId="0">
      <protection locked="0"/>
    </xf>
    <xf numFmtId="0" fontId="96" fillId="0" borderId="0"/>
    <xf numFmtId="0" fontId="95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96" fillId="0" borderId="0"/>
    <xf numFmtId="0" fontId="95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49" fontId="96" fillId="0" borderId="0" applyBorder="0"/>
    <xf numFmtId="0" fontId="108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18" fillId="0" borderId="0"/>
    <xf numFmtId="0" fontId="119" fillId="0" borderId="0"/>
    <xf numFmtId="0" fontId="109" fillId="0" borderId="0"/>
    <xf numFmtId="0" fontId="95" fillId="0" borderId="0"/>
    <xf numFmtId="0" fontId="114" fillId="0" borderId="0"/>
    <xf numFmtId="0" fontId="108" fillId="0" borderId="0"/>
    <xf numFmtId="0" fontId="22" fillId="0" borderId="0"/>
    <xf numFmtId="0" fontId="18" fillId="0" borderId="0"/>
    <xf numFmtId="0" fontId="56" fillId="0" borderId="0" applyFill="0" applyBorder="0" applyAlignment="0"/>
    <xf numFmtId="235" fontId="56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2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3" fillId="0" borderId="0" applyNumberFormat="0" applyFill="0" applyBorder="0" applyAlignment="0" applyProtection="0">
      <alignment vertical="top"/>
      <protection locked="0"/>
    </xf>
    <xf numFmtId="236" fontId="124" fillId="0" borderId="56" applyFont="0" applyFill="0" applyBorder="0">
      <alignment horizontal="right" vertical="center"/>
    </xf>
    <xf numFmtId="237" fontId="77" fillId="0" borderId="56" applyFill="0" applyBorder="0" applyProtection="0">
      <alignment horizontal="right" vertical="center"/>
    </xf>
    <xf numFmtId="0" fontId="84" fillId="0" borderId="64">
      <protection locked="0"/>
    </xf>
    <xf numFmtId="0" fontId="70" fillId="0" borderId="64">
      <protection locked="0"/>
    </xf>
    <xf numFmtId="223" fontId="84" fillId="0" borderId="0">
      <protection locked="0"/>
    </xf>
    <xf numFmtId="0" fontId="18" fillId="0" borderId="0"/>
    <xf numFmtId="0" fontId="18" fillId="0" borderId="0"/>
    <xf numFmtId="177" fontId="103" fillId="0" borderId="0" applyFont="0" applyFill="0" applyBorder="0" applyAlignment="0" applyProtection="0"/>
    <xf numFmtId="177" fontId="103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4" fillId="0" borderId="0">
      <protection locked="0"/>
    </xf>
    <xf numFmtId="4" fontId="84" fillId="0" borderId="0">
      <protection locked="0"/>
    </xf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9" fontId="56" fillId="0" borderId="0"/>
    <xf numFmtId="240" fontId="69" fillId="0" borderId="0"/>
    <xf numFmtId="241" fontId="72" fillId="0" borderId="0"/>
    <xf numFmtId="178" fontId="22" fillId="0" borderId="0" applyFont="0" applyFill="0" applyBorder="0" applyAlignment="0" applyProtection="0"/>
    <xf numFmtId="242" fontId="125" fillId="0" borderId="0">
      <protection locked="0"/>
    </xf>
    <xf numFmtId="3" fontId="126" fillId="0" borderId="0" applyFont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40" fontId="71" fillId="0" borderId="0" applyFont="0" applyFill="0" applyBorder="0" applyAlignment="0" applyProtection="0"/>
    <xf numFmtId="0" fontId="127" fillId="0" borderId="0" applyNumberFormat="0" applyAlignment="0">
      <alignment horizontal="left"/>
    </xf>
    <xf numFmtId="0" fontId="7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3" fillId="0" borderId="0" applyFont="0" applyFill="0" applyBorder="0" applyAlignment="0" applyProtection="0"/>
    <xf numFmtId="243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5" fillId="0" borderId="0">
      <protection locked="0"/>
    </xf>
    <xf numFmtId="244" fontId="125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6" fontId="128" fillId="0" borderId="56" applyFill="0" applyBorder="0" applyAlignment="0"/>
    <xf numFmtId="0" fontId="18" fillId="0" borderId="0"/>
    <xf numFmtId="247" fontId="125" fillId="0" borderId="0">
      <protection locked="0"/>
    </xf>
    <xf numFmtId="223" fontId="70" fillId="0" borderId="0">
      <protection locked="0"/>
    </xf>
    <xf numFmtId="248" fontId="126" fillId="0" borderId="0" applyFont="0" applyFill="0" applyBorder="0" applyAlignment="0" applyProtection="0"/>
    <xf numFmtId="249" fontId="56" fillId="0" borderId="0"/>
    <xf numFmtId="250" fontId="69" fillId="0" borderId="0"/>
    <xf numFmtId="251" fontId="66" fillId="0" borderId="0"/>
    <xf numFmtId="0" fontId="84" fillId="0" borderId="0">
      <protection locked="0"/>
    </xf>
    <xf numFmtId="188" fontId="56" fillId="0" borderId="0">
      <protection locked="0"/>
    </xf>
    <xf numFmtId="0" fontId="18" fillId="0" borderId="0"/>
    <xf numFmtId="0" fontId="18" fillId="0" borderId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252" fontId="56" fillId="0" borderId="0"/>
    <xf numFmtId="253" fontId="69" fillId="0" borderId="0"/>
    <xf numFmtId="254" fontId="56" fillId="0" borderId="0"/>
    <xf numFmtId="0" fontId="18" fillId="0" borderId="0"/>
    <xf numFmtId="0" fontId="70" fillId="0" borderId="0">
      <protection locked="0"/>
    </xf>
    <xf numFmtId="0" fontId="70" fillId="0" borderId="0">
      <protection locked="0"/>
    </xf>
    <xf numFmtId="255" fontId="56" fillId="0" borderId="0">
      <protection locked="0"/>
    </xf>
    <xf numFmtId="256" fontId="56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Alignment="0">
      <alignment horizontal="left"/>
    </xf>
    <xf numFmtId="0" fontId="18" fillId="0" borderId="0"/>
    <xf numFmtId="257" fontId="130" fillId="0" borderId="0" applyFont="0" applyFill="0" applyBorder="0" applyAlignment="0" applyProtection="0"/>
    <xf numFmtId="258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1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259" fontId="125" fillId="0" borderId="0">
      <protection locked="0"/>
    </xf>
    <xf numFmtId="260" fontId="56" fillId="0" borderId="0">
      <protection locked="0"/>
    </xf>
    <xf numFmtId="0" fontId="84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5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6" fillId="65" borderId="0" applyNumberFormat="0" applyBorder="0" applyAlignment="0" applyProtection="0"/>
    <xf numFmtId="38" fontId="136" fillId="66" borderId="0" applyNumberFormat="0" applyBorder="0" applyAlignment="0" applyProtection="0"/>
    <xf numFmtId="3" fontId="68" fillId="0" borderId="65">
      <alignment horizontal="right" vertical="center"/>
    </xf>
    <xf numFmtId="4" fontId="68" fillId="0" borderId="65">
      <alignment horizontal="right" vertical="center"/>
    </xf>
    <xf numFmtId="0" fontId="18" fillId="0" borderId="0"/>
    <xf numFmtId="0" fontId="137" fillId="0" borderId="0">
      <alignment horizontal="left"/>
    </xf>
    <xf numFmtId="0" fontId="138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9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9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1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>
      <protection locked="0"/>
    </xf>
    <xf numFmtId="261" fontId="56" fillId="0" borderId="0">
      <protection locked="0"/>
    </xf>
    <xf numFmtId="0" fontId="87" fillId="0" borderId="0">
      <protection locked="0"/>
    </xf>
    <xf numFmtId="261" fontId="56" fillId="0" borderId="0">
      <protection locked="0"/>
    </xf>
    <xf numFmtId="0" fontId="18" fillId="0" borderId="0"/>
    <xf numFmtId="0" fontId="143" fillId="0" borderId="0" applyNumberFormat="0" applyFill="0" applyBorder="0" applyAlignment="0" applyProtection="0"/>
    <xf numFmtId="0" fontId="144" fillId="0" borderId="68" applyNumberFormat="0" applyFill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6" fillId="67" borderId="56" applyNumberFormat="0" applyBorder="0" applyAlignment="0" applyProtection="0"/>
    <xf numFmtId="10" fontId="136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56">
      <alignment horizontal="center"/>
    </xf>
    <xf numFmtId="262" fontId="75" fillId="0" borderId="59" applyFont="0" applyFill="0" applyBorder="0">
      <alignment horizontal="right" vertical="center"/>
    </xf>
    <xf numFmtId="263" fontId="77" fillId="0" borderId="56" applyFill="0" applyBorder="0" applyProtection="0">
      <alignment horizontal="right" vertical="center"/>
    </xf>
    <xf numFmtId="264" fontId="77" fillId="0" borderId="56" applyFont="0" applyFill="0" applyBorder="0">
      <alignment horizontal="right" vertical="center"/>
    </xf>
    <xf numFmtId="0" fontId="77" fillId="0" borderId="56" applyFill="0" applyBorder="0" applyProtection="0">
      <alignment horizontal="right" vertical="center"/>
    </xf>
    <xf numFmtId="265" fontId="75" fillId="0" borderId="56" applyFill="0" applyBorder="0" applyProtection="0">
      <alignment horizontal="right" vertical="center"/>
    </xf>
    <xf numFmtId="266" fontId="124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8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5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269" fontId="77" fillId="0" borderId="56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50" fillId="0" borderId="0">
      <alignment horizontal="left"/>
    </xf>
    <xf numFmtId="0" fontId="151" fillId="0" borderId="0"/>
    <xf numFmtId="0" fontId="152" fillId="0" borderId="0"/>
    <xf numFmtId="0" fontId="151" fillId="0" borderId="0"/>
    <xf numFmtId="0" fontId="152" fillId="0" borderId="0"/>
    <xf numFmtId="0" fontId="153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5" fillId="0" borderId="0" applyFont="0" applyFill="0" applyBorder="0">
      <alignment vertical="center"/>
    </xf>
    <xf numFmtId="0" fontId="18" fillId="0" borderId="0"/>
    <xf numFmtId="0" fontId="154" fillId="0" borderId="70"/>
    <xf numFmtId="0" fontId="154" fillId="0" borderId="70"/>
    <xf numFmtId="0" fontId="155" fillId="0" borderId="70"/>
    <xf numFmtId="0" fontId="155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5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6" fillId="0" borderId="0" applyNumberFormat="0" applyFont="0" applyFill="0" applyBorder="0" applyAlignment="0">
      <alignment vertical="center"/>
    </xf>
    <xf numFmtId="37" fontId="157" fillId="0" borderId="0"/>
    <xf numFmtId="0" fontId="66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51" fillId="0" borderId="0"/>
    <xf numFmtId="0" fontId="152" fillId="0" borderId="0"/>
    <xf numFmtId="0" fontId="152" fillId="0" borderId="0"/>
    <xf numFmtId="0" fontId="18" fillId="0" borderId="0"/>
    <xf numFmtId="272" fontId="23" fillId="0" borderId="0"/>
    <xf numFmtId="260" fontId="56" fillId="0" borderId="0"/>
    <xf numFmtId="273" fontId="69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8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5" fillId="0" borderId="0">
      <protection locked="0"/>
    </xf>
    <xf numFmtId="274" fontId="125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0" fontId="8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60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71" fillId="0" borderId="0"/>
    <xf numFmtId="0" fontId="161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5" fillId="0" borderId="0"/>
    <xf numFmtId="40" fontId="162" fillId="0" borderId="0" applyBorder="0">
      <alignment horizontal="right"/>
    </xf>
    <xf numFmtId="276" fontId="163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4" fillId="0" borderId="0" applyFill="0" applyBorder="0" applyProtection="0">
      <alignment horizontal="centerContinuous" vertical="center"/>
    </xf>
    <xf numFmtId="0" fontId="75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8" fillId="0" borderId="0"/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6" fillId="0" borderId="0" applyFill="0" applyBorder="0" applyProtection="0">
      <alignment horizontal="centerContinuous" vertical="center"/>
    </xf>
    <xf numFmtId="277" fontId="75" fillId="0" borderId="59" applyFill="0" applyBorder="0">
      <alignment horizontal="right" vertical="center"/>
    </xf>
    <xf numFmtId="278" fontId="69" fillId="0" borderId="0" applyFill="0" applyBorder="0" applyProtection="0"/>
    <xf numFmtId="279" fontId="69" fillId="0" borderId="56" applyFont="0" applyFill="0" applyBorder="0" applyProtection="0">
      <alignment horizontal="right" vertical="center"/>
    </xf>
    <xf numFmtId="280" fontId="69" fillId="0" borderId="56" applyFont="0" applyFill="0" applyBorder="0">
      <alignment horizontal="right" vertical="center"/>
    </xf>
    <xf numFmtId="0" fontId="77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74">
      <protection locked="0"/>
    </xf>
    <xf numFmtId="261" fontId="56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7" fillId="0" borderId="56" applyFont="0" applyFill="0" applyBorder="0">
      <alignment horizontal="right" vertical="center"/>
    </xf>
    <xf numFmtId="0" fontId="25" fillId="0" borderId="2">
      <alignment horizontal="left"/>
    </xf>
    <xf numFmtId="37" fontId="136" fillId="68" borderId="0" applyNumberFormat="0" applyBorder="0" applyAlignment="0" applyProtection="0"/>
    <xf numFmtId="37" fontId="136" fillId="0" borderId="0"/>
    <xf numFmtId="3" fontId="167" fillId="0" borderId="68" applyProtection="0"/>
    <xf numFmtId="282" fontId="71" fillId="0" borderId="0" applyFont="0" applyFill="0" applyBorder="0" applyAlignment="0" applyProtection="0"/>
    <xf numFmtId="283" fontId="7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8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9" fillId="0" borderId="51"/>
    <xf numFmtId="0" fontId="17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6" fillId="0" borderId="0" applyFont="0" applyFill="0" applyBorder="0" applyAlignment="0" applyProtection="0">
      <alignment horizontal="right"/>
    </xf>
    <xf numFmtId="0" fontId="99" fillId="59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285" fontId="75" fillId="0" borderId="75">
      <alignment horizontal="right" vertical="center"/>
    </xf>
    <xf numFmtId="286" fontId="69" fillId="0" borderId="0"/>
    <xf numFmtId="0" fontId="171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50" borderId="6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287" fontId="69" fillId="0" borderId="0">
      <protection locked="0"/>
    </xf>
    <xf numFmtId="0" fontId="56" fillId="0" borderId="0">
      <protection locked="0"/>
    </xf>
    <xf numFmtId="0" fontId="69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175" fillId="0" borderId="0"/>
    <xf numFmtId="0" fontId="68" fillId="0" borderId="0" applyNumberFormat="0" applyFont="0" applyAlignment="0">
      <alignment horizontal="center" vertical="center"/>
    </xf>
    <xf numFmtId="37" fontId="66" fillId="0" borderId="76">
      <alignment horizontal="center" vertical="center"/>
    </xf>
    <xf numFmtId="37" fontId="66" fillId="0" borderId="28" applyAlignment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9" fontId="56" fillId="0" borderId="0" applyNumberFormat="0" applyFill="0" applyBorder="0" applyAlignment="0">
      <alignment horizontal="left"/>
    </xf>
    <xf numFmtId="37" fontId="77" fillId="0" borderId="56" applyFont="0" applyFill="0" applyBorder="0">
      <alignment vertical="center"/>
    </xf>
    <xf numFmtId="38" fontId="130" fillId="0" borderId="0"/>
    <xf numFmtId="177" fontId="64" fillId="0" borderId="3">
      <alignment horizontal="center" vertical="center"/>
    </xf>
    <xf numFmtId="177" fontId="64" fillId="0" borderId="3">
      <alignment horizontal="center" vertical="center"/>
    </xf>
    <xf numFmtId="290" fontId="73" fillId="0" borderId="77" applyFont="0" applyFill="0" applyBorder="0" applyAlignment="0">
      <alignment horizontal="left" vertical="center"/>
    </xf>
    <xf numFmtId="0" fontId="176" fillId="44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84" fillId="0" borderId="0">
      <protection locked="0"/>
    </xf>
    <xf numFmtId="0" fontId="84" fillId="0" borderId="0">
      <protection locked="0"/>
    </xf>
    <xf numFmtId="3" fontId="71" fillId="0" borderId="78">
      <alignment horizontal="center"/>
    </xf>
    <xf numFmtId="0" fontId="69" fillId="69" borderId="0">
      <alignment horizontal="left"/>
    </xf>
    <xf numFmtId="0" fontId="84" fillId="0" borderId="0">
      <protection locked="0"/>
    </xf>
    <xf numFmtId="0" fontId="84" fillId="0" borderId="0">
      <protection locked="0"/>
    </xf>
    <xf numFmtId="0" fontId="73" fillId="0" borderId="0"/>
    <xf numFmtId="0" fontId="178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65">
      <alignment vertical="center"/>
    </xf>
    <xf numFmtId="0" fontId="69" fillId="0" borderId="0"/>
    <xf numFmtId="0" fontId="56" fillId="45" borderId="72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7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0" borderId="0" applyNumberFormat="0" applyFont="0" applyFill="0" applyBorder="0" applyProtection="0">
      <alignment horizontal="distributed" vertical="center" justifyLastLine="1"/>
    </xf>
    <xf numFmtId="0" fontId="84" fillId="0" borderId="0">
      <protection locked="0"/>
    </xf>
    <xf numFmtId="0" fontId="94" fillId="0" borderId="0">
      <protection locked="0"/>
    </xf>
    <xf numFmtId="0" fontId="69" fillId="0" borderId="0" applyFont="0" applyFill="0" applyBorder="0" applyProtection="0">
      <alignment horizontal="center" vertical="center"/>
    </xf>
    <xf numFmtId="0" fontId="69" fillId="0" borderId="0" applyFont="0" applyFill="0" applyBorder="0" applyProtection="0">
      <alignment horizontal="center" vertical="center"/>
    </xf>
    <xf numFmtId="9" fontId="130" fillId="66" borderId="0" applyFill="0" applyBorder="0" applyProtection="0">
      <alignment horizontal="right"/>
    </xf>
    <xf numFmtId="9" fontId="63" fillId="0" borderId="0" applyFont="0" applyFill="0" applyBorder="0" applyAlignment="0" applyProtection="0"/>
    <xf numFmtId="10" fontId="130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246" fontId="56" fillId="0" borderId="60" applyFont="0" applyFill="0" applyBorder="0" applyAlignment="0" applyProtection="0">
      <alignment vertical="center"/>
    </xf>
    <xf numFmtId="291" fontId="56" fillId="70" borderId="79" applyFont="0" applyFill="0" applyBorder="0" applyAlignment="0" applyProtection="0">
      <alignment vertical="center"/>
    </xf>
    <xf numFmtId="292" fontId="56" fillId="0" borderId="0" applyFont="0" applyFill="0" applyBorder="0" applyAlignment="0" applyProtection="0"/>
    <xf numFmtId="293" fontId="56" fillId="0" borderId="3"/>
    <xf numFmtId="294" fontId="56" fillId="0" borderId="3"/>
    <xf numFmtId="0" fontId="5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80" fillId="0" borderId="0"/>
    <xf numFmtId="0" fontId="181" fillId="5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3" fontId="68" fillId="0" borderId="80">
      <alignment vertical="center"/>
    </xf>
    <xf numFmtId="295" fontId="56" fillId="0" borderId="81" applyFont="0" applyFill="0" applyAlignment="0" applyProtection="0">
      <alignment horizontal="center" vertical="center"/>
    </xf>
    <xf numFmtId="0" fontId="183" fillId="0" borderId="0"/>
    <xf numFmtId="296" fontId="175" fillId="0" borderId="57" applyBorder="0"/>
    <xf numFmtId="0" fontId="98" fillId="0" borderId="0">
      <alignment vertical="center"/>
    </xf>
    <xf numFmtId="0" fontId="184" fillId="0" borderId="0"/>
    <xf numFmtId="0" fontId="102" fillId="0" borderId="0" applyNumberFormat="0" applyFont="0" applyFill="0" applyBorder="0" applyProtection="0">
      <alignment horizontal="centerContinuous" vertical="center"/>
    </xf>
    <xf numFmtId="0" fontId="86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5" fillId="0" borderId="3">
      <alignment vertical="center"/>
    </xf>
    <xf numFmtId="3" fontId="86" fillId="0" borderId="56"/>
    <xf numFmtId="0" fontId="86" fillId="0" borderId="56"/>
    <xf numFmtId="3" fontId="86" fillId="0" borderId="82"/>
    <xf numFmtId="3" fontId="86" fillId="0" borderId="42"/>
    <xf numFmtId="0" fontId="186" fillId="0" borderId="56"/>
    <xf numFmtId="0" fontId="187" fillId="0" borderId="0">
      <alignment horizontal="center"/>
    </xf>
    <xf numFmtId="0" fontId="188" fillId="0" borderId="83">
      <alignment horizont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64" borderId="63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3" fillId="0" borderId="0">
      <alignment vertical="center"/>
    </xf>
    <xf numFmtId="242" fontId="194" fillId="0" borderId="77" applyFont="0" applyAlignment="0" applyProtection="0">
      <alignment vertical="center"/>
    </xf>
    <xf numFmtId="0" fontId="194" fillId="0" borderId="77" applyFont="0" applyAlignment="0" applyProtection="0">
      <alignment vertical="center"/>
    </xf>
    <xf numFmtId="0" fontId="195" fillId="0" borderId="56" applyFont="0" applyFill="0" applyBorder="0" applyAlignment="0" applyProtection="0">
      <alignment horizontal="centerContinuous" vertical="center"/>
    </xf>
    <xf numFmtId="3" fontId="69" fillId="0" borderId="0" applyFont="0" applyFill="0" applyBorder="0" applyAlignment="0" applyProtection="0"/>
    <xf numFmtId="261" fontId="196" fillId="0" borderId="0">
      <alignment vertical="center"/>
    </xf>
    <xf numFmtId="0" fontId="56" fillId="0" borderId="0">
      <alignment vertical="center"/>
    </xf>
    <xf numFmtId="0" fontId="196" fillId="0" borderId="0">
      <alignment vertical="center"/>
    </xf>
    <xf numFmtId="207" fontId="102" fillId="0" borderId="0" applyFont="0" applyFill="0" applyBorder="0" applyAlignment="0" applyProtection="0">
      <alignment horizontal="centerContinuous" vertical="center"/>
    </xf>
    <xf numFmtId="226" fontId="10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98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30" fillId="0" borderId="0" applyFont="0" applyFill="0" applyBorder="0" applyAlignment="0" applyProtection="0"/>
    <xf numFmtId="177" fontId="13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99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01" fontId="56" fillId="0" borderId="0" applyFont="0" applyFill="0" applyBorder="0" applyAlignment="0" applyProtection="0"/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8" fillId="0" borderId="0"/>
    <xf numFmtId="0" fontId="198" fillId="0" borderId="0"/>
    <xf numFmtId="0" fontId="198" fillId="0" borderId="0"/>
    <xf numFmtId="0" fontId="198" fillId="0" borderId="0"/>
    <xf numFmtId="0" fontId="73" fillId="0" borderId="0"/>
    <xf numFmtId="0" fontId="22" fillId="0" borderId="0"/>
    <xf numFmtId="0" fontId="198" fillId="0" borderId="0"/>
    <xf numFmtId="0" fontId="69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25" fillId="0" borderId="0" applyFont="0" applyFill="0" applyBorder="0" applyAlignment="0" applyProtection="0"/>
    <xf numFmtId="0" fontId="56" fillId="0" borderId="0"/>
    <xf numFmtId="178" fontId="130" fillId="0" borderId="0" applyFont="0" applyFill="0" applyBorder="0" applyAlignment="0" applyProtection="0"/>
    <xf numFmtId="178" fontId="130" fillId="0" borderId="0" applyFont="0" applyFill="0" applyBorder="0" applyAlignment="0" applyProtection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1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22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218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9" fillId="0" borderId="0"/>
    <xf numFmtId="0" fontId="22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199" fillId="0" borderId="44" applyFill="0" applyBorder="0">
      <alignment horizontal="left" vertical="center"/>
    </xf>
    <xf numFmtId="0" fontId="78" fillId="0" borderId="59"/>
    <xf numFmtId="306" fontId="73" fillId="0" borderId="0">
      <alignment horizontal="left" vertical="center"/>
    </xf>
    <xf numFmtId="0" fontId="200" fillId="0" borderId="69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307" fontId="73" fillId="0" borderId="0">
      <alignment horizontal="left" vertical="center"/>
    </xf>
    <xf numFmtId="308" fontId="73" fillId="0" borderId="0">
      <alignment horizontal="left" vertical="center"/>
    </xf>
    <xf numFmtId="309" fontId="73" fillId="0" borderId="0">
      <alignment horizontal="left" vertical="center"/>
    </xf>
    <xf numFmtId="0" fontId="202" fillId="0" borderId="0" applyNumberFormat="0" applyFill="0" applyBorder="0" applyAlignment="0" applyProtection="0">
      <alignment vertical="top"/>
      <protection locked="0"/>
    </xf>
    <xf numFmtId="0" fontId="203" fillId="0" borderId="84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310" fontId="77" fillId="68" borderId="56">
      <alignment horizontal="right" vertical="center"/>
    </xf>
    <xf numFmtId="311" fontId="56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229" fontId="56" fillId="0" borderId="0" applyFont="0" applyFill="0" applyBorder="0" applyAlignment="0" applyProtection="0"/>
    <xf numFmtId="0" fontId="206" fillId="0" borderId="0">
      <alignment vertical="center"/>
    </xf>
    <xf numFmtId="0" fontId="207" fillId="0" borderId="0">
      <alignment horizontal="center" vertical="center"/>
    </xf>
    <xf numFmtId="3" fontId="56" fillId="0" borderId="56"/>
    <xf numFmtId="0" fontId="34" fillId="0" borderId="56" applyNumberFormat="0" applyAlignment="0">
      <alignment horizontal="center" vertical="center"/>
    </xf>
    <xf numFmtId="0" fontId="102" fillId="0" borderId="0" applyNumberFormat="0" applyFont="0" applyFill="0" applyBorder="0" applyProtection="0">
      <alignment vertical="center"/>
    </xf>
    <xf numFmtId="0" fontId="83" fillId="0" borderId="0"/>
    <xf numFmtId="0" fontId="208" fillId="49" borderId="6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4" fontId="84" fillId="0" borderId="0">
      <protection locked="0"/>
    </xf>
    <xf numFmtId="0" fontId="175" fillId="0" borderId="0"/>
    <xf numFmtId="4" fontId="84" fillId="0" borderId="0">
      <protection locked="0"/>
    </xf>
    <xf numFmtId="4" fontId="84" fillId="0" borderId="0">
      <protection locked="0"/>
    </xf>
    <xf numFmtId="312" fontId="69" fillId="0" borderId="0">
      <protection locked="0"/>
    </xf>
    <xf numFmtId="0" fontId="56" fillId="0" borderId="0">
      <protection locked="0"/>
    </xf>
    <xf numFmtId="3" fontId="210" fillId="0" borderId="0" applyFont="0" applyFill="0" applyBorder="0" applyAlignment="0" applyProtection="0"/>
    <xf numFmtId="313" fontId="73" fillId="0" borderId="51">
      <alignment vertical="center"/>
    </xf>
    <xf numFmtId="227" fontId="73" fillId="0" borderId="51">
      <alignment vertical="center"/>
    </xf>
    <xf numFmtId="314" fontId="73" fillId="0" borderId="51">
      <alignment vertical="center"/>
    </xf>
    <xf numFmtId="0" fontId="66" fillId="0" borderId="0" applyNumberFormat="0" applyFont="0" applyBorder="0" applyAlignment="0"/>
    <xf numFmtId="1" fontId="66" fillId="66" borderId="0" applyNumberFormat="0" applyFont="0" applyFill="0" applyBorder="0" applyAlignment="0">
      <alignment vertical="center"/>
    </xf>
    <xf numFmtId="1" fontId="66" fillId="0" borderId="0" applyBorder="0">
      <alignment vertical="center"/>
    </xf>
    <xf numFmtId="1" fontId="211" fillId="66" borderId="0" applyNumberFormat="0" applyBorder="0" applyAlignment="0">
      <alignment vertical="center"/>
    </xf>
    <xf numFmtId="0" fontId="212" fillId="0" borderId="85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69" fillId="0" borderId="0">
      <alignment vertical="center"/>
    </xf>
    <xf numFmtId="0" fontId="214" fillId="0" borderId="0">
      <alignment horizontal="centerContinuous" vertical="center"/>
    </xf>
    <xf numFmtId="0" fontId="215" fillId="0" borderId="86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7" fillId="0" borderId="67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69" fillId="0" borderId="56">
      <alignment horizontal="distributed" vertical="center"/>
    </xf>
    <xf numFmtId="0" fontId="69" fillId="0" borderId="56">
      <alignment horizontal="distributed" vertical="center" justifyLastLine="1"/>
    </xf>
    <xf numFmtId="0" fontId="69" fillId="0" borderId="57">
      <alignment horizontal="distributed" vertical="top"/>
    </xf>
    <xf numFmtId="0" fontId="69" fillId="0" borderId="57">
      <alignment horizontal="distributed" vertical="top" justifyLastLine="1"/>
    </xf>
    <xf numFmtId="0" fontId="69" fillId="0" borderId="87">
      <alignment horizontal="distributed"/>
    </xf>
    <xf numFmtId="0" fontId="69" fillId="0" borderId="87">
      <alignment horizontal="distributed" justifyLastLine="1"/>
    </xf>
    <xf numFmtId="315" fontId="221" fillId="0" borderId="0">
      <alignment vertical="center"/>
    </xf>
    <xf numFmtId="179" fontId="221" fillId="0" borderId="0">
      <alignment vertical="center"/>
    </xf>
    <xf numFmtId="0" fontId="222" fillId="46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69" fillId="0" borderId="0" applyNumberFormat="0" applyFont="0" applyFill="0" applyBorder="0" applyProtection="0">
      <alignment vertical="center"/>
    </xf>
    <xf numFmtId="0" fontId="69" fillId="0" borderId="0"/>
    <xf numFmtId="1" fontId="224" fillId="66" borderId="0" applyNumberFormat="0" applyFont="0" applyFill="0" applyBorder="0" applyAlignment="0">
      <alignment vertical="center"/>
    </xf>
    <xf numFmtId="177" fontId="56" fillId="0" borderId="0" applyFont="0" applyFill="0" applyBorder="0" applyAlignment="0" applyProtection="0">
      <alignment vertical="center"/>
    </xf>
    <xf numFmtId="0" fontId="225" fillId="50" borderId="7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261" fontId="227" fillId="0" borderId="0" applyFont="0" applyFill="0" applyBorder="0" applyAlignment="0" applyProtection="0">
      <alignment vertical="center"/>
    </xf>
    <xf numFmtId="0" fontId="94" fillId="0" borderId="0">
      <protection locked="0"/>
    </xf>
    <xf numFmtId="0" fontId="69" fillId="0" borderId="0" applyFont="0" applyFill="0" applyBorder="0" applyProtection="0">
      <alignment vertical="center"/>
    </xf>
    <xf numFmtId="38" fontId="86" fillId="0" borderId="0" applyFont="0" applyFill="0" applyBorder="0" applyProtection="0">
      <alignment vertical="center"/>
    </xf>
    <xf numFmtId="0" fontId="94" fillId="0" borderId="0">
      <protection locked="0"/>
    </xf>
    <xf numFmtId="177" fontId="56" fillId="0" borderId="0" applyFont="0" applyFill="0" applyBorder="0" applyAlignment="0" applyProtection="0"/>
    <xf numFmtId="261" fontId="6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4" fillId="0" borderId="24">
      <alignment horizontal="center" vertical="center"/>
    </xf>
    <xf numFmtId="177" fontId="194" fillId="0" borderId="24">
      <alignment horizontal="center" vertical="center"/>
    </xf>
    <xf numFmtId="179" fontId="69" fillId="0" borderId="0" applyFont="0" applyFill="0" applyBorder="0" applyAlignment="0" applyProtection="0"/>
    <xf numFmtId="316" fontId="56" fillId="0" borderId="0" applyFont="0" applyFill="0" applyBorder="0" applyAlignment="0" applyProtection="0"/>
    <xf numFmtId="317" fontId="56" fillId="0" borderId="0" applyFont="0" applyFill="0" applyBorder="0" applyAlignment="0" applyProtection="0"/>
    <xf numFmtId="318" fontId="56" fillId="0" borderId="80" applyFont="0" applyFill="0" applyBorder="0" applyAlignment="0" applyProtection="0">
      <alignment vertical="center"/>
    </xf>
    <xf numFmtId="319" fontId="56" fillId="0" borderId="60" applyFont="0" applyFill="0" applyBorder="0" applyAlignment="0" applyProtection="0">
      <alignment vertical="center"/>
    </xf>
    <xf numFmtId="320" fontId="130" fillId="66" borderId="0" applyFill="0" applyBorder="0" applyProtection="0">
      <alignment horizontal="right"/>
    </xf>
    <xf numFmtId="0" fontId="130" fillId="66" borderId="0" applyFill="0" applyBorder="0" applyProtection="0">
      <alignment horizontal="right"/>
    </xf>
    <xf numFmtId="0" fontId="56" fillId="66" borderId="0" applyFill="0" applyBorder="0" applyProtection="0">
      <alignment horizontal="right"/>
    </xf>
    <xf numFmtId="9" fontId="102" fillId="0" borderId="0"/>
    <xf numFmtId="245" fontId="130" fillId="0" borderId="0" applyFont="0" applyFill="0" applyBorder="0" applyAlignment="0" applyProtection="0"/>
    <xf numFmtId="38" fontId="86" fillId="0" borderId="0" applyFont="0" applyFill="0" applyBorder="0" applyAlignment="0" applyProtection="0">
      <alignment vertical="center"/>
    </xf>
    <xf numFmtId="297" fontId="86" fillId="0" borderId="0" applyFont="0" applyFill="0" applyBorder="0" applyAlignment="0" applyProtection="0">
      <alignment vertical="center"/>
    </xf>
    <xf numFmtId="38" fontId="86" fillId="0" borderId="0" applyFill="0" applyBorder="0" applyAlignment="0" applyProtection="0">
      <alignment vertical="center"/>
    </xf>
    <xf numFmtId="321" fontId="56" fillId="65" borderId="56" applyFont="0" applyFill="0" applyBorder="0" applyAlignment="0" applyProtection="0"/>
    <xf numFmtId="322" fontId="56" fillId="0" borderId="3" applyFont="0" applyFill="0" applyBorder="0" applyAlignment="0" applyProtection="0"/>
    <xf numFmtId="323" fontId="56" fillId="0" borderId="88" applyFont="0" applyFill="0" applyBorder="0" applyAlignment="0" applyProtection="0"/>
    <xf numFmtId="324" fontId="56" fillId="0" borderId="60" applyFont="0" applyFill="0" applyBorder="0" applyAlignment="0" applyProtection="0"/>
    <xf numFmtId="325" fontId="56" fillId="0" borderId="3"/>
    <xf numFmtId="326" fontId="73" fillId="0" borderId="0" applyFont="0" applyFill="0" applyBorder="0" applyAlignment="0" applyProtection="0">
      <alignment textRotation="255"/>
    </xf>
    <xf numFmtId="327" fontId="73" fillId="0" borderId="0" applyFont="0" applyFill="0" applyBorder="0" applyAlignment="0" applyProtection="0">
      <alignment textRotation="255"/>
    </xf>
    <xf numFmtId="328" fontId="125" fillId="0" borderId="56">
      <alignment vertical="center"/>
    </xf>
    <xf numFmtId="329" fontId="73" fillId="0" borderId="0" applyFont="0" applyFill="0" applyBorder="0" applyAlignment="0" applyProtection="0">
      <alignment textRotation="255"/>
    </xf>
    <xf numFmtId="315" fontId="66" fillId="0" borderId="43" applyFont="0" applyFill="0" applyBorder="0" applyAlignment="0" applyProtection="0">
      <alignment vertical="center"/>
    </xf>
    <xf numFmtId="0" fontId="75" fillId="0" borderId="0"/>
    <xf numFmtId="0" fontId="73" fillId="0" borderId="0" applyFont="0" applyFill="0" applyBorder="0" applyAlignment="0" applyProtection="0"/>
    <xf numFmtId="220" fontId="56" fillId="0" borderId="0" applyFont="0" applyFill="0" applyBorder="0" applyAlignment="0" applyProtection="0"/>
    <xf numFmtId="3" fontId="69" fillId="0" borderId="51"/>
    <xf numFmtId="0" fontId="228" fillId="0" borderId="0">
      <alignment horizontal="centerContinuous"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76" fontId="56" fillId="0" borderId="0" applyFont="0" applyFill="0" applyBorder="0" applyAlignment="0" applyProtection="0">
      <alignment vertical="center"/>
    </xf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230" fontId="69" fillId="0" borderId="0" applyFon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66" fillId="0" borderId="87">
      <alignment horizontal="distributed"/>
    </xf>
    <xf numFmtId="0" fontId="66" fillId="0" borderId="87">
      <alignment horizontal="distributed" justifyLastLine="1"/>
    </xf>
    <xf numFmtId="0" fontId="66" fillId="0" borderId="89">
      <alignment horizontal="distributed" vertical="center"/>
    </xf>
    <xf numFmtId="0" fontId="66" fillId="0" borderId="89">
      <alignment horizontal="distributed" vertical="center" justifyLastLine="1"/>
    </xf>
    <xf numFmtId="0" fontId="66" fillId="0" borderId="90">
      <alignment horizontal="distributed" vertical="top"/>
    </xf>
    <xf numFmtId="0" fontId="66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56" fillId="0" borderId="0"/>
    <xf numFmtId="0" fontId="56" fillId="0" borderId="0"/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31" fillId="0" borderId="0">
      <alignment vertical="center"/>
    </xf>
    <xf numFmtId="0" fontId="98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88" fillId="0" borderId="0">
      <alignment vertical="center"/>
    </xf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75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 applyNumberFormat="0" applyFont="0" applyFill="0" applyBorder="0" applyProtection="0">
      <alignment vertical="center"/>
    </xf>
    <xf numFmtId="0" fontId="18" fillId="0" borderId="0"/>
    <xf numFmtId="0" fontId="69" fillId="0" borderId="3">
      <alignment vertical="center" wrapText="1"/>
    </xf>
    <xf numFmtId="0" fontId="102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2" fillId="0" borderId="0" applyNumberFormat="0" applyFill="0" applyBorder="0" applyAlignment="0" applyProtection="0">
      <alignment vertical="top"/>
      <protection locked="0"/>
    </xf>
    <xf numFmtId="331" fontId="233" fillId="0" borderId="60"/>
    <xf numFmtId="0" fontId="84" fillId="0" borderId="64">
      <protection locked="0"/>
    </xf>
    <xf numFmtId="0" fontId="84" fillId="0" borderId="64">
      <protection locked="0"/>
    </xf>
    <xf numFmtId="332" fontId="69" fillId="0" borderId="0">
      <protection locked="0"/>
    </xf>
    <xf numFmtId="3" fontId="130" fillId="0" borderId="91">
      <alignment vertical="center"/>
    </xf>
    <xf numFmtId="0" fontId="18" fillId="0" borderId="0"/>
    <xf numFmtId="333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334" fontId="69" fillId="0" borderId="0">
      <protection locked="0"/>
    </xf>
    <xf numFmtId="0" fontId="69" fillId="0" borderId="0">
      <protection locked="0"/>
    </xf>
    <xf numFmtId="38" fontId="73" fillId="0" borderId="0" applyNumberFormat="0" applyFont="0" applyFill="0" applyBorder="0" applyAlignment="0" applyProtection="0">
      <protection locked="0"/>
    </xf>
    <xf numFmtId="179" fontId="69" fillId="0" borderId="92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7" fillId="0" borderId="0"/>
    <xf numFmtId="177" fontId="237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9" fillId="0" borderId="0" applyFont="0" applyFill="0" applyBorder="0" applyAlignment="0" applyProtection="0">
      <alignment vertical="center"/>
    </xf>
    <xf numFmtId="0" fontId="242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182" fontId="39" fillId="0" borderId="0" xfId="1" applyNumberFormat="1" applyFont="1" applyAlignment="1">
      <alignment horizontal="center" vertical="center"/>
    </xf>
    <xf numFmtId="49" fontId="49" fillId="2" borderId="0" xfId="0" applyNumberFormat="1" applyFont="1" applyFill="1" applyAlignment="1">
      <alignment horizontal="center" vertical="center" wrapText="1"/>
    </xf>
    <xf numFmtId="0" fontId="22" fillId="0" borderId="25" xfId="3" applyFont="1" applyBorder="1" applyAlignment="1">
      <alignment horizontal="center" vertical="center"/>
    </xf>
    <xf numFmtId="177" fontId="22" fillId="0" borderId="25" xfId="1" applyFont="1" applyFill="1" applyBorder="1" applyAlignment="1">
      <alignment horizontal="center" vertical="center"/>
    </xf>
    <xf numFmtId="177" fontId="21" fillId="0" borderId="25" xfId="1" applyFont="1" applyFill="1" applyBorder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177" fontId="44" fillId="0" borderId="0" xfId="0" applyNumberFormat="1" applyFont="1">
      <alignment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7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7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7" fillId="0" borderId="0" xfId="13" applyFont="1" applyAlignment="1">
      <alignment vertical="center" shrinkToFit="1"/>
    </xf>
    <xf numFmtId="0" fontId="61" fillId="0" borderId="0" xfId="13" applyFont="1" applyAlignment="1">
      <alignment vertical="center" shrinkToFit="1"/>
    </xf>
    <xf numFmtId="0" fontId="62" fillId="0" borderId="38" xfId="13" applyFont="1" applyBorder="1" applyAlignment="1">
      <alignment horizontal="center" vertical="center" shrinkToFit="1"/>
    </xf>
    <xf numFmtId="0" fontId="62" fillId="0" borderId="39" xfId="13" applyFont="1" applyBorder="1" applyAlignment="1">
      <alignment horizontal="center" vertical="center" shrinkToFit="1"/>
    </xf>
    <xf numFmtId="184" fontId="62" fillId="0" borderId="39" xfId="13" applyNumberFormat="1" applyFont="1" applyBorder="1" applyAlignment="1">
      <alignment horizontal="center" vertical="center" shrinkToFit="1"/>
    </xf>
    <xf numFmtId="183" fontId="63" fillId="0" borderId="0" xfId="13" applyNumberFormat="1" applyFont="1" applyAlignment="1">
      <alignment horizontal="center" vertical="center" shrinkToFit="1"/>
    </xf>
    <xf numFmtId="0" fontId="62" fillId="0" borderId="42" xfId="13" applyFont="1" applyBorder="1" applyAlignment="1">
      <alignment horizontal="center" vertical="center" shrinkToFit="1"/>
    </xf>
    <xf numFmtId="0" fontId="63" fillId="0" borderId="0" xfId="13" applyFont="1" applyAlignment="1">
      <alignment horizontal="center" vertical="center" shrinkToFit="1"/>
    </xf>
    <xf numFmtId="0" fontId="62" fillId="0" borderId="44" xfId="13" applyFont="1" applyBorder="1" applyAlignment="1">
      <alignment vertical="center" shrinkToFit="1"/>
    </xf>
    <xf numFmtId="0" fontId="57" fillId="0" borderId="0" xfId="13" applyFont="1" applyAlignment="1">
      <alignment horizontal="left" vertical="center" shrinkToFit="1"/>
    </xf>
    <xf numFmtId="184" fontId="57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26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2" fillId="0" borderId="25" xfId="3" applyFont="1" applyBorder="1" applyAlignment="1">
      <alignment vertical="center" wrapText="1" shrinkToFit="1"/>
    </xf>
    <xf numFmtId="0" fontId="28" fillId="5" borderId="94" xfId="6" applyFont="1" applyFill="1" applyBorder="1" applyAlignment="1">
      <alignment horizontal="center" vertical="center"/>
    </xf>
    <xf numFmtId="0" fontId="28" fillId="5" borderId="95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6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 shrinkToFit="1"/>
    </xf>
    <xf numFmtId="0" fontId="28" fillId="0" borderId="98" xfId="6" applyFont="1" applyBorder="1" applyAlignment="1">
      <alignment horizontal="center" vertical="center" shrinkToFit="1"/>
    </xf>
    <xf numFmtId="177" fontId="236" fillId="6" borderId="3" xfId="1" applyFont="1" applyFill="1" applyBorder="1" applyAlignment="1">
      <alignment horizontal="center" vertical="center" wrapText="1"/>
    </xf>
    <xf numFmtId="177" fontId="44" fillId="0" borderId="99" xfId="0" applyNumberFormat="1" applyFont="1" applyBorder="1">
      <alignment vertical="center"/>
    </xf>
    <xf numFmtId="1" fontId="22" fillId="6" borderId="3" xfId="1" applyNumberFormat="1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78" fontId="46" fillId="0" borderId="0" xfId="0" applyNumberFormat="1" applyFont="1">
      <alignment vertical="center"/>
    </xf>
    <xf numFmtId="178" fontId="42" fillId="0" borderId="0" xfId="0" applyNumberFormat="1" applyFont="1">
      <alignment vertical="center"/>
    </xf>
    <xf numFmtId="1" fontId="42" fillId="0" borderId="0" xfId="1" applyNumberFormat="1" applyFont="1">
      <alignment vertical="center"/>
    </xf>
    <xf numFmtId="1" fontId="22" fillId="6" borderId="25" xfId="1" applyNumberFormat="1" applyFont="1" applyFill="1" applyBorder="1" applyAlignment="1">
      <alignment horizontal="center" vertical="center"/>
    </xf>
    <xf numFmtId="1" fontId="42" fillId="0" borderId="0" xfId="0" applyNumberFormat="1" applyFont="1">
      <alignment vertical="center"/>
    </xf>
    <xf numFmtId="0" fontId="42" fillId="7" borderId="100" xfId="0" applyFont="1" applyFill="1" applyBorder="1" applyAlignment="1">
      <alignment horizontal="center" vertical="center"/>
    </xf>
    <xf numFmtId="49" fontId="14" fillId="2" borderId="101" xfId="0" applyNumberFormat="1" applyFont="1" applyFill="1" applyBorder="1" applyAlignment="1">
      <alignment horizontal="center" vertical="center" wrapText="1"/>
    </xf>
    <xf numFmtId="49" fontId="14" fillId="2" borderId="102" xfId="0" applyNumberFormat="1" applyFont="1" applyFill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35" fillId="71" borderId="3" xfId="0" applyNumberFormat="1" applyFont="1" applyFill="1" applyBorder="1" applyAlignment="1">
      <alignment horizontal="center" vertical="center" wrapText="1"/>
    </xf>
    <xf numFmtId="177" fontId="241" fillId="0" borderId="0" xfId="18691" applyFont="1">
      <alignment vertical="center"/>
    </xf>
    <xf numFmtId="0" fontId="242" fillId="0" borderId="0" xfId="18692">
      <alignment vertical="center"/>
    </xf>
    <xf numFmtId="0" fontId="63" fillId="0" borderId="0" xfId="18692" applyFont="1">
      <alignment vertical="center"/>
    </xf>
    <xf numFmtId="0" fontId="57" fillId="0" borderId="56" xfId="18691" applyNumberFormat="1" applyFont="1" applyFill="1" applyBorder="1" applyAlignment="1">
      <alignment horizontal="left" vertical="center"/>
    </xf>
    <xf numFmtId="0" fontId="245" fillId="0" borderId="0" xfId="18692" applyFont="1">
      <alignment vertical="center"/>
    </xf>
    <xf numFmtId="3" fontId="0" fillId="0" borderId="0" xfId="0" applyNumberFormat="1">
      <alignment vertical="center"/>
    </xf>
    <xf numFmtId="177" fontId="42" fillId="0" borderId="0" xfId="0" applyNumberFormat="1" applyFont="1">
      <alignment vertical="center"/>
    </xf>
    <xf numFmtId="177" fontId="57" fillId="5" borderId="51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2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7" fillId="0" borderId="56" xfId="18691" quotePrefix="1" applyNumberFormat="1" applyFont="1" applyFill="1" applyBorder="1" applyAlignment="1">
      <alignment horizontal="left" vertical="center"/>
    </xf>
    <xf numFmtId="0" fontId="235" fillId="0" borderId="100" xfId="0" applyFont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7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0" fontId="42" fillId="0" borderId="24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177" fontId="42" fillId="0" borderId="3" xfId="1" applyFont="1" applyBorder="1">
      <alignment vertical="center"/>
    </xf>
    <xf numFmtId="0" fontId="42" fillId="0" borderId="3" xfId="0" applyFont="1" applyBorder="1">
      <alignment vertical="center"/>
    </xf>
    <xf numFmtId="177" fontId="21" fillId="6" borderId="25" xfId="1" applyFont="1" applyFill="1" applyBorder="1" applyAlignment="1">
      <alignment horizontal="center" vertical="center" wrapText="1"/>
    </xf>
    <xf numFmtId="9" fontId="42" fillId="0" borderId="25" xfId="2" applyFont="1" applyBorder="1" applyAlignment="1">
      <alignment horizontal="center" vertical="center"/>
    </xf>
    <xf numFmtId="0" fontId="44" fillId="6" borderId="114" xfId="0" applyFont="1" applyFill="1" applyBorder="1" applyAlignment="1">
      <alignment horizontal="center" vertical="center"/>
    </xf>
    <xf numFmtId="0" fontId="241" fillId="0" borderId="0" xfId="18691" applyNumberFormat="1" applyFont="1">
      <alignment vertical="center"/>
    </xf>
    <xf numFmtId="0" fontId="243" fillId="4" borderId="56" xfId="18691" applyNumberFormat="1" applyFont="1" applyFill="1" applyBorder="1" applyAlignment="1">
      <alignment horizontal="center" vertical="center"/>
    </xf>
    <xf numFmtId="0" fontId="57" fillId="0" borderId="56" xfId="18691" applyNumberFormat="1" applyFont="1" applyFill="1" applyBorder="1" applyAlignment="1">
      <alignment horizontal="center" vertical="center"/>
    </xf>
    <xf numFmtId="0" fontId="245" fillId="0" borderId="0" xfId="18691" applyNumberFormat="1" applyFont="1" applyAlignment="1">
      <alignment horizontal="center" vertical="center"/>
    </xf>
    <xf numFmtId="9" fontId="21" fillId="0" borderId="3" xfId="2" applyFont="1" applyBorder="1" applyAlignment="1">
      <alignment horizontal="center" vertical="center"/>
    </xf>
    <xf numFmtId="0" fontId="243" fillId="4" borderId="56" xfId="18692" applyFont="1" applyFill="1" applyBorder="1" applyAlignment="1">
      <alignment horizontal="center" vertical="center"/>
    </xf>
    <xf numFmtId="0" fontId="57" fillId="5" borderId="56" xfId="18692" quotePrefix="1" applyFont="1" applyFill="1" applyBorder="1" applyAlignment="1">
      <alignment vertical="center" wrapText="1"/>
    </xf>
    <xf numFmtId="0" fontId="57" fillId="5" borderId="56" xfId="18692" quotePrefix="1" applyFont="1" applyFill="1" applyBorder="1" applyAlignment="1">
      <alignment horizontal="center" vertical="center" wrapText="1"/>
    </xf>
    <xf numFmtId="0" fontId="57" fillId="0" borderId="56" xfId="18692" applyFont="1" applyBorder="1">
      <alignment vertical="center"/>
    </xf>
    <xf numFmtId="0" fontId="57" fillId="0" borderId="56" xfId="18692" quotePrefix="1" applyFont="1" applyBorder="1" applyAlignment="1">
      <alignment horizontal="center" vertical="center" wrapText="1"/>
    </xf>
    <xf numFmtId="0" fontId="245" fillId="0" borderId="0" xfId="18692" applyFont="1" applyAlignment="1">
      <alignment horizontal="center" vertical="center"/>
    </xf>
    <xf numFmtId="0" fontId="245" fillId="0" borderId="0" xfId="18692" applyFont="1" applyAlignment="1">
      <alignment horizontal="left" vertical="center"/>
    </xf>
    <xf numFmtId="207" fontId="21" fillId="6" borderId="3" xfId="1" applyNumberFormat="1" applyFont="1" applyFill="1" applyBorder="1" applyAlignment="1">
      <alignment horizontal="center" vertical="center" wrapText="1"/>
    </xf>
    <xf numFmtId="49" fontId="248" fillId="0" borderId="3" xfId="0" applyNumberFormat="1" applyFont="1" applyBorder="1" applyAlignment="1">
      <alignment horizontal="center" vertical="center"/>
    </xf>
    <xf numFmtId="177" fontId="249" fillId="0" borderId="3" xfId="1" applyFont="1" applyFill="1" applyBorder="1" applyAlignment="1">
      <alignment horizontal="center" vertical="center" wrapText="1"/>
    </xf>
    <xf numFmtId="0" fontId="42" fillId="7" borderId="3" xfId="0" applyFont="1" applyFill="1" applyBorder="1" applyAlignment="1">
      <alignment horizontal="center" vertical="center"/>
    </xf>
    <xf numFmtId="0" fontId="57" fillId="72" borderId="56" xfId="18692" quotePrefix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8" fillId="0" borderId="0" xfId="0" applyFont="1" applyAlignment="1">
      <alignment horizontal="center" vertical="center"/>
    </xf>
    <xf numFmtId="0" fontId="234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9" borderId="93" xfId="0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177" fontId="57" fillId="5" borderId="51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2" xfId="15" quotePrefix="1" applyFont="1" applyFill="1" applyBorder="1" applyAlignment="1">
      <alignment horizontal="left" vertical="center" shrinkToFit="1"/>
    </xf>
    <xf numFmtId="0" fontId="58" fillId="0" borderId="0" xfId="13" applyFont="1" applyAlignment="1">
      <alignment horizontal="center" vertical="center" shrinkToFit="1"/>
    </xf>
    <xf numFmtId="0" fontId="59" fillId="0" borderId="0" xfId="13" applyFont="1" applyAlignment="1">
      <alignment horizontal="center" vertical="center" shrinkToFit="1"/>
    </xf>
    <xf numFmtId="176" fontId="60" fillId="0" borderId="0" xfId="14" applyFont="1" applyBorder="1" applyAlignment="1">
      <alignment horizontal="center" vertical="center" shrinkToFit="1"/>
    </xf>
    <xf numFmtId="31" fontId="62" fillId="0" borderId="40" xfId="13" applyNumberFormat="1" applyFont="1" applyBorder="1" applyAlignment="1">
      <alignment horizontal="center" vertical="center" shrinkToFit="1"/>
    </xf>
    <xf numFmtId="31" fontId="62" fillId="0" borderId="41" xfId="13" applyNumberFormat="1" applyFont="1" applyBorder="1" applyAlignment="1">
      <alignment horizontal="center" vertical="center" shrinkToFit="1"/>
    </xf>
    <xf numFmtId="0" fontId="62" fillId="0" borderId="43" xfId="13" applyFont="1" applyBorder="1" applyAlignment="1">
      <alignment horizontal="left" vertical="center" indent="1" shrinkToFit="1"/>
    </xf>
    <xf numFmtId="0" fontId="62" fillId="0" borderId="44" xfId="13" applyFont="1" applyBorder="1" applyAlignment="1">
      <alignment horizontal="left" vertical="center" indent="1" shrinkToFit="1"/>
    </xf>
    <xf numFmtId="0" fontId="62" fillId="0" borderId="45" xfId="13" applyFont="1" applyBorder="1" applyAlignment="1">
      <alignment horizontal="left" vertical="center" indent="1" shrinkToFit="1"/>
    </xf>
    <xf numFmtId="0" fontId="62" fillId="0" borderId="46" xfId="13" applyFont="1" applyBorder="1" applyAlignment="1">
      <alignment horizontal="center" vertical="center" shrinkToFit="1"/>
    </xf>
    <xf numFmtId="0" fontId="62" fillId="0" borderId="50" xfId="13" applyFont="1" applyBorder="1" applyAlignment="1">
      <alignment horizontal="center" vertical="center" shrinkToFit="1"/>
    </xf>
    <xf numFmtId="0" fontId="62" fillId="0" borderId="53" xfId="13" applyFont="1" applyBorder="1" applyAlignment="1">
      <alignment horizontal="center" vertical="center" shrinkToFit="1"/>
    </xf>
    <xf numFmtId="0" fontId="64" fillId="5" borderId="47" xfId="13" applyFont="1" applyFill="1" applyBorder="1" applyAlignment="1">
      <alignment horizontal="left" vertical="center" shrinkToFit="1"/>
    </xf>
    <xf numFmtId="0" fontId="64" fillId="5" borderId="48" xfId="13" applyFont="1" applyFill="1" applyBorder="1" applyAlignment="1">
      <alignment horizontal="left" vertical="center" shrinkToFit="1"/>
    </xf>
    <xf numFmtId="0" fontId="64" fillId="5" borderId="49" xfId="13" applyFont="1" applyFill="1" applyBorder="1" applyAlignment="1">
      <alignment horizontal="left" vertical="center" shrinkToFit="1"/>
    </xf>
    <xf numFmtId="0" fontId="64" fillId="5" borderId="51" xfId="13" applyFont="1" applyFill="1" applyBorder="1" applyAlignment="1">
      <alignment horizontal="left" vertical="center" shrinkToFit="1"/>
    </xf>
    <xf numFmtId="0" fontId="64" fillId="5" borderId="0" xfId="13" applyFont="1" applyFill="1" applyAlignment="1">
      <alignment horizontal="left" vertical="center" shrinkToFit="1"/>
    </xf>
    <xf numFmtId="0" fontId="64" fillId="5" borderId="52" xfId="13" applyFont="1" applyFill="1" applyBorder="1" applyAlignment="1">
      <alignment horizontal="left" vertical="center" shrinkToFit="1"/>
    </xf>
    <xf numFmtId="177" fontId="57" fillId="5" borderId="0" xfId="15" applyFont="1" applyFill="1" applyBorder="1" applyAlignment="1">
      <alignment horizontal="left" vertical="center" shrinkToFit="1"/>
    </xf>
    <xf numFmtId="177" fontId="57" fillId="5" borderId="52" xfId="15" applyFont="1" applyFill="1" applyBorder="1" applyAlignment="1">
      <alignment horizontal="left" vertical="center" shrinkToFit="1"/>
    </xf>
    <xf numFmtId="0" fontId="64" fillId="5" borderId="51" xfId="16" applyFont="1" applyFill="1" applyBorder="1" applyAlignment="1">
      <alignment horizontal="left" vertical="center" shrinkToFit="1"/>
    </xf>
    <xf numFmtId="0" fontId="65" fillId="5" borderId="0" xfId="16" applyFont="1" applyFill="1" applyAlignment="1">
      <alignment horizontal="left" vertical="center" shrinkToFit="1"/>
    </xf>
    <xf numFmtId="0" fontId="65" fillId="5" borderId="52" xfId="16" applyFont="1" applyFill="1" applyBorder="1" applyAlignment="1">
      <alignment horizontal="left" vertical="center" shrinkToFit="1"/>
    </xf>
    <xf numFmtId="0" fontId="62" fillId="0" borderId="44" xfId="13" applyFont="1" applyBorder="1" applyAlignment="1">
      <alignment horizontal="center" vertical="center" shrinkToFit="1"/>
    </xf>
    <xf numFmtId="0" fontId="62" fillId="0" borderId="45" xfId="13" applyFont="1" applyBorder="1" applyAlignment="1">
      <alignment horizontal="center" vertical="center" shrinkToFit="1"/>
    </xf>
    <xf numFmtId="177" fontId="246" fillId="5" borderId="51" xfId="15" quotePrefix="1" applyFont="1" applyFill="1" applyBorder="1" applyAlignment="1">
      <alignment horizontal="left" vertical="center" shrinkToFit="1"/>
    </xf>
    <xf numFmtId="177" fontId="246" fillId="5" borderId="0" xfId="15" quotePrefix="1" applyFont="1" applyFill="1" applyBorder="1" applyAlignment="1">
      <alignment horizontal="left" vertical="center" shrinkToFit="1"/>
    </xf>
    <xf numFmtId="177" fontId="246" fillId="5" borderId="52" xfId="15" quotePrefix="1" applyFont="1" applyFill="1" applyBorder="1" applyAlignment="1">
      <alignment horizontal="left" vertical="center" shrinkToFit="1"/>
    </xf>
    <xf numFmtId="0" fontId="64" fillId="5" borderId="0" xfId="16" applyFont="1" applyFill="1" applyAlignment="1">
      <alignment horizontal="left" vertical="center" shrinkToFit="1"/>
    </xf>
    <xf numFmtId="0" fontId="64" fillId="5" borderId="52" xfId="16" applyFont="1" applyFill="1" applyBorder="1" applyAlignment="1">
      <alignment horizontal="left" vertical="center" shrinkToFit="1"/>
    </xf>
    <xf numFmtId="0" fontId="62" fillId="5" borderId="51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2" xfId="13" applyFont="1" applyFill="1" applyBorder="1" applyAlignment="1">
      <alignment horizontal="left" vertical="center" shrinkToFit="1"/>
    </xf>
    <xf numFmtId="177" fontId="57" fillId="5" borderId="51" xfId="15" quotePrefix="1" applyFont="1" applyFill="1" applyBorder="1" applyAlignment="1">
      <alignment horizontal="center" vertical="center" shrinkToFit="1"/>
    </xf>
    <xf numFmtId="177" fontId="57" fillId="5" borderId="0" xfId="15" quotePrefix="1" applyFont="1" applyFill="1" applyBorder="1" applyAlignment="1">
      <alignment horizontal="center" vertical="center" shrinkToFit="1"/>
    </xf>
    <xf numFmtId="177" fontId="57" fillId="5" borderId="52" xfId="15" quotePrefix="1" applyFont="1" applyFill="1" applyBorder="1" applyAlignment="1">
      <alignment horizontal="center" vertical="center" shrinkToFit="1"/>
    </xf>
    <xf numFmtId="0" fontId="240" fillId="0" borderId="0" xfId="18691" applyNumberFormat="1" applyFont="1" applyAlignment="1">
      <alignment horizontal="center" vertical="center"/>
    </xf>
    <xf numFmtId="0" fontId="243" fillId="0" borderId="56" xfId="18692" applyFont="1" applyBorder="1" applyAlignment="1">
      <alignment horizontal="left"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399143</xdr:colOff>
      <xdr:row>41</xdr:row>
      <xdr:rowOff>154215</xdr:rowOff>
    </xdr:from>
    <xdr:to>
      <xdr:col>2</xdr:col>
      <xdr:colOff>2106046</xdr:colOff>
      <xdr:row>50</xdr:row>
      <xdr:rowOff>143997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0FE5515-BF8B-4BDF-8044-8BAB8E5F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786" y="11275786"/>
          <a:ext cx="2722903" cy="1958282"/>
        </a:xfrm>
        <a:prstGeom prst="rect">
          <a:avLst/>
        </a:prstGeom>
      </xdr:spPr>
    </xdr:pic>
    <xdr:clientData/>
  </xdr:twoCellAnchor>
  <xdr:twoCellAnchor editAs="oneCell">
    <xdr:from>
      <xdr:col>2</xdr:col>
      <xdr:colOff>2304142</xdr:colOff>
      <xdr:row>42</xdr:row>
      <xdr:rowOff>117928</xdr:rowOff>
    </xdr:from>
    <xdr:to>
      <xdr:col>3</xdr:col>
      <xdr:colOff>1415016</xdr:colOff>
      <xdr:row>51</xdr:row>
      <xdr:rowOff>120517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F9B526E-A4D0-4011-A19A-E1C3B10CB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3785" y="11466285"/>
          <a:ext cx="2730374" cy="1962018"/>
        </a:xfrm>
        <a:prstGeom prst="rect">
          <a:avLst/>
        </a:prstGeom>
      </xdr:spPr>
    </xdr:pic>
    <xdr:clientData/>
  </xdr:twoCellAnchor>
  <xdr:twoCellAnchor editAs="oneCell">
    <xdr:from>
      <xdr:col>4</xdr:col>
      <xdr:colOff>81643</xdr:colOff>
      <xdr:row>42</xdr:row>
      <xdr:rowOff>99786</xdr:rowOff>
    </xdr:from>
    <xdr:to>
      <xdr:col>8</xdr:col>
      <xdr:colOff>275217</xdr:colOff>
      <xdr:row>51</xdr:row>
      <xdr:rowOff>102375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D593A60-CE80-4F52-8DB9-C5BED350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00" y="11448143"/>
          <a:ext cx="2715431" cy="1962018"/>
        </a:xfrm>
        <a:prstGeom prst="rect">
          <a:avLst/>
        </a:prstGeom>
      </xdr:spPr>
    </xdr:pic>
    <xdr:clientData/>
  </xdr:twoCellAnchor>
  <xdr:twoCellAnchor editAs="oneCell">
    <xdr:from>
      <xdr:col>9</xdr:col>
      <xdr:colOff>589643</xdr:colOff>
      <xdr:row>43</xdr:row>
      <xdr:rowOff>127000</xdr:rowOff>
    </xdr:from>
    <xdr:to>
      <xdr:col>12</xdr:col>
      <xdr:colOff>632739</xdr:colOff>
      <xdr:row>52</xdr:row>
      <xdr:rowOff>129589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D47564E-8F58-4FC8-8A3F-0861CA04A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4357" y="11693071"/>
          <a:ext cx="2719168" cy="1962018"/>
        </a:xfrm>
        <a:prstGeom prst="rect">
          <a:avLst/>
        </a:prstGeom>
      </xdr:spPr>
    </xdr:pic>
    <xdr:clientData/>
  </xdr:twoCellAnchor>
  <xdr:twoCellAnchor editAs="oneCell">
    <xdr:from>
      <xdr:col>2</xdr:col>
      <xdr:colOff>691871</xdr:colOff>
      <xdr:row>19</xdr:row>
      <xdr:rowOff>52333</xdr:rowOff>
    </xdr:from>
    <xdr:to>
      <xdr:col>3</xdr:col>
      <xdr:colOff>696058</xdr:colOff>
      <xdr:row>39</xdr:row>
      <xdr:rowOff>162942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0BA8CD5-1D7F-2DAC-4B81-887CBA93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236" y="6265564"/>
          <a:ext cx="3623687" cy="436755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81643</xdr:colOff>
      <xdr:row>21</xdr:row>
      <xdr:rowOff>108858</xdr:rowOff>
    </xdr:from>
    <xdr:to>
      <xdr:col>13</xdr:col>
      <xdr:colOff>670726</xdr:colOff>
      <xdr:row>36</xdr:row>
      <xdr:rowOff>108856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137E64F-008E-E444-FDB0-C1574BEC1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036" y="6626679"/>
          <a:ext cx="7106904" cy="306160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abSelected="1" topLeftCell="A9" zoomScale="70" zoomScaleNormal="70" workbookViewId="0">
      <selection activeCell="F26" sqref="F26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1" spans="1:9" ht="33">
      <c r="A1" s="169" t="s">
        <v>120</v>
      </c>
      <c r="B1" s="169"/>
      <c r="C1" s="169"/>
      <c r="D1" s="169"/>
      <c r="E1" s="169"/>
      <c r="F1" s="169"/>
      <c r="G1" s="169"/>
      <c r="H1" s="125"/>
    </row>
    <row r="2" spans="1:9" ht="14.25">
      <c r="A2" s="124"/>
      <c r="B2" s="124"/>
      <c r="C2" s="124"/>
      <c r="D2" s="124"/>
      <c r="E2" s="124"/>
      <c r="F2" s="124"/>
      <c r="G2" s="124"/>
      <c r="H2" s="124"/>
    </row>
    <row r="3" spans="1:9" ht="14.25">
      <c r="A3" s="124"/>
      <c r="B3" s="124"/>
      <c r="C3" s="124"/>
      <c r="D3" s="124"/>
      <c r="E3" s="124"/>
      <c r="H3" s="124"/>
    </row>
    <row r="4" spans="1:9" ht="27" customHeight="1">
      <c r="A4" s="6" t="s">
        <v>92</v>
      </c>
      <c r="B4" s="66"/>
      <c r="C4" s="67"/>
      <c r="D4" s="124"/>
      <c r="E4" s="124"/>
      <c r="F4" s="87" t="s">
        <v>62</v>
      </c>
      <c r="G4" s="88" t="s">
        <v>63</v>
      </c>
      <c r="H4" s="124"/>
    </row>
    <row r="5" spans="1:9" ht="27" customHeight="1">
      <c r="A5" s="124"/>
      <c r="B5" s="124"/>
      <c r="C5" s="124"/>
      <c r="D5" s="124"/>
      <c r="E5" s="124"/>
      <c r="F5" s="89" t="s">
        <v>84</v>
      </c>
      <c r="G5" s="90" t="s">
        <v>64</v>
      </c>
      <c r="H5" s="124"/>
    </row>
    <row r="6" spans="1:9" ht="27" customHeight="1">
      <c r="A6" s="6" t="s">
        <v>155</v>
      </c>
      <c r="B6" s="126"/>
      <c r="C6" s="127"/>
      <c r="D6" s="124"/>
      <c r="E6" s="128"/>
      <c r="F6" s="91" t="s">
        <v>85</v>
      </c>
      <c r="G6" s="90" t="s">
        <v>65</v>
      </c>
      <c r="H6" s="124"/>
    </row>
    <row r="7" spans="1:9" ht="27" customHeight="1">
      <c r="A7" s="124"/>
      <c r="B7" s="124"/>
      <c r="C7" s="124"/>
      <c r="D7" s="124"/>
      <c r="E7" s="124"/>
      <c r="F7" s="89" t="s">
        <v>66</v>
      </c>
      <c r="G7" s="90" t="s">
        <v>98</v>
      </c>
      <c r="H7" s="124"/>
    </row>
    <row r="8" spans="1:9" ht="27" customHeight="1">
      <c r="A8" s="6" t="s">
        <v>156</v>
      </c>
      <c r="B8" s="129"/>
      <c r="C8" s="130"/>
      <c r="D8" s="124"/>
      <c r="E8" s="124"/>
      <c r="F8" s="89" t="s">
        <v>86</v>
      </c>
      <c r="G8" s="90" t="s">
        <v>87</v>
      </c>
      <c r="H8" s="124"/>
    </row>
    <row r="9" spans="1:9" ht="27" customHeight="1">
      <c r="A9" s="124"/>
      <c r="B9" s="124"/>
      <c r="C9" s="124"/>
      <c r="D9" s="124"/>
      <c r="E9" s="124"/>
      <c r="F9" s="92" t="s">
        <v>88</v>
      </c>
      <c r="G9" s="93" t="s">
        <v>89</v>
      </c>
      <c r="H9" s="124"/>
      <c r="I9" s="124"/>
    </row>
    <row r="10" spans="1:9" ht="27" customHeight="1">
      <c r="A10" s="170"/>
      <c r="B10" s="171"/>
      <c r="C10" s="171"/>
      <c r="D10" s="124"/>
      <c r="E10" s="131"/>
      <c r="F10" s="94" t="s">
        <v>90</v>
      </c>
      <c r="G10" s="95" t="s">
        <v>91</v>
      </c>
      <c r="H10" s="131"/>
    </row>
    <row r="11" spans="1:9" ht="18.75" thickBot="1">
      <c r="A11" s="132" t="s">
        <v>23</v>
      </c>
      <c r="B11" s="132" t="str">
        <f>NUMBERSTRING(F31,1)</f>
        <v>팔백삼십삼만구천</v>
      </c>
      <c r="C11" s="133"/>
      <c r="D11" s="134" t="s">
        <v>121</v>
      </c>
      <c r="E11" s="7" t="s">
        <v>24</v>
      </c>
      <c r="F11" s="7" t="s">
        <v>24</v>
      </c>
      <c r="G11" s="8"/>
      <c r="H11" s="135"/>
    </row>
    <row r="12" spans="1:9" ht="15.75" thickTop="1" thickBot="1">
      <c r="A12" s="124"/>
      <c r="B12" s="124"/>
      <c r="C12" s="124"/>
      <c r="D12" s="124"/>
      <c r="E12" s="124"/>
      <c r="F12" s="124"/>
      <c r="G12" s="124"/>
      <c r="H12" s="135"/>
    </row>
    <row r="13" spans="1:9" ht="33" customHeight="1" thickBot="1">
      <c r="A13" s="9" t="s">
        <v>25</v>
      </c>
      <c r="B13" s="10" t="s">
        <v>26</v>
      </c>
      <c r="C13" s="10" t="s">
        <v>27</v>
      </c>
      <c r="D13" s="10" t="s">
        <v>122</v>
      </c>
      <c r="E13" s="10" t="s">
        <v>28</v>
      </c>
      <c r="F13" s="10" t="s">
        <v>29</v>
      </c>
      <c r="G13" s="11" t="s">
        <v>30</v>
      </c>
      <c r="H13" s="135"/>
    </row>
    <row r="14" spans="1:9" ht="33" customHeight="1" thickTop="1">
      <c r="A14" s="12"/>
      <c r="B14" s="13" t="s">
        <v>31</v>
      </c>
      <c r="C14" s="14"/>
      <c r="D14" s="15"/>
      <c r="E14" s="15"/>
      <c r="F14" s="16"/>
      <c r="G14" s="17"/>
    </row>
    <row r="15" spans="1:9" ht="33" customHeight="1">
      <c r="A15" s="18"/>
      <c r="B15" s="19" t="s">
        <v>32</v>
      </c>
      <c r="C15" s="20"/>
      <c r="D15" s="21"/>
      <c r="E15" s="21"/>
      <c r="F15" s="22">
        <f>'내역서(표준단가)'!O9</f>
        <v>0</v>
      </c>
      <c r="G15" s="23"/>
    </row>
    <row r="16" spans="1:9" s="4" customFormat="1" ht="33" customHeight="1">
      <c r="A16" s="18"/>
      <c r="B16" s="19" t="s">
        <v>33</v>
      </c>
      <c r="C16" s="20"/>
      <c r="D16" s="21"/>
      <c r="E16" s="21"/>
      <c r="F16" s="22">
        <f>'내역서(표준단가)'!Q9</f>
        <v>501243</v>
      </c>
      <c r="G16" s="24"/>
    </row>
    <row r="17" spans="1:7" s="4" customFormat="1" ht="33" customHeight="1">
      <c r="A17" s="18"/>
      <c r="B17" s="19" t="s">
        <v>34</v>
      </c>
      <c r="C17" s="20"/>
      <c r="D17" s="21"/>
      <c r="E17" s="21"/>
      <c r="F17" s="22">
        <f>'내역서(표준단가)'!S9+'내역서(표준단가)'!U9</f>
        <v>7728000</v>
      </c>
      <c r="G17" s="24"/>
    </row>
    <row r="18" spans="1:7" s="4" customFormat="1" ht="33" customHeight="1">
      <c r="A18" s="18"/>
      <c r="B18" s="19" t="s">
        <v>67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123</v>
      </c>
      <c r="C19" s="25"/>
      <c r="D19" s="26"/>
      <c r="E19" s="26"/>
      <c r="F19" s="27">
        <f>F15+F16+F17+F18</f>
        <v>8229243</v>
      </c>
      <c r="G19" s="24"/>
    </row>
    <row r="20" spans="1:7" s="4" customFormat="1" ht="33" customHeight="1">
      <c r="A20" s="18"/>
      <c r="B20" s="136" t="s">
        <v>35</v>
      </c>
      <c r="C20" s="137"/>
      <c r="D20" s="21"/>
      <c r="E20" s="21"/>
      <c r="F20" s="28"/>
      <c r="G20" s="24"/>
    </row>
    <row r="21" spans="1:7" s="4" customFormat="1" ht="33" customHeight="1">
      <c r="A21" s="18"/>
      <c r="B21" s="138" t="s">
        <v>124</v>
      </c>
      <c r="C21" s="137" t="s">
        <v>125</v>
      </c>
      <c r="D21" s="19">
        <v>1</v>
      </c>
      <c r="E21" s="19" t="s">
        <v>36</v>
      </c>
      <c r="F21" s="29">
        <f>(F15+F16)*3.11%</f>
        <v>15588.657299999999</v>
      </c>
      <c r="G21" s="24" t="s">
        <v>37</v>
      </c>
    </row>
    <row r="22" spans="1:7" s="4" customFormat="1" ht="33" customHeight="1">
      <c r="A22" s="18"/>
      <c r="B22" s="138" t="s">
        <v>126</v>
      </c>
      <c r="C22" s="137" t="s">
        <v>127</v>
      </c>
      <c r="D22" s="19">
        <v>1</v>
      </c>
      <c r="E22" s="19" t="s">
        <v>36</v>
      </c>
      <c r="F22" s="29">
        <f>F16*3.56%</f>
        <v>17844.250800000002</v>
      </c>
      <c r="G22" s="24" t="s">
        <v>37</v>
      </c>
    </row>
    <row r="23" spans="1:7" s="4" customFormat="1" ht="33" customHeight="1">
      <c r="A23" s="18"/>
      <c r="B23" s="138" t="s">
        <v>128</v>
      </c>
      <c r="C23" s="137" t="s">
        <v>129</v>
      </c>
      <c r="D23" s="19">
        <v>1</v>
      </c>
      <c r="E23" s="19" t="s">
        <v>36</v>
      </c>
      <c r="F23" s="139">
        <f>F16*1.01%</f>
        <v>5062.5542999999998</v>
      </c>
      <c r="G23" s="24" t="s">
        <v>37</v>
      </c>
    </row>
    <row r="24" spans="1:7" s="4" customFormat="1" ht="33" customHeight="1">
      <c r="A24" s="18"/>
      <c r="B24" s="138" t="s">
        <v>130</v>
      </c>
      <c r="C24" s="140" t="s">
        <v>131</v>
      </c>
      <c r="D24" s="19">
        <v>1</v>
      </c>
      <c r="E24" s="19" t="s">
        <v>132</v>
      </c>
      <c r="F24" s="29">
        <f>F16*3.545%</f>
        <v>17769.064350000001</v>
      </c>
      <c r="G24" s="24" t="s">
        <v>37</v>
      </c>
    </row>
    <row r="25" spans="1:7" s="4" customFormat="1" ht="33" customHeight="1">
      <c r="A25" s="18"/>
      <c r="B25" s="138" t="s">
        <v>133</v>
      </c>
      <c r="C25" s="140" t="s">
        <v>134</v>
      </c>
      <c r="D25" s="19">
        <v>1</v>
      </c>
      <c r="E25" s="19" t="s">
        <v>36</v>
      </c>
      <c r="F25" s="29">
        <f>F16*4.5%</f>
        <v>22555.934999999998</v>
      </c>
      <c r="G25" s="24" t="s">
        <v>37</v>
      </c>
    </row>
    <row r="26" spans="1:7" s="4" customFormat="1" ht="33" customHeight="1">
      <c r="A26" s="18"/>
      <c r="B26" s="138" t="s">
        <v>135</v>
      </c>
      <c r="C26" s="141" t="s">
        <v>136</v>
      </c>
      <c r="D26" s="19">
        <v>1</v>
      </c>
      <c r="E26" s="19" t="s">
        <v>36</v>
      </c>
      <c r="F26" s="29">
        <f>F24*12.95%</f>
        <v>2301.0938333250001</v>
      </c>
      <c r="G26" s="24" t="s">
        <v>37</v>
      </c>
    </row>
    <row r="27" spans="1:7" s="4" customFormat="1" ht="33" customHeight="1">
      <c r="A27" s="18"/>
      <c r="B27" s="138" t="s">
        <v>51</v>
      </c>
      <c r="C27" s="142" t="s">
        <v>137</v>
      </c>
      <c r="D27" s="19">
        <v>1</v>
      </c>
      <c r="E27" s="19" t="s">
        <v>36</v>
      </c>
      <c r="F27" s="29">
        <f>SUM(F16+F21+F22+F23+F24+F25+F26)*5%</f>
        <v>29118.227779166249</v>
      </c>
      <c r="G27" s="24"/>
    </row>
    <row r="28" spans="1:7" s="4" customFormat="1" ht="33" customHeight="1">
      <c r="A28" s="18"/>
      <c r="B28" s="25" t="s">
        <v>123</v>
      </c>
      <c r="C28" s="30"/>
      <c r="D28" s="31"/>
      <c r="E28" s="26"/>
      <c r="F28" s="32">
        <f>SUM(F21,F22,F23,F24,F25,F26,F27)</f>
        <v>110239.78336249125</v>
      </c>
      <c r="G28" s="24"/>
    </row>
    <row r="29" spans="1:7" s="4" customFormat="1" ht="33" customHeight="1">
      <c r="A29" s="18"/>
      <c r="B29" s="137"/>
      <c r="C29" s="143"/>
      <c r="D29" s="33"/>
      <c r="E29" s="21"/>
      <c r="F29" s="34"/>
      <c r="G29" s="24"/>
    </row>
    <row r="30" spans="1:7" s="4" customFormat="1" ht="33" customHeight="1">
      <c r="A30" s="18"/>
      <c r="B30" s="144"/>
      <c r="C30" s="143"/>
      <c r="D30" s="33"/>
      <c r="E30" s="21"/>
      <c r="F30" s="35">
        <f>F19+F28+F29</f>
        <v>8339482.7833624911</v>
      </c>
      <c r="G30" s="24"/>
    </row>
    <row r="31" spans="1:7" s="4" customFormat="1" ht="33" customHeight="1">
      <c r="A31" s="18"/>
      <c r="B31" s="25" t="s">
        <v>38</v>
      </c>
      <c r="C31" s="25"/>
      <c r="D31" s="26"/>
      <c r="E31" s="26"/>
      <c r="F31" s="36">
        <f>ROUNDDOWN(F30,-3)</f>
        <v>8339000</v>
      </c>
      <c r="G31" s="24"/>
    </row>
    <row r="32" spans="1:7" s="4" customFormat="1" ht="86.25" customHeight="1" thickBot="1">
      <c r="A32" s="37"/>
      <c r="B32" s="38" t="s">
        <v>39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1:G1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E1:AI1036"/>
  <sheetViews>
    <sheetView showGridLines="0" zoomScale="70" zoomScaleNormal="70" workbookViewId="0">
      <pane xSplit="9" topLeftCell="J1" activePane="topRight" state="frozen"/>
      <selection pane="topRight" activeCell="R6" sqref="R6"/>
    </sheetView>
  </sheetViews>
  <sheetFormatPr defaultColWidth="9" defaultRowHeight="33" customHeight="1"/>
  <cols>
    <col min="1" max="4" width="0" style="43" hidden="1" customWidth="1"/>
    <col min="5" max="5" width="12.25" style="59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25" style="43" hidden="1" customWidth="1"/>
    <col min="10" max="10" width="39.25" style="84" customWidth="1"/>
    <col min="11" max="11" width="24.625" style="84" customWidth="1"/>
    <col min="12" max="12" width="8.375" style="43" customWidth="1"/>
    <col min="13" max="13" width="8.125" style="103" bestFit="1" customWidth="1"/>
    <col min="14" max="14" width="10.75" style="43" bestFit="1" customWidth="1"/>
    <col min="15" max="15" width="13" style="43" bestFit="1" customWidth="1"/>
    <col min="16" max="16" width="10.375" style="43" bestFit="1" customWidth="1"/>
    <col min="17" max="17" width="13" style="43" bestFit="1" customWidth="1"/>
    <col min="18" max="18" width="10.375" style="43" bestFit="1" customWidth="1"/>
    <col min="19" max="19" width="10.75" style="43" bestFit="1" customWidth="1"/>
    <col min="20" max="20" width="10.625" style="43" bestFit="1" customWidth="1"/>
    <col min="21" max="21" width="10.875" style="43" bestFit="1" customWidth="1"/>
    <col min="22" max="22" width="12.125" style="43" customWidth="1"/>
    <col min="23" max="23" width="11.875" style="44" customWidth="1"/>
    <col min="24" max="24" width="17.125" style="43" bestFit="1" customWidth="1"/>
    <col min="25" max="26" width="9" style="43"/>
    <col min="27" max="27" width="11.75" style="43" bestFit="1" customWidth="1"/>
    <col min="28" max="28" width="12.375" style="43" bestFit="1" customWidth="1"/>
    <col min="29" max="29" width="11.75" style="43" bestFit="1" customWidth="1"/>
    <col min="30" max="30" width="12.375" style="43" bestFit="1" customWidth="1"/>
    <col min="31" max="31" width="10.75" style="43" bestFit="1" customWidth="1"/>
    <col min="32" max="34" width="11.75" style="43" bestFit="1" customWidth="1"/>
    <col min="35" max="16384" width="9" style="43"/>
  </cols>
  <sheetData>
    <row r="1" spans="5:35" ht="18.600000000000001" customHeight="1">
      <c r="E1" s="58"/>
      <c r="N1" s="44"/>
      <c r="O1" s="45" t="s">
        <v>52</v>
      </c>
      <c r="Q1" s="45" t="s">
        <v>53</v>
      </c>
      <c r="S1" s="45" t="s">
        <v>45</v>
      </c>
      <c r="U1" s="45" t="s">
        <v>53</v>
      </c>
    </row>
    <row r="2" spans="5:35" ht="18.600000000000001" customHeight="1" thickBot="1">
      <c r="E2" s="175"/>
      <c r="F2" s="175"/>
      <c r="G2" s="175"/>
      <c r="H2" s="175"/>
      <c r="I2" s="175"/>
      <c r="N2" s="46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63"/>
      <c r="F3" s="63" t="s">
        <v>54</v>
      </c>
      <c r="G3" s="60"/>
      <c r="H3" s="60"/>
      <c r="I3" s="60"/>
      <c r="J3" s="186" t="s">
        <v>68</v>
      </c>
      <c r="K3" s="187"/>
      <c r="L3" s="182" t="s">
        <v>40</v>
      </c>
      <c r="M3" s="184" t="s">
        <v>41</v>
      </c>
      <c r="N3" s="178" t="s">
        <v>55</v>
      </c>
      <c r="O3" s="178"/>
      <c r="P3" s="178" t="s">
        <v>46</v>
      </c>
      <c r="Q3" s="178"/>
      <c r="R3" s="179" t="s">
        <v>42</v>
      </c>
      <c r="S3" s="179"/>
      <c r="T3" s="179" t="s">
        <v>47</v>
      </c>
      <c r="U3" s="179"/>
      <c r="V3" s="180" t="s">
        <v>56</v>
      </c>
      <c r="W3" s="176" t="s">
        <v>57</v>
      </c>
      <c r="X3" s="173" t="s">
        <v>82</v>
      </c>
      <c r="AD3" s="172"/>
      <c r="AE3" s="172"/>
      <c r="AF3" s="172"/>
      <c r="AG3" s="172"/>
      <c r="AH3" s="172"/>
      <c r="AI3" s="172"/>
    </row>
    <row r="4" spans="5:35" ht="18.600000000000001" customHeight="1">
      <c r="E4" s="64" t="s">
        <v>58</v>
      </c>
      <c r="F4" s="65" t="s">
        <v>93</v>
      </c>
      <c r="G4" s="65" t="s">
        <v>94</v>
      </c>
      <c r="H4" s="65" t="s">
        <v>95</v>
      </c>
      <c r="I4" s="65" t="s">
        <v>96</v>
      </c>
      <c r="J4" s="85" t="s">
        <v>59</v>
      </c>
      <c r="K4" s="85" t="s">
        <v>48</v>
      </c>
      <c r="L4" s="183"/>
      <c r="M4" s="185"/>
      <c r="N4" s="47" t="s">
        <v>97</v>
      </c>
      <c r="O4" s="48" t="s">
        <v>43</v>
      </c>
      <c r="P4" s="47" t="s">
        <v>60</v>
      </c>
      <c r="Q4" s="48" t="s">
        <v>43</v>
      </c>
      <c r="R4" s="48" t="s">
        <v>44</v>
      </c>
      <c r="S4" s="48" t="s">
        <v>43</v>
      </c>
      <c r="T4" s="48" t="s">
        <v>44</v>
      </c>
      <c r="U4" s="48" t="s">
        <v>43</v>
      </c>
      <c r="V4" s="181"/>
      <c r="W4" s="177"/>
      <c r="X4" s="174"/>
      <c r="AD4" s="172"/>
      <c r="AE4" s="172"/>
      <c r="AF4" s="172"/>
      <c r="AG4" s="172"/>
      <c r="AH4" s="172"/>
      <c r="AI4" s="172"/>
    </row>
    <row r="5" spans="5:35" ht="33" customHeight="1">
      <c r="E5" s="61"/>
      <c r="F5" s="106"/>
      <c r="G5" s="106"/>
      <c r="H5" s="106"/>
      <c r="I5" s="106"/>
      <c r="J5" s="110" t="s">
        <v>147</v>
      </c>
      <c r="K5" s="99"/>
      <c r="L5" s="121"/>
      <c r="M5" s="98"/>
      <c r="N5" s="100"/>
      <c r="O5" s="96"/>
      <c r="P5" s="100"/>
      <c r="Q5" s="3"/>
      <c r="R5" s="49"/>
      <c r="S5" s="3"/>
      <c r="T5" s="49"/>
      <c r="U5" s="3"/>
      <c r="V5" s="49"/>
      <c r="W5" s="81"/>
      <c r="X5" s="82"/>
    </row>
    <row r="6" spans="5:35" ht="33" customHeight="1">
      <c r="E6" s="61" t="str">
        <f t="shared" ref="E6" si="0">F6&amp;G6&amp;H6&amp;I6</f>
        <v>999999</v>
      </c>
      <c r="F6" s="167"/>
      <c r="G6" s="167"/>
      <c r="H6" s="167">
        <v>999999</v>
      </c>
      <c r="I6" s="167"/>
      <c r="J6" s="165" t="s">
        <v>148</v>
      </c>
      <c r="K6" s="165"/>
      <c r="L6" s="123" t="s">
        <v>150</v>
      </c>
      <c r="M6" s="164">
        <f>1</f>
        <v>1</v>
      </c>
      <c r="N6" s="166"/>
      <c r="O6" s="3">
        <f t="shared" ref="O6" si="1">+M6*N6*$O$2</f>
        <v>0</v>
      </c>
      <c r="P6" s="148"/>
      <c r="Q6" s="3">
        <f t="shared" ref="Q6" si="2">M6*P6*$Q$2*W6</f>
        <v>0</v>
      </c>
      <c r="R6" s="147">
        <v>7727999.6992537072</v>
      </c>
      <c r="S6" s="3">
        <f t="shared" ref="S6" si="3">ROUND(R6*M6*$S$2,0)</f>
        <v>7728000</v>
      </c>
      <c r="T6" s="148"/>
      <c r="U6" s="3">
        <f t="shared" ref="U6" si="4">ROUND(T6*M6*$U$2,0)</f>
        <v>0</v>
      </c>
      <c r="V6" s="49">
        <f>SUM(O6+Q6)+S6+U6</f>
        <v>7728000</v>
      </c>
      <c r="W6" s="146"/>
      <c r="X6" s="145"/>
    </row>
    <row r="7" spans="5:35" ht="33" customHeight="1">
      <c r="E7" s="61" t="str">
        <f t="shared" ref="E7" si="5">F7&amp;G7&amp;H7&amp;I7</f>
        <v>L002</v>
      </c>
      <c r="F7" s="167"/>
      <c r="G7" s="167"/>
      <c r="H7" s="167"/>
      <c r="I7" s="167" t="s">
        <v>139</v>
      </c>
      <c r="J7" s="165" t="s">
        <v>140</v>
      </c>
      <c r="K7" s="165" t="s">
        <v>141</v>
      </c>
      <c r="L7" s="123" t="s">
        <v>138</v>
      </c>
      <c r="M7" s="164">
        <v>3</v>
      </c>
      <c r="N7" s="100"/>
      <c r="O7" s="3">
        <f t="shared" ref="O7" si="6">+M7*N7*$O$2</f>
        <v>0</v>
      </c>
      <c r="P7" s="100">
        <v>167081</v>
      </c>
      <c r="Q7" s="3">
        <f>M7*P7*W7</f>
        <v>501243</v>
      </c>
      <c r="R7" s="49"/>
      <c r="S7" s="3">
        <f t="shared" ref="S7" si="7">ROUND(R7*M7*$S$2,0)</f>
        <v>0</v>
      </c>
      <c r="T7" s="148"/>
      <c r="U7" s="3">
        <f t="shared" ref="U7" si="8">ROUND(T7*M7*$U$2,0)</f>
        <v>0</v>
      </c>
      <c r="V7" s="49">
        <f t="shared" ref="V7" si="9">SUM(O7+Q7)+S7+U7</f>
        <v>501243</v>
      </c>
      <c r="W7" s="156">
        <v>1</v>
      </c>
      <c r="X7" s="145" t="s">
        <v>144</v>
      </c>
    </row>
    <row r="8" spans="5:35" ht="33" customHeight="1" thickBot="1">
      <c r="E8" s="151" t="str">
        <f t="shared" ref="E8" si="10">F8&amp;G8&amp;H8&amp;I8</f>
        <v/>
      </c>
      <c r="F8" s="62"/>
      <c r="G8" s="62"/>
      <c r="H8" s="62"/>
      <c r="I8" s="62"/>
      <c r="J8" s="86"/>
      <c r="K8" s="86"/>
      <c r="L8" s="52"/>
      <c r="M8" s="104"/>
      <c r="N8" s="53"/>
      <c r="O8" s="3"/>
      <c r="P8" s="53"/>
      <c r="Q8" s="3"/>
      <c r="R8" s="54"/>
      <c r="S8" s="3"/>
      <c r="T8" s="54"/>
      <c r="U8" s="149"/>
      <c r="V8" s="54"/>
      <c r="W8" s="150"/>
      <c r="X8" s="83"/>
    </row>
    <row r="9" spans="5:35" ht="33" customHeight="1">
      <c r="E9" s="43"/>
      <c r="O9" s="97">
        <f>SUM(O5:O8)</f>
        <v>0</v>
      </c>
      <c r="P9" s="58"/>
      <c r="Q9" s="97">
        <f>SUM(Q5:Q8)</f>
        <v>501243</v>
      </c>
      <c r="R9" s="58"/>
      <c r="S9" s="97">
        <f>SUM(S5:S8)</f>
        <v>7728000</v>
      </c>
      <c r="T9" s="58"/>
      <c r="U9" s="57">
        <f>SUM(U5:U8)</f>
        <v>0</v>
      </c>
      <c r="V9" s="57">
        <f>SUM(O9+Q9)+S9+U9</f>
        <v>8229243</v>
      </c>
    </row>
    <row r="10" spans="5:35" ht="33" customHeight="1">
      <c r="E10" s="43"/>
      <c r="Q10" s="102"/>
    </row>
    <row r="11" spans="5:35" ht="33" customHeight="1">
      <c r="E11" s="43"/>
      <c r="O11" s="117"/>
      <c r="Q11" s="101"/>
      <c r="W11" s="43"/>
    </row>
    <row r="12" spans="5:35" ht="33" customHeight="1">
      <c r="E12" s="43"/>
      <c r="W12" s="43"/>
    </row>
    <row r="13" spans="5:35" ht="33" customHeight="1">
      <c r="E13" s="43"/>
      <c r="Q13" s="102"/>
      <c r="W13" s="43"/>
    </row>
    <row r="14" spans="5:35" ht="33" customHeight="1">
      <c r="E14" s="43"/>
      <c r="W14" s="43"/>
    </row>
    <row r="15" spans="5:35" ht="33" customHeight="1">
      <c r="E15" s="43"/>
      <c r="W15" s="43"/>
    </row>
    <row r="16" spans="5:35" ht="33" customHeight="1">
      <c r="E16" s="43"/>
      <c r="W16" s="43"/>
    </row>
    <row r="17" spans="5:23" ht="33" customHeight="1">
      <c r="E17" s="43"/>
      <c r="W17" s="43"/>
    </row>
    <row r="18" spans="5:23" ht="33" customHeight="1">
      <c r="E18" s="43"/>
      <c r="W18" s="43"/>
    </row>
    <row r="19" spans="5:23" ht="33" customHeight="1">
      <c r="E19" s="43"/>
      <c r="W19" s="43"/>
    </row>
    <row r="20" spans="5:23" ht="33" customHeight="1">
      <c r="E20" s="43"/>
      <c r="W20" s="43"/>
    </row>
    <row r="21" spans="5:23" ht="33" customHeight="1">
      <c r="E21" s="43"/>
      <c r="W21" s="43"/>
    </row>
    <row r="22" spans="5:23" ht="33" customHeight="1">
      <c r="E22" s="43"/>
      <c r="W22" s="43"/>
    </row>
    <row r="23" spans="5:23" ht="33" customHeight="1">
      <c r="E23" s="43"/>
      <c r="W23" s="43"/>
    </row>
    <row r="24" spans="5:23" ht="33" customHeight="1">
      <c r="E24" s="43"/>
      <c r="W24" s="43"/>
    </row>
    <row r="25" spans="5:23" ht="33" customHeight="1">
      <c r="E25" s="43"/>
      <c r="W25" s="43"/>
    </row>
    <row r="26" spans="5:23" ht="33" customHeight="1">
      <c r="E26" s="43"/>
      <c r="W26" s="43"/>
    </row>
    <row r="27" spans="5:23" s="43" customFormat="1" ht="33" customHeight="1">
      <c r="M27" s="105"/>
    </row>
    <row r="28" spans="5:23" s="43" customFormat="1" ht="33" customHeight="1">
      <c r="M28" s="105"/>
    </row>
    <row r="29" spans="5:23" s="43" customFormat="1" ht="33" customHeight="1">
      <c r="M29" s="105"/>
    </row>
    <row r="30" spans="5:23" s="43" customFormat="1" ht="33" customHeight="1">
      <c r="M30" s="105"/>
    </row>
    <row r="31" spans="5:23" s="43" customFormat="1" ht="33" customHeight="1">
      <c r="M31" s="105"/>
    </row>
    <row r="32" spans="5:23" s="43" customFormat="1" ht="33" customHeight="1">
      <c r="M32" s="105"/>
    </row>
    <row r="33" spans="13:13" s="43" customFormat="1" ht="33" customHeight="1">
      <c r="M33" s="105"/>
    </row>
    <row r="34" spans="13:13" s="43" customFormat="1" ht="33" customHeight="1">
      <c r="M34" s="105"/>
    </row>
    <row r="35" spans="13:13" s="43" customFormat="1" ht="33" customHeight="1">
      <c r="M35" s="105"/>
    </row>
    <row r="36" spans="13:13" s="43" customFormat="1" ht="33" customHeight="1">
      <c r="M36" s="105"/>
    </row>
    <row r="37" spans="13:13" s="43" customFormat="1" ht="33" customHeight="1">
      <c r="M37" s="105"/>
    </row>
    <row r="38" spans="13:13" s="43" customFormat="1" ht="33" customHeight="1">
      <c r="M38" s="105"/>
    </row>
    <row r="39" spans="13:13" s="43" customFormat="1" ht="33" customHeight="1">
      <c r="M39" s="105"/>
    </row>
    <row r="40" spans="13:13" s="43" customFormat="1" ht="33" customHeight="1">
      <c r="M40" s="105"/>
    </row>
    <row r="41" spans="13:13" s="43" customFormat="1" ht="33" customHeight="1">
      <c r="M41" s="105"/>
    </row>
    <row r="42" spans="13:13" s="43" customFormat="1" ht="33" customHeight="1">
      <c r="M42" s="105"/>
    </row>
    <row r="43" spans="13:13" s="43" customFormat="1" ht="33" customHeight="1">
      <c r="M43" s="105"/>
    </row>
    <row r="44" spans="13:13" s="43" customFormat="1" ht="33" customHeight="1">
      <c r="M44" s="105"/>
    </row>
    <row r="45" spans="13:13" s="43" customFormat="1" ht="33" customHeight="1">
      <c r="M45" s="105"/>
    </row>
    <row r="46" spans="13:13" s="43" customFormat="1" ht="33" customHeight="1">
      <c r="M46" s="105"/>
    </row>
    <row r="47" spans="13:13" s="43" customFormat="1" ht="33" customHeight="1">
      <c r="M47" s="105"/>
    </row>
    <row r="48" spans="13:13" s="43" customFormat="1" ht="33" customHeight="1">
      <c r="M48" s="105"/>
    </row>
    <row r="49" spans="13:13" s="43" customFormat="1" ht="33" customHeight="1">
      <c r="M49" s="105"/>
    </row>
    <row r="50" spans="13:13" s="43" customFormat="1" ht="33" customHeight="1">
      <c r="M50" s="105"/>
    </row>
    <row r="51" spans="13:13" s="43" customFormat="1" ht="33" customHeight="1">
      <c r="M51" s="105"/>
    </row>
    <row r="52" spans="13:13" s="43" customFormat="1" ht="33" customHeight="1">
      <c r="M52" s="105"/>
    </row>
    <row r="53" spans="13:13" s="43" customFormat="1" ht="33" customHeight="1">
      <c r="M53" s="105"/>
    </row>
    <row r="54" spans="13:13" s="43" customFormat="1" ht="33" customHeight="1">
      <c r="M54" s="105"/>
    </row>
    <row r="55" spans="13:13" s="43" customFormat="1" ht="33" customHeight="1">
      <c r="M55" s="105"/>
    </row>
    <row r="56" spans="13:13" s="43" customFormat="1" ht="33" customHeight="1">
      <c r="M56" s="105"/>
    </row>
    <row r="57" spans="13:13" s="43" customFormat="1" ht="33" customHeight="1">
      <c r="M57" s="105"/>
    </row>
    <row r="58" spans="13:13" s="43" customFormat="1" ht="33" customHeight="1">
      <c r="M58" s="105"/>
    </row>
    <row r="59" spans="13:13" s="43" customFormat="1" ht="33" customHeight="1">
      <c r="M59" s="105"/>
    </row>
    <row r="60" spans="13:13" s="43" customFormat="1" ht="33" customHeight="1">
      <c r="M60" s="105"/>
    </row>
    <row r="61" spans="13:13" s="43" customFormat="1" ht="33" customHeight="1">
      <c r="M61" s="105"/>
    </row>
    <row r="62" spans="13:13" s="43" customFormat="1" ht="33" customHeight="1">
      <c r="M62" s="105"/>
    </row>
    <row r="63" spans="13:13" s="43" customFormat="1" ht="33" customHeight="1">
      <c r="M63" s="105"/>
    </row>
    <row r="64" spans="13:13" s="43" customFormat="1" ht="33" customHeight="1">
      <c r="M64" s="105"/>
    </row>
    <row r="65" spans="13:13" s="43" customFormat="1" ht="33" customHeight="1">
      <c r="M65" s="105"/>
    </row>
    <row r="66" spans="13:13" s="43" customFormat="1" ht="33" customHeight="1">
      <c r="M66" s="105"/>
    </row>
    <row r="67" spans="13:13" s="43" customFormat="1" ht="33" customHeight="1">
      <c r="M67" s="105"/>
    </row>
    <row r="68" spans="13:13" s="43" customFormat="1" ht="33" customHeight="1">
      <c r="M68" s="105"/>
    </row>
    <row r="69" spans="13:13" s="43" customFormat="1" ht="33" customHeight="1">
      <c r="M69" s="105"/>
    </row>
    <row r="70" spans="13:13" s="43" customFormat="1" ht="33" customHeight="1">
      <c r="M70" s="105"/>
    </row>
    <row r="71" spans="13:13" s="43" customFormat="1" ht="33" customHeight="1">
      <c r="M71" s="105"/>
    </row>
    <row r="72" spans="13:13" s="43" customFormat="1" ht="33" customHeight="1">
      <c r="M72" s="105"/>
    </row>
    <row r="73" spans="13:13" s="43" customFormat="1" ht="33" customHeight="1">
      <c r="M73" s="105"/>
    </row>
    <row r="74" spans="13:13" s="43" customFormat="1" ht="33" customHeight="1">
      <c r="M74" s="105"/>
    </row>
    <row r="75" spans="13:13" s="43" customFormat="1" ht="33" customHeight="1">
      <c r="M75" s="105"/>
    </row>
    <row r="76" spans="13:13" s="43" customFormat="1" ht="33" customHeight="1">
      <c r="M76" s="105"/>
    </row>
    <row r="77" spans="13:13" s="43" customFormat="1" ht="33" customHeight="1">
      <c r="M77" s="105"/>
    </row>
    <row r="78" spans="13:13" s="43" customFormat="1" ht="33" customHeight="1">
      <c r="M78" s="105"/>
    </row>
    <row r="79" spans="13:13" s="43" customFormat="1" ht="33" customHeight="1">
      <c r="M79" s="105"/>
    </row>
    <row r="80" spans="13:13" s="43" customFormat="1" ht="33" customHeight="1">
      <c r="M80" s="105"/>
    </row>
    <row r="81" spans="5:23" ht="33" customHeight="1">
      <c r="E81" s="43"/>
      <c r="J81" s="43"/>
      <c r="K81" s="43"/>
      <c r="M81" s="105"/>
      <c r="W81" s="43"/>
    </row>
    <row r="82" spans="5:23" ht="33" customHeight="1">
      <c r="E82" s="43"/>
      <c r="J82" s="43"/>
      <c r="K82" s="43"/>
      <c r="M82" s="105"/>
      <c r="W82" s="43"/>
    </row>
    <row r="83" spans="5:23" ht="33" customHeight="1">
      <c r="E83" s="43"/>
      <c r="J83" s="43"/>
      <c r="K83" s="43"/>
      <c r="M83" s="105"/>
      <c r="W83" s="43"/>
    </row>
    <row r="84" spans="5:23" ht="33" customHeight="1">
      <c r="E84" s="43"/>
      <c r="J84" s="43"/>
      <c r="K84" s="43"/>
      <c r="M84" s="105"/>
      <c r="W84" s="43"/>
    </row>
    <row r="85" spans="5:23" ht="33" customHeight="1">
      <c r="E85" s="43"/>
      <c r="J85" s="43"/>
      <c r="K85" s="43"/>
      <c r="M85" s="105"/>
      <c r="W85" s="43"/>
    </row>
    <row r="86" spans="5:23" ht="33" customHeight="1">
      <c r="E86" s="43"/>
      <c r="J86" s="43"/>
      <c r="K86" s="43"/>
      <c r="M86" s="105"/>
      <c r="W86" s="43"/>
    </row>
    <row r="87" spans="5:23" ht="33" customHeight="1">
      <c r="E87" s="43"/>
      <c r="J87" s="43"/>
      <c r="K87" s="43"/>
      <c r="M87" s="105"/>
      <c r="W87" s="43"/>
    </row>
    <row r="88" spans="5:23" ht="33" customHeight="1">
      <c r="E88" s="43"/>
      <c r="J88" s="43"/>
      <c r="K88" s="43"/>
      <c r="M88" s="105"/>
      <c r="W88" s="43"/>
    </row>
    <row r="89" spans="5:23" ht="33" customHeight="1">
      <c r="E89" s="43"/>
      <c r="J89" s="43"/>
      <c r="K89" s="43"/>
      <c r="M89" s="105"/>
      <c r="W89" s="43"/>
    </row>
    <row r="90" spans="5:23" ht="33" customHeight="1">
      <c r="E90" s="43"/>
      <c r="J90" s="43"/>
      <c r="K90" s="43"/>
      <c r="M90" s="105"/>
      <c r="W90" s="43"/>
    </row>
    <row r="91" spans="5:23" ht="33" customHeight="1">
      <c r="E91" s="43"/>
    </row>
    <row r="92" spans="5:23" ht="33" customHeight="1">
      <c r="E92" s="43"/>
    </row>
    <row r="93" spans="5:23" ht="33" customHeight="1">
      <c r="E93" s="43"/>
    </row>
    <row r="94" spans="5:23" ht="33" customHeight="1">
      <c r="E94" s="43"/>
    </row>
    <row r="95" spans="5:23" ht="33" customHeight="1">
      <c r="E95" s="43"/>
    </row>
    <row r="96" spans="5:23" ht="33" customHeight="1">
      <c r="E96" s="43"/>
    </row>
    <row r="97" spans="5:5" ht="33" customHeight="1">
      <c r="E97" s="43"/>
    </row>
    <row r="98" spans="5:5" ht="33" customHeight="1">
      <c r="E98" s="43"/>
    </row>
    <row r="99" spans="5:5" ht="33" customHeight="1">
      <c r="E99" s="43"/>
    </row>
    <row r="100" spans="5:5" ht="33" customHeight="1">
      <c r="E100" s="43"/>
    </row>
    <row r="101" spans="5:5" ht="33" customHeight="1">
      <c r="E101" s="43"/>
    </row>
    <row r="102" spans="5:5" ht="33" customHeight="1">
      <c r="E102" s="43"/>
    </row>
    <row r="103" spans="5:5" ht="33" customHeight="1">
      <c r="E103" s="43"/>
    </row>
    <row r="104" spans="5:5" ht="33" customHeight="1">
      <c r="E104" s="43"/>
    </row>
    <row r="105" spans="5:5" ht="33" customHeight="1">
      <c r="E105" s="43"/>
    </row>
    <row r="106" spans="5:5" ht="33" customHeight="1">
      <c r="E106" s="43"/>
    </row>
    <row r="107" spans="5:5" ht="33" customHeight="1">
      <c r="E107" s="43"/>
    </row>
    <row r="108" spans="5:5" ht="33" customHeight="1">
      <c r="E108" s="43"/>
    </row>
    <row r="109" spans="5:5" ht="33" customHeight="1">
      <c r="E109" s="43"/>
    </row>
    <row r="110" spans="5:5" ht="33" customHeight="1">
      <c r="E110" s="43"/>
    </row>
    <row r="111" spans="5:5" ht="33" customHeight="1">
      <c r="E111" s="43"/>
    </row>
    <row r="112" spans="5:5" ht="33" customHeight="1">
      <c r="E112" s="43"/>
    </row>
    <row r="113" spans="5:5" ht="33" customHeight="1">
      <c r="E113" s="43"/>
    </row>
    <row r="114" spans="5:5" ht="33" customHeight="1">
      <c r="E114" s="43"/>
    </row>
    <row r="115" spans="5:5" ht="33" customHeight="1">
      <c r="E115" s="43"/>
    </row>
    <row r="116" spans="5:5" ht="33" customHeight="1">
      <c r="E116" s="43"/>
    </row>
    <row r="117" spans="5:5" ht="33" customHeight="1">
      <c r="E117" s="43"/>
    </row>
    <row r="118" spans="5:5" ht="33" customHeight="1">
      <c r="E118" s="43"/>
    </row>
    <row r="119" spans="5:5" ht="33" customHeight="1">
      <c r="E119" s="43"/>
    </row>
    <row r="120" spans="5:5" ht="33" customHeight="1">
      <c r="E120" s="43"/>
    </row>
    <row r="121" spans="5:5" ht="33" customHeight="1">
      <c r="E121" s="43"/>
    </row>
    <row r="122" spans="5:5" ht="33" customHeight="1">
      <c r="E122" s="43"/>
    </row>
    <row r="123" spans="5:5" ht="33" customHeight="1">
      <c r="E123" s="43"/>
    </row>
    <row r="124" spans="5:5" ht="33" customHeight="1">
      <c r="E124" s="43"/>
    </row>
    <row r="125" spans="5:5" ht="33" customHeight="1">
      <c r="E125" s="43"/>
    </row>
    <row r="126" spans="5:5" ht="33" customHeight="1">
      <c r="E126" s="43"/>
    </row>
    <row r="127" spans="5:5" ht="33" customHeight="1">
      <c r="E127" s="43"/>
    </row>
    <row r="128" spans="5:5" ht="33" customHeight="1">
      <c r="E128" s="43"/>
    </row>
    <row r="129" spans="5:5" ht="33" customHeight="1">
      <c r="E129" s="43"/>
    </row>
    <row r="130" spans="5:5" ht="33" customHeight="1">
      <c r="E130" s="43"/>
    </row>
    <row r="131" spans="5:5" ht="33" customHeight="1">
      <c r="E131" s="43"/>
    </row>
    <row r="132" spans="5:5" ht="33" customHeight="1">
      <c r="E132" s="43"/>
    </row>
    <row r="133" spans="5:5" ht="33" customHeight="1">
      <c r="E133" s="43"/>
    </row>
    <row r="134" spans="5:5" ht="33" customHeight="1">
      <c r="E134" s="43"/>
    </row>
    <row r="135" spans="5:5" ht="33" customHeight="1">
      <c r="E135" s="43"/>
    </row>
    <row r="136" spans="5:5" ht="33" customHeight="1">
      <c r="E136" s="43"/>
    </row>
    <row r="137" spans="5:5" ht="33" customHeight="1">
      <c r="E137" s="43"/>
    </row>
    <row r="138" spans="5:5" ht="33" customHeight="1">
      <c r="E138" s="43"/>
    </row>
    <row r="139" spans="5:5" ht="33" customHeight="1">
      <c r="E139" s="43"/>
    </row>
    <row r="140" spans="5:5" ht="33" customHeight="1">
      <c r="E140" s="43"/>
    </row>
    <row r="141" spans="5:5" ht="33" customHeight="1">
      <c r="E141" s="43"/>
    </row>
    <row r="142" spans="5:5" ht="33" customHeight="1">
      <c r="E142" s="43"/>
    </row>
    <row r="143" spans="5:5" ht="33" customHeight="1">
      <c r="E143" s="43"/>
    </row>
    <row r="144" spans="5:5" ht="33" customHeight="1">
      <c r="E144" s="43"/>
    </row>
    <row r="145" spans="5:5" ht="33" customHeight="1">
      <c r="E145" s="43"/>
    </row>
    <row r="146" spans="5:5" ht="33" customHeight="1">
      <c r="E146" s="43"/>
    </row>
    <row r="147" spans="5:5" ht="33" customHeight="1">
      <c r="E147" s="43"/>
    </row>
    <row r="148" spans="5:5" ht="33" customHeight="1">
      <c r="E148" s="43"/>
    </row>
    <row r="149" spans="5:5" ht="33" customHeight="1">
      <c r="E149" s="43"/>
    </row>
    <row r="150" spans="5:5" ht="33" customHeight="1">
      <c r="E150" s="43"/>
    </row>
    <row r="151" spans="5:5" ht="33" customHeight="1">
      <c r="E151" s="43"/>
    </row>
    <row r="152" spans="5:5" ht="33" customHeight="1">
      <c r="E152" s="43"/>
    </row>
    <row r="153" spans="5:5" ht="33" customHeight="1">
      <c r="E153" s="43"/>
    </row>
    <row r="154" spans="5:5" ht="33" customHeight="1">
      <c r="E154" s="43"/>
    </row>
    <row r="155" spans="5:5" ht="33" customHeight="1">
      <c r="E155" s="43"/>
    </row>
    <row r="156" spans="5:5" ht="33" customHeight="1">
      <c r="E156" s="43"/>
    </row>
    <row r="157" spans="5:5" ht="33" customHeight="1">
      <c r="E157" s="43"/>
    </row>
    <row r="158" spans="5:5" ht="33" customHeight="1">
      <c r="E158" s="43"/>
    </row>
    <row r="159" spans="5:5" ht="33" customHeight="1">
      <c r="E159" s="43"/>
    </row>
    <row r="160" spans="5:5" ht="33" customHeight="1">
      <c r="E160" s="43"/>
    </row>
    <row r="161" spans="5:5" ht="33" customHeight="1">
      <c r="E161" s="43"/>
    </row>
    <row r="162" spans="5:5" ht="33" customHeight="1">
      <c r="E162" s="43"/>
    </row>
    <row r="163" spans="5:5" ht="33" customHeight="1">
      <c r="E163" s="43"/>
    </row>
    <row r="164" spans="5:5" ht="33" customHeight="1">
      <c r="E164" s="43"/>
    </row>
    <row r="165" spans="5:5" ht="33" customHeight="1">
      <c r="E165" s="43"/>
    </row>
    <row r="166" spans="5:5" ht="33" customHeight="1">
      <c r="E166" s="43"/>
    </row>
    <row r="167" spans="5:5" ht="33" customHeight="1">
      <c r="E167" s="43"/>
    </row>
    <row r="168" spans="5:5" ht="33" customHeight="1">
      <c r="E168" s="43"/>
    </row>
    <row r="169" spans="5:5" ht="33" customHeight="1">
      <c r="E169" s="43"/>
    </row>
    <row r="170" spans="5:5" ht="33" customHeight="1">
      <c r="E170" s="43"/>
    </row>
    <row r="171" spans="5:5" ht="33" customHeight="1">
      <c r="E171" s="43"/>
    </row>
    <row r="172" spans="5:5" ht="33" customHeight="1">
      <c r="E172" s="43"/>
    </row>
    <row r="173" spans="5:5" ht="33" customHeight="1">
      <c r="E173" s="43"/>
    </row>
    <row r="174" spans="5:5" ht="33" customHeight="1">
      <c r="E174" s="43"/>
    </row>
    <row r="175" spans="5:5" ht="33" customHeight="1">
      <c r="E175" s="43"/>
    </row>
    <row r="176" spans="5:5" ht="33" customHeight="1">
      <c r="E176" s="43"/>
    </row>
    <row r="177" spans="5:5" ht="33" customHeight="1">
      <c r="E177" s="43"/>
    </row>
    <row r="178" spans="5:5" ht="33" customHeight="1">
      <c r="E178" s="43"/>
    </row>
    <row r="179" spans="5:5" ht="33" customHeight="1">
      <c r="E179" s="43"/>
    </row>
    <row r="180" spans="5:5" ht="33" customHeight="1">
      <c r="E180" s="43"/>
    </row>
    <row r="181" spans="5:5" ht="33" customHeight="1">
      <c r="E181" s="43"/>
    </row>
    <row r="182" spans="5:5" ht="33" customHeight="1">
      <c r="E182" s="43"/>
    </row>
    <row r="183" spans="5:5" ht="33" customHeight="1">
      <c r="E183" s="43"/>
    </row>
    <row r="184" spans="5:5" ht="33" customHeight="1">
      <c r="E184" s="43"/>
    </row>
    <row r="185" spans="5:5" ht="33" customHeight="1">
      <c r="E185" s="43"/>
    </row>
    <row r="186" spans="5:5" ht="33" customHeight="1">
      <c r="E186" s="43"/>
    </row>
    <row r="187" spans="5:5" ht="33" customHeight="1">
      <c r="E187" s="43"/>
    </row>
    <row r="188" spans="5:5" ht="33" customHeight="1">
      <c r="E188" s="43"/>
    </row>
    <row r="189" spans="5:5" ht="33" customHeight="1">
      <c r="E189" s="43"/>
    </row>
    <row r="190" spans="5:5" ht="33" customHeight="1">
      <c r="E190" s="43"/>
    </row>
    <row r="191" spans="5:5" ht="33" customHeight="1">
      <c r="E191" s="43"/>
    </row>
    <row r="192" spans="5:5" ht="33" customHeight="1">
      <c r="E192" s="43"/>
    </row>
    <row r="193" spans="5:5" ht="33" customHeight="1">
      <c r="E193" s="43"/>
    </row>
    <row r="194" spans="5:5" ht="33" customHeight="1">
      <c r="E194" s="43"/>
    </row>
    <row r="195" spans="5:5" ht="33" customHeight="1">
      <c r="E195" s="43"/>
    </row>
    <row r="196" spans="5:5" ht="33" customHeight="1">
      <c r="E196" s="43"/>
    </row>
    <row r="197" spans="5:5" ht="33" customHeight="1">
      <c r="E197" s="43"/>
    </row>
    <row r="198" spans="5:5" ht="33" customHeight="1">
      <c r="E198" s="43"/>
    </row>
    <row r="199" spans="5:5" ht="33" customHeight="1">
      <c r="E199" s="43"/>
    </row>
    <row r="200" spans="5:5" ht="33" customHeight="1">
      <c r="E200" s="43"/>
    </row>
    <row r="201" spans="5:5" ht="33" customHeight="1">
      <c r="E201" s="43"/>
    </row>
    <row r="202" spans="5:5" ht="33" customHeight="1">
      <c r="E202" s="43"/>
    </row>
    <row r="203" spans="5:5" ht="33" customHeight="1">
      <c r="E203" s="43"/>
    </row>
    <row r="204" spans="5:5" ht="33" customHeight="1">
      <c r="E204" s="43"/>
    </row>
    <row r="205" spans="5:5" ht="33" customHeight="1">
      <c r="E205" s="43"/>
    </row>
    <row r="206" spans="5:5" ht="33" customHeight="1">
      <c r="E206" s="43"/>
    </row>
    <row r="207" spans="5:5" ht="33" customHeight="1">
      <c r="E207" s="43"/>
    </row>
    <row r="208" spans="5:5" ht="33" customHeight="1">
      <c r="E208" s="43"/>
    </row>
    <row r="209" spans="5:5" ht="33" customHeight="1">
      <c r="E209" s="43"/>
    </row>
    <row r="210" spans="5:5" ht="33" customHeight="1">
      <c r="E210" s="43"/>
    </row>
    <row r="211" spans="5:5" ht="33" customHeight="1">
      <c r="E211" s="43"/>
    </row>
    <row r="212" spans="5:5" ht="33" customHeight="1">
      <c r="E212" s="43"/>
    </row>
    <row r="213" spans="5:5" ht="33" customHeight="1">
      <c r="E213" s="43"/>
    </row>
    <row r="214" spans="5:5" ht="33" customHeight="1">
      <c r="E214" s="43"/>
    </row>
    <row r="215" spans="5:5" ht="33" customHeight="1">
      <c r="E215" s="43"/>
    </row>
    <row r="216" spans="5:5" ht="33" customHeight="1">
      <c r="E216" s="43"/>
    </row>
    <row r="217" spans="5:5" ht="33" customHeight="1">
      <c r="E217" s="43"/>
    </row>
    <row r="218" spans="5:5" ht="33" customHeight="1">
      <c r="E218" s="43"/>
    </row>
    <row r="219" spans="5:5" ht="33" customHeight="1">
      <c r="E219" s="43"/>
    </row>
    <row r="220" spans="5:5" ht="33" customHeight="1">
      <c r="E220" s="43"/>
    </row>
    <row r="221" spans="5:5" ht="33" customHeight="1">
      <c r="E221" s="43"/>
    </row>
    <row r="222" spans="5:5" ht="33" customHeight="1">
      <c r="E222" s="43"/>
    </row>
    <row r="223" spans="5:5" ht="33" customHeight="1">
      <c r="E223" s="43"/>
    </row>
    <row r="224" spans="5:5" ht="33" customHeight="1">
      <c r="E224" s="43"/>
    </row>
    <row r="225" spans="5:5" ht="33" customHeight="1">
      <c r="E225" s="43"/>
    </row>
    <row r="226" spans="5:5" ht="33" customHeight="1">
      <c r="E226" s="43"/>
    </row>
    <row r="227" spans="5:5" ht="33" customHeight="1">
      <c r="E227" s="43"/>
    </row>
    <row r="228" spans="5:5" ht="33" customHeight="1">
      <c r="E228" s="43"/>
    </row>
    <row r="229" spans="5:5" ht="33" customHeight="1">
      <c r="E229" s="43"/>
    </row>
    <row r="230" spans="5:5" ht="33" customHeight="1">
      <c r="E230" s="43"/>
    </row>
    <row r="231" spans="5:5" ht="33" customHeight="1">
      <c r="E231" s="43"/>
    </row>
    <row r="232" spans="5:5" ht="33" customHeight="1">
      <c r="E232" s="43"/>
    </row>
    <row r="233" spans="5:5" ht="33" customHeight="1">
      <c r="E233" s="43"/>
    </row>
    <row r="234" spans="5:5" ht="33" customHeight="1">
      <c r="E234" s="43"/>
    </row>
    <row r="235" spans="5:5" ht="33" customHeight="1">
      <c r="E235" s="43"/>
    </row>
    <row r="236" spans="5:5" ht="33" customHeight="1">
      <c r="E236" s="43"/>
    </row>
    <row r="237" spans="5:5" ht="33" customHeight="1">
      <c r="E237" s="43"/>
    </row>
    <row r="238" spans="5:5" ht="33" customHeight="1">
      <c r="E238" s="43"/>
    </row>
    <row r="239" spans="5:5" ht="33" customHeight="1">
      <c r="E239" s="43"/>
    </row>
    <row r="240" spans="5:5" ht="33" customHeight="1">
      <c r="E240" s="43"/>
    </row>
    <row r="241" spans="5:5" ht="33" customHeight="1">
      <c r="E241" s="43"/>
    </row>
    <row r="242" spans="5:5" ht="33" customHeight="1">
      <c r="E242" s="43"/>
    </row>
    <row r="243" spans="5:5" ht="33" customHeight="1">
      <c r="E243" s="43"/>
    </row>
    <row r="244" spans="5:5" ht="33" customHeight="1">
      <c r="E244" s="43"/>
    </row>
    <row r="245" spans="5:5" ht="33" customHeight="1">
      <c r="E245" s="43"/>
    </row>
    <row r="246" spans="5:5" ht="33" customHeight="1">
      <c r="E246" s="43"/>
    </row>
    <row r="247" spans="5:5" ht="33" customHeight="1">
      <c r="E247" s="43"/>
    </row>
    <row r="248" spans="5:5" ht="33" customHeight="1">
      <c r="E248" s="43"/>
    </row>
    <row r="249" spans="5:5" ht="33" customHeight="1">
      <c r="E249" s="43"/>
    </row>
    <row r="250" spans="5:5" ht="33" customHeight="1">
      <c r="E250" s="43"/>
    </row>
    <row r="251" spans="5:5" ht="33" customHeight="1">
      <c r="E251" s="43"/>
    </row>
    <row r="252" spans="5:5" ht="33" customHeight="1">
      <c r="E252" s="43"/>
    </row>
    <row r="253" spans="5:5" ht="33" customHeight="1">
      <c r="E253" s="43"/>
    </row>
    <row r="254" spans="5:5" ht="33" customHeight="1">
      <c r="E254" s="43"/>
    </row>
    <row r="255" spans="5:5" ht="33" customHeight="1">
      <c r="E255" s="43"/>
    </row>
    <row r="256" spans="5:5" ht="33" customHeight="1">
      <c r="E256" s="43"/>
    </row>
    <row r="257" spans="5:5" ht="33" customHeight="1">
      <c r="E257" s="43"/>
    </row>
    <row r="258" spans="5:5" ht="33" customHeight="1">
      <c r="E258" s="43"/>
    </row>
    <row r="259" spans="5:5" ht="33" customHeight="1">
      <c r="E259" s="43"/>
    </row>
    <row r="260" spans="5:5" ht="33" customHeight="1">
      <c r="E260" s="43"/>
    </row>
    <row r="261" spans="5:5" ht="33" customHeight="1">
      <c r="E261" s="43"/>
    </row>
    <row r="262" spans="5:5" ht="33" customHeight="1">
      <c r="E262" s="43"/>
    </row>
    <row r="263" spans="5:5" ht="33" customHeight="1">
      <c r="E263" s="43"/>
    </row>
    <row r="264" spans="5:5" ht="33" customHeight="1">
      <c r="E264" s="43"/>
    </row>
    <row r="265" spans="5:5" ht="33" customHeight="1">
      <c r="E265" s="43"/>
    </row>
    <row r="266" spans="5:5" ht="33" customHeight="1">
      <c r="E266" s="43"/>
    </row>
    <row r="267" spans="5:5" ht="33" customHeight="1">
      <c r="E267" s="43"/>
    </row>
    <row r="268" spans="5:5" ht="33" customHeight="1">
      <c r="E268" s="43"/>
    </row>
    <row r="269" spans="5:5" ht="33" customHeight="1">
      <c r="E269" s="43"/>
    </row>
    <row r="270" spans="5:5" ht="33" customHeight="1">
      <c r="E270" s="43"/>
    </row>
    <row r="271" spans="5:5" ht="33" customHeight="1">
      <c r="E271" s="43"/>
    </row>
    <row r="272" spans="5:5" ht="33" customHeight="1">
      <c r="E272" s="43"/>
    </row>
    <row r="273" spans="5:5" ht="33" customHeight="1">
      <c r="E273" s="43"/>
    </row>
    <row r="274" spans="5:5" ht="33" customHeight="1">
      <c r="E274" s="43"/>
    </row>
    <row r="275" spans="5:5" ht="33" customHeight="1">
      <c r="E275" s="43"/>
    </row>
    <row r="276" spans="5:5" ht="33" customHeight="1">
      <c r="E276" s="43"/>
    </row>
    <row r="277" spans="5:5" ht="33" customHeight="1">
      <c r="E277" s="43"/>
    </row>
    <row r="278" spans="5:5" ht="33" customHeight="1">
      <c r="E278" s="43"/>
    </row>
    <row r="279" spans="5:5" ht="33" customHeight="1">
      <c r="E279" s="43"/>
    </row>
    <row r="280" spans="5:5" ht="33" customHeight="1">
      <c r="E280" s="43"/>
    </row>
    <row r="281" spans="5:5" ht="33" customHeight="1">
      <c r="E281" s="43"/>
    </row>
    <row r="282" spans="5:5" ht="33" customHeight="1">
      <c r="E282" s="43"/>
    </row>
    <row r="283" spans="5:5" ht="33" customHeight="1">
      <c r="E283" s="43"/>
    </row>
    <row r="284" spans="5:5" ht="33" customHeight="1">
      <c r="E284" s="43"/>
    </row>
    <row r="285" spans="5:5" ht="33" customHeight="1">
      <c r="E285" s="43"/>
    </row>
    <row r="286" spans="5:5" ht="33" customHeight="1">
      <c r="E286" s="43"/>
    </row>
    <row r="287" spans="5:5" ht="33" customHeight="1">
      <c r="E287" s="43"/>
    </row>
    <row r="288" spans="5:5" ht="33" customHeight="1">
      <c r="E288" s="43"/>
    </row>
    <row r="289" spans="5:5" ht="33" customHeight="1">
      <c r="E289" s="43"/>
    </row>
    <row r="290" spans="5:5" ht="33" customHeight="1">
      <c r="E290" s="43"/>
    </row>
    <row r="291" spans="5:5" ht="33" customHeight="1">
      <c r="E291" s="43"/>
    </row>
    <row r="292" spans="5:5" ht="33" customHeight="1">
      <c r="E292" s="43"/>
    </row>
    <row r="293" spans="5:5" ht="33" customHeight="1">
      <c r="E293" s="43"/>
    </row>
    <row r="294" spans="5:5" ht="33" customHeight="1">
      <c r="E294" s="43"/>
    </row>
    <row r="295" spans="5:5" ht="33" customHeight="1">
      <c r="E295" s="43"/>
    </row>
    <row r="296" spans="5:5" ht="33" customHeight="1">
      <c r="E296" s="43"/>
    </row>
    <row r="297" spans="5:5" ht="33" customHeight="1">
      <c r="E297" s="43"/>
    </row>
    <row r="298" spans="5:5" ht="33" customHeight="1">
      <c r="E298" s="43"/>
    </row>
    <row r="299" spans="5:5" ht="33" customHeight="1">
      <c r="E299" s="43"/>
    </row>
    <row r="300" spans="5:5" ht="33" customHeight="1">
      <c r="E300" s="43"/>
    </row>
    <row r="301" spans="5:5" ht="33" customHeight="1">
      <c r="E301" s="43"/>
    </row>
    <row r="302" spans="5:5" ht="33" customHeight="1">
      <c r="E302" s="43"/>
    </row>
    <row r="303" spans="5:5" ht="33" customHeight="1">
      <c r="E303" s="43"/>
    </row>
    <row r="304" spans="5:5" ht="33" customHeight="1">
      <c r="E304" s="43"/>
    </row>
    <row r="305" spans="5:5" ht="33" customHeight="1">
      <c r="E305" s="43"/>
    </row>
    <row r="306" spans="5:5" ht="33" customHeight="1">
      <c r="E306" s="43"/>
    </row>
    <row r="307" spans="5:5" ht="33" customHeight="1">
      <c r="E307" s="43"/>
    </row>
    <row r="308" spans="5:5" ht="33" customHeight="1">
      <c r="E308" s="43"/>
    </row>
    <row r="309" spans="5:5" ht="33" customHeight="1">
      <c r="E309" s="43"/>
    </row>
    <row r="310" spans="5:5" ht="33" customHeight="1">
      <c r="E310" s="43"/>
    </row>
    <row r="311" spans="5:5" ht="33" customHeight="1">
      <c r="E311" s="43"/>
    </row>
    <row r="312" spans="5:5" ht="33" customHeight="1">
      <c r="E312" s="43"/>
    </row>
    <row r="313" spans="5:5" ht="33" customHeight="1">
      <c r="E313" s="43"/>
    </row>
    <row r="314" spans="5:5" ht="33" customHeight="1">
      <c r="E314" s="43"/>
    </row>
    <row r="315" spans="5:5" ht="33" customHeight="1">
      <c r="E315" s="43"/>
    </row>
    <row r="316" spans="5:5" ht="33" customHeight="1">
      <c r="E316" s="43"/>
    </row>
    <row r="317" spans="5:5" ht="33" customHeight="1">
      <c r="E317" s="43"/>
    </row>
    <row r="318" spans="5:5" ht="33" customHeight="1">
      <c r="E318" s="43"/>
    </row>
    <row r="319" spans="5:5" ht="33" customHeight="1">
      <c r="E319" s="43"/>
    </row>
    <row r="320" spans="5:5" ht="33" customHeight="1">
      <c r="E320" s="43"/>
    </row>
    <row r="321" spans="5:5" ht="33" customHeight="1">
      <c r="E321" s="43"/>
    </row>
    <row r="322" spans="5:5" ht="33" customHeight="1">
      <c r="E322" s="43"/>
    </row>
    <row r="323" spans="5:5" ht="33" customHeight="1">
      <c r="E323" s="43"/>
    </row>
    <row r="324" spans="5:5" ht="33" customHeight="1">
      <c r="E324" s="43"/>
    </row>
    <row r="325" spans="5:5" ht="33" customHeight="1">
      <c r="E325" s="43"/>
    </row>
    <row r="326" spans="5:5" ht="33" customHeight="1">
      <c r="E326" s="43"/>
    </row>
    <row r="327" spans="5:5" ht="33" customHeight="1">
      <c r="E327" s="43"/>
    </row>
    <row r="328" spans="5:5" ht="33" customHeight="1">
      <c r="E328" s="43"/>
    </row>
    <row r="329" spans="5:5" ht="33" customHeight="1">
      <c r="E329" s="43"/>
    </row>
    <row r="330" spans="5:5" ht="33" customHeight="1">
      <c r="E330" s="43"/>
    </row>
    <row r="331" spans="5:5" ht="33" customHeight="1">
      <c r="E331" s="43"/>
    </row>
    <row r="332" spans="5:5" ht="33" customHeight="1">
      <c r="E332" s="43"/>
    </row>
    <row r="333" spans="5:5" ht="33" customHeight="1">
      <c r="E333" s="43"/>
    </row>
    <row r="334" spans="5:5" ht="33" customHeight="1">
      <c r="E334" s="43"/>
    </row>
    <row r="335" spans="5:5" ht="33" customHeight="1">
      <c r="E335" s="43"/>
    </row>
    <row r="336" spans="5:5" ht="33" customHeight="1">
      <c r="E336" s="43"/>
    </row>
    <row r="337" spans="5:5" ht="33" customHeight="1">
      <c r="E337" s="43"/>
    </row>
    <row r="338" spans="5:5" ht="33" customHeight="1">
      <c r="E338" s="43"/>
    </row>
    <row r="339" spans="5:5" ht="33" customHeight="1">
      <c r="E339" s="43"/>
    </row>
    <row r="340" spans="5:5" ht="33" customHeight="1">
      <c r="E340" s="43"/>
    </row>
    <row r="341" spans="5:5" ht="33" customHeight="1">
      <c r="E341" s="43"/>
    </row>
    <row r="342" spans="5:5" ht="33" customHeight="1">
      <c r="E342" s="43"/>
    </row>
    <row r="343" spans="5:5" ht="33" customHeight="1">
      <c r="E343" s="43"/>
    </row>
    <row r="344" spans="5:5" ht="33" customHeight="1">
      <c r="E344" s="43"/>
    </row>
    <row r="345" spans="5:5" ht="33" customHeight="1">
      <c r="E345" s="43"/>
    </row>
    <row r="346" spans="5:5" ht="33" customHeight="1">
      <c r="E346" s="43"/>
    </row>
    <row r="347" spans="5:5" ht="33" customHeight="1">
      <c r="E347" s="43"/>
    </row>
    <row r="348" spans="5:5" ht="33" customHeight="1">
      <c r="E348" s="43"/>
    </row>
    <row r="349" spans="5:5" ht="33" customHeight="1">
      <c r="E349" s="43"/>
    </row>
    <row r="350" spans="5:5" ht="33" customHeight="1">
      <c r="E350" s="43"/>
    </row>
    <row r="351" spans="5:5" ht="33" customHeight="1">
      <c r="E351" s="43"/>
    </row>
    <row r="352" spans="5:5" ht="33" customHeight="1">
      <c r="E352" s="43"/>
    </row>
    <row r="353" spans="5:5" ht="33" customHeight="1">
      <c r="E353" s="43"/>
    </row>
    <row r="354" spans="5:5" ht="33" customHeight="1">
      <c r="E354" s="43"/>
    </row>
    <row r="355" spans="5:5" ht="33" customHeight="1">
      <c r="E355" s="43"/>
    </row>
    <row r="356" spans="5:5" ht="33" customHeight="1">
      <c r="E356" s="43"/>
    </row>
    <row r="357" spans="5:5" ht="33" customHeight="1">
      <c r="E357" s="43"/>
    </row>
    <row r="358" spans="5:5" ht="33" customHeight="1">
      <c r="E358" s="43"/>
    </row>
    <row r="359" spans="5:5" ht="33" customHeight="1">
      <c r="E359" s="43"/>
    </row>
    <row r="360" spans="5:5" ht="33" customHeight="1">
      <c r="E360" s="43"/>
    </row>
    <row r="361" spans="5:5" ht="33" customHeight="1">
      <c r="E361" s="43"/>
    </row>
    <row r="362" spans="5:5" ht="33" customHeight="1">
      <c r="E362" s="43"/>
    </row>
    <row r="363" spans="5:5" ht="33" customHeight="1">
      <c r="E363" s="43"/>
    </row>
    <row r="364" spans="5:5" ht="33" customHeight="1">
      <c r="E364" s="43"/>
    </row>
    <row r="365" spans="5:5" ht="33" customHeight="1">
      <c r="E365" s="43"/>
    </row>
    <row r="366" spans="5:5" ht="33" customHeight="1">
      <c r="E366" s="43"/>
    </row>
    <row r="367" spans="5:5" ht="33" customHeight="1">
      <c r="E367" s="43"/>
    </row>
    <row r="368" spans="5:5" ht="33" customHeight="1">
      <c r="E368" s="43"/>
    </row>
    <row r="369" spans="5:5" ht="33" customHeight="1">
      <c r="E369" s="43"/>
    </row>
    <row r="370" spans="5:5" ht="33" customHeight="1">
      <c r="E370" s="43"/>
    </row>
    <row r="371" spans="5:5" ht="33" customHeight="1">
      <c r="E371" s="43"/>
    </row>
    <row r="372" spans="5:5" ht="33" customHeight="1">
      <c r="E372" s="43"/>
    </row>
    <row r="373" spans="5:5" ht="33" customHeight="1">
      <c r="E373" s="43"/>
    </row>
    <row r="374" spans="5:5" ht="33" customHeight="1">
      <c r="E374" s="43"/>
    </row>
    <row r="375" spans="5:5" ht="33" customHeight="1">
      <c r="E375" s="43"/>
    </row>
    <row r="376" spans="5:5" ht="33" customHeight="1">
      <c r="E376" s="43"/>
    </row>
    <row r="377" spans="5:5" ht="33" customHeight="1">
      <c r="E377" s="43"/>
    </row>
    <row r="378" spans="5:5" ht="33" customHeight="1">
      <c r="E378" s="43"/>
    </row>
    <row r="379" spans="5:5" ht="33" customHeight="1">
      <c r="E379" s="43"/>
    </row>
    <row r="380" spans="5:5" ht="33" customHeight="1">
      <c r="E380" s="43"/>
    </row>
    <row r="381" spans="5:5" ht="33" customHeight="1">
      <c r="E381" s="43"/>
    </row>
    <row r="382" spans="5:5" ht="33" customHeight="1">
      <c r="E382" s="43"/>
    </row>
    <row r="383" spans="5:5" ht="33" customHeight="1">
      <c r="E383" s="43"/>
    </row>
    <row r="384" spans="5:5" ht="33" customHeight="1">
      <c r="E384" s="43"/>
    </row>
    <row r="385" spans="5:5" ht="33" customHeight="1">
      <c r="E385" s="43"/>
    </row>
    <row r="386" spans="5:5" ht="33" customHeight="1">
      <c r="E386" s="43"/>
    </row>
    <row r="387" spans="5:5" ht="33" customHeight="1">
      <c r="E387" s="43"/>
    </row>
    <row r="388" spans="5:5" ht="33" customHeight="1">
      <c r="E388" s="43"/>
    </row>
    <row r="389" spans="5:5" ht="33" customHeight="1">
      <c r="E389" s="43"/>
    </row>
    <row r="390" spans="5:5" ht="33" customHeight="1">
      <c r="E390" s="43"/>
    </row>
    <row r="391" spans="5:5" ht="33" customHeight="1">
      <c r="E391" s="43"/>
    </row>
    <row r="392" spans="5:5" ht="33" customHeight="1">
      <c r="E392" s="43"/>
    </row>
    <row r="393" spans="5:5" ht="33" customHeight="1">
      <c r="E393" s="43"/>
    </row>
    <row r="394" spans="5:5" ht="33" customHeight="1">
      <c r="E394" s="43"/>
    </row>
    <row r="395" spans="5:5" ht="33" customHeight="1">
      <c r="E395" s="43"/>
    </row>
    <row r="396" spans="5:5" ht="33" customHeight="1">
      <c r="E396" s="43"/>
    </row>
    <row r="397" spans="5:5" ht="33" customHeight="1">
      <c r="E397" s="43"/>
    </row>
    <row r="398" spans="5:5" ht="33" customHeight="1">
      <c r="E398" s="43"/>
    </row>
    <row r="399" spans="5:5" ht="33" customHeight="1">
      <c r="E399" s="43"/>
    </row>
    <row r="400" spans="5:5" ht="33" customHeight="1">
      <c r="E400" s="43"/>
    </row>
    <row r="401" spans="5:5" ht="33" customHeight="1">
      <c r="E401" s="43"/>
    </row>
    <row r="402" spans="5:5" ht="33" customHeight="1">
      <c r="E402" s="43"/>
    </row>
    <row r="403" spans="5:5" ht="33" customHeight="1">
      <c r="E403" s="43"/>
    </row>
    <row r="404" spans="5:5" ht="33" customHeight="1">
      <c r="E404" s="43"/>
    </row>
    <row r="405" spans="5:5" ht="33" customHeight="1">
      <c r="E405" s="43"/>
    </row>
    <row r="406" spans="5:5" ht="33" customHeight="1">
      <c r="E406" s="43"/>
    </row>
    <row r="407" spans="5:5" ht="33" customHeight="1">
      <c r="E407" s="43"/>
    </row>
    <row r="408" spans="5:5" ht="33" customHeight="1">
      <c r="E408" s="43"/>
    </row>
    <row r="409" spans="5:5" ht="33" customHeight="1">
      <c r="E409" s="43"/>
    </row>
    <row r="410" spans="5:5" ht="33" customHeight="1">
      <c r="E410" s="43"/>
    </row>
    <row r="411" spans="5:5" ht="33" customHeight="1">
      <c r="E411" s="43"/>
    </row>
    <row r="412" spans="5:5" ht="33" customHeight="1">
      <c r="E412" s="43"/>
    </row>
    <row r="413" spans="5:5" ht="33" customHeight="1">
      <c r="E413" s="43"/>
    </row>
    <row r="414" spans="5:5" ht="33" customHeight="1">
      <c r="E414" s="43"/>
    </row>
    <row r="415" spans="5:5" ht="33" customHeight="1">
      <c r="E415" s="43"/>
    </row>
    <row r="416" spans="5:5" ht="33" customHeight="1">
      <c r="E416" s="43"/>
    </row>
    <row r="417" spans="5:5" ht="33" customHeight="1">
      <c r="E417" s="43"/>
    </row>
    <row r="418" spans="5:5" ht="33" customHeight="1">
      <c r="E418" s="43"/>
    </row>
    <row r="419" spans="5:5" ht="33" customHeight="1">
      <c r="E419" s="43"/>
    </row>
    <row r="420" spans="5:5" ht="33" customHeight="1">
      <c r="E420" s="43"/>
    </row>
    <row r="421" spans="5:5" ht="33" customHeight="1">
      <c r="E421" s="43"/>
    </row>
    <row r="422" spans="5:5" ht="33" customHeight="1">
      <c r="E422" s="43"/>
    </row>
    <row r="423" spans="5:5" ht="33" customHeight="1">
      <c r="E423" s="43"/>
    </row>
    <row r="424" spans="5:5" ht="33" customHeight="1">
      <c r="E424" s="43"/>
    </row>
    <row r="425" spans="5:5" ht="33" customHeight="1">
      <c r="E425" s="43"/>
    </row>
    <row r="426" spans="5:5" ht="33" customHeight="1">
      <c r="E426" s="43"/>
    </row>
    <row r="427" spans="5:5" ht="33" customHeight="1">
      <c r="E427" s="43"/>
    </row>
    <row r="428" spans="5:5" ht="33" customHeight="1">
      <c r="E428" s="43"/>
    </row>
    <row r="429" spans="5:5" ht="33" customHeight="1">
      <c r="E429" s="43"/>
    </row>
    <row r="430" spans="5:5" ht="33" customHeight="1">
      <c r="E430" s="43"/>
    </row>
    <row r="431" spans="5:5" ht="33" customHeight="1">
      <c r="E431" s="43"/>
    </row>
    <row r="432" spans="5:5" ht="33" customHeight="1">
      <c r="E432" s="43"/>
    </row>
    <row r="433" spans="5:5" ht="33" customHeight="1">
      <c r="E433" s="43"/>
    </row>
    <row r="434" spans="5:5" ht="33" customHeight="1">
      <c r="E434" s="43"/>
    </row>
    <row r="435" spans="5:5" ht="33" customHeight="1">
      <c r="E435" s="43"/>
    </row>
    <row r="436" spans="5:5" ht="33" customHeight="1">
      <c r="E436" s="43"/>
    </row>
    <row r="437" spans="5:5" ht="33" customHeight="1">
      <c r="E437" s="43"/>
    </row>
    <row r="438" spans="5:5" ht="33" customHeight="1">
      <c r="E438" s="43"/>
    </row>
    <row r="439" spans="5:5" ht="33" customHeight="1">
      <c r="E439" s="43"/>
    </row>
    <row r="440" spans="5:5" ht="33" customHeight="1">
      <c r="E440" s="43"/>
    </row>
    <row r="441" spans="5:5" ht="33" customHeight="1">
      <c r="E441" s="43"/>
    </row>
    <row r="442" spans="5:5" ht="33" customHeight="1">
      <c r="E442" s="43"/>
    </row>
    <row r="443" spans="5:5" ht="33" customHeight="1">
      <c r="E443" s="43"/>
    </row>
    <row r="444" spans="5:5" ht="33" customHeight="1">
      <c r="E444" s="43"/>
    </row>
    <row r="445" spans="5:5" ht="33" customHeight="1">
      <c r="E445" s="43"/>
    </row>
    <row r="446" spans="5:5" ht="33" customHeight="1">
      <c r="E446" s="43"/>
    </row>
    <row r="447" spans="5:5" ht="33" customHeight="1">
      <c r="E447" s="43"/>
    </row>
    <row r="448" spans="5:5" ht="33" customHeight="1">
      <c r="E448" s="43"/>
    </row>
    <row r="449" spans="5:5" ht="33" customHeight="1">
      <c r="E449" s="43"/>
    </row>
    <row r="450" spans="5:5" ht="33" customHeight="1">
      <c r="E450" s="43"/>
    </row>
    <row r="451" spans="5:5" ht="33" customHeight="1">
      <c r="E451" s="43"/>
    </row>
    <row r="452" spans="5:5" ht="33" customHeight="1">
      <c r="E452" s="43"/>
    </row>
    <row r="453" spans="5:5" ht="33" customHeight="1">
      <c r="E453" s="43"/>
    </row>
    <row r="454" spans="5:5" ht="33" customHeight="1">
      <c r="E454" s="43"/>
    </row>
    <row r="455" spans="5:5" ht="33" customHeight="1">
      <c r="E455" s="43"/>
    </row>
    <row r="456" spans="5:5" ht="33" customHeight="1">
      <c r="E456" s="43"/>
    </row>
    <row r="457" spans="5:5" ht="33" customHeight="1">
      <c r="E457" s="43"/>
    </row>
    <row r="458" spans="5:5" ht="33" customHeight="1">
      <c r="E458" s="43"/>
    </row>
    <row r="459" spans="5:5" ht="33" customHeight="1">
      <c r="E459" s="43"/>
    </row>
    <row r="460" spans="5:5" ht="33" customHeight="1">
      <c r="E460" s="43"/>
    </row>
    <row r="461" spans="5:5" ht="33" customHeight="1">
      <c r="E461" s="43"/>
    </row>
    <row r="462" spans="5:5" ht="33" customHeight="1">
      <c r="E462" s="43"/>
    </row>
    <row r="463" spans="5:5" ht="33" customHeight="1">
      <c r="E463" s="43"/>
    </row>
    <row r="464" spans="5:5" ht="33" customHeight="1">
      <c r="E464" s="43"/>
    </row>
    <row r="465" spans="5:5" ht="33" customHeight="1">
      <c r="E465" s="43"/>
    </row>
    <row r="466" spans="5:5" ht="33" customHeight="1">
      <c r="E466" s="43"/>
    </row>
    <row r="467" spans="5:5" ht="33" customHeight="1">
      <c r="E467" s="43"/>
    </row>
    <row r="468" spans="5:5" ht="33" customHeight="1">
      <c r="E468" s="43"/>
    </row>
    <row r="469" spans="5:5" ht="33" customHeight="1">
      <c r="E469" s="43"/>
    </row>
    <row r="470" spans="5:5" ht="33" customHeight="1">
      <c r="E470" s="43"/>
    </row>
    <row r="471" spans="5:5" ht="33" customHeight="1">
      <c r="E471" s="43"/>
    </row>
    <row r="472" spans="5:5" ht="33" customHeight="1">
      <c r="E472" s="43"/>
    </row>
    <row r="473" spans="5:5" ht="33" customHeight="1">
      <c r="E473" s="43"/>
    </row>
    <row r="474" spans="5:5" ht="33" customHeight="1">
      <c r="E474" s="43"/>
    </row>
    <row r="475" spans="5:5" ht="33" customHeight="1">
      <c r="E475" s="43"/>
    </row>
    <row r="476" spans="5:5" ht="33" customHeight="1">
      <c r="E476" s="43"/>
    </row>
    <row r="477" spans="5:5" ht="33" customHeight="1">
      <c r="E477" s="43"/>
    </row>
    <row r="478" spans="5:5" ht="33" customHeight="1">
      <c r="E478" s="43"/>
    </row>
    <row r="479" spans="5:5" ht="33" customHeight="1">
      <c r="E479" s="43"/>
    </row>
    <row r="480" spans="5:5" ht="33" customHeight="1">
      <c r="E480" s="43"/>
    </row>
    <row r="481" spans="5:5" ht="33" customHeight="1">
      <c r="E481" s="43"/>
    </row>
    <row r="482" spans="5:5" ht="33" customHeight="1">
      <c r="E482" s="43"/>
    </row>
    <row r="483" spans="5:5" ht="33" customHeight="1">
      <c r="E483" s="43"/>
    </row>
    <row r="484" spans="5:5" ht="33" customHeight="1">
      <c r="E484" s="43"/>
    </row>
    <row r="485" spans="5:5" ht="33" customHeight="1">
      <c r="E485" s="43"/>
    </row>
    <row r="486" spans="5:5" ht="33" customHeight="1">
      <c r="E486" s="43"/>
    </row>
    <row r="487" spans="5:5" ht="33" customHeight="1">
      <c r="E487" s="43"/>
    </row>
    <row r="488" spans="5:5" ht="33" customHeight="1">
      <c r="E488" s="43"/>
    </row>
    <row r="489" spans="5:5" ht="33" customHeight="1">
      <c r="E489" s="43"/>
    </row>
    <row r="490" spans="5:5" ht="33" customHeight="1">
      <c r="E490" s="43"/>
    </row>
    <row r="491" spans="5:5" ht="33" customHeight="1">
      <c r="E491" s="43"/>
    </row>
    <row r="492" spans="5:5" ht="33" customHeight="1">
      <c r="E492" s="43"/>
    </row>
    <row r="493" spans="5:5" ht="33" customHeight="1">
      <c r="E493" s="43"/>
    </row>
    <row r="494" spans="5:5" ht="33" customHeight="1">
      <c r="E494" s="43"/>
    </row>
    <row r="495" spans="5:5" ht="33" customHeight="1">
      <c r="E495" s="43"/>
    </row>
    <row r="496" spans="5:5" ht="33" customHeight="1">
      <c r="E496" s="43"/>
    </row>
    <row r="497" spans="5:5" ht="33" customHeight="1">
      <c r="E497" s="43"/>
    </row>
    <row r="498" spans="5:5" ht="33" customHeight="1">
      <c r="E498" s="43"/>
    </row>
    <row r="499" spans="5:5" ht="33" customHeight="1">
      <c r="E499" s="43"/>
    </row>
    <row r="500" spans="5:5" ht="33" customHeight="1">
      <c r="E500" s="43"/>
    </row>
    <row r="501" spans="5:5" ht="33" customHeight="1">
      <c r="E501" s="43"/>
    </row>
    <row r="502" spans="5:5" ht="33" customHeight="1">
      <c r="E502" s="43"/>
    </row>
    <row r="503" spans="5:5" ht="33" customHeight="1">
      <c r="E503" s="43"/>
    </row>
    <row r="504" spans="5:5" ht="33" customHeight="1">
      <c r="E504" s="43"/>
    </row>
    <row r="505" spans="5:5" ht="33" customHeight="1">
      <c r="E505" s="43"/>
    </row>
    <row r="506" spans="5:5" ht="33" customHeight="1">
      <c r="E506" s="43"/>
    </row>
    <row r="507" spans="5:5" ht="33" customHeight="1">
      <c r="E507" s="43"/>
    </row>
    <row r="508" spans="5:5" ht="33" customHeight="1">
      <c r="E508" s="43"/>
    </row>
    <row r="509" spans="5:5" ht="33" customHeight="1">
      <c r="E509" s="43"/>
    </row>
    <row r="510" spans="5:5" ht="33" customHeight="1">
      <c r="E510" s="43"/>
    </row>
    <row r="511" spans="5:5" ht="33" customHeight="1">
      <c r="E511" s="43"/>
    </row>
    <row r="512" spans="5:5" ht="33" customHeight="1">
      <c r="E512" s="43"/>
    </row>
    <row r="513" spans="5:5" ht="33" customHeight="1">
      <c r="E513" s="43"/>
    </row>
    <row r="514" spans="5:5" ht="33" customHeight="1">
      <c r="E514" s="43"/>
    </row>
    <row r="515" spans="5:5" ht="33" customHeight="1">
      <c r="E515" s="43"/>
    </row>
    <row r="516" spans="5:5" ht="33" customHeight="1">
      <c r="E516" s="43"/>
    </row>
    <row r="517" spans="5:5" ht="33" customHeight="1">
      <c r="E517" s="43"/>
    </row>
    <row r="518" spans="5:5" ht="33" customHeight="1">
      <c r="E518" s="43"/>
    </row>
    <row r="519" spans="5:5" ht="33" customHeight="1">
      <c r="E519" s="43"/>
    </row>
    <row r="520" spans="5:5" ht="33" customHeight="1">
      <c r="E520" s="43"/>
    </row>
    <row r="521" spans="5:5" ht="33" customHeight="1">
      <c r="E521" s="43"/>
    </row>
    <row r="522" spans="5:5" ht="33" customHeight="1">
      <c r="E522" s="43"/>
    </row>
    <row r="523" spans="5:5" ht="33" customHeight="1">
      <c r="E523" s="43"/>
    </row>
    <row r="524" spans="5:5" ht="33" customHeight="1">
      <c r="E524" s="43"/>
    </row>
    <row r="525" spans="5:5" ht="33" customHeight="1">
      <c r="E525" s="43"/>
    </row>
    <row r="526" spans="5:5" ht="33" customHeight="1">
      <c r="E526" s="43"/>
    </row>
    <row r="527" spans="5:5" ht="33" customHeight="1">
      <c r="E527" s="43"/>
    </row>
    <row r="528" spans="5:5" ht="33" customHeight="1">
      <c r="E528" s="43"/>
    </row>
    <row r="529" spans="5:5" ht="33" customHeight="1">
      <c r="E529" s="43"/>
    </row>
    <row r="530" spans="5:5" ht="33" customHeight="1">
      <c r="E530" s="43"/>
    </row>
    <row r="531" spans="5:5" ht="33" customHeight="1">
      <c r="E531" s="43"/>
    </row>
    <row r="532" spans="5:5" ht="33" customHeight="1">
      <c r="E532" s="43"/>
    </row>
    <row r="533" spans="5:5" ht="33" customHeight="1">
      <c r="E533" s="43"/>
    </row>
    <row r="534" spans="5:5" ht="33" customHeight="1">
      <c r="E534" s="43"/>
    </row>
    <row r="535" spans="5:5" ht="33" customHeight="1">
      <c r="E535" s="43"/>
    </row>
    <row r="536" spans="5:5" ht="33" customHeight="1">
      <c r="E536" s="43"/>
    </row>
    <row r="537" spans="5:5" ht="33" customHeight="1">
      <c r="E537" s="43"/>
    </row>
    <row r="538" spans="5:5" ht="33" customHeight="1">
      <c r="E538" s="43"/>
    </row>
    <row r="539" spans="5:5" ht="33" customHeight="1">
      <c r="E539" s="43"/>
    </row>
    <row r="540" spans="5:5" ht="33" customHeight="1">
      <c r="E540" s="43"/>
    </row>
    <row r="541" spans="5:5" ht="33" customHeight="1">
      <c r="E541" s="43"/>
    </row>
    <row r="542" spans="5:5" ht="33" customHeight="1">
      <c r="E542" s="43"/>
    </row>
    <row r="543" spans="5:5" ht="33" customHeight="1">
      <c r="E543" s="43"/>
    </row>
    <row r="544" spans="5:5" ht="33" customHeight="1">
      <c r="E544" s="43"/>
    </row>
    <row r="545" spans="5:5" ht="33" customHeight="1">
      <c r="E545" s="43"/>
    </row>
    <row r="546" spans="5:5" ht="33" customHeight="1">
      <c r="E546" s="43"/>
    </row>
    <row r="547" spans="5:5" ht="33" customHeight="1">
      <c r="E547" s="43"/>
    </row>
    <row r="548" spans="5:5" ht="33" customHeight="1">
      <c r="E548" s="43"/>
    </row>
    <row r="549" spans="5:5" ht="33" customHeight="1">
      <c r="E549" s="43"/>
    </row>
    <row r="550" spans="5:5" ht="33" customHeight="1">
      <c r="E550" s="43"/>
    </row>
    <row r="551" spans="5:5" ht="33" customHeight="1">
      <c r="E551" s="43"/>
    </row>
    <row r="552" spans="5:5" ht="33" customHeight="1">
      <c r="E552" s="43"/>
    </row>
    <row r="553" spans="5:5" ht="33" customHeight="1">
      <c r="E553" s="43"/>
    </row>
    <row r="554" spans="5:5" ht="33" customHeight="1">
      <c r="E554" s="43"/>
    </row>
    <row r="555" spans="5:5" ht="33" customHeight="1">
      <c r="E555" s="43"/>
    </row>
    <row r="556" spans="5:5" ht="33" customHeight="1">
      <c r="E556" s="43"/>
    </row>
    <row r="557" spans="5:5" ht="33" customHeight="1">
      <c r="E557" s="43"/>
    </row>
    <row r="558" spans="5:5" ht="33" customHeight="1">
      <c r="E558" s="43"/>
    </row>
    <row r="559" spans="5:5" ht="33" customHeight="1">
      <c r="E559" s="43"/>
    </row>
    <row r="560" spans="5:5" ht="33" customHeight="1">
      <c r="E560" s="43"/>
    </row>
    <row r="561" spans="5:5" ht="33" customHeight="1">
      <c r="E561" s="43"/>
    </row>
    <row r="562" spans="5:5" ht="33" customHeight="1">
      <c r="E562" s="43"/>
    </row>
    <row r="563" spans="5:5" ht="33" customHeight="1">
      <c r="E563" s="43"/>
    </row>
    <row r="564" spans="5:5" ht="33" customHeight="1">
      <c r="E564" s="43"/>
    </row>
    <row r="565" spans="5:5" ht="33" customHeight="1">
      <c r="E565" s="43"/>
    </row>
    <row r="566" spans="5:5" ht="33" customHeight="1">
      <c r="E566" s="43"/>
    </row>
    <row r="567" spans="5:5" ht="33" customHeight="1">
      <c r="E567" s="43"/>
    </row>
    <row r="568" spans="5:5" ht="33" customHeight="1">
      <c r="E568" s="43"/>
    </row>
    <row r="569" spans="5:5" ht="33" customHeight="1">
      <c r="E569" s="43"/>
    </row>
    <row r="570" spans="5:5" ht="33" customHeight="1">
      <c r="E570" s="43"/>
    </row>
    <row r="571" spans="5:5" ht="33" customHeight="1">
      <c r="E571" s="43"/>
    </row>
    <row r="572" spans="5:5" ht="33" customHeight="1">
      <c r="E572" s="43"/>
    </row>
    <row r="573" spans="5:5" ht="33" customHeight="1">
      <c r="E573" s="43"/>
    </row>
    <row r="574" spans="5:5" ht="33" customHeight="1">
      <c r="E574" s="43"/>
    </row>
    <row r="575" spans="5:5" ht="33" customHeight="1">
      <c r="E575" s="43"/>
    </row>
    <row r="576" spans="5:5" ht="33" customHeight="1">
      <c r="E576" s="43"/>
    </row>
    <row r="577" spans="5:5" ht="33" customHeight="1">
      <c r="E577" s="43"/>
    </row>
    <row r="578" spans="5:5" ht="33" customHeight="1">
      <c r="E578" s="43"/>
    </row>
    <row r="579" spans="5:5" ht="33" customHeight="1">
      <c r="E579" s="43"/>
    </row>
    <row r="580" spans="5:5" ht="33" customHeight="1">
      <c r="E580" s="43"/>
    </row>
    <row r="581" spans="5:5" ht="33" customHeight="1">
      <c r="E581" s="43"/>
    </row>
    <row r="582" spans="5:5" ht="33" customHeight="1">
      <c r="E582" s="43"/>
    </row>
    <row r="583" spans="5:5" ht="33" customHeight="1">
      <c r="E583" s="43"/>
    </row>
    <row r="584" spans="5:5" ht="33" customHeight="1">
      <c r="E584" s="43"/>
    </row>
    <row r="585" spans="5:5" ht="33" customHeight="1">
      <c r="E585" s="43"/>
    </row>
    <row r="586" spans="5:5" ht="33" customHeight="1">
      <c r="E586" s="43"/>
    </row>
    <row r="587" spans="5:5" ht="33" customHeight="1">
      <c r="E587" s="43"/>
    </row>
    <row r="588" spans="5:5" ht="33" customHeight="1">
      <c r="E588" s="43"/>
    </row>
    <row r="589" spans="5:5" ht="33" customHeight="1">
      <c r="E589" s="43"/>
    </row>
    <row r="590" spans="5:5" ht="33" customHeight="1">
      <c r="E590" s="43"/>
    </row>
    <row r="591" spans="5:5" ht="33" customHeight="1">
      <c r="E591" s="43"/>
    </row>
    <row r="592" spans="5:5" ht="33" customHeight="1">
      <c r="E592" s="43"/>
    </row>
    <row r="593" spans="5:5" ht="33" customHeight="1">
      <c r="E593" s="43"/>
    </row>
    <row r="594" spans="5:5" ht="33" customHeight="1">
      <c r="E594" s="43"/>
    </row>
    <row r="595" spans="5:5" ht="33" customHeight="1">
      <c r="E595" s="43"/>
    </row>
    <row r="596" spans="5:5" ht="33" customHeight="1">
      <c r="E596" s="43"/>
    </row>
    <row r="597" spans="5:5" ht="33" customHeight="1">
      <c r="E597" s="43"/>
    </row>
    <row r="598" spans="5:5" ht="33" customHeight="1">
      <c r="E598" s="43"/>
    </row>
    <row r="599" spans="5:5" ht="33" customHeight="1">
      <c r="E599" s="43"/>
    </row>
    <row r="600" spans="5:5" ht="33" customHeight="1">
      <c r="E600" s="43"/>
    </row>
    <row r="601" spans="5:5" ht="33" customHeight="1">
      <c r="E601" s="43"/>
    </row>
    <row r="602" spans="5:5" ht="33" customHeight="1">
      <c r="E602" s="43"/>
    </row>
    <row r="603" spans="5:5" ht="33" customHeight="1">
      <c r="E603" s="43"/>
    </row>
    <row r="604" spans="5:5" ht="33" customHeight="1">
      <c r="E604" s="43"/>
    </row>
    <row r="605" spans="5:5" ht="33" customHeight="1">
      <c r="E605" s="43"/>
    </row>
    <row r="606" spans="5:5" ht="33" customHeight="1">
      <c r="E606" s="43"/>
    </row>
    <row r="607" spans="5:5" ht="33" customHeight="1">
      <c r="E607" s="43"/>
    </row>
    <row r="608" spans="5:5" ht="33" customHeight="1">
      <c r="E608" s="43"/>
    </row>
    <row r="609" spans="5:5" ht="33" customHeight="1">
      <c r="E609" s="43"/>
    </row>
    <row r="610" spans="5:5" ht="33" customHeight="1">
      <c r="E610" s="43"/>
    </row>
    <row r="611" spans="5:5" ht="33" customHeight="1">
      <c r="E611" s="43"/>
    </row>
    <row r="612" spans="5:5" ht="33" customHeight="1">
      <c r="E612" s="43"/>
    </row>
    <row r="613" spans="5:5" ht="33" customHeight="1">
      <c r="E613" s="43"/>
    </row>
    <row r="614" spans="5:5" ht="33" customHeight="1">
      <c r="E614" s="43"/>
    </row>
    <row r="615" spans="5:5" ht="33" customHeight="1">
      <c r="E615" s="43"/>
    </row>
    <row r="616" spans="5:5" ht="33" customHeight="1">
      <c r="E616" s="43"/>
    </row>
    <row r="617" spans="5:5" ht="33" customHeight="1">
      <c r="E617" s="43"/>
    </row>
    <row r="618" spans="5:5" ht="33" customHeight="1">
      <c r="E618" s="43"/>
    </row>
    <row r="619" spans="5:5" ht="33" customHeight="1">
      <c r="E619" s="43"/>
    </row>
    <row r="620" spans="5:5" ht="33" customHeight="1">
      <c r="E620" s="43"/>
    </row>
    <row r="621" spans="5:5" ht="33" customHeight="1">
      <c r="E621" s="43"/>
    </row>
    <row r="622" spans="5:5" ht="33" customHeight="1">
      <c r="E622" s="43"/>
    </row>
    <row r="623" spans="5:5" ht="33" customHeight="1">
      <c r="E623" s="43"/>
    </row>
    <row r="624" spans="5:5" ht="33" customHeight="1">
      <c r="E624" s="43"/>
    </row>
    <row r="625" spans="5:5" ht="33" customHeight="1">
      <c r="E625" s="43"/>
    </row>
    <row r="626" spans="5:5" ht="33" customHeight="1">
      <c r="E626" s="43"/>
    </row>
    <row r="627" spans="5:5" ht="33" customHeight="1">
      <c r="E627" s="43"/>
    </row>
    <row r="628" spans="5:5" ht="33" customHeight="1">
      <c r="E628" s="43"/>
    </row>
    <row r="629" spans="5:5" ht="33" customHeight="1">
      <c r="E629" s="43"/>
    </row>
    <row r="630" spans="5:5" ht="33" customHeight="1">
      <c r="E630" s="43"/>
    </row>
    <row r="631" spans="5:5" ht="33" customHeight="1">
      <c r="E631" s="43"/>
    </row>
    <row r="632" spans="5:5" ht="33" customHeight="1">
      <c r="E632" s="43"/>
    </row>
    <row r="633" spans="5:5" ht="33" customHeight="1">
      <c r="E633" s="43"/>
    </row>
    <row r="634" spans="5:5" ht="33" customHeight="1">
      <c r="E634" s="43"/>
    </row>
    <row r="635" spans="5:5" ht="33" customHeight="1">
      <c r="E635" s="43"/>
    </row>
    <row r="636" spans="5:5" ht="33" customHeight="1">
      <c r="E636" s="43"/>
    </row>
    <row r="637" spans="5:5" ht="33" customHeight="1">
      <c r="E637" s="43"/>
    </row>
    <row r="638" spans="5:5" ht="33" customHeight="1">
      <c r="E638" s="43"/>
    </row>
    <row r="639" spans="5:5" ht="33" customHeight="1">
      <c r="E639" s="43"/>
    </row>
    <row r="640" spans="5:5" ht="33" customHeight="1">
      <c r="E640" s="43"/>
    </row>
    <row r="641" spans="5:5" ht="33" customHeight="1">
      <c r="E641" s="43"/>
    </row>
    <row r="642" spans="5:5" ht="33" customHeight="1">
      <c r="E642" s="43"/>
    </row>
    <row r="643" spans="5:5" ht="33" customHeight="1">
      <c r="E643" s="43"/>
    </row>
    <row r="644" spans="5:5" ht="33" customHeight="1">
      <c r="E644" s="43"/>
    </row>
    <row r="645" spans="5:5" ht="33" customHeight="1">
      <c r="E645" s="43"/>
    </row>
    <row r="646" spans="5:5" ht="33" customHeight="1">
      <c r="E646" s="43"/>
    </row>
    <row r="647" spans="5:5" ht="33" customHeight="1">
      <c r="E647" s="43"/>
    </row>
    <row r="648" spans="5:5" ht="33" customHeight="1">
      <c r="E648" s="43"/>
    </row>
    <row r="649" spans="5:5" ht="33" customHeight="1">
      <c r="E649" s="43"/>
    </row>
    <row r="650" spans="5:5" ht="33" customHeight="1">
      <c r="E650" s="43"/>
    </row>
    <row r="651" spans="5:5" ht="33" customHeight="1">
      <c r="E651" s="43"/>
    </row>
    <row r="652" spans="5:5" ht="33" customHeight="1">
      <c r="E652" s="43"/>
    </row>
    <row r="653" spans="5:5" ht="33" customHeight="1">
      <c r="E653" s="43"/>
    </row>
    <row r="654" spans="5:5" ht="33" customHeight="1">
      <c r="E654" s="43"/>
    </row>
    <row r="655" spans="5:5" ht="33" customHeight="1">
      <c r="E655" s="43"/>
    </row>
    <row r="656" spans="5:5" ht="33" customHeight="1">
      <c r="E656" s="43"/>
    </row>
    <row r="657" spans="5:5" ht="33" customHeight="1">
      <c r="E657" s="43"/>
    </row>
    <row r="658" spans="5:5" ht="33" customHeight="1">
      <c r="E658" s="43"/>
    </row>
    <row r="659" spans="5:5" ht="33" customHeight="1">
      <c r="E659" s="43"/>
    </row>
    <row r="660" spans="5:5" ht="33" customHeight="1">
      <c r="E660" s="43"/>
    </row>
    <row r="661" spans="5:5" ht="33" customHeight="1">
      <c r="E661" s="43"/>
    </row>
    <row r="662" spans="5:5" ht="33" customHeight="1">
      <c r="E662" s="43"/>
    </row>
    <row r="663" spans="5:5" ht="33" customHeight="1">
      <c r="E663" s="43"/>
    </row>
    <row r="664" spans="5:5" ht="33" customHeight="1">
      <c r="E664" s="43"/>
    </row>
    <row r="665" spans="5:5" ht="33" customHeight="1">
      <c r="E665" s="43"/>
    </row>
    <row r="666" spans="5:5" ht="33" customHeight="1">
      <c r="E666" s="43"/>
    </row>
    <row r="667" spans="5:5" ht="33" customHeight="1">
      <c r="E667" s="43"/>
    </row>
    <row r="668" spans="5:5" ht="33" customHeight="1">
      <c r="E668" s="43"/>
    </row>
    <row r="669" spans="5:5" ht="33" customHeight="1">
      <c r="E669" s="43"/>
    </row>
    <row r="670" spans="5:5" ht="33" customHeight="1">
      <c r="E670" s="43"/>
    </row>
    <row r="671" spans="5:5" ht="33" customHeight="1">
      <c r="E671" s="43"/>
    </row>
    <row r="672" spans="5:5" ht="33" customHeight="1">
      <c r="E672" s="43"/>
    </row>
    <row r="673" spans="5:5" ht="33" customHeight="1">
      <c r="E673" s="43"/>
    </row>
    <row r="674" spans="5:5" ht="33" customHeight="1">
      <c r="E674" s="43"/>
    </row>
    <row r="675" spans="5:5" ht="33" customHeight="1">
      <c r="E675" s="43"/>
    </row>
    <row r="676" spans="5:5" ht="33" customHeight="1">
      <c r="E676" s="43"/>
    </row>
    <row r="677" spans="5:5" ht="33" customHeight="1">
      <c r="E677" s="43"/>
    </row>
    <row r="678" spans="5:5" ht="33" customHeight="1">
      <c r="E678" s="43"/>
    </row>
    <row r="679" spans="5:5" ht="33" customHeight="1">
      <c r="E679" s="43"/>
    </row>
    <row r="680" spans="5:5" ht="33" customHeight="1">
      <c r="E680" s="43"/>
    </row>
    <row r="681" spans="5:5" ht="33" customHeight="1">
      <c r="E681" s="43"/>
    </row>
    <row r="682" spans="5:5" ht="33" customHeight="1">
      <c r="E682" s="43"/>
    </row>
    <row r="683" spans="5:5" ht="33" customHeight="1">
      <c r="E683" s="43"/>
    </row>
    <row r="684" spans="5:5" ht="33" customHeight="1">
      <c r="E684" s="43"/>
    </row>
    <row r="685" spans="5:5" ht="33" customHeight="1">
      <c r="E685" s="43"/>
    </row>
    <row r="686" spans="5:5" ht="33" customHeight="1">
      <c r="E686" s="43"/>
    </row>
    <row r="687" spans="5:5" ht="33" customHeight="1">
      <c r="E687" s="43"/>
    </row>
    <row r="688" spans="5:5" ht="33" customHeight="1">
      <c r="E688" s="43"/>
    </row>
    <row r="689" spans="5:5" ht="33" customHeight="1">
      <c r="E689" s="43"/>
    </row>
    <row r="690" spans="5:5" ht="33" customHeight="1">
      <c r="E690" s="43"/>
    </row>
    <row r="691" spans="5:5" ht="33" customHeight="1">
      <c r="E691" s="43"/>
    </row>
    <row r="692" spans="5:5" ht="33" customHeight="1">
      <c r="E692" s="43"/>
    </row>
    <row r="693" spans="5:5" ht="33" customHeight="1">
      <c r="E693" s="43"/>
    </row>
    <row r="694" spans="5:5" ht="33" customHeight="1">
      <c r="E694" s="43"/>
    </row>
    <row r="695" spans="5:5" ht="33" customHeight="1">
      <c r="E695" s="43"/>
    </row>
    <row r="696" spans="5:5" ht="33" customHeight="1">
      <c r="E696" s="43"/>
    </row>
    <row r="697" spans="5:5" ht="33" customHeight="1">
      <c r="E697" s="43"/>
    </row>
    <row r="698" spans="5:5" ht="33" customHeight="1">
      <c r="E698" s="43"/>
    </row>
    <row r="699" spans="5:5" ht="33" customHeight="1">
      <c r="E699" s="43"/>
    </row>
    <row r="700" spans="5:5" ht="33" customHeight="1">
      <c r="E700" s="43"/>
    </row>
    <row r="701" spans="5:5" ht="33" customHeight="1">
      <c r="E701" s="43"/>
    </row>
    <row r="702" spans="5:5" ht="33" customHeight="1">
      <c r="E702" s="43"/>
    </row>
    <row r="703" spans="5:5" ht="33" customHeight="1">
      <c r="E703" s="43"/>
    </row>
    <row r="704" spans="5:5" ht="33" customHeight="1">
      <c r="E704" s="43"/>
    </row>
    <row r="705" spans="5:5" ht="33" customHeight="1">
      <c r="E705" s="43"/>
    </row>
    <row r="706" spans="5:5" ht="33" customHeight="1">
      <c r="E706" s="43"/>
    </row>
    <row r="707" spans="5:5" ht="33" customHeight="1">
      <c r="E707" s="43"/>
    </row>
    <row r="708" spans="5:5" ht="33" customHeight="1">
      <c r="E708" s="43"/>
    </row>
    <row r="709" spans="5:5" ht="33" customHeight="1">
      <c r="E709" s="43"/>
    </row>
    <row r="710" spans="5:5" ht="33" customHeight="1">
      <c r="E710" s="43"/>
    </row>
    <row r="711" spans="5:5" ht="33" customHeight="1">
      <c r="E711" s="43"/>
    </row>
    <row r="712" spans="5:5" ht="33" customHeight="1">
      <c r="E712" s="43"/>
    </row>
    <row r="713" spans="5:5" ht="33" customHeight="1">
      <c r="E713" s="43"/>
    </row>
    <row r="714" spans="5:5" ht="33" customHeight="1">
      <c r="E714" s="43"/>
    </row>
    <row r="715" spans="5:5" ht="33" customHeight="1">
      <c r="E715" s="43"/>
    </row>
    <row r="716" spans="5:5" ht="33" customHeight="1">
      <c r="E716" s="43"/>
    </row>
    <row r="717" spans="5:5" ht="33" customHeight="1">
      <c r="E717" s="43"/>
    </row>
    <row r="718" spans="5:5" ht="33" customHeight="1">
      <c r="E718" s="43"/>
    </row>
    <row r="719" spans="5:5" ht="33" customHeight="1">
      <c r="E719" s="43"/>
    </row>
    <row r="720" spans="5:5" ht="33" customHeight="1">
      <c r="E720" s="43"/>
    </row>
    <row r="721" spans="5:5" ht="33" customHeight="1">
      <c r="E721" s="43"/>
    </row>
    <row r="722" spans="5:5" ht="33" customHeight="1">
      <c r="E722" s="43"/>
    </row>
    <row r="723" spans="5:5" ht="33" customHeight="1">
      <c r="E723" s="43"/>
    </row>
    <row r="724" spans="5:5" ht="33" customHeight="1">
      <c r="E724" s="43"/>
    </row>
    <row r="725" spans="5:5" ht="33" customHeight="1">
      <c r="E725" s="43"/>
    </row>
    <row r="726" spans="5:5" ht="33" customHeight="1">
      <c r="E726" s="43"/>
    </row>
    <row r="727" spans="5:5" ht="33" customHeight="1">
      <c r="E727" s="43"/>
    </row>
    <row r="728" spans="5:5" ht="33" customHeight="1">
      <c r="E728" s="43"/>
    </row>
    <row r="729" spans="5:5" ht="33" customHeight="1">
      <c r="E729" s="43"/>
    </row>
    <row r="730" spans="5:5" ht="33" customHeight="1">
      <c r="E730" s="43"/>
    </row>
    <row r="731" spans="5:5" ht="33" customHeight="1">
      <c r="E731" s="43"/>
    </row>
    <row r="732" spans="5:5" ht="33" customHeight="1">
      <c r="E732" s="43"/>
    </row>
    <row r="733" spans="5:5" ht="33" customHeight="1">
      <c r="E733" s="43"/>
    </row>
    <row r="734" spans="5:5" ht="33" customHeight="1">
      <c r="E734" s="43"/>
    </row>
    <row r="735" spans="5:5" ht="33" customHeight="1">
      <c r="E735" s="43"/>
    </row>
    <row r="736" spans="5:5" ht="33" customHeight="1">
      <c r="E736" s="43"/>
    </row>
    <row r="737" spans="5:5" ht="33" customHeight="1">
      <c r="E737" s="43"/>
    </row>
    <row r="738" spans="5:5" ht="33" customHeight="1">
      <c r="E738" s="43"/>
    </row>
    <row r="739" spans="5:5" ht="33" customHeight="1">
      <c r="E739" s="43"/>
    </row>
    <row r="740" spans="5:5" ht="33" customHeight="1">
      <c r="E740" s="43"/>
    </row>
    <row r="741" spans="5:5" ht="33" customHeight="1">
      <c r="E741" s="43"/>
    </row>
    <row r="742" spans="5:5" ht="33" customHeight="1">
      <c r="E742" s="43"/>
    </row>
    <row r="743" spans="5:5" ht="33" customHeight="1">
      <c r="E743" s="43"/>
    </row>
    <row r="744" spans="5:5" ht="33" customHeight="1">
      <c r="E744" s="43"/>
    </row>
    <row r="745" spans="5:5" ht="33" customHeight="1">
      <c r="E745" s="43"/>
    </row>
    <row r="746" spans="5:5" ht="33" customHeight="1">
      <c r="E746" s="43"/>
    </row>
    <row r="747" spans="5:5" ht="33" customHeight="1">
      <c r="E747" s="43"/>
    </row>
    <row r="748" spans="5:5" ht="33" customHeight="1">
      <c r="E748" s="43"/>
    </row>
    <row r="749" spans="5:5" ht="33" customHeight="1">
      <c r="E749" s="43"/>
    </row>
    <row r="750" spans="5:5" ht="33" customHeight="1">
      <c r="E750" s="43"/>
    </row>
    <row r="751" spans="5:5" ht="33" customHeight="1">
      <c r="E751" s="43"/>
    </row>
    <row r="752" spans="5:5" ht="33" customHeight="1">
      <c r="E752" s="43"/>
    </row>
    <row r="753" spans="5:5" ht="33" customHeight="1">
      <c r="E753" s="43"/>
    </row>
    <row r="754" spans="5:5" ht="33" customHeight="1">
      <c r="E754" s="43"/>
    </row>
    <row r="755" spans="5:5" ht="33" customHeight="1">
      <c r="E755" s="43"/>
    </row>
    <row r="756" spans="5:5" ht="33" customHeight="1">
      <c r="E756" s="43"/>
    </row>
    <row r="757" spans="5:5" ht="33" customHeight="1">
      <c r="E757" s="43"/>
    </row>
    <row r="758" spans="5:5" ht="33" customHeight="1">
      <c r="E758" s="43"/>
    </row>
    <row r="759" spans="5:5" ht="33" customHeight="1">
      <c r="E759" s="43"/>
    </row>
    <row r="760" spans="5:5" ht="33" customHeight="1">
      <c r="E760" s="43"/>
    </row>
    <row r="761" spans="5:5" ht="33" customHeight="1">
      <c r="E761" s="43"/>
    </row>
    <row r="762" spans="5:5" ht="33" customHeight="1">
      <c r="E762" s="43"/>
    </row>
    <row r="763" spans="5:5" ht="33" customHeight="1">
      <c r="E763" s="43"/>
    </row>
    <row r="764" spans="5:5" ht="33" customHeight="1">
      <c r="E764" s="43"/>
    </row>
    <row r="765" spans="5:5" ht="33" customHeight="1">
      <c r="E765" s="43"/>
    </row>
    <row r="766" spans="5:5" ht="33" customHeight="1">
      <c r="E766" s="43"/>
    </row>
    <row r="767" spans="5:5" ht="33" customHeight="1">
      <c r="E767" s="43"/>
    </row>
    <row r="768" spans="5:5" ht="33" customHeight="1">
      <c r="E768" s="43"/>
    </row>
    <row r="769" spans="5:5" ht="33" customHeight="1">
      <c r="E769" s="43"/>
    </row>
    <row r="770" spans="5:5" ht="33" customHeight="1">
      <c r="E770" s="43"/>
    </row>
    <row r="771" spans="5:5" ht="33" customHeight="1">
      <c r="E771" s="43"/>
    </row>
    <row r="772" spans="5:5" ht="33" customHeight="1">
      <c r="E772" s="43"/>
    </row>
    <row r="773" spans="5:5" ht="33" customHeight="1">
      <c r="E773" s="43"/>
    </row>
    <row r="774" spans="5:5" ht="33" customHeight="1">
      <c r="E774" s="43"/>
    </row>
    <row r="775" spans="5:5" ht="33" customHeight="1">
      <c r="E775" s="43"/>
    </row>
    <row r="776" spans="5:5" ht="33" customHeight="1">
      <c r="E776" s="43"/>
    </row>
    <row r="777" spans="5:5" ht="33" customHeight="1">
      <c r="E777" s="43"/>
    </row>
    <row r="778" spans="5:5" ht="33" customHeight="1">
      <c r="E778" s="43"/>
    </row>
    <row r="779" spans="5:5" ht="33" customHeight="1">
      <c r="E779" s="43"/>
    </row>
    <row r="780" spans="5:5" ht="33" customHeight="1">
      <c r="E780" s="43"/>
    </row>
    <row r="781" spans="5:5" ht="33" customHeight="1">
      <c r="E781" s="43"/>
    </row>
    <row r="782" spans="5:5" ht="33" customHeight="1">
      <c r="E782" s="43"/>
    </row>
    <row r="783" spans="5:5" ht="33" customHeight="1">
      <c r="E783" s="43"/>
    </row>
    <row r="784" spans="5:5" ht="33" customHeight="1">
      <c r="E784" s="43"/>
    </row>
    <row r="785" spans="5:5" ht="33" customHeight="1">
      <c r="E785" s="43"/>
    </row>
    <row r="786" spans="5:5" ht="33" customHeight="1">
      <c r="E786" s="43"/>
    </row>
    <row r="787" spans="5:5" ht="33" customHeight="1">
      <c r="E787" s="43"/>
    </row>
    <row r="788" spans="5:5" ht="33" customHeight="1">
      <c r="E788" s="43"/>
    </row>
    <row r="789" spans="5:5" ht="33" customHeight="1">
      <c r="E789" s="43"/>
    </row>
    <row r="790" spans="5:5" ht="33" customHeight="1">
      <c r="E790" s="43"/>
    </row>
    <row r="791" spans="5:5" ht="33" customHeight="1">
      <c r="E791" s="43"/>
    </row>
    <row r="792" spans="5:5" ht="33" customHeight="1">
      <c r="E792" s="43"/>
    </row>
    <row r="793" spans="5:5" ht="33" customHeight="1">
      <c r="E793" s="43"/>
    </row>
    <row r="794" spans="5:5" ht="33" customHeight="1">
      <c r="E794" s="43"/>
    </row>
    <row r="795" spans="5:5" ht="33" customHeight="1">
      <c r="E795" s="43"/>
    </row>
    <row r="796" spans="5:5" ht="33" customHeight="1">
      <c r="E796" s="43"/>
    </row>
    <row r="797" spans="5:5" ht="33" customHeight="1">
      <c r="E797" s="43"/>
    </row>
    <row r="798" spans="5:5" ht="33" customHeight="1">
      <c r="E798" s="43"/>
    </row>
    <row r="799" spans="5:5" ht="33" customHeight="1">
      <c r="E799" s="43"/>
    </row>
    <row r="800" spans="5:5" ht="33" customHeight="1">
      <c r="E800" s="43"/>
    </row>
    <row r="801" spans="5:5" ht="33" customHeight="1">
      <c r="E801" s="43"/>
    </row>
    <row r="802" spans="5:5" ht="33" customHeight="1">
      <c r="E802" s="43"/>
    </row>
    <row r="803" spans="5:5" ht="33" customHeight="1">
      <c r="E803" s="43"/>
    </row>
    <row r="804" spans="5:5" ht="33" customHeight="1">
      <c r="E804" s="43"/>
    </row>
    <row r="805" spans="5:5" ht="33" customHeight="1">
      <c r="E805" s="43"/>
    </row>
    <row r="806" spans="5:5" ht="33" customHeight="1">
      <c r="E806" s="43"/>
    </row>
    <row r="807" spans="5:5" ht="33" customHeight="1">
      <c r="E807" s="43"/>
    </row>
    <row r="808" spans="5:5" ht="33" customHeight="1">
      <c r="E808" s="43"/>
    </row>
    <row r="809" spans="5:5" ht="33" customHeight="1">
      <c r="E809" s="43"/>
    </row>
    <row r="810" spans="5:5" ht="33" customHeight="1">
      <c r="E810" s="43"/>
    </row>
    <row r="811" spans="5:5" ht="33" customHeight="1">
      <c r="E811" s="43"/>
    </row>
    <row r="812" spans="5:5" ht="33" customHeight="1">
      <c r="E812" s="43"/>
    </row>
    <row r="813" spans="5:5" ht="33" customHeight="1">
      <c r="E813" s="43"/>
    </row>
    <row r="814" spans="5:5" ht="33" customHeight="1">
      <c r="E814" s="43"/>
    </row>
    <row r="815" spans="5:5" ht="33" customHeight="1">
      <c r="E815" s="43"/>
    </row>
    <row r="816" spans="5:5" ht="33" customHeight="1">
      <c r="E816" s="43"/>
    </row>
    <row r="817" spans="5:5" ht="33" customHeight="1">
      <c r="E817" s="43"/>
    </row>
    <row r="818" spans="5:5" ht="33" customHeight="1">
      <c r="E818" s="43"/>
    </row>
    <row r="819" spans="5:5" ht="33" customHeight="1">
      <c r="E819" s="43"/>
    </row>
    <row r="820" spans="5:5" ht="33" customHeight="1">
      <c r="E820" s="43"/>
    </row>
    <row r="821" spans="5:5" ht="33" customHeight="1">
      <c r="E821" s="43"/>
    </row>
    <row r="822" spans="5:5" ht="33" customHeight="1">
      <c r="E822" s="43"/>
    </row>
    <row r="823" spans="5:5" ht="33" customHeight="1">
      <c r="E823" s="43"/>
    </row>
    <row r="824" spans="5:5" ht="33" customHeight="1">
      <c r="E824" s="43"/>
    </row>
    <row r="825" spans="5:5" ht="33" customHeight="1">
      <c r="E825" s="43"/>
    </row>
    <row r="826" spans="5:5" ht="33" customHeight="1">
      <c r="E826" s="43"/>
    </row>
    <row r="827" spans="5:5" ht="33" customHeight="1">
      <c r="E827" s="43"/>
    </row>
    <row r="828" spans="5:5" ht="33" customHeight="1">
      <c r="E828" s="43"/>
    </row>
    <row r="829" spans="5:5" ht="33" customHeight="1">
      <c r="E829" s="43"/>
    </row>
    <row r="830" spans="5:5" ht="33" customHeight="1">
      <c r="E830" s="43"/>
    </row>
    <row r="831" spans="5:5" ht="33" customHeight="1">
      <c r="E831" s="43"/>
    </row>
    <row r="832" spans="5:5" ht="33" customHeight="1">
      <c r="E832" s="43"/>
    </row>
    <row r="833" spans="5:5" ht="33" customHeight="1">
      <c r="E833" s="43"/>
    </row>
    <row r="834" spans="5:5" ht="33" customHeight="1">
      <c r="E834" s="43"/>
    </row>
    <row r="835" spans="5:5" ht="33" customHeight="1">
      <c r="E835" s="43"/>
    </row>
    <row r="836" spans="5:5" ht="33" customHeight="1">
      <c r="E836" s="43"/>
    </row>
    <row r="837" spans="5:5" ht="33" customHeight="1">
      <c r="E837" s="43"/>
    </row>
    <row r="838" spans="5:5" ht="33" customHeight="1">
      <c r="E838" s="43"/>
    </row>
    <row r="839" spans="5:5" ht="33" customHeight="1">
      <c r="E839" s="43"/>
    </row>
    <row r="840" spans="5:5" ht="33" customHeight="1">
      <c r="E840" s="43"/>
    </row>
    <row r="841" spans="5:5" ht="33" customHeight="1">
      <c r="E841" s="43"/>
    </row>
    <row r="842" spans="5:5" ht="33" customHeight="1">
      <c r="E842" s="43"/>
    </row>
    <row r="843" spans="5:5" ht="33" customHeight="1">
      <c r="E843" s="43"/>
    </row>
    <row r="844" spans="5:5" ht="33" customHeight="1">
      <c r="E844" s="43"/>
    </row>
    <row r="845" spans="5:5" ht="33" customHeight="1">
      <c r="E845" s="43"/>
    </row>
    <row r="846" spans="5:5" ht="33" customHeight="1">
      <c r="E846" s="43"/>
    </row>
    <row r="847" spans="5:5" ht="33" customHeight="1">
      <c r="E847" s="43"/>
    </row>
    <row r="848" spans="5:5" ht="33" customHeight="1">
      <c r="E848" s="43"/>
    </row>
    <row r="849" spans="5:5" ht="33" customHeight="1">
      <c r="E849" s="43"/>
    </row>
    <row r="850" spans="5:5" ht="33" customHeight="1">
      <c r="E850" s="43"/>
    </row>
    <row r="851" spans="5:5" ht="33" customHeight="1">
      <c r="E851" s="43"/>
    </row>
    <row r="852" spans="5:5" ht="33" customHeight="1">
      <c r="E852" s="43"/>
    </row>
    <row r="853" spans="5:5" ht="33" customHeight="1">
      <c r="E853" s="43"/>
    </row>
    <row r="854" spans="5:5" ht="33" customHeight="1">
      <c r="E854" s="43"/>
    </row>
    <row r="855" spans="5:5" ht="33" customHeight="1">
      <c r="E855" s="43"/>
    </row>
    <row r="856" spans="5:5" ht="33" customHeight="1">
      <c r="E856" s="43"/>
    </row>
    <row r="857" spans="5:5" ht="33" customHeight="1">
      <c r="E857" s="43"/>
    </row>
    <row r="858" spans="5:5" ht="33" customHeight="1">
      <c r="E858" s="43"/>
    </row>
    <row r="859" spans="5:5" ht="33" customHeight="1">
      <c r="E859" s="43"/>
    </row>
    <row r="860" spans="5:5" ht="33" customHeight="1">
      <c r="E860" s="43"/>
    </row>
    <row r="861" spans="5:5" ht="33" customHeight="1">
      <c r="E861" s="43"/>
    </row>
    <row r="862" spans="5:5" ht="33" customHeight="1">
      <c r="E862" s="43"/>
    </row>
    <row r="863" spans="5:5" ht="33" customHeight="1">
      <c r="E863" s="43"/>
    </row>
    <row r="864" spans="5:5" ht="33" customHeight="1">
      <c r="E864" s="43"/>
    </row>
    <row r="865" spans="5:5" ht="33" customHeight="1">
      <c r="E865" s="43"/>
    </row>
    <row r="866" spans="5:5" ht="33" customHeight="1">
      <c r="E866" s="43"/>
    </row>
    <row r="867" spans="5:5" ht="33" customHeight="1">
      <c r="E867" s="43"/>
    </row>
    <row r="868" spans="5:5" ht="33" customHeight="1">
      <c r="E868" s="43"/>
    </row>
    <row r="869" spans="5:5" ht="33" customHeight="1">
      <c r="E869" s="43"/>
    </row>
    <row r="870" spans="5:5" ht="33" customHeight="1">
      <c r="E870" s="43"/>
    </row>
    <row r="871" spans="5:5" ht="33" customHeight="1">
      <c r="E871" s="43"/>
    </row>
    <row r="872" spans="5:5" ht="33" customHeight="1">
      <c r="E872" s="43"/>
    </row>
    <row r="873" spans="5:5" ht="33" customHeight="1">
      <c r="E873" s="43"/>
    </row>
    <row r="874" spans="5:5" ht="33" customHeight="1">
      <c r="E874" s="43"/>
    </row>
    <row r="875" spans="5:5" ht="33" customHeight="1">
      <c r="E875" s="43"/>
    </row>
    <row r="876" spans="5:5" ht="33" customHeight="1">
      <c r="E876" s="43"/>
    </row>
    <row r="877" spans="5:5" ht="33" customHeight="1">
      <c r="E877" s="43"/>
    </row>
    <row r="878" spans="5:5" ht="33" customHeight="1">
      <c r="E878" s="43"/>
    </row>
    <row r="879" spans="5:5" ht="33" customHeight="1">
      <c r="E879" s="43"/>
    </row>
    <row r="880" spans="5:5" ht="33" customHeight="1">
      <c r="E880" s="43"/>
    </row>
    <row r="881" spans="5:5" ht="33" customHeight="1">
      <c r="E881" s="43"/>
    </row>
    <row r="882" spans="5:5" ht="33" customHeight="1">
      <c r="E882" s="43"/>
    </row>
    <row r="883" spans="5:5" ht="33" customHeight="1">
      <c r="E883" s="43"/>
    </row>
    <row r="884" spans="5:5" ht="33" customHeight="1">
      <c r="E884" s="43"/>
    </row>
    <row r="885" spans="5:5" ht="33" customHeight="1">
      <c r="E885" s="43"/>
    </row>
    <row r="886" spans="5:5" ht="33" customHeight="1">
      <c r="E886" s="43"/>
    </row>
    <row r="887" spans="5:5" ht="33" customHeight="1">
      <c r="E887" s="43"/>
    </row>
    <row r="888" spans="5:5" ht="33" customHeight="1">
      <c r="E888" s="43"/>
    </row>
    <row r="889" spans="5:5" ht="33" customHeight="1">
      <c r="E889" s="43"/>
    </row>
    <row r="890" spans="5:5" ht="33" customHeight="1">
      <c r="E890" s="43"/>
    </row>
    <row r="891" spans="5:5" ht="33" customHeight="1">
      <c r="E891" s="43"/>
    </row>
    <row r="892" spans="5:5" ht="33" customHeight="1">
      <c r="E892" s="43"/>
    </row>
    <row r="893" spans="5:5" ht="33" customHeight="1">
      <c r="E893" s="43"/>
    </row>
    <row r="894" spans="5:5" ht="33" customHeight="1">
      <c r="E894" s="43"/>
    </row>
    <row r="895" spans="5:5" ht="33" customHeight="1">
      <c r="E895" s="43"/>
    </row>
    <row r="896" spans="5:5" ht="33" customHeight="1">
      <c r="E896" s="43"/>
    </row>
    <row r="897" spans="5:5" ht="33" customHeight="1">
      <c r="E897" s="43"/>
    </row>
    <row r="898" spans="5:5" ht="33" customHeight="1">
      <c r="E898" s="43"/>
    </row>
    <row r="899" spans="5:5" ht="33" customHeight="1">
      <c r="E899" s="43"/>
    </row>
    <row r="900" spans="5:5" ht="33" customHeight="1">
      <c r="E900" s="43"/>
    </row>
    <row r="901" spans="5:5" ht="33" customHeight="1">
      <c r="E901" s="43"/>
    </row>
    <row r="902" spans="5:5" ht="33" customHeight="1">
      <c r="E902" s="43"/>
    </row>
    <row r="903" spans="5:5" ht="33" customHeight="1">
      <c r="E903" s="43"/>
    </row>
    <row r="904" spans="5:5" ht="33" customHeight="1">
      <c r="E904" s="43"/>
    </row>
    <row r="905" spans="5:5" ht="33" customHeight="1">
      <c r="E905" s="43"/>
    </row>
    <row r="906" spans="5:5" ht="33" customHeight="1">
      <c r="E906" s="43"/>
    </row>
    <row r="907" spans="5:5" ht="33" customHeight="1">
      <c r="E907" s="43"/>
    </row>
    <row r="908" spans="5:5" ht="33" customHeight="1">
      <c r="E908" s="43"/>
    </row>
    <row r="909" spans="5:5" ht="33" customHeight="1">
      <c r="E909" s="43"/>
    </row>
    <row r="910" spans="5:5" ht="33" customHeight="1">
      <c r="E910" s="43"/>
    </row>
    <row r="911" spans="5:5" ht="33" customHeight="1">
      <c r="E911" s="43"/>
    </row>
    <row r="912" spans="5:5" ht="33" customHeight="1">
      <c r="E912" s="43"/>
    </row>
    <row r="913" spans="5:5" ht="33" customHeight="1">
      <c r="E913" s="43"/>
    </row>
    <row r="914" spans="5:5" ht="33" customHeight="1">
      <c r="E914" s="43"/>
    </row>
    <row r="915" spans="5:5" ht="33" customHeight="1">
      <c r="E915" s="43"/>
    </row>
    <row r="916" spans="5:5" ht="33" customHeight="1">
      <c r="E916" s="43"/>
    </row>
    <row r="917" spans="5:5" ht="33" customHeight="1">
      <c r="E917" s="43"/>
    </row>
    <row r="918" spans="5:5" ht="33" customHeight="1">
      <c r="E918" s="43"/>
    </row>
    <row r="919" spans="5:5" ht="33" customHeight="1">
      <c r="E919" s="43"/>
    </row>
    <row r="920" spans="5:5" ht="33" customHeight="1">
      <c r="E920" s="43"/>
    </row>
    <row r="921" spans="5:5" ht="33" customHeight="1">
      <c r="E921" s="43"/>
    </row>
    <row r="922" spans="5:5" ht="33" customHeight="1">
      <c r="E922" s="43"/>
    </row>
    <row r="923" spans="5:5" ht="33" customHeight="1">
      <c r="E923" s="43"/>
    </row>
    <row r="924" spans="5:5" ht="33" customHeight="1">
      <c r="E924" s="43"/>
    </row>
    <row r="925" spans="5:5" ht="33" customHeight="1">
      <c r="E925" s="43"/>
    </row>
    <row r="926" spans="5:5" ht="33" customHeight="1">
      <c r="E926" s="43"/>
    </row>
    <row r="927" spans="5:5" ht="33" customHeight="1">
      <c r="E927" s="43"/>
    </row>
    <row r="928" spans="5:5" ht="33" customHeight="1">
      <c r="E928" s="43"/>
    </row>
    <row r="929" spans="5:5" ht="33" customHeight="1">
      <c r="E929" s="43"/>
    </row>
    <row r="930" spans="5:5" ht="33" customHeight="1">
      <c r="E930" s="43"/>
    </row>
    <row r="931" spans="5:5" ht="33" customHeight="1">
      <c r="E931" s="43"/>
    </row>
    <row r="932" spans="5:5" ht="33" customHeight="1">
      <c r="E932" s="43"/>
    </row>
    <row r="933" spans="5:5" ht="33" customHeight="1">
      <c r="E933" s="43"/>
    </row>
    <row r="934" spans="5:5" ht="33" customHeight="1">
      <c r="E934" s="43"/>
    </row>
    <row r="935" spans="5:5" ht="33" customHeight="1">
      <c r="E935" s="43"/>
    </row>
    <row r="936" spans="5:5" ht="33" customHeight="1">
      <c r="E936" s="43"/>
    </row>
    <row r="937" spans="5:5" ht="33" customHeight="1">
      <c r="E937" s="43"/>
    </row>
    <row r="938" spans="5:5" ht="33" customHeight="1">
      <c r="E938" s="43"/>
    </row>
    <row r="939" spans="5:5" ht="33" customHeight="1">
      <c r="E939" s="43"/>
    </row>
    <row r="940" spans="5:5" ht="33" customHeight="1">
      <c r="E940" s="43"/>
    </row>
    <row r="941" spans="5:5" ht="33" customHeight="1">
      <c r="E941" s="43"/>
    </row>
    <row r="942" spans="5:5" ht="33" customHeight="1">
      <c r="E942" s="43"/>
    </row>
    <row r="943" spans="5:5" ht="33" customHeight="1">
      <c r="E943" s="43"/>
    </row>
    <row r="944" spans="5:5" ht="33" customHeight="1">
      <c r="E944" s="43"/>
    </row>
    <row r="945" spans="5:5" ht="33" customHeight="1">
      <c r="E945" s="43"/>
    </row>
    <row r="946" spans="5:5" ht="33" customHeight="1">
      <c r="E946" s="43"/>
    </row>
    <row r="947" spans="5:5" ht="33" customHeight="1">
      <c r="E947" s="43"/>
    </row>
    <row r="948" spans="5:5" ht="33" customHeight="1">
      <c r="E948" s="43"/>
    </row>
    <row r="949" spans="5:5" ht="33" customHeight="1">
      <c r="E949" s="43"/>
    </row>
    <row r="950" spans="5:5" ht="33" customHeight="1">
      <c r="E950" s="43"/>
    </row>
    <row r="951" spans="5:5" ht="33" customHeight="1">
      <c r="E951" s="43"/>
    </row>
    <row r="952" spans="5:5" ht="33" customHeight="1">
      <c r="E952" s="43"/>
    </row>
    <row r="953" spans="5:5" ht="33" customHeight="1">
      <c r="E953" s="43"/>
    </row>
    <row r="954" spans="5:5" ht="33" customHeight="1">
      <c r="E954" s="43"/>
    </row>
    <row r="955" spans="5:5" ht="33" customHeight="1">
      <c r="E955" s="43"/>
    </row>
    <row r="956" spans="5:5" ht="33" customHeight="1">
      <c r="E956" s="43"/>
    </row>
    <row r="957" spans="5:5" ht="33" customHeight="1">
      <c r="E957" s="43"/>
    </row>
    <row r="958" spans="5:5" ht="33" customHeight="1">
      <c r="E958" s="43"/>
    </row>
    <row r="959" spans="5:5" ht="33" customHeight="1">
      <c r="E959" s="43"/>
    </row>
    <row r="960" spans="5:5" ht="33" customHeight="1">
      <c r="E960" s="43"/>
    </row>
    <row r="961" spans="5:5" ht="33" customHeight="1">
      <c r="E961" s="43"/>
    </row>
    <row r="962" spans="5:5" ht="33" customHeight="1">
      <c r="E962" s="43"/>
    </row>
    <row r="963" spans="5:5" ht="33" customHeight="1">
      <c r="E963" s="43"/>
    </row>
    <row r="964" spans="5:5" ht="33" customHeight="1">
      <c r="E964" s="43"/>
    </row>
    <row r="965" spans="5:5" ht="33" customHeight="1">
      <c r="E965" s="43"/>
    </row>
    <row r="966" spans="5:5" ht="33" customHeight="1">
      <c r="E966" s="43"/>
    </row>
    <row r="967" spans="5:5" ht="33" customHeight="1">
      <c r="E967" s="43"/>
    </row>
    <row r="968" spans="5:5" ht="33" customHeight="1">
      <c r="E968" s="43"/>
    </row>
    <row r="969" spans="5:5" ht="33" customHeight="1">
      <c r="E969" s="43"/>
    </row>
    <row r="970" spans="5:5" ht="33" customHeight="1">
      <c r="E970" s="43"/>
    </row>
    <row r="971" spans="5:5" ht="33" customHeight="1">
      <c r="E971" s="43"/>
    </row>
    <row r="972" spans="5:5" ht="33" customHeight="1">
      <c r="E972" s="43"/>
    </row>
    <row r="973" spans="5:5" ht="33" customHeight="1">
      <c r="E973" s="43"/>
    </row>
    <row r="974" spans="5:5" ht="33" customHeight="1">
      <c r="E974" s="43"/>
    </row>
    <row r="975" spans="5:5" ht="33" customHeight="1">
      <c r="E975" s="43"/>
    </row>
    <row r="976" spans="5:5" ht="33" customHeight="1">
      <c r="E976" s="43"/>
    </row>
    <row r="977" spans="5:5" ht="33" customHeight="1">
      <c r="E977" s="43"/>
    </row>
    <row r="978" spans="5:5" ht="33" customHeight="1">
      <c r="E978" s="43"/>
    </row>
    <row r="979" spans="5:5" ht="33" customHeight="1">
      <c r="E979" s="43"/>
    </row>
    <row r="980" spans="5:5" ht="33" customHeight="1">
      <c r="E980" s="43"/>
    </row>
    <row r="981" spans="5:5" ht="33" customHeight="1">
      <c r="E981" s="43"/>
    </row>
    <row r="982" spans="5:5" ht="33" customHeight="1">
      <c r="E982" s="43"/>
    </row>
    <row r="983" spans="5:5" ht="33" customHeight="1">
      <c r="E983" s="43"/>
    </row>
    <row r="984" spans="5:5" ht="33" customHeight="1">
      <c r="E984" s="43"/>
    </row>
    <row r="985" spans="5:5" ht="33" customHeight="1">
      <c r="E985" s="43"/>
    </row>
    <row r="986" spans="5:5" ht="33" customHeight="1">
      <c r="E986" s="43"/>
    </row>
    <row r="987" spans="5:5" ht="33" customHeight="1">
      <c r="E987" s="43"/>
    </row>
    <row r="988" spans="5:5" ht="33" customHeight="1">
      <c r="E988" s="43"/>
    </row>
    <row r="989" spans="5:5" ht="33" customHeight="1">
      <c r="E989" s="43"/>
    </row>
    <row r="990" spans="5:5" ht="33" customHeight="1">
      <c r="E990" s="43"/>
    </row>
    <row r="991" spans="5:5" ht="33" customHeight="1">
      <c r="E991" s="43"/>
    </row>
    <row r="992" spans="5:5" ht="33" customHeight="1">
      <c r="E992" s="43"/>
    </row>
    <row r="993" spans="5:5" ht="33" customHeight="1">
      <c r="E993" s="43"/>
    </row>
    <row r="994" spans="5:5" ht="33" customHeight="1">
      <c r="E994" s="43"/>
    </row>
    <row r="995" spans="5:5" ht="33" customHeight="1">
      <c r="E995" s="43"/>
    </row>
    <row r="996" spans="5:5" ht="33" customHeight="1">
      <c r="E996" s="43"/>
    </row>
    <row r="997" spans="5:5" ht="33" customHeight="1">
      <c r="E997" s="43"/>
    </row>
    <row r="998" spans="5:5" ht="33" customHeight="1">
      <c r="E998" s="43"/>
    </row>
    <row r="999" spans="5:5" ht="33" customHeight="1">
      <c r="E999" s="43"/>
    </row>
    <row r="1000" spans="5:5" ht="33" customHeight="1">
      <c r="E1000" s="43"/>
    </row>
    <row r="1001" spans="5:5" ht="33" customHeight="1">
      <c r="E1001" s="43"/>
    </row>
    <row r="1002" spans="5:5" ht="33" customHeight="1">
      <c r="E1002" s="43"/>
    </row>
    <row r="1003" spans="5:5" ht="33" customHeight="1">
      <c r="E1003" s="43"/>
    </row>
    <row r="1004" spans="5:5" ht="33" customHeight="1">
      <c r="E1004" s="43"/>
    </row>
    <row r="1005" spans="5:5" ht="33" customHeight="1">
      <c r="E1005" s="43"/>
    </row>
    <row r="1006" spans="5:5" ht="33" customHeight="1">
      <c r="E1006" s="43"/>
    </row>
    <row r="1007" spans="5:5" ht="33" customHeight="1">
      <c r="E1007" s="43"/>
    </row>
    <row r="1008" spans="5:5" ht="33" customHeight="1">
      <c r="E1008" s="43"/>
    </row>
    <row r="1009" spans="5:5" ht="33" customHeight="1">
      <c r="E1009" s="43"/>
    </row>
    <row r="1010" spans="5:5" ht="33" customHeight="1">
      <c r="E1010" s="43"/>
    </row>
    <row r="1011" spans="5:5" ht="33" customHeight="1">
      <c r="E1011" s="43"/>
    </row>
    <row r="1012" spans="5:5" ht="33" customHeight="1">
      <c r="E1012" s="43"/>
    </row>
    <row r="1013" spans="5:5" ht="33" customHeight="1">
      <c r="E1013" s="43"/>
    </row>
    <row r="1014" spans="5:5" ht="33" customHeight="1">
      <c r="E1014" s="43"/>
    </row>
    <row r="1015" spans="5:5" ht="33" customHeight="1">
      <c r="E1015" s="43"/>
    </row>
    <row r="1016" spans="5:5" ht="33" customHeight="1">
      <c r="E1016" s="43"/>
    </row>
    <row r="1017" spans="5:5" ht="33" customHeight="1">
      <c r="E1017" s="43"/>
    </row>
    <row r="1018" spans="5:5" ht="33" customHeight="1">
      <c r="E1018" s="43"/>
    </row>
    <row r="1019" spans="5:5" ht="33" customHeight="1">
      <c r="E1019" s="43"/>
    </row>
    <row r="1020" spans="5:5" ht="33" customHeight="1">
      <c r="E1020" s="43"/>
    </row>
    <row r="1021" spans="5:5" ht="33" customHeight="1">
      <c r="E1021" s="43"/>
    </row>
    <row r="1022" spans="5:5" ht="33" customHeight="1">
      <c r="E1022" s="43"/>
    </row>
    <row r="1023" spans="5:5" ht="33" customHeight="1">
      <c r="E1023" s="43"/>
    </row>
    <row r="1024" spans="5:5" ht="33" customHeight="1">
      <c r="E1024" s="43"/>
    </row>
    <row r="1025" spans="5:5" ht="33" customHeight="1">
      <c r="E1025" s="43"/>
    </row>
    <row r="1026" spans="5:5" ht="33" customHeight="1">
      <c r="E1026" s="43"/>
    </row>
    <row r="1027" spans="5:5" ht="33" customHeight="1">
      <c r="E1027" s="43"/>
    </row>
    <row r="1028" spans="5:5" ht="33" customHeight="1">
      <c r="E1028" s="43"/>
    </row>
    <row r="1029" spans="5:5" ht="33" customHeight="1">
      <c r="E1029" s="43"/>
    </row>
    <row r="1030" spans="5:5" ht="33" customHeight="1">
      <c r="E1030" s="43"/>
    </row>
    <row r="1031" spans="5:5" ht="33" customHeight="1">
      <c r="E1031" s="43"/>
    </row>
    <row r="1032" spans="5:5" ht="33" customHeight="1">
      <c r="E1032" s="43"/>
    </row>
    <row r="1033" spans="5:5" ht="33" customHeight="1">
      <c r="E1033" s="43"/>
    </row>
    <row r="1034" spans="5:5" ht="33" customHeight="1">
      <c r="E1034" s="43"/>
    </row>
    <row r="1035" spans="5:5" ht="33" customHeight="1">
      <c r="E1035" s="43"/>
    </row>
    <row r="1036" spans="5:5" ht="33" customHeight="1">
      <c r="E1036" s="43"/>
    </row>
  </sheetData>
  <autoFilter ref="E4:Y90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0"/>
  <sheetViews>
    <sheetView topLeftCell="A18" zoomScale="145" zoomScaleNormal="145" workbookViewId="0">
      <selection activeCell="A2" sqref="A2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07" t="s">
        <v>6</v>
      </c>
      <c r="B1" s="108" t="s">
        <v>7</v>
      </c>
      <c r="C1" s="108" t="s">
        <v>8</v>
      </c>
      <c r="D1" s="108" t="s">
        <v>9</v>
      </c>
      <c r="E1" s="108" t="s">
        <v>10</v>
      </c>
      <c r="F1" s="108" t="s">
        <v>5</v>
      </c>
      <c r="G1" s="108" t="s">
        <v>11</v>
      </c>
      <c r="H1" s="108" t="s">
        <v>12</v>
      </c>
      <c r="I1" s="108" t="s">
        <v>13</v>
      </c>
      <c r="J1" s="108" t="s">
        <v>14</v>
      </c>
      <c r="K1" s="108" t="s">
        <v>15</v>
      </c>
      <c r="L1" s="108" t="s">
        <v>16</v>
      </c>
      <c r="M1" s="108" t="s">
        <v>17</v>
      </c>
      <c r="N1" s="108" t="s">
        <v>18</v>
      </c>
      <c r="O1" s="108" t="s">
        <v>19</v>
      </c>
      <c r="P1" s="108" t="s">
        <v>20</v>
      </c>
      <c r="Q1" s="108" t="s">
        <v>21</v>
      </c>
      <c r="R1" s="108" t="s">
        <v>22</v>
      </c>
    </row>
    <row r="2" spans="1:18">
      <c r="B2">
        <v>999999</v>
      </c>
      <c r="C2" t="s">
        <v>145</v>
      </c>
      <c r="E2" t="s">
        <v>149</v>
      </c>
      <c r="F2">
        <v>1</v>
      </c>
      <c r="G2" s="116"/>
      <c r="H2" s="109">
        <v>0</v>
      </c>
      <c r="I2" s="109"/>
      <c r="J2" s="109">
        <v>0</v>
      </c>
      <c r="K2" s="109">
        <v>7727999.6992537072</v>
      </c>
      <c r="L2" s="109"/>
      <c r="M2" s="109"/>
      <c r="N2" s="109">
        <f t="shared" ref="N2:N3" si="0">M2*F2</f>
        <v>0</v>
      </c>
    </row>
    <row r="3" spans="1:18">
      <c r="H3" s="109"/>
      <c r="I3" s="109"/>
      <c r="J3" s="109"/>
      <c r="K3" s="109"/>
      <c r="L3" s="109"/>
      <c r="N3" s="109">
        <f t="shared" si="0"/>
        <v>0</v>
      </c>
    </row>
    <row r="4" spans="1:18">
      <c r="H4" s="109"/>
      <c r="I4" s="109"/>
      <c r="J4" s="109"/>
      <c r="K4" s="109"/>
      <c r="L4" s="109"/>
      <c r="N4" s="109"/>
    </row>
    <row r="5" spans="1:18">
      <c r="H5" s="109"/>
      <c r="I5" s="109"/>
      <c r="J5" s="109"/>
      <c r="K5" s="109"/>
      <c r="L5" s="109"/>
      <c r="N5" s="109"/>
    </row>
    <row r="6" spans="1:18">
      <c r="H6" s="109"/>
      <c r="I6" s="109"/>
      <c r="J6" s="109"/>
      <c r="K6" s="109"/>
      <c r="L6" s="109"/>
      <c r="N6" s="109"/>
    </row>
    <row r="7" spans="1:18">
      <c r="H7" s="109"/>
      <c r="I7" s="109"/>
      <c r="J7" s="109"/>
      <c r="K7" s="109"/>
      <c r="L7" s="109"/>
      <c r="N7" s="109"/>
    </row>
    <row r="8" spans="1:18">
      <c r="G8" s="116"/>
      <c r="H8" s="109"/>
      <c r="I8" s="109"/>
      <c r="J8" s="109"/>
      <c r="K8" s="109"/>
      <c r="L8" s="109"/>
      <c r="M8" s="109"/>
      <c r="N8" s="109"/>
    </row>
    <row r="9" spans="1:18">
      <c r="H9" s="109"/>
      <c r="I9" s="109"/>
      <c r="J9" s="109"/>
      <c r="K9" s="109"/>
      <c r="L9" s="109"/>
      <c r="N9" s="109"/>
    </row>
    <row r="10" spans="1:18">
      <c r="H10" s="109"/>
      <c r="I10" s="109"/>
      <c r="J10" s="109"/>
      <c r="K10" s="109"/>
      <c r="L10" s="109"/>
      <c r="N10" s="109"/>
    </row>
    <row r="11" spans="1:18">
      <c r="H11" s="109"/>
      <c r="I11" s="109"/>
      <c r="J11" s="109"/>
      <c r="K11" s="109"/>
      <c r="L11" s="109"/>
      <c r="N11" s="109"/>
    </row>
    <row r="12" spans="1:18">
      <c r="H12" s="109"/>
      <c r="I12" s="109"/>
      <c r="J12" s="109"/>
      <c r="K12" s="109"/>
      <c r="L12" s="109"/>
      <c r="N12" s="109"/>
    </row>
    <row r="13" spans="1:18">
      <c r="H13" s="109"/>
      <c r="I13" s="109"/>
      <c r="J13" s="109"/>
      <c r="K13" s="109"/>
      <c r="L13" s="109"/>
      <c r="N13" s="109"/>
    </row>
    <row r="14" spans="1:18">
      <c r="H14" s="109"/>
      <c r="I14" s="109"/>
      <c r="J14" s="109"/>
      <c r="K14" s="109"/>
      <c r="L14" s="109"/>
      <c r="N14" s="109"/>
    </row>
    <row r="15" spans="1:18">
      <c r="H15" s="109"/>
      <c r="I15" s="109"/>
      <c r="J15" s="109"/>
      <c r="K15" s="109"/>
      <c r="L15" s="109"/>
      <c r="N15" s="109"/>
    </row>
    <row r="16" spans="1:18">
      <c r="H16" s="109"/>
      <c r="I16" s="109"/>
      <c r="J16" s="109"/>
      <c r="K16" s="109"/>
      <c r="L16" s="109"/>
      <c r="N16" s="109"/>
    </row>
    <row r="17" spans="1:14">
      <c r="M17" s="109"/>
      <c r="N17" s="109"/>
    </row>
    <row r="18" spans="1:14" ht="186.6" customHeight="1" thickBot="1">
      <c r="A18" s="200" t="s">
        <v>119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</row>
    <row r="19" spans="1:14" ht="18" thickTop="1" thickBot="1">
      <c r="B19" s="197" t="s">
        <v>146</v>
      </c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9"/>
    </row>
    <row r="20" spans="1:14" ht="17.25" thickTop="1">
      <c r="B20" s="188"/>
      <c r="C20" s="189"/>
      <c r="D20" s="189"/>
      <c r="E20" s="190"/>
      <c r="F20" s="188"/>
      <c r="G20" s="189"/>
      <c r="H20" s="189"/>
      <c r="I20" s="189"/>
      <c r="J20" s="189"/>
      <c r="K20" s="189"/>
      <c r="L20" s="189"/>
      <c r="M20" s="189"/>
      <c r="N20" s="190"/>
    </row>
    <row r="21" spans="1:14">
      <c r="B21" s="191"/>
      <c r="C21" s="192"/>
      <c r="D21" s="192"/>
      <c r="E21" s="193"/>
      <c r="F21" s="191"/>
      <c r="G21" s="192"/>
      <c r="H21" s="192"/>
      <c r="I21" s="192"/>
      <c r="J21" s="192"/>
      <c r="K21" s="192"/>
      <c r="L21" s="192"/>
      <c r="M21" s="192"/>
      <c r="N21" s="193"/>
    </row>
    <row r="22" spans="1:14">
      <c r="B22" s="191"/>
      <c r="C22" s="192"/>
      <c r="D22" s="192"/>
      <c r="E22" s="193"/>
      <c r="F22" s="191"/>
      <c r="G22" s="192"/>
      <c r="H22" s="192"/>
      <c r="I22" s="192"/>
      <c r="J22" s="192"/>
      <c r="K22" s="192"/>
      <c r="L22" s="192"/>
      <c r="M22" s="192"/>
      <c r="N22" s="193"/>
    </row>
    <row r="23" spans="1:14">
      <c r="B23" s="191"/>
      <c r="C23" s="192"/>
      <c r="D23" s="192"/>
      <c r="E23" s="193"/>
      <c r="F23" s="191"/>
      <c r="G23" s="192"/>
      <c r="H23" s="192"/>
      <c r="I23" s="192"/>
      <c r="J23" s="192"/>
      <c r="K23" s="192"/>
      <c r="L23" s="192"/>
      <c r="M23" s="192"/>
      <c r="N23" s="193"/>
    </row>
    <row r="24" spans="1:14">
      <c r="B24" s="191"/>
      <c r="C24" s="192"/>
      <c r="D24" s="192"/>
      <c r="E24" s="193"/>
      <c r="F24" s="191"/>
      <c r="G24" s="192"/>
      <c r="H24" s="192"/>
      <c r="I24" s="192"/>
      <c r="J24" s="192"/>
      <c r="K24" s="192"/>
      <c r="L24" s="192"/>
      <c r="M24" s="192"/>
      <c r="N24" s="193"/>
    </row>
    <row r="25" spans="1:14">
      <c r="B25" s="191"/>
      <c r="C25" s="192"/>
      <c r="D25" s="192"/>
      <c r="E25" s="193"/>
      <c r="F25" s="191"/>
      <c r="G25" s="192"/>
      <c r="H25" s="192"/>
      <c r="I25" s="192"/>
      <c r="J25" s="192"/>
      <c r="K25" s="192"/>
      <c r="L25" s="192"/>
      <c r="M25" s="192"/>
      <c r="N25" s="193"/>
    </row>
    <row r="26" spans="1:14">
      <c r="B26" s="191"/>
      <c r="C26" s="192"/>
      <c r="D26" s="192"/>
      <c r="E26" s="193"/>
      <c r="F26" s="191"/>
      <c r="G26" s="192"/>
      <c r="H26" s="192"/>
      <c r="I26" s="192"/>
      <c r="J26" s="192"/>
      <c r="K26" s="192"/>
      <c r="L26" s="192"/>
      <c r="M26" s="192"/>
      <c r="N26" s="193"/>
    </row>
    <row r="27" spans="1:14">
      <c r="B27" s="191"/>
      <c r="C27" s="192"/>
      <c r="D27" s="192"/>
      <c r="E27" s="193"/>
      <c r="F27" s="191"/>
      <c r="G27" s="192"/>
      <c r="H27" s="192"/>
      <c r="I27" s="192"/>
      <c r="J27" s="192"/>
      <c r="K27" s="192"/>
      <c r="L27" s="192"/>
      <c r="M27" s="192"/>
      <c r="N27" s="193"/>
    </row>
    <row r="28" spans="1:14">
      <c r="B28" s="191"/>
      <c r="C28" s="192"/>
      <c r="D28" s="192"/>
      <c r="E28" s="193"/>
      <c r="F28" s="191"/>
      <c r="G28" s="192"/>
      <c r="H28" s="192"/>
      <c r="I28" s="192"/>
      <c r="J28" s="192"/>
      <c r="K28" s="192"/>
      <c r="L28" s="192"/>
      <c r="M28" s="192"/>
      <c r="N28" s="193"/>
    </row>
    <row r="29" spans="1:14">
      <c r="B29" s="191"/>
      <c r="C29" s="192"/>
      <c r="D29" s="192"/>
      <c r="E29" s="193"/>
      <c r="F29" s="191"/>
      <c r="G29" s="192"/>
      <c r="H29" s="192"/>
      <c r="I29" s="192"/>
      <c r="J29" s="192"/>
      <c r="K29" s="192"/>
      <c r="L29" s="192"/>
      <c r="M29" s="192"/>
      <c r="N29" s="193"/>
    </row>
    <row r="30" spans="1:14">
      <c r="B30" s="191"/>
      <c r="C30" s="192"/>
      <c r="D30" s="192"/>
      <c r="E30" s="193"/>
      <c r="F30" s="191"/>
      <c r="G30" s="192"/>
      <c r="H30" s="192"/>
      <c r="I30" s="192"/>
      <c r="J30" s="192"/>
      <c r="K30" s="192"/>
      <c r="L30" s="192"/>
      <c r="M30" s="192"/>
      <c r="N30" s="193"/>
    </row>
    <row r="31" spans="1:14">
      <c r="B31" s="191"/>
      <c r="C31" s="192"/>
      <c r="D31" s="192"/>
      <c r="E31" s="193"/>
      <c r="F31" s="191"/>
      <c r="G31" s="192"/>
      <c r="H31" s="192"/>
      <c r="I31" s="192"/>
      <c r="J31" s="192"/>
      <c r="K31" s="192"/>
      <c r="L31" s="192"/>
      <c r="M31" s="192"/>
      <c r="N31" s="193"/>
    </row>
    <row r="32" spans="1:14">
      <c r="B32" s="191"/>
      <c r="C32" s="192"/>
      <c r="D32" s="192"/>
      <c r="E32" s="193"/>
      <c r="F32" s="191"/>
      <c r="G32" s="192"/>
      <c r="H32" s="192"/>
      <c r="I32" s="192"/>
      <c r="J32" s="192"/>
      <c r="K32" s="192"/>
      <c r="L32" s="192"/>
      <c r="M32" s="192"/>
      <c r="N32" s="193"/>
    </row>
    <row r="33" spans="2:14">
      <c r="B33" s="191"/>
      <c r="C33" s="192"/>
      <c r="D33" s="192"/>
      <c r="E33" s="193"/>
      <c r="F33" s="191"/>
      <c r="G33" s="192"/>
      <c r="H33" s="192"/>
      <c r="I33" s="192"/>
      <c r="J33" s="192"/>
      <c r="K33" s="192"/>
      <c r="L33" s="192"/>
      <c r="M33" s="192"/>
      <c r="N33" s="193"/>
    </row>
    <row r="34" spans="2:14">
      <c r="B34" s="191"/>
      <c r="C34" s="192"/>
      <c r="D34" s="192"/>
      <c r="E34" s="193"/>
      <c r="F34" s="191"/>
      <c r="G34" s="192"/>
      <c r="H34" s="192"/>
      <c r="I34" s="192"/>
      <c r="J34" s="192"/>
      <c r="K34" s="192"/>
      <c r="L34" s="192"/>
      <c r="M34" s="192"/>
      <c r="N34" s="193"/>
    </row>
    <row r="35" spans="2:14">
      <c r="B35" s="191"/>
      <c r="C35" s="192"/>
      <c r="D35" s="192"/>
      <c r="E35" s="193"/>
      <c r="F35" s="191"/>
      <c r="G35" s="192"/>
      <c r="H35" s="192"/>
      <c r="I35" s="192"/>
      <c r="J35" s="192"/>
      <c r="K35" s="192"/>
      <c r="L35" s="192"/>
      <c r="M35" s="192"/>
      <c r="N35" s="193"/>
    </row>
    <row r="36" spans="2:14">
      <c r="B36" s="191"/>
      <c r="C36" s="192"/>
      <c r="D36" s="192"/>
      <c r="E36" s="193"/>
      <c r="F36" s="191"/>
      <c r="G36" s="192"/>
      <c r="H36" s="192"/>
      <c r="I36" s="192"/>
      <c r="J36" s="192"/>
      <c r="K36" s="192"/>
      <c r="L36" s="192"/>
      <c r="M36" s="192"/>
      <c r="N36" s="193"/>
    </row>
    <row r="37" spans="2:14">
      <c r="B37" s="191"/>
      <c r="C37" s="192"/>
      <c r="D37" s="192"/>
      <c r="E37" s="193"/>
      <c r="F37" s="191"/>
      <c r="G37" s="192"/>
      <c r="H37" s="192"/>
      <c r="I37" s="192"/>
      <c r="J37" s="192"/>
      <c r="K37" s="192"/>
      <c r="L37" s="192"/>
      <c r="M37" s="192"/>
      <c r="N37" s="193"/>
    </row>
    <row r="38" spans="2:14">
      <c r="B38" s="191"/>
      <c r="C38" s="192"/>
      <c r="D38" s="192"/>
      <c r="E38" s="193"/>
      <c r="F38" s="191"/>
      <c r="G38" s="192"/>
      <c r="H38" s="192"/>
      <c r="I38" s="192"/>
      <c r="J38" s="192"/>
      <c r="K38" s="192"/>
      <c r="L38" s="192"/>
      <c r="M38" s="192"/>
      <c r="N38" s="193"/>
    </row>
    <row r="39" spans="2:14">
      <c r="B39" s="191"/>
      <c r="C39" s="192"/>
      <c r="D39" s="192"/>
      <c r="E39" s="193"/>
      <c r="F39" s="191"/>
      <c r="G39" s="192"/>
      <c r="H39" s="192"/>
      <c r="I39" s="192"/>
      <c r="J39" s="192"/>
      <c r="K39" s="192"/>
      <c r="L39" s="192"/>
      <c r="M39" s="192"/>
      <c r="N39" s="193"/>
    </row>
    <row r="40" spans="2:14" ht="17.25" thickBot="1">
      <c r="B40" s="194"/>
      <c r="C40" s="195"/>
      <c r="D40" s="195"/>
      <c r="E40" s="196"/>
      <c r="F40" s="194"/>
      <c r="G40" s="195"/>
      <c r="H40" s="195"/>
      <c r="I40" s="195"/>
      <c r="J40" s="195"/>
      <c r="K40" s="195"/>
      <c r="L40" s="195"/>
      <c r="M40" s="195"/>
      <c r="N40" s="196"/>
    </row>
    <row r="41" spans="2:14" ht="18" thickTop="1" thickBot="1">
      <c r="B41" s="197" t="s">
        <v>158</v>
      </c>
      <c r="C41" s="198"/>
      <c r="D41" s="198"/>
      <c r="E41" s="199"/>
      <c r="F41" s="197" t="s">
        <v>157</v>
      </c>
      <c r="G41" s="198"/>
      <c r="H41" s="198"/>
      <c r="I41" s="198"/>
      <c r="J41" s="198"/>
      <c r="K41" s="198"/>
      <c r="L41" s="198"/>
      <c r="M41" s="198"/>
      <c r="N41" s="199"/>
    </row>
    <row r="42" spans="2:14" ht="17.25" thickTop="1">
      <c r="B42" s="188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90"/>
    </row>
    <row r="43" spans="2:14">
      <c r="B43" s="191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3"/>
    </row>
    <row r="44" spans="2:14">
      <c r="B44" s="191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3"/>
    </row>
    <row r="45" spans="2:14">
      <c r="B45" s="191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3"/>
    </row>
    <row r="46" spans="2:14">
      <c r="B46" s="191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3"/>
    </row>
    <row r="47" spans="2:14">
      <c r="B47" s="191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</row>
    <row r="48" spans="2:14">
      <c r="B48" s="191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</row>
    <row r="49" spans="2:14">
      <c r="B49" s="191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>
      <c r="B50" s="191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3"/>
    </row>
    <row r="51" spans="2:14">
      <c r="B51" s="191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3"/>
    </row>
    <row r="52" spans="2:14">
      <c r="B52" s="191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3"/>
    </row>
    <row r="53" spans="2:14">
      <c r="B53" s="191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3"/>
    </row>
    <row r="54" spans="2:14">
      <c r="B54" s="191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3"/>
    </row>
    <row r="55" spans="2:14">
      <c r="B55" s="191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3"/>
    </row>
    <row r="56" spans="2:14">
      <c r="B56" s="191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3"/>
    </row>
    <row r="57" spans="2:14">
      <c r="B57" s="191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3"/>
    </row>
    <row r="58" spans="2:14">
      <c r="B58" s="191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3"/>
    </row>
    <row r="59" spans="2:1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3"/>
    </row>
    <row r="60" spans="2:14">
      <c r="B60" s="191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3"/>
    </row>
    <row r="61" spans="2:14">
      <c r="B61" s="191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3"/>
    </row>
    <row r="62" spans="2:14" ht="17.25" thickBot="1">
      <c r="B62" s="194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6"/>
    </row>
    <row r="63" spans="2:14" ht="18" thickTop="1" thickBot="1">
      <c r="B63" s="197" t="s">
        <v>159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9"/>
    </row>
    <row r="64" spans="2:14" ht="17.25" thickTop="1">
      <c r="B64" s="188"/>
      <c r="C64" s="189"/>
      <c r="D64" s="189"/>
      <c r="E64" s="190"/>
      <c r="F64" s="188"/>
      <c r="G64" s="189"/>
      <c r="H64" s="189"/>
      <c r="I64" s="189"/>
      <c r="J64" s="189"/>
      <c r="K64" s="189"/>
      <c r="L64" s="189"/>
      <c r="M64" s="189"/>
      <c r="N64" s="190"/>
    </row>
    <row r="65" spans="2:14">
      <c r="B65" s="191"/>
      <c r="C65" s="192"/>
      <c r="D65" s="192"/>
      <c r="E65" s="193"/>
      <c r="F65" s="191"/>
      <c r="G65" s="192"/>
      <c r="H65" s="192"/>
      <c r="I65" s="192"/>
      <c r="J65" s="192"/>
      <c r="K65" s="192"/>
      <c r="L65" s="192"/>
      <c r="M65" s="192"/>
      <c r="N65" s="193"/>
    </row>
    <row r="66" spans="2:14">
      <c r="B66" s="191"/>
      <c r="C66" s="192"/>
      <c r="D66" s="192"/>
      <c r="E66" s="193"/>
      <c r="F66" s="191"/>
      <c r="G66" s="192"/>
      <c r="H66" s="192"/>
      <c r="I66" s="192"/>
      <c r="J66" s="192"/>
      <c r="K66" s="192"/>
      <c r="L66" s="192"/>
      <c r="M66" s="192"/>
      <c r="N66" s="193"/>
    </row>
    <row r="67" spans="2:14">
      <c r="B67" s="191"/>
      <c r="C67" s="192"/>
      <c r="D67" s="192"/>
      <c r="E67" s="193"/>
      <c r="F67" s="191"/>
      <c r="G67" s="192"/>
      <c r="H67" s="192"/>
      <c r="I67" s="192"/>
      <c r="J67" s="192"/>
      <c r="K67" s="192"/>
      <c r="L67" s="192"/>
      <c r="M67" s="192"/>
      <c r="N67" s="193"/>
    </row>
    <row r="68" spans="2:14">
      <c r="B68" s="191"/>
      <c r="C68" s="192"/>
      <c r="D68" s="192"/>
      <c r="E68" s="193"/>
      <c r="F68" s="191"/>
      <c r="G68" s="192"/>
      <c r="H68" s="192"/>
      <c r="I68" s="192"/>
      <c r="J68" s="192"/>
      <c r="K68" s="192"/>
      <c r="L68" s="192"/>
      <c r="M68" s="192"/>
      <c r="N68" s="193"/>
    </row>
    <row r="69" spans="2:14">
      <c r="B69" s="191"/>
      <c r="C69" s="192"/>
      <c r="D69" s="192"/>
      <c r="E69" s="193"/>
      <c r="F69" s="191"/>
      <c r="G69" s="192"/>
      <c r="H69" s="192"/>
      <c r="I69" s="192"/>
      <c r="J69" s="192"/>
      <c r="K69" s="192"/>
      <c r="L69" s="192"/>
      <c r="M69" s="192"/>
      <c r="N69" s="193"/>
    </row>
    <row r="70" spans="2:14">
      <c r="B70" s="191"/>
      <c r="C70" s="192"/>
      <c r="D70" s="192"/>
      <c r="E70" s="193"/>
      <c r="F70" s="191"/>
      <c r="G70" s="192"/>
      <c r="H70" s="192"/>
      <c r="I70" s="192"/>
      <c r="J70" s="192"/>
      <c r="K70" s="192"/>
      <c r="L70" s="192"/>
      <c r="M70" s="192"/>
      <c r="N70" s="193"/>
    </row>
    <row r="71" spans="2:14">
      <c r="B71" s="191"/>
      <c r="C71" s="192"/>
      <c r="D71" s="192"/>
      <c r="E71" s="193"/>
      <c r="F71" s="191"/>
      <c r="G71" s="192"/>
      <c r="H71" s="192"/>
      <c r="I71" s="192"/>
      <c r="J71" s="192"/>
      <c r="K71" s="192"/>
      <c r="L71" s="192"/>
      <c r="M71" s="192"/>
      <c r="N71" s="193"/>
    </row>
    <row r="72" spans="2:14">
      <c r="B72" s="191"/>
      <c r="C72" s="192"/>
      <c r="D72" s="192"/>
      <c r="E72" s="193"/>
      <c r="F72" s="191"/>
      <c r="G72" s="192"/>
      <c r="H72" s="192"/>
      <c r="I72" s="192"/>
      <c r="J72" s="192"/>
      <c r="K72" s="192"/>
      <c r="L72" s="192"/>
      <c r="M72" s="192"/>
      <c r="N72" s="193"/>
    </row>
    <row r="73" spans="2:14">
      <c r="B73" s="191"/>
      <c r="C73" s="192"/>
      <c r="D73" s="192"/>
      <c r="E73" s="193"/>
      <c r="F73" s="191"/>
      <c r="G73" s="192"/>
      <c r="H73" s="192"/>
      <c r="I73" s="192"/>
      <c r="J73" s="192"/>
      <c r="K73" s="192"/>
      <c r="L73" s="192"/>
      <c r="M73" s="192"/>
      <c r="N73" s="193"/>
    </row>
    <row r="74" spans="2:14">
      <c r="B74" s="191"/>
      <c r="C74" s="192"/>
      <c r="D74" s="192"/>
      <c r="E74" s="193"/>
      <c r="F74" s="191"/>
      <c r="G74" s="192"/>
      <c r="H74" s="192"/>
      <c r="I74" s="192"/>
      <c r="J74" s="192"/>
      <c r="K74" s="192"/>
      <c r="L74" s="192"/>
      <c r="M74" s="192"/>
      <c r="N74" s="193"/>
    </row>
    <row r="75" spans="2:14">
      <c r="B75" s="191"/>
      <c r="C75" s="192"/>
      <c r="D75" s="192"/>
      <c r="E75" s="193"/>
      <c r="F75" s="191"/>
      <c r="G75" s="192"/>
      <c r="H75" s="192"/>
      <c r="I75" s="192"/>
      <c r="J75" s="192"/>
      <c r="K75" s="192"/>
      <c r="L75" s="192"/>
      <c r="M75" s="192"/>
      <c r="N75" s="193"/>
    </row>
    <row r="76" spans="2:14">
      <c r="B76" s="191"/>
      <c r="C76" s="192"/>
      <c r="D76" s="192"/>
      <c r="E76" s="193"/>
      <c r="F76" s="191"/>
      <c r="G76" s="192"/>
      <c r="H76" s="192"/>
      <c r="I76" s="192"/>
      <c r="J76" s="192"/>
      <c r="K76" s="192"/>
      <c r="L76" s="192"/>
      <c r="M76" s="192"/>
      <c r="N76" s="193"/>
    </row>
    <row r="77" spans="2:14">
      <c r="B77" s="191"/>
      <c r="C77" s="192"/>
      <c r="D77" s="192"/>
      <c r="E77" s="193"/>
      <c r="F77" s="191"/>
      <c r="G77" s="192"/>
      <c r="H77" s="192"/>
      <c r="I77" s="192"/>
      <c r="J77" s="192"/>
      <c r="K77" s="192"/>
      <c r="L77" s="192"/>
      <c r="M77" s="192"/>
      <c r="N77" s="193"/>
    </row>
    <row r="78" spans="2:14">
      <c r="B78" s="191"/>
      <c r="C78" s="192"/>
      <c r="D78" s="192"/>
      <c r="E78" s="193"/>
      <c r="F78" s="191"/>
      <c r="G78" s="192"/>
      <c r="H78" s="192"/>
      <c r="I78" s="192"/>
      <c r="J78" s="192"/>
      <c r="K78" s="192"/>
      <c r="L78" s="192"/>
      <c r="M78" s="192"/>
      <c r="N78" s="193"/>
    </row>
    <row r="79" spans="2:14">
      <c r="B79" s="191"/>
      <c r="C79" s="192"/>
      <c r="D79" s="192"/>
      <c r="E79" s="193"/>
      <c r="F79" s="191"/>
      <c r="G79" s="192"/>
      <c r="H79" s="192"/>
      <c r="I79" s="192"/>
      <c r="J79" s="192"/>
      <c r="K79" s="192"/>
      <c r="L79" s="192"/>
      <c r="M79" s="192"/>
      <c r="N79" s="193"/>
    </row>
    <row r="80" spans="2:14">
      <c r="B80" s="191"/>
      <c r="C80" s="192"/>
      <c r="D80" s="192"/>
      <c r="E80" s="193"/>
      <c r="F80" s="191"/>
      <c r="G80" s="192"/>
      <c r="H80" s="192"/>
      <c r="I80" s="192"/>
      <c r="J80" s="192"/>
      <c r="K80" s="192"/>
      <c r="L80" s="192"/>
      <c r="M80" s="192"/>
      <c r="N80" s="193"/>
    </row>
    <row r="81" spans="2:14">
      <c r="B81" s="191"/>
      <c r="C81" s="192"/>
      <c r="D81" s="192"/>
      <c r="E81" s="193"/>
      <c r="F81" s="191"/>
      <c r="G81" s="192"/>
      <c r="H81" s="192"/>
      <c r="I81" s="192"/>
      <c r="J81" s="192"/>
      <c r="K81" s="192"/>
      <c r="L81" s="192"/>
      <c r="M81" s="192"/>
      <c r="N81" s="193"/>
    </row>
    <row r="82" spans="2:14">
      <c r="B82" s="191"/>
      <c r="C82" s="192"/>
      <c r="D82" s="192"/>
      <c r="E82" s="193"/>
      <c r="F82" s="191"/>
      <c r="G82" s="192"/>
      <c r="H82" s="192"/>
      <c r="I82" s="192"/>
      <c r="J82" s="192"/>
      <c r="K82" s="192"/>
      <c r="L82" s="192"/>
      <c r="M82" s="192"/>
      <c r="N82" s="193"/>
    </row>
    <row r="83" spans="2:14">
      <c r="B83" s="191"/>
      <c r="C83" s="192"/>
      <c r="D83" s="192"/>
      <c r="E83" s="193"/>
      <c r="F83" s="191"/>
      <c r="G83" s="192"/>
      <c r="H83" s="192"/>
      <c r="I83" s="192"/>
      <c r="J83" s="192"/>
      <c r="K83" s="192"/>
      <c r="L83" s="192"/>
      <c r="M83" s="192"/>
      <c r="N83" s="193"/>
    </row>
    <row r="84" spans="2:14" ht="17.25" thickBot="1">
      <c r="B84" s="194"/>
      <c r="C84" s="195"/>
      <c r="D84" s="195"/>
      <c r="E84" s="196"/>
      <c r="F84" s="194"/>
      <c r="G84" s="195"/>
      <c r="H84" s="195"/>
      <c r="I84" s="195"/>
      <c r="J84" s="195"/>
      <c r="K84" s="195"/>
      <c r="L84" s="195"/>
      <c r="M84" s="195"/>
      <c r="N84" s="196"/>
    </row>
    <row r="85" spans="2:14" ht="18" thickTop="1" thickBot="1">
      <c r="B85" s="197"/>
      <c r="C85" s="198"/>
      <c r="D85" s="198"/>
      <c r="E85" s="199"/>
      <c r="F85" s="197"/>
      <c r="G85" s="198"/>
      <c r="H85" s="198"/>
      <c r="I85" s="198"/>
      <c r="J85" s="198"/>
      <c r="K85" s="198"/>
      <c r="L85" s="198"/>
      <c r="M85" s="198"/>
      <c r="N85" s="199"/>
    </row>
    <row r="86" spans="2:14" ht="17.25" thickTop="1">
      <c r="B86" s="188"/>
      <c r="C86" s="189"/>
      <c r="D86" s="189"/>
      <c r="E86" s="190"/>
      <c r="F86" s="188"/>
      <c r="G86" s="189"/>
      <c r="H86" s="189"/>
      <c r="I86" s="189"/>
      <c r="J86" s="189"/>
      <c r="K86" s="189"/>
      <c r="L86" s="189"/>
      <c r="M86" s="189"/>
      <c r="N86" s="190"/>
    </row>
    <row r="87" spans="2:14">
      <c r="B87" s="191"/>
      <c r="C87" s="192"/>
      <c r="D87" s="192"/>
      <c r="E87" s="193"/>
      <c r="F87" s="191"/>
      <c r="G87" s="192"/>
      <c r="H87" s="192"/>
      <c r="I87" s="192"/>
      <c r="J87" s="192"/>
      <c r="K87" s="192"/>
      <c r="L87" s="192"/>
      <c r="M87" s="192"/>
      <c r="N87" s="193"/>
    </row>
    <row r="88" spans="2:14">
      <c r="B88" s="191"/>
      <c r="C88" s="192"/>
      <c r="D88" s="192"/>
      <c r="E88" s="193"/>
      <c r="F88" s="191"/>
      <c r="G88" s="192"/>
      <c r="H88" s="192"/>
      <c r="I88" s="192"/>
      <c r="J88" s="192"/>
      <c r="K88" s="192"/>
      <c r="L88" s="192"/>
      <c r="M88" s="192"/>
      <c r="N88" s="193"/>
    </row>
    <row r="89" spans="2:14">
      <c r="B89" s="191"/>
      <c r="C89" s="192"/>
      <c r="D89" s="192"/>
      <c r="E89" s="193"/>
      <c r="F89" s="191"/>
      <c r="G89" s="192"/>
      <c r="H89" s="192"/>
      <c r="I89" s="192"/>
      <c r="J89" s="192"/>
      <c r="K89" s="192"/>
      <c r="L89" s="192"/>
      <c r="M89" s="192"/>
      <c r="N89" s="193"/>
    </row>
    <row r="90" spans="2:14">
      <c r="B90" s="191"/>
      <c r="C90" s="192"/>
      <c r="D90" s="192"/>
      <c r="E90" s="193"/>
      <c r="F90" s="191"/>
      <c r="G90" s="192"/>
      <c r="H90" s="192"/>
      <c r="I90" s="192"/>
      <c r="J90" s="192"/>
      <c r="K90" s="192"/>
      <c r="L90" s="192"/>
      <c r="M90" s="192"/>
      <c r="N90" s="193"/>
    </row>
    <row r="91" spans="2:14">
      <c r="B91" s="191"/>
      <c r="C91" s="192"/>
      <c r="D91" s="192"/>
      <c r="E91" s="193"/>
      <c r="F91" s="191"/>
      <c r="G91" s="192"/>
      <c r="H91" s="192"/>
      <c r="I91" s="192"/>
      <c r="J91" s="192"/>
      <c r="K91" s="192"/>
      <c r="L91" s="192"/>
      <c r="M91" s="192"/>
      <c r="N91" s="193"/>
    </row>
    <row r="92" spans="2:14">
      <c r="B92" s="191"/>
      <c r="C92" s="192"/>
      <c r="D92" s="192"/>
      <c r="E92" s="193"/>
      <c r="F92" s="191"/>
      <c r="G92" s="192"/>
      <c r="H92" s="192"/>
      <c r="I92" s="192"/>
      <c r="J92" s="192"/>
      <c r="K92" s="192"/>
      <c r="L92" s="192"/>
      <c r="M92" s="192"/>
      <c r="N92" s="193"/>
    </row>
    <row r="93" spans="2:14">
      <c r="B93" s="191"/>
      <c r="C93" s="192"/>
      <c r="D93" s="192"/>
      <c r="E93" s="193"/>
      <c r="F93" s="191"/>
      <c r="G93" s="192"/>
      <c r="H93" s="192"/>
      <c r="I93" s="192"/>
      <c r="J93" s="192"/>
      <c r="K93" s="192"/>
      <c r="L93" s="192"/>
      <c r="M93" s="192"/>
      <c r="N93" s="193"/>
    </row>
    <row r="94" spans="2:14">
      <c r="B94" s="191"/>
      <c r="C94" s="192"/>
      <c r="D94" s="192"/>
      <c r="E94" s="193"/>
      <c r="F94" s="191"/>
      <c r="G94" s="192"/>
      <c r="H94" s="192"/>
      <c r="I94" s="192"/>
      <c r="J94" s="192"/>
      <c r="K94" s="192"/>
      <c r="L94" s="192"/>
      <c r="M94" s="192"/>
      <c r="N94" s="193"/>
    </row>
    <row r="95" spans="2:14">
      <c r="B95" s="191"/>
      <c r="C95" s="192"/>
      <c r="D95" s="192"/>
      <c r="E95" s="193"/>
      <c r="F95" s="191"/>
      <c r="G95" s="192"/>
      <c r="H95" s="192"/>
      <c r="I95" s="192"/>
      <c r="J95" s="192"/>
      <c r="K95" s="192"/>
      <c r="L95" s="192"/>
      <c r="M95" s="192"/>
      <c r="N95" s="193"/>
    </row>
    <row r="96" spans="2:14">
      <c r="B96" s="191"/>
      <c r="C96" s="192"/>
      <c r="D96" s="192"/>
      <c r="E96" s="193"/>
      <c r="F96" s="191"/>
      <c r="G96" s="192"/>
      <c r="H96" s="192"/>
      <c r="I96" s="192"/>
      <c r="J96" s="192"/>
      <c r="K96" s="192"/>
      <c r="L96" s="192"/>
      <c r="M96" s="192"/>
      <c r="N96" s="193"/>
    </row>
    <row r="97" spans="2:14">
      <c r="B97" s="191"/>
      <c r="C97" s="192"/>
      <c r="D97" s="192"/>
      <c r="E97" s="193"/>
      <c r="F97" s="191"/>
      <c r="G97" s="192"/>
      <c r="H97" s="192"/>
      <c r="I97" s="192"/>
      <c r="J97" s="192"/>
      <c r="K97" s="192"/>
      <c r="L97" s="192"/>
      <c r="M97" s="192"/>
      <c r="N97" s="193"/>
    </row>
    <row r="98" spans="2:14">
      <c r="B98" s="191"/>
      <c r="C98" s="192"/>
      <c r="D98" s="192"/>
      <c r="E98" s="193"/>
      <c r="F98" s="191"/>
      <c r="G98" s="192"/>
      <c r="H98" s="192"/>
      <c r="I98" s="192"/>
      <c r="J98" s="192"/>
      <c r="K98" s="192"/>
      <c r="L98" s="192"/>
      <c r="M98" s="192"/>
      <c r="N98" s="193"/>
    </row>
    <row r="99" spans="2:14">
      <c r="B99" s="191"/>
      <c r="C99" s="192"/>
      <c r="D99" s="192"/>
      <c r="E99" s="193"/>
      <c r="F99" s="191"/>
      <c r="G99" s="192"/>
      <c r="H99" s="192"/>
      <c r="I99" s="192"/>
      <c r="J99" s="192"/>
      <c r="K99" s="192"/>
      <c r="L99" s="192"/>
      <c r="M99" s="192"/>
      <c r="N99" s="193"/>
    </row>
    <row r="100" spans="2:14">
      <c r="B100" s="191"/>
      <c r="C100" s="192"/>
      <c r="D100" s="192"/>
      <c r="E100" s="193"/>
      <c r="F100" s="191"/>
      <c r="G100" s="192"/>
      <c r="H100" s="192"/>
      <c r="I100" s="192"/>
      <c r="J100" s="192"/>
      <c r="K100" s="192"/>
      <c r="L100" s="192"/>
      <c r="M100" s="192"/>
      <c r="N100" s="193"/>
    </row>
    <row r="101" spans="2:14">
      <c r="B101" s="191"/>
      <c r="C101" s="192"/>
      <c r="D101" s="192"/>
      <c r="E101" s="193"/>
      <c r="F101" s="191"/>
      <c r="G101" s="192"/>
      <c r="H101" s="192"/>
      <c r="I101" s="192"/>
      <c r="J101" s="192"/>
      <c r="K101" s="192"/>
      <c r="L101" s="192"/>
      <c r="M101" s="192"/>
      <c r="N101" s="193"/>
    </row>
    <row r="102" spans="2:14">
      <c r="B102" s="191"/>
      <c r="C102" s="192"/>
      <c r="D102" s="192"/>
      <c r="E102" s="193"/>
      <c r="F102" s="191"/>
      <c r="G102" s="192"/>
      <c r="H102" s="192"/>
      <c r="I102" s="192"/>
      <c r="J102" s="192"/>
      <c r="K102" s="192"/>
      <c r="L102" s="192"/>
      <c r="M102" s="192"/>
      <c r="N102" s="193"/>
    </row>
    <row r="103" spans="2:14">
      <c r="B103" s="191"/>
      <c r="C103" s="192"/>
      <c r="D103" s="192"/>
      <c r="E103" s="193"/>
      <c r="F103" s="191"/>
      <c r="G103" s="192"/>
      <c r="H103" s="192"/>
      <c r="I103" s="192"/>
      <c r="J103" s="192"/>
      <c r="K103" s="192"/>
      <c r="L103" s="192"/>
      <c r="M103" s="192"/>
      <c r="N103" s="193"/>
    </row>
    <row r="104" spans="2:14">
      <c r="B104" s="191"/>
      <c r="C104" s="192"/>
      <c r="D104" s="192"/>
      <c r="E104" s="193"/>
      <c r="F104" s="191"/>
      <c r="G104" s="192"/>
      <c r="H104" s="192"/>
      <c r="I104" s="192"/>
      <c r="J104" s="192"/>
      <c r="K104" s="192"/>
      <c r="L104" s="192"/>
      <c r="M104" s="192"/>
      <c r="N104" s="193"/>
    </row>
    <row r="105" spans="2:14">
      <c r="B105" s="191"/>
      <c r="C105" s="192"/>
      <c r="D105" s="192"/>
      <c r="E105" s="193"/>
      <c r="F105" s="191"/>
      <c r="G105" s="192"/>
      <c r="H105" s="192"/>
      <c r="I105" s="192"/>
      <c r="J105" s="192"/>
      <c r="K105" s="192"/>
      <c r="L105" s="192"/>
      <c r="M105" s="192"/>
      <c r="N105" s="193"/>
    </row>
    <row r="106" spans="2:14" ht="17.25" thickBot="1">
      <c r="B106" s="194"/>
      <c r="C106" s="195"/>
      <c r="D106" s="195"/>
      <c r="E106" s="196"/>
      <c r="F106" s="194"/>
      <c r="G106" s="195"/>
      <c r="H106" s="195"/>
      <c r="I106" s="195"/>
      <c r="J106" s="195"/>
      <c r="K106" s="195"/>
      <c r="L106" s="195"/>
      <c r="M106" s="195"/>
      <c r="N106" s="196"/>
    </row>
    <row r="107" spans="2:14" ht="18" thickTop="1" thickBot="1">
      <c r="B107" s="197"/>
      <c r="C107" s="198"/>
      <c r="D107" s="198"/>
      <c r="E107" s="199"/>
      <c r="F107" s="197"/>
      <c r="G107" s="198"/>
      <c r="H107" s="198"/>
      <c r="I107" s="198"/>
      <c r="J107" s="198"/>
      <c r="K107" s="198"/>
      <c r="L107" s="198"/>
      <c r="M107" s="198"/>
      <c r="N107" s="199"/>
    </row>
    <row r="108" spans="2:14" ht="17.25" thickTop="1">
      <c r="B108" s="188"/>
      <c r="C108" s="189"/>
      <c r="D108" s="189"/>
      <c r="E108" s="190"/>
      <c r="F108" s="188"/>
      <c r="G108" s="189"/>
      <c r="H108" s="189"/>
      <c r="I108" s="189"/>
      <c r="J108" s="189"/>
      <c r="K108" s="189"/>
      <c r="L108" s="189"/>
      <c r="M108" s="189"/>
      <c r="N108" s="190"/>
    </row>
    <row r="109" spans="2:14">
      <c r="B109" s="191"/>
      <c r="C109" s="192"/>
      <c r="D109" s="192"/>
      <c r="E109" s="193"/>
      <c r="F109" s="191"/>
      <c r="G109" s="192"/>
      <c r="H109" s="192"/>
      <c r="I109" s="192"/>
      <c r="J109" s="192"/>
      <c r="K109" s="192"/>
      <c r="L109" s="192"/>
      <c r="M109" s="192"/>
      <c r="N109" s="193"/>
    </row>
    <row r="110" spans="2:14">
      <c r="B110" s="191"/>
      <c r="C110" s="192"/>
      <c r="D110" s="192"/>
      <c r="E110" s="193"/>
      <c r="F110" s="191"/>
      <c r="G110" s="192"/>
      <c r="H110" s="192"/>
      <c r="I110" s="192"/>
      <c r="J110" s="192"/>
      <c r="K110" s="192"/>
      <c r="L110" s="192"/>
      <c r="M110" s="192"/>
      <c r="N110" s="193"/>
    </row>
    <row r="111" spans="2:14">
      <c r="B111" s="191"/>
      <c r="C111" s="192"/>
      <c r="D111" s="192"/>
      <c r="E111" s="193"/>
      <c r="F111" s="191"/>
      <c r="G111" s="192"/>
      <c r="H111" s="192"/>
      <c r="I111" s="192"/>
      <c r="J111" s="192"/>
      <c r="K111" s="192"/>
      <c r="L111" s="192"/>
      <c r="M111" s="192"/>
      <c r="N111" s="193"/>
    </row>
    <row r="112" spans="2:14">
      <c r="B112" s="191"/>
      <c r="C112" s="192"/>
      <c r="D112" s="192"/>
      <c r="E112" s="193"/>
      <c r="F112" s="191"/>
      <c r="G112" s="192"/>
      <c r="H112" s="192"/>
      <c r="I112" s="192"/>
      <c r="J112" s="192"/>
      <c r="K112" s="192"/>
      <c r="L112" s="192"/>
      <c r="M112" s="192"/>
      <c r="N112" s="193"/>
    </row>
    <row r="113" spans="2:14">
      <c r="B113" s="191"/>
      <c r="C113" s="192"/>
      <c r="D113" s="192"/>
      <c r="E113" s="193"/>
      <c r="F113" s="191"/>
      <c r="G113" s="192"/>
      <c r="H113" s="192"/>
      <c r="I113" s="192"/>
      <c r="J113" s="192"/>
      <c r="K113" s="192"/>
      <c r="L113" s="192"/>
      <c r="M113" s="192"/>
      <c r="N113" s="193"/>
    </row>
    <row r="114" spans="2:14">
      <c r="B114" s="191"/>
      <c r="C114" s="192"/>
      <c r="D114" s="192"/>
      <c r="E114" s="193"/>
      <c r="F114" s="191"/>
      <c r="G114" s="192"/>
      <c r="H114" s="192"/>
      <c r="I114" s="192"/>
      <c r="J114" s="192"/>
      <c r="K114" s="192"/>
      <c r="L114" s="192"/>
      <c r="M114" s="192"/>
      <c r="N114" s="193"/>
    </row>
    <row r="115" spans="2:14">
      <c r="B115" s="191"/>
      <c r="C115" s="192"/>
      <c r="D115" s="192"/>
      <c r="E115" s="193"/>
      <c r="F115" s="191"/>
      <c r="G115" s="192"/>
      <c r="H115" s="192"/>
      <c r="I115" s="192"/>
      <c r="J115" s="192"/>
      <c r="K115" s="192"/>
      <c r="L115" s="192"/>
      <c r="M115" s="192"/>
      <c r="N115" s="193"/>
    </row>
    <row r="116" spans="2:14">
      <c r="B116" s="191"/>
      <c r="C116" s="192"/>
      <c r="D116" s="192"/>
      <c r="E116" s="193"/>
      <c r="F116" s="191"/>
      <c r="G116" s="192"/>
      <c r="H116" s="192"/>
      <c r="I116" s="192"/>
      <c r="J116" s="192"/>
      <c r="K116" s="192"/>
      <c r="L116" s="192"/>
      <c r="M116" s="192"/>
      <c r="N116" s="193"/>
    </row>
    <row r="117" spans="2:14">
      <c r="B117" s="191"/>
      <c r="C117" s="192"/>
      <c r="D117" s="192"/>
      <c r="E117" s="193"/>
      <c r="F117" s="191"/>
      <c r="G117" s="192"/>
      <c r="H117" s="192"/>
      <c r="I117" s="192"/>
      <c r="J117" s="192"/>
      <c r="K117" s="192"/>
      <c r="L117" s="192"/>
      <c r="M117" s="192"/>
      <c r="N117" s="193"/>
    </row>
    <row r="118" spans="2:14">
      <c r="B118" s="191"/>
      <c r="C118" s="192"/>
      <c r="D118" s="192"/>
      <c r="E118" s="193"/>
      <c r="F118" s="191"/>
      <c r="G118" s="192"/>
      <c r="H118" s="192"/>
      <c r="I118" s="192"/>
      <c r="J118" s="192"/>
      <c r="K118" s="192"/>
      <c r="L118" s="192"/>
      <c r="M118" s="192"/>
      <c r="N118" s="193"/>
    </row>
    <row r="119" spans="2:14">
      <c r="B119" s="191"/>
      <c r="C119" s="192"/>
      <c r="D119" s="192"/>
      <c r="E119" s="193"/>
      <c r="F119" s="191"/>
      <c r="G119" s="192"/>
      <c r="H119" s="192"/>
      <c r="I119" s="192"/>
      <c r="J119" s="192"/>
      <c r="K119" s="192"/>
      <c r="L119" s="192"/>
      <c r="M119" s="192"/>
      <c r="N119" s="193"/>
    </row>
    <row r="120" spans="2:14">
      <c r="B120" s="191"/>
      <c r="C120" s="192"/>
      <c r="D120" s="192"/>
      <c r="E120" s="193"/>
      <c r="F120" s="191"/>
      <c r="G120" s="192"/>
      <c r="H120" s="192"/>
      <c r="I120" s="192"/>
      <c r="J120" s="192"/>
      <c r="K120" s="192"/>
      <c r="L120" s="192"/>
      <c r="M120" s="192"/>
      <c r="N120" s="193"/>
    </row>
    <row r="121" spans="2:14">
      <c r="B121" s="191"/>
      <c r="C121" s="192"/>
      <c r="D121" s="192"/>
      <c r="E121" s="193"/>
      <c r="F121" s="191"/>
      <c r="G121" s="192"/>
      <c r="H121" s="192"/>
      <c r="I121" s="192"/>
      <c r="J121" s="192"/>
      <c r="K121" s="192"/>
      <c r="L121" s="192"/>
      <c r="M121" s="192"/>
      <c r="N121" s="193"/>
    </row>
    <row r="122" spans="2:14">
      <c r="B122" s="191"/>
      <c r="C122" s="192"/>
      <c r="D122" s="192"/>
      <c r="E122" s="193"/>
      <c r="F122" s="191"/>
      <c r="G122" s="192"/>
      <c r="H122" s="192"/>
      <c r="I122" s="192"/>
      <c r="J122" s="192"/>
      <c r="K122" s="192"/>
      <c r="L122" s="192"/>
      <c r="M122" s="192"/>
      <c r="N122" s="193"/>
    </row>
    <row r="123" spans="2:14">
      <c r="B123" s="191"/>
      <c r="C123" s="192"/>
      <c r="D123" s="192"/>
      <c r="E123" s="193"/>
      <c r="F123" s="191"/>
      <c r="G123" s="192"/>
      <c r="H123" s="192"/>
      <c r="I123" s="192"/>
      <c r="J123" s="192"/>
      <c r="K123" s="192"/>
      <c r="L123" s="192"/>
      <c r="M123" s="192"/>
      <c r="N123" s="193"/>
    </row>
    <row r="124" spans="2:14">
      <c r="B124" s="191"/>
      <c r="C124" s="192"/>
      <c r="D124" s="192"/>
      <c r="E124" s="193"/>
      <c r="F124" s="191"/>
      <c r="G124" s="192"/>
      <c r="H124" s="192"/>
      <c r="I124" s="192"/>
      <c r="J124" s="192"/>
      <c r="K124" s="192"/>
      <c r="L124" s="192"/>
      <c r="M124" s="192"/>
      <c r="N124" s="193"/>
    </row>
    <row r="125" spans="2:14">
      <c r="B125" s="191"/>
      <c r="C125" s="192"/>
      <c r="D125" s="192"/>
      <c r="E125" s="193"/>
      <c r="F125" s="191"/>
      <c r="G125" s="192"/>
      <c r="H125" s="192"/>
      <c r="I125" s="192"/>
      <c r="J125" s="192"/>
      <c r="K125" s="192"/>
      <c r="L125" s="192"/>
      <c r="M125" s="192"/>
      <c r="N125" s="193"/>
    </row>
    <row r="126" spans="2:14">
      <c r="B126" s="191"/>
      <c r="C126" s="192"/>
      <c r="D126" s="192"/>
      <c r="E126" s="193"/>
      <c r="F126" s="191"/>
      <c r="G126" s="192"/>
      <c r="H126" s="192"/>
      <c r="I126" s="192"/>
      <c r="J126" s="192"/>
      <c r="K126" s="192"/>
      <c r="L126" s="192"/>
      <c r="M126" s="192"/>
      <c r="N126" s="193"/>
    </row>
    <row r="127" spans="2:14">
      <c r="B127" s="191"/>
      <c r="C127" s="192"/>
      <c r="D127" s="192"/>
      <c r="E127" s="193"/>
      <c r="F127" s="191"/>
      <c r="G127" s="192"/>
      <c r="H127" s="192"/>
      <c r="I127" s="192"/>
      <c r="J127" s="192"/>
      <c r="K127" s="192"/>
      <c r="L127" s="192"/>
      <c r="M127" s="192"/>
      <c r="N127" s="193"/>
    </row>
    <row r="128" spans="2:14" ht="17.25" thickBot="1">
      <c r="B128" s="194"/>
      <c r="C128" s="195"/>
      <c r="D128" s="195"/>
      <c r="E128" s="196"/>
      <c r="F128" s="194"/>
      <c r="G128" s="195"/>
      <c r="H128" s="195"/>
      <c r="I128" s="195"/>
      <c r="J128" s="195"/>
      <c r="K128" s="195"/>
      <c r="L128" s="195"/>
      <c r="M128" s="195"/>
      <c r="N128" s="196"/>
    </row>
    <row r="129" spans="2:14" ht="18" thickTop="1" thickBot="1">
      <c r="B129" s="197"/>
      <c r="C129" s="198"/>
      <c r="D129" s="198"/>
      <c r="E129" s="199"/>
      <c r="F129" s="197"/>
      <c r="G129" s="198"/>
      <c r="H129" s="198"/>
      <c r="I129" s="198"/>
      <c r="J129" s="198"/>
      <c r="K129" s="198"/>
      <c r="L129" s="198"/>
      <c r="M129" s="198"/>
      <c r="N129" s="199"/>
    </row>
    <row r="130" spans="2:14" ht="17.25" thickTop="1"/>
  </sheetData>
  <mergeCells count="20">
    <mergeCell ref="B41:E41"/>
    <mergeCell ref="F41:N41"/>
    <mergeCell ref="B42:N62"/>
    <mergeCell ref="B63:N63"/>
    <mergeCell ref="A18:M18"/>
    <mergeCell ref="B19:N19"/>
    <mergeCell ref="B20:E40"/>
    <mergeCell ref="F20:N40"/>
    <mergeCell ref="B64:E84"/>
    <mergeCell ref="F64:N84"/>
    <mergeCell ref="B85:E85"/>
    <mergeCell ref="F85:N85"/>
    <mergeCell ref="B129:E129"/>
    <mergeCell ref="F129:N129"/>
    <mergeCell ref="B86:E106"/>
    <mergeCell ref="F86:N106"/>
    <mergeCell ref="B107:E107"/>
    <mergeCell ref="F107:N107"/>
    <mergeCell ref="B108:E128"/>
    <mergeCell ref="F108:N128"/>
  </mergeCells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70" zoomScaleNormal="70" zoomScaleSheetLayoutView="70" workbookViewId="0">
      <selection activeCell="C20" sqref="C20:F20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04" t="s">
        <v>69</v>
      </c>
      <c r="C1" s="205"/>
      <c r="D1" s="205"/>
      <c r="E1" s="205"/>
      <c r="F1" s="205"/>
      <c r="G1" s="70"/>
    </row>
    <row r="2" spans="1:7" ht="21" customHeight="1">
      <c r="B2" s="205"/>
      <c r="C2" s="205"/>
      <c r="D2" s="205"/>
      <c r="E2" s="205"/>
      <c r="F2" s="205"/>
      <c r="G2" s="70"/>
    </row>
    <row r="3" spans="1:7" ht="9.6" customHeight="1" thickBot="1">
      <c r="A3" s="206"/>
      <c r="B3" s="206"/>
      <c r="C3" s="206"/>
      <c r="D3" s="206"/>
      <c r="E3" s="206"/>
      <c r="F3" s="206"/>
      <c r="G3" s="70"/>
    </row>
    <row r="4" spans="1:7" ht="34.9" customHeight="1">
      <c r="A4" s="71"/>
      <c r="B4" s="72" t="s">
        <v>70</v>
      </c>
      <c r="C4" s="73" t="s">
        <v>64</v>
      </c>
      <c r="D4" s="74" t="s">
        <v>71</v>
      </c>
      <c r="E4" s="207" t="str">
        <f>갑지!A8</f>
        <v xml:space="preserve"> 견적일 : 2025년  09 월  08 일</v>
      </c>
      <c r="F4" s="208"/>
    </row>
    <row r="5" spans="1:7" ht="34.9" customHeight="1">
      <c r="A5" s="75"/>
      <c r="B5" s="76" t="s">
        <v>72</v>
      </c>
      <c r="C5" s="209" t="str">
        <f>갑지!A6</f>
        <v xml:space="preserve"> 공사명 : 기숙사 A,B동 급,배기팬 자동 구리스 주입기 교체공사</v>
      </c>
      <c r="D5" s="210"/>
      <c r="E5" s="210"/>
      <c r="F5" s="211"/>
      <c r="G5" s="77"/>
    </row>
    <row r="6" spans="1:7" ht="23.45" customHeight="1">
      <c r="A6" s="75"/>
      <c r="B6" s="212" t="s">
        <v>73</v>
      </c>
      <c r="C6" s="215" t="s">
        <v>74</v>
      </c>
      <c r="D6" s="216"/>
      <c r="E6" s="216"/>
      <c r="F6" s="217"/>
      <c r="G6" s="70"/>
    </row>
    <row r="7" spans="1:7" ht="23.45" customHeight="1">
      <c r="A7" s="75"/>
      <c r="B7" s="213"/>
      <c r="C7" s="218" t="s">
        <v>118</v>
      </c>
      <c r="D7" s="219"/>
      <c r="E7" s="219"/>
      <c r="F7" s="220"/>
      <c r="G7" s="70"/>
    </row>
    <row r="8" spans="1:7" ht="23.45" customHeight="1">
      <c r="A8" s="75"/>
      <c r="B8" s="213"/>
      <c r="C8" s="218" t="s">
        <v>75</v>
      </c>
      <c r="D8" s="219"/>
      <c r="E8" s="219"/>
      <c r="F8" s="220"/>
      <c r="G8" s="70"/>
    </row>
    <row r="9" spans="1:7" ht="23.45" customHeight="1">
      <c r="A9" s="75"/>
      <c r="B9" s="213"/>
      <c r="C9" s="201" t="s">
        <v>151</v>
      </c>
      <c r="D9" s="202"/>
      <c r="E9" s="202"/>
      <c r="F9" s="203"/>
      <c r="G9" s="70"/>
    </row>
    <row r="10" spans="1:7" ht="23.45" customHeight="1">
      <c r="A10" s="75"/>
      <c r="B10" s="213"/>
      <c r="C10" s="201" t="s">
        <v>152</v>
      </c>
      <c r="D10" s="202"/>
      <c r="E10" s="202"/>
      <c r="F10" s="203"/>
      <c r="G10" s="70"/>
    </row>
    <row r="11" spans="1:7" ht="23.45" customHeight="1">
      <c r="A11" s="75"/>
      <c r="B11" s="213"/>
      <c r="C11" s="201" t="s">
        <v>153</v>
      </c>
      <c r="D11" s="202"/>
      <c r="E11" s="202"/>
      <c r="F11" s="203"/>
      <c r="G11" s="70"/>
    </row>
    <row r="12" spans="1:7" ht="23.45" customHeight="1">
      <c r="A12" s="75"/>
      <c r="B12" s="213"/>
      <c r="C12" s="201" t="s">
        <v>142</v>
      </c>
      <c r="D12" s="202"/>
      <c r="E12" s="202"/>
      <c r="F12" s="203"/>
      <c r="G12" s="70"/>
    </row>
    <row r="13" spans="1:7" ht="23.45" customHeight="1">
      <c r="A13" s="75"/>
      <c r="B13" s="213"/>
      <c r="C13" s="201"/>
      <c r="D13" s="202"/>
      <c r="E13" s="202"/>
      <c r="F13" s="203"/>
      <c r="G13" s="70"/>
    </row>
    <row r="14" spans="1:7" ht="23.45" customHeight="1">
      <c r="A14" s="75"/>
      <c r="B14" s="213"/>
      <c r="C14" s="201"/>
      <c r="D14" s="202"/>
      <c r="E14" s="202"/>
      <c r="F14" s="203"/>
      <c r="G14" s="70"/>
    </row>
    <row r="15" spans="1:7" ht="23.45" customHeight="1">
      <c r="A15" s="75"/>
      <c r="B15" s="213"/>
      <c r="C15" s="201"/>
      <c r="D15" s="202"/>
      <c r="E15" s="202"/>
      <c r="F15" s="203"/>
      <c r="G15" s="70"/>
    </row>
    <row r="16" spans="1:7" ht="23.45" customHeight="1">
      <c r="A16" s="75"/>
      <c r="B16" s="213"/>
      <c r="C16" s="201"/>
      <c r="D16" s="202"/>
      <c r="E16" s="202"/>
      <c r="F16" s="203"/>
      <c r="G16" s="70"/>
    </row>
    <row r="17" spans="1:7" ht="23.45" customHeight="1">
      <c r="A17" s="75"/>
      <c r="B17" s="213"/>
      <c r="C17" s="118"/>
      <c r="D17" s="119"/>
      <c r="E17" s="119"/>
      <c r="F17" s="120"/>
      <c r="G17" s="70"/>
    </row>
    <row r="18" spans="1:7" ht="23.45" customHeight="1">
      <c r="A18" s="75"/>
      <c r="B18" s="213"/>
      <c r="C18" s="201"/>
      <c r="D18" s="221"/>
      <c r="E18" s="221"/>
      <c r="F18" s="222"/>
    </row>
    <row r="19" spans="1:7" ht="23.45" customHeight="1">
      <c r="A19" s="75"/>
      <c r="B19" s="213"/>
      <c r="C19" s="201"/>
      <c r="D19" s="221"/>
      <c r="E19" s="221"/>
      <c r="F19" s="222"/>
    </row>
    <row r="20" spans="1:7" ht="23.45" customHeight="1">
      <c r="A20" s="75"/>
      <c r="B20" s="213"/>
      <c r="C20" s="223" t="s">
        <v>108</v>
      </c>
      <c r="D20" s="224"/>
      <c r="E20" s="224"/>
      <c r="F20" s="225"/>
    </row>
    <row r="21" spans="1:7" ht="23.45" customHeight="1">
      <c r="A21" s="75"/>
      <c r="B21" s="213"/>
      <c r="C21" s="223" t="s">
        <v>76</v>
      </c>
      <c r="D21" s="224"/>
      <c r="E21" s="224"/>
      <c r="F21" s="225"/>
    </row>
    <row r="22" spans="1:7" ht="23.45" customHeight="1">
      <c r="A22" s="75"/>
      <c r="B22" s="213"/>
      <c r="C22" s="201" t="s">
        <v>109</v>
      </c>
      <c r="D22" s="202"/>
      <c r="E22" s="202"/>
      <c r="F22" s="203"/>
    </row>
    <row r="23" spans="1:7" ht="23.45" customHeight="1">
      <c r="A23" s="75"/>
      <c r="B23" s="213"/>
      <c r="C23" s="201" t="s">
        <v>110</v>
      </c>
      <c r="D23" s="202"/>
      <c r="E23" s="202"/>
      <c r="F23" s="203"/>
    </row>
    <row r="24" spans="1:7" ht="23.45" customHeight="1">
      <c r="A24" s="75"/>
      <c r="B24" s="213"/>
      <c r="C24" s="228" t="s">
        <v>111</v>
      </c>
      <c r="D24" s="229"/>
      <c r="E24" s="229"/>
      <c r="F24" s="230"/>
    </row>
    <row r="25" spans="1:7" ht="23.45" customHeight="1">
      <c r="A25" s="75"/>
      <c r="B25" s="213"/>
      <c r="C25" s="201" t="s">
        <v>112</v>
      </c>
      <c r="D25" s="202"/>
      <c r="E25" s="202"/>
      <c r="F25" s="203"/>
    </row>
    <row r="26" spans="1:7" ht="23.45" customHeight="1">
      <c r="A26" s="75"/>
      <c r="B26" s="213"/>
      <c r="C26" s="201" t="s">
        <v>113</v>
      </c>
      <c r="D26" s="202"/>
      <c r="E26" s="202"/>
      <c r="F26" s="203"/>
    </row>
    <row r="27" spans="1:7" ht="23.45" customHeight="1">
      <c r="A27" s="75"/>
      <c r="B27" s="213"/>
      <c r="C27" s="201" t="s">
        <v>114</v>
      </c>
      <c r="D27" s="202"/>
      <c r="E27" s="202"/>
      <c r="F27" s="203"/>
    </row>
    <row r="28" spans="1:7" ht="23.45" customHeight="1">
      <c r="A28" s="75"/>
      <c r="B28" s="213"/>
      <c r="C28" s="201" t="s">
        <v>115</v>
      </c>
      <c r="D28" s="202"/>
      <c r="E28" s="202"/>
      <c r="F28" s="203"/>
    </row>
    <row r="29" spans="1:7" ht="23.45" customHeight="1">
      <c r="A29" s="75"/>
      <c r="B29" s="213"/>
      <c r="C29" s="201" t="s">
        <v>116</v>
      </c>
      <c r="D29" s="202"/>
      <c r="E29" s="202"/>
      <c r="F29" s="203"/>
    </row>
    <row r="30" spans="1:7" ht="23.45" customHeight="1">
      <c r="A30" s="75"/>
      <c r="B30" s="213"/>
      <c r="C30" s="236" t="s">
        <v>117</v>
      </c>
      <c r="D30" s="237"/>
      <c r="E30" s="237"/>
      <c r="F30" s="238"/>
    </row>
    <row r="31" spans="1:7" ht="23.45" customHeight="1">
      <c r="A31" s="75"/>
      <c r="B31" s="213"/>
      <c r="C31" s="223" t="s">
        <v>99</v>
      </c>
      <c r="D31" s="231"/>
      <c r="E31" s="231"/>
      <c r="F31" s="232"/>
    </row>
    <row r="32" spans="1:7" ht="23.45" customHeight="1">
      <c r="A32" s="75"/>
      <c r="B32" s="213"/>
      <c r="C32" s="223"/>
      <c r="D32" s="231"/>
      <c r="E32" s="231"/>
      <c r="F32" s="232"/>
    </row>
    <row r="33" spans="1:6" ht="23.45" customHeight="1">
      <c r="A33" s="75"/>
      <c r="B33" s="213"/>
      <c r="C33" s="223"/>
      <c r="D33" s="231"/>
      <c r="E33" s="231"/>
      <c r="F33" s="232"/>
    </row>
    <row r="34" spans="1:6" ht="23.45" customHeight="1">
      <c r="A34" s="75"/>
      <c r="B34" s="214"/>
      <c r="C34" s="233"/>
      <c r="D34" s="234"/>
      <c r="E34" s="234"/>
      <c r="F34" s="235"/>
    </row>
    <row r="35" spans="1:6" ht="50.45" customHeight="1">
      <c r="A35" s="75"/>
      <c r="B35" s="76" t="s">
        <v>77</v>
      </c>
      <c r="C35" s="78" t="s">
        <v>78</v>
      </c>
      <c r="D35" s="226" t="s">
        <v>79</v>
      </c>
      <c r="E35" s="226"/>
      <c r="F35" s="227"/>
    </row>
    <row r="36" spans="1:6" ht="50.45" customHeight="1">
      <c r="A36" s="75"/>
      <c r="B36" s="76" t="s">
        <v>83</v>
      </c>
      <c r="C36" s="78" t="s">
        <v>80</v>
      </c>
      <c r="D36" s="226" t="s">
        <v>81</v>
      </c>
      <c r="E36" s="226"/>
      <c r="F36" s="227"/>
    </row>
    <row r="37" spans="1:6" ht="25.15" customHeight="1">
      <c r="B37" s="79"/>
      <c r="C37" s="79"/>
      <c r="D37" s="80"/>
      <c r="E37" s="79"/>
      <c r="F37" s="70"/>
    </row>
    <row r="38" spans="1:6" ht="25.15" customHeight="1">
      <c r="B38" s="79"/>
      <c r="C38" s="79"/>
      <c r="D38" s="80"/>
      <c r="E38" s="79"/>
      <c r="F38" s="70"/>
    </row>
    <row r="39" spans="1:6" ht="25.15" customHeight="1">
      <c r="B39" s="79"/>
      <c r="C39" s="79"/>
      <c r="D39" s="80"/>
      <c r="E39" s="79"/>
      <c r="F39" s="70"/>
    </row>
    <row r="40" spans="1:6" ht="25.15" customHeight="1">
      <c r="B40" s="79"/>
      <c r="C40" s="79"/>
      <c r="D40" s="80"/>
      <c r="E40" s="79"/>
      <c r="F40" s="70"/>
    </row>
    <row r="41" spans="1:6" ht="25.15" customHeight="1">
      <c r="B41" s="79"/>
      <c r="C41" s="79"/>
      <c r="D41" s="80"/>
      <c r="E41" s="79"/>
      <c r="F41" s="70"/>
    </row>
    <row r="42" spans="1:6" ht="25.15" customHeight="1">
      <c r="B42" s="79"/>
      <c r="C42" s="79"/>
      <c r="D42" s="80"/>
      <c r="E42" s="79"/>
      <c r="F42" s="70"/>
    </row>
    <row r="43" spans="1:6" ht="25.15" customHeight="1">
      <c r="B43" s="79"/>
      <c r="C43" s="79"/>
      <c r="D43" s="80"/>
      <c r="E43" s="79"/>
      <c r="F43" s="70"/>
    </row>
    <row r="44" spans="1:6" ht="25.15" customHeight="1">
      <c r="B44" s="79"/>
      <c r="C44" s="79"/>
      <c r="D44" s="80"/>
      <c r="E44" s="79"/>
      <c r="F44" s="70"/>
    </row>
    <row r="45" spans="1:6" ht="25.15" customHeight="1">
      <c r="B45" s="79"/>
      <c r="C45" s="79"/>
      <c r="D45" s="80"/>
      <c r="E45" s="79"/>
      <c r="F45" s="70"/>
    </row>
    <row r="46" spans="1:6" ht="25.15" customHeight="1">
      <c r="B46" s="79"/>
      <c r="C46" s="79"/>
      <c r="D46" s="80"/>
      <c r="E46" s="79"/>
      <c r="F46" s="70"/>
    </row>
    <row r="47" spans="1:6" ht="25.15" customHeight="1">
      <c r="B47" s="79"/>
      <c r="C47" s="79"/>
      <c r="D47" s="80"/>
      <c r="E47" s="79"/>
      <c r="F47" s="70"/>
    </row>
    <row r="48" spans="1:6" ht="25.15" customHeight="1">
      <c r="B48" s="79"/>
      <c r="C48" s="79"/>
      <c r="D48" s="80"/>
      <c r="E48" s="79"/>
      <c r="F48" s="70"/>
    </row>
    <row r="49" spans="2:6" ht="25.15" customHeight="1">
      <c r="B49" s="79"/>
      <c r="C49" s="79"/>
      <c r="D49" s="80"/>
      <c r="E49" s="79"/>
      <c r="F49" s="70"/>
    </row>
    <row r="50" spans="2:6" ht="25.15" customHeight="1">
      <c r="B50" s="79"/>
      <c r="C50" s="79"/>
      <c r="D50" s="80"/>
      <c r="E50" s="79"/>
      <c r="F50" s="70"/>
    </row>
    <row r="51" spans="2:6" ht="25.15" customHeight="1">
      <c r="B51" s="79"/>
      <c r="C51" s="79"/>
      <c r="D51" s="80"/>
      <c r="E51" s="79"/>
      <c r="F51" s="70"/>
    </row>
    <row r="52" spans="2:6" ht="25.15" customHeight="1">
      <c r="B52" s="79"/>
      <c r="C52" s="79"/>
      <c r="D52" s="80"/>
      <c r="E52" s="79"/>
      <c r="F52" s="70"/>
    </row>
    <row r="53" spans="2:6" ht="25.15" customHeight="1">
      <c r="B53" s="79"/>
      <c r="C53" s="79"/>
      <c r="D53" s="80"/>
      <c r="E53" s="79"/>
      <c r="F53" s="70"/>
    </row>
  </sheetData>
  <mergeCells count="35"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7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42" sqref="C42"/>
    </sheetView>
  </sheetViews>
  <sheetFormatPr defaultRowHeight="11.25"/>
  <cols>
    <col min="1" max="1" width="51.875" style="115" bestFit="1" customWidth="1"/>
    <col min="2" max="2" width="42.625" style="162" bestFit="1" customWidth="1"/>
    <col min="3" max="3" width="8.5" style="115" customWidth="1"/>
    <col min="4" max="4" width="8.5" style="155" customWidth="1"/>
    <col min="5" max="5" width="119.75" style="163" bestFit="1" customWidth="1"/>
    <col min="6" max="6" width="15.375" style="115" customWidth="1"/>
    <col min="7" max="7" width="13.75" style="115" customWidth="1"/>
    <col min="8" max="256" width="9" style="115"/>
    <col min="257" max="257" width="35.625" style="115" customWidth="1"/>
    <col min="258" max="258" width="17.5" style="115" customWidth="1"/>
    <col min="259" max="260" width="8.5" style="115" customWidth="1"/>
    <col min="261" max="261" width="119.75" style="115" bestFit="1" customWidth="1"/>
    <col min="262" max="262" width="15.375" style="115" customWidth="1"/>
    <col min="263" max="263" width="13.75" style="115" customWidth="1"/>
    <col min="264" max="512" width="9" style="115"/>
    <col min="513" max="513" width="35.625" style="115" customWidth="1"/>
    <col min="514" max="514" width="17.5" style="115" customWidth="1"/>
    <col min="515" max="516" width="8.5" style="115" customWidth="1"/>
    <col min="517" max="517" width="119.75" style="115" bestFit="1" customWidth="1"/>
    <col min="518" max="518" width="15.375" style="115" customWidth="1"/>
    <col min="519" max="519" width="13.75" style="115" customWidth="1"/>
    <col min="520" max="768" width="9" style="115"/>
    <col min="769" max="769" width="35.625" style="115" customWidth="1"/>
    <col min="770" max="770" width="17.5" style="115" customWidth="1"/>
    <col min="771" max="772" width="8.5" style="115" customWidth="1"/>
    <col min="773" max="773" width="119.75" style="115" bestFit="1" customWidth="1"/>
    <col min="774" max="774" width="15.375" style="115" customWidth="1"/>
    <col min="775" max="775" width="13.75" style="115" customWidth="1"/>
    <col min="776" max="1024" width="9" style="115"/>
    <col min="1025" max="1025" width="35.625" style="115" customWidth="1"/>
    <col min="1026" max="1026" width="17.5" style="115" customWidth="1"/>
    <col min="1027" max="1028" width="8.5" style="115" customWidth="1"/>
    <col min="1029" max="1029" width="119.75" style="115" bestFit="1" customWidth="1"/>
    <col min="1030" max="1030" width="15.375" style="115" customWidth="1"/>
    <col min="1031" max="1031" width="13.75" style="115" customWidth="1"/>
    <col min="1032" max="1280" width="9" style="115"/>
    <col min="1281" max="1281" width="35.625" style="115" customWidth="1"/>
    <col min="1282" max="1282" width="17.5" style="115" customWidth="1"/>
    <col min="1283" max="1284" width="8.5" style="115" customWidth="1"/>
    <col min="1285" max="1285" width="119.75" style="115" bestFit="1" customWidth="1"/>
    <col min="1286" max="1286" width="15.375" style="115" customWidth="1"/>
    <col min="1287" max="1287" width="13.75" style="115" customWidth="1"/>
    <col min="1288" max="1536" width="9" style="115"/>
    <col min="1537" max="1537" width="35.625" style="115" customWidth="1"/>
    <col min="1538" max="1538" width="17.5" style="115" customWidth="1"/>
    <col min="1539" max="1540" width="8.5" style="115" customWidth="1"/>
    <col min="1541" max="1541" width="119.75" style="115" bestFit="1" customWidth="1"/>
    <col min="1542" max="1542" width="15.375" style="115" customWidth="1"/>
    <col min="1543" max="1543" width="13.75" style="115" customWidth="1"/>
    <col min="1544" max="1792" width="9" style="115"/>
    <col min="1793" max="1793" width="35.625" style="115" customWidth="1"/>
    <col min="1794" max="1794" width="17.5" style="115" customWidth="1"/>
    <col min="1795" max="1796" width="8.5" style="115" customWidth="1"/>
    <col min="1797" max="1797" width="119.75" style="115" bestFit="1" customWidth="1"/>
    <col min="1798" max="1798" width="15.375" style="115" customWidth="1"/>
    <col min="1799" max="1799" width="13.75" style="115" customWidth="1"/>
    <col min="1800" max="2048" width="9" style="115"/>
    <col min="2049" max="2049" width="35.625" style="115" customWidth="1"/>
    <col min="2050" max="2050" width="17.5" style="115" customWidth="1"/>
    <col min="2051" max="2052" width="8.5" style="115" customWidth="1"/>
    <col min="2053" max="2053" width="119.75" style="115" bestFit="1" customWidth="1"/>
    <col min="2054" max="2054" width="15.375" style="115" customWidth="1"/>
    <col min="2055" max="2055" width="13.75" style="115" customWidth="1"/>
    <col min="2056" max="2304" width="9" style="115"/>
    <col min="2305" max="2305" width="35.625" style="115" customWidth="1"/>
    <col min="2306" max="2306" width="17.5" style="115" customWidth="1"/>
    <col min="2307" max="2308" width="8.5" style="115" customWidth="1"/>
    <col min="2309" max="2309" width="119.75" style="115" bestFit="1" customWidth="1"/>
    <col min="2310" max="2310" width="15.375" style="115" customWidth="1"/>
    <col min="2311" max="2311" width="13.75" style="115" customWidth="1"/>
    <col min="2312" max="2560" width="9" style="115"/>
    <col min="2561" max="2561" width="35.625" style="115" customWidth="1"/>
    <col min="2562" max="2562" width="17.5" style="115" customWidth="1"/>
    <col min="2563" max="2564" width="8.5" style="115" customWidth="1"/>
    <col min="2565" max="2565" width="119.75" style="115" bestFit="1" customWidth="1"/>
    <col min="2566" max="2566" width="15.375" style="115" customWidth="1"/>
    <col min="2567" max="2567" width="13.75" style="115" customWidth="1"/>
    <col min="2568" max="2816" width="9" style="115"/>
    <col min="2817" max="2817" width="35.625" style="115" customWidth="1"/>
    <col min="2818" max="2818" width="17.5" style="115" customWidth="1"/>
    <col min="2819" max="2820" width="8.5" style="115" customWidth="1"/>
    <col min="2821" max="2821" width="119.75" style="115" bestFit="1" customWidth="1"/>
    <col min="2822" max="2822" width="15.375" style="115" customWidth="1"/>
    <col min="2823" max="2823" width="13.75" style="115" customWidth="1"/>
    <col min="2824" max="3072" width="9" style="115"/>
    <col min="3073" max="3073" width="35.625" style="115" customWidth="1"/>
    <col min="3074" max="3074" width="17.5" style="115" customWidth="1"/>
    <col min="3075" max="3076" width="8.5" style="115" customWidth="1"/>
    <col min="3077" max="3077" width="119.75" style="115" bestFit="1" customWidth="1"/>
    <col min="3078" max="3078" width="15.375" style="115" customWidth="1"/>
    <col min="3079" max="3079" width="13.75" style="115" customWidth="1"/>
    <col min="3080" max="3328" width="9" style="115"/>
    <col min="3329" max="3329" width="35.625" style="115" customWidth="1"/>
    <col min="3330" max="3330" width="17.5" style="115" customWidth="1"/>
    <col min="3331" max="3332" width="8.5" style="115" customWidth="1"/>
    <col min="3333" max="3333" width="119.75" style="115" bestFit="1" customWidth="1"/>
    <col min="3334" max="3334" width="15.375" style="115" customWidth="1"/>
    <col min="3335" max="3335" width="13.75" style="115" customWidth="1"/>
    <col min="3336" max="3584" width="9" style="115"/>
    <col min="3585" max="3585" width="35.625" style="115" customWidth="1"/>
    <col min="3586" max="3586" width="17.5" style="115" customWidth="1"/>
    <col min="3587" max="3588" width="8.5" style="115" customWidth="1"/>
    <col min="3589" max="3589" width="119.75" style="115" bestFit="1" customWidth="1"/>
    <col min="3590" max="3590" width="15.375" style="115" customWidth="1"/>
    <col min="3591" max="3591" width="13.75" style="115" customWidth="1"/>
    <col min="3592" max="3840" width="9" style="115"/>
    <col min="3841" max="3841" width="35.625" style="115" customWidth="1"/>
    <col min="3842" max="3842" width="17.5" style="115" customWidth="1"/>
    <col min="3843" max="3844" width="8.5" style="115" customWidth="1"/>
    <col min="3845" max="3845" width="119.75" style="115" bestFit="1" customWidth="1"/>
    <col min="3846" max="3846" width="15.375" style="115" customWidth="1"/>
    <col min="3847" max="3847" width="13.75" style="115" customWidth="1"/>
    <col min="3848" max="4096" width="9" style="115"/>
    <col min="4097" max="4097" width="35.625" style="115" customWidth="1"/>
    <col min="4098" max="4098" width="17.5" style="115" customWidth="1"/>
    <col min="4099" max="4100" width="8.5" style="115" customWidth="1"/>
    <col min="4101" max="4101" width="119.75" style="115" bestFit="1" customWidth="1"/>
    <col min="4102" max="4102" width="15.375" style="115" customWidth="1"/>
    <col min="4103" max="4103" width="13.75" style="115" customWidth="1"/>
    <col min="4104" max="4352" width="9" style="115"/>
    <col min="4353" max="4353" width="35.625" style="115" customWidth="1"/>
    <col min="4354" max="4354" width="17.5" style="115" customWidth="1"/>
    <col min="4355" max="4356" width="8.5" style="115" customWidth="1"/>
    <col min="4357" max="4357" width="119.75" style="115" bestFit="1" customWidth="1"/>
    <col min="4358" max="4358" width="15.375" style="115" customWidth="1"/>
    <col min="4359" max="4359" width="13.75" style="115" customWidth="1"/>
    <col min="4360" max="4608" width="9" style="115"/>
    <col min="4609" max="4609" width="35.625" style="115" customWidth="1"/>
    <col min="4610" max="4610" width="17.5" style="115" customWidth="1"/>
    <col min="4611" max="4612" width="8.5" style="115" customWidth="1"/>
    <col min="4613" max="4613" width="119.75" style="115" bestFit="1" customWidth="1"/>
    <col min="4614" max="4614" width="15.375" style="115" customWidth="1"/>
    <col min="4615" max="4615" width="13.75" style="115" customWidth="1"/>
    <col min="4616" max="4864" width="9" style="115"/>
    <col min="4865" max="4865" width="35.625" style="115" customWidth="1"/>
    <col min="4866" max="4866" width="17.5" style="115" customWidth="1"/>
    <col min="4867" max="4868" width="8.5" style="115" customWidth="1"/>
    <col min="4869" max="4869" width="119.75" style="115" bestFit="1" customWidth="1"/>
    <col min="4870" max="4870" width="15.375" style="115" customWidth="1"/>
    <col min="4871" max="4871" width="13.75" style="115" customWidth="1"/>
    <col min="4872" max="5120" width="9" style="115"/>
    <col min="5121" max="5121" width="35.625" style="115" customWidth="1"/>
    <col min="5122" max="5122" width="17.5" style="115" customWidth="1"/>
    <col min="5123" max="5124" width="8.5" style="115" customWidth="1"/>
    <col min="5125" max="5125" width="119.75" style="115" bestFit="1" customWidth="1"/>
    <col min="5126" max="5126" width="15.375" style="115" customWidth="1"/>
    <col min="5127" max="5127" width="13.75" style="115" customWidth="1"/>
    <col min="5128" max="5376" width="9" style="115"/>
    <col min="5377" max="5377" width="35.625" style="115" customWidth="1"/>
    <col min="5378" max="5378" width="17.5" style="115" customWidth="1"/>
    <col min="5379" max="5380" width="8.5" style="115" customWidth="1"/>
    <col min="5381" max="5381" width="119.75" style="115" bestFit="1" customWidth="1"/>
    <col min="5382" max="5382" width="15.375" style="115" customWidth="1"/>
    <col min="5383" max="5383" width="13.75" style="115" customWidth="1"/>
    <col min="5384" max="5632" width="9" style="115"/>
    <col min="5633" max="5633" width="35.625" style="115" customWidth="1"/>
    <col min="5634" max="5634" width="17.5" style="115" customWidth="1"/>
    <col min="5635" max="5636" width="8.5" style="115" customWidth="1"/>
    <col min="5637" max="5637" width="119.75" style="115" bestFit="1" customWidth="1"/>
    <col min="5638" max="5638" width="15.375" style="115" customWidth="1"/>
    <col min="5639" max="5639" width="13.75" style="115" customWidth="1"/>
    <col min="5640" max="5888" width="9" style="115"/>
    <col min="5889" max="5889" width="35.625" style="115" customWidth="1"/>
    <col min="5890" max="5890" width="17.5" style="115" customWidth="1"/>
    <col min="5891" max="5892" width="8.5" style="115" customWidth="1"/>
    <col min="5893" max="5893" width="119.75" style="115" bestFit="1" customWidth="1"/>
    <col min="5894" max="5894" width="15.375" style="115" customWidth="1"/>
    <col min="5895" max="5895" width="13.75" style="115" customWidth="1"/>
    <col min="5896" max="6144" width="9" style="115"/>
    <col min="6145" max="6145" width="35.625" style="115" customWidth="1"/>
    <col min="6146" max="6146" width="17.5" style="115" customWidth="1"/>
    <col min="6147" max="6148" width="8.5" style="115" customWidth="1"/>
    <col min="6149" max="6149" width="119.75" style="115" bestFit="1" customWidth="1"/>
    <col min="6150" max="6150" width="15.375" style="115" customWidth="1"/>
    <col min="6151" max="6151" width="13.75" style="115" customWidth="1"/>
    <col min="6152" max="6400" width="9" style="115"/>
    <col min="6401" max="6401" width="35.625" style="115" customWidth="1"/>
    <col min="6402" max="6402" width="17.5" style="115" customWidth="1"/>
    <col min="6403" max="6404" width="8.5" style="115" customWidth="1"/>
    <col min="6405" max="6405" width="119.75" style="115" bestFit="1" customWidth="1"/>
    <col min="6406" max="6406" width="15.375" style="115" customWidth="1"/>
    <col min="6407" max="6407" width="13.75" style="115" customWidth="1"/>
    <col min="6408" max="6656" width="9" style="115"/>
    <col min="6657" max="6657" width="35.625" style="115" customWidth="1"/>
    <col min="6658" max="6658" width="17.5" style="115" customWidth="1"/>
    <col min="6659" max="6660" width="8.5" style="115" customWidth="1"/>
    <col min="6661" max="6661" width="119.75" style="115" bestFit="1" customWidth="1"/>
    <col min="6662" max="6662" width="15.375" style="115" customWidth="1"/>
    <col min="6663" max="6663" width="13.75" style="115" customWidth="1"/>
    <col min="6664" max="6912" width="9" style="115"/>
    <col min="6913" max="6913" width="35.625" style="115" customWidth="1"/>
    <col min="6914" max="6914" width="17.5" style="115" customWidth="1"/>
    <col min="6915" max="6916" width="8.5" style="115" customWidth="1"/>
    <col min="6917" max="6917" width="119.75" style="115" bestFit="1" customWidth="1"/>
    <col min="6918" max="6918" width="15.375" style="115" customWidth="1"/>
    <col min="6919" max="6919" width="13.75" style="115" customWidth="1"/>
    <col min="6920" max="7168" width="9" style="115"/>
    <col min="7169" max="7169" width="35.625" style="115" customWidth="1"/>
    <col min="7170" max="7170" width="17.5" style="115" customWidth="1"/>
    <col min="7171" max="7172" width="8.5" style="115" customWidth="1"/>
    <col min="7173" max="7173" width="119.75" style="115" bestFit="1" customWidth="1"/>
    <col min="7174" max="7174" width="15.375" style="115" customWidth="1"/>
    <col min="7175" max="7175" width="13.75" style="115" customWidth="1"/>
    <col min="7176" max="7424" width="9" style="115"/>
    <col min="7425" max="7425" width="35.625" style="115" customWidth="1"/>
    <col min="7426" max="7426" width="17.5" style="115" customWidth="1"/>
    <col min="7427" max="7428" width="8.5" style="115" customWidth="1"/>
    <col min="7429" max="7429" width="119.75" style="115" bestFit="1" customWidth="1"/>
    <col min="7430" max="7430" width="15.375" style="115" customWidth="1"/>
    <col min="7431" max="7431" width="13.75" style="115" customWidth="1"/>
    <col min="7432" max="7680" width="9" style="115"/>
    <col min="7681" max="7681" width="35.625" style="115" customWidth="1"/>
    <col min="7682" max="7682" width="17.5" style="115" customWidth="1"/>
    <col min="7683" max="7684" width="8.5" style="115" customWidth="1"/>
    <col min="7685" max="7685" width="119.75" style="115" bestFit="1" customWidth="1"/>
    <col min="7686" max="7686" width="15.375" style="115" customWidth="1"/>
    <col min="7687" max="7687" width="13.75" style="115" customWidth="1"/>
    <col min="7688" max="7936" width="9" style="115"/>
    <col min="7937" max="7937" width="35.625" style="115" customWidth="1"/>
    <col min="7938" max="7938" width="17.5" style="115" customWidth="1"/>
    <col min="7939" max="7940" width="8.5" style="115" customWidth="1"/>
    <col min="7941" max="7941" width="119.75" style="115" bestFit="1" customWidth="1"/>
    <col min="7942" max="7942" width="15.375" style="115" customWidth="1"/>
    <col min="7943" max="7943" width="13.75" style="115" customWidth="1"/>
    <col min="7944" max="8192" width="9" style="115"/>
    <col min="8193" max="8193" width="35.625" style="115" customWidth="1"/>
    <col min="8194" max="8194" width="17.5" style="115" customWidth="1"/>
    <col min="8195" max="8196" width="8.5" style="115" customWidth="1"/>
    <col min="8197" max="8197" width="119.75" style="115" bestFit="1" customWidth="1"/>
    <col min="8198" max="8198" width="15.375" style="115" customWidth="1"/>
    <col min="8199" max="8199" width="13.75" style="115" customWidth="1"/>
    <col min="8200" max="8448" width="9" style="115"/>
    <col min="8449" max="8449" width="35.625" style="115" customWidth="1"/>
    <col min="8450" max="8450" width="17.5" style="115" customWidth="1"/>
    <col min="8451" max="8452" width="8.5" style="115" customWidth="1"/>
    <col min="8453" max="8453" width="119.75" style="115" bestFit="1" customWidth="1"/>
    <col min="8454" max="8454" width="15.375" style="115" customWidth="1"/>
    <col min="8455" max="8455" width="13.75" style="115" customWidth="1"/>
    <col min="8456" max="8704" width="9" style="115"/>
    <col min="8705" max="8705" width="35.625" style="115" customWidth="1"/>
    <col min="8706" max="8706" width="17.5" style="115" customWidth="1"/>
    <col min="8707" max="8708" width="8.5" style="115" customWidth="1"/>
    <col min="8709" max="8709" width="119.75" style="115" bestFit="1" customWidth="1"/>
    <col min="8710" max="8710" width="15.375" style="115" customWidth="1"/>
    <col min="8711" max="8711" width="13.75" style="115" customWidth="1"/>
    <col min="8712" max="8960" width="9" style="115"/>
    <col min="8961" max="8961" width="35.625" style="115" customWidth="1"/>
    <col min="8962" max="8962" width="17.5" style="115" customWidth="1"/>
    <col min="8963" max="8964" width="8.5" style="115" customWidth="1"/>
    <col min="8965" max="8965" width="119.75" style="115" bestFit="1" customWidth="1"/>
    <col min="8966" max="8966" width="15.375" style="115" customWidth="1"/>
    <col min="8967" max="8967" width="13.75" style="115" customWidth="1"/>
    <col min="8968" max="9216" width="9" style="115"/>
    <col min="9217" max="9217" width="35.625" style="115" customWidth="1"/>
    <col min="9218" max="9218" width="17.5" style="115" customWidth="1"/>
    <col min="9219" max="9220" width="8.5" style="115" customWidth="1"/>
    <col min="9221" max="9221" width="119.75" style="115" bestFit="1" customWidth="1"/>
    <col min="9222" max="9222" width="15.375" style="115" customWidth="1"/>
    <col min="9223" max="9223" width="13.75" style="115" customWidth="1"/>
    <col min="9224" max="9472" width="9" style="115"/>
    <col min="9473" max="9473" width="35.625" style="115" customWidth="1"/>
    <col min="9474" max="9474" width="17.5" style="115" customWidth="1"/>
    <col min="9475" max="9476" width="8.5" style="115" customWidth="1"/>
    <col min="9477" max="9477" width="119.75" style="115" bestFit="1" customWidth="1"/>
    <col min="9478" max="9478" width="15.375" style="115" customWidth="1"/>
    <col min="9479" max="9479" width="13.75" style="115" customWidth="1"/>
    <col min="9480" max="9728" width="9" style="115"/>
    <col min="9729" max="9729" width="35.625" style="115" customWidth="1"/>
    <col min="9730" max="9730" width="17.5" style="115" customWidth="1"/>
    <col min="9731" max="9732" width="8.5" style="115" customWidth="1"/>
    <col min="9733" max="9733" width="119.75" style="115" bestFit="1" customWidth="1"/>
    <col min="9734" max="9734" width="15.375" style="115" customWidth="1"/>
    <col min="9735" max="9735" width="13.75" style="115" customWidth="1"/>
    <col min="9736" max="9984" width="9" style="115"/>
    <col min="9985" max="9985" width="35.625" style="115" customWidth="1"/>
    <col min="9986" max="9986" width="17.5" style="115" customWidth="1"/>
    <col min="9987" max="9988" width="8.5" style="115" customWidth="1"/>
    <col min="9989" max="9989" width="119.75" style="115" bestFit="1" customWidth="1"/>
    <col min="9990" max="9990" width="15.375" style="115" customWidth="1"/>
    <col min="9991" max="9991" width="13.75" style="115" customWidth="1"/>
    <col min="9992" max="10240" width="9" style="115"/>
    <col min="10241" max="10241" width="35.625" style="115" customWidth="1"/>
    <col min="10242" max="10242" width="17.5" style="115" customWidth="1"/>
    <col min="10243" max="10244" width="8.5" style="115" customWidth="1"/>
    <col min="10245" max="10245" width="119.75" style="115" bestFit="1" customWidth="1"/>
    <col min="10246" max="10246" width="15.375" style="115" customWidth="1"/>
    <col min="10247" max="10247" width="13.75" style="115" customWidth="1"/>
    <col min="10248" max="10496" width="9" style="115"/>
    <col min="10497" max="10497" width="35.625" style="115" customWidth="1"/>
    <col min="10498" max="10498" width="17.5" style="115" customWidth="1"/>
    <col min="10499" max="10500" width="8.5" style="115" customWidth="1"/>
    <col min="10501" max="10501" width="119.75" style="115" bestFit="1" customWidth="1"/>
    <col min="10502" max="10502" width="15.375" style="115" customWidth="1"/>
    <col min="10503" max="10503" width="13.75" style="115" customWidth="1"/>
    <col min="10504" max="10752" width="9" style="115"/>
    <col min="10753" max="10753" width="35.625" style="115" customWidth="1"/>
    <col min="10754" max="10754" width="17.5" style="115" customWidth="1"/>
    <col min="10755" max="10756" width="8.5" style="115" customWidth="1"/>
    <col min="10757" max="10757" width="119.75" style="115" bestFit="1" customWidth="1"/>
    <col min="10758" max="10758" width="15.375" style="115" customWidth="1"/>
    <col min="10759" max="10759" width="13.75" style="115" customWidth="1"/>
    <col min="10760" max="11008" width="9" style="115"/>
    <col min="11009" max="11009" width="35.625" style="115" customWidth="1"/>
    <col min="11010" max="11010" width="17.5" style="115" customWidth="1"/>
    <col min="11011" max="11012" width="8.5" style="115" customWidth="1"/>
    <col min="11013" max="11013" width="119.75" style="115" bestFit="1" customWidth="1"/>
    <col min="11014" max="11014" width="15.375" style="115" customWidth="1"/>
    <col min="11015" max="11015" width="13.75" style="115" customWidth="1"/>
    <col min="11016" max="11264" width="9" style="115"/>
    <col min="11265" max="11265" width="35.625" style="115" customWidth="1"/>
    <col min="11266" max="11266" width="17.5" style="115" customWidth="1"/>
    <col min="11267" max="11268" width="8.5" style="115" customWidth="1"/>
    <col min="11269" max="11269" width="119.75" style="115" bestFit="1" customWidth="1"/>
    <col min="11270" max="11270" width="15.375" style="115" customWidth="1"/>
    <col min="11271" max="11271" width="13.75" style="115" customWidth="1"/>
    <col min="11272" max="11520" width="9" style="115"/>
    <col min="11521" max="11521" width="35.625" style="115" customWidth="1"/>
    <col min="11522" max="11522" width="17.5" style="115" customWidth="1"/>
    <col min="11523" max="11524" width="8.5" style="115" customWidth="1"/>
    <col min="11525" max="11525" width="119.75" style="115" bestFit="1" customWidth="1"/>
    <col min="11526" max="11526" width="15.375" style="115" customWidth="1"/>
    <col min="11527" max="11527" width="13.75" style="115" customWidth="1"/>
    <col min="11528" max="11776" width="9" style="115"/>
    <col min="11777" max="11777" width="35.625" style="115" customWidth="1"/>
    <col min="11778" max="11778" width="17.5" style="115" customWidth="1"/>
    <col min="11779" max="11780" width="8.5" style="115" customWidth="1"/>
    <col min="11781" max="11781" width="119.75" style="115" bestFit="1" customWidth="1"/>
    <col min="11782" max="11782" width="15.375" style="115" customWidth="1"/>
    <col min="11783" max="11783" width="13.75" style="115" customWidth="1"/>
    <col min="11784" max="12032" width="9" style="115"/>
    <col min="12033" max="12033" width="35.625" style="115" customWidth="1"/>
    <col min="12034" max="12034" width="17.5" style="115" customWidth="1"/>
    <col min="12035" max="12036" width="8.5" style="115" customWidth="1"/>
    <col min="12037" max="12037" width="119.75" style="115" bestFit="1" customWidth="1"/>
    <col min="12038" max="12038" width="15.375" style="115" customWidth="1"/>
    <col min="12039" max="12039" width="13.75" style="115" customWidth="1"/>
    <col min="12040" max="12288" width="9" style="115"/>
    <col min="12289" max="12289" width="35.625" style="115" customWidth="1"/>
    <col min="12290" max="12290" width="17.5" style="115" customWidth="1"/>
    <col min="12291" max="12292" width="8.5" style="115" customWidth="1"/>
    <col min="12293" max="12293" width="119.75" style="115" bestFit="1" customWidth="1"/>
    <col min="12294" max="12294" width="15.375" style="115" customWidth="1"/>
    <col min="12295" max="12295" width="13.75" style="115" customWidth="1"/>
    <col min="12296" max="12544" width="9" style="115"/>
    <col min="12545" max="12545" width="35.625" style="115" customWidth="1"/>
    <col min="12546" max="12546" width="17.5" style="115" customWidth="1"/>
    <col min="12547" max="12548" width="8.5" style="115" customWidth="1"/>
    <col min="12549" max="12549" width="119.75" style="115" bestFit="1" customWidth="1"/>
    <col min="12550" max="12550" width="15.375" style="115" customWidth="1"/>
    <col min="12551" max="12551" width="13.75" style="115" customWidth="1"/>
    <col min="12552" max="12800" width="9" style="115"/>
    <col min="12801" max="12801" width="35.625" style="115" customWidth="1"/>
    <col min="12802" max="12802" width="17.5" style="115" customWidth="1"/>
    <col min="12803" max="12804" width="8.5" style="115" customWidth="1"/>
    <col min="12805" max="12805" width="119.75" style="115" bestFit="1" customWidth="1"/>
    <col min="12806" max="12806" width="15.375" style="115" customWidth="1"/>
    <col min="12807" max="12807" width="13.75" style="115" customWidth="1"/>
    <col min="12808" max="13056" width="9" style="115"/>
    <col min="13057" max="13057" width="35.625" style="115" customWidth="1"/>
    <col min="13058" max="13058" width="17.5" style="115" customWidth="1"/>
    <col min="13059" max="13060" width="8.5" style="115" customWidth="1"/>
    <col min="13061" max="13061" width="119.75" style="115" bestFit="1" customWidth="1"/>
    <col min="13062" max="13062" width="15.375" style="115" customWidth="1"/>
    <col min="13063" max="13063" width="13.75" style="115" customWidth="1"/>
    <col min="13064" max="13312" width="9" style="115"/>
    <col min="13313" max="13313" width="35.625" style="115" customWidth="1"/>
    <col min="13314" max="13314" width="17.5" style="115" customWidth="1"/>
    <col min="13315" max="13316" width="8.5" style="115" customWidth="1"/>
    <col min="13317" max="13317" width="119.75" style="115" bestFit="1" customWidth="1"/>
    <col min="13318" max="13318" width="15.375" style="115" customWidth="1"/>
    <col min="13319" max="13319" width="13.75" style="115" customWidth="1"/>
    <col min="13320" max="13568" width="9" style="115"/>
    <col min="13569" max="13569" width="35.625" style="115" customWidth="1"/>
    <col min="13570" max="13570" width="17.5" style="115" customWidth="1"/>
    <col min="13571" max="13572" width="8.5" style="115" customWidth="1"/>
    <col min="13573" max="13573" width="119.75" style="115" bestFit="1" customWidth="1"/>
    <col min="13574" max="13574" width="15.375" style="115" customWidth="1"/>
    <col min="13575" max="13575" width="13.75" style="115" customWidth="1"/>
    <col min="13576" max="13824" width="9" style="115"/>
    <col min="13825" max="13825" width="35.625" style="115" customWidth="1"/>
    <col min="13826" max="13826" width="17.5" style="115" customWidth="1"/>
    <col min="13827" max="13828" width="8.5" style="115" customWidth="1"/>
    <col min="13829" max="13829" width="119.75" style="115" bestFit="1" customWidth="1"/>
    <col min="13830" max="13830" width="15.375" style="115" customWidth="1"/>
    <col min="13831" max="13831" width="13.75" style="115" customWidth="1"/>
    <col min="13832" max="14080" width="9" style="115"/>
    <col min="14081" max="14081" width="35.625" style="115" customWidth="1"/>
    <col min="14082" max="14082" width="17.5" style="115" customWidth="1"/>
    <col min="14083" max="14084" width="8.5" style="115" customWidth="1"/>
    <col min="14085" max="14085" width="119.75" style="115" bestFit="1" customWidth="1"/>
    <col min="14086" max="14086" width="15.375" style="115" customWidth="1"/>
    <col min="14087" max="14087" width="13.75" style="115" customWidth="1"/>
    <col min="14088" max="14336" width="9" style="115"/>
    <col min="14337" max="14337" width="35.625" style="115" customWidth="1"/>
    <col min="14338" max="14338" width="17.5" style="115" customWidth="1"/>
    <col min="14339" max="14340" width="8.5" style="115" customWidth="1"/>
    <col min="14341" max="14341" width="119.75" style="115" bestFit="1" customWidth="1"/>
    <col min="14342" max="14342" width="15.375" style="115" customWidth="1"/>
    <col min="14343" max="14343" width="13.75" style="115" customWidth="1"/>
    <col min="14344" max="14592" width="9" style="115"/>
    <col min="14593" max="14593" width="35.625" style="115" customWidth="1"/>
    <col min="14594" max="14594" width="17.5" style="115" customWidth="1"/>
    <col min="14595" max="14596" width="8.5" style="115" customWidth="1"/>
    <col min="14597" max="14597" width="119.75" style="115" bestFit="1" customWidth="1"/>
    <col min="14598" max="14598" width="15.375" style="115" customWidth="1"/>
    <col min="14599" max="14599" width="13.75" style="115" customWidth="1"/>
    <col min="14600" max="14848" width="9" style="115"/>
    <col min="14849" max="14849" width="35.625" style="115" customWidth="1"/>
    <col min="14850" max="14850" width="17.5" style="115" customWidth="1"/>
    <col min="14851" max="14852" width="8.5" style="115" customWidth="1"/>
    <col min="14853" max="14853" width="119.75" style="115" bestFit="1" customWidth="1"/>
    <col min="14854" max="14854" width="15.375" style="115" customWidth="1"/>
    <col min="14855" max="14855" width="13.75" style="115" customWidth="1"/>
    <col min="14856" max="15104" width="9" style="115"/>
    <col min="15105" max="15105" width="35.625" style="115" customWidth="1"/>
    <col min="15106" max="15106" width="17.5" style="115" customWidth="1"/>
    <col min="15107" max="15108" width="8.5" style="115" customWidth="1"/>
    <col min="15109" max="15109" width="119.75" style="115" bestFit="1" customWidth="1"/>
    <col min="15110" max="15110" width="15.375" style="115" customWidth="1"/>
    <col min="15111" max="15111" width="13.75" style="115" customWidth="1"/>
    <col min="15112" max="15360" width="9" style="115"/>
    <col min="15361" max="15361" width="35.625" style="115" customWidth="1"/>
    <col min="15362" max="15362" width="17.5" style="115" customWidth="1"/>
    <col min="15363" max="15364" width="8.5" style="115" customWidth="1"/>
    <col min="15365" max="15365" width="119.75" style="115" bestFit="1" customWidth="1"/>
    <col min="15366" max="15366" width="15.375" style="115" customWidth="1"/>
    <col min="15367" max="15367" width="13.75" style="115" customWidth="1"/>
    <col min="15368" max="15616" width="9" style="115"/>
    <col min="15617" max="15617" width="35.625" style="115" customWidth="1"/>
    <col min="15618" max="15618" width="17.5" style="115" customWidth="1"/>
    <col min="15619" max="15620" width="8.5" style="115" customWidth="1"/>
    <col min="15621" max="15621" width="119.75" style="115" bestFit="1" customWidth="1"/>
    <col min="15622" max="15622" width="15.375" style="115" customWidth="1"/>
    <col min="15623" max="15623" width="13.75" style="115" customWidth="1"/>
    <col min="15624" max="15872" width="9" style="115"/>
    <col min="15873" max="15873" width="35.625" style="115" customWidth="1"/>
    <col min="15874" max="15874" width="17.5" style="115" customWidth="1"/>
    <col min="15875" max="15876" width="8.5" style="115" customWidth="1"/>
    <col min="15877" max="15877" width="119.75" style="115" bestFit="1" customWidth="1"/>
    <col min="15878" max="15878" width="15.375" style="115" customWidth="1"/>
    <col min="15879" max="15879" width="13.75" style="115" customWidth="1"/>
    <col min="15880" max="16128" width="9" style="115"/>
    <col min="16129" max="16129" width="35.625" style="115" customWidth="1"/>
    <col min="16130" max="16130" width="17.5" style="115" customWidth="1"/>
    <col min="16131" max="16132" width="8.5" style="115" customWidth="1"/>
    <col min="16133" max="16133" width="119.75" style="115" bestFit="1" customWidth="1"/>
    <col min="16134" max="16134" width="15.375" style="115" customWidth="1"/>
    <col min="16135" max="16135" width="13.75" style="115" customWidth="1"/>
    <col min="16136" max="16384" width="9" style="115"/>
  </cols>
  <sheetData>
    <row r="1" spans="1:8" s="111" customFormat="1">
      <c r="A1" s="239" t="s">
        <v>100</v>
      </c>
      <c r="B1" s="239"/>
      <c r="C1" s="239"/>
      <c r="D1" s="239"/>
      <c r="E1" s="239"/>
      <c r="F1" s="239"/>
      <c r="G1" s="152"/>
      <c r="H1" s="152"/>
    </row>
    <row r="2" spans="1:8" s="111" customFormat="1" ht="30" customHeight="1">
      <c r="A2" s="239"/>
      <c r="B2" s="239"/>
      <c r="C2" s="239"/>
      <c r="D2" s="239"/>
      <c r="E2" s="239"/>
      <c r="F2" s="239"/>
      <c r="G2" s="152"/>
      <c r="H2" s="152"/>
    </row>
    <row r="3" spans="1:8" s="112" customFormat="1" ht="24.95" customHeight="1">
      <c r="A3" s="240" t="str">
        <f>갑지!A6</f>
        <v xml:space="preserve"> 공사명 : 기숙사 A,B동 급,배기팬 자동 구리스 주입기 교체공사</v>
      </c>
      <c r="B3" s="240"/>
      <c r="C3" s="240"/>
      <c r="D3" s="240"/>
      <c r="E3" s="240"/>
      <c r="F3" s="240"/>
      <c r="G3" s="240"/>
    </row>
    <row r="4" spans="1:8" s="113" customFormat="1" ht="24" customHeight="1">
      <c r="A4" s="157" t="s">
        <v>101</v>
      </c>
      <c r="B4" s="157" t="s">
        <v>102</v>
      </c>
      <c r="C4" s="157" t="s">
        <v>103</v>
      </c>
      <c r="D4" s="153" t="s">
        <v>104</v>
      </c>
      <c r="E4" s="157" t="s">
        <v>105</v>
      </c>
      <c r="F4" s="157" t="s">
        <v>106</v>
      </c>
      <c r="G4" s="157" t="s">
        <v>107</v>
      </c>
    </row>
    <row r="5" spans="1:8" s="113" customFormat="1" ht="24" customHeight="1">
      <c r="A5" s="168" t="str">
        <f>'내역서(표준단가)'!J5</f>
        <v>기숙사 A,B동 급,배기팬 자동구리스 설치</v>
      </c>
      <c r="B5" s="158">
        <f>'내역서(표준단가)'!K5</f>
        <v>0</v>
      </c>
      <c r="C5" s="158">
        <f>'내역서(표준단가)'!L5</f>
        <v>0</v>
      </c>
      <c r="D5" s="159">
        <f>'내역서(표준단가)'!M5</f>
        <v>0</v>
      </c>
      <c r="E5" s="114"/>
      <c r="F5" s="154"/>
      <c r="G5" s="160"/>
    </row>
    <row r="6" spans="1:8" s="113" customFormat="1" ht="24" customHeight="1">
      <c r="A6" s="161" t="str">
        <f>'내역서(표준단가)'!J6</f>
        <v>자동 구리스 주입기 교체</v>
      </c>
      <c r="B6" s="161">
        <f>'내역서(표준단가)'!K6</f>
        <v>0</v>
      </c>
      <c r="C6" s="161" t="str">
        <f>'내역서(표준단가)'!L6</f>
        <v>식</v>
      </c>
      <c r="D6" s="161">
        <f>'내역서(표준단가)'!M6</f>
        <v>1</v>
      </c>
      <c r="E6" s="122" t="s">
        <v>154</v>
      </c>
      <c r="F6" s="154"/>
      <c r="G6" s="160"/>
    </row>
    <row r="7" spans="1:8" s="113" customFormat="1" ht="24" customHeight="1">
      <c r="A7" s="161" t="str">
        <f>'내역서(표준단가)'!J7</f>
        <v>보통인부</v>
      </c>
      <c r="B7" s="161" t="str">
        <f>'내역서(표준단가)'!K7</f>
        <v>사다리보조자</v>
      </c>
      <c r="C7" s="161" t="str">
        <f>'내역서(표준단가)'!L7</f>
        <v>인</v>
      </c>
      <c r="D7" s="161">
        <f>'내역서(표준단가)'!M7</f>
        <v>3</v>
      </c>
      <c r="E7" s="122" t="s">
        <v>143</v>
      </c>
      <c r="F7" s="154"/>
      <c r="G7" s="160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showGridLines="0" zoomScale="115" zoomScaleNormal="115" workbookViewId="0">
      <selection activeCell="A29" sqref="A29"/>
    </sheetView>
  </sheetViews>
  <sheetFormatPr defaultRowHeight="16.5"/>
  <cols>
    <col min="1" max="1" width="25.125" style="50" customWidth="1"/>
    <col min="2" max="2" width="16.25" style="50" customWidth="1"/>
    <col min="3" max="3" width="22.375" style="50" customWidth="1"/>
    <col min="4" max="4" width="24.125" style="50" customWidth="1"/>
    <col min="5" max="5" width="13" style="50" customWidth="1"/>
    <col min="6" max="6" width="7.5" style="69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8" t="s">
        <v>5</v>
      </c>
      <c r="H1" s="51" t="s">
        <v>49</v>
      </c>
    </row>
    <row r="2" spans="1:8">
      <c r="A2" s="55">
        <f>'내역서(표준단가)'!E5</f>
        <v>0</v>
      </c>
      <c r="B2" s="56">
        <f>'내역서(표준단가)'!F5</f>
        <v>0</v>
      </c>
      <c r="C2" s="56">
        <f>'내역서(표준단가)'!G5</f>
        <v>0</v>
      </c>
      <c r="D2" s="56">
        <f>'내역서(표준단가)'!H5</f>
        <v>0</v>
      </c>
      <c r="E2" s="56">
        <f>'내역서(표준단가)'!I5</f>
        <v>0</v>
      </c>
      <c r="F2" s="56">
        <f>'내역서(표준단가)'!M5</f>
        <v>0</v>
      </c>
      <c r="H2" t="s">
        <v>50</v>
      </c>
    </row>
    <row r="3" spans="1:8">
      <c r="A3" s="55" t="str">
        <f>'내역서(표준단가)'!E6</f>
        <v>999999</v>
      </c>
      <c r="B3" s="56">
        <f>'내역서(표준단가)'!F6</f>
        <v>0</v>
      </c>
      <c r="C3" s="56">
        <f>'내역서(표준단가)'!G6</f>
        <v>0</v>
      </c>
      <c r="D3" s="56">
        <f>'내역서(표준단가)'!H6</f>
        <v>999999</v>
      </c>
      <c r="E3" s="56">
        <f>'내역서(표준단가)'!I6</f>
        <v>0</v>
      </c>
      <c r="F3" s="56">
        <f>'내역서(표준단가)'!M6</f>
        <v>1</v>
      </c>
      <c r="H3" t="s">
        <v>61</v>
      </c>
    </row>
    <row r="4" spans="1:8">
      <c r="A4" s="55" t="str">
        <f>'내역서(표준단가)'!E7</f>
        <v>L002</v>
      </c>
      <c r="B4" s="56">
        <f>'내역서(표준단가)'!F7</f>
        <v>0</v>
      </c>
      <c r="C4" s="56">
        <f>'내역서(표준단가)'!G7</f>
        <v>0</v>
      </c>
      <c r="D4" s="56">
        <f>'내역서(표준단가)'!H7</f>
        <v>0</v>
      </c>
      <c r="E4" s="56" t="str">
        <f>'내역서(표준단가)'!I7</f>
        <v>L002</v>
      </c>
      <c r="F4" s="56">
        <f>'내역서(표준단가)'!M7</f>
        <v>3</v>
      </c>
    </row>
  </sheetData>
  <phoneticPr fontId="1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Upload(시중가)-별도입력</vt:lpstr>
      <vt:lpstr>공사수립계획서</vt:lpstr>
      <vt:lpstr>산출서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2025-10-16T01:05:12Z</dcterms:modified>
</cp:coreProperties>
</file>
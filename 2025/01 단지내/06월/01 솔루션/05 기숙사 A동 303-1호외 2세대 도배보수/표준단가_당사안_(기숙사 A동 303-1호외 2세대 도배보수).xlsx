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18\06 작업폴더\01 기숙사 A동 303-1호외 2세대 도배보수\"/>
    </mc:Choice>
  </mc:AlternateContent>
  <xr:revisionPtr revIDLastSave="0" documentId="13_ncr:1_{E62E8735-CA68-416A-9E5F-25CFE24AEAC3}" xr6:coauthVersionLast="47" xr6:coauthVersionMax="47" xr10:uidLastSave="{00000000-0000-0000-0000-000000000000}"/>
  <bookViews>
    <workbookView xWindow="780" yWindow="675" windowWidth="14490" windowHeight="15525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E3" i="1"/>
  <c r="D3" i="1"/>
  <c r="C3" i="1"/>
  <c r="B3" i="1"/>
  <c r="U6" i="4"/>
  <c r="S6" i="4"/>
  <c r="Q6" i="4"/>
  <c r="O6" i="4"/>
  <c r="V6" i="4" s="1"/>
  <c r="A6" i="4"/>
  <c r="A3" i="1" s="1"/>
  <c r="U5" i="4"/>
  <c r="S5" i="4"/>
  <c r="Q5" i="4"/>
  <c r="O5" i="4"/>
  <c r="A5" i="4"/>
  <c r="L8" i="9"/>
  <c r="J8" i="9"/>
  <c r="N7" i="9"/>
  <c r="H7" i="9"/>
  <c r="F7" i="9"/>
  <c r="H6" i="9"/>
  <c r="F6" i="9"/>
  <c r="H5" i="9"/>
  <c r="H8" i="9" s="1"/>
  <c r="F5" i="9"/>
  <c r="N5" i="9" s="1"/>
  <c r="N6" i="9" l="1"/>
  <c r="N8" i="9" s="1"/>
  <c r="Q7" i="4"/>
  <c r="F17" i="5" s="1"/>
  <c r="S7" i="4"/>
  <c r="F18" i="5" s="1"/>
  <c r="O7" i="4"/>
  <c r="F16" i="5" s="1"/>
  <c r="U7" i="4"/>
  <c r="V5" i="4"/>
  <c r="V7" i="4" s="1"/>
  <c r="F8" i="9"/>
  <c r="F2" i="1" l="1"/>
  <c r="E2" i="1"/>
  <c r="D2" i="1"/>
  <c r="C2" i="1"/>
  <c r="B2" i="1"/>
  <c r="A2" i="1" l="1"/>
  <c r="F26" i="5" l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<sst xmlns="http://schemas.openxmlformats.org/spreadsheetml/2006/main" count="139" uniqueCount="110">
  <si>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</si>
  <si>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</si>
  <si>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</si>
  <si>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</si>
  <si>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</si>
  <si>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</si>
  <si>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</si>
  <si>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</si>
  <si>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</si>
  <si>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</si>
  <si>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</si>
  <si>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</si>
  <si>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</si>
  <si>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</si>
  <si>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</si>
  <si>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</si>
  <si>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</si>
  <si>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</si>
  <si>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</si>
  <si>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</si>
  <si>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</si>
  <si>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</si>
  <si>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</si>
  <si>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</si>
  <si>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</si>
  <si>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</si>
  <si>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</si>
  <si>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</si>
  <si>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</si>
  <si>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</si>
  <si>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</si>
  <si>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</si>
  <si>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</si>
  <si>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</si>
  <si>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</si>
  <si>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</si>
  <si>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</si>
  <si>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</si>
  <si>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</si>
  <si>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</si>
  <si>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</si>
  <si>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</si>
  <si>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</si>
  <si>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</si>
  <si>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</si>
  <si>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</si>
  <si>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</si>
  <si>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</si>
  <si>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</si>
  <si>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</si>
  <si>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</si>
  <si>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</si>
  <si>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</si>
  <si>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</si>
  <si>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</si>
  <si>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</si>
  <si>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</si>
  <si>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</si>
  <si>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</si>
  <si>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</si>
  <si>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</si>
  <si>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</si>
  <si>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</si>
  <si>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</si>
  <si>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</si>
  <si>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</si>
  <si>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</si>
  <si>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</si>
  <si>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</si>
  <si>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</si>
  <si>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</si>
  <si>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</si>
  <si>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㎡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</si>
  <si>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</si>
  <si>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</si>
  <si>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</si>
  <si>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</si>
  <si>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</si>
  <si>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</si>
  <si>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</si>
  <si>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</si>
  <si>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</si>
  <si>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</si>
  <si>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</si>
  <si>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</si>
  <si>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</si>
  <si>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</si>
  <si>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</si>
  <si>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</si>
  <si>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</si>
  <si>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</si>
  <si>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</si>
  <si>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 xml:space="preserve"> 견적일 : 2025 년  01월  00일</t>
    <phoneticPr fontId="11" type="noConversion"/>
  </si>
  <si>
    <t>E00000803071260301</t>
  </si>
  <si>
    <t>(일당)</t>
  </si>
  <si>
    <t>도배 교체(벽)</t>
    <phoneticPr fontId="5" type="noConversion"/>
  </si>
  <si>
    <t>합 계</t>
    <phoneticPr fontId="5" type="noConversion"/>
  </si>
  <si>
    <t>벽면</t>
    <phoneticPr fontId="13" type="noConversion"/>
  </si>
  <si>
    <t>노무비할증</t>
    <phoneticPr fontId="5" type="noConversion"/>
  </si>
  <si>
    <t xml:space="preserve"> 공사명 : 기숙사 AB동 수장공사</t>
    <phoneticPr fontId="11" type="noConversion"/>
  </si>
  <si>
    <t> (재료비+노무비)*3.11%</t>
    <phoneticPr fontId="13" type="noConversion"/>
  </si>
  <si>
    <t>M020853710050101</t>
  </si>
  <si>
    <t>아이리스</t>
  </si>
  <si>
    <t>R/L</t>
  </si>
  <si>
    <t>기숙사 A동 303-1호외 2세대 도배보수</t>
    <phoneticPr fontId="5" type="noConversion"/>
  </si>
  <si>
    <t>1.A303-1도배</t>
    <phoneticPr fontId="13" type="noConversion"/>
  </si>
  <si>
    <t>2.A701-6도배</t>
    <phoneticPr fontId="13" type="noConversion"/>
  </si>
  <si>
    <t>3.B1001-3도배</t>
    <phoneticPr fontId="13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</si>
  <si>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 xml:space="preserve">, </t>
    </r>
    <r>
      <rPr>
        <b/>
        <sz val="10"/>
        <color rgb="FFFF0000"/>
        <rFont val="LG스마트체 Regular"/>
        <family val="3"/>
        <charset val="129"/>
      </rPr>
      <t>소요량 99/16.51=5.996 R/L</t>
    </r>
    <phoneticPr fontId="5" type="noConversion"/>
  </si>
  <si>
    <r>
      <t>일당 시공량-벽 46㎡, 적산정보 500p 참조,</t>
    </r>
    <r>
      <rPr>
        <b/>
        <sz val="10"/>
        <color rgb="FFFF0000"/>
        <rFont val="LG스마트체 Regular"/>
        <family val="3"/>
        <charset val="129"/>
      </rPr>
      <t>시공총량 99/일당46=2.152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</si>
</sst>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0.000_ "/>
    <numFmt numFmtId="189" formatCode="#,##0;\-#,##0;"/>
    <numFmt numFmtId="190" formatCode="0.000"/>
  </numFmts>
  <fonts count="2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10"/>
      <color rgb="FF000000"/>
      <name val="Segoe UI Symbol"/>
      <family val="3"/>
    </font>
    <font>
      <b/>
      <sz val="10"/>
      <color rgb="FFFF0000"/>
      <name val="LG스마트체 Regular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0" borderId="31" xfId="13" applyNumberFormat="1" applyFont="1" applyFill="1" applyBorder="1" applyAlignment="1">
      <alignment horizontal="center" vertical="center"/>
    </xf>
    <xf numFmtId="177" fontId="24" fillId="10" borderId="31" xfId="13" applyFont="1" applyFill="1" applyBorder="1" applyAlignment="1">
      <alignment horizontal="center" vertical="center"/>
    </xf>
    <xf numFmtId="186" fontId="24" fillId="10" borderId="31" xfId="13" applyNumberFormat="1" applyFont="1" applyFill="1" applyBorder="1" applyAlignment="1">
      <alignment horizontal="center" vertical="center"/>
    </xf>
    <xf numFmtId="183" fontId="24" fillId="10" borderId="31" xfId="13" applyNumberFormat="1" applyFont="1" applyFill="1" applyBorder="1" applyAlignment="1">
      <alignment vertical="center" wrapText="1"/>
    </xf>
    <xf numFmtId="183" fontId="25" fillId="10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0" borderId="31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188" fontId="19" fillId="0" borderId="1" xfId="1" applyNumberFormat="1" applyFont="1" applyBorder="1" applyAlignment="1">
      <alignment horizontal="center" vertical="center"/>
    </xf>
    <xf numFmtId="187" fontId="19" fillId="5" borderId="3" xfId="1" applyNumberFormat="1" applyFont="1" applyFill="1" applyBorder="1" applyAlignment="1">
      <alignment horizontal="center" vertical="center"/>
    </xf>
    <xf numFmtId="187" fontId="19" fillId="0" borderId="3" xfId="1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189" fontId="19" fillId="6" borderId="3" xfId="1" applyNumberFormat="1" applyFont="1" applyFill="1" applyBorder="1" applyAlignment="1">
      <alignment horizontal="right" vertical="center" wrapText="1"/>
    </xf>
    <xf numFmtId="189" fontId="19" fillId="0" borderId="3" xfId="1" applyNumberFormat="1" applyFont="1" applyFill="1" applyBorder="1" applyAlignment="1">
      <alignment horizontal="right" vertical="center" wrapText="1"/>
    </xf>
    <xf numFmtId="189" fontId="19" fillId="5" borderId="3" xfId="0" applyNumberFormat="1" applyFont="1" applyFill="1" applyBorder="1" applyAlignment="1">
      <alignment horizontal="right" vertical="center"/>
    </xf>
    <xf numFmtId="49" fontId="19" fillId="5" borderId="3" xfId="0" applyNumberFormat="1" applyFont="1" applyFill="1" applyBorder="1" applyAlignment="1">
      <alignment horizontal="center" vertical="center"/>
    </xf>
    <xf numFmtId="190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177" fontId="24" fillId="0" borderId="0" xfId="0" applyNumberFormat="1" applyFont="1">
      <alignment vertical="center"/>
    </xf>
    <xf numFmtId="0" fontId="22" fillId="11" borderId="0" xfId="0" applyFont="1" applyFill="1">
      <alignment vertical="center"/>
    </xf>
    <xf numFmtId="177" fontId="12" fillId="11" borderId="0" xfId="0" applyNumberFormat="1" applyFont="1" applyFill="1">
      <alignment vertical="center"/>
    </xf>
    <xf numFmtId="0" fontId="23" fillId="0" borderId="0" xfId="0" applyFont="1">
      <alignment vertical="center"/>
    </xf>
    <xf numFmtId="0" fontId="23" fillId="5" borderId="0" xfId="0" applyFont="1" applyFill="1">
      <alignment vertical="center"/>
    </xf>
    <xf numFmtId="189" fontId="19" fillId="5" borderId="3" xfId="1" applyNumberFormat="1" applyFont="1" applyFill="1" applyBorder="1" applyAlignment="1">
      <alignment horizontal="right" vertical="center"/>
    </xf>
    <xf numFmtId="0" fontId="23" fillId="0" borderId="32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0" fontId="25" fillId="0" borderId="31" xfId="15" quotePrefix="1" applyFont="1" applyBorder="1" applyAlignment="1">
      <alignment horizontal="center" vertical="center"/>
    </xf>
    <xf numFmtId="177" fontId="12" fillId="0" borderId="0" xfId="0" applyNumberFormat="1" applyFo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184" fontId="23" fillId="5" borderId="33" xfId="13" applyNumberFormat="1" applyFont="1" applyFill="1" applyBorder="1" applyAlignment="1">
      <alignment vertical="center"/>
    </xf>
    <xf numFmtId="184" fontId="25" fillId="5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5</xdr:row>
      <xdr:rowOff>161926</xdr:rowOff>
    </xdr:from>
    <xdr:to>
      <xdr:col>7</xdr:col>
      <xdr:colOff>310253</xdr:colOff>
      <xdr:row>38</xdr:row>
      <xdr:rowOff>171451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7E528FC-1086-4C58-B21E-FC2FA1E0B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1209676"/>
          <a:ext cx="4520303" cy="5981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0" zoomScale="85" zoomScaleNormal="85" workbookViewId="0">
      <selection activeCell="M21" sqref="M21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7" t="s">
        <v>6</v>
      </c>
      <c r="B2" s="127"/>
      <c r="C2" s="127"/>
      <c r="D2" s="127"/>
      <c r="E2" s="127"/>
      <c r="F2" s="127"/>
      <c r="G2" s="127"/>
      <c r="H2" s="2"/>
    </row>
    <row r="3" spans="1:9" ht="14.25" x14ac:dyDescent="0.2">
      <c r="A3" s="100"/>
      <c r="B3" s="100"/>
      <c r="C3" s="100"/>
      <c r="D3" s="100"/>
      <c r="E3" s="100"/>
      <c r="F3" s="100"/>
      <c r="G3" s="100"/>
      <c r="H3" s="100"/>
    </row>
    <row r="4" spans="1:9" ht="14.25" x14ac:dyDescent="0.2">
      <c r="A4" s="100"/>
      <c r="B4" s="100"/>
      <c r="C4" s="100"/>
      <c r="D4" s="100"/>
      <c r="E4" s="100"/>
      <c r="H4" s="100"/>
    </row>
    <row r="5" spans="1:9" ht="27" customHeight="1" x14ac:dyDescent="0.2">
      <c r="A5" s="101" t="s">
        <v>48</v>
      </c>
      <c r="B5" s="4"/>
      <c r="C5" s="5"/>
      <c r="D5" s="100"/>
      <c r="E5" s="100"/>
      <c r="F5" s="6" t="s">
        <v>38</v>
      </c>
      <c r="G5" s="7" t="s">
        <v>52</v>
      </c>
      <c r="H5" s="100"/>
    </row>
    <row r="6" spans="1:9" ht="27" customHeight="1" x14ac:dyDescent="0.2">
      <c r="A6" s="100"/>
      <c r="B6" s="100"/>
      <c r="C6" s="100"/>
      <c r="D6" s="100"/>
      <c r="E6" s="100"/>
      <c r="F6" s="8" t="s">
        <v>41</v>
      </c>
      <c r="G6" s="9" t="s">
        <v>53</v>
      </c>
      <c r="H6" s="100"/>
    </row>
    <row r="7" spans="1:9" ht="27" customHeight="1" x14ac:dyDescent="0.2">
      <c r="A7" s="130" t="s">
        <v>99</v>
      </c>
      <c r="B7" s="131"/>
      <c r="C7" s="132"/>
      <c r="D7" s="100"/>
      <c r="E7" s="10"/>
      <c r="F7" s="11" t="s">
        <v>42</v>
      </c>
      <c r="G7" s="9" t="s">
        <v>54</v>
      </c>
      <c r="H7" s="100"/>
    </row>
    <row r="8" spans="1:9" ht="27" customHeight="1" x14ac:dyDescent="0.2">
      <c r="A8" s="100"/>
      <c r="B8" s="100"/>
      <c r="C8" s="100"/>
      <c r="D8" s="100"/>
      <c r="E8" s="100"/>
      <c r="F8" s="8" t="s">
        <v>43</v>
      </c>
      <c r="G8" s="9" t="s">
        <v>55</v>
      </c>
      <c r="H8" s="100"/>
    </row>
    <row r="9" spans="1:9" ht="27" customHeight="1" x14ac:dyDescent="0.2">
      <c r="A9" s="130" t="s">
        <v>92</v>
      </c>
      <c r="B9" s="131"/>
      <c r="C9" s="132"/>
      <c r="D9" s="100"/>
      <c r="E9" s="100"/>
      <c r="F9" s="8" t="s">
        <v>44</v>
      </c>
      <c r="G9" s="9" t="s">
        <v>56</v>
      </c>
      <c r="H9" s="100"/>
    </row>
    <row r="10" spans="1:9" ht="27" customHeight="1" x14ac:dyDescent="0.2">
      <c r="A10" s="100"/>
      <c r="B10" s="100"/>
      <c r="C10" s="100"/>
      <c r="D10" s="100"/>
      <c r="E10" s="100"/>
      <c r="F10" s="12" t="s">
        <v>39</v>
      </c>
      <c r="G10" s="13" t="s">
        <v>57</v>
      </c>
      <c r="H10" s="100"/>
      <c r="I10" s="100"/>
    </row>
    <row r="11" spans="1:9" ht="27" customHeight="1" x14ac:dyDescent="0.2">
      <c r="A11" s="128"/>
      <c r="B11" s="129"/>
      <c r="C11" s="129"/>
      <c r="D11" s="100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일백일십칠만사천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00"/>
      <c r="B13" s="100"/>
      <c r="C13" s="100"/>
      <c r="D13" s="100"/>
      <c r="E13" s="100"/>
      <c r="F13" s="100"/>
      <c r="G13" s="100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'내역서(표준단가)'!O7</f>
        <v>104709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'내역서(표준단가)'!Q7</f>
        <v>874423.1889999999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979132.1889999999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39349.043504999994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30998.302050049999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4014.2801154814751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8831.6742088999981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31129.465528399996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100</v>
      </c>
      <c r="D26" s="30">
        <v>1</v>
      </c>
      <c r="E26" s="30" t="s">
        <v>25</v>
      </c>
      <c r="F26" s="43">
        <f>(F16+F17)*3.11%</f>
        <v>30451.011077899995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50959.848274286567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195733.62476001805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1174865.813760018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1174000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Y7"/>
  <sheetViews>
    <sheetView showGridLines="0" zoomScale="80" zoomScaleNormal="80" workbookViewId="0">
      <pane ySplit="4" topLeftCell="A5" activePane="bottomLeft" state="frozen"/>
      <selection pane="bottomLeft" activeCell="Q13" sqref="Q13"/>
    </sheetView>
  </sheetViews>
  <sheetFormatPr defaultColWidth="9" defaultRowHeight="38.1" customHeight="1" x14ac:dyDescent="0.3"/>
  <cols>
    <col min="1" max="1" width="22.625" style="121" bestFit="1" customWidth="1"/>
    <col min="2" max="5" width="4.625" style="121" hidden="1" customWidth="1"/>
    <col min="6" max="6" width="9" style="113" hidden="1" customWidth="1"/>
    <col min="7" max="9" width="12.625" style="113" hidden="1" customWidth="1"/>
    <col min="10" max="11" width="30.625" style="109" customWidth="1"/>
    <col min="12" max="12" width="6.75" style="113" bestFit="1" customWidth="1"/>
    <col min="13" max="13" width="8.25" style="113" customWidth="1"/>
    <col min="14" max="14" width="10.625" style="113" bestFit="1" customWidth="1"/>
    <col min="15" max="15" width="12.875" style="113" customWidth="1"/>
    <col min="16" max="16" width="12" style="113" bestFit="1" customWidth="1"/>
    <col min="17" max="17" width="13.25" style="113" bestFit="1" customWidth="1"/>
    <col min="18" max="18" width="9" style="113" customWidth="1"/>
    <col min="19" max="19" width="8.75" style="113" bestFit="1" customWidth="1"/>
    <col min="20" max="20" width="10.5" style="113" customWidth="1"/>
    <col min="21" max="21" width="8.75" style="113" bestFit="1" customWidth="1"/>
    <col min="22" max="22" width="15.625" style="113" bestFit="1" customWidth="1"/>
    <col min="23" max="23" width="10.625" style="66" bestFit="1" customWidth="1"/>
    <col min="24" max="24" width="8.5" style="113" bestFit="1" customWidth="1"/>
    <col min="25" max="25" width="16.375" style="113" customWidth="1"/>
    <col min="26" max="16384" width="9" style="113"/>
  </cols>
  <sheetData>
    <row r="1" spans="1:25" ht="19.899999999999999" customHeight="1" x14ac:dyDescent="0.3">
      <c r="A1" s="133"/>
      <c r="B1" s="133"/>
      <c r="C1" s="133"/>
      <c r="D1" s="133"/>
      <c r="E1" s="133"/>
      <c r="F1" s="133"/>
      <c r="G1" s="133"/>
      <c r="H1" s="133"/>
      <c r="I1" s="133"/>
      <c r="N1" s="66"/>
      <c r="O1" s="111" t="s">
        <v>73</v>
      </c>
      <c r="Q1" s="111" t="s">
        <v>73</v>
      </c>
      <c r="S1" s="111" t="s">
        <v>73</v>
      </c>
      <c r="U1" s="111" t="s">
        <v>73</v>
      </c>
    </row>
    <row r="2" spans="1:25" ht="19.899999999999999" customHeight="1" thickBot="1" x14ac:dyDescent="0.35">
      <c r="A2" s="133"/>
      <c r="B2" s="133"/>
      <c r="C2" s="133"/>
      <c r="D2" s="133"/>
      <c r="E2" s="133"/>
      <c r="F2" s="133"/>
      <c r="G2" s="133"/>
      <c r="H2" s="133"/>
      <c r="I2" s="133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5" ht="19.899999999999999" customHeight="1" x14ac:dyDescent="0.3">
      <c r="A3" s="114"/>
      <c r="B3" s="115"/>
      <c r="C3" s="115"/>
      <c r="D3" s="115"/>
      <c r="E3" s="115"/>
      <c r="F3" s="115" t="s">
        <v>74</v>
      </c>
      <c r="G3" s="115"/>
      <c r="H3" s="115"/>
      <c r="I3" s="115"/>
      <c r="J3" s="144" t="s">
        <v>75</v>
      </c>
      <c r="K3" s="144"/>
      <c r="L3" s="142" t="s">
        <v>47</v>
      </c>
      <c r="M3" s="142" t="s">
        <v>5</v>
      </c>
      <c r="N3" s="138" t="s">
        <v>76</v>
      </c>
      <c r="O3" s="138"/>
      <c r="P3" s="138" t="s">
        <v>77</v>
      </c>
      <c r="Q3" s="138"/>
      <c r="R3" s="139" t="s">
        <v>78</v>
      </c>
      <c r="S3" s="139"/>
      <c r="T3" s="139" t="s">
        <v>79</v>
      </c>
      <c r="U3" s="139"/>
      <c r="V3" s="140" t="s">
        <v>80</v>
      </c>
      <c r="W3" s="136" t="s">
        <v>98</v>
      </c>
      <c r="X3" s="134" t="s">
        <v>45</v>
      </c>
    </row>
    <row r="4" spans="1:25" ht="19.899999999999999" customHeight="1" x14ac:dyDescent="0.3">
      <c r="A4" s="69" t="s">
        <v>81</v>
      </c>
      <c r="B4" s="112"/>
      <c r="C4" s="112"/>
      <c r="D4" s="112"/>
      <c r="E4" s="112"/>
      <c r="F4" s="70" t="s">
        <v>82</v>
      </c>
      <c r="G4" s="70" t="s">
        <v>83</v>
      </c>
      <c r="H4" s="70" t="s">
        <v>84</v>
      </c>
      <c r="I4" s="70" t="s">
        <v>85</v>
      </c>
      <c r="J4" s="110" t="s">
        <v>86</v>
      </c>
      <c r="K4" s="110" t="s">
        <v>87</v>
      </c>
      <c r="L4" s="143"/>
      <c r="M4" s="143"/>
      <c r="N4" s="71" t="s">
        <v>88</v>
      </c>
      <c r="O4" s="72" t="s">
        <v>89</v>
      </c>
      <c r="P4" s="71" t="s">
        <v>90</v>
      </c>
      <c r="Q4" s="72" t="s">
        <v>89</v>
      </c>
      <c r="R4" s="72" t="s">
        <v>91</v>
      </c>
      <c r="S4" s="72" t="s">
        <v>89</v>
      </c>
      <c r="T4" s="72" t="s">
        <v>91</v>
      </c>
      <c r="U4" s="72" t="s">
        <v>89</v>
      </c>
      <c r="V4" s="141"/>
      <c r="W4" s="137"/>
      <c r="X4" s="135"/>
    </row>
    <row r="5" spans="1:25" s="116" customFormat="1" ht="38.1" customHeight="1" x14ac:dyDescent="0.3">
      <c r="A5" s="73" t="str">
        <f t="shared" ref="A5:A6" si="0">F5&amp;G5&amp;H5&amp;I5</f>
        <v>M020853710050101</v>
      </c>
      <c r="B5" s="96"/>
      <c r="C5" s="96"/>
      <c r="D5" s="96"/>
      <c r="E5" s="96"/>
      <c r="F5" s="91"/>
      <c r="G5" s="74"/>
      <c r="H5" s="74" t="s">
        <v>101</v>
      </c>
      <c r="I5" s="91"/>
      <c r="J5" s="108" t="s">
        <v>102</v>
      </c>
      <c r="K5" s="108" t="s">
        <v>108</v>
      </c>
      <c r="L5" s="106" t="s">
        <v>103</v>
      </c>
      <c r="M5" s="107">
        <v>6</v>
      </c>
      <c r="N5" s="122">
        <v>20900</v>
      </c>
      <c r="O5" s="103">
        <f t="shared" ref="O5:O6" si="1">SUM(N5:N5)*M5*$O$2</f>
        <v>104709</v>
      </c>
      <c r="P5" s="102"/>
      <c r="Q5" s="103">
        <f t="shared" ref="Q5:Q6" si="2">(P5*M5)*$Q$2</f>
        <v>0</v>
      </c>
      <c r="R5" s="104"/>
      <c r="S5" s="103">
        <f t="shared" ref="S5:S6" si="3">R5*M5*$S$2</f>
        <v>0</v>
      </c>
      <c r="T5" s="104"/>
      <c r="U5" s="103">
        <f t="shared" ref="U5:U6" si="4">T5*M5*$U$2</f>
        <v>0</v>
      </c>
      <c r="V5" s="76">
        <f t="shared" ref="V5:V6" si="5">SUM(O5+Q5)+S5+U5</f>
        <v>104709</v>
      </c>
      <c r="W5" s="99"/>
      <c r="X5" s="77"/>
    </row>
    <row r="6" spans="1:25" s="116" customFormat="1" ht="38.1" customHeight="1" x14ac:dyDescent="0.3">
      <c r="A6" s="73" t="str">
        <f t="shared" si="0"/>
        <v>E00000803071260301</v>
      </c>
      <c r="B6" s="96"/>
      <c r="C6" s="96"/>
      <c r="D6" s="96"/>
      <c r="E6" s="96"/>
      <c r="F6" s="91"/>
      <c r="G6" s="74" t="s">
        <v>93</v>
      </c>
      <c r="H6" s="74"/>
      <c r="I6" s="91"/>
      <c r="J6" s="108" t="s">
        <v>95</v>
      </c>
      <c r="K6" s="108" t="s">
        <v>109</v>
      </c>
      <c r="L6" s="75" t="s">
        <v>94</v>
      </c>
      <c r="M6" s="107">
        <v>2.15</v>
      </c>
      <c r="N6" s="105"/>
      <c r="O6" s="103">
        <f t="shared" si="1"/>
        <v>0</v>
      </c>
      <c r="P6" s="102">
        <v>487076</v>
      </c>
      <c r="Q6" s="103">
        <f t="shared" si="2"/>
        <v>874423.1889999999</v>
      </c>
      <c r="R6" s="104"/>
      <c r="S6" s="103">
        <f t="shared" si="3"/>
        <v>0</v>
      </c>
      <c r="T6" s="104"/>
      <c r="U6" s="103">
        <f t="shared" si="4"/>
        <v>0</v>
      </c>
      <c r="V6" s="76">
        <f t="shared" si="5"/>
        <v>874423.1889999999</v>
      </c>
      <c r="W6" s="98"/>
      <c r="X6" s="77"/>
      <c r="Y6" s="117"/>
    </row>
    <row r="7" spans="1:25" ht="38.1" customHeight="1" x14ac:dyDescent="0.3">
      <c r="A7" s="118"/>
      <c r="B7" s="113"/>
      <c r="C7" s="113"/>
      <c r="D7" s="113"/>
      <c r="E7" s="113"/>
      <c r="O7" s="119">
        <f>SUM(O5:O6)</f>
        <v>104709</v>
      </c>
      <c r="P7" s="120"/>
      <c r="Q7" s="119">
        <f>SUM(Q5:Q6)</f>
        <v>874423.1889999999</v>
      </c>
      <c r="R7" s="120"/>
      <c r="S7" s="119">
        <f>SUM(S5:S6)</f>
        <v>0</v>
      </c>
      <c r="T7" s="120"/>
      <c r="U7" s="119">
        <f>SUM(U5:U6)</f>
        <v>0</v>
      </c>
      <c r="V7" s="126">
        <f>SUM(V5:V6)</f>
        <v>979132.1889999999</v>
      </c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8"/>
  <sheetViews>
    <sheetView zoomScale="90" zoomScaleNormal="90" workbookViewId="0">
      <selection activeCell="B17" sqref="B17"/>
    </sheetView>
  </sheetViews>
  <sheetFormatPr defaultColWidth="9" defaultRowHeight="14.25" x14ac:dyDescent="0.3"/>
  <cols>
    <col min="1" max="1" width="22.625" style="90" customWidth="1"/>
    <col min="2" max="2" width="27.625" style="90" customWidth="1"/>
    <col min="3" max="3" width="5.75" style="90" customWidth="1"/>
    <col min="4" max="4" width="5.25" style="90" customWidth="1"/>
    <col min="5" max="8" width="20.625" style="90" customWidth="1"/>
    <col min="9" max="12" width="20.625" style="90" hidden="1" customWidth="1"/>
    <col min="13" max="14" width="20.625" style="90" customWidth="1"/>
    <col min="15" max="15" width="32.75" style="90" customWidth="1"/>
    <col min="16" max="16384" width="9" style="78"/>
  </cols>
  <sheetData>
    <row r="1" spans="1:15" ht="41.25" customHeight="1" x14ac:dyDescent="0.3">
      <c r="A1" s="147" t="s">
        <v>59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ht="24.95" customHeight="1" x14ac:dyDescent="0.3">
      <c r="A2" s="148" t="s">
        <v>60</v>
      </c>
      <c r="B2" s="149" t="s">
        <v>61</v>
      </c>
      <c r="C2" s="150" t="s">
        <v>47</v>
      </c>
      <c r="D2" s="150" t="s">
        <v>62</v>
      </c>
      <c r="E2" s="152" t="s">
        <v>63</v>
      </c>
      <c r="F2" s="149"/>
      <c r="G2" s="149" t="s">
        <v>64</v>
      </c>
      <c r="H2" s="149"/>
      <c r="I2" s="153" t="s">
        <v>65</v>
      </c>
      <c r="J2" s="154"/>
      <c r="K2" s="153" t="s">
        <v>66</v>
      </c>
      <c r="L2" s="154"/>
      <c r="M2" s="152" t="s">
        <v>67</v>
      </c>
      <c r="N2" s="149"/>
      <c r="O2" s="155" t="s">
        <v>68</v>
      </c>
    </row>
    <row r="3" spans="1:15" ht="24.95" customHeight="1" x14ac:dyDescent="0.3">
      <c r="A3" s="148"/>
      <c r="B3" s="149"/>
      <c r="C3" s="151"/>
      <c r="D3" s="151"/>
      <c r="E3" s="125" t="s">
        <v>69</v>
      </c>
      <c r="F3" s="125" t="s">
        <v>70</v>
      </c>
      <c r="G3" s="79" t="s">
        <v>69</v>
      </c>
      <c r="H3" s="125" t="s">
        <v>71</v>
      </c>
      <c r="I3" s="125"/>
      <c r="J3" s="125"/>
      <c r="K3" s="79" t="s">
        <v>69</v>
      </c>
      <c r="L3" s="125" t="s">
        <v>71</v>
      </c>
      <c r="M3" s="79" t="s">
        <v>69</v>
      </c>
      <c r="N3" s="125" t="s">
        <v>71</v>
      </c>
      <c r="O3" s="156"/>
    </row>
    <row r="4" spans="1:15" ht="24.95" customHeight="1" x14ac:dyDescent="0.3">
      <c r="A4" s="145" t="s">
        <v>104</v>
      </c>
      <c r="B4" s="146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24.95" customHeight="1" x14ac:dyDescent="0.3">
      <c r="A5" s="123" t="s">
        <v>105</v>
      </c>
      <c r="B5" s="81" t="s">
        <v>97</v>
      </c>
      <c r="C5" s="82" t="s">
        <v>72</v>
      </c>
      <c r="D5" s="83">
        <v>33</v>
      </c>
      <c r="E5" s="84">
        <v>1057</v>
      </c>
      <c r="F5" s="84">
        <f t="shared" ref="F5:F7" si="0">D5*E5</f>
        <v>34881</v>
      </c>
      <c r="G5" s="84">
        <v>8839.9</v>
      </c>
      <c r="H5" s="84">
        <f t="shared" ref="H5:H7" si="1">D5*G5</f>
        <v>291716.7</v>
      </c>
      <c r="I5" s="84"/>
      <c r="J5" s="84"/>
      <c r="K5" s="84"/>
      <c r="L5" s="84"/>
      <c r="M5" s="84"/>
      <c r="N5" s="84">
        <f>F5+H5+J5+L5</f>
        <v>326597.7</v>
      </c>
      <c r="O5" s="124"/>
    </row>
    <row r="6" spans="1:15" ht="24.95" customHeight="1" x14ac:dyDescent="0.3">
      <c r="A6" s="123" t="s">
        <v>106</v>
      </c>
      <c r="B6" s="81" t="s">
        <v>97</v>
      </c>
      <c r="C6" s="82" t="s">
        <v>72</v>
      </c>
      <c r="D6" s="83">
        <v>33</v>
      </c>
      <c r="E6" s="84">
        <v>1057</v>
      </c>
      <c r="F6" s="84">
        <f t="shared" si="0"/>
        <v>34881</v>
      </c>
      <c r="G6" s="84">
        <v>8839.9</v>
      </c>
      <c r="H6" s="84">
        <f t="shared" si="1"/>
        <v>291716.7</v>
      </c>
      <c r="I6" s="84"/>
      <c r="J6" s="84"/>
      <c r="K6" s="84"/>
      <c r="L6" s="84"/>
      <c r="M6" s="84"/>
      <c r="N6" s="84">
        <f>F6+H6+J6+L6</f>
        <v>326597.7</v>
      </c>
      <c r="O6" s="124"/>
    </row>
    <row r="7" spans="1:15" ht="24.95" customHeight="1" x14ac:dyDescent="0.3">
      <c r="A7" s="123" t="s">
        <v>107</v>
      </c>
      <c r="B7" s="81" t="s">
        <v>97</v>
      </c>
      <c r="C7" s="82" t="s">
        <v>72</v>
      </c>
      <c r="D7" s="83">
        <v>33</v>
      </c>
      <c r="E7" s="84">
        <v>1057</v>
      </c>
      <c r="F7" s="84">
        <f t="shared" si="0"/>
        <v>34881</v>
      </c>
      <c r="G7" s="84">
        <v>8839.9</v>
      </c>
      <c r="H7" s="84">
        <f t="shared" si="1"/>
        <v>291716.7</v>
      </c>
      <c r="I7" s="84"/>
      <c r="J7" s="84"/>
      <c r="K7" s="84"/>
      <c r="L7" s="84"/>
      <c r="M7" s="84"/>
      <c r="N7" s="84">
        <f>F7+H7+J7+L7</f>
        <v>326597.7</v>
      </c>
      <c r="O7" s="124"/>
    </row>
    <row r="8" spans="1:15" ht="24.95" customHeight="1" x14ac:dyDescent="0.3">
      <c r="A8" s="92" t="s">
        <v>96</v>
      </c>
      <c r="B8" s="85"/>
      <c r="C8" s="86"/>
      <c r="D8" s="87"/>
      <c r="E8" s="88"/>
      <c r="F8" s="89">
        <f>SUM(F5:F7)</f>
        <v>104643</v>
      </c>
      <c r="G8" s="89"/>
      <c r="H8" s="89">
        <f>SUM(H5:H7)</f>
        <v>875150.10000000009</v>
      </c>
      <c r="I8" s="88"/>
      <c r="J8" s="89" t="e">
        <f>#REF!+#REF!</f>
        <v>#REF!</v>
      </c>
      <c r="K8" s="88"/>
      <c r="L8" s="89" t="e">
        <f>#REF!+#REF!</f>
        <v>#REF!</v>
      </c>
      <c r="M8" s="88"/>
      <c r="N8" s="89">
        <f>SUM(N5:N7)</f>
        <v>979793.10000000009</v>
      </c>
      <c r="O8" s="88"/>
    </row>
  </sheetData>
  <mergeCells count="12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E25" sqref="E25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8"/>
  </cols>
  <sheetData>
    <row r="1" spans="1:6" ht="18" customHeight="1" x14ac:dyDescent="0.3">
      <c r="A1" s="93" t="s">
        <v>0</v>
      </c>
      <c r="B1" s="93" t="s">
        <v>1</v>
      </c>
      <c r="C1" s="93" t="s">
        <v>2</v>
      </c>
      <c r="D1" s="93" t="s">
        <v>3</v>
      </c>
      <c r="E1" s="93" t="s">
        <v>4</v>
      </c>
      <c r="F1" s="93" t="s">
        <v>5</v>
      </c>
    </row>
    <row r="2" spans="1:6" x14ac:dyDescent="0.3">
      <c r="A2" s="94" t="str">
        <f>'내역서(표준단가)'!A5</f>
        <v>M020853710050101</v>
      </c>
      <c r="B2" s="95">
        <f>'내역서(표준단가)'!F5</f>
        <v>0</v>
      </c>
      <c r="C2" s="95">
        <f>'내역서(표준단가)'!G5</f>
        <v>0</v>
      </c>
      <c r="D2" s="95" t="str">
        <f>'내역서(표준단가)'!H5</f>
        <v>M020853710050101</v>
      </c>
      <c r="E2" s="95">
        <f>'내역서(표준단가)'!I5</f>
        <v>0</v>
      </c>
      <c r="F2" s="97">
        <f>'내역서(표준단가)'!M5</f>
        <v>6</v>
      </c>
    </row>
    <row r="3" spans="1:6" x14ac:dyDescent="0.3">
      <c r="A3" s="94" t="str">
        <f>'내역서(표준단가)'!A6</f>
        <v>E00000803071260301</v>
      </c>
      <c r="B3" s="95">
        <f>'내역서(표준단가)'!F6</f>
        <v>0</v>
      </c>
      <c r="C3" s="95" t="str">
        <f>'내역서(표준단가)'!G6</f>
        <v>E00000803071260301</v>
      </c>
      <c r="D3" s="95">
        <f>'내역서(표준단가)'!H6</f>
        <v>0</v>
      </c>
      <c r="E3" s="95">
        <f>'내역서(표준단가)'!I6</f>
        <v>0</v>
      </c>
      <c r="F3" s="97">
        <f>'내역서(표준단가)'!M6</f>
        <v>2.15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BC07-0BB5-46CB-B98E-979C59182194}">
  <sheetPr codeName="Sheet4"/>
  <dimension ref="A1"/>
  <sheetViews>
    <sheetView topLeftCell="A4" workbookViewId="0">
      <selection activeCell="O24" sqref="O24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2025-04-18T02:15:55Z</dcterms:modified>
</cp:coreProperties>
</file>
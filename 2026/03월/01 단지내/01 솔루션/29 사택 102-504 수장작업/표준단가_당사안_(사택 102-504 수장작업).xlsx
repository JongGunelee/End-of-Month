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일성건축\Desktop\"/>
    </mc:Choice>
  </mc:AlternateContent>
  <xr:revisionPtr revIDLastSave="0" documentId="13_ncr:1_{D52EE6E2-776A-4D82-A88E-B4163800B257}" xr6:coauthVersionLast="36" xr6:coauthVersionMax="47" xr10:uidLastSave="{00000000-0000-0000-0000-000000000000}"/>
  <bookViews>
    <workbookView xWindow="-60" yWindow="-60" windowWidth="28920" windowHeight="15600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</workbook>
</file>

<file path=xl/calcChain.xml><?xml version="1.0" encoding="utf-8"?>
<calcChain xmlns="http://schemas.openxmlformats.org/spreadsheetml/2006/main">
  <c r="U5" i="4" l="1"/>
  <c r="S5" i="4"/>
  <c r="Q5" i="4"/>
  <c r="O5" i="4"/>
  <c r="V5" i="4" s="1"/>
  <c r="A5" i="4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A2" i="10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<sst xmlns="http://schemas.openxmlformats.org/spreadsheetml/2006/main" count="203" uniqueCount="154">
  <si>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</si>
  <si>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</si>
  <si>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</si>
  <si>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</si>
  <si>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</si>
  <si>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</si>
  <si>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</si>
  <si>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</si>
  <si>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</si>
  <si>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</si>
  <si>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</si>
  <si>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</si>
  <si>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</si>
  <si>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</si>
  <si>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</si>
  <si>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</si>
  <si>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</si>
  <si>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</si>
  <si>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</si>
  <si>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</si>
  <si>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</si>
  <si>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</si>
  <si>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</si>
  <si>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</si>
  <si>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</si>
  <si>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</si>
  <si>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</si>
  <si>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</si>
  <si>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</si>
  <si>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</si>
  <si>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</si>
  <si>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</si>
  <si>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</si>
  <si>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</si>
  <si>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</si>
  <si>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</si>
  <si>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</si>
  <si>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</si>
  <si>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</si>
  <si>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</si>
  <si>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</si>
  <si>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</si>
  <si>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</si>
  <si>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</si>
  <si>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</si>
  <si>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</si>
  <si>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</si>
  <si>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</si>
  <si>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</si>
  <si>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</si>
  <si>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</si>
  <si>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</si>
  <si>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</si>
  <si>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</si>
  <si>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</si>
  <si>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</si>
  <si>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</si>
  <si>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</si>
  <si>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</si>
  <si>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</si>
  <si>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</si>
  <si>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</si>
  <si>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</si>
  <si>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</si>
  <si>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</si>
  <si>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</si>
  <si>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</si>
  <si>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</si>
  <si>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</si>
  <si>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</si>
  <si>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</si>
  <si>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</si>
  <si>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</si>
  <si>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</si>
  <si>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</si>
  <si>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</si>
  <si>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</si>
  <si>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</si>
  <si>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</si>
  <si>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</si>
  <si>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</si>
  <si>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</si>
  <si>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</si>
  <si>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</si>
  <si>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</si>
  <si>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</si>
  <si>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</si>
  <si>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</si>
  <si>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</si>
  <si>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</si>
  <si>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</si>
  <si>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</si>
  <si>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</si>
  <si>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</si>
  <si>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</si>
  <si>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</si>
  <si>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</si>
  <si>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</si>
  <si>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</si>
  <si>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</si>
  <si>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</si>
  <si>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</si>
  <si>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</si>
  <si>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</si>
  <si>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</si>
  <si>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</si>
  <si>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</si>
  <si>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</si>
  <si>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</si>
  <si>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</si>
  <si>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</si>
  <si>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</si>
  <si>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</si>
  <si>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</si>
  <si>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</si>
  <si>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</si>
  <si>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</si>
  <si>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</si>
  <si>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</si>
  <si>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</si>
  <si>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</si>
  <si>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</si>
  <si>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</si>
  <si>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</si>
  <si>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</si>
  <si>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</si>
  <si>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</si>
  <si>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</si>
  <si>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</si>
  <si>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</si>
  <si>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</si>
  <si>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</si>
  <si>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</si>
  <si>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</si>
  <si>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</si>
  <si>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</si>
  <si>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</si>
  <si>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</si>
  <si>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</si>
  <si>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</si>
  <si>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</si>
  <si>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</si>
  <si>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</si>
  <si>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</si>
  <si>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</si>
  <si>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</si>
  <si>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</si>
  <si>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</si>
  <si>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</si>
  <si>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</si>
  <si>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t xml:space="preserve"> 견적일 : 2026년  01월  13일</t>
    <phoneticPr fontId="11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</si>
  <si>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소요량186/16.51=11.2658R/L</t>
    </r>
    <phoneticPr fontId="5" type="noConversion"/>
  </si>
  <si>
    <t xml:space="preserve"> 공사명 : 사택 102-504 수장공사</t>
    <phoneticPr fontId="11" type="noConversion"/>
  </si>
  <si>
    <t xml:space="preserve">  사택 102-504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</si>
</sst>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zoomScale="85" zoomScaleNormal="85" workbookViewId="0">
      <selection activeCell="A7" sqref="A7:C7"/>
    </sheetView>
  </sheetViews>
  <sheetFormatPr defaultColWidth="9" defaultRowHeight="1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.75">
      <c r="A2" s="165" t="s">
        <v>1</v>
      </c>
      <c r="B2" s="165"/>
      <c r="C2" s="165"/>
      <c r="D2" s="165"/>
      <c r="E2" s="165"/>
      <c r="F2" s="165"/>
      <c r="G2" s="165"/>
      <c r="H2" s="2"/>
    </row>
    <row r="3" spans="1:9" ht="13.5">
      <c r="A3" s="129"/>
      <c r="B3" s="129"/>
      <c r="C3" s="129"/>
      <c r="D3" s="129"/>
      <c r="E3" s="129"/>
      <c r="F3" s="129"/>
      <c r="G3" s="129"/>
      <c r="H3" s="129"/>
    </row>
    <row r="4" spans="1:9" ht="13.5">
      <c r="A4" s="129"/>
      <c r="B4" s="129"/>
      <c r="C4" s="129"/>
      <c r="D4" s="129"/>
      <c r="E4" s="129"/>
      <c r="H4" s="129"/>
    </row>
    <row r="5" spans="1:9" ht="27" customHeight="1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>
      <c r="A7" s="168" t="s">
        <v>152</v>
      </c>
      <c r="B7" s="169"/>
      <c r="C7" s="170"/>
      <c r="D7" s="129"/>
      <c r="E7" s="10"/>
      <c r="F7" s="11" t="s">
        <v>37</v>
      </c>
      <c r="G7" s="9" t="s">
        <v>49</v>
      </c>
      <c r="H7" s="129"/>
    </row>
    <row r="8" spans="1:9" ht="27" customHeight="1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>
      <c r="A9" s="168" t="s">
        <v>150</v>
      </c>
      <c r="B9" s="169"/>
      <c r="C9" s="170"/>
      <c r="D9" s="129"/>
      <c r="E9" s="129"/>
      <c r="F9" s="8" t="s">
        <v>39</v>
      </c>
      <c r="G9" s="9" t="s">
        <v>51</v>
      </c>
      <c r="H9" s="129"/>
    </row>
    <row r="10" spans="1:9" ht="27" customHeight="1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>
      <c r="A11" s="166"/>
      <c r="B11" s="167"/>
      <c r="C11" s="167"/>
      <c r="D11" s="129"/>
      <c r="E11" s="14"/>
      <c r="F11" s="15" t="s">
        <v>35</v>
      </c>
      <c r="G11" s="16" t="s">
        <v>53</v>
      </c>
      <c r="H11" s="14"/>
    </row>
    <row r="12" spans="1:9" ht="19.5" thickBot="1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" thickTop="1" thickBot="1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>
      <c r="A16" s="29"/>
      <c r="B16" s="30" t="s">
        <v>13</v>
      </c>
      <c r="C16" s="31"/>
      <c r="D16" s="32"/>
      <c r="E16" s="32"/>
      <c r="F16" s="33">
        <f>'내역서(표준단가)'!O13</f>
        <v>883837.89749999996</v>
      </c>
      <c r="G16" s="34"/>
    </row>
    <row r="17" spans="1:7" ht="33" customHeight="1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>
      <c r="A19" s="29"/>
      <c r="B19" s="36" t="s">
        <v>16</v>
      </c>
      <c r="C19" s="36"/>
      <c r="D19" s="37"/>
      <c r="E19" s="37"/>
      <c r="F19" s="38">
        <f>F16+F17+F18</f>
        <v>3726676.9529520003</v>
      </c>
      <c r="G19" s="35"/>
    </row>
    <row r="20" spans="1:7" ht="33" customHeight="1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115899.65323680721</v>
      </c>
      <c r="G26" s="35" t="s">
        <v>21</v>
      </c>
    </row>
    <row r="27" spans="1:7" ht="33" customHeight="1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166520.68449994351</v>
      </c>
      <c r="G27" s="35"/>
    </row>
    <row r="28" spans="1:7" ht="33" customHeight="1">
      <c r="A28" s="29"/>
      <c r="B28" s="36" t="s">
        <v>28</v>
      </c>
      <c r="C28" s="50"/>
      <c r="D28" s="51"/>
      <c r="E28" s="37"/>
      <c r="F28" s="52">
        <f>F21+F22+F23+F24+F25+F26+F27</f>
        <v>654095.3190468133</v>
      </c>
      <c r="G28" s="35"/>
    </row>
    <row r="29" spans="1:7" ht="33" customHeight="1">
      <c r="A29" s="29"/>
      <c r="B29" s="40"/>
      <c r="C29" s="53"/>
      <c r="D29" s="54"/>
      <c r="E29" s="32"/>
      <c r="F29" s="55"/>
      <c r="G29" s="35"/>
    </row>
    <row r="30" spans="1:7" ht="33" customHeight="1">
      <c r="A30" s="29"/>
      <c r="B30" s="56"/>
      <c r="C30" s="53"/>
      <c r="D30" s="54"/>
      <c r="E30" s="32"/>
      <c r="F30" s="57">
        <f>F19+F28+F29</f>
        <v>4380772.2719988134</v>
      </c>
      <c r="G30" s="35"/>
    </row>
    <row r="31" spans="1:7" ht="33" customHeight="1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>
      <c r="A32" s="59"/>
      <c r="B32" s="60" t="s">
        <v>30</v>
      </c>
      <c r="C32" s="61"/>
      <c r="D32" s="61"/>
      <c r="E32" s="61"/>
      <c r="F32" s="62"/>
      <c r="G32" s="63"/>
    </row>
    <row r="33" spans="2:2" ht="14.25">
      <c r="B33" s="64"/>
    </row>
    <row r="34" spans="2:2" ht="14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N16" sqref="N16"/>
    </sheetView>
  </sheetViews>
  <sheetFormatPr defaultColWidth="9" defaultRowHeight="38.1" customHeight="1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>
      <c r="A1" s="171"/>
      <c r="B1" s="171"/>
      <c r="C1" s="171"/>
      <c r="D1" s="171"/>
      <c r="E1" s="171"/>
      <c r="F1" s="171"/>
      <c r="G1" s="171"/>
      <c r="H1" s="171"/>
      <c r="I1" s="171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>
      <c r="A2" s="171"/>
      <c r="B2" s="171"/>
      <c r="C2" s="171"/>
      <c r="D2" s="171"/>
      <c r="E2" s="171"/>
      <c r="F2" s="171"/>
      <c r="G2" s="171"/>
      <c r="H2" s="171"/>
      <c r="I2" s="171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2" t="s">
        <v>91</v>
      </c>
      <c r="K3" s="182"/>
      <c r="L3" s="180" t="s">
        <v>42</v>
      </c>
      <c r="M3" s="180" t="s">
        <v>0</v>
      </c>
      <c r="N3" s="176" t="s">
        <v>92</v>
      </c>
      <c r="O3" s="176"/>
      <c r="P3" s="176" t="s">
        <v>93</v>
      </c>
      <c r="Q3" s="176"/>
      <c r="R3" s="177" t="s">
        <v>94</v>
      </c>
      <c r="S3" s="177"/>
      <c r="T3" s="177" t="s">
        <v>95</v>
      </c>
      <c r="U3" s="177"/>
      <c r="V3" s="178" t="s">
        <v>96</v>
      </c>
      <c r="W3" s="174" t="s">
        <v>97</v>
      </c>
      <c r="X3" s="172" t="s">
        <v>40</v>
      </c>
    </row>
    <row r="4" spans="1:24" ht="19.899999999999999" customHeight="1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1"/>
      <c r="M4" s="181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79"/>
      <c r="W4" s="175"/>
      <c r="X4" s="173"/>
    </row>
    <row r="5" spans="1:24" s="150" customFormat="1" ht="38.1" customHeight="1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151</v>
      </c>
      <c r="L5" s="121" t="s">
        <v>147</v>
      </c>
      <c r="M5" s="140">
        <v>11.265000000000001</v>
      </c>
      <c r="N5" s="160">
        <v>20900</v>
      </c>
      <c r="O5" s="136">
        <f t="shared" ref="O5" si="1">SUM(N5:N5)*M5*$O$2</f>
        <v>196591.14749999999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196591.14749999999</v>
      </c>
      <c r="W5" s="120"/>
      <c r="X5" s="77"/>
    </row>
    <row r="6" spans="1:24" s="150" customFormat="1" ht="38.1" customHeight="1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883837.89749999996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3726676.9529519998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A4" sqref="A4:B4"/>
    </sheetView>
  </sheetViews>
  <sheetFormatPr defaultColWidth="9" defaultRowHeight="13.5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>
      <c r="A1" s="185" t="s">
        <v>54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</row>
    <row r="2" spans="1:15" ht="15" customHeight="1">
      <c r="A2" s="186" t="s">
        <v>55</v>
      </c>
      <c r="B2" s="187" t="s">
        <v>56</v>
      </c>
      <c r="C2" s="188" t="s">
        <v>42</v>
      </c>
      <c r="D2" s="188" t="s">
        <v>57</v>
      </c>
      <c r="E2" s="190" t="s">
        <v>58</v>
      </c>
      <c r="F2" s="187"/>
      <c r="G2" s="187" t="s">
        <v>59</v>
      </c>
      <c r="H2" s="187"/>
      <c r="I2" s="191" t="s">
        <v>60</v>
      </c>
      <c r="J2" s="192"/>
      <c r="K2" s="191" t="s">
        <v>61</v>
      </c>
      <c r="L2" s="192"/>
      <c r="M2" s="190" t="s">
        <v>62</v>
      </c>
      <c r="N2" s="187"/>
      <c r="O2" s="193" t="s">
        <v>63</v>
      </c>
    </row>
    <row r="3" spans="1:15" ht="15" customHeight="1">
      <c r="A3" s="186"/>
      <c r="B3" s="187"/>
      <c r="C3" s="189"/>
      <c r="D3" s="189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4"/>
    </row>
    <row r="4" spans="1:15" ht="15" customHeight="1">
      <c r="A4" s="183" t="s">
        <v>153</v>
      </c>
      <c r="B4" s="184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>
      <c r="A5" s="201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5" t="s">
        <v>128</v>
      </c>
    </row>
    <row r="6" spans="1:15" ht="15" customHeight="1">
      <c r="A6" s="202"/>
      <c r="B6" s="81" t="s">
        <v>70</v>
      </c>
      <c r="C6" s="82" t="s">
        <v>69</v>
      </c>
      <c r="D6" s="83"/>
      <c r="E6" s="84"/>
      <c r="F6" s="84"/>
      <c r="G6" s="84"/>
      <c r="H6" s="84"/>
      <c r="I6" s="84"/>
      <c r="J6" s="84"/>
      <c r="K6" s="84"/>
      <c r="L6" s="84"/>
      <c r="M6" s="84"/>
      <c r="N6" s="84"/>
      <c r="O6" s="196"/>
    </row>
    <row r="7" spans="1:15" ht="15" customHeight="1">
      <c r="A7" s="202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196"/>
    </row>
    <row r="8" spans="1:15" ht="15" customHeight="1">
      <c r="A8" s="202"/>
      <c r="B8" s="81" t="s">
        <v>72</v>
      </c>
      <c r="C8" s="82" t="s">
        <v>69</v>
      </c>
      <c r="D8" s="83"/>
      <c r="E8" s="84"/>
      <c r="F8" s="84"/>
      <c r="G8" s="84"/>
      <c r="H8" s="84"/>
      <c r="I8" s="84"/>
      <c r="J8" s="84"/>
      <c r="K8" s="84"/>
      <c r="L8" s="84"/>
      <c r="M8" s="84"/>
      <c r="N8" s="84"/>
      <c r="O8" s="196"/>
    </row>
    <row r="9" spans="1:15" ht="15" customHeight="1">
      <c r="A9" s="202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196"/>
    </row>
    <row r="10" spans="1:15" ht="15" customHeight="1">
      <c r="A10" s="202"/>
      <c r="B10" s="81" t="s">
        <v>74</v>
      </c>
      <c r="C10" s="82" t="s">
        <v>69</v>
      </c>
      <c r="D10" s="83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196"/>
    </row>
    <row r="11" spans="1:15" ht="15" customHeight="1">
      <c r="A11" s="202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196"/>
    </row>
    <row r="12" spans="1:15" ht="15" customHeight="1">
      <c r="A12" s="202"/>
      <c r="B12" s="81" t="s">
        <v>76</v>
      </c>
      <c r="C12" s="82" t="s">
        <v>69</v>
      </c>
      <c r="D12" s="83"/>
      <c r="E12" s="84"/>
      <c r="F12" s="84"/>
      <c r="G12" s="84"/>
      <c r="H12" s="84"/>
      <c r="I12" s="84"/>
      <c r="J12" s="84"/>
      <c r="K12" s="84"/>
      <c r="L12" s="84"/>
      <c r="M12" s="84"/>
      <c r="N12" s="84"/>
      <c r="O12" s="196"/>
    </row>
    <row r="13" spans="1:15" ht="15" customHeight="1">
      <c r="A13" s="109" t="s">
        <v>77</v>
      </c>
      <c r="B13" s="110"/>
      <c r="C13" s="111"/>
      <c r="D13" s="112"/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>
      <c r="A14" s="197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196"/>
    </row>
    <row r="15" spans="1:15" ht="15" customHeight="1">
      <c r="A15" s="197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196"/>
    </row>
    <row r="16" spans="1:15" ht="15" customHeight="1">
      <c r="A16" s="197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196"/>
    </row>
    <row r="17" spans="1:15" ht="15" customHeight="1">
      <c r="A17" s="198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199"/>
    </row>
    <row r="18" spans="1:15" ht="15" customHeight="1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>
      <c r="A21" s="200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>
      <c r="A22" s="200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>
      <c r="A23" s="200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>
      <c r="A24" s="200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F27" sqref="F27"/>
    </sheetView>
  </sheetViews>
  <sheetFormatPr defaultColWidth="9" defaultRowHeight="13.5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11.265000000000001</v>
      </c>
    </row>
    <row r="3" spans="1:6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3.5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일성건축</cp:lastModifiedBy>
  <cp:lastPrinted>2024-12-21T04:56:43Z</cp:lastPrinted>
  <dcterms:created xsi:type="dcterms:W3CDTF">2020-09-15T23:52:51Z</dcterms:created>
  <dcterms:modified xsi:type="dcterms:W3CDTF">2026-01-13T03:22:42Z</dcterms:modified>
</cp:coreProperties>
</file>
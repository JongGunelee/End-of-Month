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12 사택 103-201 거실 단열작업\"/>
    </mc:Choice>
  </mc:AlternateContent>
  <xr:revisionPtr revIDLastSave="0" documentId="13_ncr:1_{6962ABD2-4A26-4A59-A268-E048AC061840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11" i="18"/>
  <c r="O11" i="4" l="1"/>
  <c r="U11" i="4" l="1"/>
  <c r="V11" i="4" s="1"/>
  <c r="A11" i="4"/>
  <c r="A8" i="1" s="1"/>
  <c r="U8" i="4" l="1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V8" i="4" l="1"/>
  <c r="V7" i="4"/>
  <c r="V6" i="4"/>
  <c r="U9" i="4" l="1"/>
  <c r="S9" i="4"/>
  <c r="Q9" i="4"/>
  <c r="O9" i="4"/>
  <c r="A9" i="4"/>
  <c r="A6" i="1" s="1"/>
  <c r="V9" i="4" l="1"/>
  <c r="U5" i="4"/>
  <c r="S5" i="4"/>
  <c r="Q5" i="4"/>
  <c r="O5" i="4"/>
  <c r="A5" i="4"/>
  <c r="V5" i="4" l="1"/>
  <c r="U10" i="4" l="1"/>
  <c r="S10" i="4"/>
  <c r="Q10" i="4"/>
  <c r="O10" i="4"/>
  <c r="A10" i="4"/>
  <c r="A7" i="1" s="1"/>
  <c r="V10" i="4" l="1"/>
  <c r="L12" i="18"/>
  <c r="J11" i="18"/>
  <c r="J12" i="18" s="1"/>
  <c r="H10" i="18"/>
  <c r="F10" i="18"/>
  <c r="H9" i="18"/>
  <c r="F9" i="18"/>
  <c r="H8" i="18"/>
  <c r="F8" i="18"/>
  <c r="F7" i="18"/>
  <c r="N7" i="18" s="1"/>
  <c r="F6" i="18"/>
  <c r="H5" i="18"/>
  <c r="F5" i="18"/>
  <c r="N4" i="18"/>
  <c r="H12" i="18" l="1"/>
  <c r="N10" i="18"/>
  <c r="N6" i="18"/>
  <c r="N11" i="18"/>
  <c r="N9" i="18"/>
  <c r="N8" i="18"/>
  <c r="F12" i="18"/>
  <c r="N5" i="18"/>
  <c r="N12" i="18" l="1"/>
  <c r="F2" i="1"/>
  <c r="E2" i="1"/>
  <c r="D2" i="1"/>
  <c r="C2" i="1"/>
  <c r="B2" i="1"/>
  <c r="A2" i="1"/>
  <c r="U12" i="4" l="1"/>
  <c r="Q12" i="4"/>
  <c r="F17" i="5" s="1"/>
  <c r="S12" i="4" l="1"/>
  <c r="V12" i="4" l="1"/>
  <c r="F18" i="5" l="1"/>
  <c r="O12" i="4" l="1"/>
  <c r="F16" i="5" s="1"/>
  <c r="F26" i="5" l="1"/>
  <c r="F19" i="5"/>
  <c r="F21" i="5"/>
  <c r="F24" i="5"/>
  <c r="F25" i="5"/>
  <c r="F22" i="5"/>
  <c r="F23" i="5" s="1"/>
  <c r="F27" i="5" l="1"/>
  <c r="F28" i="5" s="1"/>
  <c r="F30" i="5" s="1"/>
  <c r="F31" i="5" l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<sst xmlns="http://schemas.openxmlformats.org/spreadsheetml/2006/main" count="170" uniqueCount="137">
  <si>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</si>
  <si>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</si>
  <si>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</si>
  <si>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</si>
  <si>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</si>
  <si>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</si>
  <si>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</si>
  <si>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</si>
  <si>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</si>
  <si>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</si>
  <si>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</si>
  <si>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</si>
  <si>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</si>
  <si>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</si>
  <si>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</si>
  <si>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</si>
  <si>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</si>
  <si>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</si>
  <si>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</si>
  <si>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</si>
  <si>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</si>
  <si>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</si>
  <si>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</si>
  <si>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</si>
  <si>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</si>
  <si>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</si>
  <si>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</si>
  <si>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</si>
  <si>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</si>
  <si>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</si>
  <si>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</si>
  <si>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</si>
  <si>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</si>
  <si>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</si>
  <si>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</si>
  <si>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</si>
  <si>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</si>
  <si>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</si>
  <si>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</si>
  <si>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</si>
  <si>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</si>
  <si>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</si>
  <si>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</si>
  <si>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</si>
  <si>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</si>
  <si>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</si>
  <si>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</si>
  <si>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</si>
  <si>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</si>
  <si>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</si>
  <si>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</si>
  <si>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</si>
  <si>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</si>
  <si>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</si>
  <si>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</si>
  <si>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</si>
  <si>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</si>
  <si>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</si>
  <si>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</si>
  <si>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</si>
  <si>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</si>
  <si>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</si>
  <si>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</si>
  <si>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</si>
  <si>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</si>
  <si>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</si>
  <si>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</si>
  <si>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</si>
  <si>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</si>
  <si>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</si>
  <si>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</si>
  <si>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</si>
  <si>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1.건축물 현장정리</t>
    <phoneticPr fontId="18" type="noConversion"/>
  </si>
  <si>
    <t>㎡</t>
    <phoneticPr fontId="18" type="noConversion"/>
  </si>
  <si>
    <t>2.거실단열</t>
    <phoneticPr fontId="12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</si>
  <si>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</si>
  <si>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</si>
  <si>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</si>
  <si>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</si>
  <si>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</si>
  <si>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</si>
  <si>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</si>
  <si>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</si>
  <si>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</si>
  <si>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</si>
  <si>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</si>
  <si>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</si>
  <si>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</si>
  <si>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</si>
  <si>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</si>
  <si>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</si>
  <si>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</si>
  <si>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</si>
  <si>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</si>
  <si>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</si>
  <si>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</si>
  <si>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</si>
  <si>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</si>
  <si>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</si>
  <si>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</si>
  <si>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</si>
  <si>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</si>
  <si>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</si>
  <si>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</si>
  <si>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</si>
  <si>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</si>
  <si>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</si>
  <si>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</si>
  <si>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E00000801011510201</t>
  </si>
  <si>
    <t>건출물 현장정리</t>
  </si>
  <si>
    <t>(연면적 ㎡ 당)</t>
  </si>
  <si>
    <t>석고판 설치(나사 고정)</t>
  </si>
  <si>
    <t>(일당)</t>
  </si>
  <si>
    <t>E00000803066520502</t>
  </si>
  <si>
    <t>걸레받이 설치, 종합적산정보 389p</t>
    <phoneticPr fontId="10" type="noConversion"/>
  </si>
  <si>
    <t>M020531910380101</t>
  </si>
  <si>
    <t>100h, 2.5t</t>
  </si>
  <si>
    <t>M020750510120102</t>
  </si>
  <si>
    <t>900 X 1800X40, 3호(비중0.020)</t>
  </si>
  <si>
    <t>M020750510130102</t>
  </si>
  <si>
    <t>900 X 1800X50, 3호(비중0.020)</t>
  </si>
  <si>
    <t>M020806810430101</t>
  </si>
  <si>
    <t>산업폐기물처리비=내부창호폐기물 적용(1세대)</t>
    <phoneticPr fontId="10" type="noConversion"/>
  </si>
  <si>
    <t>STEEL CONCORE PANEL 기준, (소운반비별도), 적용</t>
    <phoneticPr fontId="10" type="noConversion"/>
  </si>
  <si>
    <t>E00000803066520103</t>
  </si>
  <si>
    <t> (재료비+노무비)*3.11%</t>
    <phoneticPr fontId="18" type="noConversion"/>
  </si>
  <si>
    <t>에너폴(태화론 TW-06, 6㎜×1M×50M단면-점착 대체)</t>
    <phoneticPr fontId="10" type="noConversion"/>
  </si>
  <si>
    <t>연질/러버베이스 적용 (합성수지류,걸레받이 대체)</t>
    <phoneticPr fontId="10" type="noConversion"/>
  </si>
  <si>
    <t>에너폴(이보드, 1000*1000*13T, 대체)</t>
    <phoneticPr fontId="10" type="noConversion"/>
  </si>
  <si>
    <t xml:space="preserve"> 견적일 : 2024 년  08월  07일</t>
    <phoneticPr fontId="16" type="noConversion"/>
  </si>
  <si>
    <t>기존 단열재 철거 포함</t>
    <phoneticPr fontId="10" type="noConversion"/>
  </si>
  <si>
    <t>3.폐기물 처리</t>
    <phoneticPr fontId="12" type="noConversion"/>
  </si>
  <si>
    <t>사택 103-201 거실 단열작업(열반사+이보드)</t>
    <phoneticPr fontId="18" type="noConversion"/>
  </si>
  <si>
    <r>
      <t xml:space="preserve">철근콘크리트조·철골·철근콘크리트조, </t>
    </r>
    <r>
      <rPr>
        <sz val="10"/>
        <color rgb="FFFF0000"/>
        <rFont val="LG스마트체 Regular"/>
        <family val="3"/>
        <charset val="129"/>
      </rPr>
      <t>기존 단열재 철거 포함</t>
    </r>
    <phoneticPr fontId="10" type="noConversion"/>
  </si>
  <si>
    <t>중밀도섬유판(시공량 : 165m), 설치수량 48m, 6/165=0.0364</t>
    <phoneticPr fontId="10" type="noConversion"/>
  </si>
  <si>
    <t>바탕용(2겹) (시공량 : 30㎡),시공총량14/일당30=0.4667</t>
    <phoneticPr fontId="10" type="noConversion"/>
  </si>
  <si>
    <t xml:space="preserve"> 공사명 : 사택 103-201 거실 단열작업(열반사+이보드)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</si>
</sst>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_);[Red]\(0.000\)"/>
    <numFmt numFmtId="189" formatCode="0.000_ "/>
    <numFmt numFmtId="190" formatCode="#,##0;\-#,##0;"/>
    <numFmt numFmtId="191" formatCode="0.00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sz val="8.5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7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0" fontId="24" fillId="6" borderId="3" xfId="0" applyFont="1" applyFill="1" applyBorder="1">
      <alignment vertical="center"/>
    </xf>
    <xf numFmtId="177" fontId="24" fillId="0" borderId="3" xfId="1" applyFont="1" applyFill="1" applyBorder="1" applyAlignment="1">
      <alignment vertical="center" wrapText="1"/>
    </xf>
    <xf numFmtId="0" fontId="24" fillId="0" borderId="23" xfId="0" applyFont="1" applyBorder="1">
      <alignment vertical="center"/>
    </xf>
    <xf numFmtId="177" fontId="24" fillId="5" borderId="3" xfId="1" applyFont="1" applyFill="1" applyBorder="1" applyAlignment="1">
      <alignment vertical="center" wrapText="1"/>
    </xf>
    <xf numFmtId="188" fontId="24" fillId="5" borderId="3" xfId="1" applyNumberFormat="1" applyFont="1" applyFill="1" applyBorder="1" applyAlignment="1">
      <alignment vertical="center"/>
    </xf>
    <xf numFmtId="49" fontId="28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189" fontId="24" fillId="0" borderId="1" xfId="1" applyNumberFormat="1" applyFont="1" applyBorder="1" applyAlignment="1">
      <alignment horizontal="center"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0" fontId="31" fillId="0" borderId="0" xfId="28" applyFont="1" applyAlignment="1">
      <alignment horizontal="right" vertical="center"/>
    </xf>
    <xf numFmtId="0" fontId="28" fillId="0" borderId="34" xfId="28" quotePrefix="1" applyFont="1" applyBorder="1" applyAlignment="1">
      <alignment horizontal="center" vertical="center"/>
    </xf>
    <xf numFmtId="183" fontId="28" fillId="0" borderId="34" xfId="28" quotePrefix="1" applyNumberFormat="1" applyFont="1" applyBorder="1" applyAlignment="1">
      <alignment horizontal="center" vertical="center"/>
    </xf>
    <xf numFmtId="0" fontId="28" fillId="0" borderId="36" xfId="28" quotePrefix="1" applyFont="1" applyBorder="1" applyAlignment="1">
      <alignment horizontal="center" vertical="center"/>
    </xf>
    <xf numFmtId="177" fontId="29" fillId="5" borderId="34" xfId="13" applyFont="1" applyFill="1" applyBorder="1" applyAlignment="1">
      <alignment vertical="center"/>
    </xf>
    <xf numFmtId="177" fontId="29" fillId="5" borderId="34" xfId="13" applyFont="1" applyFill="1" applyBorder="1" applyAlignment="1">
      <alignment horizontal="center" vertical="center"/>
    </xf>
    <xf numFmtId="184" fontId="28" fillId="5" borderId="34" xfId="13" applyNumberFormat="1" applyFont="1" applyFill="1" applyBorder="1" applyAlignment="1">
      <alignment vertical="center"/>
    </xf>
    <xf numFmtId="184" fontId="29" fillId="5" borderId="34" xfId="13" applyNumberFormat="1" applyFont="1" applyFill="1" applyBorder="1" applyAlignment="1">
      <alignment horizontal="center" vertical="center"/>
    </xf>
    <xf numFmtId="0" fontId="29" fillId="5" borderId="34" xfId="28" applyFont="1" applyFill="1" applyBorder="1" applyAlignment="1">
      <alignment horizontal="center" vertical="center"/>
    </xf>
    <xf numFmtId="185" fontId="29" fillId="5" borderId="34" xfId="13" applyNumberFormat="1" applyFont="1" applyFill="1" applyBorder="1" applyAlignment="1">
      <alignment horizontal="center" vertical="center"/>
    </xf>
    <xf numFmtId="183" fontId="29" fillId="5" borderId="34" xfId="13" applyNumberFormat="1" applyFont="1" applyFill="1" applyBorder="1" applyAlignment="1">
      <alignment horizontal="right" vertical="center" wrapText="1"/>
    </xf>
    <xf numFmtId="177" fontId="29" fillId="5" borderId="34" xfId="13" applyFont="1" applyFill="1" applyBorder="1">
      <alignment vertical="center"/>
    </xf>
    <xf numFmtId="183" fontId="29" fillId="5" borderId="34" xfId="28" applyNumberFormat="1" applyFont="1" applyFill="1" applyBorder="1" applyAlignment="1">
      <alignment horizontal="left" vertical="center" wrapText="1"/>
    </xf>
    <xf numFmtId="0" fontId="28" fillId="5" borderId="34" xfId="3" applyFont="1" applyFill="1" applyBorder="1" applyAlignment="1">
      <alignment vertical="center"/>
    </xf>
    <xf numFmtId="0" fontId="29" fillId="0" borderId="34" xfId="3" applyFont="1" applyBorder="1" applyAlignment="1">
      <alignment horizontal="center" vertical="center"/>
    </xf>
    <xf numFmtId="177" fontId="29" fillId="0" borderId="34" xfId="13" applyFont="1" applyFill="1" applyBorder="1" applyAlignment="1">
      <alignment horizontal="center" vertical="center"/>
    </xf>
    <xf numFmtId="178" fontId="29" fillId="0" borderId="34" xfId="5" applyFont="1" applyFill="1" applyBorder="1" applyAlignment="1">
      <alignment vertical="center"/>
    </xf>
    <xf numFmtId="177" fontId="29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29" fillId="5" borderId="34" xfId="5" applyFont="1" applyFill="1" applyBorder="1" applyAlignment="1">
      <alignment vertical="center"/>
    </xf>
    <xf numFmtId="0" fontId="29" fillId="5" borderId="34" xfId="3" applyFont="1" applyFill="1" applyBorder="1" applyAlignment="1">
      <alignment horizontal="center" vertical="center"/>
    </xf>
    <xf numFmtId="0" fontId="29" fillId="5" borderId="34" xfId="29" applyNumberFormat="1" applyFont="1" applyFill="1" applyBorder="1" applyAlignment="1">
      <alignment horizontal="center" vertical="center"/>
    </xf>
    <xf numFmtId="184" fontId="28" fillId="10" borderId="36" xfId="13" applyNumberFormat="1" applyFont="1" applyFill="1" applyBorder="1" applyAlignment="1">
      <alignment horizontal="center" vertical="center"/>
    </xf>
    <xf numFmtId="186" fontId="32" fillId="10" borderId="34" xfId="13" applyNumberFormat="1" applyFont="1" applyFill="1" applyBorder="1" applyAlignment="1">
      <alignment horizontal="center" vertical="center"/>
    </xf>
    <xf numFmtId="0" fontId="32" fillId="10" borderId="34" xfId="28" applyFont="1" applyFill="1" applyBorder="1" applyAlignment="1">
      <alignment horizontal="center" vertical="center"/>
    </xf>
    <xf numFmtId="187" fontId="32" fillId="10" borderId="34" xfId="13" applyNumberFormat="1" applyFont="1" applyFill="1" applyBorder="1" applyAlignment="1">
      <alignment horizontal="center" vertical="center"/>
    </xf>
    <xf numFmtId="183" fontId="32" fillId="10" borderId="34" xfId="13" applyNumberFormat="1" applyFont="1" applyFill="1" applyBorder="1" applyAlignment="1">
      <alignment horizontal="right" vertical="center" wrapText="1"/>
    </xf>
    <xf numFmtId="183" fontId="32" fillId="10" borderId="34" xfId="13" applyNumberFormat="1" applyFont="1" applyFill="1" applyBorder="1" applyAlignment="1">
      <alignment vertical="center"/>
    </xf>
    <xf numFmtId="0" fontId="32" fillId="10" borderId="34" xfId="28" applyFont="1" applyFill="1" applyBorder="1" applyAlignment="1">
      <alignment horizontal="right" vertical="center"/>
    </xf>
    <xf numFmtId="0" fontId="25" fillId="0" borderId="0" xfId="30" applyFont="1">
      <alignment vertical="center"/>
    </xf>
    <xf numFmtId="0" fontId="25" fillId="0" borderId="0" xfId="0" applyFont="1">
      <alignment vertical="center"/>
    </xf>
    <xf numFmtId="190" fontId="24" fillId="5" borderId="3" xfId="0" applyNumberFormat="1" applyFont="1" applyFill="1" applyBorder="1" applyAlignment="1">
      <alignment horizontal="right" vertical="center" wrapText="1"/>
    </xf>
    <xf numFmtId="190" fontId="24" fillId="5" borderId="3" xfId="0" applyNumberFormat="1" applyFont="1" applyFill="1" applyBorder="1" applyAlignment="1">
      <alignment horizontal="right" vertical="center"/>
    </xf>
    <xf numFmtId="190" fontId="24" fillId="6" borderId="3" xfId="1" applyNumberFormat="1" applyFont="1" applyFill="1" applyBorder="1" applyAlignment="1">
      <alignment horizontal="right" vertical="center" wrapText="1"/>
    </xf>
    <xf numFmtId="190" fontId="24" fillId="5" borderId="3" xfId="1" applyNumberFormat="1" applyFont="1" applyFill="1" applyBorder="1" applyAlignment="1">
      <alignment horizontal="right" vertical="center"/>
    </xf>
    <xf numFmtId="190" fontId="24" fillId="0" borderId="3" xfId="1" applyNumberFormat="1" applyFont="1" applyFill="1" applyBorder="1" applyAlignment="1">
      <alignment horizontal="right" vertical="center" wrapText="1"/>
    </xf>
    <xf numFmtId="190" fontId="24" fillId="5" borderId="3" xfId="1" applyNumberFormat="1" applyFont="1" applyFill="1" applyBorder="1" applyAlignment="1">
      <alignment horizontal="right"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91" fontId="24" fillId="5" borderId="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0" fontId="29" fillId="7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  <xf numFmtId="184" fontId="28" fillId="5" borderId="36" xfId="13" applyNumberFormat="1" applyFont="1" applyFill="1" applyBorder="1" applyAlignment="1">
      <alignment vertical="center"/>
    </xf>
    <xf numFmtId="184" fontId="32" fillId="5" borderId="38" xfId="13" applyNumberFormat="1" applyFont="1" applyFill="1" applyBorder="1" applyAlignment="1">
      <alignment vertical="center"/>
    </xf>
    <xf numFmtId="0" fontId="28" fillId="0" borderId="33" xfId="28" applyFont="1" applyBorder="1" applyAlignment="1">
      <alignment horizontal="center" vertical="center"/>
    </xf>
    <xf numFmtId="0" fontId="30" fillId="0" borderId="33" xfId="28" applyFont="1" applyBorder="1" applyAlignment="1">
      <alignment horizontal="center" vertical="center"/>
    </xf>
    <xf numFmtId="0" fontId="28" fillId="0" borderId="34" xfId="28" quotePrefix="1" applyFont="1" applyBorder="1" applyAlignment="1">
      <alignment horizontal="center" vertical="center"/>
    </xf>
    <xf numFmtId="0" fontId="28" fillId="0" borderId="35" xfId="28" quotePrefix="1" applyFont="1" applyBorder="1" applyAlignment="1">
      <alignment horizontal="center" vertical="center"/>
    </xf>
    <xf numFmtId="0" fontId="28" fillId="0" borderId="39" xfId="28" quotePrefix="1" applyFont="1" applyBorder="1" applyAlignment="1">
      <alignment horizontal="center" vertical="center"/>
    </xf>
    <xf numFmtId="0" fontId="28" fillId="0" borderId="34" xfId="28" applyFont="1" applyBorder="1" applyAlignment="1">
      <alignment horizontal="center" vertical="center"/>
    </xf>
    <xf numFmtId="0" fontId="28" fillId="0" borderId="36" xfId="28" quotePrefix="1" applyFont="1" applyBorder="1" applyAlignment="1">
      <alignment horizontal="center" vertical="center"/>
    </xf>
    <xf numFmtId="0" fontId="28" fillId="0" borderId="37" xfId="28" quotePrefix="1" applyFont="1" applyBorder="1" applyAlignment="1">
      <alignment horizontal="center" vertical="center"/>
    </xf>
    <xf numFmtId="0" fontId="28" fillId="0" borderId="36" xfId="28" applyFont="1" applyBorder="1" applyAlignment="1">
      <alignment horizontal="center" vertical="center"/>
    </xf>
    <xf numFmtId="0" fontId="28" fillId="0" borderId="38" xfId="28" quotePrefix="1" applyFont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14" sqref="M14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54" t="s">
        <v>6</v>
      </c>
      <c r="B2" s="154"/>
      <c r="C2" s="154"/>
      <c r="D2" s="154"/>
      <c r="E2" s="154"/>
      <c r="F2" s="154"/>
      <c r="G2" s="154"/>
      <c r="H2" s="2"/>
    </row>
    <row r="3" spans="1:9" ht="14.25" x14ac:dyDescent="0.2">
      <c r="A3" s="95"/>
      <c r="B3" s="95"/>
      <c r="C3" s="95"/>
      <c r="D3" s="95"/>
      <c r="E3" s="95"/>
      <c r="F3" s="95"/>
      <c r="G3" s="95"/>
      <c r="H3" s="95"/>
    </row>
    <row r="4" spans="1:9" ht="14.25" x14ac:dyDescent="0.2">
      <c r="A4" s="95"/>
      <c r="B4" s="95"/>
      <c r="C4" s="95"/>
      <c r="D4" s="95"/>
      <c r="E4" s="95"/>
      <c r="H4" s="95"/>
    </row>
    <row r="5" spans="1:9" ht="27" customHeight="1" x14ac:dyDescent="0.2">
      <c r="A5" s="96" t="s">
        <v>48</v>
      </c>
      <c r="B5" s="4"/>
      <c r="C5" s="5"/>
      <c r="D5" s="95"/>
      <c r="E5" s="95"/>
      <c r="F5" s="6" t="s">
        <v>38</v>
      </c>
      <c r="G5" s="7" t="s">
        <v>52</v>
      </c>
      <c r="H5" s="95"/>
    </row>
    <row r="6" spans="1:9" ht="27" customHeight="1" x14ac:dyDescent="0.2">
      <c r="A6" s="95"/>
      <c r="B6" s="95"/>
      <c r="C6" s="95"/>
      <c r="D6" s="95"/>
      <c r="E6" s="95"/>
      <c r="F6" s="8" t="s">
        <v>41</v>
      </c>
      <c r="G6" s="9" t="s">
        <v>53</v>
      </c>
      <c r="H6" s="95"/>
    </row>
    <row r="7" spans="1:9" ht="27" customHeight="1" x14ac:dyDescent="0.2">
      <c r="A7" s="160" t="s">
        <v>136</v>
      </c>
      <c r="B7" s="161"/>
      <c r="C7" s="162"/>
      <c r="D7" s="95"/>
      <c r="E7" s="10"/>
      <c r="F7" s="11" t="s">
        <v>42</v>
      </c>
      <c r="G7" s="9" t="s">
        <v>54</v>
      </c>
      <c r="H7" s="95"/>
    </row>
    <row r="8" spans="1:9" ht="27" customHeight="1" x14ac:dyDescent="0.2">
      <c r="A8" s="95"/>
      <c r="B8" s="95"/>
      <c r="C8" s="95"/>
      <c r="D8" s="95"/>
      <c r="E8" s="95"/>
      <c r="F8" s="8" t="s">
        <v>43</v>
      </c>
      <c r="G8" s="9" t="s">
        <v>55</v>
      </c>
      <c r="H8" s="95"/>
    </row>
    <row r="9" spans="1:9" ht="27" customHeight="1" x14ac:dyDescent="0.2">
      <c r="A9" s="157" t="s">
        <v>129</v>
      </c>
      <c r="B9" s="158"/>
      <c r="C9" s="159"/>
      <c r="D9" s="95"/>
      <c r="E9" s="95"/>
      <c r="F9" s="8" t="s">
        <v>44</v>
      </c>
      <c r="G9" s="9" t="s">
        <v>56</v>
      </c>
      <c r="H9" s="95"/>
    </row>
    <row r="10" spans="1:9" ht="27" customHeight="1" x14ac:dyDescent="0.2">
      <c r="A10" s="95"/>
      <c r="B10" s="95"/>
      <c r="C10" s="95"/>
      <c r="D10" s="95"/>
      <c r="E10" s="95"/>
      <c r="F10" s="12" t="s">
        <v>39</v>
      </c>
      <c r="G10" s="13" t="s">
        <v>57</v>
      </c>
      <c r="H10" s="95"/>
      <c r="I10" s="95"/>
    </row>
    <row r="11" spans="1:9" ht="27" customHeight="1" x14ac:dyDescent="0.2">
      <c r="A11" s="155"/>
      <c r="B11" s="156"/>
      <c r="C11" s="156"/>
      <c r="D11" s="95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육십사만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5"/>
      <c r="B13" s="95"/>
      <c r="C13" s="95"/>
      <c r="D13" s="95"/>
      <c r="E13" s="95"/>
      <c r="F13" s="95"/>
      <c r="G13" s="95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'내역서(표준단가)'!O12</f>
        <v>126803.1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'내역서(표준단가)'!Q12</f>
        <v>417912.1769585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'내역서(표준단가)'!S12+'내역서(표준단가)'!U12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544715.27695850004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18806.0479631325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14814.986673178826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1918.540774176658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4220.9129872808498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14877.673499722599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125</v>
      </c>
      <c r="D26" s="30">
        <v>1</v>
      </c>
      <c r="E26" s="30" t="s">
        <v>25</v>
      </c>
      <c r="F26" s="43">
        <f>(F16+F17)*3.11%</f>
        <v>16940.645113409351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24474.549198470046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96053.356209370831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640768.63316787081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640000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6"/>
  <sheetViews>
    <sheetView showGridLines="0" zoomScale="80" zoomScaleNormal="80" workbookViewId="0">
      <pane ySplit="4" topLeftCell="A5" activePane="bottomLeft" state="frozen"/>
      <selection pane="bottomLeft" activeCell="O17" sqref="O17"/>
    </sheetView>
  </sheetViews>
  <sheetFormatPr defaultColWidth="9" defaultRowHeight="38.1" customHeight="1" x14ac:dyDescent="0.3"/>
  <cols>
    <col min="1" max="1" width="22.625" style="151" bestFit="1" customWidth="1"/>
    <col min="2" max="5" width="18.5" style="151" hidden="1" customWidth="1"/>
    <col min="6" max="6" width="17.25" style="142" hidden="1" customWidth="1"/>
    <col min="7" max="7" width="13.75" style="142" hidden="1" customWidth="1"/>
    <col min="8" max="8" width="16.625" style="142" hidden="1" customWidth="1"/>
    <col min="9" max="9" width="10.125" style="142" hidden="1" customWidth="1"/>
    <col min="10" max="10" width="37.375" style="138" customWidth="1"/>
    <col min="11" max="11" width="30.625" style="138" customWidth="1"/>
    <col min="12" max="12" width="12" style="142" bestFit="1" customWidth="1"/>
    <col min="13" max="13" width="10" style="142" bestFit="1" customWidth="1"/>
    <col min="14" max="14" width="10.25" style="142" bestFit="1" customWidth="1"/>
    <col min="15" max="15" width="13.25" style="142" bestFit="1" customWidth="1"/>
    <col min="16" max="16" width="9.75" style="142" customWidth="1"/>
    <col min="17" max="17" width="15.625" style="142" bestFit="1" customWidth="1"/>
    <col min="18" max="18" width="8.125" style="142" customWidth="1"/>
    <col min="19" max="19" width="8.75" style="142" bestFit="1" customWidth="1"/>
    <col min="20" max="20" width="9" style="142" customWidth="1"/>
    <col min="21" max="21" width="8.75" style="142" bestFit="1" customWidth="1"/>
    <col min="22" max="22" width="15.5" style="142" bestFit="1" customWidth="1"/>
    <col min="23" max="23" width="10.625" style="66" bestFit="1" customWidth="1"/>
    <col min="24" max="24" width="8.5" style="142" bestFit="1" customWidth="1"/>
    <col min="25" max="16384" width="9" style="142"/>
  </cols>
  <sheetData>
    <row r="1" spans="1:24" ht="19.899999999999999" customHeight="1" x14ac:dyDescent="0.3">
      <c r="A1" s="163"/>
      <c r="B1" s="163"/>
      <c r="C1" s="163"/>
      <c r="D1" s="163"/>
      <c r="E1" s="163"/>
      <c r="F1" s="163"/>
      <c r="G1" s="163"/>
      <c r="H1" s="163"/>
      <c r="I1" s="163"/>
      <c r="N1" s="66"/>
      <c r="O1" s="141" t="s">
        <v>87</v>
      </c>
      <c r="Q1" s="141" t="s">
        <v>87</v>
      </c>
      <c r="S1" s="141" t="s">
        <v>87</v>
      </c>
      <c r="U1" s="141" t="s">
        <v>87</v>
      </c>
    </row>
    <row r="2" spans="1:24" ht="19.899999999999999" customHeight="1" thickBot="1" x14ac:dyDescent="0.35">
      <c r="A2" s="163"/>
      <c r="B2" s="163"/>
      <c r="C2" s="163"/>
      <c r="D2" s="163"/>
      <c r="E2" s="163"/>
      <c r="F2" s="163"/>
      <c r="G2" s="163"/>
      <c r="H2" s="163"/>
      <c r="I2" s="16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3"/>
      <c r="B3" s="143"/>
      <c r="C3" s="143"/>
      <c r="D3" s="143"/>
      <c r="E3" s="143"/>
      <c r="F3" s="143" t="s">
        <v>88</v>
      </c>
      <c r="G3" s="144"/>
      <c r="H3" s="144"/>
      <c r="I3" s="144"/>
      <c r="J3" s="174" t="s">
        <v>89</v>
      </c>
      <c r="K3" s="174"/>
      <c r="L3" s="172" t="s">
        <v>47</v>
      </c>
      <c r="M3" s="172" t="s">
        <v>5</v>
      </c>
      <c r="N3" s="168" t="s">
        <v>90</v>
      </c>
      <c r="O3" s="168"/>
      <c r="P3" s="168" t="s">
        <v>91</v>
      </c>
      <c r="Q3" s="168"/>
      <c r="R3" s="169" t="s">
        <v>92</v>
      </c>
      <c r="S3" s="169"/>
      <c r="T3" s="169" t="s">
        <v>93</v>
      </c>
      <c r="U3" s="169"/>
      <c r="V3" s="170" t="s">
        <v>94</v>
      </c>
      <c r="W3" s="166" t="s">
        <v>95</v>
      </c>
      <c r="X3" s="164" t="s">
        <v>45</v>
      </c>
    </row>
    <row r="4" spans="1:24" ht="19.899999999999999" customHeight="1" x14ac:dyDescent="0.3">
      <c r="A4" s="69" t="s">
        <v>96</v>
      </c>
      <c r="B4" s="70"/>
      <c r="C4" s="70"/>
      <c r="D4" s="70"/>
      <c r="E4" s="70"/>
      <c r="F4" s="71" t="s">
        <v>97</v>
      </c>
      <c r="G4" s="71" t="s">
        <v>98</v>
      </c>
      <c r="H4" s="71" t="s">
        <v>99</v>
      </c>
      <c r="I4" s="71" t="s">
        <v>100</v>
      </c>
      <c r="J4" s="139" t="s">
        <v>101</v>
      </c>
      <c r="K4" s="139" t="s">
        <v>102</v>
      </c>
      <c r="L4" s="173"/>
      <c r="M4" s="173"/>
      <c r="N4" s="72" t="s">
        <v>103</v>
      </c>
      <c r="O4" s="73" t="s">
        <v>104</v>
      </c>
      <c r="P4" s="72" t="s">
        <v>105</v>
      </c>
      <c r="Q4" s="73" t="s">
        <v>104</v>
      </c>
      <c r="R4" s="73" t="s">
        <v>106</v>
      </c>
      <c r="S4" s="73" t="s">
        <v>104</v>
      </c>
      <c r="T4" s="73" t="s">
        <v>106</v>
      </c>
      <c r="U4" s="73" t="s">
        <v>104</v>
      </c>
      <c r="V4" s="171"/>
      <c r="W4" s="167"/>
      <c r="X4" s="165"/>
    </row>
    <row r="5" spans="1:24" s="145" customFormat="1" ht="38.1" customHeight="1" x14ac:dyDescent="0.3">
      <c r="A5" s="74" t="str">
        <f t="shared" ref="A5" si="0">F5&amp;G5&amp;H5&amp;I5</f>
        <v>E00000801011510201</v>
      </c>
      <c r="B5" s="85"/>
      <c r="C5" s="85"/>
      <c r="D5" s="85"/>
      <c r="E5" s="85"/>
      <c r="F5" s="81"/>
      <c r="G5" s="79" t="s">
        <v>108</v>
      </c>
      <c r="H5" s="79"/>
      <c r="I5" s="81"/>
      <c r="J5" s="97" t="s">
        <v>109</v>
      </c>
      <c r="K5" s="97" t="s">
        <v>133</v>
      </c>
      <c r="L5" s="98" t="s">
        <v>110</v>
      </c>
      <c r="M5" s="137">
        <v>8</v>
      </c>
      <c r="N5" s="131"/>
      <c r="O5" s="132">
        <f t="shared" ref="O5" si="1">SUM(N5:N5)*M5*$O$2</f>
        <v>0</v>
      </c>
      <c r="P5" s="133">
        <v>21520</v>
      </c>
      <c r="Q5" s="132">
        <f t="shared" ref="Q5" si="2">(P5*M5)*$Q$2</f>
        <v>143753.60000000001</v>
      </c>
      <c r="R5" s="134"/>
      <c r="S5" s="132">
        <f t="shared" ref="S5" si="3">R5*M5*$S$2</f>
        <v>0</v>
      </c>
      <c r="T5" s="134"/>
      <c r="U5" s="132">
        <f t="shared" ref="U5" si="4">T5*M5*$U$2</f>
        <v>0</v>
      </c>
      <c r="V5" s="87">
        <f t="shared" ref="V5" si="5">SUM(O5+Q5)+S5+U5</f>
        <v>143753.60000000001</v>
      </c>
      <c r="W5" s="90"/>
      <c r="X5" s="88"/>
    </row>
    <row r="6" spans="1:24" s="145" customFormat="1" ht="38.1" customHeight="1" x14ac:dyDescent="0.3">
      <c r="A6" s="74" t="str">
        <f t="shared" ref="A6:A11" si="6">F6&amp;G6&amp;H6&amp;I6</f>
        <v>M020750510120102</v>
      </c>
      <c r="B6" s="85"/>
      <c r="C6" s="85"/>
      <c r="D6" s="85"/>
      <c r="E6" s="85"/>
      <c r="F6" s="75"/>
      <c r="G6" s="71"/>
      <c r="H6" s="79" t="s">
        <v>117</v>
      </c>
      <c r="I6" s="71"/>
      <c r="J6" s="97" t="s">
        <v>126</v>
      </c>
      <c r="K6" s="97" t="s">
        <v>118</v>
      </c>
      <c r="L6" s="98" t="s">
        <v>107</v>
      </c>
      <c r="M6" s="137">
        <v>7</v>
      </c>
      <c r="N6" s="133">
        <v>6400</v>
      </c>
      <c r="O6" s="132">
        <f t="shared" ref="O6:O11" si="7">SUM(N6:N6)*M6*$O$2</f>
        <v>37408</v>
      </c>
      <c r="P6" s="130"/>
      <c r="Q6" s="132">
        <f t="shared" ref="Q6:Q10" si="8">(P6*M6)*$Q$2</f>
        <v>0</v>
      </c>
      <c r="R6" s="134"/>
      <c r="S6" s="132">
        <f t="shared" ref="S6:S10" si="9">R6*M6*$S$2</f>
        <v>0</v>
      </c>
      <c r="T6" s="134"/>
      <c r="U6" s="132">
        <f t="shared" ref="U6:U11" si="10">T6*M6*$U$2</f>
        <v>0</v>
      </c>
      <c r="V6" s="89">
        <f t="shared" ref="V6:V11" si="11">SUM(O6+Q6)+S6+U6</f>
        <v>37408</v>
      </c>
      <c r="W6" s="90"/>
      <c r="X6" s="88"/>
    </row>
    <row r="7" spans="1:24" s="145" customFormat="1" ht="38.1" customHeight="1" x14ac:dyDescent="0.3">
      <c r="A7" s="74" t="str">
        <f t="shared" si="6"/>
        <v>E00000803066520103</v>
      </c>
      <c r="B7" s="85"/>
      <c r="C7" s="85"/>
      <c r="D7" s="85"/>
      <c r="E7" s="85"/>
      <c r="F7" s="81"/>
      <c r="G7" s="153" t="s">
        <v>124</v>
      </c>
      <c r="H7" s="79"/>
      <c r="I7" s="81"/>
      <c r="J7" s="97" t="s">
        <v>111</v>
      </c>
      <c r="K7" s="97" t="s">
        <v>135</v>
      </c>
      <c r="L7" s="76" t="s">
        <v>112</v>
      </c>
      <c r="M7" s="137">
        <v>0.4667</v>
      </c>
      <c r="N7" s="135"/>
      <c r="O7" s="132">
        <f t="shared" si="7"/>
        <v>0</v>
      </c>
      <c r="P7" s="133">
        <v>652621</v>
      </c>
      <c r="Q7" s="132">
        <f t="shared" si="8"/>
        <v>254322.8142845</v>
      </c>
      <c r="R7" s="134"/>
      <c r="S7" s="132">
        <f t="shared" si="9"/>
        <v>0</v>
      </c>
      <c r="T7" s="134"/>
      <c r="U7" s="132">
        <f t="shared" si="10"/>
        <v>0</v>
      </c>
      <c r="V7" s="87">
        <f t="shared" si="11"/>
        <v>254322.8142845</v>
      </c>
      <c r="W7" s="90"/>
      <c r="X7" s="88"/>
    </row>
    <row r="8" spans="1:24" s="145" customFormat="1" ht="38.1" customHeight="1" x14ac:dyDescent="0.3">
      <c r="A8" s="74" t="str">
        <f t="shared" si="6"/>
        <v>M020531910380101</v>
      </c>
      <c r="B8" s="85"/>
      <c r="C8" s="85"/>
      <c r="D8" s="85"/>
      <c r="E8" s="85"/>
      <c r="F8" s="75"/>
      <c r="G8" s="71"/>
      <c r="H8" s="79" t="s">
        <v>115</v>
      </c>
      <c r="I8" s="71"/>
      <c r="J8" s="97" t="s">
        <v>127</v>
      </c>
      <c r="K8" s="97" t="s">
        <v>116</v>
      </c>
      <c r="L8" s="98" t="s">
        <v>60</v>
      </c>
      <c r="M8" s="137">
        <v>6</v>
      </c>
      <c r="N8" s="135">
        <v>3510</v>
      </c>
      <c r="O8" s="132">
        <f t="shared" si="7"/>
        <v>17585.099999999999</v>
      </c>
      <c r="P8" s="130"/>
      <c r="Q8" s="132">
        <f t="shared" si="8"/>
        <v>0</v>
      </c>
      <c r="R8" s="134"/>
      <c r="S8" s="132">
        <f t="shared" si="9"/>
        <v>0</v>
      </c>
      <c r="T8" s="134"/>
      <c r="U8" s="132">
        <f t="shared" si="10"/>
        <v>0</v>
      </c>
      <c r="V8" s="89">
        <f t="shared" si="11"/>
        <v>17585.099999999999</v>
      </c>
      <c r="W8" s="90"/>
      <c r="X8" s="88"/>
    </row>
    <row r="9" spans="1:24" s="145" customFormat="1" ht="38.1" customHeight="1" x14ac:dyDescent="0.3">
      <c r="A9" s="74" t="str">
        <f t="shared" ref="A9" si="12">F9&amp;G9&amp;H9&amp;I9</f>
        <v>E00000803066520502</v>
      </c>
      <c r="B9" s="85"/>
      <c r="C9" s="85"/>
      <c r="D9" s="85"/>
      <c r="E9" s="85"/>
      <c r="F9" s="75"/>
      <c r="G9" s="79" t="s">
        <v>113</v>
      </c>
      <c r="H9" s="71"/>
      <c r="I9" s="71"/>
      <c r="J9" s="97" t="s">
        <v>114</v>
      </c>
      <c r="K9" s="97" t="s">
        <v>134</v>
      </c>
      <c r="L9" s="98" t="s">
        <v>112</v>
      </c>
      <c r="M9" s="137">
        <v>3.6400000000000002E-2</v>
      </c>
      <c r="N9" s="131"/>
      <c r="O9" s="132">
        <f t="shared" ref="O9" si="13">SUM(N9:N9)*M9*$O$2</f>
        <v>0</v>
      </c>
      <c r="P9" s="133">
        <v>652621</v>
      </c>
      <c r="Q9" s="132">
        <f t="shared" ref="Q9" si="14">(P9*M9)*$Q$2</f>
        <v>19835.762673999998</v>
      </c>
      <c r="R9" s="134"/>
      <c r="S9" s="132">
        <f t="shared" ref="S9" si="15">R9*M9*$S$2</f>
        <v>0</v>
      </c>
      <c r="T9" s="134"/>
      <c r="U9" s="132">
        <f t="shared" ref="U9" si="16">T9*M9*$U$2</f>
        <v>0</v>
      </c>
      <c r="V9" s="89">
        <f t="shared" ref="V9" si="17">SUM(O9+Q9)+S9+U9</f>
        <v>19835.762673999998</v>
      </c>
      <c r="W9" s="90"/>
      <c r="X9" s="88"/>
    </row>
    <row r="10" spans="1:24" s="145" customFormat="1" ht="38.1" customHeight="1" x14ac:dyDescent="0.3">
      <c r="A10" s="74" t="str">
        <f t="shared" si="6"/>
        <v>M020750510130102</v>
      </c>
      <c r="B10" s="85"/>
      <c r="C10" s="85"/>
      <c r="D10" s="85"/>
      <c r="E10" s="85"/>
      <c r="F10" s="75"/>
      <c r="G10" s="71"/>
      <c r="H10" s="79" t="s">
        <v>119</v>
      </c>
      <c r="I10" s="71"/>
      <c r="J10" s="97" t="s">
        <v>128</v>
      </c>
      <c r="K10" s="97" t="s">
        <v>120</v>
      </c>
      <c r="L10" s="98" t="s">
        <v>107</v>
      </c>
      <c r="M10" s="137">
        <v>7</v>
      </c>
      <c r="N10" s="133">
        <v>8000</v>
      </c>
      <c r="O10" s="132">
        <f t="shared" si="7"/>
        <v>46760</v>
      </c>
      <c r="P10" s="130"/>
      <c r="Q10" s="132">
        <f t="shared" si="8"/>
        <v>0</v>
      </c>
      <c r="R10" s="134"/>
      <c r="S10" s="132">
        <f t="shared" si="9"/>
        <v>0</v>
      </c>
      <c r="T10" s="134"/>
      <c r="U10" s="132">
        <f t="shared" si="10"/>
        <v>0</v>
      </c>
      <c r="V10" s="77">
        <f t="shared" si="11"/>
        <v>46760</v>
      </c>
      <c r="W10" s="90"/>
      <c r="X10" s="78"/>
    </row>
    <row r="11" spans="1:24" s="145" customFormat="1" ht="38.1" customHeight="1" x14ac:dyDescent="0.3">
      <c r="A11" s="74" t="str">
        <f t="shared" si="6"/>
        <v>M020806810430101</v>
      </c>
      <c r="B11" s="86"/>
      <c r="C11" s="86"/>
      <c r="D11" s="86"/>
      <c r="E11" s="86"/>
      <c r="F11" s="91"/>
      <c r="G11" s="92"/>
      <c r="H11" s="79" t="s">
        <v>121</v>
      </c>
      <c r="I11" s="93"/>
      <c r="J11" s="97" t="s">
        <v>122</v>
      </c>
      <c r="K11" s="97" t="s">
        <v>123</v>
      </c>
      <c r="L11" s="136" t="s">
        <v>59</v>
      </c>
      <c r="M11" s="137">
        <v>0.2</v>
      </c>
      <c r="N11" s="135">
        <v>150000</v>
      </c>
      <c r="O11" s="132">
        <f t="shared" si="7"/>
        <v>25050</v>
      </c>
      <c r="P11" s="130"/>
      <c r="Q11" s="132"/>
      <c r="R11" s="134"/>
      <c r="S11" s="132"/>
      <c r="T11" s="135"/>
      <c r="U11" s="132">
        <f t="shared" si="10"/>
        <v>0</v>
      </c>
      <c r="V11" s="87">
        <f t="shared" si="11"/>
        <v>25050</v>
      </c>
      <c r="W11" s="90"/>
      <c r="X11" s="88"/>
    </row>
    <row r="12" spans="1:24" s="147" customFormat="1" ht="38.1" customHeight="1" x14ac:dyDescent="0.3">
      <c r="A12" s="146"/>
      <c r="B12" s="146"/>
      <c r="C12" s="146"/>
      <c r="D12" s="146"/>
      <c r="E12" s="146"/>
      <c r="J12" s="140"/>
      <c r="K12" s="140"/>
      <c r="O12" s="148">
        <f>SUM(O5:O11)</f>
        <v>126803.1</v>
      </c>
      <c r="P12" s="149"/>
      <c r="Q12" s="148">
        <f>SUM(Q5:Q11)</f>
        <v>417912.1769585</v>
      </c>
      <c r="R12" s="149"/>
      <c r="S12" s="148">
        <f>SUM(S5:S11)</f>
        <v>0</v>
      </c>
      <c r="T12" s="149"/>
      <c r="U12" s="148">
        <f>SUM(U5:U11)</f>
        <v>0</v>
      </c>
      <c r="V12" s="150">
        <f>SUM(V5:V11)</f>
        <v>544715.27695850004</v>
      </c>
      <c r="W12" s="80"/>
    </row>
    <row r="16" spans="1:24" ht="38.1" customHeight="1" x14ac:dyDescent="0.3">
      <c r="Q16" s="15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N12"/>
  <sheetViews>
    <sheetView zoomScaleNormal="100" workbookViewId="0">
      <selection activeCell="N33" sqref="N33"/>
    </sheetView>
  </sheetViews>
  <sheetFormatPr defaultColWidth="9" defaultRowHeight="14.25" x14ac:dyDescent="0.3"/>
  <cols>
    <col min="1" max="1" width="22.625" style="128" customWidth="1"/>
    <col min="2" max="2" width="27.625" style="128" customWidth="1"/>
    <col min="3" max="3" width="5.75" style="128" customWidth="1"/>
    <col min="4" max="4" width="5.25" style="128" customWidth="1"/>
    <col min="5" max="14" width="10.625" style="128" customWidth="1"/>
    <col min="15" max="16384" width="9" style="129"/>
  </cols>
  <sheetData>
    <row r="1" spans="1:14" s="99" customFormat="1" ht="26.25" customHeight="1" x14ac:dyDescent="0.3">
      <c r="A1" s="177" t="s">
        <v>61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4" s="99" customFormat="1" ht="12" customHeight="1" x14ac:dyDescent="0.3">
      <c r="A2" s="179" t="s">
        <v>62</v>
      </c>
      <c r="B2" s="179" t="s">
        <v>63</v>
      </c>
      <c r="C2" s="180" t="s">
        <v>47</v>
      </c>
      <c r="D2" s="180" t="s">
        <v>64</v>
      </c>
      <c r="E2" s="182" t="s">
        <v>65</v>
      </c>
      <c r="F2" s="179"/>
      <c r="G2" s="183" t="s">
        <v>66</v>
      </c>
      <c r="H2" s="184"/>
      <c r="I2" s="185" t="s">
        <v>67</v>
      </c>
      <c r="J2" s="184"/>
      <c r="K2" s="185" t="s">
        <v>68</v>
      </c>
      <c r="L2" s="184"/>
      <c r="M2" s="185" t="s">
        <v>69</v>
      </c>
      <c r="N2" s="186"/>
    </row>
    <row r="3" spans="1:14" s="99" customFormat="1" ht="12" customHeight="1" x14ac:dyDescent="0.3">
      <c r="A3" s="179"/>
      <c r="B3" s="179"/>
      <c r="C3" s="181"/>
      <c r="D3" s="181"/>
      <c r="E3" s="100" t="s">
        <v>70</v>
      </c>
      <c r="F3" s="100" t="s">
        <v>71</v>
      </c>
      <c r="G3" s="101" t="s">
        <v>70</v>
      </c>
      <c r="H3" s="102" t="s">
        <v>71</v>
      </c>
      <c r="I3" s="101" t="s">
        <v>70</v>
      </c>
      <c r="J3" s="102" t="s">
        <v>71</v>
      </c>
      <c r="K3" s="101" t="s">
        <v>70</v>
      </c>
      <c r="L3" s="102" t="s">
        <v>71</v>
      </c>
      <c r="M3" s="101" t="s">
        <v>70</v>
      </c>
      <c r="N3" s="100" t="s">
        <v>71</v>
      </c>
    </row>
    <row r="4" spans="1:14" s="99" customFormat="1" ht="12" customHeight="1" x14ac:dyDescent="0.3">
      <c r="A4" s="175" t="s">
        <v>132</v>
      </c>
      <c r="B4" s="176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4">
        <f>F4+H4+J4+L4</f>
        <v>0</v>
      </c>
    </row>
    <row r="5" spans="1:14" s="99" customFormat="1" ht="12" customHeight="1" x14ac:dyDescent="0.3">
      <c r="A5" s="105" t="s">
        <v>72</v>
      </c>
      <c r="B5" s="106" t="s">
        <v>130</v>
      </c>
      <c r="C5" s="107" t="s">
        <v>73</v>
      </c>
      <c r="D5" s="108">
        <v>8</v>
      </c>
      <c r="E5" s="109"/>
      <c r="F5" s="103">
        <f t="shared" ref="F5:F11" si="0">D5*E5</f>
        <v>0</v>
      </c>
      <c r="G5" s="110">
        <v>17969</v>
      </c>
      <c r="H5" s="109">
        <f>D5*G5</f>
        <v>143752</v>
      </c>
      <c r="I5" s="109"/>
      <c r="J5" s="111"/>
      <c r="K5" s="109"/>
      <c r="L5" s="111"/>
      <c r="M5" s="104"/>
      <c r="N5" s="104">
        <f>F5+H5+J5+L5</f>
        <v>143752</v>
      </c>
    </row>
    <row r="6" spans="1:14" s="99" customFormat="1" ht="12" customHeight="1" x14ac:dyDescent="0.3">
      <c r="A6" s="112" t="s">
        <v>74</v>
      </c>
      <c r="B6" s="113"/>
      <c r="C6" s="114"/>
      <c r="D6" s="108"/>
      <c r="E6" s="115"/>
      <c r="F6" s="116">
        <f t="shared" si="0"/>
        <v>0</v>
      </c>
      <c r="G6" s="103"/>
      <c r="H6" s="109"/>
      <c r="I6" s="116"/>
      <c r="J6" s="116"/>
      <c r="K6" s="116"/>
      <c r="L6" s="116"/>
      <c r="M6" s="114"/>
      <c r="N6" s="104">
        <f t="shared" ref="N6:N11" si="1">F6+H6+J6+L6</f>
        <v>0</v>
      </c>
    </row>
    <row r="7" spans="1:14" s="99" customFormat="1" ht="12" customHeight="1" x14ac:dyDescent="0.3">
      <c r="A7" s="117" t="s">
        <v>75</v>
      </c>
      <c r="B7" s="113" t="s">
        <v>76</v>
      </c>
      <c r="C7" s="113" t="s">
        <v>77</v>
      </c>
      <c r="D7" s="108">
        <v>7</v>
      </c>
      <c r="E7" s="103">
        <v>5344</v>
      </c>
      <c r="F7" s="103">
        <f t="shared" si="0"/>
        <v>37408</v>
      </c>
      <c r="G7" s="103"/>
      <c r="H7" s="109"/>
      <c r="I7" s="103"/>
      <c r="J7" s="103"/>
      <c r="K7" s="103"/>
      <c r="L7" s="103"/>
      <c r="M7" s="104"/>
      <c r="N7" s="104">
        <f t="shared" si="1"/>
        <v>37408</v>
      </c>
    </row>
    <row r="8" spans="1:14" s="99" customFormat="1" ht="12" customHeight="1" x14ac:dyDescent="0.3">
      <c r="A8" s="117" t="s">
        <v>78</v>
      </c>
      <c r="B8" s="113" t="s">
        <v>79</v>
      </c>
      <c r="C8" s="113" t="s">
        <v>77</v>
      </c>
      <c r="D8" s="108">
        <v>7</v>
      </c>
      <c r="E8" s="118">
        <v>6680</v>
      </c>
      <c r="F8" s="103">
        <f t="shared" si="0"/>
        <v>46760</v>
      </c>
      <c r="G8" s="103"/>
      <c r="H8" s="109">
        <f t="shared" ref="H8:H10" si="2">D8*G8</f>
        <v>0</v>
      </c>
      <c r="I8" s="103"/>
      <c r="J8" s="103"/>
      <c r="K8" s="103"/>
      <c r="L8" s="103"/>
      <c r="M8" s="104"/>
      <c r="N8" s="104">
        <f t="shared" si="1"/>
        <v>46760</v>
      </c>
    </row>
    <row r="9" spans="1:14" s="99" customFormat="1" ht="12" customHeight="1" x14ac:dyDescent="0.3">
      <c r="A9" s="117" t="s">
        <v>80</v>
      </c>
      <c r="B9" s="119" t="s">
        <v>81</v>
      </c>
      <c r="C9" s="119" t="s">
        <v>77</v>
      </c>
      <c r="D9" s="108">
        <v>14</v>
      </c>
      <c r="E9" s="103"/>
      <c r="F9" s="103">
        <f t="shared" si="0"/>
        <v>0</v>
      </c>
      <c r="G9" s="103">
        <v>18165</v>
      </c>
      <c r="H9" s="109">
        <f t="shared" si="2"/>
        <v>254310</v>
      </c>
      <c r="I9" s="103"/>
      <c r="J9" s="103"/>
      <c r="K9" s="103"/>
      <c r="L9" s="103"/>
      <c r="M9" s="104"/>
      <c r="N9" s="104">
        <f t="shared" si="1"/>
        <v>254310</v>
      </c>
    </row>
    <row r="10" spans="1:14" s="99" customFormat="1" ht="12" customHeight="1" x14ac:dyDescent="0.3">
      <c r="A10" s="117" t="s">
        <v>82</v>
      </c>
      <c r="B10" s="113" t="s">
        <v>83</v>
      </c>
      <c r="C10" s="114" t="s">
        <v>84</v>
      </c>
      <c r="D10" s="108">
        <v>6</v>
      </c>
      <c r="E10" s="118">
        <v>2931</v>
      </c>
      <c r="F10" s="103">
        <f t="shared" si="0"/>
        <v>17586</v>
      </c>
      <c r="G10" s="103">
        <v>3302</v>
      </c>
      <c r="H10" s="109">
        <f t="shared" si="2"/>
        <v>19812</v>
      </c>
      <c r="I10" s="103"/>
      <c r="J10" s="103"/>
      <c r="K10" s="103"/>
      <c r="L10" s="103"/>
      <c r="M10" s="104"/>
      <c r="N10" s="104">
        <f t="shared" si="1"/>
        <v>37398</v>
      </c>
    </row>
    <row r="11" spans="1:14" s="99" customFormat="1" ht="12" customHeight="1" x14ac:dyDescent="0.3">
      <c r="A11" s="112" t="s">
        <v>131</v>
      </c>
      <c r="B11" s="119" t="s">
        <v>85</v>
      </c>
      <c r="C11" s="119" t="s">
        <v>86</v>
      </c>
      <c r="D11" s="120">
        <v>0.2</v>
      </c>
      <c r="E11" s="103">
        <v>125250</v>
      </c>
      <c r="F11" s="103">
        <f t="shared" si="0"/>
        <v>25050</v>
      </c>
      <c r="G11" s="103"/>
      <c r="H11" s="109"/>
      <c r="I11" s="103"/>
      <c r="J11" s="103">
        <f>D11*I11</f>
        <v>0</v>
      </c>
      <c r="K11" s="103"/>
      <c r="L11" s="103"/>
      <c r="M11" s="104"/>
      <c r="N11" s="104">
        <f t="shared" si="1"/>
        <v>25050</v>
      </c>
    </row>
    <row r="12" spans="1:14" s="99" customFormat="1" ht="12" customHeight="1" x14ac:dyDescent="0.3">
      <c r="A12" s="121" t="s">
        <v>69</v>
      </c>
      <c r="B12" s="122"/>
      <c r="C12" s="123"/>
      <c r="D12" s="124"/>
      <c r="E12" s="125"/>
      <c r="F12" s="126">
        <f>SUM(F5:F11)</f>
        <v>126804</v>
      </c>
      <c r="G12" s="125"/>
      <c r="H12" s="126">
        <f>SUM(H5:H11)</f>
        <v>417874</v>
      </c>
      <c r="I12" s="125"/>
      <c r="J12" s="126">
        <f>SUM(J5:J11)</f>
        <v>0</v>
      </c>
      <c r="K12" s="125"/>
      <c r="L12" s="126">
        <f>SUM(L5:L11)</f>
        <v>0</v>
      </c>
      <c r="M12" s="127"/>
      <c r="N12" s="126">
        <f>SUM(N5:N11)</f>
        <v>544678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="120" zoomScaleNormal="120" workbookViewId="0">
      <selection activeCell="N34" sqref="N34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29"/>
  </cols>
  <sheetData>
    <row r="1" spans="1:6" ht="18" customHeight="1" x14ac:dyDescent="0.3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</row>
    <row r="2" spans="1:6" x14ac:dyDescent="0.3">
      <c r="A2" s="83" t="str">
        <f>'내역서(표준단가)'!A5</f>
        <v>E00000801011510201</v>
      </c>
      <c r="B2" s="84">
        <f>'내역서(표준단가)'!F5</f>
        <v>0</v>
      </c>
      <c r="C2" s="84" t="str">
        <f>'내역서(표준단가)'!G5</f>
        <v>E00000801011510201</v>
      </c>
      <c r="D2" s="84">
        <f>'내역서(표준단가)'!H5</f>
        <v>0</v>
      </c>
      <c r="E2" s="84">
        <f>'내역서(표준단가)'!I5</f>
        <v>0</v>
      </c>
      <c r="F2" s="94">
        <f>'내역서(표준단가)'!M5</f>
        <v>8</v>
      </c>
    </row>
    <row r="3" spans="1:6" x14ac:dyDescent="0.3">
      <c r="A3" s="83" t="str">
        <f>'내역서(표준단가)'!A6</f>
        <v>M020750510120102</v>
      </c>
      <c r="B3" s="84">
        <f>'내역서(표준단가)'!F6</f>
        <v>0</v>
      </c>
      <c r="C3" s="84">
        <f>'내역서(표준단가)'!G6</f>
        <v>0</v>
      </c>
      <c r="D3" s="84" t="str">
        <f>'내역서(표준단가)'!H6</f>
        <v>M020750510120102</v>
      </c>
      <c r="E3" s="84">
        <f>'내역서(표준단가)'!I6</f>
        <v>0</v>
      </c>
      <c r="F3" s="94">
        <f>'내역서(표준단가)'!M6</f>
        <v>7</v>
      </c>
    </row>
    <row r="4" spans="1:6" x14ac:dyDescent="0.3">
      <c r="A4" s="83" t="str">
        <f>'내역서(표준단가)'!A7</f>
        <v>E00000803066520103</v>
      </c>
      <c r="B4" s="84">
        <f>'내역서(표준단가)'!F7</f>
        <v>0</v>
      </c>
      <c r="C4" s="84" t="str">
        <f>'내역서(표준단가)'!G7</f>
        <v>E00000803066520103</v>
      </c>
      <c r="D4" s="84">
        <f>'내역서(표준단가)'!H7</f>
        <v>0</v>
      </c>
      <c r="E4" s="84">
        <f>'내역서(표준단가)'!I7</f>
        <v>0</v>
      </c>
      <c r="F4" s="94">
        <f>'내역서(표준단가)'!M7</f>
        <v>0.4667</v>
      </c>
    </row>
    <row r="5" spans="1:6" x14ac:dyDescent="0.3">
      <c r="A5" s="83" t="str">
        <f>'내역서(표준단가)'!A8</f>
        <v>M020531910380101</v>
      </c>
      <c r="B5" s="84">
        <f>'내역서(표준단가)'!F8</f>
        <v>0</v>
      </c>
      <c r="C5" s="84">
        <f>'내역서(표준단가)'!G8</f>
        <v>0</v>
      </c>
      <c r="D5" s="84" t="str">
        <f>'내역서(표준단가)'!H8</f>
        <v>M020531910380101</v>
      </c>
      <c r="E5" s="84">
        <f>'내역서(표준단가)'!I8</f>
        <v>0</v>
      </c>
      <c r="F5" s="94">
        <f>'내역서(표준단가)'!M8</f>
        <v>6</v>
      </c>
    </row>
    <row r="6" spans="1:6" x14ac:dyDescent="0.3">
      <c r="A6" s="83" t="str">
        <f>'내역서(표준단가)'!A9</f>
        <v>E00000803066520502</v>
      </c>
      <c r="B6" s="84">
        <f>'내역서(표준단가)'!F9</f>
        <v>0</v>
      </c>
      <c r="C6" s="84" t="str">
        <f>'내역서(표준단가)'!G9</f>
        <v>E00000803066520502</v>
      </c>
      <c r="D6" s="84">
        <f>'내역서(표준단가)'!H9</f>
        <v>0</v>
      </c>
      <c r="E6" s="84">
        <f>'내역서(표준단가)'!I9</f>
        <v>0</v>
      </c>
      <c r="F6" s="94">
        <f>'내역서(표준단가)'!M9</f>
        <v>3.6400000000000002E-2</v>
      </c>
    </row>
    <row r="7" spans="1:6" x14ac:dyDescent="0.3">
      <c r="A7" s="83" t="str">
        <f>'내역서(표준단가)'!A10</f>
        <v>M020750510130102</v>
      </c>
      <c r="B7" s="84">
        <f>'내역서(표준단가)'!F10</f>
        <v>0</v>
      </c>
      <c r="C7" s="84">
        <f>'내역서(표준단가)'!G10</f>
        <v>0</v>
      </c>
      <c r="D7" s="84" t="str">
        <f>'내역서(표준단가)'!H10</f>
        <v>M020750510130102</v>
      </c>
      <c r="E7" s="84">
        <f>'내역서(표준단가)'!I10</f>
        <v>0</v>
      </c>
      <c r="F7" s="94">
        <f>'내역서(표준단가)'!M10</f>
        <v>7</v>
      </c>
    </row>
    <row r="8" spans="1:6" x14ac:dyDescent="0.3">
      <c r="A8" s="83" t="str">
        <f>'내역서(표준단가)'!A11</f>
        <v>M020806810430101</v>
      </c>
      <c r="B8" s="84">
        <f>'내역서(표준단가)'!F11</f>
        <v>0</v>
      </c>
      <c r="C8" s="84">
        <f>'내역서(표준단가)'!G11</f>
        <v>0</v>
      </c>
      <c r="D8" s="84" t="str">
        <f>'내역서(표준단가)'!H11</f>
        <v>M020806810430101</v>
      </c>
      <c r="E8" s="84">
        <f>'내역서(표준단가)'!I11</f>
        <v>0</v>
      </c>
      <c r="F8" s="94">
        <f>'내역서(표준단가)'!M11</f>
        <v>0.2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2025-08-25T03:18:44Z</dcterms:modified>
</cp:coreProperties>
</file>
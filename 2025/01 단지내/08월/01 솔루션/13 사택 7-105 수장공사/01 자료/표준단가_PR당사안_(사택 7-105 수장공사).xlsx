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3 사택 7-105 수장공사\01 자료\"/>
    </mc:Choice>
  </mc:AlternateContent>
  <xr:revisionPtr revIDLastSave="0" documentId="13_ncr:1_{E637D9CC-89A8-478B-BE45-05B3C43EFEA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5" i="9"/>
  <c r="D19" i="9"/>
  <c r="D10" i="9"/>
  <c r="D9" i="9"/>
  <c r="D8" i="9"/>
  <c r="D7" i="9"/>
  <c r="D6" i="9"/>
  <c r="F2" i="1"/>
  <c r="E2" i="1"/>
  <c r="D2" i="1"/>
  <c r="C2" i="1"/>
  <c r="B2" i="1"/>
  <c r="J28" i="11" l="1"/>
  <c r="J20" i="11" s="1"/>
  <c r="D11" i="9"/>
  <c r="U5" i="4"/>
  <c r="S5" i="4"/>
  <c r="Q5" i="4"/>
  <c r="O5" i="4"/>
  <c r="A5" i="4"/>
  <c r="A2" i="1" s="1"/>
  <c r="J30" i="11" l="1"/>
  <c r="V5" i="4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8" i="4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<sst xmlns="http://schemas.openxmlformats.org/spreadsheetml/2006/main" count="226" uniqueCount="172">
  <si>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</si>
  <si>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</si>
  <si>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</si>
  <si>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</si>
  <si>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</si>
  <si>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</si>
  <si>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</si>
  <si>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</si>
  <si>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</si>
  <si>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</si>
  <si>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</si>
  <si>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</si>
  <si>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</si>
  <si>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</si>
  <si>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</si>
  <si>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</si>
  <si>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</si>
  <si>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</si>
  <si>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</si>
  <si>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</si>
  <si>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</si>
  <si>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</si>
  <si>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</si>
  <si>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</si>
  <si>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</si>
  <si>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</si>
  <si>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</si>
  <si>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</si>
  <si>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</si>
  <si>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</si>
  <si>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</si>
  <si>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</si>
  <si>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</si>
  <si>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</si>
  <si>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</si>
  <si>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</si>
  <si>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</si>
  <si>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</si>
  <si>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</si>
  <si>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</si>
  <si>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</si>
  <si>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</si>
  <si>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</si>
  <si>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</si>
  <si>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</si>
  <si>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</si>
  <si>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</si>
  <si>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</si>
  <si>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</si>
  <si>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</si>
  <si>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</si>
  <si>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</si>
  <si>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</si>
  <si>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</si>
  <si>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</si>
  <si>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</si>
  <si>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</si>
  <si>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</si>
  <si>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</si>
  <si>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</si>
  <si>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</si>
  <si>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</si>
  <si>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</si>
  <si>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</si>
  <si>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</si>
  <si>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</si>
  <si>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</si>
  <si>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</si>
  <si>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</si>
  <si>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</si>
  <si>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</si>
  <si>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</si>
  <si>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</si>
  <si>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</si>
  <si>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</si>
  <si>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</si>
  <si>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</si>
  <si>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</si>
  <si>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</si>
  <si>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</si>
  <si>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</si>
  <si>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</si>
  <si>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</si>
  <si>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</si>
  <si>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</si>
  <si>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</si>
  <si>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</si>
  <si>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</si>
  <si>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</si>
  <si>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</si>
  <si>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</si>
  <si>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</si>
  <si>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</si>
  <si>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</si>
  <si>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</si>
  <si>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</si>
  <si>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</si>
  <si>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</si>
  <si>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</si>
  <si>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</si>
  <si>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</si>
  <si>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합지벽지 1R/L=93㎝(고정)×17.75m=16.51㎡, 소요량140/16.51=8.479R/L</t>
    <phoneticPr fontId="6" type="noConversion"/>
  </si>
  <si>
    <t>일당 시공량-벽 46㎡, 적산정보 500p 참조,시공총량91/일당46=1.978</t>
    <phoneticPr fontId="6" type="noConversion"/>
  </si>
  <si>
    <t>일당 시공량-천장 35㎡ 적산정보 500p 참조, 시공총량49/일당35=1.400</t>
    <phoneticPr fontId="6" type="noConversion"/>
  </si>
  <si>
    <t>사택 7-105 수장공사</t>
    <phoneticPr fontId="6" type="noConversion"/>
  </si>
  <si>
    <t xml:space="preserve">(앞,뒤베란다 걸레받이(앞,뒤베란다 창고바닥포함)), </t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</si>
  <si>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</si>
  <si>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</si>
  <si>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</si>
  <si>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</si>
  <si>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</si>
  <si>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</si>
  <si>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</si>
  <si>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</si>
  <si>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</si>
  <si>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</si>
  <si>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</si>
  <si>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</si>
  <si>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</si>
  <si>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</si>
  <si>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</si>
  <si>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</si>
  <si>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</si>
  <si>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</si>
  <si>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</si>
  <si>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</si>
  <si>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</si>
  <si>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</si>
  <si>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</si>
  <si>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</si>
  <si>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</si>
  <si>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</si>
  <si>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</si>
  <si>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</si>
  <si>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</si>
  <si>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</si>
  <si>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</si>
  <si>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</si>
  <si>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</si>
  <si>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</si>
  <si>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</si>
  <si>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</si>
  <si>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</si>
  <si>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</si>
  <si>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</si>
  <si>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</si>
  <si>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</si>
  <si>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</si>
  <si>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</si>
  <si>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</si>
  <si>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</si>
  <si>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</si>
  <si>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</si>
  <si>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</si>
  <si>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</si>
  <si>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</si>
  <si>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</si>
  <si>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</si>
  <si>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</si>
  <si>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</si>
  <si>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</si>
  <si>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</si>
  <si>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</si>
  <si>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</si>
  <si>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</si>
  <si>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</si>
  <si>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</si>
  <si>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</si>
  <si>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</si>
  <si>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</si>
  <si>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7-105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</si>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</sst>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7" fontId="27" fillId="0" borderId="11" xfId="11" applyNumberFormat="1" applyFont="1" applyFill="1" applyBorder="1" applyAlignment="1">
      <alignment horizontal="center" vertical="center" wrapText="1"/>
    </xf>
    <xf numFmtId="192" fontId="27" fillId="0" borderId="11" xfId="11" applyNumberFormat="1" applyFont="1" applyFill="1" applyBorder="1" applyAlignment="1">
      <alignment horizontal="right" vertical="center"/>
    </xf>
    <xf numFmtId="187" fontId="23" fillId="11" borderId="11" xfId="11" applyNumberFormat="1" applyFont="1" applyFill="1" applyBorder="1" applyAlignment="1">
      <alignment horizontal="center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Border="1" applyAlignment="1">
      <alignment vertical="center"/>
    </xf>
    <xf numFmtId="0" fontId="29" fillId="0" borderId="23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/>
    </xf>
    <xf numFmtId="0" fontId="29" fillId="0" borderId="44" xfId="20" applyFont="1" applyBorder="1" applyAlignment="1">
      <alignment horizontal="center" vertical="center"/>
    </xf>
    <xf numFmtId="0" fontId="29" fillId="0" borderId="12" xfId="20" applyFont="1" applyBorder="1" applyAlignment="1">
      <alignment horizontal="center" vertical="center"/>
    </xf>
    <xf numFmtId="0" fontId="33" fillId="0" borderId="52" xfId="20" applyFont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Border="1" applyAlignment="1">
      <alignment horizontal="left" vertical="center" wrapText="1" indent="1"/>
    </xf>
    <xf numFmtId="0" fontId="33" fillId="0" borderId="53" xfId="20" applyFont="1" applyBorder="1" applyAlignment="1">
      <alignment horizontal="left" vertical="center" wrapText="1" indent="1"/>
    </xf>
    <xf numFmtId="0" fontId="33" fillId="0" borderId="54" xfId="20" applyFont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 wrapText="1"/>
    </xf>
    <xf numFmtId="0" fontId="29" fillId="0" borderId="24" xfId="20" applyFont="1" applyBorder="1" applyAlignment="1">
      <alignment horizontal="center" vertical="center" wrapText="1"/>
    </xf>
    <xf numFmtId="0" fontId="29" fillId="0" borderId="43" xfId="20" applyFont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3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9065F5FB-7198-42DE-8C90-D4E9F0EAC764}"/>
    <cellStyle name="쉼표 [0] 2 84" xfId="24" xr:uid="{80843400-E7F6-45E5-AB22-FF147900BC5D}"/>
    <cellStyle name="쉼표 [0] 3" xfId="14" xr:uid="{8F7BE219-40E1-4BBB-A9BD-02188B74B2A3}"/>
    <cellStyle name="쉼표 [0] 4" xfId="21" xr:uid="{4A282F3C-A6E5-470D-A9D7-DF6CCE3BA4BA}"/>
    <cellStyle name="쉼표 [0] 5" xfId="23" xr:uid="{857B4A20-C84E-4434-8242-0B0F81E523A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F0F16794-A4CB-462E-B2E6-A9011C57E05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59451A0-BDA2-46DE-86CE-F70E7BA850D0}"/>
    <cellStyle name="표준_P456 공장 및 복지동 전면 유리창 청소건 라상혁님_1129(최종)" xfId="20" xr:uid="{B7EE54B9-FC7D-4B32-A12A-D402B9B12C2E}"/>
    <cellStyle name="표준_S&amp;D_MAIN VALVE_최빈_2" xfId="17" xr:uid="{A83372D0-FD62-4C22-A134-B64B6B96A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32A3E6-8095-48C4-811B-8AF56371D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F8E1-713C-4BF8-8216-AA43EF8D573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1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3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4" t="s">
        <v>106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/>
    </row>
    <row r="4" spans="1:15" ht="16.5" customHeight="1" x14ac:dyDescent="0.3">
      <c r="A4" s="109" t="s">
        <v>107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171</v>
      </c>
      <c r="C5" s="170"/>
      <c r="D5" s="170"/>
      <c r="E5" s="170"/>
      <c r="F5" s="170"/>
      <c r="G5" s="115"/>
      <c r="H5" s="115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57" t="s">
        <v>108</v>
      </c>
      <c r="B7" s="258"/>
      <c r="C7" s="259"/>
      <c r="D7" s="171">
        <v>2025</v>
      </c>
      <c r="E7" s="122" t="s">
        <v>109</v>
      </c>
      <c r="F7" s="122">
        <v>7</v>
      </c>
      <c r="G7" s="122" t="s">
        <v>110</v>
      </c>
      <c r="H7" s="122">
        <v>1</v>
      </c>
      <c r="I7" s="122" t="s">
        <v>111</v>
      </c>
      <c r="J7" s="123"/>
      <c r="K7" s="260" t="s">
        <v>112</v>
      </c>
      <c r="L7" s="124" t="s">
        <v>113</v>
      </c>
      <c r="M7" s="124" t="s">
        <v>114</v>
      </c>
      <c r="N7" s="124" t="s">
        <v>115</v>
      </c>
      <c r="O7" s="125" t="s">
        <v>116</v>
      </c>
    </row>
    <row r="8" spans="1:15" ht="23.25" customHeight="1" x14ac:dyDescent="0.3">
      <c r="A8" s="263" t="s">
        <v>117</v>
      </c>
      <c r="B8" s="264"/>
      <c r="C8" s="265"/>
      <c r="D8" s="266" t="s">
        <v>118</v>
      </c>
      <c r="E8" s="267"/>
      <c r="F8" s="267"/>
      <c r="G8" s="268"/>
      <c r="H8" s="269" t="s">
        <v>119</v>
      </c>
      <c r="I8" s="267"/>
      <c r="J8" s="270"/>
      <c r="K8" s="261"/>
      <c r="L8" s="126" t="s">
        <v>120</v>
      </c>
      <c r="M8" s="126" t="s">
        <v>121</v>
      </c>
      <c r="N8" s="126" t="s">
        <v>122</v>
      </c>
      <c r="O8" s="127" t="s">
        <v>123</v>
      </c>
    </row>
    <row r="9" spans="1:15" ht="23.25" customHeight="1" x14ac:dyDescent="0.3">
      <c r="A9" s="263" t="s">
        <v>124</v>
      </c>
      <c r="B9" s="264"/>
      <c r="C9" s="265"/>
      <c r="D9" s="271" t="s">
        <v>125</v>
      </c>
      <c r="E9" s="272"/>
      <c r="F9" s="272"/>
      <c r="G9" s="272"/>
      <c r="H9" s="272"/>
      <c r="I9" s="272"/>
      <c r="J9" s="273"/>
      <c r="K9" s="261"/>
      <c r="L9" s="126" t="s">
        <v>126</v>
      </c>
      <c r="M9" s="274" t="s">
        <v>127</v>
      </c>
      <c r="N9" s="264"/>
      <c r="O9" s="265"/>
    </row>
    <row r="10" spans="1:15" ht="23.25" customHeight="1" thickBot="1" x14ac:dyDescent="0.35">
      <c r="A10" s="275" t="s">
        <v>128</v>
      </c>
      <c r="B10" s="276"/>
      <c r="C10" s="277"/>
      <c r="D10" s="278" t="s">
        <v>129</v>
      </c>
      <c r="E10" s="279"/>
      <c r="F10" s="279"/>
      <c r="G10" s="279"/>
      <c r="H10" s="279"/>
      <c r="I10" s="279"/>
      <c r="J10" s="280"/>
      <c r="K10" s="262"/>
      <c r="L10" s="128" t="s">
        <v>130</v>
      </c>
      <c r="M10" s="128" t="s">
        <v>131</v>
      </c>
      <c r="N10" s="128" t="s">
        <v>132</v>
      </c>
      <c r="O10" s="129" t="s">
        <v>133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0" t="s">
        <v>170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137" t="s">
        <v>134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3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4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35"/>
      <c r="L16" s="235"/>
      <c r="M16" s="235"/>
      <c r="N16" s="235"/>
      <c r="O16" s="236"/>
    </row>
    <row r="17" spans="1:17" ht="27.75" customHeight="1" thickBot="1" x14ac:dyDescent="0.35">
      <c r="A17" s="138" t="s">
        <v>135</v>
      </c>
      <c r="B17" s="243" t="s">
        <v>136</v>
      </c>
      <c r="C17" s="244"/>
      <c r="D17" s="244"/>
      <c r="E17" s="244"/>
      <c r="F17" s="244"/>
      <c r="G17" s="245"/>
      <c r="H17" s="139" t="s">
        <v>137</v>
      </c>
      <c r="I17" s="140" t="s">
        <v>138</v>
      </c>
      <c r="J17" s="246" t="s">
        <v>139</v>
      </c>
      <c r="K17" s="247"/>
      <c r="L17" s="247"/>
      <c r="M17" s="248"/>
      <c r="N17" s="243" t="s">
        <v>140</v>
      </c>
      <c r="O17" s="249"/>
    </row>
    <row r="18" spans="1:17" ht="28.5" customHeight="1" x14ac:dyDescent="0.3">
      <c r="A18" s="141">
        <v>1</v>
      </c>
      <c r="B18" s="237" t="s">
        <v>49</v>
      </c>
      <c r="C18" s="238"/>
      <c r="D18" s="238"/>
      <c r="E18" s="238"/>
      <c r="F18" s="238"/>
      <c r="G18" s="239"/>
      <c r="H18" s="172">
        <v>1</v>
      </c>
      <c r="I18" s="173" t="s">
        <v>6</v>
      </c>
      <c r="J18" s="240">
        <f>IFERROR(LOOKUP(2, 1/(TRIM('내역서(표준단가)'!O4:O100)&lt;&gt;""), '내역서(표준단가)'!O4:O100), "-")</f>
        <v>588767.76850000001</v>
      </c>
      <c r="K18" s="240"/>
      <c r="L18" s="240"/>
      <c r="M18" s="240"/>
      <c r="N18" s="241"/>
      <c r="O18" s="242"/>
    </row>
    <row r="19" spans="1:17" ht="28.5" customHeight="1" x14ac:dyDescent="0.3">
      <c r="A19" s="142">
        <v>2</v>
      </c>
      <c r="B19" s="220" t="s">
        <v>50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1/(TRIM('내역서(표준단가)'!Q4:Q100)&lt;&gt;""), '내역서(표준단가)'!Q4:Q100), "-")</f>
        <v>2242800.8584199999</v>
      </c>
      <c r="K19" s="224"/>
      <c r="L19" s="224"/>
      <c r="M19" s="225"/>
      <c r="N19" s="226"/>
      <c r="O19" s="227"/>
    </row>
    <row r="20" spans="1:17" ht="28.5" customHeight="1" x14ac:dyDescent="0.3">
      <c r="A20" s="142">
        <v>3</v>
      </c>
      <c r="B20" s="220" t="s">
        <v>141</v>
      </c>
      <c r="C20" s="221"/>
      <c r="D20" s="221"/>
      <c r="E20" s="221"/>
      <c r="F20" s="221"/>
      <c r="G20" s="222"/>
      <c r="H20" s="143">
        <v>1</v>
      </c>
      <c r="I20" s="143" t="s">
        <v>6</v>
      </c>
      <c r="J20" s="228">
        <f>IFERROR(SUM(J21:M29),"-")</f>
        <v>381287.30669770809</v>
      </c>
      <c r="K20" s="229"/>
      <c r="L20" s="229"/>
      <c r="M20" s="230"/>
      <c r="N20" s="231"/>
      <c r="O20" s="232"/>
      <c r="P20" s="144"/>
    </row>
    <row r="21" spans="1:17" ht="28.5" customHeight="1" x14ac:dyDescent="0.3">
      <c r="A21" s="141"/>
      <c r="B21" s="145"/>
      <c r="C21" s="212" t="s">
        <v>142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143</v>
      </c>
      <c r="O21" s="219"/>
    </row>
    <row r="22" spans="1:17" ht="28.5" customHeight="1" x14ac:dyDescent="0.3">
      <c r="A22" s="141"/>
      <c r="B22" s="145"/>
      <c r="C22" s="206" t="s">
        <v>144</v>
      </c>
      <c r="D22" s="207"/>
      <c r="E22" s="207"/>
      <c r="F22" s="207"/>
      <c r="G22" s="208"/>
      <c r="H22" s="146">
        <v>3.11</v>
      </c>
      <c r="I22" s="146" t="s">
        <v>145</v>
      </c>
      <c r="J22" s="209">
        <f>IFERROR((J18+J19)*H22%,"-")</f>
        <v>88061.784297211983</v>
      </c>
      <c r="K22" s="210"/>
      <c r="L22" s="210"/>
      <c r="M22" s="211"/>
      <c r="N22" s="202" t="s">
        <v>146</v>
      </c>
      <c r="O22" s="203"/>
    </row>
    <row r="23" spans="1:17" ht="28.5" customHeight="1" x14ac:dyDescent="0.3">
      <c r="A23" s="141"/>
      <c r="B23" s="145"/>
      <c r="C23" s="206" t="s">
        <v>147</v>
      </c>
      <c r="D23" s="207"/>
      <c r="E23" s="207"/>
      <c r="F23" s="207"/>
      <c r="G23" s="208"/>
      <c r="H23" s="146">
        <v>3.56</v>
      </c>
      <c r="I23" s="146" t="s">
        <v>148</v>
      </c>
      <c r="J23" s="209">
        <f>IFERROR(J19*H23%,"-")</f>
        <v>79843.710559751999</v>
      </c>
      <c r="K23" s="210"/>
      <c r="L23" s="210"/>
      <c r="M23" s="211"/>
      <c r="N23" s="202" t="s">
        <v>149</v>
      </c>
      <c r="O23" s="203"/>
    </row>
    <row r="24" spans="1:17" ht="28.5" customHeight="1" x14ac:dyDescent="0.3">
      <c r="A24" s="141"/>
      <c r="B24" s="145"/>
      <c r="C24" s="206" t="s">
        <v>150</v>
      </c>
      <c r="D24" s="207"/>
      <c r="E24" s="207"/>
      <c r="F24" s="207"/>
      <c r="G24" s="208"/>
      <c r="H24" s="146">
        <v>1.01</v>
      </c>
      <c r="I24" s="146" t="s">
        <v>148</v>
      </c>
      <c r="J24" s="209">
        <f>IFERROR(J19*H24%,"-")</f>
        <v>22652.288670041999</v>
      </c>
      <c r="K24" s="210"/>
      <c r="L24" s="210"/>
      <c r="M24" s="211"/>
      <c r="N24" s="202" t="s">
        <v>151</v>
      </c>
      <c r="O24" s="203"/>
    </row>
    <row r="25" spans="1:17" ht="28.5" customHeight="1" x14ac:dyDescent="0.3">
      <c r="A25" s="141"/>
      <c r="B25" s="145"/>
      <c r="C25" s="206" t="s">
        <v>152</v>
      </c>
      <c r="D25" s="207"/>
      <c r="E25" s="207"/>
      <c r="F25" s="207"/>
      <c r="G25" s="208"/>
      <c r="H25" s="147">
        <v>3.5449999999999999</v>
      </c>
      <c r="I25" s="146" t="s">
        <v>148</v>
      </c>
      <c r="J25" s="209">
        <f>IFERROR(J19*H25%,"-")</f>
        <v>79507.290430989</v>
      </c>
      <c r="K25" s="210"/>
      <c r="L25" s="210"/>
      <c r="M25" s="211"/>
      <c r="N25" s="202" t="s">
        <v>153</v>
      </c>
      <c r="O25" s="203"/>
      <c r="Q25" s="144"/>
    </row>
    <row r="26" spans="1:17" ht="28.5" customHeight="1" x14ac:dyDescent="0.3">
      <c r="A26" s="141"/>
      <c r="B26" s="145"/>
      <c r="C26" s="206" t="s">
        <v>154</v>
      </c>
      <c r="D26" s="207"/>
      <c r="E26" s="207"/>
      <c r="F26" s="207"/>
      <c r="G26" s="208"/>
      <c r="H26" s="146">
        <v>4.5</v>
      </c>
      <c r="I26" s="146" t="s">
        <v>148</v>
      </c>
      <c r="J26" s="209">
        <f>IFERROR(J19*H26%,"-")</f>
        <v>100926.03862889999</v>
      </c>
      <c r="K26" s="210"/>
      <c r="L26" s="210"/>
      <c r="M26" s="211"/>
      <c r="N26" s="202" t="s">
        <v>155</v>
      </c>
      <c r="O26" s="203"/>
      <c r="Q26" s="148"/>
    </row>
    <row r="27" spans="1:17" ht="28.5" customHeight="1" x14ac:dyDescent="0.3">
      <c r="A27" s="141"/>
      <c r="B27" s="145"/>
      <c r="C27" s="196" t="s">
        <v>156</v>
      </c>
      <c r="D27" s="197"/>
      <c r="E27" s="197"/>
      <c r="F27" s="197"/>
      <c r="G27" s="198"/>
      <c r="H27" s="149">
        <v>12.95</v>
      </c>
      <c r="I27" s="150" t="s">
        <v>148</v>
      </c>
      <c r="J27" s="199">
        <f>IFERROR($H$27*J25%,"-")</f>
        <v>10296.194110813074</v>
      </c>
      <c r="K27" s="200"/>
      <c r="L27" s="200"/>
      <c r="M27" s="201"/>
      <c r="N27" s="202" t="s">
        <v>157</v>
      </c>
      <c r="O27" s="203"/>
    </row>
    <row r="28" spans="1:17" ht="28.5" customHeight="1" x14ac:dyDescent="0.3">
      <c r="A28" s="141"/>
      <c r="B28" s="145"/>
      <c r="C28" s="196" t="s">
        <v>158</v>
      </c>
      <c r="D28" s="197"/>
      <c r="E28" s="197"/>
      <c r="F28" s="197"/>
      <c r="G28" s="198"/>
      <c r="H28" s="149">
        <v>8.1000000000000003E-2</v>
      </c>
      <c r="I28" s="150" t="s">
        <v>148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159</v>
      </c>
      <c r="O28" s="205"/>
    </row>
    <row r="29" spans="1:17" ht="28.5" customHeight="1" x14ac:dyDescent="0.3">
      <c r="A29" s="151"/>
      <c r="B29" s="152"/>
      <c r="C29" s="176" t="s">
        <v>160</v>
      </c>
      <c r="D29" s="177"/>
      <c r="E29" s="177"/>
      <c r="F29" s="177"/>
      <c r="G29" s="178"/>
      <c r="H29" s="153">
        <v>1</v>
      </c>
      <c r="I29" s="154" t="s">
        <v>161</v>
      </c>
      <c r="J29" s="179">
        <f>34*0</f>
        <v>0</v>
      </c>
      <c r="K29" s="180"/>
      <c r="L29" s="180"/>
      <c r="M29" s="181"/>
      <c r="N29" s="182" t="s">
        <v>162</v>
      </c>
      <c r="O29" s="183"/>
    </row>
    <row r="30" spans="1:17" ht="28.5" customHeight="1" x14ac:dyDescent="0.3">
      <c r="A30" s="151">
        <v>4</v>
      </c>
      <c r="B30" s="152"/>
      <c r="C30" s="176" t="s">
        <v>163</v>
      </c>
      <c r="D30" s="177"/>
      <c r="E30" s="177"/>
      <c r="F30" s="177"/>
      <c r="G30" s="178"/>
      <c r="H30" s="154">
        <v>5</v>
      </c>
      <c r="I30" s="155" t="s">
        <v>164</v>
      </c>
      <c r="J30" s="189">
        <f>IFERROR(IF(ISNUMBER(H30), SUM(J18:M20) * (H30 / 100), "-"), "-")</f>
        <v>160642.7966808854</v>
      </c>
      <c r="K30" s="190"/>
      <c r="L30" s="190"/>
      <c r="M30" s="191"/>
      <c r="N30" s="192" t="s">
        <v>165</v>
      </c>
      <c r="O30" s="193"/>
    </row>
    <row r="31" spans="1:17" ht="28.5" customHeight="1" thickBot="1" x14ac:dyDescent="0.35">
      <c r="A31" s="151">
        <v>5</v>
      </c>
      <c r="B31" s="152"/>
      <c r="C31" s="176" t="s">
        <v>166</v>
      </c>
      <c r="D31" s="177"/>
      <c r="E31" s="177"/>
      <c r="F31" s="177"/>
      <c r="G31" s="178"/>
      <c r="H31" s="154">
        <v>7.5</v>
      </c>
      <c r="I31" s="155" t="s">
        <v>148</v>
      </c>
      <c r="J31" s="179">
        <f>IFERROR(SUM(J18:M20, J30) * (H31 / 100), "-")+-31711</f>
        <v>221301.40477239448</v>
      </c>
      <c r="K31" s="180"/>
      <c r="L31" s="180"/>
      <c r="M31" s="181"/>
      <c r="N31" s="194" t="s">
        <v>167</v>
      </c>
      <c r="O31" s="195"/>
      <c r="Q31" s="156"/>
    </row>
    <row r="32" spans="1:17" ht="28.5" customHeight="1" thickBot="1" x14ac:dyDescent="0.35">
      <c r="A32" s="184" t="s">
        <v>168</v>
      </c>
      <c r="B32" s="185"/>
      <c r="C32" s="185"/>
      <c r="D32" s="185"/>
      <c r="E32" s="185"/>
      <c r="F32" s="185"/>
      <c r="G32" s="185"/>
      <c r="H32" s="185"/>
      <c r="I32" s="186"/>
      <c r="J32" s="157"/>
      <c r="K32" s="158"/>
      <c r="L32" s="158"/>
      <c r="M32" s="159">
        <f>IFERROR(ROUNDDOWN(SUM(J18:M20)+J30+J31,0),"-")</f>
        <v>3594800</v>
      </c>
      <c r="N32" s="187"/>
      <c r="O32" s="188"/>
      <c r="P32" s="160"/>
    </row>
    <row r="33" spans="1:15" x14ac:dyDescent="0.3">
      <c r="A33" s="161" t="s">
        <v>169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1"/>
      <c r="B1" s="281"/>
      <c r="C1" s="281"/>
      <c r="D1" s="281"/>
      <c r="E1" s="281"/>
      <c r="F1" s="281"/>
      <c r="G1" s="281"/>
      <c r="H1" s="281"/>
      <c r="I1" s="281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1"/>
      <c r="B2" s="281"/>
      <c r="C2" s="281"/>
      <c r="D2" s="281"/>
      <c r="E2" s="281"/>
      <c r="F2" s="281"/>
      <c r="G2" s="281"/>
      <c r="H2" s="281"/>
      <c r="I2" s="28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2" t="s">
        <v>48</v>
      </c>
      <c r="K3" s="292"/>
      <c r="L3" s="290" t="s">
        <v>8</v>
      </c>
      <c r="M3" s="290" t="s">
        <v>5</v>
      </c>
      <c r="N3" s="286" t="s">
        <v>49</v>
      </c>
      <c r="O3" s="286"/>
      <c r="P3" s="286" t="s">
        <v>50</v>
      </c>
      <c r="Q3" s="286"/>
      <c r="R3" s="287" t="s">
        <v>51</v>
      </c>
      <c r="S3" s="287"/>
      <c r="T3" s="287" t="s">
        <v>52</v>
      </c>
      <c r="U3" s="287"/>
      <c r="V3" s="288" t="s">
        <v>53</v>
      </c>
      <c r="W3" s="284" t="s">
        <v>54</v>
      </c>
      <c r="X3" s="282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1"/>
      <c r="M4" s="291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89"/>
      <c r="W4" s="285"/>
      <c r="X4" s="283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94" t="s">
        <v>101</v>
      </c>
      <c r="L5" s="54" t="s">
        <v>99</v>
      </c>
      <c r="M5" s="93">
        <v>8.4789999999999992</v>
      </c>
      <c r="N5" s="88">
        <v>20900</v>
      </c>
      <c r="O5" s="63">
        <f t="shared" ref="O5" si="1">SUM(N5:N5)*M5*$O$2</f>
        <v>147971.26849999998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147971.26849999998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102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:A8" si="12">F7&amp;G7&amp;H7&amp;I7</f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94" t="s">
        <v>103</v>
      </c>
      <c r="L7" s="11" t="s">
        <v>67</v>
      </c>
      <c r="M7" s="93">
        <v>1.4</v>
      </c>
      <c r="N7" s="65"/>
      <c r="O7" s="63">
        <f t="shared" ref="O7:O12" si="13">SUM(N7:N7)*M7*$O$2</f>
        <v>0</v>
      </c>
      <c r="P7" s="62">
        <v>487076</v>
      </c>
      <c r="Q7" s="63">
        <f t="shared" ref="Q7:Q13" si="14">(P7*M7)*$Q$2</f>
        <v>569391.84399999992</v>
      </c>
      <c r="R7" s="64"/>
      <c r="S7" s="63">
        <f t="shared" ref="S7:S13" si="15">R7*M7*$S$2</f>
        <v>0</v>
      </c>
      <c r="T7" s="64"/>
      <c r="U7" s="63">
        <f t="shared" ref="U7:U13" si="16">T7*M7*$U$2</f>
        <v>0</v>
      </c>
      <c r="V7" s="13">
        <f t="shared" ref="V7:V13" si="17">SUM(O7+Q7)+S7+U7</f>
        <v>569391.84399999992</v>
      </c>
      <c r="W7" s="53"/>
      <c r="X7" s="14"/>
    </row>
    <row r="8" spans="1:24" s="77" customFormat="1" ht="38.1" customHeight="1" x14ac:dyDescent="0.3">
      <c r="A8" s="9" t="str">
        <f t="shared" si="12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3"/>
        <v>429858</v>
      </c>
      <c r="P8" s="62"/>
      <c r="Q8" s="63">
        <f t="shared" si="14"/>
        <v>0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429858</v>
      </c>
      <c r="W8" s="53"/>
      <c r="X8" s="14"/>
    </row>
    <row r="9" spans="1:24" s="77" customFormat="1" ht="38.1" customHeight="1" x14ac:dyDescent="0.3">
      <c r="A9" s="9" t="str">
        <f t="shared" ref="A9:A13" si="18">F9&amp;G9&amp;H9&amp;I9</f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100</v>
      </c>
      <c r="L9" s="11" t="s">
        <v>67</v>
      </c>
      <c r="M9" s="67">
        <v>0.64900000000000002</v>
      </c>
      <c r="N9" s="65"/>
      <c r="O9" s="63">
        <f t="shared" si="13"/>
        <v>0</v>
      </c>
      <c r="P9" s="62">
        <v>487076</v>
      </c>
      <c r="Q9" s="63">
        <f t="shared" si="14"/>
        <v>263953.79054000002</v>
      </c>
      <c r="R9" s="64"/>
      <c r="S9" s="63">
        <f t="shared" si="15"/>
        <v>0</v>
      </c>
      <c r="T9" s="64"/>
      <c r="U9" s="63">
        <f t="shared" si="16"/>
        <v>0</v>
      </c>
      <c r="V9" s="13">
        <f t="shared" si="17"/>
        <v>263953.79054000002</v>
      </c>
      <c r="W9" s="53"/>
      <c r="X9" s="14"/>
    </row>
    <row r="10" spans="1:24" s="77" customFormat="1" ht="38.1" customHeight="1" x14ac:dyDescent="0.3">
      <c r="A10" s="9" t="str">
        <f t="shared" si="18"/>
        <v>M020412614110102</v>
      </c>
      <c r="B10" s="43"/>
      <c r="C10" s="43"/>
      <c r="D10" s="43"/>
      <c r="E10" s="43"/>
      <c r="F10" s="37"/>
      <c r="G10" s="10"/>
      <c r="H10" s="89" t="s">
        <v>87</v>
      </c>
      <c r="I10" s="37"/>
      <c r="J10" s="90" t="s">
        <v>86</v>
      </c>
      <c r="K10" s="90" t="s">
        <v>82</v>
      </c>
      <c r="L10" s="59" t="s">
        <v>81</v>
      </c>
      <c r="M10" s="67">
        <v>0.2</v>
      </c>
      <c r="N10" s="91">
        <v>65500</v>
      </c>
      <c r="O10" s="63">
        <f t="shared" si="13"/>
        <v>10938.5</v>
      </c>
      <c r="P10" s="62"/>
      <c r="Q10" s="63"/>
      <c r="R10" s="64"/>
      <c r="S10" s="63"/>
      <c r="T10" s="64"/>
      <c r="U10" s="63"/>
      <c r="V10" s="13">
        <f t="shared" si="17"/>
        <v>10938.5</v>
      </c>
      <c r="W10" s="53"/>
      <c r="X10" s="14"/>
    </row>
    <row r="11" spans="1:24" s="77" customFormat="1" ht="38.1" customHeight="1" x14ac:dyDescent="0.3">
      <c r="A11" s="9" t="str">
        <f t="shared" si="18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3"/>
        <v>0</v>
      </c>
      <c r="P11" s="62">
        <v>10432</v>
      </c>
      <c r="Q11" s="63">
        <f t="shared" si="14"/>
        <v>174214.39999999999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174214.39999999999</v>
      </c>
      <c r="W11" s="53"/>
      <c r="X11" s="14"/>
    </row>
    <row r="12" spans="1:24" s="77" customFormat="1" ht="38.1" customHeight="1" x14ac:dyDescent="0.3">
      <c r="A12" s="9" t="str">
        <f t="shared" si="18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3"/>
        <v>0</v>
      </c>
      <c r="P12" s="62">
        <v>6179</v>
      </c>
      <c r="Q12" s="63">
        <f t="shared" si="14"/>
        <v>103189.29999999999</v>
      </c>
      <c r="R12" s="64"/>
      <c r="S12" s="63">
        <f t="shared" si="15"/>
        <v>0</v>
      </c>
      <c r="T12" s="64"/>
      <c r="U12" s="63">
        <f t="shared" si="16"/>
        <v>0</v>
      </c>
      <c r="V12" s="13">
        <f t="shared" si="17"/>
        <v>103189.29999999999</v>
      </c>
      <c r="W12" s="53"/>
      <c r="X12" s="14"/>
    </row>
    <row r="13" spans="1:24" s="77" customFormat="1" ht="38.1" customHeight="1" x14ac:dyDescent="0.3">
      <c r="A13" s="9" t="str">
        <f t="shared" si="18"/>
        <v>E00000801011510701</v>
      </c>
      <c r="B13" s="43"/>
      <c r="C13" s="43"/>
      <c r="D13" s="43"/>
      <c r="E13" s="43"/>
      <c r="F13" s="37"/>
      <c r="G13" s="10" t="s">
        <v>98</v>
      </c>
      <c r="H13" s="10"/>
      <c r="I13" s="37"/>
      <c r="J13" s="79" t="s">
        <v>95</v>
      </c>
      <c r="K13" s="79" t="s">
        <v>96</v>
      </c>
      <c r="L13" s="80" t="s">
        <v>97</v>
      </c>
      <c r="M13" s="67">
        <v>79</v>
      </c>
      <c r="N13" s="78"/>
      <c r="O13" s="12">
        <f t="shared" ref="O13" si="19">SUM(N13:N13)*M13*$O$2</f>
        <v>0</v>
      </c>
      <c r="P13" s="92">
        <v>4966</v>
      </c>
      <c r="Q13" s="12">
        <f t="shared" si="14"/>
        <v>327582.19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327582.19</v>
      </c>
      <c r="W13" s="53"/>
      <c r="X13" s="14"/>
    </row>
    <row r="14" spans="1:24" s="86" customFormat="1" ht="38.1" customHeight="1" x14ac:dyDescent="0.3">
      <c r="A14" s="81"/>
      <c r="B14" s="82"/>
      <c r="C14" s="82"/>
      <c r="D14" s="82"/>
      <c r="E14" s="82"/>
      <c r="F14" s="82"/>
      <c r="G14" s="82"/>
      <c r="H14" s="82"/>
      <c r="I14" s="82"/>
      <c r="J14" s="71"/>
      <c r="K14" s="71"/>
      <c r="L14" s="82"/>
      <c r="M14" s="82"/>
      <c r="N14" s="82"/>
      <c r="O14" s="83">
        <f>SUM(O5:O13)</f>
        <v>588767.76850000001</v>
      </c>
      <c r="P14" s="84"/>
      <c r="Q14" s="83">
        <f>SUM(Q5:Q13)</f>
        <v>2242800.8584199999</v>
      </c>
      <c r="R14" s="84"/>
      <c r="S14" s="83">
        <f>SUM(S5:S13)</f>
        <v>0</v>
      </c>
      <c r="T14" s="84"/>
      <c r="U14" s="83">
        <f>SUM(U5:U13)</f>
        <v>0</v>
      </c>
      <c r="V14" s="85">
        <f>SUM(V5:V13)</f>
        <v>2831568.6269199997</v>
      </c>
      <c r="W14" s="46"/>
      <c r="X14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D15" sqref="D15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304" t="s">
        <v>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 ht="15" customHeight="1" x14ac:dyDescent="0.3">
      <c r="A2" s="305" t="s">
        <v>10</v>
      </c>
      <c r="B2" s="306" t="s">
        <v>11</v>
      </c>
      <c r="C2" s="307" t="s">
        <v>8</v>
      </c>
      <c r="D2" s="307" t="s">
        <v>12</v>
      </c>
      <c r="E2" s="309" t="s">
        <v>13</v>
      </c>
      <c r="F2" s="306"/>
      <c r="G2" s="306" t="s">
        <v>14</v>
      </c>
      <c r="H2" s="306"/>
      <c r="I2" s="310" t="s">
        <v>15</v>
      </c>
      <c r="J2" s="311"/>
      <c r="K2" s="310" t="s">
        <v>16</v>
      </c>
      <c r="L2" s="311"/>
      <c r="M2" s="309" t="s">
        <v>17</v>
      </c>
      <c r="N2" s="306"/>
      <c r="O2" s="312" t="s">
        <v>18</v>
      </c>
    </row>
    <row r="3" spans="1:15" ht="15" customHeight="1" x14ac:dyDescent="0.3">
      <c r="A3" s="305"/>
      <c r="B3" s="306"/>
      <c r="C3" s="308"/>
      <c r="D3" s="308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3"/>
    </row>
    <row r="4" spans="1:15" ht="15" customHeight="1" x14ac:dyDescent="0.3">
      <c r="A4" s="302" t="s">
        <v>104</v>
      </c>
      <c r="B4" s="30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294" t="s">
        <v>22</v>
      </c>
      <c r="B5" s="95" t="s">
        <v>23</v>
      </c>
      <c r="C5" s="96" t="s">
        <v>24</v>
      </c>
      <c r="D5" s="103">
        <f>55-7.7</f>
        <v>47.3</v>
      </c>
      <c r="E5" s="20">
        <v>1057</v>
      </c>
      <c r="F5" s="20">
        <f t="shared" ref="F5:F10" si="0">D5*E5</f>
        <v>49996.1</v>
      </c>
      <c r="G5" s="20">
        <v>8839.9</v>
      </c>
      <c r="H5" s="20">
        <f t="shared" ref="H5:H10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296"/>
    </row>
    <row r="6" spans="1:15" ht="15" customHeight="1" x14ac:dyDescent="0.3">
      <c r="A6" s="295"/>
      <c r="B6" s="95" t="s">
        <v>25</v>
      </c>
      <c r="C6" s="96" t="s">
        <v>24</v>
      </c>
      <c r="D6" s="103">
        <f>37-8.3</f>
        <v>28.7</v>
      </c>
      <c r="E6" s="20">
        <v>1057</v>
      </c>
      <c r="F6" s="20">
        <f t="shared" si="0"/>
        <v>30335.899999999998</v>
      </c>
      <c r="G6" s="20">
        <v>11617.4</v>
      </c>
      <c r="H6" s="20">
        <f t="shared" si="1"/>
        <v>333419.38</v>
      </c>
      <c r="I6" s="20"/>
      <c r="J6" s="20"/>
      <c r="K6" s="20"/>
      <c r="L6" s="20"/>
      <c r="M6" s="20"/>
      <c r="N6" s="20">
        <f t="shared" ref="N6:N10" si="2">F6+H6+J6+L6</f>
        <v>363755.28</v>
      </c>
      <c r="O6" s="297"/>
    </row>
    <row r="7" spans="1:15" ht="15" customHeight="1" x14ac:dyDescent="0.3">
      <c r="A7" s="295"/>
      <c r="B7" s="95" t="s">
        <v>26</v>
      </c>
      <c r="C7" s="96" t="s">
        <v>24</v>
      </c>
      <c r="D7" s="103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si="2"/>
        <v>238515.29</v>
      </c>
      <c r="O7" s="297"/>
    </row>
    <row r="8" spans="1:15" ht="15" customHeight="1" x14ac:dyDescent="0.3">
      <c r="A8" s="295"/>
      <c r="B8" s="95" t="s">
        <v>27</v>
      </c>
      <c r="C8" s="96" t="s">
        <v>24</v>
      </c>
      <c r="D8" s="103">
        <f>12-0.2</f>
        <v>11.8</v>
      </c>
      <c r="E8" s="20">
        <v>1057</v>
      </c>
      <c r="F8" s="20">
        <f t="shared" si="0"/>
        <v>12472.6</v>
      </c>
      <c r="G8" s="20">
        <v>11617.4</v>
      </c>
      <c r="H8" s="20">
        <f t="shared" si="1"/>
        <v>137085.32</v>
      </c>
      <c r="I8" s="20"/>
      <c r="J8" s="20"/>
      <c r="K8" s="20"/>
      <c r="L8" s="20"/>
      <c r="M8" s="20"/>
      <c r="N8" s="20">
        <f t="shared" si="2"/>
        <v>149557.92000000001</v>
      </c>
      <c r="O8" s="297"/>
    </row>
    <row r="9" spans="1:15" ht="15" customHeight="1" x14ac:dyDescent="0.3">
      <c r="A9" s="295"/>
      <c r="B9" s="95" t="s">
        <v>28</v>
      </c>
      <c r="C9" s="96" t="s">
        <v>24</v>
      </c>
      <c r="D9" s="103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297"/>
    </row>
    <row r="10" spans="1:15" ht="15" customHeight="1" x14ac:dyDescent="0.3">
      <c r="A10" s="295"/>
      <c r="B10" s="95" t="s">
        <v>29</v>
      </c>
      <c r="C10" s="96" t="s">
        <v>24</v>
      </c>
      <c r="D10" s="103">
        <f>12-3.9</f>
        <v>8.1</v>
      </c>
      <c r="E10" s="20">
        <v>1057</v>
      </c>
      <c r="F10" s="20">
        <f t="shared" si="0"/>
        <v>8561.6999999999989</v>
      </c>
      <c r="G10" s="20">
        <v>11617.4</v>
      </c>
      <c r="H10" s="20">
        <f t="shared" si="1"/>
        <v>94100.939999999988</v>
      </c>
      <c r="I10" s="20"/>
      <c r="J10" s="20"/>
      <c r="K10" s="20"/>
      <c r="L10" s="20"/>
      <c r="M10" s="20"/>
      <c r="N10" s="20">
        <f t="shared" si="2"/>
        <v>102662.63999999998</v>
      </c>
      <c r="O10" s="297"/>
    </row>
    <row r="11" spans="1:15" ht="15" customHeight="1" x14ac:dyDescent="0.3">
      <c r="A11" s="47" t="s">
        <v>30</v>
      </c>
      <c r="B11" s="48"/>
      <c r="C11" s="49"/>
      <c r="D11" s="25">
        <f>SUM(D5:D10)</f>
        <v>139.6</v>
      </c>
      <c r="E11" s="50"/>
      <c r="F11" s="50">
        <f>SUM(F5:F10)</f>
        <v>147557.20000000001</v>
      </c>
      <c r="G11" s="50"/>
      <c r="H11" s="50">
        <f>SUM(H5:H10)</f>
        <v>1369036.5399999998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1516593.7399999998</v>
      </c>
      <c r="O11" s="50"/>
    </row>
    <row r="12" spans="1:15" ht="15" customHeight="1" x14ac:dyDescent="0.3">
      <c r="A12" s="298" t="s">
        <v>88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297"/>
    </row>
    <row r="13" spans="1:15" ht="15" customHeight="1" x14ac:dyDescent="0.3">
      <c r="A13" s="298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297"/>
    </row>
    <row r="14" spans="1:15" ht="15" customHeight="1" x14ac:dyDescent="0.3">
      <c r="A14" s="298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297"/>
    </row>
    <row r="15" spans="1:15" ht="15" customHeight="1" x14ac:dyDescent="0.3">
      <c r="A15" s="38" t="s">
        <v>30</v>
      </c>
      <c r="B15" s="21"/>
      <c r="C15" s="25"/>
      <c r="D15" s="104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85</v>
      </c>
      <c r="B17" s="98" t="s">
        <v>82</v>
      </c>
      <c r="C17" s="98" t="s">
        <v>81</v>
      </c>
      <c r="D17" s="102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299" t="s">
        <v>35</v>
      </c>
      <c r="B18" s="95" t="s">
        <v>36</v>
      </c>
      <c r="C18" s="96" t="s">
        <v>24</v>
      </c>
      <c r="D18" s="99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299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00" t="s">
        <v>105</v>
      </c>
    </row>
    <row r="20" spans="1:15" ht="15" customHeight="1" x14ac:dyDescent="0.3">
      <c r="A20" s="293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01"/>
    </row>
    <row r="21" spans="1:15" ht="15" customHeight="1" x14ac:dyDescent="0.3">
      <c r="A21" s="293"/>
      <c r="B21" s="26" t="s">
        <v>37</v>
      </c>
      <c r="C21" s="27" t="s">
        <v>24</v>
      </c>
      <c r="D21" s="28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83</v>
      </c>
      <c r="B22" s="60" t="s">
        <v>84</v>
      </c>
      <c r="C22" s="60" t="s">
        <v>81</v>
      </c>
      <c r="D22" s="51"/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293" t="s">
        <v>39</v>
      </c>
      <c r="B23" s="26" t="s">
        <v>40</v>
      </c>
      <c r="C23" s="27" t="s">
        <v>24</v>
      </c>
      <c r="D23" s="28"/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293"/>
      <c r="B24" s="26" t="s">
        <v>41</v>
      </c>
      <c r="C24" s="27" t="s">
        <v>24</v>
      </c>
      <c r="D24" s="28"/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293" t="s">
        <v>42</v>
      </c>
      <c r="B25" s="26" t="s">
        <v>40</v>
      </c>
      <c r="C25" s="27" t="s">
        <v>24</v>
      </c>
      <c r="D25" s="28"/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293"/>
      <c r="B26" s="26" t="s">
        <v>43</v>
      </c>
      <c r="C26" s="27" t="s">
        <v>24</v>
      </c>
      <c r="D26" s="28"/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80</v>
      </c>
      <c r="B30" s="21"/>
      <c r="C30" s="22"/>
      <c r="D30" s="32"/>
      <c r="E30" s="34"/>
      <c r="F30" s="35">
        <f>F11+F15+F27+F29</f>
        <v>589439.29999999993</v>
      </c>
      <c r="G30" s="35"/>
      <c r="H30" s="35">
        <f>H11+H15+H27+H29</f>
        <v>2238773.11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2828212.4099999997</v>
      </c>
      <c r="O30" s="34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8.4789999999999992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1.4</v>
      </c>
    </row>
    <row r="5" spans="1:6" x14ac:dyDescent="0.3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 x14ac:dyDescent="0.3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 x14ac:dyDescent="0.3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 x14ac:dyDescent="0.3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 x14ac:dyDescent="0.3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2025-06-30T21:28:39Z</dcterms:modified>
</cp:coreProperties>
</file>
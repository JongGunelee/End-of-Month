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현재_통합_문서"/>
  <mc:AlternateContent xmlns:mc="http://schemas.openxmlformats.org/markup-compatibility/2006">
    <mc:Choice Requires="x15">
      <x15ac:absPath xmlns:x15ac="http://schemas.microsoft.com/office/spreadsheetml/2010/11/ac" url="D:\02 기숙사 및 사택\05 기숙사 및 사택 월마감\25년-사택 작업\00 연간 긴급대응\02 하반기 정산 (04월-10월)\01 건축\기숙사 및 사택 긴급보수 작업(건축)-2차\"/>
    </mc:Choice>
  </mc:AlternateContent>
  <xr:revisionPtr revIDLastSave="0" documentId="13_ncr:1_{AF54B67D-CF6E-4C40-81AC-7241F0B2DD69}" xr6:coauthVersionLast="47" xr6:coauthVersionMax="47" xr10:uidLastSave="{00000000-0000-0000-0000-000000000000}"/>
  <bookViews>
    <workbookView xWindow="-60" yWindow="-60" windowWidth="28920" windowHeight="16320" activeTab="2" xr2:uid="{00000000-000D-0000-FFFF-FFFF00000000}"/>
  </bookViews>
  <sheets>
    <sheet name="갑지" sheetId="5" r:id="rId1"/>
    <sheet name="내역서(표준단가)" sheetId="4" r:id="rId2"/>
    <sheet name="관리소 접수 입력-2차" sheetId="16" r:id="rId3"/>
    <sheet name="시중가 근거서류" sheetId="13" r:id="rId4"/>
    <sheet name="Upload" sheetId="10" r:id="rId5"/>
    <sheet name="Upload(시중가)-별도입력" sheetId="15" r:id="rId6"/>
  </sheets>
  <externalReferences>
    <externalReference r:id="rId7"/>
    <externalReference r:id="rId8"/>
    <externalReference r:id="rId9"/>
    <externalReference r:id="rId10"/>
    <externalReference r:id="rId11"/>
    <externalReference r:id="rId12"/>
    <externalReference r:id="rId13"/>
  </externalReferences>
  <definedNames>
    <definedName name="_" hidden="1">#REF!</definedName>
    <definedName name="_Fill" hidden="1">[1]암거날개벽!#REF!</definedName>
    <definedName name="_Key1" hidden="1">[2]내역서!#REF!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[2]내역서!#REF!</definedName>
    <definedName name="a\" localSheetId="2" hidden="1">{#N/A,#N/A,TRUE,"자재관리";#N/A,#N/A,TRUE,"품질"}</definedName>
    <definedName name="a\" hidden="1">{#N/A,#N/A,TRUE,"자재관리";#N/A,#N/A,TRUE,"품질"}</definedName>
    <definedName name="A1C1" hidden="1">#REF!</definedName>
    <definedName name="AccessDatabase" hidden="1">"D:\공무jaje\98년품의-수불\98146.mdb"</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2" hidden="1">{#N/A,#N/A,FALSE,"CCTV"}</definedName>
    <definedName name="asdfasdf" hidden="1">{#N/A,#N/A,FALSE,"CCTV"}</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2" hidden="1">{"'Sheet1'!$E$23","'Sheet1'!$A$3:$H$19","'Sheet1'!$A$1:$H$19"}</definedName>
    <definedName name="BUSH" hidden="1">{"'Sheet1'!$E$23","'Sheet1'!$A$3:$H$19","'Sheet1'!$A$1:$H$19"}</definedName>
    <definedName name="copy2" localSheetId="2" hidden="1">{#N/A,#N/A,TRUE,"자재관리";#N/A,#N/A,TRUE,"품질"}</definedName>
    <definedName name="copy2" hidden="1">{#N/A,#N/A,TRUE,"자재관리";#N/A,#N/A,TRUE,"품질"}</definedName>
    <definedName name="copy3" localSheetId="2" hidden="1">{#N/A,#N/A,TRUE,"자재관리";#N/A,#N/A,TRUE,"품질"}</definedName>
    <definedName name="copy3" hidden="1">{#N/A,#N/A,TRUE,"자재관리";#N/A,#N/A,TRUE,"품질"}</definedName>
    <definedName name="copy4" localSheetId="2" hidden="1">{#N/A,#N/A,FALSE,"자재관리";#N/A,#N/A,FALSE,"자재관리";#N/A,#N/A,FALSE,"자재관리"}</definedName>
    <definedName name="copy4" hidden="1">{#N/A,#N/A,FALSE,"자재관리";#N/A,#N/A,FALSE,"자재관리";#N/A,#N/A,FALSE,"자재관리"}</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2" hidden="1">{#N/A,#N/A,FALSE,"자재관리";#N/A,#N/A,FALSE,"자재관리";#N/A,#N/A,FALSE,"자재관리"}</definedName>
    <definedName name="D" hidden="1">{#N/A,#N/A,FALSE,"자재관리";#N/A,#N/A,FALSE,"자재관리";#N/A,#N/A,FALSE,"자재관리"}</definedName>
    <definedName name="DDD" hidden="1">#REF!</definedName>
    <definedName name="ddddd" hidden="1">#REF!</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2" hidden="1">{#N/A,#N/A,FALSE,"자재관리";#N/A,#N/A,FALSE,"자재관리";#N/A,#N/A,FALSE,"자재관리"}</definedName>
    <definedName name="DFV" hidden="1">{#N/A,#N/A,FALSE,"자재관리";#N/A,#N/A,FALSE,"자재관리";#N/A,#N/A,FALSE,"자재관리"}</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2" hidden="1">{#N/A,#N/A,FALSE,"자재관리";#N/A,#N/A,FALSE,"자재관리";#N/A,#N/A,FALSE,"자재관리"}</definedName>
    <definedName name="dkd" hidden="1">{#N/A,#N/A,FALSE,"자재관리";#N/A,#N/A,FALSE,"자재관리";#N/A,#N/A,FALSE,"자재관리"}</definedName>
    <definedName name="DKFDK" localSheetId="2" hidden="1">{#N/A,#N/A,FALSE,"전력간선"}</definedName>
    <definedName name="DKFDK" hidden="1">{#N/A,#N/A,FALSE,"전력간선"}</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2" hidden="1">{#N/A,#N/A,FALSE,"CCTV"}</definedName>
    <definedName name="FFF" hidden="1">{#N/A,#N/A,FALSE,"CCTV"}</definedName>
    <definedName name="FFFF" localSheetId="2" hidden="1">{#N/A,#N/A,FALSE,"자재관리";#N/A,#N/A,FALSE,"자재관리";#N/A,#N/A,FALSE,"자재관리"}</definedName>
    <definedName name="FFFF" hidden="1">{#N/A,#N/A,FALSE,"자재관리";#N/A,#N/A,FALSE,"자재관리";#N/A,#N/A,FALSE,"자재관리"}</definedName>
    <definedName name="FFFFFF" localSheetId="2" hidden="1">{#N/A,#N/A,FALSE,"자재관리";#N/A,#N/A,FALSE,"자재관리";#N/A,#N/A,FALSE,"자재관리"}</definedName>
    <definedName name="FFFFFF" hidden="1">{#N/A,#N/A,FALSE,"자재관리";#N/A,#N/A,FALSE,"자재관리";#N/A,#N/A,FALSE,"자재관리"}</definedName>
    <definedName name="fffffff" localSheetId="2" hidden="1">{#N/A,#N/A,FALSE,"자재관리";#N/A,#N/A,FALSE,"자재관리";#N/A,#N/A,FALSE,"자재관리"}</definedName>
    <definedName name="fffffff" hidden="1">{#N/A,#N/A,FALSE,"자재관리";#N/A,#N/A,FALSE,"자재관리";#N/A,#N/A,FALSE,"자재관리"}</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2" hidden="1">{#N/A,#N/A,FALSE,"전력간선"}</definedName>
    <definedName name="fg" hidden="1">{#N/A,#N/A,FALSE,"전력간선"}</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[3]수량산출!$A$1:$A$8561</definedName>
    <definedName name="FHFK" hidden="1">[3]수량산출!#REF!</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localSheetId="2" hidden="1">{#N/A,#N/A,FALSE,"자재관리";#N/A,#N/A,FALSE,"자재관리";#N/A,#N/A,FALSE,"자재관리"}</definedName>
    <definedName name="HHHHH" hidden="1">{#N/A,#N/A,FALSE,"자재관리";#N/A,#N/A,FALSE,"자재관리";#N/A,#N/A,FALSE,"자재관리"}</definedName>
    <definedName name="HHHHHH" localSheetId="2" hidden="1">{#N/A,#N/A,FALSE,"자재관리";#N/A,#N/A,FALSE,"자재관리";#N/A,#N/A,FALSE,"자재관리"}</definedName>
    <definedName name="HHHHHH" hidden="1">{#N/A,#N/A,FALSE,"자재관리";#N/A,#N/A,FALSE,"자재관리";#N/A,#N/A,FALSE,"자재관리"}</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2"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2" hidden="1">{#N/A,#N/A,FALSE,"자재관리";#N/A,#N/A,FALSE,"자재관리";#N/A,#N/A,FALSE,"자재관리"}</definedName>
    <definedName name="JJJJ" hidden="1">{#N/A,#N/A,FALSE,"자재관리";#N/A,#N/A,FALSE,"자재관리";#N/A,#N/A,FALSE,"자재관리"}</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2" hidden="1">{#N/A,#N/A,FALSE,"자재관리";#N/A,#N/A,FALSE,"자재관리";#N/A,#N/A,FALSE,"자재관리"}</definedName>
    <definedName name="K" hidden="1">{#N/A,#N/A,FALSE,"자재관리";#N/A,#N/A,FALSE,"자재관리";#N/A,#N/A,FALSE,"자재관리"}</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localSheetId="2" hidden="1">{#N/A,#N/A,FALSE,"자재관리";#N/A,#N/A,FALSE,"자재관리";#N/A,#N/A,FALSE,"자재관리"}</definedName>
    <definedName name="kkkkk" hidden="1">{#N/A,#N/A,FALSE,"자재관리";#N/A,#N/A,FALSE,"자재관리";#N/A,#N/A,FALSE,"자재관리"}</definedName>
    <definedName name="knauf" localSheetId="2" hidden="1">{#N/A,#N/A,FALSE,"자재관리";#N/A,#N/A,FALSE,"자재관리";#N/A,#N/A,FALSE,"자재관리"}</definedName>
    <definedName name="knauf" hidden="1">{#N/A,#N/A,FALSE,"자재관리";#N/A,#N/A,FALSE,"자재관리";#N/A,#N/A,FALSE,"자재관리"}</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2" hidden="1">{#N/A,#N/A,TRUE,"자재관리";#N/A,#N/A,TRUE,"품질"}</definedName>
    <definedName name="L" hidden="1">{#N/A,#N/A,TRUE,"자재관리";#N/A,#N/A,TRUE,"품질"}</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localSheetId="2" hidden="1">{#N/A,#N/A,FALSE,"자재관리";#N/A,#N/A,FALSE,"자재관리";#N/A,#N/A,FALSE,"자재관리"}</definedName>
    <definedName name="MC" hidden="1">{#N/A,#N/A,FALSE,"자재관리";#N/A,#N/A,FALSE,"자재관리";#N/A,#N/A,FALSE,"자재관리"}</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2" hidden="1">{#N/A,#N/A,FALSE,"자재관리";#N/A,#N/A,FALSE,"자재관리";#N/A,#N/A,FALSE,"자재관리"}</definedName>
    <definedName name="Neotech" hidden="1">{#N/A,#N/A,FALSE,"자재관리";#N/A,#N/A,FALSE,"자재관리";#N/A,#N/A,FALSE,"자재관리"}</definedName>
    <definedName name="NEWNAME" localSheetId="2" hidden="1">{#N/A,#N/A,FALSE,"CCTV"}</definedName>
    <definedName name="NEWNAME" hidden="1">{#N/A,#N/A,FALSE,"CCTV"}</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localSheetId="2" hidden="1">{#N/A,#N/A,FALSE,"자재관리";#N/A,#N/A,FALSE,"자재관리";#N/A,#N/A,FALSE,"자재관리"}</definedName>
    <definedName name="OOOOOO" hidden="1">{#N/A,#N/A,FALSE,"자재관리";#N/A,#N/A,FALSE,"자재관리";#N/A,#N/A,FALSE,"자재관리"}</definedName>
    <definedName name="PRESS" localSheetId="2" hidden="1">{"'Sheet1'!$E$23","'Sheet1'!$A$3:$H$19","'Sheet1'!$A$1:$H$19"}</definedName>
    <definedName name="PRESS" hidden="1">{"'Sheet1'!$E$23","'Sheet1'!$A$3:$H$19","'Sheet1'!$A$1:$H$19"}</definedName>
    <definedName name="press1" localSheetId="2" hidden="1">{"'Sheet1'!$E$23","'Sheet1'!$A$3:$H$19","'Sheet1'!$A$1:$H$19"}</definedName>
    <definedName name="press1" hidden="1">{"'Sheet1'!$E$23","'Sheet1'!$A$3:$H$19","'Sheet1'!$A$1:$H$19"}</definedName>
    <definedName name="_xlnm.Print_Area">#REF!</definedName>
    <definedName name="_xlnm.Print_Titles">#REF!,#REF!</definedName>
    <definedName name="Q" localSheetId="2" hidden="1">{#N/A,#N/A,FALSE,"자재관리";#N/A,#N/A,FALSE,"자재관리";#N/A,#N/A,FALSE,"자재관리"}</definedName>
    <definedName name="Q" hidden="1">{#N/A,#N/A,FALSE,"자재관리";#N/A,#N/A,FALSE,"자재관리";#N/A,#N/A,FALSE,"자재관리"}</definedName>
    <definedName name="qqq" localSheetId="2" hidden="1">{#N/A,#N/A,FALSE,"전력간선"}</definedName>
    <definedName name="qqq" hidden="1">{#N/A,#N/A,FALSE,"전력간선"}</definedName>
    <definedName name="QQQW" localSheetId="2" hidden="1">{#N/A,#N/A,FALSE,"전력간선"}</definedName>
    <definedName name="QQQW" hidden="1">{#N/A,#N/A,FALSE,"전력간선"}</definedName>
    <definedName name="ret" localSheetId="2" hidden="1">{#N/A,#N/A,FALSE,"전력간선"}</definedName>
    <definedName name="ret" hidden="1">{#N/A,#N/A,FALSE,"전력간선"}</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2" hidden="1">{#N/A,#N/A,FALSE,"전력간선"}</definedName>
    <definedName name="RIRI" hidden="1">{#N/A,#N/A,FALSE,"전력간선"}</definedName>
    <definedName name="RK" hidden="1">[3]수량산출!#REF!</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2" hidden="1">{#N/A,#N/A,FALSE,"전력간선"}</definedName>
    <definedName name="rr" hidden="1">{#N/A,#N/A,FALSE,"전력간선"}</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2" hidden="1">{#N/A,#N/A,TRUE,"자재관리";#N/A,#N/A,TRUE,"품질"}</definedName>
    <definedName name="rthyetyuety" hidden="1">{#N/A,#N/A,TRUE,"자재관리";#N/A,#N/A,TRUE,"품질"}</definedName>
    <definedName name="SD" localSheetId="2" hidden="1">{#N/A,#N/A,FALSE,"자재관리";#N/A,#N/A,FALSE,"자재관리";#N/A,#N/A,FALSE,"자재관리"}</definedName>
    <definedName name="SD" hidden="1">{#N/A,#N/A,FALSE,"자재관리";#N/A,#N/A,FALSE,"자재관리";#N/A,#N/A,FALSE,"자재관리"}</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localSheetId="2" hidden="1">{#N/A,#N/A,FALSE,"전력간선"}</definedName>
    <definedName name="sss" hidden="1">{#N/A,#N/A,FALSE,"전력간선"}</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2" hidden="1">{#N/A,#N/A,TRUE,"자재관리";#N/A,#N/A,TRUE,"품질"}</definedName>
    <definedName name="t" hidden="1">{#N/A,#N/A,TRUE,"자재관리";#N/A,#N/A,TRUE,"품질"}</definedName>
    <definedName name="tka" localSheetId="2" hidden="1">{#N/A,#N/A,FALSE,"전력간선"}</definedName>
    <definedName name="tka" hidden="1">{#N/A,#N/A,FALSE,"전력간선"}</definedName>
    <definedName name="TTTT" hidden="1">#REF!</definedName>
    <definedName name="uwehdiueih" localSheetId="2" hidden="1">{#N/A,#N/A,FALSE,"자재관리";#N/A,#N/A,FALSE,"자재관리";#N/A,#N/A,FALSE,"자재관리"}</definedName>
    <definedName name="uwehdiueih" hidden="1">{#N/A,#N/A,FALSE,"자재관리";#N/A,#N/A,FALSE,"자재관리";#N/A,#N/A,FALSE,"자재관리"}</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2" hidden="1">{#N/A,#N/A,FALSE,"CCTV"}</definedName>
    <definedName name="WJDEHDRHS" hidden="1">{#N/A,#N/A,FALSE,"CCTV"}</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2" hidden="1">{#N/A,#N/A,FALSE,"CCTV"}</definedName>
    <definedName name="WRITE"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2" hidden="1">{#N/A,#N/A,FALSE,"자재관리";#N/A,#N/A,FALSE,"자재관리";#N/A,#N/A,FALSE,"자재관리"}</definedName>
    <definedName name="wrn.6월._.자재관리._.현황." hidden="1">{#N/A,#N/A,FALSE,"자재관리";#N/A,#N/A,FALSE,"자재관리";#N/A,#N/A,FALSE,"자재관리"}</definedName>
    <definedName name="wrn.abc." localSheetId="2" hidden="1">{#N/A,#N/A,TRUE,"천상그린44PY"}</definedName>
    <definedName name="wrn.abc." hidden="1">{#N/A,#N/A,TRUE,"천상그린44PY"}</definedName>
    <definedName name="wrn.ac30prn." localSheetId="2"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2" hidden="1">{#N/A,#N/A,FALSE,"CCTV"}</definedName>
    <definedName name="wrn.BM." hidden="1">{#N/A,#N/A,FALSE,"CCTV"}</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2" hidden="1">{#N/A,#N/A,FALSE,"전력간선"}</definedName>
    <definedName name="wrn.교육청." hidden="1">{#N/A,#N/A,FALSE,"전력간선"}</definedName>
    <definedName name="wrn.기성." localSheetId="2" hidden="1">{#N/A,#N/A,FALSE,"신청통보";#N/A,#N/A,FALSE,"기성확인서";#N/A,#N/A,FALSE,"기성내역서"}</definedName>
    <definedName name="wrn.기성." hidden="1">{#N/A,#N/A,FALSE,"신청통보";#N/A,#N/A,FALSE,"기성확인서";#N/A,#N/A,FALSE,"기성내역서"}</definedName>
    <definedName name="wrn.기초." localSheetId="2"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2" hidden="1">{#N/A,#N/A,TRUE,"자재관리";#N/A,#N/A,TRUE,"품질"}</definedName>
    <definedName name="wrn.보고서." hidden="1">{#N/A,#N/A,TRUE,"자재관리";#N/A,#N/A,TRUE,"품질"}</definedName>
    <definedName name="wrn.보일러마감." localSheetId="2"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2"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2" hidden="1">{#N/A,#N/A,FALSE,"신청통보";#N/A,#N/A,FALSE,"기성확인서";#N/A,#N/A,FALSE,"기성내역서"}</definedName>
    <definedName name="wrn.외주기성." hidden="1">{#N/A,#N/A,FALSE,"신청통보";#N/A,#N/A,FALSE,"기성확인서";#N/A,#N/A,FALSE,"기성내역서"}</definedName>
    <definedName name="wrn.일위대가." localSheetId="2" hidden="1">{#N/A,#N/A,TRUE,"대가1"}</definedName>
    <definedName name="wrn.일위대가." hidden="1">{#N/A,#N/A,TRUE,"대가1"}</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2" hidden="1">{#N/A,#N/A,TRUE,"자재관리";#N/A,#N/A,TRUE,"품질"}</definedName>
    <definedName name="X" hidden="1">{#N/A,#N/A,TRUE,"자재관리";#N/A,#N/A,TRUE,"품질"}</definedName>
    <definedName name="yy" localSheetId="2" hidden="1">{#N/A,#N/A,FALSE,"전력간선"}</definedName>
    <definedName name="yy" hidden="1">{#N/A,#N/A,FALSE,"전력간선"}</definedName>
    <definedName name="YY0" localSheetId="2" hidden="1">{#N/A,#N/A,FALSE,"전력간선"}</definedName>
    <definedName name="YY0" hidden="1">{#N/A,#N/A,FALSE,"전력간선"}</definedName>
    <definedName name="yyy" hidden="1">[4]수량산출!$A$1:$A$8561</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2" hidden="1">{#N/A,#N/A,FALSE,"CCTV"}</definedName>
    <definedName name="가스" hidden="1">{#N/A,#N/A,FALSE,"CCTV"}</definedName>
    <definedName name="가스실행내역" localSheetId="2" hidden="1">{#N/A,#N/A,FALSE,"전력간선"}</definedName>
    <definedName name="가스실행내역" hidden="1">{#N/A,#N/A,FALSE,"전력간선"}</definedName>
    <definedName name="가실" localSheetId="2" hidden="1">{#N/A,#N/A,FALSE,"전력간선"}</definedName>
    <definedName name="가실" hidden="1">{#N/A,#N/A,FALSE,"전력간선"}</definedName>
    <definedName name="가아" hidden="1">[5]수량산출!#REF!</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[6]수량산출!$A$3:$H$8539</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'[7]내역서1999.8최종'!$A$1:$A$2438</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2" hidden="1">{#N/A,#N/A,FALSE,"도급대비시행율";#N/A,#N/A,FALSE,"결의서";#N/A,#N/A,FALSE,"내역서";#N/A,#N/A,FALSE,"도급예상"}</definedName>
    <definedName name="경수" hidden="1">{#N/A,#N/A,FALSE,"도급대비시행율";#N/A,#N/A,FALSE,"결의서";#N/A,#N/A,FALSE,"내역서";#N/A,#N/A,FALSE,"도급예상"}</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2" hidden="1">{#N/A,#N/A,FALSE,"자재관리";#N/A,#N/A,FALSE,"자재관리";#N/A,#N/A,FALSE,"자재관리"}</definedName>
    <definedName name="경영목표2" hidden="1">{#N/A,#N/A,FALSE,"자재관리";#N/A,#N/A,FALSE,"자재관리";#N/A,#N/A,FALSE,"자재관리"}</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localSheetId="2" hidden="1">{#N/A,#N/A,FALSE,"CCTV"}</definedName>
    <definedName name="공내역" hidden="1">{#N/A,#N/A,FALSE,"CCTV"}</definedName>
    <definedName name="공문" localSheetId="2" hidden="1">{#N/A,#N/A,FALSE,"자재관리";#N/A,#N/A,FALSE,"자재관리";#N/A,#N/A,FALSE,"자재관리"}</definedName>
    <definedName name="공문" hidden="1">{#N/A,#N/A,FALSE,"자재관리";#N/A,#N/A,FALSE,"자재관리";#N/A,#N/A,FALSE,"자재관리"}</definedName>
    <definedName name="공문1" localSheetId="2" hidden="1">{#N/A,#N/A,FALSE,"자재관리";#N/A,#N/A,FALSE,"자재관리";#N/A,#N/A,FALSE,"자재관리"}</definedName>
    <definedName name="공문1" hidden="1">{#N/A,#N/A,FALSE,"자재관리";#N/A,#N/A,FALSE,"자재관리";#N/A,#N/A,FALSE,"자재관리"}</definedName>
    <definedName name="공장동" hidden="1">#REF!</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localSheetId="2" hidden="1">{#N/A,#N/A,FALSE,"신청통보";#N/A,#N/A,FALSE,"기성확인서";#N/A,#N/A,FALSE,"기성내역서"}</definedName>
    <definedName name="구자관" hidden="1">{#N/A,#N/A,FALSE,"신청통보";#N/A,#N/A,FALSE,"기성확인서";#N/A,#N/A,FALSE,"기성내역서"}</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2" hidden="1">{#N/A,#N/A,TRUE,"자재관리";#N/A,#N/A,TRUE,"품질"}</definedName>
    <definedName name="기" hidden="1">{#N/A,#N/A,TRUE,"자재관리";#N/A,#N/A,TRUE,"품질"}</definedName>
    <definedName name="기계단가1" localSheetId="2" hidden="1">{#N/A,#N/A,FALSE,"전력간선"}</definedName>
    <definedName name="기계단가1" hidden="1">{#N/A,#N/A,FALSE,"전력간선"}</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2" hidden="1">{#N/A,#N/A,TRUE,"자재관리";#N/A,#N/A,TRUE,"품질"}</definedName>
    <definedName name="ㄴ" hidden="1">{#N/A,#N/A,TRUE,"자재관리";#N/A,#N/A,TRUE,"품질"}</definedName>
    <definedName name="ㄴㄴㄴ" localSheetId="2" hidden="1">{#N/A,#N/A,FALSE,"자재관리";#N/A,#N/A,FALSE,"자재관리";#N/A,#N/A,FALSE,"자재관리"}</definedName>
    <definedName name="ㄴㄴㄴ" hidden="1">{#N/A,#N/A,FALSE,"자재관리";#N/A,#N/A,FALSE,"자재관리";#N/A,#N/A,FALSE,"자재관리"}</definedName>
    <definedName name="ㄴㄴㄴㄴ" hidden="1">#REF!</definedName>
    <definedName name="ㄴㄴㄴㄴㄴ" localSheetId="2" hidden="1">{#N/A,#N/A,TRUE,"자재관리";#N/A,#N/A,TRUE,"품질"}</definedName>
    <definedName name="ㄴㄴㄴㄴㄴ" hidden="1">{#N/A,#N/A,TRUE,"자재관리";#N/A,#N/A,TRUE,"품질"}</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2" hidden="1">{#N/A,#N/A,FALSE,"자재관리";#N/A,#N/A,FALSE,"자재관리";#N/A,#N/A,FALSE,"자재관리"}</definedName>
    <definedName name="ㄴㅁㅁㅁ" hidden="1">{#N/A,#N/A,FALSE,"자재관리";#N/A,#N/A,FALSE,"자재관리";#N/A,#N/A,FALSE,"자재관리"}</definedName>
    <definedName name="ㄴㅌㄴㅌ" localSheetId="2" hidden="1">{#N/A,#N/A,FALSE,"CCTV"}</definedName>
    <definedName name="ㄴㅌㄴㅌ" hidden="1">{#N/A,#N/A,FALSE,"CCTV"}</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2" hidden="1">{#N/A,#N/A,FALSE,"CCTV"}</definedName>
    <definedName name="내역" hidden="1">{#N/A,#N/A,FALSE,"CCTV"}</definedName>
    <definedName name="내역점검" localSheetId="2" hidden="1">{#N/A,#N/A,FALSE,"전력간선"}</definedName>
    <definedName name="내역점검" hidden="1">{#N/A,#N/A,FALSE,"전력간선"}</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2" hidden="1">{#N/A,#N/A,FALSE,"전력간선"}</definedName>
    <definedName name="단가산출서" hidden="1">{#N/A,#N/A,FALSE,"전력간선"}</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localSheetId="2" hidden="1">{#N/A,#N/A,FALSE,"도급대비시행율";#N/A,#N/A,FALSE,"결의서";#N/A,#N/A,FALSE,"내역서";#N/A,#N/A,FALSE,"도급예상"}</definedName>
    <definedName name="러헐" hidden="1">{#N/A,#N/A,FALSE,"도급대비시행율";#N/A,#N/A,FALSE,"결의서";#N/A,#N/A,FALSE,"내역서";#N/A,#N/A,FALSE,"도급예상"}</definedName>
    <definedName name="럭키" localSheetId="2" hidden="1">{#N/A,#N/A,FALSE,"전력간선"}</definedName>
    <definedName name="럭키" hidden="1">{#N/A,#N/A,FALSE,"전력간선"}</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2" hidden="1">{#N/A,#N/A,FALSE,"자재관리";#N/A,#N/A,FALSE,"자재관리";#N/A,#N/A,FALSE,"자재관리"}</definedName>
    <definedName name="ㅁ" hidden="1">{#N/A,#N/A,FALSE,"자재관리";#N/A,#N/A,FALSE,"자재관리";#N/A,#N/A,FALSE,"자재관리"}</definedName>
    <definedName name="ㅁㄱㄷ" localSheetId="2" hidden="1">{#N/A,#N/A,FALSE,"자재관리";#N/A,#N/A,FALSE,"자재관리";#N/A,#N/A,FALSE,"자재관리"}</definedName>
    <definedName name="ㅁㄱㄷ" hidden="1">{#N/A,#N/A,FALSE,"자재관리";#N/A,#N/A,FALSE,"자재관리";#N/A,#N/A,FALSE,"자재관리"}</definedName>
    <definedName name="ㅁㅁ" localSheetId="2" hidden="1">{#N/A,#N/A,FALSE,"전력간선"}</definedName>
    <definedName name="ㅁㅁ" hidden="1">{#N/A,#N/A,FALSE,"전력간선"}</definedName>
    <definedName name="ㅁㅇ" localSheetId="2" hidden="1">{#N/A,#N/A,FALSE,"자재관리";#N/A,#N/A,FALSE,"자재관리";#N/A,#N/A,FALSE,"자재관리"}</definedName>
    <definedName name="ㅁㅇ" hidden="1">{#N/A,#N/A,FALSE,"자재관리";#N/A,#N/A,FALSE,"자재관리";#N/A,#N/A,FALSE,"자재관리"}</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2" hidden="1">{#N/A,#N/A,FALSE,"전력간선"}</definedName>
    <definedName name="명신" hidden="1">{#N/A,#N/A,FALSE,"전력간선"}</definedName>
    <definedName name="목표" localSheetId="2" hidden="1">{#N/A,#N/A,FALSE,"자재관리";#N/A,#N/A,FALSE,"자재관리";#N/A,#N/A,FALSE,"자재관리"}</definedName>
    <definedName name="목표" hidden="1">{#N/A,#N/A,FALSE,"자재관리";#N/A,#N/A,FALSE,"자재관리";#N/A,#N/A,FALSE,"자재관리"}</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2" hidden="1">{#N/A,#N/A,FALSE,"전력간선"}</definedName>
    <definedName name="ㅂ" hidden="1">{#N/A,#N/A,FALSE,"전력간선"}</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2" hidden="1">{#N/A,#N/A,FALSE,"자재관리";#N/A,#N/A,FALSE,"자재관리";#N/A,#N/A,FALSE,"자재관리"}</definedName>
    <definedName name="ㅅ" hidden="1">{#N/A,#N/A,FALSE,"자재관리";#N/A,#N/A,FALSE,"자재관리";#N/A,#N/A,FALSE,"자재관리"}</definedName>
    <definedName name="ㅅㅅ" hidden="1">#REF!</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2" hidden="1">{#N/A,#N/A,FALSE,"자재관리";#N/A,#N/A,FALSE,"자재관리";#N/A,#N/A,FALSE,"자재관리"}</definedName>
    <definedName name="서원열" hidden="1">{#N/A,#N/A,FALSE,"자재관리";#N/A,#N/A,FALSE,"자재관리";#N/A,#N/A,FALSE,"자재관리"}</definedName>
    <definedName name="서원영" localSheetId="2" hidden="1">{#N/A,#N/A,FALSE,"자재관리";#N/A,#N/A,FALSE,"자재관리";#N/A,#N/A,FALSE,"자재관리"}</definedName>
    <definedName name="서원영" hidden="1">{#N/A,#N/A,FALSE,"자재관리";#N/A,#N/A,FALSE,"자재관리";#N/A,#N/A,FALSE,"자재관리"}</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2" hidden="1">{#N/A,#N/A,FALSE,"자재관리";#N/A,#N/A,FALSE,"자재관리";#N/A,#N/A,FALSE,"자재관리"}</definedName>
    <definedName name="세현" hidden="1">{#N/A,#N/A,FALSE,"자재관리";#N/A,#N/A,FALSE,"자재관리";#N/A,#N/A,FALSE,"자재관리"}</definedName>
    <definedName name="소화갑지" localSheetId="2" hidden="1">{#N/A,#N/A,FALSE,"CCTV"}</definedName>
    <definedName name="소화갑지" hidden="1">{#N/A,#N/A,FALSE,"CCTV"}</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2" hidden="1">{#N/A,#N/A,TRUE,"자재관리";#N/A,#N/A,TRUE,"품질"}</definedName>
    <definedName name="ㅇ" hidden="1">{#N/A,#N/A,TRUE,"자재관리";#N/A,#N/A,TRUE,"품질"}</definedName>
    <definedName name="ㅇㄴㅇㄴ" localSheetId="2" hidden="1">{#N/A,#N/A,FALSE,"CCTV"}</definedName>
    <definedName name="ㅇㄴㅇㄴ" hidden="1">{#N/A,#N/A,FALSE,"CCTV"}</definedName>
    <definedName name="ㅇㄹㅇㄹ" hidden="1">#REF!</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2"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2" hidden="1">{#N/A,#N/A,FALSE,"자재관리";#N/A,#N/A,FALSE,"자재관리";#N/A,#N/A,FALSE,"자재관리"}</definedName>
    <definedName name="ㅇㅇㄹㄴㅁㄹ" hidden="1">{#N/A,#N/A,FALSE,"자재관리";#N/A,#N/A,FALSE,"자재관리";#N/A,#N/A,FALSE,"자재관리"}</definedName>
    <definedName name="ㅇㅇㅇㅇㅇ" localSheetId="2" hidden="1">{#N/A,#N/A,TRUE,"자재관리";#N/A,#N/A,TRUE,"품질"}</definedName>
    <definedName name="ㅇㅇㅇㅇㅇ" hidden="1">{#N/A,#N/A,TRUE,"자재관리";#N/A,#N/A,TRUE,"품질"}</definedName>
    <definedName name="아" localSheetId="2" hidden="1">{#N/A,#N/A,FALSE,"자재관리";#N/A,#N/A,FALSE,"자재관리";#N/A,#N/A,FALSE,"자재관리"}</definedName>
    <definedName name="아" hidden="1">{#N/A,#N/A,FALSE,"자재관리";#N/A,#N/A,FALSE,"자재관리";#N/A,#N/A,FALSE,"자재관리"}</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2" hidden="1">{#N/A,#N/A,FALSE,"자재관리";#N/A,#N/A,FALSE,"자재관리";#N/A,#N/A,FALSE,"자재관리"}</definedName>
    <definedName name="아이템별투자" hidden="1">{#N/A,#N/A,FALSE,"자재관리";#N/A,#N/A,FALSE,"자재관리";#N/A,#N/A,FALSE,"자재관리"}</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localSheetId="2" hidden="1">{#N/A,#N/A,FALSE,"자재관리";#N/A,#N/A,FALSE,"자재관리";#N/A,#N/A,FALSE,"자재관리"}</definedName>
    <definedName name="앙" hidden="1">{#N/A,#N/A,FALSE,"자재관리";#N/A,#N/A,FALSE,"자재관리";#N/A,#N/A,FALSE,"자재관리"}</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2" hidden="1">{#N/A,#N/A,FALSE,"자재관리";#N/A,#N/A,FALSE,"자재관리";#N/A,#N/A,FALSE,"자재관리"}</definedName>
    <definedName name="양" hidden="1">{#N/A,#N/A,FALSE,"자재관리";#N/A,#N/A,FALSE,"자재관리";#N/A,#N/A,FALSE,"자재관리"}</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2"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2" hidden="1">{#N/A,#N/A,TRUE,"자재관리";#N/A,#N/A,TRUE,"품질"}</definedName>
    <definedName name="업소용" hidden="1">{#N/A,#N/A,TRUE,"자재관리";#N/A,#N/A,TRUE,"품질"}</definedName>
    <definedName name="업소용생산1팀" localSheetId="2" hidden="1">{#N/A,#N/A,FALSE,"자재관리";#N/A,#N/A,FALSE,"자재관리";#N/A,#N/A,FALSE,"자재관리"}</definedName>
    <definedName name="업소용생산1팀" hidden="1">{#N/A,#N/A,FALSE,"자재관리";#N/A,#N/A,FALSE,"자재관리";#N/A,#N/A,FALSE,"자재관리"}</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2" hidden="1">{#N/A,#N/A,FALSE,"전력간선"}</definedName>
    <definedName name="염" hidden="1">{#N/A,#N/A,FALSE,"전력간선"}</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2" hidden="1">{#N/A,#N/A,FALSE,"전력간선"}</definedName>
    <definedName name="영조" hidden="1">{#N/A,#N/A,FALSE,"전력간선"}</definedName>
    <definedName name="예상도급내역" localSheetId="2" hidden="1">{#N/A,#N/A,FALSE,"CCTV"}</definedName>
    <definedName name="예상도급내역" hidden="1">{#N/A,#N/A,FALSE,"CCTV"}</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localSheetId="2" hidden="1">{#N/A,#N/A,FALSE,"자재관리";#N/A,#N/A,FALSE,"자재관리";#N/A,#N/A,FALSE,"자재관리"}</definedName>
    <definedName name="우인보고표지" hidden="1">{#N/A,#N/A,FALSE,"자재관리";#N/A,#N/A,FALSE,"자재관리";#N/A,#N/A,FALSE,"자재관리"}</definedName>
    <definedName name="우인표지" localSheetId="2" hidden="1">{#N/A,#N/A,TRUE,"자재관리";#N/A,#N/A,TRUE,"품질"}</definedName>
    <definedName name="우인표지" hidden="1">{#N/A,#N/A,TRUE,"자재관리";#N/A,#N/A,TRUE,"품질"}</definedName>
    <definedName name="원가TABLE" localSheetId="2" hidden="1">{#N/A,#N/A,TRUE,"자재관리";#N/A,#N/A,TRUE,"품질"}</definedName>
    <definedName name="원가TABLE" hidden="1">{#N/A,#N/A,TRUE,"자재관리";#N/A,#N/A,TRUE,"품질"}</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2" hidden="1">{#N/A,#N/A,FALSE,"도급대비시행율";#N/A,#N/A,FALSE,"결의서";#N/A,#N/A,FALSE,"내역서";#N/A,#N/A,FALSE,"도급예상"}</definedName>
    <definedName name="을" hidden="1">{#N/A,#N/A,FALSE,"도급대비시행율";#N/A,#N/A,FALSE,"결의서";#N/A,#N/A,FALSE,"내역서";#N/A,#N/A,FALSE,"도급예상"}</definedName>
    <definedName name="이" localSheetId="2" hidden="1">{#N/A,#N/A,FALSE,"자재관리";#N/A,#N/A,FALSE,"자재관리";#N/A,#N/A,FALSE,"자재관리"}</definedName>
    <definedName name="이" hidden="1">{#N/A,#N/A,FALSE,"자재관리";#N/A,#N/A,FALSE,"자재관리";#N/A,#N/A,FALSE,"자재관리"}</definedName>
    <definedName name="이름" localSheetId="2" hidden="1">{#N/A,#N/A,FALSE,"전력간선"}</definedName>
    <definedName name="이름" hidden="1">{#N/A,#N/A,FALSE,"전력간선"}</definedName>
    <definedName name="이봉해" localSheetId="2" hidden="1">{#N/A,#N/A,FALSE,"자재관리";#N/A,#N/A,FALSE,"자재관리";#N/A,#N/A,FALSE,"자재관리"}</definedName>
    <definedName name="이봉해" hidden="1">{#N/A,#N/A,FALSE,"자재관리";#N/A,#N/A,FALSE,"자재관리";#N/A,#N/A,FALSE,"자재관리"}</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2" hidden="1">{#N/A,#N/A,FALSE,"도급대비시행율";#N/A,#N/A,FALSE,"결의서";#N/A,#N/A,FALSE,"내역서";#N/A,#N/A,FALSE,"도급예상"}</definedName>
    <definedName name="일" hidden="1">{#N/A,#N/A,FALSE,"도급대비시행율";#N/A,#N/A,FALSE,"결의서";#N/A,#N/A,FALSE,"내역서";#N/A,#N/A,FALSE,"도급예상"}</definedName>
    <definedName name="ㅈ" localSheetId="2" hidden="1">{#N/A,#N/A,FALSE,"자재관리";#N/A,#N/A,FALSE,"자재관리";#N/A,#N/A,FALSE,"자재관리"}</definedName>
    <definedName name="ㅈ" hidden="1">{#N/A,#N/A,FALSE,"자재관리";#N/A,#N/A,FALSE,"자재관리";#N/A,#N/A,FALSE,"자재관리"}</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2" hidden="1">{#N/A,#N/A,FALSE,"자재관리";#N/A,#N/A,FALSE,"자재관리";#N/A,#N/A,FALSE,"자재관리"}</definedName>
    <definedName name="재료" hidden="1">{#N/A,#N/A,FALSE,"자재관리";#N/A,#N/A,FALSE,"자재관리";#N/A,#N/A,FALSE,"자재관리"}</definedName>
    <definedName name="재료비1" localSheetId="2" hidden="1">{#N/A,#N/A,FALSE,"자재관리";#N/A,#N/A,FALSE,"자재관리";#N/A,#N/A,FALSE,"자재관리"}</definedName>
    <definedName name="재료비1" hidden="1">{#N/A,#N/A,FALSE,"자재관리";#N/A,#N/A,FALSE,"자재관리";#N/A,#N/A,FALSE,"자재관리"}</definedName>
    <definedName name="전기" localSheetId="2" hidden="1">{#N/A,#N/A,FALSE,"전력간선"}</definedName>
    <definedName name="전기" hidden="1">{#N/A,#N/A,FALSE,"전력간선"}</definedName>
    <definedName name="전년" localSheetId="2" hidden="1">{#N/A,#N/A,FALSE,"자재관리";#N/A,#N/A,FALSE,"자재관리";#N/A,#N/A,FALSE,"자재관리"}</definedName>
    <definedName name="전년" hidden="1">{#N/A,#N/A,FALSE,"자재관리";#N/A,#N/A,FALSE,"자재관리";#N/A,#N/A,FALSE,"자재관리"}</definedName>
    <definedName name="전년월" localSheetId="2" hidden="1">{#N/A,#N/A,FALSE,"자재관리";#N/A,#N/A,FALSE,"자재관리";#N/A,#N/A,FALSE,"자재관리"}</definedName>
    <definedName name="전년월" hidden="1">{#N/A,#N/A,FALSE,"자재관리";#N/A,#N/A,FALSE,"자재관리";#N/A,#N/A,FALSE,"자재관리"}</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2" hidden="1">{#N/A,#N/A,FALSE,"CCTV"}</definedName>
    <definedName name="정화조" hidden="1">{#N/A,#N/A,FALSE,"CCTV"}</definedName>
    <definedName name="조정내역2" localSheetId="2" hidden="1">{#N/A,#N/A,FALSE,"전력간선"}</definedName>
    <definedName name="조정내역2" hidden="1">{#N/A,#N/A,FALSE,"전력간선"}</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2" hidden="1">{#N/A,#N/A,FALSE,"자재관리";#N/A,#N/A,FALSE,"자재관리";#N/A,#N/A,FALSE,"자재관리"}</definedName>
    <definedName name="진우1" hidden="1">{#N/A,#N/A,FALSE,"자재관리";#N/A,#N/A,FALSE,"자재관리";#N/A,#N/A,FALSE,"자재관리"}</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localSheetId="2" hidden="1">{#N/A,#N/A,FALSE,"전력간선"}</definedName>
    <definedName name="최종갑지1" hidden="1">{#N/A,#N/A,FALSE,"전력간선"}</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2"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2" hidden="1">{#N/A,#N/A,FALSE,"자재관리";#N/A,#N/A,FALSE,"자재관리";#N/A,#N/A,FALSE,"자재관리"}</definedName>
    <definedName name="투자및자재" hidden="1">{#N/A,#N/A,FALSE,"자재관리";#N/A,#N/A,FALSE,"자재관리";#N/A,#N/A,FALSE,"자재관리"}</definedName>
    <definedName name="투자비내역" localSheetId="2" hidden="1">{#N/A,#N/A,TRUE,"자재관리";#N/A,#N/A,TRUE,"품질"}</definedName>
    <definedName name="투자비내역" hidden="1">{#N/A,#N/A,TRUE,"자재관리";#N/A,#N/A,TRUE,"품질"}</definedName>
    <definedName name="팀별" localSheetId="2" hidden="1">{#N/A,#N/A,FALSE,"자재관리";#N/A,#N/A,FALSE,"자재관리";#N/A,#N/A,FALSE,"자재관리"}</definedName>
    <definedName name="팀별" hidden="1">{#N/A,#N/A,FALSE,"자재관리";#N/A,#N/A,FALSE,"자재관리";#N/A,#N/A,FALSE,"자재관리"}</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2" hidden="1">{#N/A,#N/A,FALSE,"자재관리";#N/A,#N/A,FALSE,"자재관리";#N/A,#N/A,FALSE,"자재관리"}</definedName>
    <definedName name="표지1" hidden="1">{#N/A,#N/A,FALSE,"자재관리";#N/A,#N/A,FALSE,"자재관리";#N/A,#N/A,FALSE,"자재관리"}</definedName>
    <definedName name="ㅎ" localSheetId="2" hidden="1">{#N/A,#N/A,TRUE,"자재관리";#N/A,#N/A,TRUE,"품질"}</definedName>
    <definedName name="ㅎ" hidden="1">{#N/A,#N/A,TRUE,"자재관리";#N/A,#N/A,TRUE,"품질"}</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2" hidden="1">{#N/A,#N/A,FALSE,"CCTV"}</definedName>
    <definedName name="ㅎㅀㅀㅀㅀㄹ" hidden="1">{#N/A,#N/A,FALSE,"CCTV"}</definedName>
    <definedName name="하행터널" localSheetId="2" hidden="1">{#N/A,#N/A,TRUE,"대가1"}</definedName>
    <definedName name="하행터널" hidden="1">{#N/A,#N/A,TRUE,"대가1"}</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2" hidden="1">{#N/A,#N/A,FALSE,"전력간선"}</definedName>
    <definedName name="현설자재수량검토" hidden="1">{#N/A,#N/A,FALSE,"전력간선"}</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localSheetId="2" hidden="1">{"'Sheet1'!$E$23","'Sheet1'!$A$3:$H$19","'Sheet1'!$A$1:$H$19"}</definedName>
    <definedName name="ㅏㅏㅏ" hidden="1">{"'Sheet1'!$E$23","'Sheet1'!$A$3:$H$19","'Sheet1'!$A$1:$H$19"}</definedName>
    <definedName name="ㅏㅓㅏ" localSheetId="2"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2" hidden="1">{#N/A,#N/A,FALSE,"전력간선"}</definedName>
    <definedName name="ㅏㅓㅗ" hidden="1">{#N/A,#N/A,FALSE,"전력간선"}</definedName>
    <definedName name="ㅓ" localSheetId="2" hidden="1">{#N/A,#N/A,TRUE,"자재관리";#N/A,#N/A,TRUE,"품질"}</definedName>
    <definedName name="ㅓ" hidden="1">{#N/A,#N/A,TRUE,"자재관리";#N/A,#N/A,TRUE,"품질"}</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localSheetId="2" hidden="1">{#N/A,#N/A,FALSE,"자재관리";#N/A,#N/A,FALSE,"자재관리";#N/A,#N/A,FALSE,"자재관리"}</definedName>
    <definedName name="ㅛ" hidden="1">{#N/A,#N/A,FALSE,"자재관리";#N/A,#N/A,FALSE,"자재관리";#N/A,#N/A,FALSE,"자재관리"}</definedName>
    <definedName name="ㅛㅛㅛㅛ" hidden="1">[4]수량산출!$A$1:$A$8561</definedName>
    <definedName name="ㅜ" hidden="1">[6]수량산출!#REF!</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hidden="1">{#N/A,#N/A,FALSE,"CCTV"}</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2"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16" l="1"/>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V26" i="16"/>
  <c r="U26" i="16"/>
  <c r="T26" i="16"/>
  <c r="Q26" i="16"/>
  <c r="P26" i="16"/>
  <c r="U10" i="4"/>
  <c r="S10" i="4"/>
  <c r="Q10" i="4"/>
  <c r="O10" i="4"/>
  <c r="A10" i="4"/>
  <c r="A7" i="10" s="1"/>
  <c r="U9" i="4"/>
  <c r="S9" i="4"/>
  <c r="Q9" i="4"/>
  <c r="O9" i="4"/>
  <c r="A9" i="4"/>
  <c r="A6" i="10" s="1"/>
  <c r="V10" i="4" l="1"/>
  <c r="V9" i="4"/>
  <c r="U8" i="4" l="1"/>
  <c r="S8" i="4"/>
  <c r="Q8" i="4"/>
  <c r="O8" i="4"/>
  <c r="A8" i="4"/>
  <c r="A5" i="10" s="1"/>
  <c r="U7" i="4"/>
  <c r="S7" i="4"/>
  <c r="Q7" i="4"/>
  <c r="O7" i="4"/>
  <c r="A7" i="4"/>
  <c r="A4" i="10" s="1"/>
  <c r="U6" i="4"/>
  <c r="S6" i="4"/>
  <c r="Q6" i="4"/>
  <c r="O6" i="4"/>
  <c r="A6" i="4"/>
  <c r="A3" i="10" s="1"/>
  <c r="U5" i="4"/>
  <c r="S5" i="4"/>
  <c r="Q5" i="4"/>
  <c r="O5" i="4"/>
  <c r="A5" i="4"/>
  <c r="A2" i="10" s="1"/>
  <c r="V8" i="4" l="1"/>
  <c r="V5" i="4"/>
  <c r="V6" i="4"/>
  <c r="V7" i="4"/>
  <c r="U12" i="4" l="1"/>
  <c r="S12" i="4"/>
  <c r="Q12" i="4"/>
  <c r="O12" i="4"/>
  <c r="A12" i="4"/>
  <c r="U11" i="4"/>
  <c r="S11" i="4"/>
  <c r="Q11" i="4"/>
  <c r="O11" i="4"/>
  <c r="A11" i="4"/>
  <c r="A8" i="10" s="1"/>
  <c r="V12" i="4" l="1"/>
  <c r="V11" i="4"/>
  <c r="O24" i="16" l="1"/>
  <c r="O23" i="16"/>
  <c r="O22" i="16"/>
  <c r="O21" i="16"/>
  <c r="O20" i="16"/>
  <c r="O19" i="16"/>
  <c r="O26" i="16" s="1"/>
  <c r="J19" i="16"/>
  <c r="J20" i="16"/>
  <c r="I24" i="16"/>
  <c r="J24" i="16" s="1"/>
  <c r="I23" i="16"/>
  <c r="J23" i="16" s="1"/>
  <c r="I22" i="16"/>
  <c r="J22" i="16" s="1"/>
  <c r="I21" i="16"/>
  <c r="J21" i="16" s="1"/>
  <c r="I20" i="16"/>
  <c r="I19" i="16"/>
  <c r="I17" i="16" l="1"/>
  <c r="J17" i="16" s="1"/>
  <c r="I16" i="16"/>
  <c r="J16" i="16" s="1"/>
  <c r="I15" i="16"/>
  <c r="J15" i="16" s="1"/>
  <c r="I14" i="16"/>
  <c r="J14" i="16" s="1"/>
  <c r="I13" i="16"/>
  <c r="I12" i="16"/>
  <c r="J12" i="16" s="1"/>
  <c r="I11" i="16"/>
  <c r="J11" i="16" s="1"/>
  <c r="I10" i="16"/>
  <c r="J10" i="16" s="1"/>
  <c r="I9" i="16"/>
  <c r="J9" i="16" s="1"/>
  <c r="I8" i="16"/>
  <c r="J8" i="16" s="1"/>
  <c r="I7" i="16"/>
  <c r="J7" i="16" s="1"/>
  <c r="I6" i="16"/>
  <c r="J13" i="16" l="1"/>
  <c r="J26" i="16" s="1"/>
  <c r="I26" i="16"/>
  <c r="J6" i="16"/>
  <c r="F2" i="10" l="1"/>
  <c r="E2" i="10"/>
  <c r="D2" i="10"/>
  <c r="C2" i="10"/>
  <c r="B2" i="10"/>
  <c r="U13" i="4" l="1"/>
  <c r="S13" i="4"/>
  <c r="Q13" i="4" l="1"/>
  <c r="F17" i="5" s="1"/>
  <c r="O13" i="4" l="1"/>
  <c r="F16" i="5" l="1"/>
  <c r="F26" i="5" s="1"/>
  <c r="F18" i="5"/>
  <c r="V13" i="4"/>
  <c r="F19" i="5" l="1"/>
  <c r="F21" i="5"/>
  <c r="F24" i="5"/>
  <c r="F25" i="5"/>
  <c r="F22" i="5"/>
  <c r="F23" i="5" s="1"/>
  <c r="F27" i="5" l="1"/>
  <c r="F28" i="5" s="1"/>
  <c r="F30" i="5" s="1"/>
  <c r="F31" i="5" s="1"/>
  <c r="B1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<sst xmlns="http://schemas.openxmlformats.org/spreadsheetml/2006/main" count="281" uniqueCount="215">
  <si>
    <t>수량</t>
  </si>
  <si>
    <t>견 적 서</t>
    <phoneticPr fontId="14" type="noConversion"/>
  </si>
  <si>
    <t xml:space="preserve">금액: </t>
    <phoneticPr fontId="14" type="noConversion"/>
  </si>
  <si>
    <t>원정</t>
    <phoneticPr fontId="16" type="noConversion"/>
  </si>
  <si>
    <t xml:space="preserve">  </t>
  </si>
  <si>
    <t>NO</t>
  </si>
  <si>
    <t>품명</t>
    <phoneticPr fontId="16" type="noConversion"/>
  </si>
  <si>
    <t>규격</t>
    <phoneticPr fontId="16" type="noConversion"/>
  </si>
  <si>
    <t>수량</t>
    <phoneticPr fontId="16" type="noConversion"/>
  </si>
  <si>
    <t>단위</t>
    <phoneticPr fontId="16" type="noConversion"/>
  </si>
  <si>
    <t>금액</t>
    <phoneticPr fontId="16" type="noConversion"/>
  </si>
  <si>
    <t>비고</t>
    <phoneticPr fontId="16" type="noConversion"/>
  </si>
  <si>
    <t>직접비</t>
    <phoneticPr fontId="14" type="noConversion"/>
  </si>
  <si>
    <t>재료비</t>
    <phoneticPr fontId="14" type="noConversion"/>
  </si>
  <si>
    <t>노무비</t>
    <phoneticPr fontId="16" type="noConversion"/>
  </si>
  <si>
    <t>기계/기타경비</t>
    <phoneticPr fontId="14" type="noConversion"/>
  </si>
  <si>
    <t>소계</t>
    <phoneticPr fontId="14" type="noConversion"/>
  </si>
  <si>
    <t>간접비</t>
    <phoneticPr fontId="14" type="noConversion"/>
  </si>
  <si>
    <t>  국민연금</t>
    <phoneticPr fontId="16" type="noConversion"/>
  </si>
  <si>
    <t> 노무비*4.5%</t>
    <phoneticPr fontId="16" type="noConversion"/>
  </si>
  <si>
    <t>식</t>
    <phoneticPr fontId="16" type="noConversion"/>
  </si>
  <si>
    <t>모든공사에 적용</t>
    <phoneticPr fontId="16" type="noConversion"/>
  </si>
  <si>
    <t>  건강보험료</t>
    <phoneticPr fontId="16" type="noConversion"/>
  </si>
  <si>
    <t>모든공사에 적용</t>
    <phoneticPr fontId="16" type="noConversion"/>
  </si>
  <si>
    <t>  장기요양보험료</t>
    <phoneticPr fontId="16" type="noConversion"/>
  </si>
  <si>
    <t>  고용보험료</t>
    <phoneticPr fontId="16" type="noConversion"/>
  </si>
  <si>
    <t>  산재보험료</t>
    <phoneticPr fontId="16" type="noConversion"/>
  </si>
  <si>
    <t xml:space="preserve">  산업안전보건관리비</t>
    <phoneticPr fontId="16" type="noConversion"/>
  </si>
  <si>
    <t>소계</t>
    <phoneticPr fontId="14" type="noConversion"/>
  </si>
  <si>
    <t>합계(단수조정)</t>
    <phoneticPr fontId="14" type="noConversion"/>
  </si>
  <si>
    <t>VAT별도</t>
    <phoneticPr fontId="16" type="noConversion"/>
  </si>
  <si>
    <t>일반관리비/이윤</t>
    <phoneticPr fontId="16" type="noConversion"/>
  </si>
  <si>
    <t> (노무비+간접공사비)*5%</t>
    <phoneticPr fontId="16" type="noConversion"/>
  </si>
  <si>
    <t>등록번호</t>
    <phoneticPr fontId="10" type="noConversion"/>
  </si>
  <si>
    <t>종 목</t>
    <phoneticPr fontId="10" type="noConversion"/>
  </si>
  <si>
    <t>TEL, FAX</t>
    <phoneticPr fontId="10" type="noConversion"/>
  </si>
  <si>
    <t>상 호</t>
    <phoneticPr fontId="10" type="noConversion"/>
  </si>
  <si>
    <t>대표 이사</t>
    <phoneticPr fontId="10" type="noConversion"/>
  </si>
  <si>
    <t>사업장</t>
    <phoneticPr fontId="10" type="noConversion"/>
  </si>
  <si>
    <t>업 태</t>
    <phoneticPr fontId="10" type="noConversion"/>
  </si>
  <si>
    <t>할증기준</t>
    <phoneticPr fontId="8" type="noConversion"/>
  </si>
  <si>
    <t> 노무비*1.01%</t>
    <phoneticPr fontId="16" type="noConversion"/>
  </si>
  <si>
    <t>단위</t>
  </si>
  <si>
    <t xml:space="preserve"> 수신인 : 주식회사 에스엔아이 코퍼레이션</t>
    <phoneticPr fontId="14" type="noConversion"/>
  </si>
  <si>
    <t> 노무비*3.545%</t>
    <phoneticPr fontId="16" type="noConversion"/>
  </si>
  <si>
    <t> 건강보험료*12.95%</t>
    <phoneticPr fontId="16" type="noConversion"/>
  </si>
  <si>
    <t> 노무비*3.56%</t>
    <phoneticPr fontId="16" type="noConversion"/>
  </si>
  <si>
    <t>314-86-35718</t>
    <phoneticPr fontId="8" type="noConversion"/>
  </si>
  <si>
    <t>㈜일성건축</t>
    <phoneticPr fontId="8" type="noConversion"/>
  </si>
  <si>
    <t>상 석 희</t>
    <phoneticPr fontId="8" type="noConversion"/>
  </si>
  <si>
    <t>대전 서구 도마6길 107 (도마동)</t>
    <phoneticPr fontId="8" type="noConversion"/>
  </si>
  <si>
    <t>건설업</t>
    <phoneticPr fontId="8" type="noConversion"/>
  </si>
  <si>
    <t>실내건축,인테리어공사</t>
    <phoneticPr fontId="8" type="noConversion"/>
  </si>
  <si>
    <t>042)527-0995, 042)527-0996</t>
    <phoneticPr fontId="8" type="noConversion"/>
  </si>
  <si>
    <t>▼낙찰율</t>
    <phoneticPr fontId="10" type="noConversion"/>
  </si>
  <si>
    <t>▶ 표준 Code(표준단가/품셈/물정/노임) 순서별 입력(Upload 자동반영)</t>
    <phoneticPr fontId="8" type="noConversion"/>
  </si>
  <si>
    <t>주요내역</t>
    <phoneticPr fontId="8" type="noConversion"/>
  </si>
  <si>
    <t>재료비</t>
    <phoneticPr fontId="10" type="noConversion"/>
  </si>
  <si>
    <t>노무비</t>
    <phoneticPr fontId="10" type="noConversion"/>
  </si>
  <si>
    <t>기계경비</t>
  </si>
  <si>
    <t>기타경비(부자재비)</t>
  </si>
  <si>
    <t>합계</t>
    <phoneticPr fontId="10" type="noConversion"/>
  </si>
  <si>
    <t>노무비 할증</t>
    <phoneticPr fontId="8" type="noConversion"/>
  </si>
  <si>
    <t>합계</t>
    <phoneticPr fontId="8" type="noConversion"/>
  </si>
  <si>
    <t>표준단가 D</t>
    <phoneticPr fontId="8" type="noConversion"/>
  </si>
  <si>
    <t>표준품셈 E</t>
    <phoneticPr fontId="8" type="noConversion"/>
  </si>
  <si>
    <t>물가정보 M</t>
    <phoneticPr fontId="8" type="noConversion"/>
  </si>
  <si>
    <t>노임단가 L</t>
    <phoneticPr fontId="8" type="noConversion"/>
  </si>
  <si>
    <t>품목</t>
    <phoneticPr fontId="8" type="noConversion"/>
  </si>
  <si>
    <t>규격</t>
    <phoneticPr fontId="8" type="noConversion"/>
  </si>
  <si>
    <t>품셈/표단</t>
    <phoneticPr fontId="8" type="noConversion"/>
  </si>
  <si>
    <t>금액</t>
  </si>
  <si>
    <t>단가</t>
    <phoneticPr fontId="10" type="noConversion"/>
  </si>
  <si>
    <t>단가</t>
  </si>
  <si>
    <t> (재료비+노무비)*3.11%</t>
    <phoneticPr fontId="16" type="noConversion"/>
  </si>
  <si>
    <t>구분</t>
  </si>
  <si>
    <t>표준단가</t>
  </si>
  <si>
    <t>표준품셈</t>
  </si>
  <si>
    <t>물가정보</t>
  </si>
  <si>
    <t>노임단가</t>
  </si>
  <si>
    <t>사택 5동</t>
    <phoneticPr fontId="10" type="noConversion"/>
  </si>
  <si>
    <t>관리소
담당자</t>
    <phoneticPr fontId="10" type="noConversion"/>
  </si>
  <si>
    <t xml:space="preserve">- 문끌림 4개소/ 방충망 7개소/ 신발장 시트지 1개소
- 빨래건조 4개소 /  누수 천장 임시 철거 및 보수 </t>
    <phoneticPr fontId="10" type="noConversion"/>
  </si>
  <si>
    <t>시작</t>
    <phoneticPr fontId="10" type="noConversion"/>
  </si>
  <si>
    <t>종료</t>
    <phoneticPr fontId="10" type="noConversion"/>
  </si>
  <si>
    <t>건물동</t>
    <phoneticPr fontId="10" type="noConversion"/>
  </si>
  <si>
    <t>호실</t>
    <phoneticPr fontId="10" type="noConversion"/>
  </si>
  <si>
    <t>작업지시</t>
    <phoneticPr fontId="10" type="noConversion"/>
  </si>
  <si>
    <t>보수 내용</t>
    <phoneticPr fontId="10" type="noConversion"/>
  </si>
  <si>
    <t xml:space="preserve"> </t>
    <phoneticPr fontId="8" type="noConversion"/>
  </si>
  <si>
    <t>8
9</t>
    <phoneticPr fontId="8" type="noConversion"/>
  </si>
  <si>
    <t>206
303</t>
    <phoneticPr fontId="8" type="noConversion"/>
  </si>
  <si>
    <t>남해원</t>
    <phoneticPr fontId="10" type="noConversion"/>
  </si>
  <si>
    <t>뒤베란다 창고 누수점검 및 실리콘 작업 완료
뒤베란다 창고문 철거 완료
화장실 우측방 입구 바닥 평탄작업 완료
화장실문 시트지 보수 1개소 완료</t>
    <phoneticPr fontId="10" type="noConversion"/>
  </si>
  <si>
    <t>9
102</t>
    <phoneticPr fontId="8" type="noConversion"/>
  </si>
  <si>
    <t>303
201</t>
    <phoneticPr fontId="8" type="noConversion"/>
  </si>
  <si>
    <t>401-6
503-4
504-2
504-5</t>
    <phoneticPr fontId="8" type="noConversion"/>
  </si>
  <si>
    <t>703-3
703-4  
902-3</t>
    <phoneticPr fontId="8" type="noConversion"/>
  </si>
  <si>
    <t>화장실 도어 , 방 도어보수2개소 완료
화장실 도어 , 방 도어보수2개소 완료 
방 도어 보수완료</t>
    <phoneticPr fontId="10" type="noConversion"/>
  </si>
  <si>
    <t>블라인드 설치 완료
방도어 보수완료
뒤베란다 창고 문틀 설치작업
방충망7개소 완료</t>
    <phoneticPr fontId="10" type="noConversion"/>
  </si>
  <si>
    <t>206
703-4  
902-3</t>
    <phoneticPr fontId="8" type="noConversion"/>
  </si>
  <si>
    <t>뒤베란다 창고문 재설치 완료
방충망7개소 완료 
앞베란다 내.외부 실리콘 제거 및 재시공 완료</t>
    <phoneticPr fontId="10" type="noConversion"/>
  </si>
  <si>
    <t>501
401  
303</t>
    <phoneticPr fontId="8" type="noConversion"/>
  </si>
  <si>
    <t>현관문 도어 가스켓 교체 완료
현관문 도어 가스켓 교체 완료
방충망 7개소 완료</t>
    <phoneticPr fontId="10" type="noConversion"/>
  </si>
  <si>
    <t>문보수 1개소 완료, 방충망 7개소 완료
뒤베란다 천장 패임 보수 작업 완료
문보수 1개소 완료</t>
    <phoneticPr fontId="10" type="noConversion"/>
  </si>
  <si>
    <t>방충망 3개소 완료
화장실문 시트지 교체 완료
뒤베란다 벽면 및 바닥 크렉보수,실리콘 작업
문보수 1개소 완료</t>
    <phoneticPr fontId="10" type="noConversion"/>
  </si>
  <si>
    <t>걸레받이 파손 2개소 교체 완료
도어보수 2개소 보수완료
안방 문틀 보수 완료
방충망 3개소 교체 완료</t>
    <phoneticPr fontId="10" type="noConversion"/>
  </si>
  <si>
    <t>방충망 7개소 완료</t>
    <phoneticPr fontId="10" type="noConversion"/>
  </si>
  <si>
    <t>샘플&gt;</t>
    <phoneticPr fontId="10" type="noConversion"/>
  </si>
  <si>
    <t>일성</t>
    <phoneticPr fontId="10" type="noConversion"/>
  </si>
  <si>
    <t>3
(관리제외)</t>
    <phoneticPr fontId="10" type="noConversion"/>
  </si>
  <si>
    <t>1월1일</t>
    <phoneticPr fontId="10" type="noConversion"/>
  </si>
  <si>
    <t>14시30분</t>
    <phoneticPr fontId="10" type="noConversion"/>
  </si>
  <si>
    <t>1월2일</t>
    <phoneticPr fontId="10" type="noConversion"/>
  </si>
  <si>
    <t>15시30분</t>
    <phoneticPr fontId="10" type="noConversion"/>
  </si>
  <si>
    <t>건수</t>
    <phoneticPr fontId="10" type="noConversion"/>
  </si>
  <si>
    <t>업체명</t>
    <phoneticPr fontId="10" type="noConversion"/>
  </si>
  <si>
    <t>일자</t>
    <phoneticPr fontId="10" type="noConversion"/>
  </si>
  <si>
    <t>시간</t>
    <phoneticPr fontId="10" type="noConversion"/>
  </si>
  <si>
    <t>(종료-시간)</t>
    <phoneticPr fontId="10" type="noConversion"/>
  </si>
  <si>
    <t>(인원*작업시간)</t>
    <phoneticPr fontId="10" type="noConversion"/>
  </si>
  <si>
    <t>일성건축</t>
    <phoneticPr fontId="10" type="noConversion"/>
  </si>
  <si>
    <t>표준내역코드</t>
  </si>
  <si>
    <t>세부공종</t>
  </si>
  <si>
    <t>품명</t>
  </si>
  <si>
    <t>규격</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</si>
  <si>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</si>
  <si>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</si>
  <si>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</si>
  <si>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</si>
  <si>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</si>
  <si>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</si>
  <si>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</si>
  <si>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</si>
  <si>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</si>
  <si>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</si>
  <si>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</si>
  <si>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</si>
  <si>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비고</t>
    <phoneticPr fontId="8" type="noConversion"/>
  </si>
  <si>
    <t>근로자 
(직접 서명)</t>
    <phoneticPr fontId="10" type="noConversion"/>
  </si>
  <si>
    <t>자재 내역</t>
    <phoneticPr fontId="8" type="noConversion"/>
  </si>
  <si>
    <t>문보수용 엣지 
필름 구매(10매)
전동 대패날 교체(1set)</t>
    <phoneticPr fontId="8" type="noConversion"/>
  </si>
  <si>
    <t>화장실문 시트지 보수 1개소 완료
안방 걸레받이 들뜸 보수 완료
문보수1개소 완료
거실 걸레받이 2개소 교체 완료</t>
    <phoneticPr fontId="10" type="noConversion"/>
  </si>
  <si>
    <t>특별인부
(시공사 입력)</t>
    <phoneticPr fontId="8" type="noConversion"/>
  </si>
  <si>
    <t>누수 탐지(미래설비)
대기 인원 (일성건축) 
→ 씽크대 철거,원복 하지 않음</t>
    <phoneticPr fontId="10" type="noConversion"/>
  </si>
  <si>
    <t>화장실 도어 보수완료
방 도어 보수완료
화장실 도어 , 방 도어보수2개소 완료
화장실 도어 , 방 도어보수2개소 완료</t>
    <phoneticPr fontId="10" type="noConversion"/>
  </si>
  <si>
    <t>503-4
702-1 
206</t>
    <phoneticPr fontId="8" type="noConversion"/>
  </si>
  <si>
    <t>503
 501</t>
    <phoneticPr fontId="8" type="noConversion"/>
  </si>
  <si>
    <t xml:space="preserve">A </t>
  </si>
  <si>
    <t xml:space="preserve">A 
B </t>
  </si>
  <si>
    <t xml:space="preserve">A 
B 
8 </t>
  </si>
  <si>
    <t xml:space="preserve">8 
9 </t>
  </si>
  <si>
    <t xml:space="preserve">8 
5 </t>
  </si>
  <si>
    <t>작업시간(인당)</t>
    <phoneticPr fontId="8" type="noConversion"/>
  </si>
  <si>
    <t>전체 시간</t>
    <phoneticPr fontId="8" type="noConversion"/>
  </si>
  <si>
    <t>방충망
(개)</t>
    <phoneticPr fontId="8" type="noConversion"/>
  </si>
  <si>
    <t>코킹재
(개)</t>
    <phoneticPr fontId="8" type="noConversion"/>
  </si>
  <si>
    <t>걸레받이
(m)</t>
    <phoneticPr fontId="8" type="noConversion"/>
  </si>
  <si>
    <t xml:space="preserve"> 공사명 : 기숙사 및 사택 긴급 보수작업(건축)-2차</t>
    <phoneticPr fontId="14" type="noConversion"/>
  </si>
  <si>
    <t>일성건축</t>
    <phoneticPr fontId="8" type="noConversion"/>
  </si>
  <si>
    <t>A</t>
    <phoneticPr fontId="8" type="noConversion"/>
  </si>
  <si>
    <t>A
B</t>
    <phoneticPr fontId="8" type="noConversion"/>
  </si>
  <si>
    <t>903-4
701-5
503-5
401-3
303-5</t>
    <phoneticPr fontId="8" type="noConversion"/>
  </si>
  <si>
    <t>남해원</t>
    <phoneticPr fontId="8" type="noConversion"/>
  </si>
  <si>
    <t>303-5
901-4
704-4</t>
    <phoneticPr fontId="8" type="noConversion"/>
  </si>
  <si>
    <t>701-5
702-1
1002-2</t>
    <phoneticPr fontId="8" type="noConversion"/>
  </si>
  <si>
    <t>앞뒤 베란다 천장.벽면 들뜸보수 및 크랙 전체보수
앞뒤 베란다 창고 곰팡이 제거 및 천장 단열작업</t>
    <phoneticPr fontId="8" type="noConversion"/>
  </si>
  <si>
    <t>방 및 화장실 도어 보수
방 도어 보수
방 도어 보수
화장실 도어 보수
방 도어 보수</t>
    <phoneticPr fontId="8" type="noConversion"/>
  </si>
  <si>
    <t>화장실 도어 보수
화장실 도어 보수
방 및 화장실 도어 보수
버티컬 설치 완료</t>
    <phoneticPr fontId="8" type="noConversion"/>
  </si>
  <si>
    <t>화장실 우측 석고보드 교체
버티컬 설치 완료
화장실 우측 석고 보드 교체 완료
발코니 창문 우측벽 단열재 들뜸 보수</t>
    <phoneticPr fontId="8" type="noConversion"/>
  </si>
  <si>
    <t>화장실 좌측방 천장 누수 점검 및 보수
씽크대 상판 전체 실리콘 제거후 재설치 작업</t>
    <phoneticPr fontId="8" type="noConversion"/>
  </si>
  <si>
    <t>걸레받이 8군데 교체 완료
씽크대 상판 실리콘 제거후 재설치 작업
뒤베란다 벽면 크랙 보수 완료
화장실 벽면 모서리 4군데 실리콘 작업</t>
    <phoneticPr fontId="8" type="noConversion"/>
  </si>
  <si>
    <t>1차분 (정산 완료)</t>
    <phoneticPr fontId="8" type="noConversion"/>
  </si>
  <si>
    <t>2차분 (정산진행)</t>
    <phoneticPr fontId="8" type="noConversion"/>
  </si>
  <si>
    <t>L003</t>
  </si>
  <si>
    <t>M/D</t>
    <phoneticPr fontId="8" type="noConversion"/>
  </si>
  <si>
    <t>㎡</t>
  </si>
  <si>
    <t>M020251411670101</t>
  </si>
  <si>
    <t>다우실 1000</t>
  </si>
  <si>
    <t>270㎖</t>
  </si>
  <si>
    <t>M020533113070101</t>
  </si>
  <si>
    <t>걸레받이</t>
  </si>
  <si>
    <t>SHWB-100, W:100×2T</t>
  </si>
  <si>
    <t>m</t>
  </si>
  <si>
    <t>M020852810150101</t>
  </si>
  <si>
    <t>롤스크린(단면암막)</t>
  </si>
  <si>
    <t>방염, 기본면적: 2㎡</t>
  </si>
  <si>
    <t>M020750510120102</t>
  </si>
  <si>
    <t>매</t>
  </si>
  <si>
    <t>M020750510130104</t>
  </si>
  <si>
    <t>에너폴</t>
  </si>
  <si>
    <t>이보드, 1000*1000*33T, 대체</t>
    <phoneticPr fontId="8" type="noConversion"/>
  </si>
  <si>
    <t>석고평보드</t>
  </si>
  <si>
    <t>M020690710060101</t>
  </si>
  <si>
    <t>12.5T× 900×2,400</t>
  </si>
  <si>
    <t>열반사 단열재 (m2)</t>
    <phoneticPr fontId="8" type="noConversion"/>
  </si>
  <si>
    <t>석고보드 12.5t(매)</t>
    <phoneticPr fontId="8" type="noConversion"/>
  </si>
  <si>
    <t xml:space="preserve"> 견적일 : 2025년  05월   14일</t>
    <phoneticPr fontId="14" type="noConversion"/>
  </si>
  <si>
    <r>
      <rPr>
        <sz val="10"/>
        <rFont val="Malgun Gothic"/>
        <family val="3"/>
        <charset val="129"/>
      </rPr>
      <t>긴급보수 대응</t>
    </r>
    <phoneticPr fontId="8" type="noConversion"/>
  </si>
  <si>
    <t>특별인부</t>
    <phoneticPr fontId="8" type="noConversion"/>
  </si>
  <si>
    <t>블라인드
개소
(5㎡)</t>
    <phoneticPr fontId="8" type="noConversion"/>
  </si>
  <si>
    <t>이보드 23t
(m2)</t>
    <phoneticPr fontId="8" type="noConversion"/>
  </si>
  <si>
    <t>1.38
(m2)</t>
    <phoneticPr fontId="8" type="noConversion"/>
  </si>
  <si>
    <t>방화문 
가스켓 구매
(3세대)</t>
    <phoneticPr fontId="8" type="noConversion"/>
  </si>
  <si>
    <r>
      <rPr>
        <b/>
        <sz val="22"/>
        <color theme="0" tint="-0.34998626667073579"/>
        <rFont val="맑은 고딕"/>
        <family val="3"/>
        <charset val="129"/>
        <scheme val="minor"/>
      </rPr>
      <t>0.3</t>
    </r>
    <r>
      <rPr>
        <b/>
        <sz val="22"/>
        <color theme="1"/>
        <rFont val="맑은 고딕"/>
        <family val="3"/>
        <charset val="129"/>
        <scheme val="minor"/>
      </rPr>
      <t xml:space="preserve">
</t>
    </r>
    <r>
      <rPr>
        <b/>
        <sz val="22"/>
        <color rgb="FFFF00FF"/>
        <rFont val="맑은 고딕"/>
        <family val="3"/>
        <charset val="129"/>
        <scheme val="minor"/>
      </rPr>
      <t>(2.7)
전회이월</t>
    </r>
    <phoneticPr fontId="8" type="noConversion"/>
  </si>
  <si>
    <t>(5)
m2
금회이월</t>
    <phoneticPr fontId="10" type="noConversion"/>
  </si>
  <si>
    <t>(3.62)
m2
금회이월</t>
    <phoneticPr fontId="10" type="noConversion"/>
  </si>
  <si>
    <t>석고보드
(12.5T) 
2장</t>
    <phoneticPr fontId="8" type="noConversion"/>
  </si>
  <si>
    <t>이보드(23T) 
1장, 
열반사 단열재
2.5m2</t>
    <phoneticPr fontId="8" type="noConversion"/>
  </si>
  <si>
    <t>2차 정산</t>
    <phoneticPr fontId="8" type="noConversion"/>
  </si>
  <si>
    <t>에너폴
(태화론 TW-06, 6㎜×1M×50M
단면-점착 대체)</t>
    <phoneticPr fontId="8" type="noConversion"/>
  </si>
  <si>
    <t>1액형 실리콘, 발코니 창호 
주위 조인트용(창틀용)</t>
    <phoneticPr fontId="8" type="noConversion"/>
  </si>
  <si>
    <t>900 X 1800X40, 3호
(비중0.020)</t>
    <phoneticPr fontId="8" type="noConversion"/>
  </si>
  <si>
    <t>=&gt;금회 이월</t>
    <phoneticPr fontId="10" type="noConversion"/>
  </si>
  <si>
    <t>=&gt;전회 이월 정산포함</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</si>
</sst>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 #,##0_-;_-* &quot;-&quot;_-;_-@_-"/>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0.0%"/>
    <numFmt numFmtId="182" formatCode="###,###,###,##0"/>
    <numFmt numFmtId="183" formatCode="#,##0.000_ "/>
    <numFmt numFmtId="184" formatCode="#"/>
    <numFmt numFmtId="185" formatCode="0.000_ "/>
    <numFmt numFmtId="186" formatCode="#,##0;\-#,##0;"/>
    <numFmt numFmtId="187" formatCode="0.000"/>
    <numFmt numFmtId="188" formatCode="[hh]\ &quot;시간&quot;\ mm\ &quot;분&quot;"/>
    <numFmt numFmtId="189" formatCode="0.00_);[Red]\(0.00\)"/>
    <numFmt numFmtId="190" formatCode="#,##0_ "/>
    <numFmt numFmtId="191" formatCode="mm&quot;월&quot;\ dd&quot;일&quot;"/>
    <numFmt numFmtId="193" formatCode="0.0000"/>
    <numFmt numFmtId="195" formatCode="0.000_);[Red]\(0.000\)"/>
  </numFmts>
  <fonts count="98">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9"/>
      <color rgb="FF000000"/>
      <name val="Malgun Gothic"/>
      <family val="3"/>
      <charset val="129"/>
    </font>
    <font>
      <sz val="10"/>
      <color theme="1"/>
      <name val="LG스마트체 Regular"/>
      <family val="3"/>
      <charset val="129"/>
    </font>
    <font>
      <sz val="10"/>
      <color indexed="8"/>
      <name val="LG스마트체 Regular"/>
      <family val="3"/>
      <charset val="129"/>
    </font>
    <font>
      <sz val="10"/>
      <name val="LG스마트체 Regular"/>
      <family val="3"/>
      <charset val="129"/>
    </font>
    <font>
      <sz val="11"/>
      <name val="맑은 고딕"/>
      <family val="2"/>
      <scheme val="minor"/>
    </font>
    <font>
      <sz val="11"/>
      <name val="LG스마트체 Regular"/>
      <family val="3"/>
      <charset val="129"/>
    </font>
    <font>
      <sz val="11"/>
      <color theme="1"/>
      <name val="LG스마트체 Regular"/>
      <family val="3"/>
      <charset val="129"/>
    </font>
    <font>
      <sz val="10"/>
      <color theme="0" tint="-0.34998626667073579"/>
      <name val="LG스마트체 Regular"/>
      <family val="3"/>
      <charset val="129"/>
    </font>
    <font>
      <b/>
      <sz val="10"/>
      <color theme="1" tint="0.34998626667073579"/>
      <name val="맑은 고딕"/>
      <family val="3"/>
      <charset val="129"/>
      <scheme val="minor"/>
    </font>
    <font>
      <b/>
      <sz val="15"/>
      <color theme="0" tint="-0.249977111117893"/>
      <name val="맑은 고딕"/>
      <family val="3"/>
      <charset val="129"/>
      <scheme val="minor"/>
    </font>
    <font>
      <sz val="14"/>
      <color theme="0" tint="-0.34998626667073579"/>
      <name val="맑은 고딕"/>
      <family val="3"/>
      <charset val="129"/>
      <scheme val="minor"/>
    </font>
    <font>
      <sz val="15"/>
      <color theme="0" tint="-0.34998626667073579"/>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b/>
      <sz val="15"/>
      <name val="맑은 고딕"/>
      <family val="3"/>
      <charset val="129"/>
      <scheme val="minor"/>
    </font>
    <font>
      <b/>
      <sz val="20"/>
      <color theme="1"/>
      <name val="맑은 고딕"/>
      <family val="3"/>
      <charset val="129"/>
      <scheme val="minor"/>
    </font>
    <font>
      <b/>
      <sz val="20"/>
      <color rgb="FFFF00FF"/>
      <name val="맑은 고딕"/>
      <family val="3"/>
      <charset val="129"/>
      <scheme val="minor"/>
    </font>
    <font>
      <sz val="14"/>
      <color theme="0" tint="-0.14999847407452621"/>
      <name val="맑은 고딕"/>
      <family val="3"/>
      <charset val="129"/>
      <scheme val="minor"/>
    </font>
    <font>
      <sz val="17"/>
      <color theme="0" tint="-0.14999847407452621"/>
      <name val="맑은 고딕"/>
      <family val="3"/>
      <charset val="129"/>
      <scheme val="minor"/>
    </font>
    <font>
      <sz val="15"/>
      <color theme="0" tint="-0.14999847407452621"/>
      <name val="맑은 고딕"/>
      <family val="3"/>
      <charset val="129"/>
      <scheme val="minor"/>
    </font>
    <font>
      <sz val="14"/>
      <name val="맑은 고딕"/>
      <family val="3"/>
      <charset val="129"/>
      <scheme val="minor"/>
    </font>
    <font>
      <sz val="17"/>
      <name val="맑은 고딕"/>
      <family val="3"/>
      <charset val="129"/>
      <scheme val="minor"/>
    </font>
    <font>
      <sz val="11"/>
      <name val="맑은 고딕"/>
      <family val="3"/>
      <charset val="129"/>
      <scheme val="minor"/>
    </font>
    <font>
      <b/>
      <sz val="20"/>
      <color theme="1" tint="0.34998626667073579"/>
      <name val="맑은 고딕"/>
      <family val="3"/>
      <charset val="129"/>
      <scheme val="minor"/>
    </font>
    <font>
      <b/>
      <sz val="20"/>
      <color theme="0" tint="-0.34998626667073579"/>
      <name val="맑은 고딕"/>
      <family val="3"/>
      <charset val="129"/>
      <scheme val="minor"/>
    </font>
    <font>
      <sz val="20"/>
      <color theme="1"/>
      <name val="맑은 고딕"/>
      <family val="3"/>
      <charset val="129"/>
      <scheme val="minor"/>
    </font>
    <font>
      <b/>
      <sz val="15"/>
      <color theme="0" tint="-0.34998626667073579"/>
      <name val="맑은 고딕"/>
      <family val="3"/>
      <charset val="129"/>
      <scheme val="minor"/>
    </font>
    <font>
      <sz val="17"/>
      <color theme="0" tint="-0.34998626667073579"/>
      <name val="맑은 고딕"/>
      <family val="3"/>
      <charset val="129"/>
      <scheme val="minor"/>
    </font>
    <font>
      <sz val="11"/>
      <color theme="0" tint="-0.34998626667073579"/>
      <name val="맑은 고딕"/>
      <family val="3"/>
      <charset val="129"/>
      <scheme val="minor"/>
    </font>
    <font>
      <b/>
      <sz val="17"/>
      <color theme="0" tint="-0.34998626667073579"/>
      <name val="맑은 고딕"/>
      <family val="3"/>
      <charset val="129"/>
      <scheme val="minor"/>
    </font>
    <font>
      <sz val="10"/>
      <color rgb="FF000000"/>
      <name val="Arial"/>
      <family val="2"/>
    </font>
    <font>
      <sz val="10"/>
      <color theme="1"/>
      <name val="Arial"/>
      <family val="2"/>
    </font>
    <font>
      <sz val="10"/>
      <name val="Arial"/>
      <family val="2"/>
    </font>
    <font>
      <sz val="10"/>
      <name val="Malgun Gothic"/>
      <family val="3"/>
      <charset val="129"/>
    </font>
    <font>
      <sz val="10"/>
      <color indexed="8"/>
      <name val="Malgun Gothic"/>
      <family val="3"/>
      <charset val="129"/>
    </font>
    <font>
      <sz val="10"/>
      <color indexed="8"/>
      <name val="Arial"/>
      <family val="2"/>
    </font>
    <font>
      <sz val="10"/>
      <color rgb="FF000000"/>
      <name val="Malgun Gothic"/>
      <family val="3"/>
      <charset val="129"/>
    </font>
    <font>
      <sz val="11"/>
      <name val="맑은 고딕"/>
      <family val="3"/>
      <charset val="129"/>
    </font>
    <font>
      <b/>
      <sz val="15"/>
      <color rgb="FFFF00FF"/>
      <name val="LG스마트체 Regular"/>
      <family val="3"/>
      <charset val="129"/>
    </font>
    <font>
      <b/>
      <sz val="20"/>
      <color theme="0" tint="-0.14999847407452621"/>
      <name val="맑은 고딕"/>
      <family val="3"/>
      <charset val="129"/>
      <scheme val="minor"/>
    </font>
    <font>
      <sz val="20"/>
      <color rgb="FFFF0000"/>
      <name val="LG스마트체 Regular"/>
      <family val="3"/>
      <charset val="129"/>
    </font>
    <font>
      <sz val="12"/>
      <name val="Arial"/>
      <family val="2"/>
    </font>
    <font>
      <b/>
      <sz val="20"/>
      <color rgb="FF0000FF"/>
      <name val="맑은 고딕"/>
      <family val="3"/>
      <charset val="129"/>
      <scheme val="minor"/>
    </font>
    <font>
      <b/>
      <sz val="22"/>
      <color rgb="FF0000FF"/>
      <name val="맑은 고딕"/>
      <family val="3"/>
      <charset val="129"/>
      <scheme val="minor"/>
    </font>
    <font>
      <sz val="20"/>
      <color theme="1" tint="0.34998626667073579"/>
      <name val="LG스마트체 Regular"/>
      <family val="3"/>
      <charset val="129"/>
    </font>
    <font>
      <b/>
      <sz val="20"/>
      <color rgb="FFFF00FF"/>
      <name val="LG스마트체 Regular"/>
      <family val="3"/>
      <charset val="129"/>
    </font>
    <font>
      <b/>
      <sz val="22"/>
      <color rgb="FFFF00FF"/>
      <name val="맑은 고딕"/>
      <family val="3"/>
      <charset val="129"/>
      <scheme val="minor"/>
    </font>
    <font>
      <b/>
      <sz val="22"/>
      <name val="맑은 고딕"/>
      <family val="3"/>
      <charset val="129"/>
      <scheme val="minor"/>
    </font>
    <font>
      <sz val="20"/>
      <color theme="1"/>
      <name val="맑은 고딕"/>
      <family val="2"/>
      <charset val="129"/>
      <scheme val="minor"/>
    </font>
    <font>
      <b/>
      <sz val="22"/>
      <color theme="0" tint="-0.34998626667073579"/>
      <name val="맑은 고딕"/>
      <family val="3"/>
      <charset val="129"/>
      <scheme val="minor"/>
    </font>
    <font>
      <b/>
      <sz val="15"/>
      <color theme="1"/>
      <name val="맑은 고딕"/>
      <family val="3"/>
      <charset val="129"/>
      <scheme val="minor"/>
    </font>
    <font>
      <sz val="15"/>
      <color rgb="FFFF00FF"/>
      <name val="맑은 고딕"/>
      <family val="3"/>
      <charset val="129"/>
      <scheme val="minor"/>
    </font>
    <font>
      <b/>
      <sz val="15"/>
      <color rgb="FFFF0000"/>
      <name val="맑은 고딕"/>
      <family val="3"/>
      <charset val="129"/>
      <scheme val="minor"/>
    </font>
    <font>
      <sz val="26"/>
      <color rgb="FFFF00FF"/>
      <name val="LG스마트체 Regular"/>
      <family val="3"/>
      <charset val="129"/>
    </font>
    <font>
      <b/>
      <sz val="22"/>
      <color theme="1"/>
      <name val="맑은 고딕"/>
      <family val="3"/>
      <charset val="129"/>
      <scheme val="minor"/>
    </font>
    <font>
      <sz val="22"/>
      <name val="맑은 고딕"/>
      <family val="3"/>
      <charset val="129"/>
      <scheme val="minor"/>
    </font>
    <font>
      <sz val="26"/>
      <color rgb="FF0000FF"/>
      <name val="LG스마트체 Regular"/>
      <family val="3"/>
      <charset val="129"/>
    </font>
    <font>
      <b/>
      <sz val="14"/>
      <color theme="1" tint="0.499984740745262"/>
      <name val="맑은 고딕"/>
      <family val="3"/>
      <charset val="129"/>
      <scheme val="minor"/>
    </font>
    <font>
      <sz val="22"/>
      <color theme="0" tint="-0.34998626667073579"/>
      <name val="맑은 고딕"/>
      <family val="3"/>
      <charset val="129"/>
      <scheme val="minor"/>
    </font>
    <font>
      <b/>
      <sz val="22"/>
      <color theme="0" tint="-0.14999847407452621"/>
      <name val="맑은 고딕"/>
      <family val="3"/>
      <charset val="129"/>
      <scheme val="minor"/>
    </font>
    <font>
      <b/>
      <sz val="20"/>
      <name val="맑은 고딕"/>
      <family val="3"/>
      <charset val="129"/>
      <scheme val="minor"/>
    </font>
    <font>
      <sz val="12"/>
      <color theme="1"/>
      <name val="LG스마트체 Regular"/>
      <family val="3"/>
      <charset val="129"/>
    </font>
    <font>
      <sz val="12"/>
      <color theme="1"/>
      <name val="Arial"/>
      <family val="2"/>
    </font>
    <font>
      <sz val="18"/>
      <color theme="0" tint="-0.499984740745262"/>
      <name val="LG스마트체 Regular"/>
      <family val="3"/>
      <charset val="129"/>
    </font>
    <font>
      <b/>
      <sz val="20"/>
      <color theme="0" tint="-0.499984740745262"/>
      <name val="LG스마트체 Regular"/>
      <family val="3"/>
      <charset val="129"/>
    </font>
    <font>
      <b/>
      <sz val="22"/>
      <color rgb="FF000000"/>
      <name val="LG스마트체 Regular"/>
      <family val="3"/>
      <charset val="129"/>
    </font>
  </fonts>
  <fills count="21">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5F5F5"/>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lightUp">
        <fgColor theme="0" tint="-0.14996795556505021"/>
        <bgColor indexed="65"/>
      </patternFill>
    </fill>
    <fill>
      <patternFill patternType="lightUp">
        <fgColor theme="0" tint="-0.14996795556505021"/>
        <bgColor rgb="FFFFFF00"/>
      </patternFill>
    </fill>
    <fill>
      <patternFill patternType="lightUp">
        <fgColor theme="0" tint="-0.14996795556505021"/>
        <bgColor theme="0" tint="-4.9989318521683403E-2"/>
      </patternFill>
    </fill>
    <fill>
      <patternFill patternType="lightUp">
        <fgColor theme="0" tint="-0.14996795556505021"/>
        <bgColor theme="9" tint="0.79998168889431442"/>
      </patternFill>
    </fill>
    <fill>
      <patternFill patternType="solid">
        <fgColor rgb="FFFF00FF"/>
        <bgColor indexed="64"/>
      </patternFill>
    </fill>
    <fill>
      <patternFill patternType="solid">
        <fgColor rgb="FFFBE5D7"/>
        <bgColor indexed="64"/>
      </patternFill>
    </fill>
    <fill>
      <patternFill patternType="solid">
        <fgColor indexed="9"/>
        <bgColor indexed="64"/>
      </patternFill>
    </fill>
    <fill>
      <patternFill patternType="solid">
        <fgColor rgb="FF0000FF"/>
        <bgColor indexed="64"/>
      </patternFill>
    </fill>
  </fills>
  <borders count="88">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rgb="FFDCDBDA"/>
      </right>
      <top style="thin">
        <color rgb="FFDCDBDA"/>
      </top>
      <bottom style="thin">
        <color rgb="FFDCDBDA"/>
      </bottom>
      <diagonal/>
    </border>
    <border>
      <left style="thin">
        <color rgb="FFDCDBDA"/>
      </left>
      <right style="thin">
        <color rgb="FFDCDBDA"/>
      </right>
      <top style="thin">
        <color rgb="FFDCDBDA"/>
      </top>
      <bottom/>
      <diagonal/>
    </border>
    <border>
      <left/>
      <right style="thin">
        <color rgb="FFDCDBDA"/>
      </right>
      <top style="thin">
        <color rgb="FFDCDBDA"/>
      </top>
      <bottom/>
      <diagonal/>
    </border>
    <border>
      <left/>
      <right style="thin">
        <color theme="0" tint="-0.24994659260841701"/>
      </right>
      <top style="thin">
        <color indexed="64"/>
      </top>
      <bottom/>
      <diagonal/>
    </border>
    <border>
      <left/>
      <right style="thin">
        <color theme="0" tint="-0.24994659260841701"/>
      </right>
      <top style="thin">
        <color theme="0" tint="-0.24994659260841701"/>
      </top>
      <bottom style="thin">
        <color theme="0" tint="-0.24994659260841701"/>
      </bottom>
      <diagonal/>
    </border>
    <border>
      <left style="hair">
        <color theme="0" tint="-0.24994659260841701"/>
      </left>
      <right style="hair">
        <color theme="0" tint="-0.24994659260841701"/>
      </right>
      <top/>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indexed="64"/>
      </top>
      <bottom style="thin">
        <color theme="0" tint="-0.24994659260841701"/>
      </bottom>
      <diagonal/>
    </border>
    <border>
      <left style="thin">
        <color indexed="64"/>
      </left>
      <right style="medium">
        <color indexed="64"/>
      </right>
      <top style="thin">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theme="0" tint="-0.24994659260841701"/>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0" tint="-0.24994659260841701"/>
      </right>
      <top/>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style="thin">
        <color theme="0" tint="-0.24994659260841701"/>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style="thick">
        <color rgb="FFFF00FF"/>
      </left>
      <right style="thin">
        <color theme="0" tint="-0.24994659260841701"/>
      </right>
      <top style="thick">
        <color rgb="FFFF00FF"/>
      </top>
      <bottom style="thin">
        <color theme="0" tint="-0.24994659260841701"/>
      </bottom>
      <diagonal/>
    </border>
    <border>
      <left/>
      <right style="thin">
        <color theme="0" tint="-0.24994659260841701"/>
      </right>
      <top style="thick">
        <color rgb="FFFF00FF"/>
      </top>
      <bottom style="thin">
        <color theme="0" tint="-0.24994659260841701"/>
      </bottom>
      <diagonal/>
    </border>
    <border>
      <left style="thin">
        <color theme="0" tint="-0.24994659260841701"/>
      </left>
      <right style="thin">
        <color theme="0" tint="-0.24994659260841701"/>
      </right>
      <top style="thick">
        <color rgb="FFFF00FF"/>
      </top>
      <bottom style="thin">
        <color theme="0" tint="-0.24994659260841701"/>
      </bottom>
      <diagonal/>
    </border>
    <border>
      <left style="thin">
        <color theme="0" tint="-0.24994659260841701"/>
      </left>
      <right style="thick">
        <color rgb="FFFF00FF"/>
      </right>
      <top style="thick">
        <color rgb="FFFF00FF"/>
      </top>
      <bottom style="thin">
        <color theme="0" tint="-0.24994659260841701"/>
      </bottom>
      <diagonal/>
    </border>
    <border>
      <left/>
      <right/>
      <top style="thin">
        <color theme="0" tint="-0.24994659260841701"/>
      </top>
      <bottom style="thin">
        <color theme="0" tint="-0.24994659260841701"/>
      </bottom>
      <diagonal/>
    </border>
    <border>
      <left style="thick">
        <color rgb="FFFF00FF"/>
      </left>
      <right style="thin">
        <color theme="0" tint="-0.24994659260841701"/>
      </right>
      <top style="thin">
        <color theme="0" tint="-0.24994659260841701"/>
      </top>
      <bottom style="thin">
        <color theme="0" tint="-0.24994659260841701"/>
      </bottom>
      <diagonal/>
    </border>
    <border>
      <left style="thin">
        <color theme="0" tint="-0.24994659260841701"/>
      </left>
      <right style="thick">
        <color rgb="FFFF00FF"/>
      </right>
      <top style="thin">
        <color theme="0" tint="-0.24994659260841701"/>
      </top>
      <bottom style="thin">
        <color theme="0" tint="-0.24994659260841701"/>
      </bottom>
      <diagonal/>
    </border>
    <border>
      <left style="thick">
        <color rgb="FFFF00FF"/>
      </left>
      <right style="thick">
        <color rgb="FFFF00FF"/>
      </right>
      <top style="thick">
        <color rgb="FFFF00FF"/>
      </top>
      <bottom style="thick">
        <color rgb="FFFF00FF"/>
      </bottom>
      <diagonal/>
    </border>
    <border>
      <left style="thick">
        <color rgb="FFFF00FF"/>
      </left>
      <right style="thin">
        <color theme="0" tint="-0.24994659260841701"/>
      </right>
      <top style="thin">
        <color theme="0" tint="-0.24994659260841701"/>
      </top>
      <bottom style="thick">
        <color rgb="FFFF00FF"/>
      </bottom>
      <diagonal/>
    </border>
    <border>
      <left/>
      <right style="thin">
        <color theme="0" tint="-0.24994659260841701"/>
      </right>
      <top style="thin">
        <color theme="0" tint="-0.24994659260841701"/>
      </top>
      <bottom style="thick">
        <color rgb="FFFF00FF"/>
      </bottom>
      <diagonal/>
    </border>
    <border>
      <left style="thin">
        <color theme="0" tint="-0.24994659260841701"/>
      </left>
      <right style="thin">
        <color theme="0" tint="-0.24994659260841701"/>
      </right>
      <top style="thin">
        <color theme="0" tint="-0.24994659260841701"/>
      </top>
      <bottom style="thick">
        <color rgb="FFFF00FF"/>
      </bottom>
      <diagonal/>
    </border>
    <border>
      <left style="thin">
        <color theme="0" tint="-0.24994659260841701"/>
      </left>
      <right style="thick">
        <color rgb="FFFF00FF"/>
      </right>
      <top style="thin">
        <color theme="0" tint="-0.24994659260841701"/>
      </top>
      <bottom style="thick">
        <color rgb="FFFF00FF"/>
      </bottom>
      <diagonal/>
    </border>
    <border>
      <left style="thin">
        <color theme="0" tint="-0.24994659260841701"/>
      </left>
      <right/>
      <top/>
      <bottom style="thin">
        <color theme="0" tint="-0.24994659260841701"/>
      </bottom>
      <diagonal/>
    </border>
    <border>
      <left style="medium">
        <color indexed="64"/>
      </left>
      <right/>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style="thin">
        <color theme="1" tint="0.499984740745262"/>
      </right>
      <top style="medium">
        <color indexed="64"/>
      </top>
      <bottom/>
      <diagonal/>
    </border>
    <border>
      <left style="thin">
        <color theme="1" tint="0.499984740745262"/>
      </left>
      <right/>
      <top style="medium">
        <color indexed="64"/>
      </top>
      <bottom/>
      <diagonal/>
    </border>
    <border>
      <left style="thin">
        <color theme="1" tint="0.499984740745262"/>
      </left>
      <right style="thin">
        <color indexed="64"/>
      </right>
      <top style="medium">
        <color indexed="64"/>
      </top>
      <bottom/>
      <diagonal/>
    </border>
    <border>
      <left style="thin">
        <color theme="1" tint="0.499984740745262"/>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thin">
        <color indexed="64"/>
      </right>
      <top style="thin">
        <color theme="0" tint="-0.499984740745262"/>
      </top>
      <bottom style="medium">
        <color indexed="64"/>
      </bottom>
      <diagonal/>
    </border>
    <border>
      <left style="thick">
        <color rgb="FF0000FF"/>
      </left>
      <right style="thick">
        <color rgb="FF0000FF"/>
      </right>
      <top style="thick">
        <color rgb="FF0000FF"/>
      </top>
      <bottom style="thin">
        <color theme="0" tint="-0.24994659260841701"/>
      </bottom>
      <diagonal/>
    </border>
    <border>
      <left style="thick">
        <color rgb="FF0000FF"/>
      </left>
      <right style="thick">
        <color rgb="FF0000FF"/>
      </right>
      <top style="thin">
        <color theme="0" tint="-0.24994659260841701"/>
      </top>
      <bottom style="thick">
        <color rgb="FF0000FF"/>
      </bottom>
      <diagonal/>
    </border>
  </borders>
  <cellStyleXfs count="25">
    <xf numFmtId="0" fontId="0" fillId="0" borderId="0">
      <alignment vertical="center"/>
    </xf>
    <xf numFmtId="177" fontId="9" fillId="0" borderId="0" applyFont="0" applyFill="0" applyBorder="0" applyAlignment="0" applyProtection="0">
      <alignment vertical="center"/>
    </xf>
    <xf numFmtId="9" fontId="9" fillId="0" borderId="0" applyFont="0" applyFill="0" applyBorder="0" applyAlignment="0" applyProtection="0">
      <alignment vertical="center"/>
    </xf>
    <xf numFmtId="0" fontId="11" fillId="0" borderId="0"/>
    <xf numFmtId="177" fontId="7" fillId="0" borderId="0" applyFont="0" applyFill="0" applyBorder="0" applyAlignment="0" applyProtection="0">
      <alignment vertical="center"/>
    </xf>
    <xf numFmtId="178" fontId="12" fillId="0" borderId="0" applyFont="0" applyFill="0" applyBorder="0" applyAlignment="0" applyProtection="0"/>
    <xf numFmtId="0" fontId="13" fillId="0" borderId="0"/>
    <xf numFmtId="180" fontId="13" fillId="0" borderId="0" applyFont="0" applyFill="0" applyBorder="0" applyAlignment="0" applyProtection="0"/>
    <xf numFmtId="0" fontId="7" fillId="0" borderId="0">
      <alignment vertical="center"/>
    </xf>
    <xf numFmtId="9" fontId="12" fillId="0" borderId="0" applyFont="0" applyFill="0" applyBorder="0" applyAlignment="0" applyProtection="0"/>
    <xf numFmtId="0" fontId="11" fillId="0" borderId="0"/>
    <xf numFmtId="0" fontId="20" fillId="0" borderId="0"/>
    <xf numFmtId="176" fontId="20" fillId="0" borderId="0" applyFont="0" applyFill="0" applyBorder="0" applyAlignment="0" applyProtection="0"/>
    <xf numFmtId="177" fontId="20" fillId="0" borderId="0" applyFont="0" applyFill="0" applyBorder="0" applyAlignment="0" applyProtection="0">
      <alignment vertical="center"/>
    </xf>
    <xf numFmtId="0" fontId="6" fillId="0" borderId="0">
      <alignment vertical="center"/>
    </xf>
    <xf numFmtId="0" fontId="5" fillId="0" borderId="0">
      <alignment vertical="center"/>
    </xf>
    <xf numFmtId="177" fontId="5" fillId="0" borderId="0" applyFont="0" applyFill="0" applyBorder="0" applyAlignment="0" applyProtection="0">
      <alignment vertical="center"/>
    </xf>
    <xf numFmtId="0" fontId="4" fillId="0" borderId="0">
      <alignment vertical="center"/>
    </xf>
    <xf numFmtId="177" fontId="4" fillId="0" borderId="0" applyFont="0" applyFill="0" applyBorder="0" applyAlignment="0" applyProtection="0">
      <alignment vertical="center"/>
    </xf>
    <xf numFmtId="0" fontId="3" fillId="0" borderId="0">
      <alignment vertical="center"/>
    </xf>
    <xf numFmtId="177" fontId="2" fillId="0" borderId="0" applyFont="0" applyFill="0" applyBorder="0" applyAlignment="0" applyProtection="0">
      <alignment vertical="center"/>
    </xf>
    <xf numFmtId="41" fontId="9" fillId="0" borderId="0" applyFont="0" applyFill="0" applyBorder="0" applyAlignment="0" applyProtection="0">
      <alignment vertical="center"/>
    </xf>
    <xf numFmtId="0" fontId="1" fillId="0" borderId="0">
      <alignment vertical="center"/>
    </xf>
    <xf numFmtId="0" fontId="69" fillId="0" borderId="0">
      <alignment vertical="center"/>
    </xf>
    <xf numFmtId="177" fontId="69" fillId="0" borderId="0">
      <alignment vertical="center"/>
    </xf>
  </cellStyleXfs>
  <cellXfs count="374">
    <xf numFmtId="0" fontId="0" fillId="0" borderId="0" xfId="0">
      <alignment vertical="center"/>
    </xf>
    <xf numFmtId="0" fontId="15" fillId="0" borderId="6" xfId="6" applyFont="1" applyBorder="1" applyAlignment="1">
      <alignment horizontal="right" vertical="center"/>
    </xf>
    <xf numFmtId="0" fontId="21" fillId="0" borderId="0" xfId="6" applyFont="1" applyAlignment="1">
      <alignment vertical="center"/>
    </xf>
    <xf numFmtId="0" fontId="22" fillId="0" borderId="0" xfId="3" applyFont="1"/>
    <xf numFmtId="0" fontId="23" fillId="0" borderId="4" xfId="6" applyFont="1" applyBorder="1" applyAlignment="1">
      <alignment horizontal="center" vertical="center"/>
    </xf>
    <xf numFmtId="0" fontId="15" fillId="0" borderId="5" xfId="6" applyFont="1" applyBorder="1" applyAlignment="1">
      <alignment horizontal="right" vertical="center"/>
    </xf>
    <xf numFmtId="0" fontId="15" fillId="4" borderId="24" xfId="6" applyFont="1" applyFill="1" applyBorder="1" applyAlignment="1">
      <alignment horizontal="center" vertical="center"/>
    </xf>
    <xf numFmtId="0" fontId="15" fillId="4" borderId="25" xfId="6" applyFont="1" applyFill="1" applyBorder="1" applyAlignment="1">
      <alignment vertical="center" shrinkToFit="1"/>
    </xf>
    <xf numFmtId="0" fontId="15" fillId="4" borderId="1" xfId="6" applyFont="1" applyFill="1" applyBorder="1" applyAlignment="1">
      <alignment horizontal="center" vertical="center"/>
    </xf>
    <xf numFmtId="0" fontId="15" fillId="4" borderId="26" xfId="6" applyFont="1" applyFill="1" applyBorder="1" applyAlignment="1">
      <alignment vertical="center" shrinkToFit="1"/>
    </xf>
    <xf numFmtId="0" fontId="24" fillId="0" borderId="0" xfId="6" applyFont="1" applyAlignment="1">
      <alignment vertical="center" shrinkToFit="1"/>
    </xf>
    <xf numFmtId="0" fontId="15" fillId="4" borderId="1" xfId="6" applyFont="1" applyFill="1" applyBorder="1" applyAlignment="1">
      <alignment horizontal="center" vertical="center" shrinkToFit="1"/>
    </xf>
    <xf numFmtId="0" fontId="15" fillId="0" borderId="1" xfId="6" applyFont="1" applyBorder="1" applyAlignment="1">
      <alignment horizontal="center" vertical="center"/>
    </xf>
    <xf numFmtId="0" fontId="15" fillId="0" borderId="26" xfId="6" applyFont="1" applyBorder="1" applyAlignment="1">
      <alignment vertical="center"/>
    </xf>
    <xf numFmtId="0" fontId="23" fillId="0" borderId="0" xfId="6" applyFont="1" applyAlignment="1">
      <alignment horizontal="center" vertical="center" shrinkToFit="1"/>
    </xf>
    <xf numFmtId="0" fontId="15" fillId="0" borderId="27" xfId="6" applyFont="1" applyBorder="1" applyAlignment="1">
      <alignment horizontal="center" vertical="center" shrinkToFit="1"/>
    </xf>
    <xf numFmtId="0" fontId="15" fillId="0" borderId="28" xfId="6" applyFont="1" applyBorder="1" applyAlignment="1">
      <alignment vertical="center" shrinkToFit="1"/>
    </xf>
    <xf numFmtId="0" fontId="24" fillId="0" borderId="6" xfId="6" applyFont="1" applyBorder="1" applyAlignment="1">
      <alignment vertical="center"/>
    </xf>
    <xf numFmtId="179" fontId="23" fillId="0" borderId="6" xfId="6" applyNumberFormat="1" applyFont="1" applyBorder="1" applyAlignment="1">
      <alignment vertical="center"/>
    </xf>
    <xf numFmtId="0" fontId="23" fillId="0" borderId="0" xfId="6" applyFont="1" applyAlignment="1">
      <alignment vertical="center" shrinkToFit="1"/>
    </xf>
    <xf numFmtId="0" fontId="15" fillId="0" borderId="7" xfId="6" applyFont="1" applyBorder="1" applyAlignment="1">
      <alignment horizontal="center" vertical="center"/>
    </xf>
    <xf numFmtId="0" fontId="15" fillId="0" borderId="8" xfId="6" applyFont="1" applyBorder="1" applyAlignment="1">
      <alignment horizontal="center" vertical="center"/>
    </xf>
    <xf numFmtId="0" fontId="15" fillId="0" borderId="9" xfId="6" applyFont="1" applyBorder="1" applyAlignment="1">
      <alignment horizontal="center" vertical="center"/>
    </xf>
    <xf numFmtId="0" fontId="25" fillId="0" borderId="10" xfId="6" applyFont="1" applyBorder="1" applyAlignment="1">
      <alignment horizontal="center" vertical="center"/>
    </xf>
    <xf numFmtId="0" fontId="15" fillId="0" borderId="11" xfId="6" applyFont="1" applyBorder="1" applyAlignment="1">
      <alignment vertical="center"/>
    </xf>
    <xf numFmtId="0" fontId="25" fillId="0" borderId="11" xfId="6" applyFont="1" applyBorder="1" applyAlignment="1">
      <alignment vertical="center"/>
    </xf>
    <xf numFmtId="1" fontId="25" fillId="0" borderId="11" xfId="6" applyNumberFormat="1" applyFont="1" applyBorder="1" applyAlignment="1">
      <alignment horizontal="center" vertical="center"/>
    </xf>
    <xf numFmtId="180" fontId="25" fillId="0" borderId="11" xfId="7" applyFont="1" applyBorder="1" applyAlignment="1">
      <alignment horizontal="right" vertical="center"/>
    </xf>
    <xf numFmtId="0" fontId="25" fillId="0" borderId="12" xfId="6" applyFont="1" applyBorder="1" applyAlignment="1">
      <alignment vertical="center"/>
    </xf>
    <xf numFmtId="0" fontId="25" fillId="0" borderId="13" xfId="6" applyFont="1" applyBorder="1" applyAlignment="1">
      <alignment horizontal="center" vertical="center"/>
    </xf>
    <xf numFmtId="0" fontId="25" fillId="0" borderId="14" xfId="6" applyFont="1" applyBorder="1" applyAlignment="1">
      <alignment horizontal="center" vertical="center"/>
    </xf>
    <xf numFmtId="0" fontId="25" fillId="0" borderId="14" xfId="3" applyFont="1" applyBorder="1" applyAlignment="1">
      <alignment horizontal="center" vertical="center"/>
    </xf>
    <xf numFmtId="1" fontId="25" fillId="0" borderId="14" xfId="6" applyNumberFormat="1" applyFont="1" applyBorder="1" applyAlignment="1">
      <alignment horizontal="center" vertical="center"/>
    </xf>
    <xf numFmtId="180" fontId="25" fillId="0" borderId="14" xfId="7" applyFont="1" applyBorder="1" applyAlignment="1">
      <alignment horizontal="right" vertical="center"/>
    </xf>
    <xf numFmtId="0" fontId="25" fillId="0" borderId="15" xfId="6" quotePrefix="1" applyFont="1" applyBorder="1" applyAlignment="1">
      <alignment vertical="center"/>
    </xf>
    <xf numFmtId="0" fontId="25" fillId="0" borderId="15" xfId="6" applyFont="1" applyBorder="1" applyAlignment="1">
      <alignment vertical="center"/>
    </xf>
    <xf numFmtId="0" fontId="15" fillId="7" borderId="14" xfId="6" applyFont="1" applyFill="1" applyBorder="1" applyAlignment="1">
      <alignment vertical="center"/>
    </xf>
    <xf numFmtId="1" fontId="15" fillId="7" borderId="14" xfId="6" applyNumberFormat="1" applyFont="1" applyFill="1" applyBorder="1" applyAlignment="1">
      <alignment horizontal="center" vertical="center"/>
    </xf>
    <xf numFmtId="180" fontId="15" fillId="7" borderId="14" xfId="7" applyFont="1" applyFill="1" applyBorder="1" applyAlignment="1">
      <alignment horizontal="right" vertical="center"/>
    </xf>
    <xf numFmtId="0" fontId="15" fillId="0" borderId="14" xfId="6" applyFont="1" applyBorder="1" applyAlignment="1">
      <alignment vertical="center"/>
    </xf>
    <xf numFmtId="0" fontId="25" fillId="0" borderId="14" xfId="6" applyFont="1" applyBorder="1" applyAlignment="1">
      <alignment vertical="center"/>
    </xf>
    <xf numFmtId="180" fontId="15" fillId="0" borderId="14" xfId="7" applyFont="1" applyFill="1" applyBorder="1" applyAlignment="1">
      <alignment horizontal="right" vertical="center"/>
    </xf>
    <xf numFmtId="0" fontId="25" fillId="0" borderId="14" xfId="8" applyFont="1" applyBorder="1" applyAlignment="1">
      <alignment horizontal="center" vertical="center"/>
    </xf>
    <xf numFmtId="178" fontId="25" fillId="0" borderId="14" xfId="5" applyFont="1" applyFill="1" applyBorder="1" applyAlignment="1">
      <alignment horizontal="right" vertical="center"/>
    </xf>
    <xf numFmtId="0" fontId="25" fillId="4" borderId="14" xfId="8" applyFont="1" applyFill="1" applyBorder="1" applyAlignment="1">
      <alignment horizontal="center" vertical="center"/>
    </xf>
    <xf numFmtId="0" fontId="25" fillId="4" borderId="14" xfId="6" applyFont="1" applyFill="1" applyBorder="1" applyAlignment="1">
      <alignment vertical="center"/>
    </xf>
    <xf numFmtId="0" fontId="25" fillId="4" borderId="14" xfId="6" applyFont="1" applyFill="1" applyBorder="1" applyAlignment="1">
      <alignment horizontal="center" vertical="center"/>
    </xf>
    <xf numFmtId="178" fontId="25" fillId="4" borderId="14" xfId="5" applyFont="1" applyFill="1" applyBorder="1" applyAlignment="1">
      <alignment horizontal="right" vertical="center"/>
    </xf>
    <xf numFmtId="0" fontId="25" fillId="4" borderId="15" xfId="6" applyFont="1" applyFill="1" applyBorder="1" applyAlignment="1">
      <alignment vertical="center"/>
    </xf>
    <xf numFmtId="0" fontId="25" fillId="0" borderId="14" xfId="3" applyFont="1" applyBorder="1" applyAlignment="1">
      <alignment horizontal="left" vertical="center"/>
    </xf>
    <xf numFmtId="9" fontId="15" fillId="7" borderId="14" xfId="3" applyNumberFormat="1" applyFont="1" applyFill="1" applyBorder="1" applyAlignment="1">
      <alignment horizontal="right" vertical="center"/>
    </xf>
    <xf numFmtId="1" fontId="15" fillId="7" borderId="14" xfId="9" applyNumberFormat="1" applyFont="1" applyFill="1" applyBorder="1" applyAlignment="1">
      <alignment horizontal="center" vertical="center"/>
    </xf>
    <xf numFmtId="177" fontId="15" fillId="7" borderId="14" xfId="7" applyNumberFormat="1" applyFont="1" applyFill="1" applyBorder="1" applyAlignment="1">
      <alignment horizontal="right" vertical="center"/>
    </xf>
    <xf numFmtId="9" fontId="25" fillId="0" borderId="14" xfId="3" applyNumberFormat="1" applyFont="1" applyBorder="1" applyAlignment="1">
      <alignment horizontal="right" vertical="center"/>
    </xf>
    <xf numFmtId="1" fontId="25" fillId="0" borderId="14" xfId="9" applyNumberFormat="1" applyFont="1" applyFill="1" applyBorder="1" applyAlignment="1">
      <alignment horizontal="center" vertical="center"/>
    </xf>
    <xf numFmtId="177" fontId="15" fillId="0" borderId="14" xfId="7" applyNumberFormat="1" applyFont="1" applyFill="1" applyBorder="1" applyAlignment="1">
      <alignment horizontal="right" vertical="center"/>
    </xf>
    <xf numFmtId="0" fontId="25" fillId="0" borderId="14" xfId="3" applyFont="1" applyBorder="1" applyAlignment="1">
      <alignment vertical="center"/>
    </xf>
    <xf numFmtId="180" fontId="25" fillId="4" borderId="14" xfId="7" applyFont="1" applyFill="1" applyBorder="1" applyAlignment="1">
      <alignment horizontal="right" vertical="center"/>
    </xf>
    <xf numFmtId="0" fontId="15" fillId="0" borderId="16" xfId="6" applyFont="1" applyBorder="1" applyAlignment="1">
      <alignment horizontal="center" vertical="center" textRotation="255"/>
    </xf>
    <xf numFmtId="0" fontId="15" fillId="0" borderId="17" xfId="6" applyFont="1" applyBorder="1" applyAlignment="1">
      <alignment vertical="top"/>
    </xf>
    <xf numFmtId="0" fontId="25" fillId="0" borderId="18" xfId="6" applyFont="1" applyBorder="1" applyAlignment="1">
      <alignment vertical="center"/>
    </xf>
    <xf numFmtId="0" fontId="25" fillId="0" borderId="18" xfId="6" applyFont="1" applyBorder="1" applyAlignment="1">
      <alignment horizontal="right" vertical="center"/>
    </xf>
    <xf numFmtId="0" fontId="25" fillId="0" borderId="19" xfId="6" applyFont="1" applyBorder="1" applyAlignment="1">
      <alignment vertical="center"/>
    </xf>
    <xf numFmtId="0" fontId="15" fillId="0" borderId="0" xfId="10" applyFont="1"/>
    <xf numFmtId="0" fontId="22" fillId="0" borderId="0" xfId="0" applyFont="1" applyAlignment="1">
      <alignment horizontal="center" vertical="center"/>
    </xf>
    <xf numFmtId="9" fontId="26" fillId="0" borderId="0" xfId="0" applyNumberFormat="1" applyFont="1" applyAlignment="1">
      <alignment horizontal="center" vertical="center"/>
    </xf>
    <xf numFmtId="181" fontId="26" fillId="2" borderId="0" xfId="2" applyNumberFormat="1" applyFont="1" applyFill="1" applyAlignment="1">
      <alignment horizontal="center" vertical="center"/>
    </xf>
    <xf numFmtId="0" fontId="26" fillId="3" borderId="21" xfId="0" applyFont="1" applyFill="1" applyBorder="1" applyAlignment="1">
      <alignment horizontal="center" vertical="center"/>
    </xf>
    <xf numFmtId="0" fontId="26" fillId="6" borderId="2" xfId="0" applyFont="1" applyFill="1" applyBorder="1" applyAlignment="1">
      <alignment horizontal="center" vertical="center"/>
    </xf>
    <xf numFmtId="177" fontId="26" fillId="3" borderId="2" xfId="4" applyFont="1" applyFill="1" applyBorder="1" applyAlignment="1">
      <alignment horizontal="center" vertical="center"/>
    </xf>
    <xf numFmtId="178" fontId="26" fillId="3" borderId="2" xfId="5" applyFont="1" applyFill="1" applyBorder="1" applyAlignment="1">
      <alignment horizontal="center" vertical="center"/>
    </xf>
    <xf numFmtId="0" fontId="22" fillId="5" borderId="21" xfId="0" applyFont="1" applyFill="1" applyBorder="1" applyAlignment="1">
      <alignment horizontal="center" vertical="center"/>
    </xf>
    <xf numFmtId="0" fontId="22" fillId="6" borderId="2" xfId="0" applyFont="1" applyFill="1" applyBorder="1" applyAlignment="1">
      <alignment horizontal="center" vertical="center"/>
    </xf>
    <xf numFmtId="49" fontId="22" fillId="4" borderId="2" xfId="0" applyNumberFormat="1" applyFont="1" applyFill="1" applyBorder="1" applyAlignment="1">
      <alignment horizontal="center" vertical="center" wrapText="1"/>
    </xf>
    <xf numFmtId="177" fontId="22" fillId="5" borderId="2" xfId="1" applyFont="1" applyFill="1" applyBorder="1" applyAlignment="1">
      <alignment horizontal="center" vertical="center" wrapText="1"/>
    </xf>
    <xf numFmtId="177" fontId="22" fillId="0" borderId="2" xfId="1" applyFont="1" applyFill="1" applyBorder="1" applyAlignment="1">
      <alignment horizontal="center" vertical="center" wrapText="1"/>
    </xf>
    <xf numFmtId="0" fontId="27" fillId="0" borderId="22" xfId="0" applyFont="1" applyBorder="1" applyAlignment="1">
      <alignment horizontal="center" vertical="center"/>
    </xf>
    <xf numFmtId="0" fontId="23" fillId="0" borderId="0" xfId="0" applyFont="1">
      <alignment vertical="center"/>
    </xf>
    <xf numFmtId="49" fontId="22" fillId="6" borderId="2" xfId="0" applyNumberFormat="1" applyFont="1" applyFill="1" applyBorder="1" applyAlignment="1">
      <alignment horizontal="center" vertical="center"/>
    </xf>
    <xf numFmtId="0" fontId="22" fillId="5" borderId="2" xfId="0" applyFont="1" applyFill="1" applyBorder="1" applyAlignment="1">
      <alignment horizontal="center" vertical="center"/>
    </xf>
    <xf numFmtId="0" fontId="25" fillId="4" borderId="0" xfId="0" applyFont="1" applyFill="1" applyAlignment="1">
      <alignment horizontal="center" vertical="center"/>
    </xf>
    <xf numFmtId="49" fontId="22" fillId="9" borderId="30" xfId="0" applyNumberFormat="1" applyFont="1" applyFill="1" applyBorder="1" applyAlignment="1">
      <alignment horizontal="center" vertical="center" wrapText="1"/>
    </xf>
    <xf numFmtId="184" fontId="22" fillId="6" borderId="30" xfId="1" applyNumberFormat="1" applyFont="1" applyFill="1" applyBorder="1" applyAlignment="1">
      <alignment horizontal="center" vertical="center"/>
    </xf>
    <xf numFmtId="184" fontId="22" fillId="0" borderId="30" xfId="1" applyNumberFormat="1" applyFont="1" applyBorder="1" applyAlignment="1">
      <alignment horizontal="center" vertical="center"/>
    </xf>
    <xf numFmtId="185" fontId="22" fillId="0" borderId="30" xfId="1" applyNumberFormat="1" applyFont="1" applyBorder="1" applyAlignment="1">
      <alignment horizontal="center" vertical="center"/>
    </xf>
    <xf numFmtId="184" fontId="23" fillId="0" borderId="0" xfId="1" applyNumberFormat="1" applyFont="1" applyAlignment="1">
      <alignment horizontal="center" vertical="center"/>
    </xf>
    <xf numFmtId="183" fontId="22" fillId="0" borderId="2" xfId="1" applyNumberFormat="1" applyFont="1" applyFill="1" applyBorder="1" applyAlignment="1">
      <alignment horizontal="center" vertical="center"/>
    </xf>
    <xf numFmtId="49" fontId="22" fillId="4" borderId="2" xfId="0" applyNumberFormat="1" applyFont="1" applyFill="1" applyBorder="1" applyAlignment="1">
      <alignment horizontal="center" vertical="center"/>
    </xf>
    <xf numFmtId="0" fontId="23" fillId="0" borderId="0" xfId="6" applyFont="1" applyAlignment="1">
      <alignment vertical="center"/>
    </xf>
    <xf numFmtId="0" fontId="15" fillId="0" borderId="3" xfId="6" applyFont="1" applyBorder="1" applyAlignment="1">
      <alignment vertical="center"/>
    </xf>
    <xf numFmtId="186" fontId="22" fillId="4" borderId="2" xfId="0" applyNumberFormat="1" applyFont="1" applyFill="1" applyBorder="1" applyAlignment="1">
      <alignment horizontal="right" vertical="center" wrapText="1"/>
    </xf>
    <xf numFmtId="186" fontId="22" fillId="5" borderId="2" xfId="1" applyNumberFormat="1" applyFont="1" applyFill="1" applyBorder="1" applyAlignment="1">
      <alignment horizontal="right" vertical="center" wrapText="1"/>
    </xf>
    <xf numFmtId="186" fontId="22" fillId="4" borderId="2" xfId="1" applyNumberFormat="1" applyFont="1" applyFill="1" applyBorder="1" applyAlignment="1">
      <alignment horizontal="right" vertical="center" wrapText="1"/>
    </xf>
    <xf numFmtId="0" fontId="22" fillId="0" borderId="0" xfId="0" applyFont="1" applyAlignment="1">
      <alignment vertical="center" wrapText="1"/>
    </xf>
    <xf numFmtId="0" fontId="26" fillId="3" borderId="2" xfId="3" applyFont="1" applyFill="1" applyBorder="1" applyAlignment="1">
      <alignment horizontal="center" vertical="center" wrapText="1"/>
    </xf>
    <xf numFmtId="0" fontId="25" fillId="4" borderId="0" xfId="0" applyFont="1" applyFill="1" applyAlignment="1">
      <alignment vertical="center" wrapText="1"/>
    </xf>
    <xf numFmtId="0" fontId="26" fillId="0" borderId="0" xfId="0" applyFont="1" applyAlignment="1">
      <alignment horizontal="center" vertical="center"/>
    </xf>
    <xf numFmtId="0" fontId="26" fillId="3" borderId="2" xfId="0" applyFont="1" applyFill="1" applyBorder="1" applyAlignment="1">
      <alignment horizontal="center" vertical="center"/>
    </xf>
    <xf numFmtId="0" fontId="22" fillId="0" borderId="0" xfId="0" applyFont="1">
      <alignment vertical="center"/>
    </xf>
    <xf numFmtId="0" fontId="26" fillId="8" borderId="23" xfId="0" applyFont="1" applyFill="1" applyBorder="1">
      <alignment vertical="center"/>
    </xf>
    <xf numFmtId="0" fontId="26" fillId="8" borderId="20" xfId="0" applyFont="1" applyFill="1" applyBorder="1">
      <alignment vertical="center"/>
    </xf>
    <xf numFmtId="0" fontId="27" fillId="0" borderId="0" xfId="0" applyFont="1">
      <alignment vertical="center"/>
    </xf>
    <xf numFmtId="0" fontId="25" fillId="10" borderId="0" xfId="0" applyFont="1" applyFill="1">
      <alignment vertical="center"/>
    </xf>
    <xf numFmtId="0" fontId="25" fillId="4" borderId="0" xfId="0" applyFont="1" applyFill="1">
      <alignment vertical="center"/>
    </xf>
    <xf numFmtId="177" fontId="15" fillId="10" borderId="0" xfId="0" applyNumberFormat="1" applyFont="1" applyFill="1">
      <alignment vertical="center"/>
    </xf>
    <xf numFmtId="0" fontId="28" fillId="0" borderId="0" xfId="0" applyFont="1">
      <alignment vertical="center"/>
    </xf>
    <xf numFmtId="177" fontId="28" fillId="0" borderId="0" xfId="0" applyNumberFormat="1" applyFont="1">
      <alignment vertical="center"/>
    </xf>
    <xf numFmtId="0" fontId="25" fillId="0" borderId="0" xfId="0" applyFont="1">
      <alignment vertical="center"/>
    </xf>
    <xf numFmtId="0" fontId="26" fillId="4" borderId="0" xfId="0" applyFont="1" applyFill="1">
      <alignment vertical="center"/>
    </xf>
    <xf numFmtId="183" fontId="22" fillId="4" borderId="2" xfId="1" applyNumberFormat="1" applyFont="1" applyFill="1" applyBorder="1" applyAlignment="1">
      <alignment horizontal="center" vertical="center"/>
    </xf>
    <xf numFmtId="49" fontId="30" fillId="9" borderId="34" xfId="0" applyNumberFormat="1" applyFont="1" applyFill="1" applyBorder="1" applyAlignment="1">
      <alignment horizontal="center" vertical="center" wrapText="1"/>
    </xf>
    <xf numFmtId="49" fontId="30" fillId="9" borderId="35" xfId="0" applyNumberFormat="1" applyFont="1" applyFill="1" applyBorder="1" applyAlignment="1">
      <alignment horizontal="center" vertical="center" wrapText="1"/>
    </xf>
    <xf numFmtId="49" fontId="30" fillId="9" borderId="36" xfId="0" applyNumberFormat="1" applyFont="1" applyFill="1" applyBorder="1" applyAlignment="1">
      <alignment horizontal="center" vertical="center" wrapText="1"/>
    </xf>
    <xf numFmtId="49" fontId="22" fillId="6" borderId="2" xfId="0" applyNumberFormat="1" applyFont="1" applyFill="1" applyBorder="1" applyAlignment="1">
      <alignment horizontal="center" vertical="center" wrapText="1"/>
    </xf>
    <xf numFmtId="0" fontId="31" fillId="6" borderId="2" xfId="0" applyFont="1" applyFill="1" applyBorder="1" applyAlignment="1">
      <alignment horizontal="center" vertical="center"/>
    </xf>
    <xf numFmtId="0" fontId="32" fillId="6" borderId="2" xfId="0" applyFont="1" applyFill="1" applyBorder="1" applyAlignment="1">
      <alignment horizontal="center" vertical="center"/>
    </xf>
    <xf numFmtId="0" fontId="32" fillId="4" borderId="2" xfId="0" applyFont="1" applyFill="1" applyBorder="1" applyAlignment="1">
      <alignment horizontal="center" vertical="center"/>
    </xf>
    <xf numFmtId="49" fontId="32" fillId="4" borderId="2" xfId="0" applyNumberFormat="1" applyFont="1" applyFill="1" applyBorder="1" applyAlignment="1">
      <alignment horizontal="center" vertical="center"/>
    </xf>
    <xf numFmtId="189" fontId="31" fillId="4" borderId="2" xfId="1" applyNumberFormat="1" applyFont="1" applyFill="1" applyBorder="1" applyAlignment="1">
      <alignment horizontal="center" vertical="center"/>
    </xf>
    <xf numFmtId="177" fontId="32" fillId="4" borderId="2" xfId="1" applyFont="1" applyFill="1" applyBorder="1" applyAlignment="1">
      <alignment horizontal="center" vertical="center"/>
    </xf>
    <xf numFmtId="177" fontId="22" fillId="4" borderId="2" xfId="1" applyFont="1" applyFill="1" applyBorder="1" applyAlignment="1">
      <alignment horizontal="center" vertical="center" wrapText="1"/>
    </xf>
    <xf numFmtId="0" fontId="34" fillId="0" borderId="0" xfId="0" applyFont="1">
      <alignment vertical="center"/>
    </xf>
    <xf numFmtId="49" fontId="33" fillId="0" borderId="0" xfId="0" applyNumberFormat="1" applyFont="1" applyAlignment="1">
      <alignment horizontal="center" vertical="center" wrapText="1"/>
    </xf>
    <xf numFmtId="49" fontId="33" fillId="0" borderId="0" xfId="0" applyNumberFormat="1" applyFont="1" applyAlignment="1">
      <alignment horizontal="center" vertical="center"/>
    </xf>
    <xf numFmtId="187" fontId="33" fillId="0" borderId="0" xfId="1" applyNumberFormat="1" applyFont="1" applyFill="1" applyBorder="1" applyAlignment="1">
      <alignment horizontal="center" vertical="center"/>
    </xf>
    <xf numFmtId="186" fontId="33" fillId="0" borderId="0" xfId="1" applyNumberFormat="1" applyFont="1" applyFill="1" applyBorder="1" applyAlignment="1">
      <alignment horizontal="right" vertical="center" wrapText="1"/>
    </xf>
    <xf numFmtId="189" fontId="33" fillId="0" borderId="0" xfId="1" applyNumberFormat="1" applyFont="1" applyFill="1" applyBorder="1" applyAlignment="1">
      <alignment horizontal="center" vertical="center"/>
    </xf>
    <xf numFmtId="182" fontId="33" fillId="0" borderId="0" xfId="0" applyNumberFormat="1" applyFont="1" applyAlignment="1">
      <alignment horizontal="right" vertical="center" wrapText="1"/>
    </xf>
    <xf numFmtId="49" fontId="35" fillId="0" borderId="0" xfId="0" applyNumberFormat="1" applyFont="1" applyAlignment="1">
      <alignment horizontal="center" vertical="center" wrapText="1"/>
    </xf>
    <xf numFmtId="190" fontId="33" fillId="0" borderId="0" xfId="0" applyNumberFormat="1" applyFont="1">
      <alignment vertical="center"/>
    </xf>
    <xf numFmtId="0" fontId="36" fillId="0" borderId="0" xfId="22" applyFont="1">
      <alignment vertical="center"/>
    </xf>
    <xf numFmtId="0" fontId="37" fillId="0" borderId="0" xfId="22" quotePrefix="1" applyFont="1" applyAlignment="1">
      <alignment vertical="center" wrapText="1"/>
    </xf>
    <xf numFmtId="0" fontId="36" fillId="0" borderId="0" xfId="22" applyFont="1" applyAlignment="1">
      <alignment horizontal="center" vertical="center"/>
    </xf>
    <xf numFmtId="0" fontId="45" fillId="11" borderId="41" xfId="22" applyFont="1" applyFill="1" applyBorder="1" applyAlignment="1">
      <alignment horizontal="center" vertical="center"/>
    </xf>
    <xf numFmtId="0" fontId="45" fillId="11" borderId="56" xfId="22" applyFont="1" applyFill="1" applyBorder="1" applyAlignment="1">
      <alignment horizontal="center" vertical="center"/>
    </xf>
    <xf numFmtId="0" fontId="45" fillId="11" borderId="57" xfId="22" applyFont="1" applyFill="1" applyBorder="1" applyAlignment="1">
      <alignment horizontal="center" vertical="center"/>
    </xf>
    <xf numFmtId="0" fontId="45" fillId="11" borderId="55" xfId="22" applyFont="1" applyFill="1" applyBorder="1" applyAlignment="1">
      <alignment horizontal="center" vertical="center"/>
    </xf>
    <xf numFmtId="0" fontId="29" fillId="0" borderId="0" xfId="22" applyFont="1" applyAlignment="1">
      <alignment horizontal="center" vertical="center"/>
    </xf>
    <xf numFmtId="0" fontId="38" fillId="0" borderId="0" xfId="22" applyFont="1" applyAlignment="1">
      <alignment horizontal="center" vertical="center"/>
    </xf>
    <xf numFmtId="0" fontId="1" fillId="0" borderId="0" xfId="22">
      <alignment vertical="center"/>
    </xf>
    <xf numFmtId="0" fontId="40" fillId="0" borderId="37" xfId="22" applyFont="1" applyBorder="1" applyAlignment="1">
      <alignment horizontal="center" vertical="center"/>
    </xf>
    <xf numFmtId="0" fontId="41" fillId="0" borderId="31" xfId="22" applyFont="1" applyBorder="1" applyAlignment="1">
      <alignment horizontal="center" vertical="center" wrapText="1"/>
    </xf>
    <xf numFmtId="0" fontId="40" fillId="0" borderId="31" xfId="22" applyFont="1" applyBorder="1" applyAlignment="1">
      <alignment horizontal="center" vertical="center" wrapText="1"/>
    </xf>
    <xf numFmtId="0" fontId="40" fillId="0" borderId="31" xfId="22" applyFont="1" applyBorder="1" applyAlignment="1">
      <alignment horizontal="center" vertical="center"/>
    </xf>
    <xf numFmtId="0" fontId="40" fillId="0" borderId="38" xfId="22" applyFont="1" applyBorder="1" applyAlignment="1">
      <alignment horizontal="center" vertical="center"/>
    </xf>
    <xf numFmtId="188" fontId="43" fillId="0" borderId="14" xfId="22" applyNumberFormat="1" applyFont="1" applyBorder="1" applyAlignment="1">
      <alignment horizontal="center" vertical="center"/>
    </xf>
    <xf numFmtId="0" fontId="41" fillId="0" borderId="14" xfId="22" applyFont="1" applyBorder="1" applyAlignment="1">
      <alignment horizontal="center" vertical="center" wrapText="1"/>
    </xf>
    <xf numFmtId="0" fontId="40" fillId="0" borderId="14" xfId="22" applyFont="1" applyBorder="1" applyAlignment="1">
      <alignment horizontal="center" vertical="center" wrapText="1"/>
    </xf>
    <xf numFmtId="0" fontId="40" fillId="0" borderId="14" xfId="22" applyFont="1" applyBorder="1" applyAlignment="1">
      <alignment horizontal="center" vertical="center"/>
    </xf>
    <xf numFmtId="0" fontId="39" fillId="4" borderId="33" xfId="22" applyFont="1" applyFill="1" applyBorder="1" applyAlignment="1">
      <alignment horizontal="center" vertical="center" wrapText="1"/>
    </xf>
    <xf numFmtId="0" fontId="39" fillId="4" borderId="33" xfId="22" applyFont="1" applyFill="1" applyBorder="1" applyAlignment="1">
      <alignment horizontal="center" vertical="center"/>
    </xf>
    <xf numFmtId="0" fontId="40" fillId="0" borderId="60" xfId="22" applyFont="1" applyBorder="1" applyAlignment="1">
      <alignment horizontal="center" vertical="center"/>
    </xf>
    <xf numFmtId="0" fontId="41" fillId="0" borderId="61" xfId="22" applyFont="1" applyBorder="1" applyAlignment="1">
      <alignment horizontal="center" vertical="center" wrapText="1"/>
    </xf>
    <xf numFmtId="0" fontId="40" fillId="0" borderId="61" xfId="22" applyFont="1" applyBorder="1" applyAlignment="1">
      <alignment horizontal="center" vertical="center" wrapText="1"/>
    </xf>
    <xf numFmtId="0" fontId="40" fillId="0" borderId="61" xfId="22" applyFont="1" applyBorder="1" applyAlignment="1">
      <alignment horizontal="center" vertical="center"/>
    </xf>
    <xf numFmtId="0" fontId="46" fillId="13" borderId="63" xfId="22" applyFont="1" applyFill="1" applyBorder="1" applyAlignment="1">
      <alignment horizontal="center" vertical="center"/>
    </xf>
    <xf numFmtId="0" fontId="39" fillId="4" borderId="67" xfId="22" applyFont="1" applyFill="1" applyBorder="1" applyAlignment="1">
      <alignment horizontal="center" vertical="center" wrapText="1"/>
    </xf>
    <xf numFmtId="0" fontId="46" fillId="13" borderId="68" xfId="22" applyFont="1" applyFill="1" applyBorder="1" applyAlignment="1">
      <alignment horizontal="center" vertical="center"/>
    </xf>
    <xf numFmtId="0" fontId="39" fillId="4" borderId="62" xfId="22" applyFont="1" applyFill="1" applyBorder="1" applyAlignment="1">
      <alignment horizontal="center" vertical="center" wrapText="1"/>
    </xf>
    <xf numFmtId="0" fontId="39" fillId="4" borderId="67" xfId="22" applyFont="1" applyFill="1" applyBorder="1" applyAlignment="1">
      <alignment horizontal="center" vertical="center"/>
    </xf>
    <xf numFmtId="0" fontId="46" fillId="13" borderId="71" xfId="22" applyFont="1" applyFill="1" applyBorder="1" applyAlignment="1">
      <alignment horizontal="center" vertical="center"/>
    </xf>
    <xf numFmtId="0" fontId="42" fillId="13" borderId="73" xfId="22" applyFont="1" applyFill="1" applyBorder="1" applyAlignment="1">
      <alignment vertical="center" wrapText="1"/>
    </xf>
    <xf numFmtId="0" fontId="39" fillId="4" borderId="75" xfId="22" applyFont="1" applyFill="1" applyBorder="1" applyAlignment="1">
      <alignment horizontal="center" vertical="center"/>
    </xf>
    <xf numFmtId="20" fontId="50" fillId="11" borderId="14" xfId="22" applyNumberFormat="1" applyFont="1" applyFill="1" applyBorder="1" applyAlignment="1">
      <alignment horizontal="center" vertical="center"/>
    </xf>
    <xf numFmtId="0" fontId="52" fillId="13" borderId="64" xfId="22" applyFont="1" applyFill="1" applyBorder="1" applyAlignment="1">
      <alignment horizontal="center" vertical="center"/>
    </xf>
    <xf numFmtId="191" fontId="52" fillId="13" borderId="65" xfId="22" applyNumberFormat="1" applyFont="1" applyFill="1" applyBorder="1" applyAlignment="1">
      <alignment horizontal="center" vertical="center"/>
    </xf>
    <xf numFmtId="20" fontId="52" fillId="13" borderId="65" xfId="22" applyNumberFormat="1" applyFont="1" applyFill="1" applyBorder="1" applyAlignment="1">
      <alignment horizontal="center" vertical="center"/>
    </xf>
    <xf numFmtId="20" fontId="53" fillId="15" borderId="65" xfId="22" applyNumberFormat="1" applyFont="1" applyFill="1" applyBorder="1" applyAlignment="1">
      <alignment horizontal="center" vertical="center"/>
    </xf>
    <xf numFmtId="188" fontId="42" fillId="13" borderId="65" xfId="22" applyNumberFormat="1" applyFont="1" applyFill="1" applyBorder="1" applyAlignment="1">
      <alignment horizontal="center" vertical="center"/>
    </xf>
    <xf numFmtId="0" fontId="42" fillId="13" borderId="65" xfId="22" applyFont="1" applyFill="1" applyBorder="1" applyAlignment="1">
      <alignment horizontal="center" vertical="center" wrapText="1"/>
    </xf>
    <xf numFmtId="0" fontId="52" fillId="13" borderId="65" xfId="22" applyFont="1" applyFill="1" applyBorder="1" applyAlignment="1">
      <alignment horizontal="center" vertical="center" wrapText="1"/>
    </xf>
    <xf numFmtId="0" fontId="52" fillId="13" borderId="65" xfId="22" applyFont="1" applyFill="1" applyBorder="1" applyAlignment="1">
      <alignment horizontal="center" vertical="center"/>
    </xf>
    <xf numFmtId="0" fontId="42" fillId="13" borderId="65" xfId="22" applyFont="1" applyFill="1" applyBorder="1" applyAlignment="1">
      <alignment vertical="center" wrapText="1"/>
    </xf>
    <xf numFmtId="0" fontId="52" fillId="13" borderId="38" xfId="22" applyFont="1" applyFill="1" applyBorder="1" applyAlignment="1">
      <alignment horizontal="center" vertical="center"/>
    </xf>
    <xf numFmtId="191" fontId="52" fillId="13" borderId="14" xfId="22" applyNumberFormat="1" applyFont="1" applyFill="1" applyBorder="1" applyAlignment="1">
      <alignment horizontal="center" vertical="center"/>
    </xf>
    <xf numFmtId="20" fontId="52" fillId="13" borderId="14" xfId="22" applyNumberFormat="1" applyFont="1" applyFill="1" applyBorder="1" applyAlignment="1">
      <alignment horizontal="center" vertical="center"/>
    </xf>
    <xf numFmtId="20" fontId="53" fillId="15" borderId="14" xfId="22" applyNumberFormat="1" applyFont="1" applyFill="1" applyBorder="1" applyAlignment="1">
      <alignment horizontal="center" vertical="center"/>
    </xf>
    <xf numFmtId="188" fontId="42" fillId="13" borderId="14" xfId="22" applyNumberFormat="1" applyFont="1" applyFill="1" applyBorder="1" applyAlignment="1">
      <alignment horizontal="center" vertical="center"/>
    </xf>
    <xf numFmtId="0" fontId="42" fillId="13" borderId="14" xfId="22" applyFont="1" applyFill="1" applyBorder="1" applyAlignment="1">
      <alignment horizontal="center" vertical="center"/>
    </xf>
    <xf numFmtId="0" fontId="52" fillId="13" borderId="14" xfId="22" applyFont="1" applyFill="1" applyBorder="1" applyAlignment="1">
      <alignment horizontal="center" vertical="center"/>
    </xf>
    <xf numFmtId="0" fontId="42" fillId="13" borderId="14" xfId="22" applyFont="1" applyFill="1" applyBorder="1" applyAlignment="1">
      <alignment vertical="center" wrapText="1"/>
    </xf>
    <xf numFmtId="0" fontId="52" fillId="13" borderId="72" xfId="22" applyFont="1" applyFill="1" applyBorder="1" applyAlignment="1">
      <alignment horizontal="center" vertical="center"/>
    </xf>
    <xf numFmtId="191" fontId="52" fillId="13" borderId="73" xfId="22" applyNumberFormat="1" applyFont="1" applyFill="1" applyBorder="1" applyAlignment="1">
      <alignment horizontal="center" vertical="center"/>
    </xf>
    <xf numFmtId="20" fontId="52" fillId="13" borderId="73" xfId="22" applyNumberFormat="1" applyFont="1" applyFill="1" applyBorder="1" applyAlignment="1">
      <alignment horizontal="center" vertical="center"/>
    </xf>
    <xf numFmtId="20" fontId="53" fillId="15" borderId="73" xfId="22" applyNumberFormat="1" applyFont="1" applyFill="1" applyBorder="1" applyAlignment="1">
      <alignment horizontal="center" vertical="center"/>
    </xf>
    <xf numFmtId="188" fontId="42" fillId="13" borderId="73" xfId="22" applyNumberFormat="1" applyFont="1" applyFill="1" applyBorder="1" applyAlignment="1">
      <alignment horizontal="center" vertical="center"/>
    </xf>
    <xf numFmtId="0" fontId="42" fillId="13" borderId="73" xfId="22" applyFont="1" applyFill="1" applyBorder="1" applyAlignment="1">
      <alignment horizontal="center" vertical="center"/>
    </xf>
    <xf numFmtId="0" fontId="52" fillId="13" borderId="73" xfId="22" applyFont="1" applyFill="1" applyBorder="1" applyAlignment="1">
      <alignment horizontal="center" vertical="center"/>
    </xf>
    <xf numFmtId="188" fontId="43" fillId="0" borderId="78" xfId="22" applyNumberFormat="1" applyFont="1" applyBorder="1" applyAlignment="1">
      <alignment horizontal="center" vertical="center"/>
    </xf>
    <xf numFmtId="0" fontId="37" fillId="17" borderId="0" xfId="22" quotePrefix="1" applyFont="1" applyFill="1" applyAlignment="1">
      <alignment vertical="center" wrapText="1"/>
    </xf>
    <xf numFmtId="0" fontId="46" fillId="0" borderId="46" xfId="22" applyFont="1" applyBorder="1" applyAlignment="1">
      <alignment horizontal="center" vertical="center"/>
    </xf>
    <xf numFmtId="0" fontId="52" fillId="0" borderId="38" xfId="22" applyFont="1" applyBorder="1" applyAlignment="1">
      <alignment horizontal="center" vertical="center"/>
    </xf>
    <xf numFmtId="191" fontId="52" fillId="0" borderId="14" xfId="22" applyNumberFormat="1" applyFont="1" applyBorder="1" applyAlignment="1">
      <alignment horizontal="center" vertical="center"/>
    </xf>
    <xf numFmtId="20" fontId="52" fillId="0" borderId="14" xfId="22" applyNumberFormat="1" applyFont="1" applyBorder="1" applyAlignment="1">
      <alignment horizontal="center" vertical="center"/>
    </xf>
    <xf numFmtId="20" fontId="53" fillId="11" borderId="14" xfId="22" applyNumberFormat="1" applyFont="1" applyFill="1" applyBorder="1" applyAlignment="1">
      <alignment horizontal="center" vertical="center"/>
    </xf>
    <xf numFmtId="0" fontId="42" fillId="0" borderId="14" xfId="22" applyFont="1" applyBorder="1" applyAlignment="1">
      <alignment horizontal="center" vertical="center" wrapText="1"/>
    </xf>
    <xf numFmtId="0" fontId="52" fillId="0" borderId="14" xfId="22" applyFont="1" applyBorder="1" applyAlignment="1">
      <alignment horizontal="center" vertical="center" wrapText="1"/>
    </xf>
    <xf numFmtId="0" fontId="52" fillId="0" borderId="14" xfId="22" applyFont="1" applyBorder="1" applyAlignment="1">
      <alignment horizontal="center" vertical="center"/>
    </xf>
    <xf numFmtId="0" fontId="42" fillId="0" borderId="14" xfId="22" applyFont="1" applyBorder="1" applyAlignment="1">
      <alignment vertical="center" wrapText="1"/>
    </xf>
    <xf numFmtId="0" fontId="46" fillId="4" borderId="33" xfId="22" applyFont="1" applyFill="1" applyBorder="1" applyAlignment="1">
      <alignment horizontal="center" vertical="center" wrapText="1"/>
    </xf>
    <xf numFmtId="0" fontId="54" fillId="0" borderId="0" xfId="22" applyFont="1">
      <alignment vertical="center"/>
    </xf>
    <xf numFmtId="0" fontId="46" fillId="0" borderId="76" xfId="22" applyFont="1" applyBorder="1" applyAlignment="1">
      <alignment horizontal="center" vertical="center"/>
    </xf>
    <xf numFmtId="0" fontId="52" fillId="0" borderId="77" xfId="22" applyFont="1" applyBorder="1" applyAlignment="1">
      <alignment horizontal="center" vertical="center"/>
    </xf>
    <xf numFmtId="191" fontId="52" fillId="0" borderId="78" xfId="22" applyNumberFormat="1" applyFont="1" applyBorder="1" applyAlignment="1">
      <alignment horizontal="center" vertical="center"/>
    </xf>
    <xf numFmtId="20" fontId="52" fillId="0" borderId="78" xfId="22" applyNumberFormat="1" applyFont="1" applyBorder="1" applyAlignment="1">
      <alignment horizontal="center" vertical="center"/>
    </xf>
    <xf numFmtId="20" fontId="53" fillId="11" borderId="78" xfId="22" applyNumberFormat="1" applyFont="1" applyFill="1" applyBorder="1" applyAlignment="1">
      <alignment horizontal="center" vertical="center"/>
    </xf>
    <xf numFmtId="0" fontId="42" fillId="0" borderId="78" xfId="22" applyFont="1" applyBorder="1" applyAlignment="1">
      <alignment horizontal="center" vertical="center"/>
    </xf>
    <xf numFmtId="0" fontId="52" fillId="0" borderId="78" xfId="22" applyFont="1" applyBorder="1" applyAlignment="1">
      <alignment horizontal="center" vertical="center"/>
    </xf>
    <xf numFmtId="0" fontId="42" fillId="0" borderId="78" xfId="22" applyFont="1" applyBorder="1" applyAlignment="1">
      <alignment vertical="center" wrapText="1"/>
    </xf>
    <xf numFmtId="0" fontId="53" fillId="12" borderId="79" xfId="22" applyFont="1" applyFill="1" applyBorder="1" applyAlignment="1">
      <alignment horizontal="center" vertical="center" wrapText="1"/>
    </xf>
    <xf numFmtId="0" fontId="46" fillId="4" borderId="79" xfId="22" applyFont="1" applyFill="1" applyBorder="1" applyAlignment="1">
      <alignment horizontal="center" vertical="center" wrapText="1"/>
    </xf>
    <xf numFmtId="191" fontId="55" fillId="0" borderId="50" xfId="22" applyNumberFormat="1" applyFont="1" applyBorder="1" applyAlignment="1">
      <alignment horizontal="center" vertical="center"/>
    </xf>
    <xf numFmtId="20" fontId="55" fillId="0" borderId="50" xfId="22" applyNumberFormat="1" applyFont="1" applyBorder="1" applyAlignment="1">
      <alignment horizontal="center" vertical="center"/>
    </xf>
    <xf numFmtId="0" fontId="57" fillId="0" borderId="0" xfId="22" applyFont="1">
      <alignment vertical="center"/>
    </xf>
    <xf numFmtId="191" fontId="49" fillId="11" borderId="14" xfId="22" applyNumberFormat="1" applyFont="1" applyFill="1" applyBorder="1" applyAlignment="1">
      <alignment horizontal="center" vertical="center"/>
    </xf>
    <xf numFmtId="20" fontId="49" fillId="11" borderId="14" xfId="22" applyNumberFormat="1" applyFont="1" applyFill="1" applyBorder="1" applyAlignment="1">
      <alignment horizontal="center" vertical="center"/>
    </xf>
    <xf numFmtId="0" fontId="51" fillId="11" borderId="14" xfId="22" applyFont="1" applyFill="1" applyBorder="1" applyAlignment="1">
      <alignment horizontal="center" vertical="center" wrapText="1"/>
    </xf>
    <xf numFmtId="0" fontId="49" fillId="11" borderId="14" xfId="22" applyFont="1" applyFill="1" applyBorder="1" applyAlignment="1">
      <alignment horizontal="center" vertical="center" wrapText="1"/>
    </xf>
    <xf numFmtId="0" fontId="49" fillId="11" borderId="14" xfId="22" applyFont="1" applyFill="1" applyBorder="1" applyAlignment="1">
      <alignment horizontal="center" vertical="center"/>
    </xf>
    <xf numFmtId="0" fontId="51" fillId="11" borderId="14" xfId="22" applyFont="1" applyFill="1" applyBorder="1" applyAlignment="1">
      <alignment vertical="center" wrapText="1"/>
    </xf>
    <xf numFmtId="0" fontId="39" fillId="11" borderId="33" xfId="22" applyFont="1" applyFill="1" applyBorder="1" applyAlignment="1">
      <alignment horizontal="center" vertical="center" wrapText="1"/>
    </xf>
    <xf numFmtId="188" fontId="51" fillId="11" borderId="61" xfId="22" applyNumberFormat="1" applyFont="1" applyFill="1" applyBorder="1" applyAlignment="1">
      <alignment horizontal="center" vertical="center"/>
    </xf>
    <xf numFmtId="0" fontId="49" fillId="11" borderId="38" xfId="22" applyFont="1" applyFill="1" applyBorder="1" applyAlignment="1">
      <alignment horizontal="centerContinuous" vertical="center"/>
    </xf>
    <xf numFmtId="0" fontId="47" fillId="0" borderId="0" xfId="22" applyFont="1" applyAlignment="1">
      <alignment horizontal="centerContinuous" vertical="center"/>
    </xf>
    <xf numFmtId="0" fontId="55" fillId="0" borderId="0" xfId="22" applyFont="1" applyAlignment="1">
      <alignment horizontal="centerContinuous" vertical="center"/>
    </xf>
    <xf numFmtId="0" fontId="58" fillId="0" borderId="44" xfId="22" applyFont="1" applyBorder="1" applyAlignment="1">
      <alignment horizontal="center" vertical="center"/>
    </xf>
    <xf numFmtId="191" fontId="40" fillId="0" borderId="31" xfId="22" applyNumberFormat="1" applyFont="1" applyBorder="1" applyAlignment="1">
      <alignment horizontal="center" vertical="center"/>
    </xf>
    <xf numFmtId="20" fontId="40" fillId="0" borderId="14" xfId="22" applyNumberFormat="1" applyFont="1" applyBorder="1" applyAlignment="1">
      <alignment horizontal="center" vertical="center"/>
    </xf>
    <xf numFmtId="20" fontId="40" fillId="0" borderId="31" xfId="22" applyNumberFormat="1" applyFont="1" applyBorder="1" applyAlignment="1">
      <alignment horizontal="center" vertical="center"/>
    </xf>
    <xf numFmtId="20" fontId="59" fillId="11" borderId="31" xfId="22" applyNumberFormat="1" applyFont="1" applyFill="1" applyBorder="1" applyAlignment="1">
      <alignment horizontal="center" vertical="center"/>
    </xf>
    <xf numFmtId="188" fontId="41" fillId="0" borderId="31" xfId="22" applyNumberFormat="1" applyFont="1" applyBorder="1" applyAlignment="1">
      <alignment horizontal="center" vertical="center"/>
    </xf>
    <xf numFmtId="0" fontId="41" fillId="0" borderId="31" xfId="22" applyFont="1" applyBorder="1" applyAlignment="1">
      <alignment vertical="center" wrapText="1"/>
    </xf>
    <xf numFmtId="0" fontId="59" fillId="12" borderId="32" xfId="22" applyFont="1" applyFill="1" applyBorder="1" applyAlignment="1">
      <alignment horizontal="center" vertical="center" wrapText="1"/>
    </xf>
    <xf numFmtId="0" fontId="58" fillId="4" borderId="32" xfId="22" applyFont="1" applyFill="1" applyBorder="1" applyAlignment="1">
      <alignment horizontal="center" vertical="center" wrapText="1"/>
    </xf>
    <xf numFmtId="0" fontId="60" fillId="0" borderId="0" xfId="22" applyFont="1">
      <alignment vertical="center"/>
    </xf>
    <xf numFmtId="0" fontId="58" fillId="0" borderId="46" xfId="22" applyFont="1" applyBorder="1" applyAlignment="1">
      <alignment horizontal="center" vertical="center"/>
    </xf>
    <xf numFmtId="191" fontId="40" fillId="0" borderId="14" xfId="22" applyNumberFormat="1" applyFont="1" applyBorder="1" applyAlignment="1">
      <alignment horizontal="center" vertical="center"/>
    </xf>
    <xf numFmtId="20" fontId="59" fillId="11" borderId="14" xfId="22" applyNumberFormat="1" applyFont="1" applyFill="1" applyBorder="1" applyAlignment="1">
      <alignment horizontal="center" vertical="center"/>
    </xf>
    <xf numFmtId="188" fontId="41" fillId="0" borderId="14" xfId="22" applyNumberFormat="1" applyFont="1" applyBorder="1" applyAlignment="1">
      <alignment horizontal="center" vertical="center"/>
    </xf>
    <xf numFmtId="0" fontId="41" fillId="0" borderId="14" xfId="22" applyFont="1" applyBorder="1" applyAlignment="1">
      <alignment horizontal="left" vertical="center" wrapText="1"/>
    </xf>
    <xf numFmtId="0" fontId="59" fillId="12" borderId="33" xfId="22" applyFont="1" applyFill="1" applyBorder="1" applyAlignment="1">
      <alignment horizontal="center" vertical="center" wrapText="1"/>
    </xf>
    <xf numFmtId="0" fontId="58" fillId="4" borderId="33" xfId="22" applyFont="1" applyFill="1" applyBorder="1" applyAlignment="1">
      <alignment horizontal="center" vertical="center" wrapText="1"/>
    </xf>
    <xf numFmtId="0" fontId="59" fillId="12" borderId="33" xfId="22" applyFont="1" applyFill="1" applyBorder="1" applyAlignment="1">
      <alignment horizontal="center" vertical="center"/>
    </xf>
    <xf numFmtId="0" fontId="58" fillId="4" borderId="33" xfId="22" applyFont="1" applyFill="1" applyBorder="1" applyAlignment="1">
      <alignment horizontal="center" vertical="center"/>
    </xf>
    <xf numFmtId="0" fontId="41" fillId="0" borderId="14" xfId="22" applyFont="1" applyBorder="1" applyAlignment="1">
      <alignment vertical="center" wrapText="1"/>
    </xf>
    <xf numFmtId="0" fontId="61" fillId="12" borderId="33" xfId="22" applyFont="1" applyFill="1" applyBorder="1" applyAlignment="1">
      <alignment horizontal="center" vertical="center" wrapText="1"/>
    </xf>
    <xf numFmtId="0" fontId="58" fillId="0" borderId="59" xfId="22" applyFont="1" applyBorder="1" applyAlignment="1">
      <alignment horizontal="center" vertical="center"/>
    </xf>
    <xf numFmtId="191" fontId="40" fillId="0" borderId="61" xfId="22" applyNumberFormat="1" applyFont="1" applyBorder="1" applyAlignment="1">
      <alignment horizontal="center" vertical="center"/>
    </xf>
    <xf numFmtId="20" fontId="40" fillId="0" borderId="61" xfId="22" applyNumberFormat="1" applyFont="1" applyBorder="1" applyAlignment="1">
      <alignment horizontal="center" vertical="center"/>
    </xf>
    <xf numFmtId="20" fontId="59" fillId="11" borderId="61" xfId="22" applyNumberFormat="1" applyFont="1" applyFill="1" applyBorder="1" applyAlignment="1">
      <alignment horizontal="center" vertical="center"/>
    </xf>
    <xf numFmtId="188" fontId="41" fillId="0" borderId="61" xfId="22" applyNumberFormat="1" applyFont="1" applyBorder="1" applyAlignment="1">
      <alignment horizontal="center" vertical="center"/>
    </xf>
    <xf numFmtId="0" fontId="41" fillId="0" borderId="61" xfId="22" applyFont="1" applyBorder="1" applyAlignment="1">
      <alignment vertical="center" wrapText="1"/>
    </xf>
    <xf numFmtId="0" fontId="61" fillId="12" borderId="62" xfId="22" applyFont="1" applyFill="1" applyBorder="1" applyAlignment="1">
      <alignment horizontal="center" vertical="center" wrapText="1"/>
    </xf>
    <xf numFmtId="49" fontId="62" fillId="6" borderId="2" xfId="0" applyNumberFormat="1" applyFont="1" applyFill="1" applyBorder="1" applyAlignment="1">
      <alignment horizontal="center" vertical="center" wrapText="1"/>
    </xf>
    <xf numFmtId="0" fontId="63" fillId="6" borderId="2" xfId="0" applyFont="1" applyFill="1" applyBorder="1" applyAlignment="1">
      <alignment horizontal="center" vertical="center"/>
    </xf>
    <xf numFmtId="186" fontId="22" fillId="0" borderId="2" xfId="1" applyNumberFormat="1" applyFont="1" applyFill="1" applyBorder="1" applyAlignment="1">
      <alignment horizontal="right" vertical="center" wrapText="1"/>
    </xf>
    <xf numFmtId="0" fontId="66" fillId="6" borderId="2" xfId="0" applyNumberFormat="1" applyFont="1" applyFill="1" applyBorder="1" applyAlignment="1">
      <alignment horizontal="center" vertical="center"/>
    </xf>
    <xf numFmtId="0" fontId="66" fillId="4" borderId="2" xfId="0" applyFont="1" applyFill="1" applyBorder="1" applyAlignment="1">
      <alignment horizontal="center" vertical="center"/>
    </xf>
    <xf numFmtId="49" fontId="66" fillId="4" borderId="2" xfId="0" applyNumberFormat="1" applyFont="1" applyFill="1" applyBorder="1" applyAlignment="1">
      <alignment horizontal="center" vertical="center"/>
    </xf>
    <xf numFmtId="177" fontId="66" fillId="4" borderId="2" xfId="1" applyFont="1" applyFill="1" applyBorder="1" applyAlignment="1">
      <alignment horizontal="center" vertical="center"/>
    </xf>
    <xf numFmtId="49" fontId="64" fillId="6" borderId="2" xfId="0" applyNumberFormat="1" applyFont="1" applyFill="1" applyBorder="1" applyAlignment="1">
      <alignment horizontal="center" vertical="center" wrapText="1"/>
    </xf>
    <xf numFmtId="0" fontId="62" fillId="6" borderId="2" xfId="0" applyFont="1" applyFill="1" applyBorder="1" applyAlignment="1">
      <alignment horizontal="center" vertical="center"/>
    </xf>
    <xf numFmtId="0" fontId="66" fillId="4" borderId="2" xfId="0" applyFont="1" applyFill="1" applyBorder="1" applyAlignment="1">
      <alignment horizontal="center" vertical="center" wrapText="1"/>
    </xf>
    <xf numFmtId="49" fontId="67" fillId="4" borderId="2" xfId="0" applyNumberFormat="1" applyFont="1" applyFill="1" applyBorder="1" applyAlignment="1">
      <alignment horizontal="center" vertical="center"/>
    </xf>
    <xf numFmtId="177" fontId="68" fillId="4" borderId="2" xfId="1" applyFont="1" applyFill="1" applyBorder="1" applyAlignment="1">
      <alignment horizontal="center" vertical="center" wrapText="1"/>
    </xf>
    <xf numFmtId="49" fontId="22" fillId="18" borderId="2" xfId="23" applyNumberFormat="1" applyFont="1" applyFill="1" applyBorder="1" applyAlignment="1">
      <alignment horizontal="center" vertical="center" wrapText="1"/>
    </xf>
    <xf numFmtId="0" fontId="26" fillId="18" borderId="2" xfId="23" applyFont="1" applyFill="1" applyBorder="1" applyAlignment="1">
      <alignment horizontal="center" vertical="center"/>
    </xf>
    <xf numFmtId="0" fontId="22" fillId="18" borderId="2" xfId="23" applyFont="1" applyFill="1" applyBorder="1" applyAlignment="1">
      <alignment horizontal="center" vertical="center"/>
    </xf>
    <xf numFmtId="49" fontId="22" fillId="0" borderId="2" xfId="23" applyNumberFormat="1" applyFont="1" applyBorder="1" applyAlignment="1">
      <alignment horizontal="center" vertical="center" wrapText="1"/>
    </xf>
    <xf numFmtId="49" fontId="22" fillId="19" borderId="2" xfId="23" applyNumberFormat="1" applyFont="1" applyFill="1" applyBorder="1" applyAlignment="1">
      <alignment horizontal="center" vertical="center"/>
    </xf>
    <xf numFmtId="186" fontId="22" fillId="19" borderId="2" xfId="24" applyNumberFormat="1" applyFont="1" applyFill="1" applyBorder="1" applyAlignment="1">
      <alignment horizontal="right" vertical="center"/>
    </xf>
    <xf numFmtId="186" fontId="22" fillId="19" borderId="2" xfId="23" applyNumberFormat="1" applyFont="1" applyFill="1" applyBorder="1" applyAlignment="1">
      <alignment horizontal="right" vertical="center" wrapText="1"/>
    </xf>
    <xf numFmtId="9" fontId="27" fillId="0" borderId="2" xfId="0" applyNumberFormat="1" applyFont="1" applyBorder="1" applyAlignment="1">
      <alignment horizontal="center" vertical="center"/>
    </xf>
    <xf numFmtId="0" fontId="48" fillId="0" borderId="50" xfId="22" applyFont="1" applyBorder="1" applyAlignment="1">
      <alignment horizontal="center" vertical="center"/>
    </xf>
    <xf numFmtId="0" fontId="48" fillId="0" borderId="50" xfId="22" applyFont="1" applyBorder="1" applyAlignment="1">
      <alignment horizontal="center" vertical="center" wrapText="1"/>
    </xf>
    <xf numFmtId="0" fontId="48" fillId="0" borderId="50" xfId="22" applyFont="1" applyBorder="1" applyAlignment="1">
      <alignment vertical="center" wrapText="1"/>
    </xf>
    <xf numFmtId="41" fontId="68" fillId="4" borderId="2" xfId="21" applyFont="1" applyFill="1" applyBorder="1" applyAlignment="1">
      <alignment horizontal="center" vertical="center" wrapText="1"/>
    </xf>
    <xf numFmtId="0" fontId="56" fillId="12" borderId="33" xfId="22" applyFont="1" applyFill="1" applyBorder="1" applyAlignment="1">
      <alignment horizontal="center" vertical="center" wrapText="1"/>
    </xf>
    <xf numFmtId="0" fontId="71" fillId="11" borderId="33" xfId="22" applyFont="1" applyFill="1" applyBorder="1" applyAlignment="1">
      <alignment horizontal="center" vertical="center" wrapText="1"/>
    </xf>
    <xf numFmtId="0" fontId="21" fillId="0" borderId="0" xfId="6" applyFont="1" applyAlignment="1">
      <alignment horizontal="center" vertical="center"/>
    </xf>
    <xf numFmtId="0" fontId="24" fillId="0" borderId="0" xfId="6" applyFont="1" applyAlignment="1">
      <alignment vertical="center"/>
    </xf>
    <xf numFmtId="0" fontId="23" fillId="0" borderId="0" xfId="6" applyFont="1" applyAlignment="1">
      <alignment vertical="center"/>
    </xf>
    <xf numFmtId="0" fontId="15" fillId="0" borderId="3" xfId="6" applyFont="1" applyBorder="1" applyAlignment="1">
      <alignment vertical="center"/>
    </xf>
    <xf numFmtId="0" fontId="15" fillId="0" borderId="4" xfId="6" applyFont="1" applyBorder="1" applyAlignment="1">
      <alignment vertical="center"/>
    </xf>
    <xf numFmtId="0" fontId="15" fillId="0" borderId="5" xfId="6" applyFont="1" applyBorder="1" applyAlignment="1">
      <alignment vertical="center"/>
    </xf>
    <xf numFmtId="0" fontId="26" fillId="0" borderId="0" xfId="0" applyFont="1" applyAlignment="1">
      <alignment horizontal="center" vertical="center"/>
    </xf>
    <xf numFmtId="0" fontId="22" fillId="0" borderId="29" xfId="0" applyFont="1" applyBorder="1" applyAlignment="1">
      <alignment horizontal="center" vertical="center"/>
    </xf>
    <xf numFmtId="0" fontId="22" fillId="0" borderId="22" xfId="0" applyFont="1" applyBorder="1" applyAlignment="1">
      <alignment horizontal="center" vertical="center"/>
    </xf>
    <xf numFmtId="0" fontId="26" fillId="0" borderId="20" xfId="0" applyFont="1" applyBorder="1" applyAlignment="1">
      <alignment horizontal="center" vertical="center"/>
    </xf>
    <xf numFmtId="0" fontId="26" fillId="8" borderId="2" xfId="0" applyFont="1" applyFill="1" applyBorder="1" applyAlignment="1">
      <alignment horizontal="center" vertical="center"/>
    </xf>
    <xf numFmtId="177" fontId="26" fillId="3" borderId="20" xfId="4" applyFont="1" applyFill="1" applyBorder="1" applyAlignment="1">
      <alignment horizontal="center" vertical="center"/>
    </xf>
    <xf numFmtId="178" fontId="26" fillId="3" borderId="20" xfId="5" applyFont="1" applyFill="1" applyBorder="1" applyAlignment="1">
      <alignment horizontal="center" vertical="center"/>
    </xf>
    <xf numFmtId="0" fontId="26" fillId="3" borderId="20" xfId="0" applyFont="1" applyFill="1" applyBorder="1" applyAlignment="1">
      <alignment horizontal="center" vertical="center"/>
    </xf>
    <xf numFmtId="0" fontId="26" fillId="3" borderId="2" xfId="0" applyFont="1" applyFill="1" applyBorder="1" applyAlignment="1">
      <alignment horizontal="center" vertical="center"/>
    </xf>
    <xf numFmtId="0" fontId="26" fillId="3" borderId="20" xfId="3" applyFont="1" applyFill="1" applyBorder="1" applyAlignment="1">
      <alignment horizontal="center" vertical="center"/>
    </xf>
    <xf numFmtId="0" fontId="26" fillId="3" borderId="2" xfId="3" applyFont="1" applyFill="1" applyBorder="1" applyAlignment="1">
      <alignment horizontal="center" vertical="center"/>
    </xf>
    <xf numFmtId="0" fontId="26" fillId="3" borderId="20" xfId="3" applyFont="1" applyFill="1" applyBorder="1" applyAlignment="1">
      <alignment horizontal="center" vertical="center" wrapText="1"/>
    </xf>
    <xf numFmtId="0" fontId="44" fillId="11" borderId="41" xfId="22" applyFont="1" applyFill="1" applyBorder="1" applyAlignment="1">
      <alignment horizontal="center" vertical="center"/>
    </xf>
    <xf numFmtId="0" fontId="44" fillId="11" borderId="55" xfId="22" applyFont="1" applyFill="1" applyBorder="1" applyAlignment="1">
      <alignment horizontal="center" vertical="center"/>
    </xf>
    <xf numFmtId="0" fontId="44" fillId="11" borderId="41" xfId="22" applyFont="1" applyFill="1" applyBorder="1" applyAlignment="1">
      <alignment horizontal="center" vertical="center" wrapText="1"/>
    </xf>
    <xf numFmtId="0" fontId="44" fillId="11" borderId="55" xfId="22" applyFont="1" applyFill="1" applyBorder="1" applyAlignment="1">
      <alignment horizontal="center" vertical="center" wrapText="1"/>
    </xf>
    <xf numFmtId="0" fontId="44" fillId="11" borderId="42" xfId="22" applyFont="1" applyFill="1" applyBorder="1" applyAlignment="1">
      <alignment horizontal="center" vertical="center" wrapText="1"/>
    </xf>
    <xf numFmtId="0" fontId="44" fillId="11" borderId="58" xfId="22" applyFont="1" applyFill="1" applyBorder="1" applyAlignment="1">
      <alignment horizontal="center" vertical="center" wrapText="1"/>
    </xf>
    <xf numFmtId="0" fontId="44" fillId="11" borderId="40" xfId="22" applyFont="1" applyFill="1" applyBorder="1" applyAlignment="1">
      <alignment horizontal="center" vertical="center"/>
    </xf>
    <xf numFmtId="0" fontId="44" fillId="11" borderId="54" xfId="22" applyFont="1" applyFill="1" applyBorder="1" applyAlignment="1">
      <alignment horizontal="center" vertical="center"/>
    </xf>
    <xf numFmtId="0" fontId="45" fillId="11" borderId="41" xfId="22" applyFont="1" applyFill="1" applyBorder="1" applyAlignment="1">
      <alignment horizontal="center" vertical="center" wrapText="1"/>
    </xf>
    <xf numFmtId="0" fontId="45" fillId="11" borderId="55" xfId="22" applyFont="1" applyFill="1" applyBorder="1" applyAlignment="1">
      <alignment horizontal="center" vertical="center"/>
    </xf>
    <xf numFmtId="0" fontId="45" fillId="11" borderId="41" xfId="22" applyFont="1" applyFill="1" applyBorder="1" applyAlignment="1">
      <alignment horizontal="center" vertical="center"/>
    </xf>
    <xf numFmtId="0" fontId="74" fillId="4" borderId="33" xfId="22" applyFont="1" applyFill="1" applyBorder="1" applyAlignment="1">
      <alignment horizontal="center" vertical="center" wrapText="1"/>
    </xf>
    <xf numFmtId="0" fontId="44" fillId="11" borderId="80" xfId="22" applyFont="1" applyFill="1" applyBorder="1" applyAlignment="1">
      <alignment horizontal="center" vertical="center"/>
    </xf>
    <xf numFmtId="0" fontId="44" fillId="11" borderId="81" xfId="22" applyFont="1" applyFill="1" applyBorder="1" applyAlignment="1">
      <alignment horizontal="center" vertical="center"/>
    </xf>
    <xf numFmtId="0" fontId="44" fillId="11" borderId="82" xfId="22" applyFont="1" applyFill="1" applyBorder="1" applyAlignment="1">
      <alignment horizontal="center" vertical="center"/>
    </xf>
    <xf numFmtId="0" fontId="76" fillId="0" borderId="83" xfId="22" applyFont="1" applyBorder="1" applyAlignment="1">
      <alignment horizontal="center" vertical="center" wrapText="1"/>
    </xf>
    <xf numFmtId="0" fontId="77" fillId="0" borderId="84" xfId="22" applyFont="1" applyBorder="1" applyAlignment="1">
      <alignment horizontal="center" vertical="center" wrapText="1"/>
    </xf>
    <xf numFmtId="0" fontId="77" fillId="0" borderId="85" xfId="22" applyFont="1" applyBorder="1" applyAlignment="1">
      <alignment horizontal="center" vertical="center" wrapText="1"/>
    </xf>
    <xf numFmtId="0" fontId="78" fillId="12" borderId="33" xfId="22" applyFont="1" applyFill="1" applyBorder="1" applyAlignment="1">
      <alignment horizontal="center" vertical="center" wrapText="1"/>
    </xf>
    <xf numFmtId="0" fontId="79" fillId="4" borderId="33" xfId="22" applyFont="1" applyFill="1" applyBorder="1" applyAlignment="1">
      <alignment horizontal="center" vertical="center" wrapText="1"/>
    </xf>
    <xf numFmtId="0" fontId="78" fillId="4" borderId="33" xfId="22" applyFont="1" applyFill="1" applyBorder="1" applyAlignment="1">
      <alignment horizontal="center" vertical="center" wrapText="1"/>
    </xf>
    <xf numFmtId="0" fontId="78" fillId="0" borderId="51" xfId="22" applyFont="1" applyBorder="1" applyAlignment="1">
      <alignment horizontal="center" vertical="center" wrapText="1"/>
    </xf>
    <xf numFmtId="0" fontId="80" fillId="0" borderId="0" xfId="22" applyFont="1">
      <alignment vertical="center"/>
    </xf>
    <xf numFmtId="193" fontId="80" fillId="0" borderId="0" xfId="22" applyNumberFormat="1" applyFont="1">
      <alignment vertical="center"/>
    </xf>
    <xf numFmtId="0" fontId="78" fillId="10" borderId="50" xfId="22" applyFont="1" applyFill="1" applyBorder="1" applyAlignment="1">
      <alignment horizontal="center" vertical="center"/>
    </xf>
    <xf numFmtId="0" fontId="82" fillId="0" borderId="43" xfId="22" applyFont="1" applyBorder="1" applyAlignment="1">
      <alignment horizontal="center" vertical="center"/>
    </xf>
    <xf numFmtId="0" fontId="41" fillId="0" borderId="45" xfId="22" applyFont="1" applyBorder="1">
      <alignment vertical="center"/>
    </xf>
    <xf numFmtId="0" fontId="41" fillId="0" borderId="47" xfId="22" applyFont="1" applyBorder="1" applyAlignment="1">
      <alignment horizontal="center" vertical="center" wrapText="1"/>
    </xf>
    <xf numFmtId="188" fontId="41" fillId="0" borderId="47" xfId="22" applyNumberFormat="1" applyFont="1" applyBorder="1" applyAlignment="1">
      <alignment horizontal="center" vertical="center"/>
    </xf>
    <xf numFmtId="0" fontId="43" fillId="0" borderId="47" xfId="22" applyFont="1" applyBorder="1" applyAlignment="1">
      <alignment horizontal="center" vertical="center" wrapText="1"/>
    </xf>
    <xf numFmtId="0" fontId="43" fillId="11" borderId="47" xfId="22" applyFont="1" applyFill="1" applyBorder="1" applyAlignment="1">
      <alignment horizontal="center" vertical="center" wrapText="1"/>
    </xf>
    <xf numFmtId="0" fontId="42" fillId="0" borderId="47" xfId="22" applyFont="1" applyBorder="1" applyAlignment="1">
      <alignment horizontal="center" vertical="center" wrapText="1"/>
    </xf>
    <xf numFmtId="0" fontId="83" fillId="0" borderId="47" xfId="22" applyFont="1" applyBorder="1" applyAlignment="1">
      <alignment horizontal="center" vertical="center" wrapText="1"/>
    </xf>
    <xf numFmtId="0" fontId="42" fillId="0" borderId="43" xfId="22" applyFont="1" applyBorder="1" applyAlignment="1">
      <alignment horizontal="center" vertical="center" wrapText="1"/>
    </xf>
    <xf numFmtId="0" fontId="84" fillId="0" borderId="52" xfId="22" applyFont="1" applyBorder="1" applyAlignment="1">
      <alignment vertical="center" wrapText="1"/>
    </xf>
    <xf numFmtId="0" fontId="85" fillId="0" borderId="39" xfId="22" quotePrefix="1" applyFont="1" applyBorder="1" applyAlignment="1">
      <alignment vertical="center"/>
    </xf>
    <xf numFmtId="0" fontId="78" fillId="16" borderId="66" xfId="22" applyFont="1" applyFill="1" applyBorder="1" applyAlignment="1">
      <alignment horizontal="center" vertical="center" wrapText="1"/>
    </xf>
    <xf numFmtId="0" fontId="78" fillId="16" borderId="69" xfId="22" applyFont="1" applyFill="1" applyBorder="1" applyAlignment="1">
      <alignment horizontal="center" vertical="center" wrapText="1"/>
    </xf>
    <xf numFmtId="0" fontId="78" fillId="16" borderId="69" xfId="22" applyFont="1" applyFill="1" applyBorder="1" applyAlignment="1">
      <alignment horizontal="center" vertical="center"/>
    </xf>
    <xf numFmtId="0" fontId="78" fillId="16" borderId="74" xfId="22" applyFont="1" applyFill="1" applyBorder="1" applyAlignment="1">
      <alignment horizontal="center" vertical="center"/>
    </xf>
    <xf numFmtId="0" fontId="86" fillId="4" borderId="70" xfId="22" applyFont="1" applyFill="1" applyBorder="1" applyAlignment="1">
      <alignment horizontal="center" vertical="center" wrapText="1"/>
    </xf>
    <xf numFmtId="0" fontId="79" fillId="4" borderId="67" xfId="22" applyFont="1" applyFill="1" applyBorder="1" applyAlignment="1">
      <alignment horizontal="center" vertical="center" wrapText="1"/>
    </xf>
    <xf numFmtId="0" fontId="78" fillId="4" borderId="62" xfId="22" applyFont="1" applyFill="1" applyBorder="1" applyAlignment="1">
      <alignment horizontal="center" vertical="center" wrapText="1"/>
    </xf>
    <xf numFmtId="0" fontId="78" fillId="4" borderId="75" xfId="22" applyFont="1" applyFill="1" applyBorder="1" applyAlignment="1">
      <alignment horizontal="center" vertical="center" wrapText="1"/>
    </xf>
    <xf numFmtId="0" fontId="75" fillId="13" borderId="86" xfId="22" applyFont="1" applyFill="1" applyBorder="1" applyAlignment="1">
      <alignment horizontal="center" vertical="center" wrapText="1"/>
    </xf>
    <xf numFmtId="0" fontId="75" fillId="13" borderId="87" xfId="22" applyFont="1" applyFill="1" applyBorder="1" applyAlignment="1">
      <alignment horizontal="center" vertical="center" wrapText="1"/>
    </xf>
    <xf numFmtId="0" fontId="78" fillId="0" borderId="48" xfId="22" applyFont="1" applyBorder="1" applyAlignment="1">
      <alignment horizontal="center" vertical="center" wrapText="1"/>
    </xf>
    <xf numFmtId="0" fontId="78" fillId="0" borderId="49" xfId="22" applyFont="1" applyBorder="1" applyAlignment="1">
      <alignment horizontal="center" vertical="center" wrapText="1"/>
    </xf>
    <xf numFmtId="0" fontId="37" fillId="20" borderId="0" xfId="22" quotePrefix="1" applyFont="1" applyFill="1" applyAlignment="1">
      <alignment vertical="center" wrapText="1"/>
    </xf>
    <xf numFmtId="0" fontId="88" fillId="0" borderId="39" xfId="22" quotePrefix="1" applyFont="1" applyBorder="1" applyAlignment="1">
      <alignment vertical="center"/>
    </xf>
    <xf numFmtId="188" fontId="89" fillId="11" borderId="50" xfId="22" applyNumberFormat="1" applyFont="1" applyFill="1" applyBorder="1" applyAlignment="1">
      <alignment horizontal="center" vertical="center"/>
    </xf>
    <xf numFmtId="0" fontId="90" fillId="10" borderId="31" xfId="22" applyFont="1" applyFill="1" applyBorder="1" applyAlignment="1">
      <alignment horizontal="center" vertical="center"/>
    </xf>
    <xf numFmtId="0" fontId="90" fillId="10" borderId="14" xfId="22" applyFont="1" applyFill="1" applyBorder="1" applyAlignment="1">
      <alignment horizontal="center" vertical="center"/>
    </xf>
    <xf numFmtId="0" fontId="81" fillId="10" borderId="14" xfId="22" applyFont="1" applyFill="1" applyBorder="1" applyAlignment="1">
      <alignment horizontal="center" vertical="center"/>
    </xf>
    <xf numFmtId="0" fontId="81" fillId="10" borderId="61" xfId="22" applyFont="1" applyFill="1" applyBorder="1" applyAlignment="1">
      <alignment horizontal="center" vertical="center"/>
    </xf>
    <xf numFmtId="0" fontId="79" fillId="14" borderId="65" xfId="22" applyFont="1" applyFill="1" applyBorder="1" applyAlignment="1">
      <alignment horizontal="center" vertical="center"/>
    </xf>
    <xf numFmtId="0" fontId="87" fillId="14" borderId="14" xfId="22" applyFont="1" applyFill="1" applyBorder="1" applyAlignment="1">
      <alignment horizontal="center" vertical="center"/>
    </xf>
    <xf numFmtId="0" fontId="79" fillId="14" borderId="73" xfId="22" applyFont="1" applyFill="1" applyBorder="1" applyAlignment="1">
      <alignment horizontal="center" vertical="center"/>
    </xf>
    <xf numFmtId="0" fontId="91" fillId="11" borderId="14" xfId="22" applyFont="1" applyFill="1" applyBorder="1" applyAlignment="1">
      <alignment horizontal="centerContinuous" vertical="center"/>
    </xf>
    <xf numFmtId="0" fontId="79" fillId="10" borderId="14" xfId="22" applyFont="1" applyFill="1" applyBorder="1" applyAlignment="1">
      <alignment horizontal="center" vertical="center"/>
    </xf>
    <xf numFmtId="0" fontId="79" fillId="10" borderId="78" xfId="22" applyFont="1" applyFill="1" applyBorder="1" applyAlignment="1">
      <alignment horizontal="center" vertical="center"/>
    </xf>
    <xf numFmtId="0" fontId="78" fillId="11" borderId="46" xfId="22" applyFont="1" applyFill="1" applyBorder="1" applyAlignment="1">
      <alignment horizontal="centerContinuous" vertical="center"/>
    </xf>
    <xf numFmtId="0" fontId="92" fillId="0" borderId="53" xfId="22" applyFont="1" applyBorder="1" applyAlignment="1">
      <alignment horizontal="centerContinuous" vertical="center"/>
    </xf>
    <xf numFmtId="177" fontId="72" fillId="0" borderId="15" xfId="1" applyFont="1" applyFill="1" applyBorder="1" applyAlignment="1">
      <alignment vertical="center"/>
    </xf>
    <xf numFmtId="195" fontId="93" fillId="0" borderId="2" xfId="1" applyNumberFormat="1" applyFont="1" applyFill="1" applyBorder="1" applyAlignment="1">
      <alignment horizontal="center" vertical="center"/>
    </xf>
    <xf numFmtId="195" fontId="73" fillId="0" borderId="2" xfId="20" applyNumberFormat="1" applyFont="1" applyFill="1" applyBorder="1" applyAlignment="1">
      <alignment horizontal="center" vertical="center"/>
    </xf>
    <xf numFmtId="195" fontId="94" fillId="0" borderId="2" xfId="20" applyNumberFormat="1" applyFont="1" applyFill="1" applyBorder="1" applyAlignment="1">
      <alignment horizontal="center" vertical="center"/>
    </xf>
    <xf numFmtId="195" fontId="94" fillId="0" borderId="2" xfId="1" applyNumberFormat="1" applyFont="1" applyFill="1" applyBorder="1" applyAlignment="1">
      <alignment horizontal="center" vertical="center"/>
    </xf>
    <xf numFmtId="195" fontId="25" fillId="0" borderId="2" xfId="1" applyNumberFormat="1" applyFont="1" applyFill="1" applyBorder="1" applyAlignment="1">
      <alignment horizontal="center" vertical="center"/>
    </xf>
    <xf numFmtId="195" fontId="25" fillId="0" borderId="2" xfId="24" applyNumberFormat="1" applyFont="1" applyFill="1" applyBorder="1" applyAlignment="1">
      <alignment horizontal="center" vertical="center"/>
    </xf>
    <xf numFmtId="195" fontId="70" fillId="20" borderId="2" xfId="1" applyNumberFormat="1" applyFont="1" applyFill="1" applyBorder="1" applyAlignment="1">
      <alignment horizontal="center" vertical="center"/>
    </xf>
    <xf numFmtId="0" fontId="95" fillId="0" borderId="39" xfId="22" applyFont="1" applyBorder="1" applyAlignment="1">
      <alignment horizontal="center" vertical="center"/>
    </xf>
    <xf numFmtId="0" fontId="95" fillId="0" borderId="39" xfId="22" applyFont="1" applyBorder="1" applyAlignment="1">
      <alignment horizontal="center" vertical="center" wrapText="1"/>
    </xf>
    <xf numFmtId="14" fontId="95" fillId="0" borderId="39" xfId="22" quotePrefix="1" applyNumberFormat="1" applyFont="1" applyBorder="1" applyAlignment="1">
      <alignment horizontal="center" vertical="center"/>
    </xf>
    <xf numFmtId="0" fontId="95" fillId="0" borderId="39" xfId="22" quotePrefix="1" applyFont="1" applyBorder="1" applyAlignment="1">
      <alignment vertical="center" wrapText="1"/>
    </xf>
    <xf numFmtId="0" fontId="96" fillId="0" borderId="0" xfId="22" applyFont="1" applyAlignment="1">
      <alignment horizontal="center" vertical="center"/>
    </xf>
    <xf numFmtId="180" fontId="97" fillId="10" borderId="0" xfId="3" applyNumberFormat="1" applyFont="1" applyFill="1" applyAlignment="1">
      <alignment vertical="center"/>
    </xf>
  </cellXfs>
  <cellStyles count="25">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4 2" xfId="20" xr:uid="{82F7DE00-7E0F-4135-9D8B-23A5F95E9E50}"/>
    <cellStyle name="쉼표 [0] 3" xfId="16" xr:uid="{8F7BE219-40E1-4BBB-A9BD-02188B74B2A3}"/>
    <cellStyle name="쉼표 [0] 4" xfId="21" xr:uid="{BDD5CECE-202B-4017-8E56-8FAE5E389DED}"/>
    <cellStyle name="쉼표 [0]_내역서(표준단가)_1" xfId="24" xr:uid="{0052A6AF-01AC-4EDE-8BA1-EE42DD058783}"/>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 6 2" xfId="22" xr:uid="{5518A5A9-AEA9-4BF7-A9FC-54C251CB787A}"/>
    <cellStyle name="표준_내역서(표준단가)" xfId="23" xr:uid="{778B0250-22B9-4FAD-8470-F464103C4027}"/>
    <cellStyle name="표준_봉강빌딩신축공사" xfId="6" xr:uid="{00000000-0005-0000-0000-00000E000000}"/>
  </cellStyles>
  <dxfs count="0"/>
  <tableStyles count="0" defaultTableStyle="TableStyleMedium2" defaultPivotStyle="PivotStyleLight16"/>
  <colors>
    <mruColors>
      <color rgb="FFFF00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58F3E340-E599-46BE-9E8C-FA96064F77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BFD26053-C86C-454F-BAAE-C22BD44A948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EB347FB3-564D-4B15-9EBC-B07BC58EB8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B0ACC25C-A4C6-482A-80E1-3B27B1DCEC0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9FD6EC32-C5A1-471A-BA27-6604E11610D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C025AE9D-6D75-4C0B-8D39-B52F57D41BD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3DB1C1D3-5E0E-48D9-8440-A0F8221175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4725828D-394F-41BF-B914-794E488910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89DC7C37-23EB-42F3-AFCB-BCC68DE4464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E44C58A3-246E-4D32-B978-6FBC162FC5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5EE48E27-9484-4AF6-BAF4-E237DD04B58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D7569884-D0FA-4298-A9F7-2F8EA325869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D6D71E39-AE40-4897-B67E-4DC47E051E1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8A6A7AA3-8F11-4252-A916-4910E00B3A9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954762A1-D062-42BE-BB04-A042C39AA4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DB13B384-02D2-4A89-BABB-F0AAAE9DE18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58266D4E-D6D1-41BA-8021-F45C27F1BF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9EF17E01-878E-45A1-8E21-32C0F89110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6E2D99E9-30AE-4708-B321-B4EE6083CDF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1DE30400-F6C4-433B-9528-AB2FF1C77E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64B389D0-D427-4BE4-ADEC-297FE3946D4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DAB75B71-B2B3-4422-985B-372E94B0257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D0B769DC-8325-403A-921F-393C1FC827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8BF8F784-9BCC-4B37-8359-D7EA98F30BA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30C40510-27D0-4954-853C-90BAB02D0E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F2CF8535-B92B-4423-8225-AF99190B162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36E5D8DF-282B-4AFB-9369-75E391C130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E832764B-732E-4A88-A739-BDD2449AF83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B87FA265-8E5E-480B-A3F2-69DC37F170B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F6C26153-CD90-476A-BFCA-A3CE30B1131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0D360081-209A-49ED-9C8F-91B0D45128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8A8E1C8F-C925-41E1-A4A6-29679FB531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0364B22F-A0B2-409E-AB28-C930DBFEBE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8AC2503E-024C-44E1-90FD-DDCBC3EFAE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9C10EB2C-6EA8-45BD-A0BC-9C5BC48AAB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00D1DDBB-AD45-4E44-BF68-CE1EA1EAD23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34472790-6475-47E3-A06A-262CE3FE2D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4F6FB9E9-4CC3-4C5E-91AC-6EB7792C1E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202516F6-3335-4CF7-B049-55CEBD9EC0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B1093FD1-2980-41D3-859A-6CE645BE2AC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D9592157-FDD7-4C21-B4B9-44337520B5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DBFF5F32-7AEA-4009-8317-4C62DE94701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426F5045-B9EA-479F-BF55-BCA67396732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98FDE52D-2CEE-40AC-9D40-20E6EC116C0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58905083-0D49-41C2-A6E8-3CC0EE50625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79925FA0-10EF-4738-8560-FD0B4ED00B9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B45AF68E-E086-4275-BD9B-1D362E532A1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91C30C8D-412A-4320-B790-2152646DF4F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58FF05B5-A94B-4155-87A2-7BF77EF1D85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425971EC-1351-4861-A73F-FA984FD1E65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F1C4241F-0E15-4217-B984-EC6D2A2945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52DD8E77-DCD7-49D1-A6D5-C06F5F353D1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3DAF327B-D985-4425-96E1-9E4AA6233C6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10F7F231-286B-4162-87FC-B7BB3D1DBC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7803E51A-39CE-41C6-A305-B48BABE81F8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D0C929EA-52BE-4E0C-A70D-81EA999F305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588B6B4C-D21F-4952-B8D8-8932F5650F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A420B6B8-D29B-4A92-B6A3-DADFE6E1337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4B1ED88C-D99A-47D5-B35D-0F4C5D6E3B6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CF05C864-8446-40E4-AB30-895CDA1774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963B62DC-E534-43FD-B562-4E35C9E74D7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0468753B-EC5D-4D2C-9EF5-52BB0BBE5F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14FA63F9-4DF2-4FE3-94B6-8EB84EC36E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EC991305-C3CA-4EF4-AAFD-DCE38C5A294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9D85CB60-7F15-4C6F-A4AD-0030B9FD272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6C046020-B4D4-4BE8-8FD4-A910DA1FAA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6DCDEEA6-4AF0-4679-AFB8-3C453398047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C1C9DBCD-9DAA-44CA-8689-E7770167D24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04572688-08B2-481B-B684-A6908302E5D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57B85ECD-AB2E-4AA2-80CF-F7028EC590F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1E85B33F-E4FC-4FAF-BD59-7F18615926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324C4B55-4A51-4DCE-BCB5-DDF388E597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DCC4F479-45BA-4CFC-ABA5-A83BBA1F80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CD8D305C-EC69-4858-AB70-8170AA5639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22DDF8EE-3E26-4171-8732-AE556380F92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E2AB7C2F-EFAC-4C58-B6D0-022A8CD7081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F9397D94-93A3-49E6-A208-D673C3A4797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8123E8B4-A1DE-4C47-B4E2-67FF23B253A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8F924FED-9869-466F-AF6E-62E735A37DC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4A5B6436-7E66-4C2E-B005-A061C82323A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40ADFC0D-539D-49E3-BD30-F692CAFC02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2EE42A78-B3C9-4E0A-B2D7-70E93A0E268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EE7FC3C8-4E3C-4927-89D8-FBF418AF94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6295CE8B-20A5-440D-8D7F-79E4810B502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36ABFAC6-BB4F-462B-ACD3-474AA9642D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B071CEEA-55F9-410A-B0FB-64E3ED50A57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EB6EED97-5D40-4EA3-8628-073E98298E60}"/>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775700" y="1589314"/>
          <a:ext cx="683264" cy="658586"/>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42F43338-9981-4CA1-BB94-B3396B4B8E3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BB22A8EB-B6E2-4207-BC19-E9720A0981F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20A67D42-24E5-477B-B084-046732CDBF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F4C89B1E-BB9F-4A15-B847-E19F44409FB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00CF2B0A-5D4B-4AB3-9565-75DC0E345E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EC37C49D-A7CF-4467-9F4F-25F4E236F4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C323D8D0-29FB-4282-B6A9-BF1306E871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BA4632F1-2CF8-4095-A74B-F27D89CE60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0E9C3B37-625A-4484-B2A5-0BEDCCA0BF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83D298DD-5E7E-4C48-9D3C-8F85FD770F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402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5302F66E-7976-4FF0-810D-E95EA4AB689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C95DE69F-04C1-4C00-90B5-8963F76B13F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402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34A66773-CA8D-4842-AA6C-7448F14E22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1B168C20-AE47-42C6-A3FA-BC39C582C7B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21DD1395-3BFA-48A1-BA24-F7C00A7F819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32A92A93-D90E-416C-BE8C-BA482BB80A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47</xdr:col>
      <xdr:colOff>95250</xdr:colOff>
      <xdr:row>21</xdr:row>
      <xdr:rowOff>762000</xdr:rowOff>
    </xdr:from>
    <xdr:to>
      <xdr:col>105</xdr:col>
      <xdr:colOff>0</xdr:colOff>
      <xdr:row>156</xdr:row>
      <xdr:rowOff>171450</xdr:rowOff>
    </xdr:to>
    <xdr:grpSp>
      <xdr:nvGrpSpPr>
        <xdr:cNvPr id="7" name="그룹 6">
          <a:extLst>
            <a:ext uri="{FF2B5EF4-FFF2-40B4-BE49-F238E27FC236}">
              <a16:creationId xmlns:a16="http://schemas.microsoft.com/office/drawing/2014/main" id="{95FBB064-EF18-48BD-6633-28444604B3BF}"/>
            </a:ext>
          </a:extLst>
        </xdr:cNvPr>
        <xdr:cNvGrpSpPr/>
      </xdr:nvGrpSpPr>
      <xdr:grpSpPr>
        <a:xfrm>
          <a:off x="45815250" y="20407313"/>
          <a:ext cx="39957375" cy="32532637"/>
          <a:chOff x="45243750" y="7023499"/>
          <a:chExt cx="56292750" cy="43344701"/>
        </a:xfrm>
        <a:solidFill>
          <a:schemeClr val="bg1"/>
        </a:solidFill>
      </xdr:grpSpPr>
      <xdr:pic>
        <xdr:nvPicPr>
          <xdr:cNvPr id="3" name="그림 2">
            <a:extLst>
              <a:ext uri="{FF2B5EF4-FFF2-40B4-BE49-F238E27FC236}">
                <a16:creationId xmlns:a16="http://schemas.microsoft.com/office/drawing/2014/main" id="{39025223-0B3D-BEB0-CEAC-3430C7698C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99550" y="25146000"/>
            <a:ext cx="28936950" cy="25222200"/>
          </a:xfrm>
          <a:prstGeom prst="rect">
            <a:avLst/>
          </a:prstGeom>
          <a:grpFill/>
        </xdr:spPr>
      </xdr:pic>
      <xdr:pic>
        <xdr:nvPicPr>
          <xdr:cNvPr id="4" name="그림 3">
            <a:extLst>
              <a:ext uri="{FF2B5EF4-FFF2-40B4-BE49-F238E27FC236}">
                <a16:creationId xmlns:a16="http://schemas.microsoft.com/office/drawing/2014/main" id="{741AE9E1-5AF7-C889-58E5-1935E43817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243750" y="7023499"/>
            <a:ext cx="55816500" cy="18272492"/>
          </a:xfrm>
          <a:prstGeom prst="rect">
            <a:avLst/>
          </a:prstGeom>
          <a:grpFill/>
        </xdr:spPr>
      </xdr:pic>
      <xdr:pic>
        <xdr:nvPicPr>
          <xdr:cNvPr id="6" name="그림 5">
            <a:extLst>
              <a:ext uri="{FF2B5EF4-FFF2-40B4-BE49-F238E27FC236}">
                <a16:creationId xmlns:a16="http://schemas.microsoft.com/office/drawing/2014/main" id="{5451AD52-7DC4-E00B-A9D8-A89E7D6475D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5554194" y="25146000"/>
            <a:ext cx="25978556" cy="25050750"/>
          </a:xfrm>
          <a:prstGeom prst="rect">
            <a:avLst/>
          </a:prstGeom>
          <a:grpFill/>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2:I34"/>
  <sheetViews>
    <sheetView showGridLines="0" topLeftCell="A16" zoomScale="85" zoomScaleNormal="85" workbookViewId="0">
      <selection activeCell="A2" sqref="A2:G32"/>
    </sheetView>
  </sheetViews>
  <sheetFormatPr defaultColWidth="9" defaultRowHeight="12.75"/>
  <cols>
    <col min="1" max="1" width="9.875" style="3" customWidth="1"/>
    <col min="2" max="2" width="24.25" style="3" customWidth="1"/>
    <col min="3" max="3" width="27" style="3" customWidth="1"/>
    <col min="4" max="5" width="9" style="3"/>
    <col min="6" max="6" width="23.5" style="3" customWidth="1"/>
    <col min="7" max="7" width="44.75" style="3" customWidth="1"/>
    <col min="8" max="8" width="11.25" style="3" customWidth="1"/>
    <col min="9" max="16384" width="9" style="3"/>
  </cols>
  <sheetData>
    <row r="2" spans="1:9" ht="33">
      <c r="A2" s="279" t="s">
        <v>1</v>
      </c>
      <c r="B2" s="279"/>
      <c r="C2" s="279"/>
      <c r="D2" s="279"/>
      <c r="E2" s="279"/>
      <c r="F2" s="279"/>
      <c r="G2" s="279"/>
      <c r="H2" s="2"/>
    </row>
    <row r="3" spans="1:9" ht="14.25">
      <c r="A3" s="88"/>
      <c r="B3" s="88"/>
      <c r="C3" s="88"/>
      <c r="D3" s="88"/>
      <c r="E3" s="88"/>
      <c r="F3" s="88"/>
      <c r="G3" s="88"/>
      <c r="H3" s="88"/>
    </row>
    <row r="4" spans="1:9" ht="14.25">
      <c r="A4" s="88"/>
      <c r="B4" s="88"/>
      <c r="C4" s="88"/>
      <c r="D4" s="88"/>
      <c r="E4" s="88"/>
      <c r="H4" s="88"/>
    </row>
    <row r="5" spans="1:9" ht="27" customHeight="1">
      <c r="A5" s="89" t="s">
        <v>43</v>
      </c>
      <c r="B5" s="4"/>
      <c r="C5" s="5"/>
      <c r="D5" s="88"/>
      <c r="E5" s="88"/>
      <c r="F5" s="6" t="s">
        <v>33</v>
      </c>
      <c r="G5" s="7" t="s">
        <v>47</v>
      </c>
      <c r="H5" s="88"/>
    </row>
    <row r="6" spans="1:9" ht="27" customHeight="1">
      <c r="A6" s="88"/>
      <c r="B6" s="88"/>
      <c r="C6" s="88"/>
      <c r="D6" s="88"/>
      <c r="E6" s="88"/>
      <c r="F6" s="8" t="s">
        <v>36</v>
      </c>
      <c r="G6" s="9" t="s">
        <v>48</v>
      </c>
      <c r="H6" s="88"/>
    </row>
    <row r="7" spans="1:9" ht="27" customHeight="1">
      <c r="A7" s="282" t="s">
        <v>158</v>
      </c>
      <c r="B7" s="283"/>
      <c r="C7" s="284"/>
      <c r="D7" s="88"/>
      <c r="E7" s="10"/>
      <c r="F7" s="11" t="s">
        <v>37</v>
      </c>
      <c r="G7" s="9" t="s">
        <v>49</v>
      </c>
      <c r="H7" s="88"/>
    </row>
    <row r="8" spans="1:9" ht="27" customHeight="1">
      <c r="A8" s="88"/>
      <c r="B8" s="88"/>
      <c r="C8" s="88"/>
      <c r="D8" s="88"/>
      <c r="E8" s="88"/>
      <c r="F8" s="8" t="s">
        <v>38</v>
      </c>
      <c r="G8" s="9" t="s">
        <v>50</v>
      </c>
      <c r="H8" s="88"/>
    </row>
    <row r="9" spans="1:9" ht="27" customHeight="1">
      <c r="A9" s="282" t="s">
        <v>197</v>
      </c>
      <c r="B9" s="283"/>
      <c r="C9" s="284"/>
      <c r="D9" s="88"/>
      <c r="E9" s="88"/>
      <c r="F9" s="8" t="s">
        <v>39</v>
      </c>
      <c r="G9" s="9" t="s">
        <v>51</v>
      </c>
      <c r="H9" s="88"/>
    </row>
    <row r="10" spans="1:9" ht="27" customHeight="1">
      <c r="A10" s="88"/>
      <c r="B10" s="88"/>
      <c r="C10" s="88"/>
      <c r="D10" s="88"/>
      <c r="E10" s="88"/>
      <c r="F10" s="12" t="s">
        <v>34</v>
      </c>
      <c r="G10" s="13" t="s">
        <v>52</v>
      </c>
      <c r="H10" s="88"/>
      <c r="I10" s="88"/>
    </row>
    <row r="11" spans="1:9" ht="27" customHeight="1">
      <c r="A11" s="280"/>
      <c r="B11" s="281"/>
      <c r="C11" s="281"/>
      <c r="D11" s="88"/>
      <c r="E11" s="14"/>
      <c r="F11" s="15" t="s">
        <v>35</v>
      </c>
      <c r="G11" s="16" t="s">
        <v>53</v>
      </c>
      <c r="H11" s="14"/>
    </row>
    <row r="12" spans="1:9" ht="18.75" thickBot="1">
      <c r="A12" s="17" t="s">
        <v>2</v>
      </c>
      <c r="B12" s="17" t="str">
        <f>NUMBERSTRING(F31,1)</f>
        <v>사백오십오만육천</v>
      </c>
      <c r="C12" s="18"/>
      <c r="D12" s="1" t="s">
        <v>3</v>
      </c>
      <c r="E12" s="1" t="s">
        <v>4</v>
      </c>
      <c r="F12" s="1" t="s">
        <v>4</v>
      </c>
      <c r="G12" s="1"/>
      <c r="H12" s="19"/>
    </row>
    <row r="13" spans="1:9" ht="15.75" thickTop="1" thickBot="1">
      <c r="A13" s="88"/>
      <c r="B13" s="88"/>
      <c r="C13" s="88"/>
      <c r="D13" s="88"/>
      <c r="E13" s="88"/>
      <c r="F13" s="88"/>
      <c r="G13" s="88"/>
      <c r="H13" s="19"/>
    </row>
    <row r="14" spans="1:9" ht="33" customHeight="1" thickBot="1">
      <c r="A14" s="20" t="s">
        <v>5</v>
      </c>
      <c r="B14" s="21" t="s">
        <v>6</v>
      </c>
      <c r="C14" s="21" t="s">
        <v>7</v>
      </c>
      <c r="D14" s="21" t="s">
        <v>8</v>
      </c>
      <c r="E14" s="21" t="s">
        <v>9</v>
      </c>
      <c r="F14" s="21" t="s">
        <v>10</v>
      </c>
      <c r="G14" s="22" t="s">
        <v>11</v>
      </c>
      <c r="H14" s="19"/>
    </row>
    <row r="15" spans="1:9" ht="33" customHeight="1" thickTop="1">
      <c r="A15" s="23"/>
      <c r="B15" s="24" t="s">
        <v>12</v>
      </c>
      <c r="C15" s="25"/>
      <c r="D15" s="26"/>
      <c r="E15" s="26"/>
      <c r="F15" s="27"/>
      <c r="G15" s="28"/>
    </row>
    <row r="16" spans="1:9" ht="33" customHeight="1">
      <c r="A16" s="29"/>
      <c r="B16" s="30" t="s">
        <v>13</v>
      </c>
      <c r="C16" s="31"/>
      <c r="D16" s="32"/>
      <c r="E16" s="32"/>
      <c r="F16" s="33">
        <f>'내역서(표준단가)'!O13</f>
        <v>193653.2</v>
      </c>
      <c r="G16" s="34"/>
    </row>
    <row r="17" spans="1:7" ht="33" customHeight="1">
      <c r="A17" s="29"/>
      <c r="B17" s="30" t="s">
        <v>14</v>
      </c>
      <c r="C17" s="31"/>
      <c r="D17" s="32"/>
      <c r="E17" s="32"/>
      <c r="F17" s="33">
        <f>'내역서(표준단가)'!Q13</f>
        <v>3571094.1824999996</v>
      </c>
      <c r="G17" s="35"/>
    </row>
    <row r="18" spans="1:7" ht="33" customHeight="1">
      <c r="A18" s="29"/>
      <c r="B18" s="30" t="s">
        <v>15</v>
      </c>
      <c r="C18" s="31"/>
      <c r="D18" s="32"/>
      <c r="E18" s="32"/>
      <c r="F18" s="33">
        <f>'내역서(표준단가)'!S13+'내역서(표준단가)'!U13</f>
        <v>0</v>
      </c>
      <c r="G18" s="35"/>
    </row>
    <row r="19" spans="1:7" ht="33" customHeight="1">
      <c r="A19" s="29"/>
      <c r="B19" s="36" t="s">
        <v>16</v>
      </c>
      <c r="C19" s="36"/>
      <c r="D19" s="37"/>
      <c r="E19" s="37"/>
      <c r="F19" s="38">
        <f>F16+F17+F18</f>
        <v>3764747.3824999998</v>
      </c>
      <c r="G19" s="35"/>
    </row>
    <row r="20" spans="1:7" ht="33" customHeight="1">
      <c r="A20" s="29"/>
      <c r="B20" s="39" t="s">
        <v>17</v>
      </c>
      <c r="C20" s="40"/>
      <c r="D20" s="32"/>
      <c r="E20" s="32"/>
      <c r="F20" s="41"/>
      <c r="G20" s="35"/>
    </row>
    <row r="21" spans="1:7" ht="33" customHeight="1">
      <c r="A21" s="29"/>
      <c r="B21" s="42" t="s">
        <v>18</v>
      </c>
      <c r="C21" s="40" t="s">
        <v>19</v>
      </c>
      <c r="D21" s="30">
        <v>1</v>
      </c>
      <c r="E21" s="30" t="s">
        <v>20</v>
      </c>
      <c r="F21" s="43">
        <f>F17*4.5%</f>
        <v>160699.23821249997</v>
      </c>
      <c r="G21" s="35" t="s">
        <v>21</v>
      </c>
    </row>
    <row r="22" spans="1:7" ht="33" customHeight="1">
      <c r="A22" s="29"/>
      <c r="B22" s="44" t="s">
        <v>22</v>
      </c>
      <c r="C22" s="45" t="s">
        <v>44</v>
      </c>
      <c r="D22" s="46">
        <v>1</v>
      </c>
      <c r="E22" s="46" t="s">
        <v>20</v>
      </c>
      <c r="F22" s="47">
        <f>F17*3.545%</f>
        <v>126595.288769625</v>
      </c>
      <c r="G22" s="48" t="s">
        <v>23</v>
      </c>
    </row>
    <row r="23" spans="1:7" ht="33" customHeight="1">
      <c r="A23" s="29"/>
      <c r="B23" s="42" t="s">
        <v>24</v>
      </c>
      <c r="C23" s="40" t="s">
        <v>45</v>
      </c>
      <c r="D23" s="30">
        <v>1</v>
      </c>
      <c r="E23" s="30" t="s">
        <v>20</v>
      </c>
      <c r="F23" s="43">
        <f>F22*12.95%</f>
        <v>16394.089895666439</v>
      </c>
      <c r="G23" s="35" t="s">
        <v>23</v>
      </c>
    </row>
    <row r="24" spans="1:7" ht="33" customHeight="1">
      <c r="A24" s="29"/>
      <c r="B24" s="42" t="s">
        <v>25</v>
      </c>
      <c r="C24" s="40" t="s">
        <v>41</v>
      </c>
      <c r="D24" s="30">
        <v>1</v>
      </c>
      <c r="E24" s="30" t="s">
        <v>20</v>
      </c>
      <c r="F24" s="43">
        <f>F17*1.01%</f>
        <v>36068.051243249996</v>
      </c>
      <c r="G24" s="35" t="s">
        <v>23</v>
      </c>
    </row>
    <row r="25" spans="1:7" ht="33" customHeight="1">
      <c r="A25" s="29"/>
      <c r="B25" s="42" t="s">
        <v>26</v>
      </c>
      <c r="C25" s="40" t="s">
        <v>46</v>
      </c>
      <c r="D25" s="30">
        <v>1</v>
      </c>
      <c r="E25" s="30" t="s">
        <v>20</v>
      </c>
      <c r="F25" s="43">
        <f>F17*3.56%</f>
        <v>127130.95289699998</v>
      </c>
      <c r="G25" s="35" t="s">
        <v>23</v>
      </c>
    </row>
    <row r="26" spans="1:7" ht="33" customHeight="1">
      <c r="A26" s="29"/>
      <c r="B26" s="42" t="s">
        <v>27</v>
      </c>
      <c r="C26" s="49" t="s">
        <v>74</v>
      </c>
      <c r="D26" s="30">
        <v>1</v>
      </c>
      <c r="E26" s="30" t="s">
        <v>20</v>
      </c>
      <c r="F26" s="43">
        <f>(F16+F17)*3.11%</f>
        <v>117083.64359574999</v>
      </c>
      <c r="G26" s="35" t="s">
        <v>21</v>
      </c>
    </row>
    <row r="27" spans="1:7" ht="33" customHeight="1">
      <c r="A27" s="29"/>
      <c r="B27" s="42" t="s">
        <v>31</v>
      </c>
      <c r="C27" s="49" t="s">
        <v>32</v>
      </c>
      <c r="D27" s="30">
        <v>1</v>
      </c>
      <c r="E27" s="30" t="s">
        <v>20</v>
      </c>
      <c r="F27" s="43">
        <f>SUM(F17+F21+F22+F23+F24+F25+F26)*5%</f>
        <v>207753.27235568955</v>
      </c>
      <c r="G27" s="35"/>
    </row>
    <row r="28" spans="1:7" ht="33" customHeight="1">
      <c r="A28" s="29"/>
      <c r="B28" s="36" t="s">
        <v>28</v>
      </c>
      <c r="C28" s="50"/>
      <c r="D28" s="51"/>
      <c r="E28" s="37"/>
      <c r="F28" s="52">
        <f>F21+F22+F23+F24+F25+F26+F27</f>
        <v>791724.53696948092</v>
      </c>
      <c r="G28" s="35"/>
    </row>
    <row r="29" spans="1:7" ht="33" customHeight="1">
      <c r="A29" s="29"/>
      <c r="B29" s="40"/>
      <c r="C29" s="53"/>
      <c r="D29" s="54"/>
      <c r="E29" s="32"/>
      <c r="F29" s="55"/>
      <c r="G29" s="35"/>
    </row>
    <row r="30" spans="1:7" ht="33" customHeight="1">
      <c r="A30" s="29"/>
      <c r="B30" s="56"/>
      <c r="C30" s="53"/>
      <c r="D30" s="54"/>
      <c r="E30" s="32"/>
      <c r="F30" s="57">
        <f>F19+F28+F29</f>
        <v>4556471.9194694804</v>
      </c>
      <c r="G30" s="35"/>
    </row>
    <row r="31" spans="1:7" ht="33" customHeight="1">
      <c r="A31" s="29"/>
      <c r="B31" s="36" t="s">
        <v>29</v>
      </c>
      <c r="C31" s="36"/>
      <c r="D31" s="37"/>
      <c r="E31" s="37"/>
      <c r="F31" s="373">
        <f>ROUNDDOWN(F30,-3)</f>
        <v>4556000</v>
      </c>
      <c r="G31" s="360"/>
    </row>
    <row r="32" spans="1:7" ht="33" customHeight="1" thickBot="1">
      <c r="A32" s="58"/>
      <c r="B32" s="59" t="s">
        <v>30</v>
      </c>
      <c r="C32" s="60"/>
      <c r="D32" s="60"/>
      <c r="E32" s="60"/>
      <c r="F32" s="61"/>
      <c r="G32" s="62"/>
    </row>
    <row r="33" spans="2:2" ht="15.75">
      <c r="B33" s="63"/>
    </row>
    <row r="34" spans="2:2" ht="15.75">
      <c r="B34" s="63"/>
    </row>
  </sheetData>
  <mergeCells count="4">
    <mergeCell ref="A2:G2"/>
    <mergeCell ref="A11:C11"/>
    <mergeCell ref="A9:C9"/>
    <mergeCell ref="A7:C7"/>
  </mergeCells>
  <phoneticPr fontId="8"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X13"/>
  <sheetViews>
    <sheetView showGridLines="0" zoomScale="80" zoomScaleNormal="80" workbookViewId="0">
      <pane ySplit="4" topLeftCell="A5" activePane="bottomLeft" state="frozen"/>
      <selection pane="bottomLeft" sqref="A1:X13"/>
    </sheetView>
  </sheetViews>
  <sheetFormatPr defaultColWidth="9" defaultRowHeight="38.1" customHeight="1"/>
  <cols>
    <col min="1" max="1" width="22.625" style="108" bestFit="1" customWidth="1"/>
    <col min="2" max="5" width="4.625" style="108" hidden="1" customWidth="1"/>
    <col min="6" max="6" width="9" style="98" hidden="1" customWidth="1"/>
    <col min="7" max="9" width="12.625" style="98" hidden="1" customWidth="1"/>
    <col min="10" max="10" width="26.875" style="93" bestFit="1" customWidth="1"/>
    <col min="11" max="11" width="26.375" style="93" bestFit="1" customWidth="1"/>
    <col min="12" max="12" width="11.375" style="98" bestFit="1" customWidth="1"/>
    <col min="13" max="13" width="9.875" style="98" bestFit="1" customWidth="1"/>
    <col min="14" max="14" width="10.625" style="98" bestFit="1" customWidth="1"/>
    <col min="15" max="15" width="15.25" style="98" customWidth="1"/>
    <col min="16" max="16" width="12" style="98" bestFit="1" customWidth="1"/>
    <col min="17" max="17" width="15.625" style="98" bestFit="1" customWidth="1"/>
    <col min="18" max="18" width="9" style="98" customWidth="1"/>
    <col min="19" max="19" width="8.75" style="98" bestFit="1" customWidth="1"/>
    <col min="20" max="20" width="10.5" style="98" customWidth="1"/>
    <col min="21" max="21" width="8.75" style="98" bestFit="1" customWidth="1"/>
    <col min="22" max="22" width="15.625" style="98" bestFit="1" customWidth="1"/>
    <col min="23" max="23" width="10.625" style="64" bestFit="1" customWidth="1"/>
    <col min="24" max="24" width="8.5" style="98" bestFit="1" customWidth="1"/>
    <col min="25" max="16384" width="9" style="98"/>
  </cols>
  <sheetData>
    <row r="1" spans="1:24" ht="19.899999999999999" customHeight="1">
      <c r="A1" s="285"/>
      <c r="B1" s="285"/>
      <c r="C1" s="285"/>
      <c r="D1" s="285"/>
      <c r="E1" s="285"/>
      <c r="F1" s="285"/>
      <c r="G1" s="285"/>
      <c r="H1" s="285"/>
      <c r="I1" s="285"/>
      <c r="N1" s="64"/>
      <c r="O1" s="96" t="s">
        <v>54</v>
      </c>
      <c r="Q1" s="96" t="s">
        <v>54</v>
      </c>
      <c r="S1" s="96" t="s">
        <v>54</v>
      </c>
      <c r="U1" s="96" t="s">
        <v>54</v>
      </c>
    </row>
    <row r="2" spans="1:24" ht="19.899999999999999" customHeight="1" thickBot="1">
      <c r="A2" s="285"/>
      <c r="B2" s="285"/>
      <c r="C2" s="285"/>
      <c r="D2" s="285"/>
      <c r="E2" s="285"/>
      <c r="F2" s="285"/>
      <c r="G2" s="285"/>
      <c r="H2" s="285"/>
      <c r="I2" s="285"/>
      <c r="N2" s="65"/>
      <c r="O2" s="66">
        <v>0.83499999999999996</v>
      </c>
      <c r="Q2" s="66">
        <v>0.83499999999999996</v>
      </c>
      <c r="S2" s="66">
        <v>0.83499999999999996</v>
      </c>
      <c r="U2" s="66">
        <v>0.83499999999999996</v>
      </c>
    </row>
    <row r="3" spans="1:24" ht="19.899999999999999" customHeight="1">
      <c r="A3" s="99"/>
      <c r="B3" s="100"/>
      <c r="C3" s="100"/>
      <c r="D3" s="100"/>
      <c r="E3" s="100"/>
      <c r="F3" s="100" t="s">
        <v>55</v>
      </c>
      <c r="G3" s="100"/>
      <c r="H3" s="100"/>
      <c r="I3" s="100"/>
      <c r="J3" s="296" t="s">
        <v>56</v>
      </c>
      <c r="K3" s="296"/>
      <c r="L3" s="294" t="s">
        <v>42</v>
      </c>
      <c r="M3" s="294" t="s">
        <v>0</v>
      </c>
      <c r="N3" s="290" t="s">
        <v>57</v>
      </c>
      <c r="O3" s="290"/>
      <c r="P3" s="290" t="s">
        <v>58</v>
      </c>
      <c r="Q3" s="290"/>
      <c r="R3" s="291" t="s">
        <v>59</v>
      </c>
      <c r="S3" s="291"/>
      <c r="T3" s="291" t="s">
        <v>60</v>
      </c>
      <c r="U3" s="291"/>
      <c r="V3" s="292" t="s">
        <v>61</v>
      </c>
      <c r="W3" s="288" t="s">
        <v>62</v>
      </c>
      <c r="X3" s="286" t="s">
        <v>40</v>
      </c>
    </row>
    <row r="4" spans="1:24" ht="19.899999999999999" customHeight="1">
      <c r="A4" s="67" t="s">
        <v>63</v>
      </c>
      <c r="B4" s="97"/>
      <c r="C4" s="97"/>
      <c r="D4" s="97"/>
      <c r="E4" s="97"/>
      <c r="F4" s="68" t="s">
        <v>64</v>
      </c>
      <c r="G4" s="68" t="s">
        <v>65</v>
      </c>
      <c r="H4" s="68" t="s">
        <v>66</v>
      </c>
      <c r="I4" s="68" t="s">
        <v>67</v>
      </c>
      <c r="J4" s="94" t="s">
        <v>68</v>
      </c>
      <c r="K4" s="94" t="s">
        <v>69</v>
      </c>
      <c r="L4" s="295"/>
      <c r="M4" s="295"/>
      <c r="N4" s="69" t="s">
        <v>70</v>
      </c>
      <c r="O4" s="70" t="s">
        <v>71</v>
      </c>
      <c r="P4" s="69" t="s">
        <v>72</v>
      </c>
      <c r="Q4" s="70" t="s">
        <v>71</v>
      </c>
      <c r="R4" s="70" t="s">
        <v>73</v>
      </c>
      <c r="S4" s="70" t="s">
        <v>71</v>
      </c>
      <c r="T4" s="70" t="s">
        <v>73</v>
      </c>
      <c r="U4" s="70" t="s">
        <v>71</v>
      </c>
      <c r="V4" s="293"/>
      <c r="W4" s="289"/>
      <c r="X4" s="287"/>
    </row>
    <row r="5" spans="1:24" s="101" customFormat="1" ht="38.1" customHeight="1">
      <c r="A5" s="71" t="str">
        <f t="shared" ref="A5:A10" si="0">F5&amp;G5&amp;H5&amp;I5</f>
        <v>L003</v>
      </c>
      <c r="B5" s="79"/>
      <c r="C5" s="79"/>
      <c r="D5" s="79"/>
      <c r="E5" s="79"/>
      <c r="F5" s="260"/>
      <c r="G5" s="261"/>
      <c r="H5" s="256"/>
      <c r="I5" s="253" t="s">
        <v>174</v>
      </c>
      <c r="J5" s="257" t="s">
        <v>198</v>
      </c>
      <c r="K5" s="262" t="s">
        <v>199</v>
      </c>
      <c r="L5" s="257" t="s">
        <v>175</v>
      </c>
      <c r="M5" s="362">
        <v>19.5</v>
      </c>
      <c r="N5" s="259"/>
      <c r="O5" s="91">
        <f t="shared" ref="O5:O7" si="1">SUM(N5:N5)*M5*$O$2</f>
        <v>0</v>
      </c>
      <c r="P5" s="90">
        <v>219321</v>
      </c>
      <c r="Q5" s="74">
        <f t="shared" ref="Q5:Q10" si="2">(P5*M5)*$Q$2</f>
        <v>3571094.1824999996</v>
      </c>
      <c r="R5" s="75"/>
      <c r="S5" s="74">
        <f t="shared" ref="S5:S10" si="3">R5*M5*$S$2</f>
        <v>0</v>
      </c>
      <c r="T5" s="75"/>
      <c r="U5" s="74">
        <f t="shared" ref="U5:U10" si="4">T5*M5*$U$2</f>
        <v>0</v>
      </c>
      <c r="V5" s="75">
        <f t="shared" ref="V5:V10" si="5">SUM(O5+Q5)+S5+U5</f>
        <v>3571094.1824999996</v>
      </c>
      <c r="W5" s="86"/>
      <c r="X5" s="76"/>
    </row>
    <row r="6" spans="1:24" s="101" customFormat="1" ht="38.1" customHeight="1">
      <c r="A6" s="71" t="str">
        <f t="shared" si="0"/>
        <v>M020251411670101</v>
      </c>
      <c r="B6" s="79"/>
      <c r="C6" s="79"/>
      <c r="D6" s="79"/>
      <c r="E6" s="79"/>
      <c r="F6" s="260"/>
      <c r="G6" s="261"/>
      <c r="H6" s="256" t="s">
        <v>177</v>
      </c>
      <c r="I6" s="253"/>
      <c r="J6" s="257" t="s">
        <v>178</v>
      </c>
      <c r="K6" s="262" t="s">
        <v>211</v>
      </c>
      <c r="L6" s="257" t="s">
        <v>179</v>
      </c>
      <c r="M6" s="363">
        <v>12</v>
      </c>
      <c r="N6" s="259">
        <v>5000</v>
      </c>
      <c r="O6" s="91">
        <f t="shared" si="1"/>
        <v>50100</v>
      </c>
      <c r="P6" s="90"/>
      <c r="Q6" s="74">
        <f t="shared" si="2"/>
        <v>0</v>
      </c>
      <c r="R6" s="75"/>
      <c r="S6" s="74">
        <f t="shared" si="3"/>
        <v>0</v>
      </c>
      <c r="T6" s="75"/>
      <c r="U6" s="74">
        <f t="shared" si="4"/>
        <v>0</v>
      </c>
      <c r="V6" s="75">
        <f t="shared" si="5"/>
        <v>50100</v>
      </c>
      <c r="W6" s="86"/>
      <c r="X6" s="76"/>
    </row>
    <row r="7" spans="1:24" s="101" customFormat="1" ht="38.1" customHeight="1">
      <c r="A7" s="71" t="str">
        <f t="shared" si="0"/>
        <v>M020533113070101</v>
      </c>
      <c r="B7" s="79"/>
      <c r="C7" s="79"/>
      <c r="D7" s="79"/>
      <c r="E7" s="79"/>
      <c r="F7" s="253"/>
      <c r="G7" s="254"/>
      <c r="H7" s="256" t="s">
        <v>180</v>
      </c>
      <c r="I7" s="253"/>
      <c r="J7" s="258" t="s">
        <v>181</v>
      </c>
      <c r="K7" s="258" t="s">
        <v>182</v>
      </c>
      <c r="L7" s="263" t="s">
        <v>183</v>
      </c>
      <c r="M7" s="364">
        <v>9.3000000000000007</v>
      </c>
      <c r="N7" s="264">
        <v>3400</v>
      </c>
      <c r="O7" s="91">
        <f t="shared" si="1"/>
        <v>26402.7</v>
      </c>
      <c r="P7" s="90"/>
      <c r="Q7" s="74">
        <f t="shared" si="2"/>
        <v>0</v>
      </c>
      <c r="R7" s="75"/>
      <c r="S7" s="74">
        <f t="shared" si="3"/>
        <v>0</v>
      </c>
      <c r="T7" s="75"/>
      <c r="U7" s="74">
        <f t="shared" si="4"/>
        <v>0</v>
      </c>
      <c r="V7" s="75">
        <f t="shared" si="5"/>
        <v>26402.7</v>
      </c>
      <c r="W7" s="86"/>
      <c r="X7" s="76"/>
    </row>
    <row r="8" spans="1:24" s="101" customFormat="1" ht="38.1" customHeight="1">
      <c r="A8" s="71" t="str">
        <f t="shared" si="0"/>
        <v>M020852810150101</v>
      </c>
      <c r="B8" s="79"/>
      <c r="C8" s="79"/>
      <c r="D8" s="79"/>
      <c r="E8" s="79"/>
      <c r="F8" s="78"/>
      <c r="G8" s="72"/>
      <c r="H8" s="72" t="s">
        <v>184</v>
      </c>
      <c r="I8" s="78"/>
      <c r="J8" s="73" t="s">
        <v>185</v>
      </c>
      <c r="K8" s="73" t="s">
        <v>186</v>
      </c>
      <c r="L8" s="87" t="s">
        <v>176</v>
      </c>
      <c r="M8" s="367">
        <v>1.38</v>
      </c>
      <c r="N8" s="92">
        <v>55000</v>
      </c>
      <c r="O8" s="91">
        <f t="shared" ref="O8" si="6">SUM(N8:N8)*M8*$O$2</f>
        <v>63376.5</v>
      </c>
      <c r="P8" s="90"/>
      <c r="Q8" s="74">
        <f t="shared" si="2"/>
        <v>0</v>
      </c>
      <c r="R8" s="75"/>
      <c r="S8" s="74">
        <f t="shared" si="3"/>
        <v>0</v>
      </c>
      <c r="T8" s="75"/>
      <c r="U8" s="74">
        <f t="shared" si="4"/>
        <v>0</v>
      </c>
      <c r="V8" s="75">
        <f t="shared" si="5"/>
        <v>63376.5</v>
      </c>
      <c r="W8" s="109"/>
      <c r="X8" s="76"/>
    </row>
    <row r="9" spans="1:24" s="101" customFormat="1" ht="38.25">
      <c r="A9" s="71" t="str">
        <f t="shared" si="0"/>
        <v>M020750510120102</v>
      </c>
      <c r="B9" s="79"/>
      <c r="C9" s="79"/>
      <c r="D9" s="79"/>
      <c r="E9" s="79"/>
      <c r="F9" s="265"/>
      <c r="G9" s="266"/>
      <c r="H9" s="267" t="s">
        <v>187</v>
      </c>
      <c r="I9" s="266"/>
      <c r="J9" s="268" t="s">
        <v>210</v>
      </c>
      <c r="K9" s="268" t="s">
        <v>212</v>
      </c>
      <c r="L9" s="269" t="s">
        <v>188</v>
      </c>
      <c r="M9" s="365">
        <v>2.5</v>
      </c>
      <c r="N9" s="270">
        <v>6400</v>
      </c>
      <c r="O9" s="91">
        <f t="shared" ref="O9:O10" si="7">SUM(N9:N9)*M9*$O$2</f>
        <v>13360</v>
      </c>
      <c r="P9" s="271"/>
      <c r="Q9" s="91">
        <f t="shared" si="2"/>
        <v>0</v>
      </c>
      <c r="R9" s="255"/>
      <c r="S9" s="91">
        <f t="shared" si="3"/>
        <v>0</v>
      </c>
      <c r="T9" s="255"/>
      <c r="U9" s="91">
        <f t="shared" si="4"/>
        <v>0</v>
      </c>
      <c r="V9" s="120">
        <f t="shared" si="5"/>
        <v>13360</v>
      </c>
      <c r="W9" s="272"/>
      <c r="X9" s="76"/>
    </row>
    <row r="10" spans="1:24" s="101" customFormat="1" ht="38.1" customHeight="1">
      <c r="A10" s="71" t="str">
        <f t="shared" si="0"/>
        <v>M020750510130104</v>
      </c>
      <c r="B10" s="79"/>
      <c r="C10" s="79"/>
      <c r="D10" s="79"/>
      <c r="E10" s="79"/>
      <c r="F10" s="265"/>
      <c r="G10" s="267"/>
      <c r="H10" s="267" t="s">
        <v>189</v>
      </c>
      <c r="I10" s="267"/>
      <c r="J10" s="268" t="s">
        <v>190</v>
      </c>
      <c r="K10" s="268" t="s">
        <v>191</v>
      </c>
      <c r="L10" s="269" t="s">
        <v>188</v>
      </c>
      <c r="M10" s="366">
        <v>2.5</v>
      </c>
      <c r="N10" s="270">
        <v>12000</v>
      </c>
      <c r="O10" s="91">
        <f t="shared" si="7"/>
        <v>25050</v>
      </c>
      <c r="P10" s="271"/>
      <c r="Q10" s="91">
        <f t="shared" si="2"/>
        <v>0</v>
      </c>
      <c r="R10" s="255"/>
      <c r="S10" s="91">
        <f t="shared" si="3"/>
        <v>0</v>
      </c>
      <c r="T10" s="255"/>
      <c r="U10" s="91">
        <f t="shared" si="4"/>
        <v>0</v>
      </c>
      <c r="V10" s="120">
        <f t="shared" si="5"/>
        <v>25050</v>
      </c>
      <c r="W10" s="272"/>
      <c r="X10" s="76"/>
    </row>
    <row r="11" spans="1:24" s="101" customFormat="1" ht="38.1" customHeight="1">
      <c r="A11" s="71" t="str">
        <f t="shared" ref="A11:A12" si="8">F11&amp;G11&amp;H11&amp;I11</f>
        <v>M020690710060101</v>
      </c>
      <c r="B11" s="79"/>
      <c r="C11" s="79"/>
      <c r="D11" s="79"/>
      <c r="E11" s="79"/>
      <c r="F11" s="113"/>
      <c r="G11" s="114"/>
      <c r="H11" s="256" t="s">
        <v>193</v>
      </c>
      <c r="I11" s="113"/>
      <c r="J11" s="258" t="s">
        <v>192</v>
      </c>
      <c r="K11" s="258" t="s">
        <v>194</v>
      </c>
      <c r="L11" s="258" t="s">
        <v>188</v>
      </c>
      <c r="M11" s="361">
        <v>2</v>
      </c>
      <c r="N11" s="276">
        <v>9200</v>
      </c>
      <c r="O11" s="91">
        <f t="shared" ref="O11:O12" si="9">SUM(N11:N11)*M11*$O$2</f>
        <v>15364</v>
      </c>
      <c r="P11" s="90"/>
      <c r="Q11" s="74">
        <f t="shared" ref="Q11:Q12" si="10">(P11*M11)*$Q$2</f>
        <v>0</v>
      </c>
      <c r="R11" s="75"/>
      <c r="S11" s="74">
        <f t="shared" ref="S11:S12" si="11">R11*M11*$S$2</f>
        <v>0</v>
      </c>
      <c r="T11" s="75"/>
      <c r="U11" s="74">
        <f t="shared" ref="U11:U12" si="12">T11*M11*$U$2</f>
        <v>0</v>
      </c>
      <c r="V11" s="75">
        <f t="shared" ref="V11:V12" si="13">SUM(O11+Q11)+S11+U11</f>
        <v>15364</v>
      </c>
      <c r="W11" s="86"/>
      <c r="X11" s="76"/>
    </row>
    <row r="12" spans="1:24" s="101" customFormat="1" ht="38.1" customHeight="1">
      <c r="A12" s="71" t="str">
        <f t="shared" si="8"/>
        <v/>
      </c>
      <c r="B12" s="79"/>
      <c r="C12" s="79"/>
      <c r="D12" s="79"/>
      <c r="E12" s="79"/>
      <c r="F12" s="113"/>
      <c r="G12" s="114"/>
      <c r="H12" s="115"/>
      <c r="I12" s="113"/>
      <c r="J12" s="116"/>
      <c r="K12" s="116"/>
      <c r="L12" s="117"/>
      <c r="M12" s="118"/>
      <c r="N12" s="119"/>
      <c r="O12" s="91">
        <f t="shared" si="9"/>
        <v>0</v>
      </c>
      <c r="P12" s="90"/>
      <c r="Q12" s="74">
        <f t="shared" si="10"/>
        <v>0</v>
      </c>
      <c r="R12" s="75"/>
      <c r="S12" s="74">
        <f t="shared" si="11"/>
        <v>0</v>
      </c>
      <c r="T12" s="75"/>
      <c r="U12" s="74">
        <f t="shared" si="12"/>
        <v>0</v>
      </c>
      <c r="V12" s="75">
        <f t="shared" si="13"/>
        <v>0</v>
      </c>
      <c r="W12" s="86"/>
      <c r="X12" s="76"/>
    </row>
    <row r="13" spans="1:24" s="107" customFormat="1" ht="38.1" customHeight="1">
      <c r="A13" s="102"/>
      <c r="B13" s="103"/>
      <c r="C13" s="103"/>
      <c r="D13" s="103"/>
      <c r="E13" s="103"/>
      <c r="F13" s="103"/>
      <c r="G13" s="103"/>
      <c r="H13" s="103"/>
      <c r="I13" s="103"/>
      <c r="J13" s="95"/>
      <c r="K13" s="95"/>
      <c r="L13" s="103"/>
      <c r="M13" s="103"/>
      <c r="N13" s="103"/>
      <c r="O13" s="104">
        <f>SUM(O5:O12)</f>
        <v>193653.2</v>
      </c>
      <c r="P13" s="105"/>
      <c r="Q13" s="104">
        <f>SUM(Q5:Q12)</f>
        <v>3571094.1824999996</v>
      </c>
      <c r="R13" s="105"/>
      <c r="S13" s="104">
        <f>SUM(S5:S12)</f>
        <v>0</v>
      </c>
      <c r="T13" s="105"/>
      <c r="U13" s="104">
        <f>SUM(U5:U12)</f>
        <v>0</v>
      </c>
      <c r="V13" s="106">
        <f>SUM(V5:V12)</f>
        <v>3764747.3824999998</v>
      </c>
      <c r="W13" s="80"/>
      <c r="X13" s="103"/>
    </row>
  </sheetData>
  <mergeCells count="12">
    <mergeCell ref="A1:I1"/>
    <mergeCell ref="X3:X4"/>
    <mergeCell ref="A2:I2"/>
    <mergeCell ref="W3:W4"/>
    <mergeCell ref="P3:Q3"/>
    <mergeCell ref="R3:S3"/>
    <mergeCell ref="T3:U3"/>
    <mergeCell ref="V3:V4"/>
    <mergeCell ref="L3:L4"/>
    <mergeCell ref="M3:M4"/>
    <mergeCell ref="N3:O3"/>
    <mergeCell ref="J3:K3"/>
  </mergeCells>
  <phoneticPr fontId="8"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tabColor rgb="FF92D050"/>
    <pageSetUpPr fitToPage="1"/>
  </sheetPr>
  <dimension ref="B1:W30"/>
  <sheetViews>
    <sheetView showZeros="0" tabSelected="1" zoomScale="40" zoomScaleNormal="40" workbookViewId="0">
      <pane ySplit="5" topLeftCell="A12" activePane="bottomLeft" state="frozen"/>
      <selection pane="bottomLeft" activeCell="S30" sqref="S30"/>
    </sheetView>
  </sheetViews>
  <sheetFormatPr defaultRowHeight="16.5"/>
  <cols>
    <col min="1" max="1" width="1.625" customWidth="1"/>
    <col min="2" max="2" width="12" style="139" customWidth="1"/>
    <col min="3" max="3" width="11.375" style="139" bestFit="1" customWidth="1"/>
    <col min="4" max="4" width="15.25" style="139" customWidth="1"/>
    <col min="5" max="5" width="12.75" style="139" customWidth="1"/>
    <col min="6" max="6" width="11.125" style="139" bestFit="1" customWidth="1"/>
    <col min="7" max="7" width="12.75" style="139" customWidth="1"/>
    <col min="8" max="8" width="11.125" style="139" bestFit="1" customWidth="1"/>
    <col min="9" max="9" width="22.375" style="139" bestFit="1" customWidth="1"/>
    <col min="10" max="10" width="24.125" style="139" bestFit="1" customWidth="1"/>
    <col min="11" max="11" width="9.75" style="139" bestFit="1" customWidth="1"/>
    <col min="12" max="12" width="8" style="139" bestFit="1" customWidth="1"/>
    <col min="13" max="13" width="11.75" style="139" bestFit="1" customWidth="1"/>
    <col min="14" max="14" width="73.25" style="139" bestFit="1" customWidth="1"/>
    <col min="15" max="15" width="20.625" style="139" bestFit="1" customWidth="1"/>
    <col min="16" max="16" width="13.125" style="139" bestFit="1" customWidth="1"/>
    <col min="17" max="17" width="11.75" style="139" bestFit="1" customWidth="1"/>
    <col min="18" max="18" width="19.875" style="139" bestFit="1" customWidth="1"/>
    <col min="19" max="19" width="17.375" style="139" customWidth="1"/>
    <col min="20" max="20" width="13.375" style="139" bestFit="1" customWidth="1"/>
    <col min="21" max="21" width="13.375" style="139" customWidth="1"/>
    <col min="22" max="22" width="17.375" style="139" customWidth="1"/>
    <col min="23" max="23" width="24.875" customWidth="1"/>
    <col min="24" max="24" width="1.625" customWidth="1"/>
  </cols>
  <sheetData>
    <row r="1" spans="2:23" s="130" customFormat="1" ht="9.9499999999999993" customHeight="1"/>
    <row r="2" spans="2:23" s="130" customFormat="1" ht="47.25" thickBot="1">
      <c r="B2" s="372" t="s">
        <v>108</v>
      </c>
      <c r="C2" s="368" t="s">
        <v>109</v>
      </c>
      <c r="D2" s="369" t="s">
        <v>110</v>
      </c>
      <c r="E2" s="370" t="s">
        <v>111</v>
      </c>
      <c r="F2" s="370" t="s">
        <v>112</v>
      </c>
      <c r="G2" s="370" t="s">
        <v>113</v>
      </c>
      <c r="H2" s="370" t="s">
        <v>114</v>
      </c>
      <c r="I2" s="370"/>
      <c r="J2" s="370"/>
      <c r="K2" s="368" t="s">
        <v>80</v>
      </c>
      <c r="L2" s="368">
        <v>201</v>
      </c>
      <c r="M2" s="369" t="s">
        <v>81</v>
      </c>
      <c r="N2" s="371" t="s">
        <v>82</v>
      </c>
      <c r="O2" s="189"/>
      <c r="P2" s="332" t="s">
        <v>214</v>
      </c>
      <c r="Q2" s="131"/>
      <c r="R2" s="131"/>
      <c r="S2" s="345"/>
      <c r="T2" s="346" t="s">
        <v>213</v>
      </c>
      <c r="U2" s="131"/>
      <c r="V2" s="131"/>
      <c r="W2" s="132"/>
    </row>
    <row r="3" spans="2:23" s="130" customFormat="1" ht="39" customHeight="1">
      <c r="B3" s="303" t="s">
        <v>115</v>
      </c>
      <c r="C3" s="297" t="s">
        <v>116</v>
      </c>
      <c r="D3" s="305" t="s">
        <v>139</v>
      </c>
      <c r="E3" s="307" t="s">
        <v>83</v>
      </c>
      <c r="F3" s="307"/>
      <c r="G3" s="307" t="s">
        <v>84</v>
      </c>
      <c r="H3" s="307"/>
      <c r="I3" s="133" t="s">
        <v>153</v>
      </c>
      <c r="J3" s="133" t="s">
        <v>154</v>
      </c>
      <c r="K3" s="297" t="s">
        <v>85</v>
      </c>
      <c r="L3" s="297" t="s">
        <v>86</v>
      </c>
      <c r="M3" s="297" t="s">
        <v>87</v>
      </c>
      <c r="N3" s="297" t="s">
        <v>88</v>
      </c>
      <c r="O3" s="299" t="s">
        <v>143</v>
      </c>
      <c r="P3" s="309" t="s">
        <v>140</v>
      </c>
      <c r="Q3" s="309"/>
      <c r="R3" s="309"/>
      <c r="S3" s="310"/>
      <c r="T3" s="310"/>
      <c r="U3" s="310"/>
      <c r="V3" s="311"/>
      <c r="W3" s="301" t="s">
        <v>138</v>
      </c>
    </row>
    <row r="4" spans="2:23" s="130" customFormat="1" ht="77.25" thickBot="1">
      <c r="B4" s="304"/>
      <c r="C4" s="298"/>
      <c r="D4" s="306"/>
      <c r="E4" s="134" t="s">
        <v>117</v>
      </c>
      <c r="F4" s="135" t="s">
        <v>118</v>
      </c>
      <c r="G4" s="134" t="s">
        <v>117</v>
      </c>
      <c r="H4" s="135" t="s">
        <v>118</v>
      </c>
      <c r="I4" s="136" t="s">
        <v>119</v>
      </c>
      <c r="J4" s="136" t="s">
        <v>120</v>
      </c>
      <c r="K4" s="298"/>
      <c r="L4" s="298"/>
      <c r="M4" s="298"/>
      <c r="N4" s="298"/>
      <c r="O4" s="300"/>
      <c r="P4" s="312" t="s">
        <v>155</v>
      </c>
      <c r="Q4" s="313" t="s">
        <v>156</v>
      </c>
      <c r="R4" s="313" t="s">
        <v>157</v>
      </c>
      <c r="S4" s="313" t="s">
        <v>200</v>
      </c>
      <c r="T4" s="313" t="s">
        <v>201</v>
      </c>
      <c r="U4" s="313" t="s">
        <v>195</v>
      </c>
      <c r="V4" s="314" t="s">
        <v>196</v>
      </c>
      <c r="W4" s="302"/>
    </row>
    <row r="5" spans="2:23" s="139" customFormat="1" ht="31.5">
      <c r="B5" s="359" t="s">
        <v>172</v>
      </c>
      <c r="C5" s="223"/>
      <c r="D5" s="224"/>
      <c r="E5" s="138"/>
      <c r="F5" s="138"/>
      <c r="G5" s="138"/>
      <c r="H5" s="138"/>
      <c r="I5" s="138"/>
      <c r="J5" s="138"/>
      <c r="K5" s="137"/>
      <c r="L5" s="137"/>
      <c r="M5" s="137"/>
      <c r="N5" s="137"/>
      <c r="O5" s="137"/>
      <c r="P5" s="137"/>
      <c r="Q5" s="137"/>
      <c r="R5" s="137"/>
      <c r="S5" s="137"/>
      <c r="T5" s="137"/>
      <c r="U5" s="137"/>
      <c r="V5" s="137"/>
      <c r="W5" s="322"/>
    </row>
    <row r="6" spans="2:23" s="234" customFormat="1" ht="96">
      <c r="B6" s="225">
        <v>1</v>
      </c>
      <c r="C6" s="140" t="s">
        <v>121</v>
      </c>
      <c r="D6" s="348">
        <v>2</v>
      </c>
      <c r="E6" s="226">
        <v>45679</v>
      </c>
      <c r="F6" s="227">
        <v>0.375</v>
      </c>
      <c r="G6" s="226">
        <v>45679</v>
      </c>
      <c r="H6" s="228">
        <v>0.69444444444444453</v>
      </c>
      <c r="I6" s="229">
        <f t="shared" ref="I6:I24" si="0">H6-F6</f>
        <v>0.31944444444444453</v>
      </c>
      <c r="J6" s="230">
        <f t="shared" ref="J6:J17" si="1">I6*D6</f>
        <v>0.63888888888888906</v>
      </c>
      <c r="K6" s="141" t="s">
        <v>90</v>
      </c>
      <c r="L6" s="142" t="s">
        <v>91</v>
      </c>
      <c r="M6" s="143" t="s">
        <v>92</v>
      </c>
      <c r="N6" s="231" t="s">
        <v>93</v>
      </c>
      <c r="O6" s="232">
        <v>2</v>
      </c>
      <c r="P6" s="233"/>
      <c r="Q6" s="233">
        <v>4</v>
      </c>
      <c r="R6" s="233"/>
      <c r="S6" s="233"/>
      <c r="T6" s="233"/>
      <c r="U6" s="233"/>
      <c r="V6" s="233"/>
      <c r="W6" s="323"/>
    </row>
    <row r="7" spans="2:23" s="234" customFormat="1" ht="96">
      <c r="B7" s="235">
        <v>2</v>
      </c>
      <c r="C7" s="144" t="s">
        <v>121</v>
      </c>
      <c r="D7" s="349">
        <v>2</v>
      </c>
      <c r="E7" s="236">
        <v>45680</v>
      </c>
      <c r="F7" s="227">
        <v>0.375</v>
      </c>
      <c r="G7" s="236">
        <v>45680</v>
      </c>
      <c r="H7" s="227">
        <v>0.6875</v>
      </c>
      <c r="I7" s="237">
        <f t="shared" si="0"/>
        <v>0.3125</v>
      </c>
      <c r="J7" s="238">
        <f t="shared" si="1"/>
        <v>0.625</v>
      </c>
      <c r="K7" s="146" t="s">
        <v>94</v>
      </c>
      <c r="L7" s="147" t="s">
        <v>95</v>
      </c>
      <c r="M7" s="148" t="s">
        <v>92</v>
      </c>
      <c r="N7" s="239" t="s">
        <v>142</v>
      </c>
      <c r="O7" s="240">
        <v>2</v>
      </c>
      <c r="P7" s="241" t="s">
        <v>89</v>
      </c>
      <c r="Q7" s="241">
        <v>2</v>
      </c>
      <c r="R7" s="241">
        <v>3</v>
      </c>
      <c r="S7" s="241"/>
      <c r="T7" s="241"/>
      <c r="U7" s="241"/>
      <c r="V7" s="241"/>
      <c r="W7" s="324" t="s">
        <v>141</v>
      </c>
    </row>
    <row r="8" spans="2:23" s="234" customFormat="1" ht="96">
      <c r="B8" s="235">
        <v>3</v>
      </c>
      <c r="C8" s="144" t="s">
        <v>121</v>
      </c>
      <c r="D8" s="349">
        <v>2</v>
      </c>
      <c r="E8" s="236">
        <v>45681</v>
      </c>
      <c r="F8" s="227">
        <v>0.375</v>
      </c>
      <c r="G8" s="236">
        <v>45681</v>
      </c>
      <c r="H8" s="227">
        <v>0.69444444444444442</v>
      </c>
      <c r="I8" s="237">
        <f t="shared" si="0"/>
        <v>0.31944444444444442</v>
      </c>
      <c r="J8" s="238">
        <f t="shared" si="1"/>
        <v>0.63888888888888884</v>
      </c>
      <c r="K8" s="146" t="s">
        <v>148</v>
      </c>
      <c r="L8" s="147" t="s">
        <v>96</v>
      </c>
      <c r="M8" s="148" t="s">
        <v>92</v>
      </c>
      <c r="N8" s="239" t="s">
        <v>145</v>
      </c>
      <c r="O8" s="242">
        <v>2</v>
      </c>
      <c r="P8" s="243"/>
      <c r="Q8" s="243"/>
      <c r="R8" s="243" t="s">
        <v>89</v>
      </c>
      <c r="S8" s="243"/>
      <c r="T8" s="243"/>
      <c r="U8" s="243"/>
      <c r="V8" s="243"/>
      <c r="W8" s="325" t="s">
        <v>89</v>
      </c>
    </row>
    <row r="9" spans="2:23" s="234" customFormat="1" ht="72">
      <c r="B9" s="235">
        <v>4</v>
      </c>
      <c r="C9" s="144" t="s">
        <v>121</v>
      </c>
      <c r="D9" s="349">
        <v>2</v>
      </c>
      <c r="E9" s="236">
        <v>45691</v>
      </c>
      <c r="F9" s="227">
        <v>0.375</v>
      </c>
      <c r="G9" s="236">
        <v>45691</v>
      </c>
      <c r="H9" s="227">
        <v>0.6875</v>
      </c>
      <c r="I9" s="237">
        <f t="shared" si="0"/>
        <v>0.3125</v>
      </c>
      <c r="J9" s="238">
        <f t="shared" si="1"/>
        <v>0.625</v>
      </c>
      <c r="K9" s="146" t="s">
        <v>149</v>
      </c>
      <c r="L9" s="147" t="s">
        <v>97</v>
      </c>
      <c r="M9" s="148" t="s">
        <v>92</v>
      </c>
      <c r="N9" s="244" t="s">
        <v>98</v>
      </c>
      <c r="O9" s="242">
        <v>2</v>
      </c>
      <c r="P9" s="243"/>
      <c r="Q9" s="243"/>
      <c r="R9" s="243"/>
      <c r="S9" s="243"/>
      <c r="T9" s="243"/>
      <c r="U9" s="243"/>
      <c r="V9" s="243"/>
      <c r="W9" s="325" t="s">
        <v>89</v>
      </c>
    </row>
    <row r="10" spans="2:23" s="234" customFormat="1" ht="96">
      <c r="B10" s="235">
        <v>5</v>
      </c>
      <c r="C10" s="144" t="s">
        <v>121</v>
      </c>
      <c r="D10" s="350">
        <v>2</v>
      </c>
      <c r="E10" s="236">
        <v>45692</v>
      </c>
      <c r="F10" s="227">
        <v>0.375</v>
      </c>
      <c r="G10" s="236">
        <v>45692</v>
      </c>
      <c r="H10" s="227">
        <v>0.6875</v>
      </c>
      <c r="I10" s="237">
        <f t="shared" si="0"/>
        <v>0.3125</v>
      </c>
      <c r="J10" s="238">
        <f t="shared" si="1"/>
        <v>0.625</v>
      </c>
      <c r="K10" s="146" t="s">
        <v>150</v>
      </c>
      <c r="L10" s="147" t="s">
        <v>146</v>
      </c>
      <c r="M10" s="148" t="s">
        <v>92</v>
      </c>
      <c r="N10" s="244" t="s">
        <v>99</v>
      </c>
      <c r="O10" s="245">
        <v>1.5</v>
      </c>
      <c r="P10" s="241">
        <v>7</v>
      </c>
      <c r="Q10" s="241"/>
      <c r="R10" s="241"/>
      <c r="S10" s="241">
        <v>1</v>
      </c>
      <c r="T10" s="241"/>
      <c r="U10" s="241"/>
      <c r="V10" s="241">
        <v>1</v>
      </c>
      <c r="W10" s="324" t="s">
        <v>89</v>
      </c>
    </row>
    <row r="11" spans="2:23" s="234" customFormat="1" ht="72">
      <c r="B11" s="235">
        <v>6</v>
      </c>
      <c r="C11" s="144" t="s">
        <v>121</v>
      </c>
      <c r="D11" s="350">
        <v>2</v>
      </c>
      <c r="E11" s="236">
        <v>45694</v>
      </c>
      <c r="F11" s="227">
        <v>0.375</v>
      </c>
      <c r="G11" s="236">
        <v>45694</v>
      </c>
      <c r="H11" s="227">
        <v>0.6875</v>
      </c>
      <c r="I11" s="237">
        <f t="shared" si="0"/>
        <v>0.3125</v>
      </c>
      <c r="J11" s="238">
        <f t="shared" si="1"/>
        <v>0.625</v>
      </c>
      <c r="K11" s="146">
        <v>8</v>
      </c>
      <c r="L11" s="147" t="s">
        <v>100</v>
      </c>
      <c r="M11" s="148" t="s">
        <v>92</v>
      </c>
      <c r="N11" s="244" t="s">
        <v>101</v>
      </c>
      <c r="O11" s="245">
        <v>1.5</v>
      </c>
      <c r="P11" s="241">
        <v>7</v>
      </c>
      <c r="Q11" s="241">
        <v>7</v>
      </c>
      <c r="R11" s="241"/>
      <c r="S11" s="241"/>
      <c r="T11" s="241"/>
      <c r="U11" s="241"/>
      <c r="V11" s="241"/>
      <c r="W11" s="324" t="s">
        <v>89</v>
      </c>
    </row>
    <row r="12" spans="2:23" s="234" customFormat="1" ht="72.75" thickBot="1">
      <c r="B12" s="246">
        <v>7</v>
      </c>
      <c r="C12" s="151" t="s">
        <v>121</v>
      </c>
      <c r="D12" s="351">
        <v>2</v>
      </c>
      <c r="E12" s="247">
        <v>45695</v>
      </c>
      <c r="F12" s="248">
        <v>0.375</v>
      </c>
      <c r="G12" s="247">
        <v>45695</v>
      </c>
      <c r="H12" s="248">
        <v>0.6875</v>
      </c>
      <c r="I12" s="249">
        <f t="shared" si="0"/>
        <v>0.3125</v>
      </c>
      <c r="J12" s="250">
        <f t="shared" si="1"/>
        <v>0.625</v>
      </c>
      <c r="K12" s="152" t="s">
        <v>151</v>
      </c>
      <c r="L12" s="153" t="s">
        <v>102</v>
      </c>
      <c r="M12" s="154" t="s">
        <v>92</v>
      </c>
      <c r="N12" s="251" t="s">
        <v>103</v>
      </c>
      <c r="O12" s="252">
        <v>1.5</v>
      </c>
      <c r="P12" s="241">
        <v>7</v>
      </c>
      <c r="Q12" s="241" t="s">
        <v>89</v>
      </c>
      <c r="R12" s="241"/>
      <c r="S12" s="241"/>
      <c r="T12" s="241"/>
      <c r="U12" s="241"/>
      <c r="V12" s="241"/>
      <c r="W12" s="324" t="s">
        <v>203</v>
      </c>
    </row>
    <row r="13" spans="2:23" s="139" customFormat="1" ht="72.75" thickTop="1">
      <c r="B13" s="155">
        <v>8</v>
      </c>
      <c r="C13" s="164" t="s">
        <v>121</v>
      </c>
      <c r="D13" s="352">
        <v>2</v>
      </c>
      <c r="E13" s="165">
        <v>45698</v>
      </c>
      <c r="F13" s="166">
        <v>0.54166666666666663</v>
      </c>
      <c r="G13" s="165">
        <v>45698</v>
      </c>
      <c r="H13" s="166">
        <v>0.6875</v>
      </c>
      <c r="I13" s="167">
        <f t="shared" si="0"/>
        <v>0.14583333333333337</v>
      </c>
      <c r="J13" s="168">
        <f t="shared" si="1"/>
        <v>0.29166666666666674</v>
      </c>
      <c r="K13" s="169" t="s">
        <v>152</v>
      </c>
      <c r="L13" s="170" t="s">
        <v>147</v>
      </c>
      <c r="M13" s="171" t="s">
        <v>92</v>
      </c>
      <c r="N13" s="172" t="s">
        <v>104</v>
      </c>
      <c r="O13" s="333">
        <v>1.5</v>
      </c>
      <c r="P13" s="156">
        <v>7</v>
      </c>
      <c r="Q13" s="149" t="s">
        <v>89</v>
      </c>
      <c r="R13" s="149"/>
      <c r="S13" s="149"/>
      <c r="T13" s="149"/>
      <c r="U13" s="149"/>
      <c r="V13" s="149"/>
      <c r="W13" s="326" t="s">
        <v>89</v>
      </c>
    </row>
    <row r="14" spans="2:23" s="139" customFormat="1" ht="96.75" thickBot="1">
      <c r="B14" s="157">
        <v>9</v>
      </c>
      <c r="C14" s="173" t="s">
        <v>121</v>
      </c>
      <c r="D14" s="353">
        <v>2</v>
      </c>
      <c r="E14" s="174">
        <v>45699</v>
      </c>
      <c r="F14" s="175">
        <v>0.375</v>
      </c>
      <c r="G14" s="174">
        <v>45699</v>
      </c>
      <c r="H14" s="175">
        <v>0.67361111111111116</v>
      </c>
      <c r="I14" s="176">
        <f t="shared" si="0"/>
        <v>0.29861111111111116</v>
      </c>
      <c r="J14" s="177">
        <f t="shared" si="1"/>
        <v>0.59722222222222232</v>
      </c>
      <c r="K14" s="178">
        <v>2</v>
      </c>
      <c r="L14" s="179">
        <v>203</v>
      </c>
      <c r="M14" s="179" t="s">
        <v>92</v>
      </c>
      <c r="N14" s="180" t="s">
        <v>105</v>
      </c>
      <c r="O14" s="334">
        <v>2</v>
      </c>
      <c r="P14" s="156">
        <v>3</v>
      </c>
      <c r="Q14" s="149"/>
      <c r="R14" s="158"/>
      <c r="S14" s="149"/>
      <c r="T14" s="149"/>
      <c r="U14" s="149"/>
      <c r="V14" s="149"/>
      <c r="W14" s="326"/>
    </row>
    <row r="15" spans="2:23" s="139" customFormat="1" ht="102.75" thickTop="1" thickBot="1">
      <c r="B15" s="157">
        <v>10</v>
      </c>
      <c r="C15" s="173" t="s">
        <v>121</v>
      </c>
      <c r="D15" s="353">
        <v>2</v>
      </c>
      <c r="E15" s="174">
        <v>45701</v>
      </c>
      <c r="F15" s="175">
        <v>0.375</v>
      </c>
      <c r="G15" s="174">
        <v>45701</v>
      </c>
      <c r="H15" s="175">
        <v>0.6875</v>
      </c>
      <c r="I15" s="176">
        <f t="shared" si="0"/>
        <v>0.3125</v>
      </c>
      <c r="J15" s="177">
        <f t="shared" si="1"/>
        <v>0.625</v>
      </c>
      <c r="K15" s="178">
        <v>102</v>
      </c>
      <c r="L15" s="179">
        <v>205</v>
      </c>
      <c r="M15" s="179" t="s">
        <v>92</v>
      </c>
      <c r="N15" s="180" t="s">
        <v>106</v>
      </c>
      <c r="O15" s="335">
        <v>2</v>
      </c>
      <c r="P15" s="159">
        <v>3</v>
      </c>
      <c r="Q15" s="150">
        <v>1</v>
      </c>
      <c r="R15" s="337" t="s">
        <v>204</v>
      </c>
      <c r="S15" s="150"/>
      <c r="T15" s="150"/>
      <c r="U15" s="150"/>
      <c r="V15" s="150"/>
      <c r="W15" s="326"/>
    </row>
    <row r="16" spans="2:23" s="139" customFormat="1" ht="73.5" thickTop="1" thickBot="1">
      <c r="B16" s="160">
        <v>11</v>
      </c>
      <c r="C16" s="181" t="s">
        <v>121</v>
      </c>
      <c r="D16" s="354">
        <v>2</v>
      </c>
      <c r="E16" s="182">
        <v>45702</v>
      </c>
      <c r="F16" s="183">
        <v>0.375</v>
      </c>
      <c r="G16" s="182">
        <v>45702</v>
      </c>
      <c r="H16" s="183">
        <v>0.5</v>
      </c>
      <c r="I16" s="184">
        <f t="shared" si="0"/>
        <v>0.125</v>
      </c>
      <c r="J16" s="185">
        <f t="shared" si="1"/>
        <v>0.25</v>
      </c>
      <c r="K16" s="186">
        <v>5</v>
      </c>
      <c r="L16" s="187">
        <v>301</v>
      </c>
      <c r="M16" s="187" t="s">
        <v>92</v>
      </c>
      <c r="N16" s="161" t="s">
        <v>144</v>
      </c>
      <c r="O16" s="336">
        <v>2</v>
      </c>
      <c r="P16" s="159"/>
      <c r="Q16" s="150"/>
      <c r="R16" s="162"/>
      <c r="S16" s="150"/>
      <c r="T16" s="150"/>
      <c r="U16" s="150"/>
      <c r="V16" s="150"/>
      <c r="W16" s="326"/>
    </row>
    <row r="17" spans="2:23" s="234" customFormat="1" ht="72" customHeight="1" thickTop="1">
      <c r="B17" s="235">
        <v>12</v>
      </c>
      <c r="C17" s="144" t="s">
        <v>121</v>
      </c>
      <c r="D17" s="350">
        <v>1</v>
      </c>
      <c r="E17" s="236">
        <v>45707</v>
      </c>
      <c r="F17" s="227">
        <v>0.54166666666666663</v>
      </c>
      <c r="G17" s="236">
        <v>45692</v>
      </c>
      <c r="H17" s="227">
        <v>0.64583333333333337</v>
      </c>
      <c r="I17" s="237">
        <f t="shared" si="0"/>
        <v>0.10416666666666674</v>
      </c>
      <c r="J17" s="238">
        <f t="shared" si="1"/>
        <v>0.10416666666666674</v>
      </c>
      <c r="K17" s="146">
        <v>5</v>
      </c>
      <c r="L17" s="147">
        <v>501</v>
      </c>
      <c r="M17" s="148" t="s">
        <v>92</v>
      </c>
      <c r="N17" s="244" t="s">
        <v>107</v>
      </c>
      <c r="O17" s="277"/>
      <c r="P17" s="241">
        <v>7</v>
      </c>
      <c r="Q17" s="241"/>
      <c r="R17" s="241"/>
      <c r="S17" s="241"/>
      <c r="T17" s="241"/>
      <c r="U17" s="241"/>
      <c r="V17" s="241"/>
      <c r="W17" s="324"/>
    </row>
    <row r="18" spans="2:23" s="139" customFormat="1" ht="33.75">
      <c r="B18" s="358" t="s">
        <v>173</v>
      </c>
      <c r="C18" s="222"/>
      <c r="D18" s="355"/>
      <c r="E18" s="214"/>
      <c r="F18" s="215"/>
      <c r="G18" s="214"/>
      <c r="H18" s="215"/>
      <c r="I18" s="163"/>
      <c r="J18" s="221"/>
      <c r="K18" s="216"/>
      <c r="L18" s="217"/>
      <c r="M18" s="218"/>
      <c r="N18" s="219"/>
      <c r="O18" s="278"/>
      <c r="P18" s="220"/>
      <c r="Q18" s="220"/>
      <c r="R18" s="220"/>
      <c r="S18" s="220"/>
      <c r="T18" s="220"/>
      <c r="U18" s="220"/>
      <c r="V18" s="220"/>
      <c r="W18" s="327"/>
    </row>
    <row r="19" spans="2:23" s="200" customFormat="1" ht="72" customHeight="1">
      <c r="B19" s="190">
        <v>13</v>
      </c>
      <c r="C19" s="191" t="s">
        <v>159</v>
      </c>
      <c r="D19" s="356">
        <v>2</v>
      </c>
      <c r="E19" s="192">
        <v>45741</v>
      </c>
      <c r="F19" s="193">
        <v>0.375</v>
      </c>
      <c r="G19" s="192">
        <v>45741</v>
      </c>
      <c r="H19" s="193">
        <v>0.67708333333333337</v>
      </c>
      <c r="I19" s="194">
        <f t="shared" si="0"/>
        <v>0.30208333333333337</v>
      </c>
      <c r="J19" s="145">
        <f t="shared" ref="J19:J24" si="2">I19*D19</f>
        <v>0.60416666666666674</v>
      </c>
      <c r="K19" s="195">
        <v>7</v>
      </c>
      <c r="L19" s="196">
        <v>506</v>
      </c>
      <c r="M19" s="197" t="s">
        <v>163</v>
      </c>
      <c r="N19" s="198" t="s">
        <v>166</v>
      </c>
      <c r="O19" s="315">
        <f t="shared" ref="O19:O24" si="3">D19</f>
        <v>2</v>
      </c>
      <c r="P19" s="316"/>
      <c r="Q19" s="317">
        <v>4</v>
      </c>
      <c r="R19" s="317"/>
      <c r="S19" s="317"/>
      <c r="T19" s="317">
        <v>2.5</v>
      </c>
      <c r="U19" s="317">
        <v>2.5</v>
      </c>
      <c r="V19" s="316"/>
      <c r="W19" s="328" t="s">
        <v>208</v>
      </c>
    </row>
    <row r="20" spans="2:23" s="200" customFormat="1" ht="120.75" thickBot="1">
      <c r="B20" s="190">
        <v>14</v>
      </c>
      <c r="C20" s="191" t="s">
        <v>159</v>
      </c>
      <c r="D20" s="356">
        <v>2</v>
      </c>
      <c r="E20" s="192">
        <v>45744</v>
      </c>
      <c r="F20" s="193">
        <v>0.375</v>
      </c>
      <c r="G20" s="192">
        <v>45744</v>
      </c>
      <c r="H20" s="193">
        <v>0.68055555555555558</v>
      </c>
      <c r="I20" s="194">
        <f t="shared" si="0"/>
        <v>0.30555555555555558</v>
      </c>
      <c r="J20" s="145">
        <f t="shared" si="2"/>
        <v>0.61111111111111116</v>
      </c>
      <c r="K20" s="195" t="s">
        <v>160</v>
      </c>
      <c r="L20" s="196" t="s">
        <v>162</v>
      </c>
      <c r="M20" s="197" t="s">
        <v>163</v>
      </c>
      <c r="N20" s="198" t="s">
        <v>167</v>
      </c>
      <c r="O20" s="315">
        <f t="shared" si="3"/>
        <v>2</v>
      </c>
      <c r="P20" s="316"/>
      <c r="Q20" s="317"/>
      <c r="R20" s="317"/>
      <c r="S20" s="339"/>
      <c r="T20" s="316"/>
      <c r="U20" s="316"/>
      <c r="V20" s="316"/>
      <c r="W20" s="328"/>
    </row>
    <row r="21" spans="2:23" s="200" customFormat="1" ht="102" thickTop="1">
      <c r="B21" s="190">
        <v>15</v>
      </c>
      <c r="C21" s="191" t="s">
        <v>159</v>
      </c>
      <c r="D21" s="356">
        <v>2</v>
      </c>
      <c r="E21" s="192">
        <v>45747</v>
      </c>
      <c r="F21" s="193">
        <v>0.375</v>
      </c>
      <c r="G21" s="192">
        <v>45747</v>
      </c>
      <c r="H21" s="193">
        <v>0.6875</v>
      </c>
      <c r="I21" s="194">
        <f t="shared" si="0"/>
        <v>0.3125</v>
      </c>
      <c r="J21" s="145">
        <f t="shared" si="2"/>
        <v>0.625</v>
      </c>
      <c r="K21" s="195" t="s">
        <v>161</v>
      </c>
      <c r="L21" s="196" t="s">
        <v>164</v>
      </c>
      <c r="M21" s="197" t="s">
        <v>163</v>
      </c>
      <c r="N21" s="198" t="s">
        <v>168</v>
      </c>
      <c r="O21" s="315">
        <f t="shared" si="3"/>
        <v>2</v>
      </c>
      <c r="P21" s="316"/>
      <c r="Q21" s="317"/>
      <c r="R21" s="317"/>
      <c r="S21" s="341" t="s">
        <v>205</v>
      </c>
      <c r="T21" s="338"/>
      <c r="U21" s="316"/>
      <c r="V21" s="316"/>
      <c r="W21" s="328"/>
    </row>
    <row r="22" spans="2:23" s="200" customFormat="1" ht="102" thickBot="1">
      <c r="B22" s="190">
        <v>16</v>
      </c>
      <c r="C22" s="191" t="s">
        <v>159</v>
      </c>
      <c r="D22" s="356">
        <v>2</v>
      </c>
      <c r="E22" s="192">
        <v>45749</v>
      </c>
      <c r="F22" s="193">
        <v>0.375</v>
      </c>
      <c r="G22" s="192">
        <v>45749</v>
      </c>
      <c r="H22" s="193">
        <v>0.6875</v>
      </c>
      <c r="I22" s="194">
        <f t="shared" si="0"/>
        <v>0.3125</v>
      </c>
      <c r="J22" s="145">
        <f t="shared" si="2"/>
        <v>0.625</v>
      </c>
      <c r="K22" s="195" t="s">
        <v>161</v>
      </c>
      <c r="L22" s="196" t="s">
        <v>165</v>
      </c>
      <c r="M22" s="197" t="s">
        <v>163</v>
      </c>
      <c r="N22" s="198" t="s">
        <v>169</v>
      </c>
      <c r="O22" s="315">
        <f t="shared" si="3"/>
        <v>2</v>
      </c>
      <c r="P22" s="316"/>
      <c r="Q22" s="317"/>
      <c r="R22" s="317"/>
      <c r="S22" s="342" t="s">
        <v>206</v>
      </c>
      <c r="T22" s="338"/>
      <c r="U22" s="316"/>
      <c r="V22" s="317">
        <v>2</v>
      </c>
      <c r="W22" s="328" t="s">
        <v>207</v>
      </c>
    </row>
    <row r="23" spans="2:23" s="200" customFormat="1" ht="72" customHeight="1" thickTop="1">
      <c r="B23" s="190">
        <v>17</v>
      </c>
      <c r="C23" s="191" t="s">
        <v>159</v>
      </c>
      <c r="D23" s="356">
        <v>2</v>
      </c>
      <c r="E23" s="192">
        <v>45750</v>
      </c>
      <c r="F23" s="193">
        <v>0.375</v>
      </c>
      <c r="G23" s="192">
        <v>45750</v>
      </c>
      <c r="H23" s="193">
        <v>0.6875</v>
      </c>
      <c r="I23" s="194">
        <f t="shared" si="0"/>
        <v>0.3125</v>
      </c>
      <c r="J23" s="145">
        <f t="shared" si="2"/>
        <v>0.625</v>
      </c>
      <c r="K23" s="195">
        <v>8</v>
      </c>
      <c r="L23" s="196">
        <v>502</v>
      </c>
      <c r="M23" s="197" t="s">
        <v>163</v>
      </c>
      <c r="N23" s="198" t="s">
        <v>170</v>
      </c>
      <c r="O23" s="315">
        <f t="shared" si="3"/>
        <v>2</v>
      </c>
      <c r="P23" s="316"/>
      <c r="Q23" s="317">
        <v>2</v>
      </c>
      <c r="R23" s="317"/>
      <c r="S23" s="340"/>
      <c r="T23" s="316"/>
      <c r="U23" s="316"/>
      <c r="V23" s="316"/>
      <c r="W23" s="328"/>
    </row>
    <row r="24" spans="2:23" s="200" customFormat="1" ht="96">
      <c r="B24" s="190">
        <v>18</v>
      </c>
      <c r="C24" s="191" t="s">
        <v>159</v>
      </c>
      <c r="D24" s="356">
        <v>2</v>
      </c>
      <c r="E24" s="192">
        <v>45755</v>
      </c>
      <c r="F24" s="193">
        <v>0.375</v>
      </c>
      <c r="G24" s="192">
        <v>45755</v>
      </c>
      <c r="H24" s="193">
        <v>0.6875</v>
      </c>
      <c r="I24" s="194">
        <f t="shared" si="0"/>
        <v>0.3125</v>
      </c>
      <c r="J24" s="145">
        <f t="shared" si="2"/>
        <v>0.625</v>
      </c>
      <c r="K24" s="195">
        <v>2</v>
      </c>
      <c r="L24" s="196">
        <v>108</v>
      </c>
      <c r="M24" s="197" t="s">
        <v>163</v>
      </c>
      <c r="N24" s="198" t="s">
        <v>171</v>
      </c>
      <c r="O24" s="315">
        <f t="shared" si="3"/>
        <v>2</v>
      </c>
      <c r="P24" s="317"/>
      <c r="Q24" s="317">
        <v>6</v>
      </c>
      <c r="R24" s="317">
        <v>9</v>
      </c>
      <c r="S24" s="308"/>
      <c r="T24" s="199"/>
      <c r="U24" s="199"/>
      <c r="V24" s="199"/>
      <c r="W24" s="329"/>
    </row>
    <row r="25" spans="2:23" s="200" customFormat="1" ht="72" customHeight="1">
      <c r="B25" s="201"/>
      <c r="C25" s="202"/>
      <c r="D25" s="357"/>
      <c r="E25" s="203"/>
      <c r="F25" s="204"/>
      <c r="G25" s="203"/>
      <c r="H25" s="204"/>
      <c r="I25" s="205"/>
      <c r="J25" s="188"/>
      <c r="K25" s="206"/>
      <c r="L25" s="207"/>
      <c r="M25" s="207"/>
      <c r="N25" s="208"/>
      <c r="O25" s="209"/>
      <c r="P25" s="210"/>
      <c r="Q25" s="210"/>
      <c r="R25" s="210"/>
      <c r="S25" s="210"/>
      <c r="T25" s="210"/>
      <c r="U25" s="210"/>
      <c r="V25" s="210"/>
      <c r="W25" s="330"/>
    </row>
    <row r="26" spans="2:23" s="213" customFormat="1" ht="68.25" thickBot="1">
      <c r="B26" s="343" t="s">
        <v>209</v>
      </c>
      <c r="C26" s="344"/>
      <c r="D26" s="321">
        <f>SUM(D13:D16,D19:D24)</f>
        <v>20</v>
      </c>
      <c r="E26" s="211"/>
      <c r="F26" s="212"/>
      <c r="G26" s="211"/>
      <c r="H26" s="212"/>
      <c r="I26" s="347">
        <f>SUM(I13:I25)</f>
        <v>2.84375</v>
      </c>
      <c r="J26" s="347">
        <f>SUM(J13:J25)</f>
        <v>5.5833333333333339</v>
      </c>
      <c r="K26" s="273"/>
      <c r="L26" s="274"/>
      <c r="M26" s="273"/>
      <c r="N26" s="275"/>
      <c r="O26" s="321">
        <f>SUM(O13:O25)</f>
        <v>19.5</v>
      </c>
      <c r="P26" s="318">
        <f>SUM(P19:P25)</f>
        <v>0</v>
      </c>
      <c r="Q26" s="318">
        <f>SUM(Q19:Q25)</f>
        <v>12</v>
      </c>
      <c r="R26" s="318">
        <v>9.3000000000000007</v>
      </c>
      <c r="S26" s="318" t="s">
        <v>202</v>
      </c>
      <c r="T26" s="318">
        <f t="shared" ref="T26:V26" si="4">SUM(T19:T25)</f>
        <v>2.5</v>
      </c>
      <c r="U26" s="318">
        <f t="shared" si="4"/>
        <v>2.5</v>
      </c>
      <c r="V26" s="318">
        <f t="shared" si="4"/>
        <v>2</v>
      </c>
      <c r="W26" s="331"/>
    </row>
    <row r="27" spans="2:23" ht="9.9499999999999993" customHeight="1"/>
    <row r="30" spans="2:23" ht="31.5">
      <c r="R30" s="319"/>
      <c r="S30" s="320"/>
    </row>
  </sheetData>
  <mergeCells count="13">
    <mergeCell ref="P3:V3"/>
    <mergeCell ref="W3:W4"/>
    <mergeCell ref="B3:B4"/>
    <mergeCell ref="C3:C4"/>
    <mergeCell ref="D3:D4"/>
    <mergeCell ref="E3:F3"/>
    <mergeCell ref="G3:H3"/>
    <mergeCell ref="K3:K4"/>
    <mergeCell ref="B26:C26"/>
    <mergeCell ref="L3:L4"/>
    <mergeCell ref="M3:M4"/>
    <mergeCell ref="N3:N4"/>
    <mergeCell ref="O3:O4"/>
  </mergeCells>
  <phoneticPr fontId="8" type="noConversion"/>
  <pageMargins left="0.7" right="0.7" top="0.75" bottom="0.75" header="0.3" footer="0.3"/>
  <pageSetup paperSize="9" scale="36" orientation="landscape"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70392-FBA2-474B-876C-91C535878F15}">
  <dimension ref="A1"/>
  <sheetViews>
    <sheetView workbookViewId="0">
      <selection activeCell="O48" sqref="O48"/>
    </sheetView>
  </sheetViews>
  <sheetFormatPr defaultRowHeight="16.5"/>
  <sheetData/>
  <phoneticPr fontId="8" type="noConversion"/>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8"/>
  <sheetViews>
    <sheetView showGridLines="0" zoomScaleNormal="100" workbookViewId="0">
      <selection activeCell="L31" sqref="L31"/>
    </sheetView>
  </sheetViews>
  <sheetFormatPr defaultColWidth="9" defaultRowHeight="14.25"/>
  <cols>
    <col min="1" max="5" width="18.625" style="85" customWidth="1"/>
    <col min="6" max="6" width="9" style="85" customWidth="1"/>
    <col min="7" max="16384" width="9" style="77"/>
  </cols>
  <sheetData>
    <row r="1" spans="1:6" ht="18" customHeight="1">
      <c r="A1" s="81" t="s">
        <v>75</v>
      </c>
      <c r="B1" s="81" t="s">
        <v>76</v>
      </c>
      <c r="C1" s="81" t="s">
        <v>77</v>
      </c>
      <c r="D1" s="81" t="s">
        <v>78</v>
      </c>
      <c r="E1" s="81" t="s">
        <v>79</v>
      </c>
      <c r="F1" s="81" t="s">
        <v>0</v>
      </c>
    </row>
    <row r="2" spans="1:6" ht="18" customHeight="1">
      <c r="A2" s="82" t="str">
        <f>'내역서(표준단가)'!A5</f>
        <v>L003</v>
      </c>
      <c r="B2" s="83">
        <f>'내역서(표준단가)'!F5</f>
        <v>0</v>
      </c>
      <c r="C2" s="83">
        <f>'내역서(표준단가)'!G5</f>
        <v>0</v>
      </c>
      <c r="D2" s="83">
        <f>'내역서(표준단가)'!H5</f>
        <v>0</v>
      </c>
      <c r="E2" s="83" t="str">
        <f>'내역서(표준단가)'!I5</f>
        <v>L003</v>
      </c>
      <c r="F2" s="84">
        <f>'내역서(표준단가)'!M5</f>
        <v>19.5</v>
      </c>
    </row>
    <row r="3" spans="1:6" ht="18" customHeight="1">
      <c r="A3" s="82" t="str">
        <f>'내역서(표준단가)'!A6</f>
        <v>M020251411670101</v>
      </c>
      <c r="B3" s="83">
        <f>'내역서(표준단가)'!F6</f>
        <v>0</v>
      </c>
      <c r="C3" s="83">
        <f>'내역서(표준단가)'!G6</f>
        <v>0</v>
      </c>
      <c r="D3" s="83" t="str">
        <f>'내역서(표준단가)'!H6</f>
        <v>M020251411670101</v>
      </c>
      <c r="E3" s="83">
        <f>'내역서(표준단가)'!I6</f>
        <v>0</v>
      </c>
      <c r="F3" s="84">
        <f>'내역서(표준단가)'!M6</f>
        <v>12</v>
      </c>
    </row>
    <row r="4" spans="1:6" ht="18" customHeight="1">
      <c r="A4" s="82" t="str">
        <f>'내역서(표준단가)'!A7</f>
        <v>M020533113070101</v>
      </c>
      <c r="B4" s="83">
        <f>'내역서(표준단가)'!F7</f>
        <v>0</v>
      </c>
      <c r="C4" s="83">
        <f>'내역서(표준단가)'!G7</f>
        <v>0</v>
      </c>
      <c r="D4" s="83" t="str">
        <f>'내역서(표준단가)'!H7</f>
        <v>M020533113070101</v>
      </c>
      <c r="E4" s="83">
        <f>'내역서(표준단가)'!I7</f>
        <v>0</v>
      </c>
      <c r="F4" s="84">
        <f>'내역서(표준단가)'!M7</f>
        <v>9.3000000000000007</v>
      </c>
    </row>
    <row r="5" spans="1:6" ht="18" customHeight="1">
      <c r="A5" s="82" t="str">
        <f>'내역서(표준단가)'!A8</f>
        <v>M020852810150101</v>
      </c>
      <c r="B5" s="83">
        <f>'내역서(표준단가)'!F8</f>
        <v>0</v>
      </c>
      <c r="C5" s="83">
        <f>'내역서(표준단가)'!G8</f>
        <v>0</v>
      </c>
      <c r="D5" s="83" t="str">
        <f>'내역서(표준단가)'!H8</f>
        <v>M020852810150101</v>
      </c>
      <c r="E5" s="83">
        <f>'내역서(표준단가)'!I8</f>
        <v>0</v>
      </c>
      <c r="F5" s="84">
        <f>'내역서(표준단가)'!M8</f>
        <v>1.38</v>
      </c>
    </row>
    <row r="6" spans="1:6" ht="18" customHeight="1">
      <c r="A6" s="82" t="str">
        <f>'내역서(표준단가)'!A9</f>
        <v>M020750510120102</v>
      </c>
      <c r="B6" s="83">
        <f>'내역서(표준단가)'!F9</f>
        <v>0</v>
      </c>
      <c r="C6" s="83">
        <f>'내역서(표준단가)'!G9</f>
        <v>0</v>
      </c>
      <c r="D6" s="83" t="str">
        <f>'내역서(표준단가)'!H9</f>
        <v>M020750510120102</v>
      </c>
      <c r="E6" s="83">
        <f>'내역서(표준단가)'!I9</f>
        <v>0</v>
      </c>
      <c r="F6" s="84">
        <f>'내역서(표준단가)'!M9</f>
        <v>2.5</v>
      </c>
    </row>
    <row r="7" spans="1:6">
      <c r="A7" s="82" t="str">
        <f>'내역서(표준단가)'!A10</f>
        <v>M020750510130104</v>
      </c>
      <c r="B7" s="83">
        <f>'내역서(표준단가)'!F10</f>
        <v>0</v>
      </c>
      <c r="C7" s="83">
        <f>'내역서(표준단가)'!G10</f>
        <v>0</v>
      </c>
      <c r="D7" s="83" t="str">
        <f>'내역서(표준단가)'!H10</f>
        <v>M020750510130104</v>
      </c>
      <c r="E7" s="83">
        <f>'내역서(표준단가)'!I10</f>
        <v>0</v>
      </c>
      <c r="F7" s="84">
        <f>'내역서(표준단가)'!M10</f>
        <v>2.5</v>
      </c>
    </row>
    <row r="8" spans="1:6">
      <c r="A8" s="82" t="str">
        <f>'내역서(표준단가)'!A11</f>
        <v>M020690710060101</v>
      </c>
      <c r="B8" s="83">
        <f>'내역서(표준단가)'!F11</f>
        <v>0</v>
      </c>
      <c r="C8" s="83">
        <f>'내역서(표준단가)'!G11</f>
        <v>0</v>
      </c>
      <c r="D8" s="83" t="str">
        <f>'내역서(표준단가)'!H11</f>
        <v>M020690710060101</v>
      </c>
      <c r="E8" s="83">
        <f>'내역서(표준단가)'!I11</f>
        <v>0</v>
      </c>
      <c r="F8" s="84">
        <f>'내역서(표준단가)'!M11</f>
        <v>2</v>
      </c>
    </row>
  </sheetData>
  <phoneticPr fontId="8" type="noConversion"/>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E131A-8BE8-4E02-A3B5-88ED9C9DD192}">
  <dimension ref="A1:R6"/>
  <sheetViews>
    <sheetView workbookViewId="0">
      <selection activeCell="G12" sqref="G12"/>
    </sheetView>
  </sheetViews>
  <sheetFormatPr defaultRowHeight="16.5"/>
  <cols>
    <col min="1" max="1" width="11.125" customWidth="1"/>
    <col min="2" max="2" width="13.375" customWidth="1"/>
    <col min="3" max="3" width="47.5" customWidth="1"/>
    <col min="4" max="4" width="22.875" customWidth="1"/>
    <col min="5" max="5" width="5" customWidth="1"/>
    <col min="6" max="6" width="6.25" customWidth="1"/>
    <col min="7" max="7" width="10" customWidth="1"/>
    <col min="8" max="8" width="11.875" customWidth="1"/>
    <col min="9" max="9" width="10" customWidth="1"/>
    <col min="10" max="10" width="11.875" customWidth="1"/>
    <col min="11" max="11" width="10" customWidth="1"/>
    <col min="12" max="12" width="11.875" customWidth="1"/>
    <col min="13" max="13" width="10" customWidth="1"/>
    <col min="14" max="14" width="11.875" customWidth="1"/>
    <col min="15" max="15" width="9.125" customWidth="1"/>
    <col min="16" max="16" width="11.5" customWidth="1"/>
    <col min="17" max="17" width="11.75" customWidth="1"/>
    <col min="18" max="18" width="17.875" customWidth="1"/>
  </cols>
  <sheetData>
    <row r="1" spans="1:18" ht="18" customHeight="1">
      <c r="A1" s="111" t="s">
        <v>122</v>
      </c>
      <c r="B1" s="112" t="s">
        <v>123</v>
      </c>
      <c r="C1" s="112" t="s">
        <v>124</v>
      </c>
      <c r="D1" s="112" t="s">
        <v>125</v>
      </c>
      <c r="E1" s="112" t="s">
        <v>42</v>
      </c>
      <c r="F1" s="112" t="s">
        <v>0</v>
      </c>
      <c r="G1" s="112" t="s">
        <v>126</v>
      </c>
      <c r="H1" s="110" t="s">
        <v>127</v>
      </c>
      <c r="I1" s="110" t="s">
        <v>128</v>
      </c>
      <c r="J1" s="110" t="s">
        <v>129</v>
      </c>
      <c r="K1" s="110" t="s">
        <v>130</v>
      </c>
      <c r="L1" s="110" t="s">
        <v>131</v>
      </c>
      <c r="M1" s="110" t="s">
        <v>132</v>
      </c>
      <c r="N1" s="110" t="s">
        <v>133</v>
      </c>
      <c r="O1" s="110" t="s">
        <v>134</v>
      </c>
      <c r="P1" s="110" t="s">
        <v>135</v>
      </c>
      <c r="Q1" s="110" t="s">
        <v>136</v>
      </c>
      <c r="R1" s="110" t="s">
        <v>137</v>
      </c>
    </row>
    <row r="2" spans="1:18">
      <c r="A2" s="121">
        <v>999999</v>
      </c>
      <c r="B2" s="121"/>
      <c r="C2" s="122"/>
      <c r="D2" s="122"/>
      <c r="E2" s="123"/>
      <c r="F2" s="124"/>
      <c r="G2" s="125"/>
      <c r="H2" s="121"/>
      <c r="I2" s="121"/>
      <c r="J2" s="121"/>
      <c r="K2" s="121"/>
    </row>
    <row r="3" spans="1:18">
      <c r="A3" s="121"/>
      <c r="B3" s="121"/>
      <c r="C3" s="122"/>
      <c r="D3" s="122"/>
      <c r="E3" s="123"/>
      <c r="F3" s="126"/>
      <c r="G3" s="127"/>
      <c r="H3" s="121"/>
      <c r="I3" s="121"/>
      <c r="J3" s="121"/>
      <c r="K3" s="121"/>
    </row>
    <row r="4" spans="1:18">
      <c r="A4" s="121"/>
      <c r="B4" s="121"/>
      <c r="C4" s="122"/>
      <c r="D4" s="122"/>
      <c r="E4" s="123"/>
      <c r="F4" s="126"/>
      <c r="G4" s="127"/>
      <c r="H4" s="121"/>
      <c r="I4" s="121"/>
      <c r="J4" s="121"/>
      <c r="K4" s="121"/>
    </row>
    <row r="5" spans="1:18">
      <c r="A5" s="121"/>
      <c r="B5" s="121"/>
      <c r="C5" s="128"/>
      <c r="D5" s="128"/>
      <c r="E5" s="123"/>
      <c r="F5" s="126"/>
      <c r="G5" s="129"/>
      <c r="H5" s="121"/>
      <c r="I5" s="121"/>
      <c r="J5" s="121"/>
      <c r="K5" s="121"/>
    </row>
    <row r="6" spans="1:18">
      <c r="A6" s="121"/>
      <c r="B6" s="121"/>
      <c r="C6" s="121"/>
      <c r="D6" s="121"/>
      <c r="E6" s="121"/>
      <c r="F6" s="121"/>
      <c r="G6" s="121"/>
      <c r="H6" s="121"/>
      <c r="I6" s="121"/>
      <c r="J6" s="121"/>
      <c r="K6" s="121"/>
    </row>
  </sheetData>
  <phoneticPr fontId="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갑지</vt:lpstr>
      <vt:lpstr>내역서(표준단가)</vt:lpstr>
      <vt:lpstr>관리소 접수 입력-2차</vt:lpstr>
      <vt:lpstr>시중가 근거서류</vt:lpstr>
      <vt:lpstr>Upload</vt:lpstr>
      <vt:lpstr>Upload(시중가)-별도입력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2025-05-19T03:05:00Z</dcterms:modified>
</cp:coreProperties>
</file>
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D5B289B6-C9CA-4EFB-9E68-681B5E969F3E}" xr6:coauthVersionLast="36" xr6:coauthVersionMax="47" xr10:uidLastSave="{00000000-0000-0000-0000-000000000000}"/>
  <bookViews>
    <workbookView xWindow="-45" yWindow="0" windowWidth="14865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N11" i="9" l="1"/>
  <c r="H11" i="9"/>
  <c r="F11" i="9"/>
  <c r="D11" i="9"/>
  <c r="H9" i="9"/>
  <c r="N9" i="9" s="1"/>
  <c r="F9" i="9"/>
  <c r="H7" i="9"/>
  <c r="F7" i="9"/>
  <c r="N7" i="9" s="1"/>
  <c r="F3" i="1" l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 l="1"/>
  <c r="S6" i="4"/>
  <c r="Q6" i="4"/>
  <c r="O6" i="4"/>
  <c r="A6" i="4"/>
  <c r="A3" i="1" s="1"/>
  <c r="V6" i="4" l="1"/>
  <c r="L11" i="9" l="1"/>
  <c r="J11" i="9"/>
  <c r="H5" i="9" l="1"/>
  <c r="F5" i="9"/>
  <c r="N5" i="9" l="1"/>
  <c r="Q7" i="4" l="1"/>
  <c r="F17" i="5" s="1"/>
  <c r="U7" i="4" l="1"/>
  <c r="O7" i="4"/>
  <c r="F16" i="5" s="1"/>
  <c r="F26" i="5" s="1"/>
  <c r="S7" i="4"/>
  <c r="F18" i="5" l="1"/>
  <c r="V7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<sst xmlns="http://schemas.openxmlformats.org/spreadsheetml/2006/main" count="145" uniqueCount="111">
  <si>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</si>
  <si>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</si>
  <si>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</si>
  <si>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</si>
  <si>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</si>
  <si>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</si>
  <si>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</si>
  <si>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</si>
  <si>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</si>
  <si>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</si>
  <si>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</si>
  <si>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</si>
  <si>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</si>
  <si>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</si>
  <si>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</si>
  <si>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</si>
  <si>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</si>
  <si>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</si>
  <si>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</si>
  <si>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</si>
  <si>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</si>
  <si>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</si>
  <si>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</si>
  <si>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</si>
  <si>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</si>
  <si>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</si>
  <si>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</si>
  <si>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</si>
  <si>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</si>
  <si>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</si>
  <si>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</si>
  <si>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</si>
  <si>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</si>
  <si>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</si>
  <si>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</si>
  <si>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</si>
  <si>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</si>
  <si>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</si>
  <si>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</si>
  <si>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</si>
  <si>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</si>
  <si>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</si>
  <si>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</si>
  <si>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</si>
  <si>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</si>
  <si>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</si>
  <si>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</si>
  <si>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</si>
  <si>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</si>
  <si>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</si>
  <si>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</si>
  <si>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</si>
  <si>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</si>
  <si>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</si>
  <si>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</si>
  <si>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</si>
  <si>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</si>
  <si>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</si>
  <si>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</si>
  <si>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</si>
  <si>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</si>
  <si>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</si>
  <si>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</si>
  <si>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</si>
  <si>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</si>
  <si>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</si>
  <si>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</si>
  <si>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</si>
  <si>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</si>
  <si>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</si>
  <si>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</si>
  <si>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</si>
  <si>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㎡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</si>
  <si>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</si>
  <si>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</si>
  <si>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</si>
  <si>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</si>
  <si>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</si>
  <si>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</si>
  <si>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</si>
  <si>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</si>
  <si>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</si>
  <si>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</si>
  <si>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</si>
  <si>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</si>
  <si>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</si>
  <si>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</si>
  <si>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</si>
  <si>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</si>
  <si>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</si>
  <si>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</si>
  <si>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</si>
  <si>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</si>
  <si>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</si>
  <si>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</si>
  <si>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합 계</t>
    <phoneticPr fontId="5" type="noConversion"/>
  </si>
  <si>
    <t>벽면</t>
    <phoneticPr fontId="13" type="noConversion"/>
  </si>
  <si>
    <t>천정</t>
    <phoneticPr fontId="13" type="noConversion"/>
  </si>
  <si>
    <t>노무비할증</t>
    <phoneticPr fontId="5" type="noConversion"/>
  </si>
  <si>
    <t> (재료비+노무비)*3.11%</t>
    <phoneticPr fontId="13" type="noConversion"/>
  </si>
  <si>
    <t>M020853710050101</t>
  </si>
  <si>
    <t>아이리스</t>
  </si>
  <si>
    <t>R/L</t>
  </si>
  <si>
    <t xml:space="preserve"> 공사명 : 기숙사 A동 501-6호외 2세대 도배보수</t>
    <phoneticPr fontId="11" type="noConversion"/>
  </si>
  <si>
    <t xml:space="preserve"> 견적일 : 2025년  08월  26일</t>
    <phoneticPr fontId="11" type="noConversion"/>
  </si>
  <si>
    <t>기숙사 A동 501-6호외 2세대 도배보수</t>
    <phoneticPr fontId="5" type="noConversion"/>
  </si>
  <si>
    <t>1.A501-6 도배</t>
    <phoneticPr fontId="13" type="noConversion"/>
  </si>
  <si>
    <t>1.A1001-4 도배</t>
    <phoneticPr fontId="13" type="noConversion"/>
  </si>
  <si>
    <t>1.B703-6 도배</t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</si>
  <si>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소요량99/16.51=5.9964R/L</t>
    </r>
    <phoneticPr fontId="5" type="noConversion"/>
  </si>
  <si>
    <t>일당 시공량-벽 46㎡, 적산정보 500p 참조,시공총량99/일당46=2.1522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</si>
</sst>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#,##0;\-#,##0;"/>
    <numFmt numFmtId="190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0" borderId="31" xfId="13" applyNumberFormat="1" applyFont="1" applyFill="1" applyBorder="1" applyAlignment="1">
      <alignment horizontal="center" vertical="center"/>
    </xf>
    <xf numFmtId="177" fontId="24" fillId="10" borderId="31" xfId="13" applyFont="1" applyFill="1" applyBorder="1" applyAlignment="1">
      <alignment horizontal="center" vertical="center"/>
    </xf>
    <xf numFmtId="183" fontId="25" fillId="10" borderId="31" xfId="13" applyNumberFormat="1" applyFont="1" applyFill="1" applyBorder="1" applyAlignment="1">
      <alignment horizontal="center" vertical="center" wrapText="1"/>
    </xf>
    <xf numFmtId="183" fontId="24" fillId="10" borderId="31" xfId="13" applyNumberFormat="1" applyFont="1" applyFill="1" applyBorder="1" applyAlignment="1">
      <alignment vertical="center" wrapText="1"/>
    </xf>
    <xf numFmtId="183" fontId="25" fillId="10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0" borderId="31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188" fontId="19" fillId="0" borderId="1" xfId="1" applyNumberFormat="1" applyFont="1" applyBorder="1" applyAlignment="1">
      <alignment horizontal="center" vertical="center"/>
    </xf>
    <xf numFmtId="187" fontId="19" fillId="5" borderId="3" xfId="1" applyNumberFormat="1" applyFont="1" applyFill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189" fontId="19" fillId="6" borderId="3" xfId="1" applyNumberFormat="1" applyFont="1" applyFill="1" applyBorder="1" applyAlignment="1">
      <alignment horizontal="right" vertical="center" wrapText="1"/>
    </xf>
    <xf numFmtId="189" fontId="19" fillId="0" borderId="3" xfId="1" applyNumberFormat="1" applyFont="1" applyFill="1" applyBorder="1" applyAlignment="1">
      <alignment horizontal="right" vertical="center" wrapText="1"/>
    </xf>
    <xf numFmtId="189" fontId="19" fillId="5" borderId="3" xfId="0" applyNumberFormat="1" applyFont="1" applyFill="1" applyBorder="1" applyAlignment="1">
      <alignment horizontal="right" vertical="center"/>
    </xf>
    <xf numFmtId="49" fontId="19" fillId="5" borderId="3" xfId="0" applyNumberFormat="1" applyFont="1" applyFill="1" applyBorder="1" applyAlignment="1">
      <alignment horizontal="center" vertical="center"/>
    </xf>
    <xf numFmtId="190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2" fillId="11" borderId="0" xfId="0" applyFont="1" applyFill="1">
      <alignment vertical="center"/>
    </xf>
    <xf numFmtId="177" fontId="12" fillId="11" borderId="0" xfId="0" applyNumberFormat="1" applyFont="1" applyFill="1">
      <alignment vertical="center"/>
    </xf>
    <xf numFmtId="0" fontId="23" fillId="0" borderId="0" xfId="0" applyFont="1">
      <alignment vertical="center"/>
    </xf>
    <xf numFmtId="0" fontId="23" fillId="5" borderId="0" xfId="0" applyFont="1" applyFill="1">
      <alignment vertical="center"/>
    </xf>
    <xf numFmtId="189" fontId="19" fillId="5" borderId="3" xfId="1" applyNumberFormat="1" applyFont="1" applyFill="1" applyBorder="1" applyAlignment="1">
      <alignment horizontal="right"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23" fillId="0" borderId="32" xfId="13" applyNumberFormat="1" applyFont="1" applyBorder="1" applyAlignment="1">
      <alignment vertical="center"/>
    </xf>
    <xf numFmtId="0" fontId="23" fillId="0" borderId="36" xfId="13" applyNumberFormat="1" applyFont="1" applyBorder="1" applyAlignment="1">
      <alignment vertical="center"/>
    </xf>
    <xf numFmtId="184" fontId="23" fillId="5" borderId="33" xfId="13" applyNumberFormat="1" applyFont="1" applyFill="1" applyBorder="1" applyAlignment="1">
      <alignment vertical="center"/>
    </xf>
    <xf numFmtId="184" fontId="25" fillId="5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177" fontId="12" fillId="0" borderId="0" xfId="0" applyNumberFormat="1" applyFo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8" t="s">
        <v>6</v>
      </c>
      <c r="B2" s="128"/>
      <c r="C2" s="128"/>
      <c r="D2" s="128"/>
      <c r="E2" s="128"/>
      <c r="F2" s="128"/>
      <c r="G2" s="128"/>
      <c r="H2" s="2"/>
    </row>
    <row r="3" spans="1:9" ht="13.5">
      <c r="A3" s="100"/>
      <c r="B3" s="100"/>
      <c r="C3" s="100"/>
      <c r="D3" s="100"/>
      <c r="E3" s="100"/>
      <c r="F3" s="100"/>
      <c r="G3" s="100"/>
      <c r="H3" s="100"/>
    </row>
    <row r="4" spans="1:9" ht="13.5">
      <c r="A4" s="100"/>
      <c r="B4" s="100"/>
      <c r="C4" s="100"/>
      <c r="D4" s="100"/>
      <c r="E4" s="100"/>
      <c r="H4" s="100"/>
    </row>
    <row r="5" spans="1:9" ht="27" customHeight="1">
      <c r="A5" s="101" t="s">
        <v>48</v>
      </c>
      <c r="B5" s="4"/>
      <c r="C5" s="5"/>
      <c r="D5" s="100"/>
      <c r="E5" s="100"/>
      <c r="F5" s="6" t="s">
        <v>38</v>
      </c>
      <c r="G5" s="7" t="s">
        <v>52</v>
      </c>
      <c r="H5" s="100"/>
    </row>
    <row r="6" spans="1:9" ht="27" customHeight="1">
      <c r="A6" s="100"/>
      <c r="B6" s="100"/>
      <c r="C6" s="100"/>
      <c r="D6" s="100"/>
      <c r="E6" s="100"/>
      <c r="F6" s="8" t="s">
        <v>41</v>
      </c>
      <c r="G6" s="9" t="s">
        <v>53</v>
      </c>
      <c r="H6" s="100"/>
    </row>
    <row r="7" spans="1:9" ht="27" customHeight="1">
      <c r="A7" s="131" t="s">
        <v>103</v>
      </c>
      <c r="B7" s="132"/>
      <c r="C7" s="133"/>
      <c r="D7" s="100"/>
      <c r="E7" s="10"/>
      <c r="F7" s="11" t="s">
        <v>42</v>
      </c>
      <c r="G7" s="9" t="s">
        <v>54</v>
      </c>
      <c r="H7" s="100"/>
    </row>
    <row r="8" spans="1:9" ht="27" customHeight="1">
      <c r="A8" s="100"/>
      <c r="B8" s="100"/>
      <c r="C8" s="100"/>
      <c r="D8" s="100"/>
      <c r="E8" s="100"/>
      <c r="F8" s="8" t="s">
        <v>43</v>
      </c>
      <c r="G8" s="9" t="s">
        <v>55</v>
      </c>
      <c r="H8" s="100"/>
    </row>
    <row r="9" spans="1:9" ht="27" customHeight="1">
      <c r="A9" s="131" t="s">
        <v>104</v>
      </c>
      <c r="B9" s="132"/>
      <c r="C9" s="133"/>
      <c r="D9" s="100"/>
      <c r="E9" s="100"/>
      <c r="F9" s="8" t="s">
        <v>44</v>
      </c>
      <c r="G9" s="9" t="s">
        <v>56</v>
      </c>
      <c r="H9" s="100"/>
    </row>
    <row r="10" spans="1:9" ht="27" customHeight="1">
      <c r="A10" s="100"/>
      <c r="B10" s="100"/>
      <c r="C10" s="100"/>
      <c r="D10" s="100"/>
      <c r="E10" s="100"/>
      <c r="F10" s="12" t="s">
        <v>39</v>
      </c>
      <c r="G10" s="13" t="s">
        <v>57</v>
      </c>
      <c r="H10" s="100"/>
      <c r="I10" s="100"/>
    </row>
    <row r="11" spans="1:9" ht="27" customHeight="1">
      <c r="A11" s="129"/>
      <c r="B11" s="130"/>
      <c r="C11" s="130"/>
      <c r="D11" s="100"/>
      <c r="E11" s="14"/>
      <c r="F11" s="15" t="s">
        <v>40</v>
      </c>
      <c r="G11" s="16" t="s">
        <v>58</v>
      </c>
      <c r="H11" s="14"/>
    </row>
    <row r="12" spans="1:9" ht="19.5" thickBot="1">
      <c r="A12" s="17" t="s">
        <v>7</v>
      </c>
      <c r="B12" s="17" t="str">
        <f>NUMBERSTRING(F31,1)</f>
        <v>일백일십칠만오천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00"/>
      <c r="B13" s="100"/>
      <c r="C13" s="100"/>
      <c r="D13" s="100"/>
      <c r="E13" s="100"/>
      <c r="F13" s="100"/>
      <c r="G13" s="10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'내역서(표준단가)'!O7</f>
        <v>104639.194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'내역서(표준단가)'!Q7</f>
        <v>875236.60592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979875.79992000002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39385.647266399996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31027.137679864001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4018.0143295423882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8839.8897197919996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31158.423170752001</v>
      </c>
      <c r="G25" s="35" t="s">
        <v>28</v>
      </c>
    </row>
    <row r="26" spans="1:7" ht="33" customHeight="1">
      <c r="A26" s="29"/>
      <c r="B26" s="42" t="s">
        <v>32</v>
      </c>
      <c r="C26" s="49" t="s">
        <v>99</v>
      </c>
      <c r="D26" s="30">
        <v>1</v>
      </c>
      <c r="E26" s="30" t="s">
        <v>25</v>
      </c>
      <c r="F26" s="43">
        <f>(F16+F17)*3.11%</f>
        <v>30474.137377512001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51006.992773193124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195910.24231705553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1175786.0422370555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1175000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Y7"/>
  <sheetViews>
    <sheetView showGridLines="0" zoomScale="80" zoomScaleNormal="80" workbookViewId="0">
      <pane ySplit="4" topLeftCell="A5" activePane="bottomLeft" state="frozen"/>
      <selection pane="bottomLeft" activeCell="W12" sqref="W12"/>
    </sheetView>
  </sheetViews>
  <sheetFormatPr defaultColWidth="9" defaultRowHeight="38.1" customHeight="1"/>
  <cols>
    <col min="1" max="1" width="22.625" style="122" bestFit="1" customWidth="1"/>
    <col min="2" max="5" width="4.625" style="122" hidden="1" customWidth="1"/>
    <col min="6" max="6" width="9" style="114" hidden="1" customWidth="1"/>
    <col min="7" max="9" width="12.625" style="114" hidden="1" customWidth="1"/>
    <col min="10" max="11" width="30.625" style="110" customWidth="1"/>
    <col min="12" max="12" width="6.75" style="114" bestFit="1" customWidth="1"/>
    <col min="13" max="13" width="8.25" style="114" customWidth="1"/>
    <col min="14" max="14" width="10.625" style="114" bestFit="1" customWidth="1"/>
    <col min="15" max="15" width="13.125" style="114" customWidth="1"/>
    <col min="16" max="16" width="12" style="114" bestFit="1" customWidth="1"/>
    <col min="17" max="17" width="13.25" style="114" bestFit="1" customWidth="1"/>
    <col min="18" max="18" width="9" style="114" customWidth="1"/>
    <col min="19" max="19" width="8.75" style="114" bestFit="1" customWidth="1"/>
    <col min="20" max="20" width="10.5" style="114" customWidth="1"/>
    <col min="21" max="21" width="8.75" style="114" bestFit="1" customWidth="1"/>
    <col min="22" max="22" width="15.625" style="114" bestFit="1" customWidth="1"/>
    <col min="23" max="23" width="10.625" style="66" bestFit="1" customWidth="1"/>
    <col min="24" max="24" width="8.5" style="114" bestFit="1" customWidth="1"/>
    <col min="25" max="25" width="16.375" style="114" customWidth="1"/>
    <col min="26" max="16384" width="9" style="114"/>
  </cols>
  <sheetData>
    <row r="1" spans="1:25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112" t="s">
        <v>73</v>
      </c>
      <c r="Q1" s="112" t="s">
        <v>73</v>
      </c>
      <c r="S1" s="112" t="s">
        <v>73</v>
      </c>
      <c r="U1" s="112" t="s">
        <v>73</v>
      </c>
    </row>
    <row r="2" spans="1:25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5" ht="19.899999999999999" customHeight="1">
      <c r="A3" s="115"/>
      <c r="B3" s="116"/>
      <c r="C3" s="116"/>
      <c r="D3" s="116"/>
      <c r="E3" s="116"/>
      <c r="F3" s="116" t="s">
        <v>74</v>
      </c>
      <c r="G3" s="116"/>
      <c r="H3" s="116"/>
      <c r="I3" s="116"/>
      <c r="J3" s="145" t="s">
        <v>75</v>
      </c>
      <c r="K3" s="145"/>
      <c r="L3" s="143" t="s">
        <v>47</v>
      </c>
      <c r="M3" s="143" t="s">
        <v>5</v>
      </c>
      <c r="N3" s="139" t="s">
        <v>76</v>
      </c>
      <c r="O3" s="139"/>
      <c r="P3" s="139" t="s">
        <v>77</v>
      </c>
      <c r="Q3" s="139"/>
      <c r="R3" s="140" t="s">
        <v>78</v>
      </c>
      <c r="S3" s="140"/>
      <c r="T3" s="140" t="s">
        <v>79</v>
      </c>
      <c r="U3" s="140"/>
      <c r="V3" s="141" t="s">
        <v>80</v>
      </c>
      <c r="W3" s="137" t="s">
        <v>98</v>
      </c>
      <c r="X3" s="135" t="s">
        <v>45</v>
      </c>
    </row>
    <row r="4" spans="1:25" ht="19.899999999999999" customHeight="1">
      <c r="A4" s="69" t="s">
        <v>81</v>
      </c>
      <c r="B4" s="113"/>
      <c r="C4" s="113"/>
      <c r="D4" s="113"/>
      <c r="E4" s="113"/>
      <c r="F4" s="70" t="s">
        <v>82</v>
      </c>
      <c r="G4" s="70" t="s">
        <v>83</v>
      </c>
      <c r="H4" s="70" t="s">
        <v>84</v>
      </c>
      <c r="I4" s="70" t="s">
        <v>85</v>
      </c>
      <c r="J4" s="111" t="s">
        <v>86</v>
      </c>
      <c r="K4" s="111" t="s">
        <v>87</v>
      </c>
      <c r="L4" s="144"/>
      <c r="M4" s="144"/>
      <c r="N4" s="71" t="s">
        <v>88</v>
      </c>
      <c r="O4" s="72" t="s">
        <v>89</v>
      </c>
      <c r="P4" s="71" t="s">
        <v>90</v>
      </c>
      <c r="Q4" s="72" t="s">
        <v>89</v>
      </c>
      <c r="R4" s="72" t="s">
        <v>91</v>
      </c>
      <c r="S4" s="72" t="s">
        <v>89</v>
      </c>
      <c r="T4" s="72" t="s">
        <v>91</v>
      </c>
      <c r="U4" s="72" t="s">
        <v>89</v>
      </c>
      <c r="V4" s="142"/>
      <c r="W4" s="138"/>
      <c r="X4" s="136"/>
    </row>
    <row r="5" spans="1:25" s="117" customFormat="1" ht="38.1" customHeight="1">
      <c r="A5" s="73" t="str">
        <f t="shared" ref="A5" si="0">F5&amp;G5&amp;H5&amp;I5</f>
        <v>M020853710050101</v>
      </c>
      <c r="B5" s="96"/>
      <c r="C5" s="96"/>
      <c r="D5" s="96"/>
      <c r="E5" s="96"/>
      <c r="F5" s="91"/>
      <c r="G5" s="74"/>
      <c r="H5" s="74" t="s">
        <v>100</v>
      </c>
      <c r="I5" s="91"/>
      <c r="J5" s="109" t="s">
        <v>101</v>
      </c>
      <c r="K5" s="109" t="s">
        <v>109</v>
      </c>
      <c r="L5" s="107" t="s">
        <v>102</v>
      </c>
      <c r="M5" s="108">
        <v>5.9960000000000004</v>
      </c>
      <c r="N5" s="123">
        <v>20900</v>
      </c>
      <c r="O5" s="104">
        <f t="shared" ref="O5" si="1">SUM(N5:N5)*M5*$O$2</f>
        <v>104639.194</v>
      </c>
      <c r="P5" s="103"/>
      <c r="Q5" s="104">
        <f t="shared" ref="Q5" si="2">(P5*M5)*$Q$2</f>
        <v>0</v>
      </c>
      <c r="R5" s="105"/>
      <c r="S5" s="104">
        <f t="shared" ref="S5" si="3">R5*M5*$S$2</f>
        <v>0</v>
      </c>
      <c r="T5" s="105"/>
      <c r="U5" s="104">
        <f t="shared" ref="U5" si="4">T5*M5*$U$2</f>
        <v>0</v>
      </c>
      <c r="V5" s="76">
        <f t="shared" ref="V5" si="5">SUM(O5+Q5)+S5+U5</f>
        <v>104639.194</v>
      </c>
      <c r="W5" s="99"/>
      <c r="X5" s="77"/>
    </row>
    <row r="6" spans="1:25" s="117" customFormat="1" ht="38.1" customHeight="1">
      <c r="A6" s="73" t="str">
        <f t="shared" ref="A6" si="6">F6&amp;G6&amp;H6&amp;I6</f>
        <v>E00000803071260301</v>
      </c>
      <c r="B6" s="96"/>
      <c r="C6" s="96"/>
      <c r="D6" s="96"/>
      <c r="E6" s="96"/>
      <c r="F6" s="91"/>
      <c r="G6" s="74" t="s">
        <v>92</v>
      </c>
      <c r="H6" s="74"/>
      <c r="I6" s="91"/>
      <c r="J6" s="109" t="s">
        <v>94</v>
      </c>
      <c r="K6" s="109" t="s">
        <v>110</v>
      </c>
      <c r="L6" s="75" t="s">
        <v>93</v>
      </c>
      <c r="M6" s="108">
        <v>2.1520000000000001</v>
      </c>
      <c r="N6" s="106"/>
      <c r="O6" s="104">
        <f t="shared" ref="O6" si="7">SUM(N6:N6)*M6*$O$2</f>
        <v>0</v>
      </c>
      <c r="P6" s="103">
        <v>487076</v>
      </c>
      <c r="Q6" s="104">
        <f t="shared" ref="Q6" si="8">(P6*M6)*$Q$2</f>
        <v>875236.60592</v>
      </c>
      <c r="R6" s="105"/>
      <c r="S6" s="104">
        <f t="shared" ref="S6" si="9">R6*M6*$S$2</f>
        <v>0</v>
      </c>
      <c r="T6" s="105"/>
      <c r="U6" s="104">
        <f t="shared" ref="U6" si="10">T6*M6*$U$2</f>
        <v>0</v>
      </c>
      <c r="V6" s="76">
        <f t="shared" ref="V6" si="11">SUM(O6+Q6)+S6+U6</f>
        <v>875236.60592</v>
      </c>
      <c r="W6" s="98"/>
      <c r="X6" s="77"/>
      <c r="Y6" s="118"/>
    </row>
    <row r="7" spans="1:25" ht="38.1" customHeight="1">
      <c r="A7" s="119"/>
      <c r="B7" s="114"/>
      <c r="C7" s="114"/>
      <c r="D7" s="114"/>
      <c r="E7" s="114"/>
      <c r="O7" s="120">
        <f>SUM(O5:O6)</f>
        <v>104639.194</v>
      </c>
      <c r="P7" s="121"/>
      <c r="Q7" s="120">
        <f>SUM(Q5:Q6)</f>
        <v>875236.60592</v>
      </c>
      <c r="R7" s="121"/>
      <c r="S7" s="120">
        <f>SUM(S5:S6)</f>
        <v>0</v>
      </c>
      <c r="T7" s="121"/>
      <c r="U7" s="120">
        <f>SUM(U5:U6)</f>
        <v>0</v>
      </c>
      <c r="V7" s="162">
        <f>SUM(V5:V6)</f>
        <v>979875.79992000002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11"/>
  <sheetViews>
    <sheetView zoomScale="90" zoomScaleNormal="90" workbookViewId="0">
      <selection activeCell="N23" sqref="N23"/>
    </sheetView>
  </sheetViews>
  <sheetFormatPr defaultColWidth="9" defaultRowHeight="13.5"/>
  <cols>
    <col min="1" max="1" width="22.625" style="90" customWidth="1"/>
    <col min="2" max="2" width="27.625" style="90" customWidth="1"/>
    <col min="3" max="3" width="5.75" style="90" customWidth="1"/>
    <col min="4" max="4" width="5.25" style="90" customWidth="1"/>
    <col min="5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384" width="9" style="78"/>
  </cols>
  <sheetData>
    <row r="1" spans="1:15" ht="27" customHeight="1">
      <c r="A1" s="152" t="s">
        <v>59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ht="15" customHeight="1">
      <c r="A2" s="153" t="s">
        <v>60</v>
      </c>
      <c r="B2" s="154" t="s">
        <v>61</v>
      </c>
      <c r="C2" s="155" t="s">
        <v>47</v>
      </c>
      <c r="D2" s="155" t="s">
        <v>62</v>
      </c>
      <c r="E2" s="157" t="s">
        <v>63</v>
      </c>
      <c r="F2" s="154"/>
      <c r="G2" s="154" t="s">
        <v>64</v>
      </c>
      <c r="H2" s="154"/>
      <c r="I2" s="158" t="s">
        <v>65</v>
      </c>
      <c r="J2" s="159"/>
      <c r="K2" s="158" t="s">
        <v>66</v>
      </c>
      <c r="L2" s="159"/>
      <c r="M2" s="157" t="s">
        <v>67</v>
      </c>
      <c r="N2" s="154"/>
      <c r="O2" s="160" t="s">
        <v>68</v>
      </c>
    </row>
    <row r="3" spans="1:15" ht="15" customHeight="1">
      <c r="A3" s="153"/>
      <c r="B3" s="154"/>
      <c r="C3" s="156"/>
      <c r="D3" s="156"/>
      <c r="E3" s="102" t="s">
        <v>69</v>
      </c>
      <c r="F3" s="102" t="s">
        <v>70</v>
      </c>
      <c r="G3" s="79" t="s">
        <v>69</v>
      </c>
      <c r="H3" s="102" t="s">
        <v>71</v>
      </c>
      <c r="I3" s="102"/>
      <c r="J3" s="102"/>
      <c r="K3" s="79" t="s">
        <v>69</v>
      </c>
      <c r="L3" s="102" t="s">
        <v>71</v>
      </c>
      <c r="M3" s="79" t="s">
        <v>69</v>
      </c>
      <c r="N3" s="102" t="s">
        <v>71</v>
      </c>
      <c r="O3" s="161"/>
    </row>
    <row r="4" spans="1:15" ht="15" customHeight="1">
      <c r="A4" s="150" t="s">
        <v>105</v>
      </c>
      <c r="B4" s="151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148" t="s">
        <v>106</v>
      </c>
      <c r="B5" s="81" t="s">
        <v>96</v>
      </c>
      <c r="C5" s="82" t="s">
        <v>72</v>
      </c>
      <c r="D5" s="83">
        <v>33</v>
      </c>
      <c r="E5" s="84">
        <v>1057</v>
      </c>
      <c r="F5" s="84">
        <f t="shared" ref="F5" si="0">D5*E5</f>
        <v>34881</v>
      </c>
      <c r="G5" s="84">
        <v>8839.9</v>
      </c>
      <c r="H5" s="84">
        <f t="shared" ref="H5" si="1">D5*G5</f>
        <v>291716.7</v>
      </c>
      <c r="I5" s="84"/>
      <c r="J5" s="84"/>
      <c r="K5" s="84"/>
      <c r="L5" s="84"/>
      <c r="M5" s="84"/>
      <c r="N5" s="84">
        <f>F5+H5+J5+L5</f>
        <v>326597.7</v>
      </c>
      <c r="O5" s="146"/>
    </row>
    <row r="6" spans="1:15" ht="15" customHeight="1">
      <c r="A6" s="149"/>
      <c r="B6" s="124" t="s">
        <v>97</v>
      </c>
      <c r="C6" s="125" t="s">
        <v>72</v>
      </c>
      <c r="D6" s="126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47"/>
    </row>
    <row r="7" spans="1:15" ht="15" customHeight="1">
      <c r="A7" s="148" t="s">
        <v>107</v>
      </c>
      <c r="B7" s="81" t="s">
        <v>96</v>
      </c>
      <c r="C7" s="82" t="s">
        <v>72</v>
      </c>
      <c r="D7" s="83">
        <v>33</v>
      </c>
      <c r="E7" s="84">
        <v>1057</v>
      </c>
      <c r="F7" s="84">
        <f t="shared" ref="F7" si="2">D7*E7</f>
        <v>34881</v>
      </c>
      <c r="G7" s="84">
        <v>8839.9</v>
      </c>
      <c r="H7" s="84">
        <f t="shared" ref="H7" si="3">D7*G7</f>
        <v>291716.7</v>
      </c>
      <c r="I7" s="84"/>
      <c r="J7" s="84"/>
      <c r="K7" s="84"/>
      <c r="L7" s="84"/>
      <c r="M7" s="84"/>
      <c r="N7" s="84">
        <f>F7+H7+J7+L7</f>
        <v>326597.7</v>
      </c>
      <c r="O7" s="146"/>
    </row>
    <row r="8" spans="1:15" ht="15" customHeight="1">
      <c r="A8" s="149"/>
      <c r="B8" s="124" t="s">
        <v>97</v>
      </c>
      <c r="C8" s="125" t="s">
        <v>72</v>
      </c>
      <c r="D8" s="126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47"/>
    </row>
    <row r="9" spans="1:15" ht="15" customHeight="1">
      <c r="A9" s="148" t="s">
        <v>108</v>
      </c>
      <c r="B9" s="81" t="s">
        <v>96</v>
      </c>
      <c r="C9" s="82" t="s">
        <v>72</v>
      </c>
      <c r="D9" s="83">
        <v>33</v>
      </c>
      <c r="E9" s="84">
        <v>1057</v>
      </c>
      <c r="F9" s="84">
        <f t="shared" ref="F9" si="4">D9*E9</f>
        <v>34881</v>
      </c>
      <c r="G9" s="84">
        <v>8839.9</v>
      </c>
      <c r="H9" s="84">
        <f t="shared" ref="H9" si="5">D9*G9</f>
        <v>291716.7</v>
      </c>
      <c r="I9" s="84"/>
      <c r="J9" s="84"/>
      <c r="K9" s="84"/>
      <c r="L9" s="84"/>
      <c r="M9" s="84"/>
      <c r="N9" s="84">
        <f>F9+H9+J9+L9</f>
        <v>326597.7</v>
      </c>
      <c r="O9" s="146"/>
    </row>
    <row r="10" spans="1:15" ht="15" customHeight="1">
      <c r="A10" s="149"/>
      <c r="B10" s="124" t="s">
        <v>97</v>
      </c>
      <c r="C10" s="125" t="s">
        <v>72</v>
      </c>
      <c r="D10" s="126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47"/>
    </row>
    <row r="11" spans="1:15" ht="15" customHeight="1">
      <c r="A11" s="92" t="s">
        <v>95</v>
      </c>
      <c r="B11" s="85"/>
      <c r="C11" s="86"/>
      <c r="D11" s="87">
        <f>SUM(D5:D10)</f>
        <v>99</v>
      </c>
      <c r="E11" s="88"/>
      <c r="F11" s="89">
        <f>SUM(F5:F10)</f>
        <v>104643</v>
      </c>
      <c r="G11" s="89"/>
      <c r="H11" s="89">
        <f>SUM(H5:H10)</f>
        <v>875150.10000000009</v>
      </c>
      <c r="I11" s="88"/>
      <c r="J11" s="89" t="e">
        <f>#REF!+#REF!</f>
        <v>#REF!</v>
      </c>
      <c r="K11" s="88"/>
      <c r="L11" s="89" t="e">
        <f>#REF!+#REF!</f>
        <v>#REF!</v>
      </c>
      <c r="M11" s="88"/>
      <c r="N11" s="89">
        <f>SUM(N5:N10)</f>
        <v>979793.10000000009</v>
      </c>
      <c r="O11" s="88"/>
    </row>
  </sheetData>
  <mergeCells count="18">
    <mergeCell ref="A9:A10"/>
    <mergeCell ref="O9:O10"/>
    <mergeCell ref="O7:O8"/>
    <mergeCell ref="A5:A6"/>
    <mergeCell ref="O5:O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7:A8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D31" sqref="D31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</row>
    <row r="2" spans="1:6">
      <c r="A2" s="94" t="str">
        <f>'내역서(표준단가)'!A5</f>
        <v>M020853710050101</v>
      </c>
      <c r="B2" s="95">
        <f>'내역서(표준단가)'!F5</f>
        <v>0</v>
      </c>
      <c r="C2" s="95">
        <f>'내역서(표준단가)'!G5</f>
        <v>0</v>
      </c>
      <c r="D2" s="95" t="str">
        <f>'내역서(표준단가)'!H5</f>
        <v>M020853710050101</v>
      </c>
      <c r="E2" s="95">
        <f>'내역서(표준단가)'!I5</f>
        <v>0</v>
      </c>
      <c r="F2" s="97">
        <f>'내역서(표준단가)'!M5</f>
        <v>5.9960000000000004</v>
      </c>
    </row>
    <row r="3" spans="1:6">
      <c r="A3" s="94" t="str">
        <f>'내역서(표준단가)'!A6</f>
        <v>E00000803071260301</v>
      </c>
      <c r="B3" s="95">
        <f>'내역서(표준단가)'!F6</f>
        <v>0</v>
      </c>
      <c r="C3" s="95" t="str">
        <f>'내역서(표준단가)'!G6</f>
        <v>E00000803071260301</v>
      </c>
      <c r="D3" s="95">
        <f>'내역서(표준단가)'!H6</f>
        <v>0</v>
      </c>
      <c r="E3" s="95">
        <f>'내역서(표준단가)'!I6</f>
        <v>0</v>
      </c>
      <c r="F3" s="97">
        <f>'내역서(표준단가)'!M6</f>
        <v>2.1520000000000001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O24" sqref="O24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2025-08-26T05:07:34Z</dcterms:modified>
</cp:coreProperties>
</file>
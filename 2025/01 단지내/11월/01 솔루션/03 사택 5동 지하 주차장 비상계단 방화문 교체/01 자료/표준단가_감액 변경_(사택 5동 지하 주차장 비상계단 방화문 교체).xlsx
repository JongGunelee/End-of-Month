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11월\01 솔루션\02 ■변경계약_감액■ 사택 5동 지하 주차장 비상계단 방화문 교체\"/>
    </mc:Choice>
  </mc:AlternateContent>
  <xr:revisionPtr revIDLastSave="0" documentId="13_ncr:1_{645D81ED-EE2A-4BCF-BE90-C9AEB98DCF7A}" xr6:coauthVersionLast="47" xr6:coauthVersionMax="47" xr10:uidLastSave="{00000000-0000-0000-0000-000000000000}"/>
  <bookViews>
    <workbookView xWindow="780" yWindow="0" windowWidth="14490" windowHeight="16245" xr2:uid="{00000000-000D-0000-FFFF-FFFF00000000}"/>
  </bookViews>
  <sheets>
    <sheet name="갑지" sheetId="5" r:id="rId1"/>
    <sheet name="내역서(표준단가)" sheetId="4" r:id="rId2"/>
    <sheet name="시중가 근거서류" sheetId="25" r:id="rId3"/>
    <sheet name="Upload(시중가)" sheetId="22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E3" i="1"/>
  <c r="D3" i="1"/>
  <c r="C3" i="1"/>
  <c r="B3" i="1"/>
  <c r="F2" i="1" l="1"/>
  <c r="E2" i="1"/>
  <c r="D2" i="1"/>
  <c r="C2" i="1"/>
  <c r="B2" i="1"/>
  <c r="U7" i="4"/>
  <c r="S7" i="4"/>
  <c r="O7" i="4"/>
  <c r="U6" i="4"/>
  <c r="S6" i="4"/>
  <c r="Q6" i="4"/>
  <c r="O6" i="4"/>
  <c r="A6" i="4"/>
  <c r="A3" i="1" s="1"/>
  <c r="U5" i="4"/>
  <c r="S5" i="4"/>
  <c r="Q5" i="4"/>
  <c r="O5" i="4"/>
  <c r="A5" i="4"/>
  <c r="A2" i="1" s="1"/>
  <c r="V7" i="4" l="1"/>
  <c r="V6" i="4"/>
  <c r="V5" i="4"/>
  <c r="U8" i="4" l="1"/>
  <c r="Q8" i="4"/>
  <c r="S8" i="4" l="1"/>
  <c r="V8" i="4" l="1"/>
  <c r="F18" i="5" l="1"/>
  <c r="O8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<sst xmlns="http://schemas.openxmlformats.org/spreadsheetml/2006/main" count="136" uniqueCount="111">
  <si>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</si>
  <si>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</si>
  <si>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</si>
  <si>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</si>
  <si>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</si>
  <si>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</si>
  <si>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7" type="noConversion"/>
  </si>
  <si>
    <t xml:space="preserve">금액: </t>
    <phoneticPr fontId="17" type="noConversion"/>
  </si>
  <si>
    <t>원정</t>
    <phoneticPr fontId="19" type="noConversion"/>
  </si>
  <si>
    <t xml:space="preserve">  </t>
  </si>
  <si>
    <t>NO</t>
  </si>
  <si>
    <t>품명</t>
    <phoneticPr fontId="19" type="noConversion"/>
  </si>
  <si>
    <t>규격</t>
    <phoneticPr fontId="19" type="noConversion"/>
  </si>
  <si>
    <t>수량</t>
    <phoneticPr fontId="19" type="noConversion"/>
  </si>
  <si>
    <t>단위</t>
    <phoneticPr fontId="19" type="noConversion"/>
  </si>
  <si>
    <t>금액</t>
    <phoneticPr fontId="19" type="noConversion"/>
  </si>
  <si>
    <t>비고</t>
    <phoneticPr fontId="19" type="noConversion"/>
  </si>
  <si>
    <t>직접비</t>
    <phoneticPr fontId="17" type="noConversion"/>
  </si>
  <si>
    <t>재료비</t>
    <phoneticPr fontId="17" type="noConversion"/>
  </si>
  <si>
    <t>노무비</t>
    <phoneticPr fontId="19" type="noConversion"/>
  </si>
  <si>
    <t>기계/기타경비</t>
    <phoneticPr fontId="17" type="noConversion"/>
  </si>
  <si>
    <t>소계</t>
    <phoneticPr fontId="17" type="noConversion"/>
  </si>
  <si>
    <t>간접비</t>
    <phoneticPr fontId="17" type="noConversion"/>
  </si>
  <si>
    <t>  국민연금</t>
    <phoneticPr fontId="19" type="noConversion"/>
  </si>
  <si>
    <t> 노무비*4.5%</t>
    <phoneticPr fontId="19" type="noConversion"/>
  </si>
  <si>
    <t>식</t>
    <phoneticPr fontId="19" type="noConversion"/>
  </si>
  <si>
    <t>모든공사에 적용</t>
    <phoneticPr fontId="19" type="noConversion"/>
  </si>
  <si>
    <t>  건강보험료</t>
    <phoneticPr fontId="19" type="noConversion"/>
  </si>
  <si>
    <t>모든공사에 적용</t>
    <phoneticPr fontId="19" type="noConversion"/>
  </si>
  <si>
    <t>  장기요양보험료</t>
    <phoneticPr fontId="19" type="noConversion"/>
  </si>
  <si>
    <t>  고용보험료</t>
    <phoneticPr fontId="19" type="noConversion"/>
  </si>
  <si>
    <t>  산재보험료</t>
    <phoneticPr fontId="19" type="noConversion"/>
  </si>
  <si>
    <t xml:space="preserve">  산업안전보건관리비</t>
    <phoneticPr fontId="19" type="noConversion"/>
  </si>
  <si>
    <t>소계</t>
    <phoneticPr fontId="17" type="noConversion"/>
  </si>
  <si>
    <t>합계(단수조정)</t>
    <phoneticPr fontId="17" type="noConversion"/>
  </si>
  <si>
    <t>VAT별도</t>
    <phoneticPr fontId="19" type="noConversion"/>
  </si>
  <si>
    <t>일반관리비/이윤</t>
    <phoneticPr fontId="19" type="noConversion"/>
  </si>
  <si>
    <t> (노무비+간접공사비)*5%</t>
    <phoneticPr fontId="19" type="noConversion"/>
  </si>
  <si>
    <t>등록번호</t>
    <phoneticPr fontId="13" type="noConversion"/>
  </si>
  <si>
    <t>종 목</t>
    <phoneticPr fontId="13" type="noConversion"/>
  </si>
  <si>
    <t>TEL, FAX</t>
    <phoneticPr fontId="13" type="noConversion"/>
  </si>
  <si>
    <t>상 호</t>
    <phoneticPr fontId="13" type="noConversion"/>
  </si>
  <si>
    <t>대표 이사</t>
    <phoneticPr fontId="13" type="noConversion"/>
  </si>
  <si>
    <t>사업장</t>
    <phoneticPr fontId="13" type="noConversion"/>
  </si>
  <si>
    <t>업 태</t>
    <phoneticPr fontId="13" type="noConversion"/>
  </si>
  <si>
    <t>할증기준</t>
    <phoneticPr fontId="11" type="noConversion"/>
  </si>
  <si>
    <t> 노무비*1.01%</t>
    <phoneticPr fontId="19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</si>
  <si>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</si>
  <si>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</si>
  <si>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</si>
  <si>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</si>
  <si>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</si>
  <si>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</si>
  <si>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</si>
  <si>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</si>
  <si>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</si>
  <si>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</si>
  <si>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</si>
  <si>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</si>
  <si>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</si>
  <si>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</si>
  <si>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</si>
  <si>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</si>
  <si>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</si>
  <si>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7" type="noConversion"/>
  </si>
  <si>
    <t> 노무비*3.545%</t>
    <phoneticPr fontId="19" type="noConversion"/>
  </si>
  <si>
    <t> 건강보험료*12.95%</t>
    <phoneticPr fontId="19" type="noConversion"/>
  </si>
  <si>
    <t> 노무비*3.56%</t>
    <phoneticPr fontId="19" type="noConversion"/>
  </si>
  <si>
    <t>314-86-35718</t>
    <phoneticPr fontId="11" type="noConversion"/>
  </si>
  <si>
    <t>㈜일성건축</t>
    <phoneticPr fontId="11" type="noConversion"/>
  </si>
  <si>
    <t>상 석 희</t>
    <phoneticPr fontId="11" type="noConversion"/>
  </si>
  <si>
    <t>대전 서구 도마6길 107 (도마동)</t>
    <phoneticPr fontId="11" type="noConversion"/>
  </si>
  <si>
    <t>건설업</t>
    <phoneticPr fontId="11" type="noConversion"/>
  </si>
  <si>
    <t>실내건축,인테리어공사</t>
    <phoneticPr fontId="11" type="noConversion"/>
  </si>
  <si>
    <t>042)527-0995, 042)527-0996</t>
    <phoneticPr fontId="11" type="noConversion"/>
  </si>
  <si>
    <t>인</t>
    <phoneticPr fontId="11" type="noConversion"/>
  </si>
  <si>
    <t>영선,건축</t>
    <phoneticPr fontId="11" type="noConversion"/>
  </si>
  <si>
    <t>단가</t>
    <phoneticPr fontId="13" type="noConversion"/>
  </si>
  <si>
    <t>시중노임단가</t>
    <phoneticPr fontId="11" type="noConversion"/>
  </si>
  <si>
    <t>set</t>
    <phoneticPr fontId="11" type="noConversion"/>
  </si>
  <si>
    <t>L003</t>
    <phoneticPr fontId="11" type="noConversion"/>
  </si>
  <si>
    <t>▼낙찰율</t>
    <phoneticPr fontId="13" type="noConversion"/>
  </si>
  <si>
    <t>▶ 표준 Code(표준단가/품셈/물정/노임) 순서별 입력(Upload 자동반영)</t>
    <phoneticPr fontId="11" type="noConversion"/>
  </si>
  <si>
    <t>주요내역</t>
    <phoneticPr fontId="11" type="noConversion"/>
  </si>
  <si>
    <t>재료비</t>
    <phoneticPr fontId="13" type="noConversion"/>
  </si>
  <si>
    <t>노무비</t>
    <phoneticPr fontId="13" type="noConversion"/>
  </si>
  <si>
    <t>기계경비</t>
  </si>
  <si>
    <t>기타경비(부자재비)</t>
  </si>
  <si>
    <t>합계</t>
    <phoneticPr fontId="13" type="noConversion"/>
  </si>
  <si>
    <t>노무비 할증</t>
    <phoneticPr fontId="11" type="noConversion"/>
  </si>
  <si>
    <t>합계</t>
    <phoneticPr fontId="11" type="noConversion"/>
  </si>
  <si>
    <t>표준단가 D</t>
    <phoneticPr fontId="11" type="noConversion"/>
  </si>
  <si>
    <t>표준품셈 E</t>
    <phoneticPr fontId="11" type="noConversion"/>
  </si>
  <si>
    <t>물가정보 M</t>
    <phoneticPr fontId="11" type="noConversion"/>
  </si>
  <si>
    <t>노임단가 L</t>
    <phoneticPr fontId="11" type="noConversion"/>
  </si>
  <si>
    <t>품목</t>
    <phoneticPr fontId="11" type="noConversion"/>
  </si>
  <si>
    <t>규격</t>
    <phoneticPr fontId="11" type="noConversion"/>
  </si>
  <si>
    <t>품셈/표단</t>
    <phoneticPr fontId="11" type="noConversion"/>
  </si>
  <si>
    <t>금액</t>
  </si>
  <si>
    <t>단가</t>
  </si>
  <si>
    <t> (재료비+노무비)*3.11%</t>
    <phoneticPr fontId="19" type="noConversion"/>
  </si>
  <si>
    <t xml:space="preserve"> 견적일 : 2025년  08월  13일</t>
    <phoneticPr fontId="17" type="noConversion"/>
  </si>
  <si>
    <t>도장공, 자재비 포함</t>
    <phoneticPr fontId="11" type="noConversion"/>
  </si>
  <si>
    <t>L029</t>
    <phoneticPr fontId="11" type="noConversion"/>
  </si>
  <si>
    <t>방화문 제작, 철거 및 설치</t>
    <phoneticPr fontId="11" type="noConversion"/>
  </si>
  <si>
    <t xml:space="preserve"> 전문업체 견적서</t>
    <phoneticPr fontId="11" type="noConversion"/>
  </si>
  <si>
    <t>전문업체 견적서 참조</t>
    <phoneticPr fontId="11" type="noConversion"/>
  </si>
  <si>
    <r>
      <t xml:space="preserve"> 현장관리 및 폐기물처리 </t>
    </r>
    <r>
      <rPr>
        <sz val="10"/>
        <color rgb="FFFF0000"/>
        <rFont val="LG스마트체 Regular"/>
        <family val="3"/>
        <charset val="129"/>
      </rPr>
      <t>3일 작업</t>
    </r>
    <r>
      <rPr>
        <sz val="10"/>
        <rFont val="LG스마트체 Regular"/>
        <family val="3"/>
        <charset val="129"/>
      </rPr>
      <t>, 특별인부</t>
    </r>
    <phoneticPr fontId="11" type="noConversion"/>
  </si>
  <si>
    <t xml:space="preserve"> 공사명 : 사택 5동 지하주차장 방화문 교체(3개소)</t>
    <phoneticPr fontId="17" type="noConversion"/>
  </si>
  <si>
    <r>
      <t xml:space="preserve">방화문 제작, 철거 및 설치, </t>
    </r>
    <r>
      <rPr>
        <sz val="10"/>
        <color rgb="FFFF0000"/>
        <rFont val="LG스마트체 Regular"/>
        <family val="3"/>
        <charset val="129"/>
      </rPr>
      <t>3일 작업</t>
    </r>
    <phoneticPr fontId="11" type="noConversion"/>
  </si>
  <si>
    <t>투입되지 않음
구조물 철거후 단순 작업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</si>
</sst>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#,##0;\-#,##0;"/>
    <numFmt numFmtId="185" formatCode="0.000"/>
  </numFmts>
  <fonts count="35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33">
    <xf numFmtId="0" fontId="0" fillId="0" borderId="0">
      <alignment vertical="center"/>
    </xf>
    <xf numFmtId="177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4" fillId="0" borderId="0"/>
    <xf numFmtId="177" fontId="10" fillId="0" borderId="0" applyFont="0" applyFill="0" applyBorder="0" applyAlignment="0" applyProtection="0">
      <alignment vertical="center"/>
    </xf>
    <xf numFmtId="178" fontId="15" fillId="0" borderId="0" applyFont="0" applyFill="0" applyBorder="0" applyAlignment="0" applyProtection="0"/>
    <xf numFmtId="0" fontId="16" fillId="0" borderId="0"/>
    <xf numFmtId="180" fontId="16" fillId="0" borderId="0" applyFont="0" applyFill="0" applyBorder="0" applyAlignment="0" applyProtection="0"/>
    <xf numFmtId="0" fontId="10" fillId="0" borderId="0">
      <alignment vertical="center"/>
    </xf>
    <xf numFmtId="9" fontId="15" fillId="0" borderId="0" applyFont="0" applyFill="0" applyBorder="0" applyAlignment="0" applyProtection="0"/>
    <xf numFmtId="0" fontId="14" fillId="0" borderId="0"/>
    <xf numFmtId="0" fontId="23" fillId="0" borderId="0"/>
    <xf numFmtId="176" fontId="23" fillId="0" borderId="0" applyFont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152">
    <xf numFmtId="0" fontId="0" fillId="0" borderId="0" xfId="0">
      <alignment vertical="center"/>
    </xf>
    <xf numFmtId="0" fontId="18" fillId="0" borderId="7" xfId="6" applyFont="1" applyBorder="1" applyAlignment="1">
      <alignment horizontal="right" vertical="center"/>
    </xf>
    <xf numFmtId="0" fontId="24" fillId="0" borderId="0" xfId="6" applyFont="1" applyAlignment="1">
      <alignment vertical="center"/>
    </xf>
    <xf numFmtId="0" fontId="25" fillId="0" borderId="0" xfId="3" applyFont="1"/>
    <xf numFmtId="0" fontId="26" fillId="0" borderId="5" xfId="6" applyFont="1" applyBorder="1" applyAlignment="1">
      <alignment horizontal="center" vertical="center"/>
    </xf>
    <xf numFmtId="0" fontId="18" fillId="0" borderId="6" xfId="6" applyFont="1" applyBorder="1" applyAlignment="1">
      <alignment horizontal="right" vertical="center"/>
    </xf>
    <xf numFmtId="0" fontId="18" fillId="5" borderId="25" xfId="6" applyFont="1" applyFill="1" applyBorder="1" applyAlignment="1">
      <alignment horizontal="center" vertical="center"/>
    </xf>
    <xf numFmtId="0" fontId="18" fillId="5" borderId="26" xfId="6" applyFont="1" applyFill="1" applyBorder="1" applyAlignment="1">
      <alignment vertical="center" shrinkToFit="1"/>
    </xf>
    <xf numFmtId="0" fontId="18" fillId="5" borderId="2" xfId="6" applyFont="1" applyFill="1" applyBorder="1" applyAlignment="1">
      <alignment horizontal="center" vertical="center"/>
    </xf>
    <xf numFmtId="0" fontId="18" fillId="5" borderId="27" xfId="6" applyFont="1" applyFill="1" applyBorder="1" applyAlignment="1">
      <alignment vertical="center" shrinkToFit="1"/>
    </xf>
    <xf numFmtId="0" fontId="27" fillId="0" borderId="0" xfId="6" applyFont="1" applyAlignment="1">
      <alignment vertical="center" shrinkToFit="1"/>
    </xf>
    <xf numFmtId="0" fontId="18" fillId="5" borderId="2" xfId="6" applyFont="1" applyFill="1" applyBorder="1" applyAlignment="1">
      <alignment horizontal="center" vertical="center" shrinkToFit="1"/>
    </xf>
    <xf numFmtId="0" fontId="18" fillId="0" borderId="2" xfId="6" applyFont="1" applyBorder="1" applyAlignment="1">
      <alignment horizontal="center" vertical="center"/>
    </xf>
    <xf numFmtId="0" fontId="18" fillId="0" borderId="27" xfId="6" applyFont="1" applyBorder="1" applyAlignment="1">
      <alignment vertical="center"/>
    </xf>
    <xf numFmtId="0" fontId="26" fillId="0" borderId="0" xfId="6" applyFont="1" applyAlignment="1">
      <alignment horizontal="center" vertical="center" shrinkToFit="1"/>
    </xf>
    <xf numFmtId="0" fontId="18" fillId="0" borderId="28" xfId="6" applyFont="1" applyBorder="1" applyAlignment="1">
      <alignment horizontal="center" vertical="center" shrinkToFit="1"/>
    </xf>
    <xf numFmtId="0" fontId="18" fillId="0" borderId="29" xfId="6" applyFont="1" applyBorder="1" applyAlignment="1">
      <alignment vertical="center" shrinkToFit="1"/>
    </xf>
    <xf numFmtId="0" fontId="27" fillId="0" borderId="7" xfId="6" applyFont="1" applyBorder="1" applyAlignment="1">
      <alignment vertical="center"/>
    </xf>
    <xf numFmtId="179" fontId="26" fillId="0" borderId="7" xfId="6" applyNumberFormat="1" applyFont="1" applyBorder="1" applyAlignment="1">
      <alignment vertical="center"/>
    </xf>
    <xf numFmtId="0" fontId="26" fillId="0" borderId="0" xfId="6" applyFont="1" applyAlignment="1">
      <alignment vertical="center" shrinkToFit="1"/>
    </xf>
    <xf numFmtId="0" fontId="18" fillId="0" borderId="8" xfId="6" applyFont="1" applyBorder="1" applyAlignment="1">
      <alignment horizontal="center" vertical="center"/>
    </xf>
    <xf numFmtId="0" fontId="18" fillId="0" borderId="9" xfId="6" applyFont="1" applyBorder="1" applyAlignment="1">
      <alignment horizontal="center" vertical="center"/>
    </xf>
    <xf numFmtId="0" fontId="18" fillId="0" borderId="10" xfId="6" applyFont="1" applyBorder="1" applyAlignment="1">
      <alignment horizontal="center" vertical="center"/>
    </xf>
    <xf numFmtId="0" fontId="28" fillId="0" borderId="11" xfId="6" applyFont="1" applyBorder="1" applyAlignment="1">
      <alignment horizontal="center" vertical="center"/>
    </xf>
    <xf numFmtId="0" fontId="18" fillId="0" borderId="12" xfId="6" applyFont="1" applyBorder="1" applyAlignment="1">
      <alignment vertical="center"/>
    </xf>
    <xf numFmtId="0" fontId="28" fillId="0" borderId="12" xfId="6" applyFont="1" applyBorder="1" applyAlignment="1">
      <alignment vertical="center"/>
    </xf>
    <xf numFmtId="1" fontId="28" fillId="0" borderId="12" xfId="6" applyNumberFormat="1" applyFont="1" applyBorder="1" applyAlignment="1">
      <alignment horizontal="center" vertical="center"/>
    </xf>
    <xf numFmtId="180" fontId="28" fillId="0" borderId="12" xfId="7" applyFont="1" applyBorder="1" applyAlignment="1">
      <alignment horizontal="right" vertical="center"/>
    </xf>
    <xf numFmtId="0" fontId="28" fillId="0" borderId="13" xfId="6" applyFont="1" applyBorder="1" applyAlignment="1">
      <alignment vertical="center"/>
    </xf>
    <xf numFmtId="0" fontId="28" fillId="0" borderId="14" xfId="6" applyFont="1" applyBorder="1" applyAlignment="1">
      <alignment horizontal="center" vertical="center"/>
    </xf>
    <xf numFmtId="0" fontId="28" fillId="0" borderId="15" xfId="6" applyFont="1" applyBorder="1" applyAlignment="1">
      <alignment horizontal="center" vertical="center"/>
    </xf>
    <xf numFmtId="0" fontId="28" fillId="0" borderId="15" xfId="3" applyFont="1" applyBorder="1" applyAlignment="1">
      <alignment horizontal="center" vertical="center"/>
    </xf>
    <xf numFmtId="1" fontId="28" fillId="0" borderId="15" xfId="6" applyNumberFormat="1" applyFont="1" applyBorder="1" applyAlignment="1">
      <alignment horizontal="center" vertical="center"/>
    </xf>
    <xf numFmtId="180" fontId="28" fillId="0" borderId="15" xfId="7" applyFont="1" applyBorder="1" applyAlignment="1">
      <alignment horizontal="right" vertical="center"/>
    </xf>
    <xf numFmtId="0" fontId="28" fillId="0" borderId="16" xfId="6" quotePrefix="1" applyFont="1" applyBorder="1" applyAlignment="1">
      <alignment vertical="center"/>
    </xf>
    <xf numFmtId="0" fontId="28" fillId="0" borderId="16" xfId="6" applyFont="1" applyBorder="1" applyAlignment="1">
      <alignment vertical="center"/>
    </xf>
    <xf numFmtId="0" fontId="18" fillId="8" borderId="15" xfId="6" applyFont="1" applyFill="1" applyBorder="1" applyAlignment="1">
      <alignment vertical="center"/>
    </xf>
    <xf numFmtId="1" fontId="18" fillId="8" borderId="15" xfId="6" applyNumberFormat="1" applyFont="1" applyFill="1" applyBorder="1" applyAlignment="1">
      <alignment horizontal="center" vertical="center"/>
    </xf>
    <xf numFmtId="180" fontId="18" fillId="8" borderId="15" xfId="7" applyFont="1" applyFill="1" applyBorder="1" applyAlignment="1">
      <alignment horizontal="right" vertical="center"/>
    </xf>
    <xf numFmtId="0" fontId="18" fillId="0" borderId="15" xfId="6" applyFont="1" applyBorder="1" applyAlignment="1">
      <alignment vertical="center"/>
    </xf>
    <xf numFmtId="0" fontId="28" fillId="0" borderId="15" xfId="6" applyFont="1" applyBorder="1" applyAlignment="1">
      <alignment vertical="center"/>
    </xf>
    <xf numFmtId="180" fontId="18" fillId="0" borderId="15" xfId="7" applyFont="1" applyFill="1" applyBorder="1" applyAlignment="1">
      <alignment horizontal="right" vertical="center"/>
    </xf>
    <xf numFmtId="0" fontId="28" fillId="0" borderId="15" xfId="8" applyFont="1" applyBorder="1" applyAlignment="1">
      <alignment horizontal="center" vertical="center"/>
    </xf>
    <xf numFmtId="178" fontId="28" fillId="0" borderId="15" xfId="5" applyFont="1" applyFill="1" applyBorder="1" applyAlignment="1">
      <alignment horizontal="right" vertical="center"/>
    </xf>
    <xf numFmtId="0" fontId="28" fillId="5" borderId="15" xfId="8" applyFont="1" applyFill="1" applyBorder="1" applyAlignment="1">
      <alignment horizontal="center" vertical="center"/>
    </xf>
    <xf numFmtId="0" fontId="28" fillId="5" borderId="15" xfId="6" applyFont="1" applyFill="1" applyBorder="1" applyAlignment="1">
      <alignment vertical="center"/>
    </xf>
    <xf numFmtId="0" fontId="28" fillId="5" borderId="15" xfId="6" applyFont="1" applyFill="1" applyBorder="1" applyAlignment="1">
      <alignment horizontal="center" vertical="center"/>
    </xf>
    <xf numFmtId="178" fontId="28" fillId="5" borderId="15" xfId="5" applyFont="1" applyFill="1" applyBorder="1" applyAlignment="1">
      <alignment horizontal="right" vertical="center"/>
    </xf>
    <xf numFmtId="0" fontId="28" fillId="5" borderId="16" xfId="6" applyFont="1" applyFill="1" applyBorder="1" applyAlignment="1">
      <alignment vertical="center"/>
    </xf>
    <xf numFmtId="0" fontId="28" fillId="0" borderId="15" xfId="3" applyFont="1" applyBorder="1" applyAlignment="1">
      <alignment horizontal="left" vertical="center"/>
    </xf>
    <xf numFmtId="9" fontId="18" fillId="8" borderId="15" xfId="3" applyNumberFormat="1" applyFont="1" applyFill="1" applyBorder="1" applyAlignment="1">
      <alignment horizontal="right" vertical="center"/>
    </xf>
    <xf numFmtId="1" fontId="18" fillId="8" borderId="15" xfId="9" applyNumberFormat="1" applyFont="1" applyFill="1" applyBorder="1" applyAlignment="1">
      <alignment horizontal="center" vertical="center"/>
    </xf>
    <xf numFmtId="177" fontId="18" fillId="8" borderId="15" xfId="7" applyNumberFormat="1" applyFont="1" applyFill="1" applyBorder="1" applyAlignment="1">
      <alignment horizontal="right" vertical="center"/>
    </xf>
    <xf numFmtId="9" fontId="28" fillId="0" borderId="15" xfId="3" applyNumberFormat="1" applyFont="1" applyBorder="1" applyAlignment="1">
      <alignment horizontal="right" vertical="center"/>
    </xf>
    <xf numFmtId="1" fontId="28" fillId="0" borderId="15" xfId="9" applyNumberFormat="1" applyFont="1" applyFill="1" applyBorder="1" applyAlignment="1">
      <alignment horizontal="center" vertical="center"/>
    </xf>
    <xf numFmtId="177" fontId="18" fillId="0" borderId="15" xfId="7" applyNumberFormat="1" applyFont="1" applyFill="1" applyBorder="1" applyAlignment="1">
      <alignment horizontal="right" vertical="center"/>
    </xf>
    <xf numFmtId="0" fontId="28" fillId="0" borderId="15" xfId="3" applyFont="1" applyBorder="1" applyAlignment="1">
      <alignment vertical="center"/>
    </xf>
    <xf numFmtId="180" fontId="28" fillId="5" borderId="15" xfId="7" applyFont="1" applyFill="1" applyBorder="1" applyAlignment="1">
      <alignment horizontal="right" vertical="center"/>
    </xf>
    <xf numFmtId="180" fontId="18" fillId="8" borderId="0" xfId="3" applyNumberFormat="1" applyFont="1" applyFill="1" applyAlignment="1">
      <alignment vertical="center"/>
    </xf>
    <xf numFmtId="0" fontId="18" fillId="0" borderId="17" xfId="6" applyFont="1" applyBorder="1" applyAlignment="1">
      <alignment horizontal="center" vertical="center" textRotation="255"/>
    </xf>
    <xf numFmtId="0" fontId="18" fillId="0" borderId="18" xfId="6" applyFont="1" applyBorder="1" applyAlignment="1">
      <alignment vertical="top"/>
    </xf>
    <xf numFmtId="0" fontId="28" fillId="0" borderId="19" xfId="6" applyFont="1" applyBorder="1" applyAlignment="1">
      <alignment vertical="center"/>
    </xf>
    <xf numFmtId="0" fontId="28" fillId="0" borderId="19" xfId="6" applyFont="1" applyBorder="1" applyAlignment="1">
      <alignment horizontal="right" vertical="center"/>
    </xf>
    <xf numFmtId="0" fontId="28" fillId="0" borderId="20" xfId="6" applyFont="1" applyBorder="1" applyAlignment="1">
      <alignment vertical="center"/>
    </xf>
    <xf numFmtId="0" fontId="18" fillId="0" borderId="0" xfId="10" applyFont="1"/>
    <xf numFmtId="181" fontId="26" fillId="0" borderId="0" xfId="1" applyNumberFormat="1" applyFont="1" applyAlignment="1">
      <alignment horizontal="center" vertical="center"/>
    </xf>
    <xf numFmtId="0" fontId="25" fillId="0" borderId="0" xfId="0" applyFont="1">
      <alignment vertical="center"/>
    </xf>
    <xf numFmtId="0" fontId="25" fillId="0" borderId="0" xfId="0" applyFont="1" applyAlignment="1">
      <alignment horizontal="center" vertical="center"/>
    </xf>
    <xf numFmtId="9" fontId="29" fillId="0" borderId="0" xfId="0" applyNumberFormat="1" applyFont="1" applyAlignment="1">
      <alignment horizontal="center" vertical="center"/>
    </xf>
    <xf numFmtId="182" fontId="29" fillId="3" borderId="0" xfId="2" applyNumberFormat="1" applyFont="1" applyFill="1" applyAlignment="1">
      <alignment horizontal="center" vertical="center"/>
    </xf>
    <xf numFmtId="0" fontId="29" fillId="4" borderId="22" xfId="0" applyFont="1" applyFill="1" applyBorder="1" applyAlignment="1">
      <alignment horizontal="center" vertical="center"/>
    </xf>
    <xf numFmtId="0" fontId="29" fillId="4" borderId="6" xfId="0" applyFont="1" applyFill="1" applyBorder="1" applyAlignment="1">
      <alignment horizontal="center" vertical="center"/>
    </xf>
    <xf numFmtId="0" fontId="29" fillId="7" borderId="3" xfId="0" applyFont="1" applyFill="1" applyBorder="1" applyAlignment="1">
      <alignment horizontal="center" vertical="center"/>
    </xf>
    <xf numFmtId="177" fontId="29" fillId="4" borderId="3" xfId="4" applyFont="1" applyFill="1" applyBorder="1" applyAlignment="1">
      <alignment horizontal="center" vertical="center"/>
    </xf>
    <xf numFmtId="178" fontId="29" fillId="4" borderId="3" xfId="5" applyFont="1" applyFill="1" applyBorder="1" applyAlignment="1">
      <alignment horizontal="center" vertical="center"/>
    </xf>
    <xf numFmtId="0" fontId="25" fillId="6" borderId="22" xfId="0" applyFont="1" applyFill="1" applyBorder="1" applyAlignment="1">
      <alignment horizontal="center" vertical="center"/>
    </xf>
    <xf numFmtId="0" fontId="25" fillId="6" borderId="6" xfId="0" applyFont="1" applyFill="1" applyBorder="1" applyAlignment="1">
      <alignment horizontal="center" vertical="center"/>
    </xf>
    <xf numFmtId="49" fontId="29" fillId="7" borderId="3" xfId="0" applyNumberFormat="1" applyFont="1" applyFill="1" applyBorder="1" applyAlignment="1">
      <alignment horizontal="center" vertical="center" wrapText="1"/>
    </xf>
    <xf numFmtId="0" fontId="25" fillId="7" borderId="3" xfId="0" applyFont="1" applyFill="1" applyBorder="1" applyAlignment="1">
      <alignment horizontal="center" vertical="center"/>
    </xf>
    <xf numFmtId="49" fontId="25" fillId="7" borderId="3" xfId="0" applyNumberFormat="1" applyFont="1" applyFill="1" applyBorder="1" applyAlignment="1">
      <alignment horizontal="center" vertical="center" wrapText="1"/>
    </xf>
    <xf numFmtId="177" fontId="25" fillId="0" borderId="3" xfId="1" applyFont="1" applyFill="1" applyBorder="1" applyAlignment="1">
      <alignment horizontal="center" vertical="center" wrapText="1"/>
    </xf>
    <xf numFmtId="9" fontId="30" fillId="0" borderId="3" xfId="0" applyNumberFormat="1" applyFont="1" applyBorder="1" applyAlignment="1">
      <alignment horizontal="center" vertical="center"/>
    </xf>
    <xf numFmtId="0" fontId="30" fillId="0" borderId="23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177" fontId="25" fillId="0" borderId="0" xfId="1" applyFont="1" applyFill="1" applyBorder="1" applyAlignment="1">
      <alignment horizontal="center" vertical="center"/>
    </xf>
    <xf numFmtId="0" fontId="25" fillId="0" borderId="0" xfId="3" applyFont="1" applyAlignment="1">
      <alignment horizontal="center" vertical="center" shrinkToFit="1"/>
    </xf>
    <xf numFmtId="49" fontId="25" fillId="0" borderId="0" xfId="0" applyNumberFormat="1" applyFont="1" applyAlignment="1">
      <alignment horizontal="center" vertical="center" wrapText="1"/>
    </xf>
    <xf numFmtId="183" fontId="25" fillId="0" borderId="0" xfId="1" applyNumberFormat="1" applyFont="1" applyFill="1" applyBorder="1" applyAlignment="1">
      <alignment horizontal="center" vertical="center"/>
    </xf>
    <xf numFmtId="177" fontId="25" fillId="0" borderId="0" xfId="1" applyFont="1" applyBorder="1" applyAlignment="1">
      <alignment horizontal="center" vertical="center" wrapText="1"/>
    </xf>
    <xf numFmtId="49" fontId="25" fillId="2" borderId="0" xfId="0" applyNumberFormat="1" applyFont="1" applyFill="1" applyAlignment="1">
      <alignment horizontal="center" vertical="center" wrapText="1"/>
    </xf>
    <xf numFmtId="49" fontId="25" fillId="2" borderId="1" xfId="0" applyNumberFormat="1" applyFont="1" applyFill="1" applyBorder="1" applyAlignment="1">
      <alignment horizontal="center" vertical="center" wrapText="1"/>
    </xf>
    <xf numFmtId="181" fontId="25" fillId="7" borderId="1" xfId="1" applyNumberFormat="1" applyFont="1" applyFill="1" applyBorder="1" applyAlignment="1">
      <alignment horizontal="center" vertical="center"/>
    </xf>
    <xf numFmtId="181" fontId="25" fillId="0" borderId="1" xfId="1" applyNumberFormat="1" applyFont="1" applyBorder="1" applyAlignment="1">
      <alignment horizontal="center" vertical="center"/>
    </xf>
    <xf numFmtId="0" fontId="25" fillId="6" borderId="3" xfId="0" applyFont="1" applyFill="1" applyBorder="1" applyAlignment="1">
      <alignment horizontal="center" vertical="center"/>
    </xf>
    <xf numFmtId="177" fontId="25" fillId="0" borderId="3" xfId="1" applyFont="1" applyFill="1" applyBorder="1" applyAlignment="1">
      <alignment vertical="center" wrapText="1"/>
    </xf>
    <xf numFmtId="9" fontId="25" fillId="0" borderId="3" xfId="0" applyNumberFormat="1" applyFont="1" applyBorder="1">
      <alignment vertical="center"/>
    </xf>
    <xf numFmtId="0" fontId="26" fillId="0" borderId="0" xfId="6" applyFont="1" applyAlignment="1">
      <alignment vertical="center"/>
    </xf>
    <xf numFmtId="0" fontId="18" fillId="0" borderId="4" xfId="6" applyFont="1" applyBorder="1" applyAlignment="1">
      <alignment vertical="center"/>
    </xf>
    <xf numFmtId="49" fontId="25" fillId="0" borderId="3" xfId="0" applyNumberFormat="1" applyFont="1" applyBorder="1" applyAlignment="1">
      <alignment horizontal="center" vertical="center" wrapText="1"/>
    </xf>
    <xf numFmtId="0" fontId="26" fillId="0" borderId="0" xfId="31" applyFont="1">
      <alignment vertical="center"/>
    </xf>
    <xf numFmtId="0" fontId="31" fillId="0" borderId="0" xfId="31" applyFont="1">
      <alignment vertical="center"/>
    </xf>
    <xf numFmtId="0" fontId="26" fillId="0" borderId="0" xfId="31" applyFont="1" applyAlignment="1">
      <alignment horizontal="center" vertical="center"/>
    </xf>
    <xf numFmtId="0" fontId="26" fillId="0" borderId="0" xfId="0" applyFont="1">
      <alignment vertical="center"/>
    </xf>
    <xf numFmtId="177" fontId="26" fillId="0" borderId="0" xfId="1" applyFont="1" applyBorder="1">
      <alignment vertical="center"/>
    </xf>
    <xf numFmtId="184" fontId="25" fillId="5" borderId="3" xfId="0" applyNumberFormat="1" applyFont="1" applyFill="1" applyBorder="1" applyAlignment="1">
      <alignment horizontal="right" vertical="center" wrapText="1"/>
    </xf>
    <xf numFmtId="184" fontId="25" fillId="0" borderId="3" xfId="0" applyNumberFormat="1" applyFont="1" applyBorder="1" applyAlignment="1">
      <alignment horizontal="right" vertical="center"/>
    </xf>
    <xf numFmtId="184" fontId="25" fillId="6" borderId="3" xfId="1" applyNumberFormat="1" applyFont="1" applyFill="1" applyBorder="1" applyAlignment="1">
      <alignment horizontal="right" vertical="center" wrapText="1"/>
    </xf>
    <xf numFmtId="184" fontId="25" fillId="11" borderId="3" xfId="0" applyNumberFormat="1" applyFont="1" applyFill="1" applyBorder="1" applyAlignment="1">
      <alignment horizontal="right" vertical="center" wrapText="1"/>
    </xf>
    <xf numFmtId="184" fontId="25" fillId="0" borderId="3" xfId="1" applyNumberFormat="1" applyFont="1" applyFill="1" applyBorder="1" applyAlignment="1">
      <alignment horizontal="right" vertical="center" wrapText="1"/>
    </xf>
    <xf numFmtId="184" fontId="25" fillId="5" borderId="3" xfId="0" applyNumberFormat="1" applyFont="1" applyFill="1" applyBorder="1" applyAlignment="1">
      <alignment horizontal="right" vertical="center"/>
    </xf>
    <xf numFmtId="184" fontId="25" fillId="6" borderId="6" xfId="1" applyNumberFormat="1" applyFont="1" applyFill="1" applyBorder="1" applyAlignment="1">
      <alignment horizontal="right" vertical="center" wrapText="1"/>
    </xf>
    <xf numFmtId="49" fontId="25" fillId="0" borderId="3" xfId="1" applyNumberFormat="1" applyFont="1" applyFill="1" applyBorder="1" applyAlignment="1">
      <alignment horizontal="center" vertical="center"/>
    </xf>
    <xf numFmtId="49" fontId="25" fillId="5" borderId="3" xfId="1" applyNumberFormat="1" applyFont="1" applyFill="1" applyBorder="1" applyAlignment="1">
      <alignment horizontal="center" vertical="center"/>
    </xf>
    <xf numFmtId="185" fontId="25" fillId="0" borderId="3" xfId="1" applyNumberFormat="1" applyFont="1" applyFill="1" applyBorder="1" applyAlignment="1">
      <alignment horizontal="center" vertical="center"/>
    </xf>
    <xf numFmtId="49" fontId="25" fillId="0" borderId="3" xfId="3" applyNumberFormat="1" applyFont="1" applyBorder="1" applyAlignment="1">
      <alignment horizontal="center" vertical="center" wrapText="1" shrinkToFit="1"/>
    </xf>
    <xf numFmtId="0" fontId="25" fillId="0" borderId="0" xfId="0" applyFont="1" applyAlignment="1">
      <alignment vertical="center" wrapText="1"/>
    </xf>
    <xf numFmtId="0" fontId="29" fillId="4" borderId="3" xfId="3" applyFont="1" applyFill="1" applyBorder="1" applyAlignment="1">
      <alignment horizontal="center" vertical="center" wrapText="1"/>
    </xf>
    <xf numFmtId="0" fontId="28" fillId="0" borderId="0" xfId="0" applyFont="1" applyAlignment="1">
      <alignment vertical="center" wrapText="1"/>
    </xf>
    <xf numFmtId="0" fontId="29" fillId="0" borderId="0" xfId="0" applyFont="1" applyAlignment="1">
      <alignment horizontal="center" vertical="center"/>
    </xf>
    <xf numFmtId="0" fontId="29" fillId="9" borderId="24" xfId="0" applyFont="1" applyFill="1" applyBorder="1">
      <alignment vertical="center"/>
    </xf>
    <xf numFmtId="0" fontId="29" fillId="9" borderId="21" xfId="0" applyFont="1" applyFill="1" applyBorder="1">
      <alignment vertical="center"/>
    </xf>
    <xf numFmtId="0" fontId="30" fillId="0" borderId="0" xfId="0" applyFont="1">
      <alignment vertical="center"/>
    </xf>
    <xf numFmtId="0" fontId="28" fillId="10" borderId="0" xfId="0" applyFont="1" applyFill="1">
      <alignment vertical="center"/>
    </xf>
    <xf numFmtId="0" fontId="28" fillId="0" borderId="0" xfId="0" applyFont="1">
      <alignment vertical="center"/>
    </xf>
    <xf numFmtId="177" fontId="18" fillId="10" borderId="0" xfId="0" applyNumberFormat="1" applyFont="1" applyFill="1">
      <alignment vertical="center"/>
    </xf>
    <xf numFmtId="0" fontId="29" fillId="0" borderId="0" xfId="0" applyFont="1">
      <alignment vertical="center"/>
    </xf>
    <xf numFmtId="177" fontId="29" fillId="0" borderId="0" xfId="0" applyNumberFormat="1" applyFont="1">
      <alignment vertical="center"/>
    </xf>
    <xf numFmtId="0" fontId="29" fillId="5" borderId="0" xfId="0" applyFont="1" applyFill="1">
      <alignment vertical="center"/>
    </xf>
    <xf numFmtId="177" fontId="25" fillId="0" borderId="0" xfId="0" applyNumberFormat="1" applyFont="1">
      <alignment vertical="center"/>
    </xf>
    <xf numFmtId="49" fontId="32" fillId="0" borderId="3" xfId="1" applyNumberFormat="1" applyFont="1" applyFill="1" applyBorder="1" applyAlignment="1">
      <alignment horizontal="center" vertical="center" wrapText="1"/>
    </xf>
    <xf numFmtId="0" fontId="24" fillId="0" borderId="0" xfId="6" applyFont="1" applyAlignment="1">
      <alignment horizontal="center" vertical="center"/>
    </xf>
    <xf numFmtId="0" fontId="27" fillId="0" borderId="0" xfId="6" applyFont="1" applyAlignment="1">
      <alignment vertical="center"/>
    </xf>
    <xf numFmtId="0" fontId="26" fillId="0" borderId="0" xfId="6" applyFont="1" applyAlignment="1">
      <alignment vertical="center"/>
    </xf>
    <xf numFmtId="0" fontId="18" fillId="0" borderId="4" xfId="6" applyFont="1" applyBorder="1" applyAlignment="1">
      <alignment vertical="center"/>
    </xf>
    <xf numFmtId="0" fontId="18" fillId="0" borderId="5" xfId="6" applyFont="1" applyBorder="1" applyAlignment="1">
      <alignment vertical="center"/>
    </xf>
    <xf numFmtId="0" fontId="18" fillId="0" borderId="6" xfId="6" applyFont="1" applyBorder="1" applyAlignment="1">
      <alignment vertical="center"/>
    </xf>
    <xf numFmtId="0" fontId="18" fillId="0" borderId="4" xfId="6" applyFont="1" applyBorder="1" applyAlignment="1">
      <alignment vertical="center" wrapText="1"/>
    </xf>
    <xf numFmtId="0" fontId="18" fillId="0" borderId="5" xfId="6" applyFont="1" applyBorder="1" applyAlignment="1">
      <alignment vertical="center" wrapText="1"/>
    </xf>
    <xf numFmtId="0" fontId="18" fillId="0" borderId="6" xfId="6" applyFont="1" applyBorder="1" applyAlignment="1">
      <alignment vertical="center" wrapText="1"/>
    </xf>
    <xf numFmtId="0" fontId="29" fillId="0" borderId="0" xfId="0" applyFont="1" applyAlignment="1">
      <alignment horizontal="center" vertical="center"/>
    </xf>
    <xf numFmtId="0" fontId="25" fillId="0" borderId="31" xfId="0" applyFont="1" applyBorder="1" applyAlignment="1">
      <alignment horizontal="center" vertical="center"/>
    </xf>
    <xf numFmtId="0" fontId="25" fillId="0" borderId="32" xfId="0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29" fillId="9" borderId="4" xfId="0" applyFont="1" applyFill="1" applyBorder="1" applyAlignment="1">
      <alignment horizontal="center" vertical="center"/>
    </xf>
    <xf numFmtId="177" fontId="29" fillId="4" borderId="21" xfId="4" applyFont="1" applyFill="1" applyBorder="1" applyAlignment="1">
      <alignment horizontal="center" vertical="center"/>
    </xf>
    <xf numFmtId="178" fontId="29" fillId="4" borderId="21" xfId="5" applyFont="1" applyFill="1" applyBorder="1" applyAlignment="1">
      <alignment horizontal="center" vertical="center"/>
    </xf>
    <xf numFmtId="0" fontId="29" fillId="4" borderId="21" xfId="0" applyFont="1" applyFill="1" applyBorder="1" applyAlignment="1">
      <alignment horizontal="center" vertical="center"/>
    </xf>
    <xf numFmtId="0" fontId="29" fillId="4" borderId="3" xfId="0" applyFont="1" applyFill="1" applyBorder="1" applyAlignment="1">
      <alignment horizontal="center" vertical="center"/>
    </xf>
    <xf numFmtId="0" fontId="29" fillId="4" borderId="21" xfId="3" applyFont="1" applyFill="1" applyBorder="1" applyAlignment="1">
      <alignment horizontal="center" vertical="center"/>
    </xf>
    <xf numFmtId="0" fontId="29" fillId="4" borderId="3" xfId="3" applyFont="1" applyFill="1" applyBorder="1" applyAlignment="1">
      <alignment horizontal="center" vertical="center"/>
    </xf>
    <xf numFmtId="0" fontId="29" fillId="4" borderId="21" xfId="3" applyFont="1" applyFill="1" applyBorder="1" applyAlignment="1">
      <alignment horizontal="center" vertical="center" wrapText="1"/>
    </xf>
    <xf numFmtId="0" fontId="34" fillId="0" borderId="23" xfId="0" applyFont="1" applyBorder="1" applyAlignment="1">
      <alignment horizontal="center" vertical="center" wrapText="1"/>
    </xf>
  </cellXfs>
  <cellStyles count="33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2 4 3 2" xfId="32" xr:uid="{ABB5AA14-A386-4574-8F5E-637EC4B6017C}"/>
    <cellStyle name="쉼표 [0] 2 4 4" xfId="28" xr:uid="{513C62A6-0268-4236-890D-F29C52B7A826}"/>
    <cellStyle name="쉼표 [0] 2 4 5" xfId="30" xr:uid="{4F303914-66E8-41EC-B8DE-FCE6BF9299AB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 7 4 2" xfId="31" xr:uid="{4BA36CB4-0E2E-4DB8-AA3D-9FDE06F21E87}"/>
    <cellStyle name="표준 7 5" xfId="27" xr:uid="{55C0920F-EF39-45A4-B1E9-11488D2D357A}"/>
    <cellStyle name="표준 7 6" xfId="29" xr:uid="{A72395F3-015F-4FD2-8609-F2583A780480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227133</xdr:colOff>
      <xdr:row>1</xdr:row>
      <xdr:rowOff>141513</xdr:rowOff>
    </xdr:from>
    <xdr:to>
      <xdr:col>4</xdr:col>
      <xdr:colOff>637441</xdr:colOff>
      <xdr:row>38</xdr:row>
      <xdr:rowOff>51288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AC30667-1BA4-41DD-BAF7-70164C17321B}"/>
            </a:ext>
          </a:extLst>
        </xdr:cNvPr>
        <xdr:cNvSpPr/>
      </xdr:nvSpPr>
      <xdr:spPr>
        <a:xfrm>
          <a:off x="227133" y="310032"/>
          <a:ext cx="4593981" cy="6144987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방화문 제작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철거 및 설치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432289</xdr:colOff>
      <xdr:row>3</xdr:row>
      <xdr:rowOff>146538</xdr:rowOff>
    </xdr:from>
    <xdr:to>
      <xdr:col>4</xdr:col>
      <xdr:colOff>342252</xdr:colOff>
      <xdr:row>37</xdr:row>
      <xdr:rowOff>80595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7E12735-C5E4-4E78-9022-944C5053E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289" y="652096"/>
          <a:ext cx="4093636" cy="56637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20" zoomScale="85" zoomScaleNormal="85" workbookViewId="0">
      <selection activeCell="C40" sqref="C40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30" t="s">
        <v>6</v>
      </c>
      <c r="B2" s="130"/>
      <c r="C2" s="130"/>
      <c r="D2" s="130"/>
      <c r="E2" s="130"/>
      <c r="F2" s="130"/>
      <c r="G2" s="130"/>
      <c r="H2" s="2"/>
    </row>
    <row r="3" spans="1:9" ht="14.25" x14ac:dyDescent="0.2">
      <c r="A3" s="96"/>
      <c r="B3" s="96"/>
      <c r="C3" s="96"/>
      <c r="D3" s="96"/>
      <c r="E3" s="96"/>
      <c r="F3" s="96"/>
      <c r="G3" s="96"/>
      <c r="H3" s="96"/>
    </row>
    <row r="4" spans="1:9" ht="14.25" x14ac:dyDescent="0.2">
      <c r="A4" s="96"/>
      <c r="B4" s="96"/>
      <c r="C4" s="96"/>
      <c r="D4" s="96"/>
      <c r="E4" s="96"/>
      <c r="H4" s="96"/>
    </row>
    <row r="5" spans="1:9" ht="27" customHeight="1" x14ac:dyDescent="0.2">
      <c r="A5" s="97" t="s">
        <v>64</v>
      </c>
      <c r="B5" s="4"/>
      <c r="C5" s="5"/>
      <c r="D5" s="96"/>
      <c r="E5" s="96"/>
      <c r="F5" s="6" t="s">
        <v>38</v>
      </c>
      <c r="G5" s="7" t="s">
        <v>68</v>
      </c>
      <c r="H5" s="96"/>
    </row>
    <row r="6" spans="1:9" ht="27" customHeight="1" x14ac:dyDescent="0.2">
      <c r="A6" s="96"/>
      <c r="B6" s="96"/>
      <c r="C6" s="96"/>
      <c r="D6" s="96"/>
      <c r="E6" s="96"/>
      <c r="F6" s="8" t="s">
        <v>41</v>
      </c>
      <c r="G6" s="9" t="s">
        <v>69</v>
      </c>
      <c r="H6" s="96"/>
    </row>
    <row r="7" spans="1:9" ht="27" customHeight="1" x14ac:dyDescent="0.2">
      <c r="A7" s="136" t="s">
        <v>108</v>
      </c>
      <c r="B7" s="137"/>
      <c r="C7" s="138"/>
      <c r="D7" s="96"/>
      <c r="E7" s="10"/>
      <c r="F7" s="11" t="s">
        <v>42</v>
      </c>
      <c r="G7" s="9" t="s">
        <v>70</v>
      </c>
      <c r="H7" s="96"/>
    </row>
    <row r="8" spans="1:9" ht="27" customHeight="1" x14ac:dyDescent="0.2">
      <c r="A8" s="96"/>
      <c r="B8" s="96"/>
      <c r="C8" s="96"/>
      <c r="D8" s="96"/>
      <c r="E8" s="96"/>
      <c r="F8" s="8" t="s">
        <v>43</v>
      </c>
      <c r="G8" s="9" t="s">
        <v>71</v>
      </c>
      <c r="H8" s="96"/>
    </row>
    <row r="9" spans="1:9" ht="27" customHeight="1" x14ac:dyDescent="0.2">
      <c r="A9" s="133" t="s">
        <v>101</v>
      </c>
      <c r="B9" s="134"/>
      <c r="C9" s="135"/>
      <c r="D9" s="96"/>
      <c r="E9" s="96"/>
      <c r="F9" s="8" t="s">
        <v>44</v>
      </c>
      <c r="G9" s="9" t="s">
        <v>72</v>
      </c>
      <c r="H9" s="96"/>
    </row>
    <row r="10" spans="1:9" ht="27" customHeight="1" x14ac:dyDescent="0.2">
      <c r="A10" s="96"/>
      <c r="B10" s="96"/>
      <c r="C10" s="96"/>
      <c r="D10" s="96"/>
      <c r="E10" s="96"/>
      <c r="F10" s="12" t="s">
        <v>39</v>
      </c>
      <c r="G10" s="13" t="s">
        <v>73</v>
      </c>
      <c r="H10" s="96"/>
      <c r="I10" s="96"/>
    </row>
    <row r="11" spans="1:9" ht="27" customHeight="1" x14ac:dyDescent="0.2">
      <c r="A11" s="131"/>
      <c r="B11" s="132"/>
      <c r="C11" s="132"/>
      <c r="D11" s="96"/>
      <c r="E11" s="14"/>
      <c r="F11" s="15" t="s">
        <v>40</v>
      </c>
      <c r="G11" s="16" t="s">
        <v>74</v>
      </c>
      <c r="H11" s="14"/>
    </row>
    <row r="12" spans="1:9" ht="18.75" thickBot="1" x14ac:dyDescent="0.25">
      <c r="A12" s="17" t="s">
        <v>7</v>
      </c>
      <c r="B12" s="17" t="str">
        <f>NUMBERSTRING(F31,1)</f>
        <v>삼백칠십칠만구천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96"/>
      <c r="B13" s="96"/>
      <c r="C13" s="96"/>
      <c r="D13" s="96"/>
      <c r="E13" s="96"/>
      <c r="F13" s="96"/>
      <c r="G13" s="96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'내역서(표준단가)'!O8</f>
        <v>3660000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'내역서(표준단가)'!Q8</f>
        <v>0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'내역서(표준단가)'!S8+'내역서(표준단가)'!U8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3660000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0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65</v>
      </c>
      <c r="D22" s="46">
        <v>1</v>
      </c>
      <c r="E22" s="46" t="s">
        <v>25</v>
      </c>
      <c r="F22" s="47">
        <f>F17*3.545%</f>
        <v>0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66</v>
      </c>
      <c r="D23" s="30">
        <v>1</v>
      </c>
      <c r="E23" s="30" t="s">
        <v>25</v>
      </c>
      <c r="F23" s="43">
        <f>F22*12.95%</f>
        <v>0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0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67</v>
      </c>
      <c r="D25" s="30">
        <v>1</v>
      </c>
      <c r="E25" s="30" t="s">
        <v>25</v>
      </c>
      <c r="F25" s="43">
        <f>F17*3.56%</f>
        <v>0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100</v>
      </c>
      <c r="D26" s="30">
        <v>1</v>
      </c>
      <c r="E26" s="30" t="s">
        <v>25</v>
      </c>
      <c r="F26" s="43">
        <f>(F16+F17)*3.11%</f>
        <v>113826</v>
      </c>
      <c r="G26" s="35" t="s">
        <v>26</v>
      </c>
    </row>
    <row r="27" spans="1:7" ht="33" customHeight="1" x14ac:dyDescent="0.2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5691.3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119517.3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3779517.3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3779000</v>
      </c>
      <c r="G31" s="35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11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2"/>
  <sheetViews>
    <sheetView showGridLines="0" topLeftCell="L1" zoomScale="80" zoomScaleNormal="80" workbookViewId="0">
      <pane ySplit="4" topLeftCell="A5" activePane="bottomLeft" state="frozen"/>
      <selection pane="bottomLeft" activeCell="X11" sqref="X11"/>
    </sheetView>
  </sheetViews>
  <sheetFormatPr defaultColWidth="9" defaultRowHeight="38.1" customHeight="1" x14ac:dyDescent="0.3"/>
  <cols>
    <col min="1" max="1" width="20.875" style="127" bestFit="1" customWidth="1"/>
    <col min="2" max="5" width="18.5" style="127" hidden="1" customWidth="1"/>
    <col min="6" max="9" width="17.625" style="66" hidden="1" customWidth="1"/>
    <col min="10" max="10" width="32.125" style="115" customWidth="1"/>
    <col min="11" max="11" width="30.625" style="115" customWidth="1"/>
    <col min="12" max="12" width="5.25" style="66" bestFit="1" customWidth="1"/>
    <col min="13" max="13" width="6.125" style="66" bestFit="1" customWidth="1"/>
    <col min="14" max="14" width="13" style="66" bestFit="1" customWidth="1"/>
    <col min="15" max="15" width="15.5" style="66" bestFit="1" customWidth="1"/>
    <col min="16" max="16" width="11" style="66" bestFit="1" customWidth="1"/>
    <col min="17" max="17" width="13.125" style="66" bestFit="1" customWidth="1"/>
    <col min="18" max="18" width="12.375" style="66" hidden="1" customWidth="1"/>
    <col min="19" max="19" width="8.5" style="66" hidden="1" customWidth="1"/>
    <col min="20" max="20" width="12.625" style="66" hidden="1" customWidth="1"/>
    <col min="21" max="21" width="8.5" style="66" hidden="1" customWidth="1"/>
    <col min="22" max="22" width="16.75" style="66" bestFit="1" customWidth="1"/>
    <col min="23" max="23" width="10.75" style="67" bestFit="1" customWidth="1"/>
    <col min="24" max="24" width="23.875" style="66" bestFit="1" customWidth="1"/>
    <col min="25" max="16384" width="9" style="66"/>
  </cols>
  <sheetData>
    <row r="1" spans="1:24" ht="19.899999999999999" customHeight="1" x14ac:dyDescent="0.3">
      <c r="A1" s="139"/>
      <c r="B1" s="139"/>
      <c r="C1" s="139"/>
      <c r="D1" s="139"/>
      <c r="E1" s="139"/>
      <c r="F1" s="139"/>
      <c r="G1" s="139"/>
      <c r="H1" s="139"/>
      <c r="I1" s="139"/>
      <c r="N1" s="67"/>
      <c r="O1" s="118" t="s">
        <v>81</v>
      </c>
      <c r="Q1" s="118" t="s">
        <v>81</v>
      </c>
      <c r="S1" s="118" t="s">
        <v>81</v>
      </c>
      <c r="U1" s="118" t="s">
        <v>81</v>
      </c>
    </row>
    <row r="2" spans="1:24" ht="19.899999999999999" customHeight="1" thickBot="1" x14ac:dyDescent="0.35">
      <c r="A2" s="139"/>
      <c r="B2" s="139"/>
      <c r="C2" s="139"/>
      <c r="D2" s="139"/>
      <c r="E2" s="139"/>
      <c r="F2" s="139"/>
      <c r="G2" s="139"/>
      <c r="H2" s="139"/>
      <c r="I2" s="139"/>
      <c r="N2" s="68"/>
      <c r="O2" s="69">
        <v>0.83499999999999996</v>
      </c>
      <c r="Q2" s="69">
        <v>0.83499999999999996</v>
      </c>
      <c r="S2" s="69">
        <v>0.83499999999999996</v>
      </c>
      <c r="U2" s="69">
        <v>0.83499999999999996</v>
      </c>
    </row>
    <row r="3" spans="1:24" ht="19.899999999999999" customHeight="1" x14ac:dyDescent="0.3">
      <c r="A3" s="119"/>
      <c r="B3" s="119"/>
      <c r="C3" s="119"/>
      <c r="D3" s="119"/>
      <c r="E3" s="119"/>
      <c r="F3" s="119" t="s">
        <v>82</v>
      </c>
      <c r="G3" s="120"/>
      <c r="H3" s="120"/>
      <c r="I3" s="120"/>
      <c r="J3" s="150" t="s">
        <v>83</v>
      </c>
      <c r="K3" s="150"/>
      <c r="L3" s="148" t="s">
        <v>51</v>
      </c>
      <c r="M3" s="148" t="s">
        <v>5</v>
      </c>
      <c r="N3" s="144" t="s">
        <v>84</v>
      </c>
      <c r="O3" s="144"/>
      <c r="P3" s="144" t="s">
        <v>85</v>
      </c>
      <c r="Q3" s="144"/>
      <c r="R3" s="145" t="s">
        <v>86</v>
      </c>
      <c r="S3" s="145"/>
      <c r="T3" s="145" t="s">
        <v>87</v>
      </c>
      <c r="U3" s="145"/>
      <c r="V3" s="146" t="s">
        <v>88</v>
      </c>
      <c r="W3" s="142" t="s">
        <v>89</v>
      </c>
      <c r="X3" s="140" t="s">
        <v>45</v>
      </c>
    </row>
    <row r="4" spans="1:24" ht="19.899999999999999" customHeight="1" x14ac:dyDescent="0.3">
      <c r="A4" s="70" t="s">
        <v>90</v>
      </c>
      <c r="B4" s="71"/>
      <c r="C4" s="71"/>
      <c r="D4" s="71"/>
      <c r="E4" s="71"/>
      <c r="F4" s="72" t="s">
        <v>91</v>
      </c>
      <c r="G4" s="72" t="s">
        <v>92</v>
      </c>
      <c r="H4" s="72" t="s">
        <v>93</v>
      </c>
      <c r="I4" s="72" t="s">
        <v>94</v>
      </c>
      <c r="J4" s="116" t="s">
        <v>95</v>
      </c>
      <c r="K4" s="116" t="s">
        <v>96</v>
      </c>
      <c r="L4" s="149"/>
      <c r="M4" s="149"/>
      <c r="N4" s="73" t="s">
        <v>97</v>
      </c>
      <c r="O4" s="74" t="s">
        <v>98</v>
      </c>
      <c r="P4" s="73" t="s">
        <v>77</v>
      </c>
      <c r="Q4" s="74" t="s">
        <v>98</v>
      </c>
      <c r="R4" s="74" t="s">
        <v>99</v>
      </c>
      <c r="S4" s="74" t="s">
        <v>98</v>
      </c>
      <c r="T4" s="74" t="s">
        <v>99</v>
      </c>
      <c r="U4" s="74" t="s">
        <v>98</v>
      </c>
      <c r="V4" s="147"/>
      <c r="W4" s="143"/>
      <c r="X4" s="141"/>
    </row>
    <row r="5" spans="1:24" s="121" customFormat="1" ht="38.1" customHeight="1" x14ac:dyDescent="0.3">
      <c r="A5" s="75" t="str">
        <f t="shared" ref="A5:A6" si="0">F5&amp;G5&amp;H5&amp;I5</f>
        <v>L003</v>
      </c>
      <c r="B5" s="76"/>
      <c r="C5" s="76"/>
      <c r="D5" s="76"/>
      <c r="E5" s="76"/>
      <c r="F5" s="79"/>
      <c r="G5" s="78"/>
      <c r="H5" s="78"/>
      <c r="I5" s="79" t="s">
        <v>80</v>
      </c>
      <c r="J5" s="129" t="s">
        <v>107</v>
      </c>
      <c r="K5" s="114" t="s">
        <v>78</v>
      </c>
      <c r="L5" s="111" t="s">
        <v>75</v>
      </c>
      <c r="M5" s="113">
        <v>3</v>
      </c>
      <c r="N5" s="105"/>
      <c r="O5" s="106">
        <f t="shared" ref="O5:O6" si="1">SUM(N5:N5)*M5*$O$2</f>
        <v>0</v>
      </c>
      <c r="P5" s="107"/>
      <c r="Q5" s="106">
        <f t="shared" ref="Q5:Q6" si="2">M5*P5</f>
        <v>0</v>
      </c>
      <c r="R5" s="108"/>
      <c r="S5" s="106">
        <f t="shared" ref="S5:S7" si="3">R5*M5*$S$2</f>
        <v>0</v>
      </c>
      <c r="T5" s="108"/>
      <c r="U5" s="106">
        <f t="shared" ref="U5:U7" si="4">T5*M5*$U$2</f>
        <v>0</v>
      </c>
      <c r="V5" s="80">
        <f t="shared" ref="V5:V7" si="5">SUM(O5+Q5)+S5+U5</f>
        <v>0</v>
      </c>
      <c r="W5" s="81"/>
      <c r="X5" s="151" t="s">
        <v>110</v>
      </c>
    </row>
    <row r="6" spans="1:24" s="121" customFormat="1" ht="38.1" customHeight="1" x14ac:dyDescent="0.3">
      <c r="A6" s="75" t="str">
        <f t="shared" si="0"/>
        <v>L029</v>
      </c>
      <c r="B6" s="93"/>
      <c r="C6" s="93"/>
      <c r="D6" s="93"/>
      <c r="E6" s="93"/>
      <c r="F6" s="72"/>
      <c r="G6" s="72"/>
      <c r="H6" s="72"/>
      <c r="I6" s="79" t="s">
        <v>103</v>
      </c>
      <c r="J6" s="98" t="s">
        <v>102</v>
      </c>
      <c r="K6" s="98" t="s">
        <v>78</v>
      </c>
      <c r="L6" s="112" t="s">
        <v>75</v>
      </c>
      <c r="M6" s="113">
        <v>1</v>
      </c>
      <c r="N6" s="109"/>
      <c r="O6" s="106">
        <f t="shared" si="1"/>
        <v>0</v>
      </c>
      <c r="P6" s="104"/>
      <c r="Q6" s="106">
        <f t="shared" si="2"/>
        <v>0</v>
      </c>
      <c r="R6" s="108"/>
      <c r="S6" s="106">
        <f t="shared" si="3"/>
        <v>0</v>
      </c>
      <c r="T6" s="108"/>
      <c r="U6" s="106">
        <f t="shared" si="4"/>
        <v>0</v>
      </c>
      <c r="V6" s="94">
        <f t="shared" si="5"/>
        <v>0</v>
      </c>
      <c r="W6" s="95"/>
      <c r="X6" s="151" t="s">
        <v>110</v>
      </c>
    </row>
    <row r="7" spans="1:24" s="121" customFormat="1" ht="38.1" customHeight="1" x14ac:dyDescent="0.3">
      <c r="A7" s="75">
        <v>999999</v>
      </c>
      <c r="B7" s="76"/>
      <c r="C7" s="76"/>
      <c r="D7" s="76"/>
      <c r="E7" s="76"/>
      <c r="F7" s="77"/>
      <c r="G7" s="78"/>
      <c r="H7" s="78"/>
      <c r="I7" s="79"/>
      <c r="J7" s="114" t="s">
        <v>109</v>
      </c>
      <c r="K7" s="114" t="s">
        <v>105</v>
      </c>
      <c r="L7" s="111" t="s">
        <v>79</v>
      </c>
      <c r="M7" s="113">
        <v>1</v>
      </c>
      <c r="N7" s="109">
        <v>3660000</v>
      </c>
      <c r="O7" s="106">
        <f>M7*N7</f>
        <v>3660000</v>
      </c>
      <c r="P7" s="104"/>
      <c r="Q7" s="110"/>
      <c r="R7" s="108"/>
      <c r="S7" s="106">
        <f t="shared" si="3"/>
        <v>0</v>
      </c>
      <c r="T7" s="108"/>
      <c r="U7" s="106">
        <f t="shared" si="4"/>
        <v>0</v>
      </c>
      <c r="V7" s="80">
        <f t="shared" si="5"/>
        <v>3660000</v>
      </c>
      <c r="W7" s="81"/>
      <c r="X7" s="82"/>
    </row>
    <row r="8" spans="1:24" s="123" customFormat="1" ht="38.1" customHeight="1" x14ac:dyDescent="0.3">
      <c r="A8" s="122"/>
      <c r="B8" s="122"/>
      <c r="C8" s="122"/>
      <c r="D8" s="122"/>
      <c r="E8" s="122"/>
      <c r="J8" s="117"/>
      <c r="K8" s="117"/>
      <c r="O8" s="124">
        <f>SUM(O5:O7)</f>
        <v>3660000</v>
      </c>
      <c r="P8" s="125"/>
      <c r="Q8" s="124">
        <f>SUM(Q5:Q7)</f>
        <v>0</v>
      </c>
      <c r="R8" s="125"/>
      <c r="S8" s="124">
        <f>SUM(S5:S7)</f>
        <v>0</v>
      </c>
      <c r="T8" s="125"/>
      <c r="U8" s="124">
        <f>SUM(U5:U7)</f>
        <v>0</v>
      </c>
      <c r="V8" s="126">
        <f>SUM(V5:V7)</f>
        <v>3660000</v>
      </c>
      <c r="W8" s="83"/>
    </row>
    <row r="12" spans="1:24" ht="38.1" customHeight="1" x14ac:dyDescent="0.3">
      <c r="Q12" s="128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1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C1BCF-91AD-4709-9725-F756AB625789}">
  <sheetPr codeName="Sheet3">
    <pageSetUpPr fitToPage="1"/>
  </sheetPr>
  <dimension ref="G1:P1"/>
  <sheetViews>
    <sheetView topLeftCell="A4" zoomScale="130" zoomScaleNormal="130" zoomScaleSheetLayoutView="85" workbookViewId="0">
      <selection activeCell="G24" sqref="G24"/>
    </sheetView>
  </sheetViews>
  <sheetFormatPr defaultColWidth="9" defaultRowHeight="14.25" x14ac:dyDescent="0.3"/>
  <cols>
    <col min="1" max="1" width="11.5" style="99" bestFit="1" customWidth="1"/>
    <col min="2" max="2" width="17.875" style="99" customWidth="1"/>
    <col min="3" max="3" width="14.625" style="99" customWidth="1"/>
    <col min="4" max="4" width="10.875" style="99" customWidth="1"/>
    <col min="5" max="5" width="12" style="99" customWidth="1"/>
    <col min="6" max="6" width="10.625" style="99" customWidth="1"/>
    <col min="7" max="7" width="13.625" style="100" customWidth="1"/>
    <col min="8" max="8" width="9.625" style="99" customWidth="1"/>
    <col min="9" max="9" width="13.625" style="99" customWidth="1"/>
    <col min="10" max="10" width="12.75" style="99" customWidth="1"/>
    <col min="11" max="11" width="9.25" style="99" customWidth="1"/>
    <col min="12" max="12" width="13.625" style="100" customWidth="1"/>
    <col min="13" max="13" width="9.625" style="99" customWidth="1"/>
    <col min="14" max="14" width="13.625" style="100" customWidth="1"/>
    <col min="15" max="15" width="18.75" style="101" customWidth="1"/>
    <col min="16" max="16" width="20.875" style="101" customWidth="1"/>
    <col min="17" max="16384" width="9" style="99"/>
  </cols>
  <sheetData/>
  <phoneticPr fontId="11" type="noConversion"/>
  <pageMargins left="0.23622047244094491" right="0.23622047244094491" top="0.55118110236220474" bottom="0.55118110236220474" header="0.31496062992125984" footer="0.31496062992125984"/>
  <pageSetup paperSize="9" scale="6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102EF-017B-4FEE-A334-E138F21D9B1A}">
  <sheetPr codeName="Sheet4"/>
  <dimension ref="A1:R14"/>
  <sheetViews>
    <sheetView workbookViewId="0">
      <selection activeCell="I23" sqref="I23"/>
    </sheetView>
  </sheetViews>
  <sheetFormatPr defaultColWidth="9" defaultRowHeight="14.25" x14ac:dyDescent="0.3"/>
  <cols>
    <col min="1" max="1" width="11.125" style="102" customWidth="1"/>
    <col min="2" max="2" width="13.375" style="102" customWidth="1"/>
    <col min="3" max="3" width="29.125" style="102" bestFit="1" customWidth="1"/>
    <col min="4" max="4" width="30.875" style="102" bestFit="1" customWidth="1"/>
    <col min="5" max="5" width="5" style="102" customWidth="1"/>
    <col min="6" max="6" width="6.25" style="102" customWidth="1"/>
    <col min="7" max="7" width="13" style="102" customWidth="1"/>
    <col min="8" max="8" width="11.875" style="102" customWidth="1"/>
    <col min="9" max="9" width="10" style="102" customWidth="1"/>
    <col min="10" max="10" width="11.875" style="102" customWidth="1"/>
    <col min="11" max="11" width="10" style="102" customWidth="1"/>
    <col min="12" max="12" width="11.875" style="102" customWidth="1"/>
    <col min="13" max="13" width="10" style="102" customWidth="1"/>
    <col min="14" max="14" width="11.875" style="102" customWidth="1"/>
    <col min="15" max="15" width="9.125" style="102" customWidth="1"/>
    <col min="16" max="16" width="11.5" style="102" customWidth="1"/>
    <col min="17" max="17" width="11.75" style="102" customWidth="1"/>
    <col min="18" max="18" width="17.875" style="102" customWidth="1"/>
    <col min="19" max="16384" width="9" style="102"/>
  </cols>
  <sheetData>
    <row r="1" spans="1:18" ht="18" customHeight="1" x14ac:dyDescent="0.3">
      <c r="A1" s="89" t="s">
        <v>47</v>
      </c>
      <c r="B1" s="89" t="s">
        <v>48</v>
      </c>
      <c r="C1" s="89" t="s">
        <v>49</v>
      </c>
      <c r="D1" s="89" t="s">
        <v>50</v>
      </c>
      <c r="E1" s="89" t="s">
        <v>51</v>
      </c>
      <c r="F1" s="89" t="s">
        <v>5</v>
      </c>
      <c r="G1" s="89" t="s">
        <v>52</v>
      </c>
      <c r="H1" s="89" t="s">
        <v>53</v>
      </c>
      <c r="I1" s="89" t="s">
        <v>54</v>
      </c>
      <c r="J1" s="89" t="s">
        <v>55</v>
      </c>
      <c r="K1" s="89" t="s">
        <v>56</v>
      </c>
      <c r="L1" s="89" t="s">
        <v>57</v>
      </c>
      <c r="M1" s="89" t="s">
        <v>58</v>
      </c>
      <c r="N1" s="89" t="s">
        <v>59</v>
      </c>
      <c r="O1" s="89" t="s">
        <v>60</v>
      </c>
      <c r="P1" s="89" t="s">
        <v>61</v>
      </c>
      <c r="Q1" s="89" t="s">
        <v>62</v>
      </c>
      <c r="R1" s="89" t="s">
        <v>63</v>
      </c>
    </row>
    <row r="2" spans="1:18" ht="18" customHeight="1" x14ac:dyDescent="0.3">
      <c r="A2" s="66">
        <v>999999</v>
      </c>
      <c r="B2" s="67" t="s">
        <v>76</v>
      </c>
      <c r="C2" s="84" t="s">
        <v>104</v>
      </c>
      <c r="D2" s="85" t="s">
        <v>106</v>
      </c>
      <c r="E2" s="86" t="s">
        <v>79</v>
      </c>
      <c r="F2" s="87">
        <v>1</v>
      </c>
      <c r="G2" s="88">
        <v>3660000</v>
      </c>
      <c r="H2" s="88"/>
      <c r="I2" s="88"/>
      <c r="J2" s="88"/>
      <c r="K2" s="88"/>
      <c r="L2" s="88"/>
      <c r="M2" s="88"/>
      <c r="N2" s="88"/>
      <c r="O2" s="88"/>
      <c r="P2" s="86"/>
      <c r="Q2" s="86"/>
      <c r="R2" s="86"/>
    </row>
    <row r="3" spans="1:18" x14ac:dyDescent="0.3">
      <c r="G3" s="88"/>
      <c r="H3" s="88"/>
      <c r="I3" s="88"/>
      <c r="J3" s="88"/>
      <c r="K3" s="88"/>
      <c r="L3" s="88"/>
      <c r="M3" s="88"/>
      <c r="N3" s="88"/>
      <c r="O3" s="88"/>
    </row>
    <row r="4" spans="1:18" x14ac:dyDescent="0.3">
      <c r="G4" s="88"/>
      <c r="H4" s="88"/>
      <c r="I4" s="88"/>
      <c r="J4" s="88"/>
      <c r="K4" s="88"/>
      <c r="L4" s="88"/>
      <c r="M4" s="88"/>
      <c r="N4" s="88"/>
      <c r="O4" s="88"/>
    </row>
    <row r="5" spans="1:18" x14ac:dyDescent="0.3">
      <c r="G5" s="88"/>
      <c r="H5" s="88"/>
      <c r="I5" s="88"/>
      <c r="J5" s="88"/>
      <c r="K5" s="88"/>
      <c r="L5" s="88"/>
      <c r="M5" s="88"/>
      <c r="N5" s="88"/>
      <c r="O5" s="88"/>
    </row>
    <row r="6" spans="1:18" x14ac:dyDescent="0.3">
      <c r="G6" s="88"/>
      <c r="H6" s="88"/>
      <c r="I6" s="88"/>
      <c r="J6" s="88"/>
      <c r="K6" s="88"/>
      <c r="L6" s="88"/>
      <c r="M6" s="88"/>
      <c r="N6" s="88"/>
      <c r="O6" s="88"/>
    </row>
    <row r="7" spans="1:18" x14ac:dyDescent="0.3">
      <c r="G7" s="88"/>
      <c r="H7" s="88"/>
      <c r="I7" s="88"/>
      <c r="J7" s="88"/>
      <c r="K7" s="88"/>
      <c r="L7" s="88"/>
      <c r="M7" s="88"/>
      <c r="N7" s="88"/>
      <c r="O7" s="88"/>
    </row>
    <row r="8" spans="1:18" x14ac:dyDescent="0.3">
      <c r="G8" s="88"/>
      <c r="H8" s="88"/>
      <c r="I8" s="88"/>
      <c r="J8" s="88"/>
      <c r="K8" s="88"/>
      <c r="L8" s="88"/>
      <c r="M8" s="88"/>
      <c r="N8" s="88"/>
      <c r="O8" s="88"/>
    </row>
    <row r="9" spans="1:18" x14ac:dyDescent="0.3">
      <c r="G9" s="88"/>
      <c r="H9" s="88"/>
      <c r="I9" s="88"/>
      <c r="J9" s="88"/>
      <c r="K9" s="88"/>
      <c r="L9" s="88"/>
      <c r="M9" s="88"/>
      <c r="N9" s="88"/>
      <c r="O9" s="88"/>
    </row>
    <row r="10" spans="1:18" x14ac:dyDescent="0.3">
      <c r="G10" s="88"/>
      <c r="H10" s="88"/>
      <c r="I10" s="88"/>
      <c r="J10" s="88"/>
      <c r="K10" s="88"/>
      <c r="L10" s="88"/>
      <c r="M10" s="88"/>
      <c r="N10" s="88"/>
      <c r="O10" s="88"/>
    </row>
    <row r="11" spans="1:18" x14ac:dyDescent="0.3">
      <c r="G11" s="88"/>
      <c r="H11" s="88"/>
      <c r="I11" s="88"/>
      <c r="J11" s="88"/>
      <c r="K11" s="88"/>
      <c r="L11" s="88"/>
      <c r="M11" s="88"/>
      <c r="N11" s="88"/>
      <c r="O11" s="88"/>
    </row>
    <row r="12" spans="1:18" x14ac:dyDescent="0.3">
      <c r="G12" s="88"/>
      <c r="H12" s="88"/>
      <c r="I12" s="88"/>
      <c r="J12" s="88"/>
      <c r="K12" s="88"/>
      <c r="L12" s="88"/>
      <c r="M12" s="88"/>
      <c r="N12" s="88"/>
      <c r="O12" s="88"/>
    </row>
    <row r="13" spans="1:18" x14ac:dyDescent="0.3">
      <c r="G13" s="88"/>
      <c r="H13" s="88"/>
      <c r="I13" s="88"/>
      <c r="J13" s="88"/>
      <c r="K13" s="88"/>
      <c r="L13" s="88"/>
      <c r="M13" s="88"/>
      <c r="N13" s="88"/>
      <c r="O13" s="88"/>
    </row>
    <row r="14" spans="1:18" x14ac:dyDescent="0.3">
      <c r="G14" s="103"/>
      <c r="H14" s="103"/>
      <c r="I14" s="103"/>
      <c r="J14" s="103"/>
      <c r="K14" s="103"/>
      <c r="L14" s="103"/>
      <c r="M14" s="103"/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F3"/>
  <sheetViews>
    <sheetView showGridLines="0" zoomScaleNormal="100" workbookViewId="0">
      <selection activeCell="I24" sqref="I24"/>
    </sheetView>
  </sheetViews>
  <sheetFormatPr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7.5" style="65" customWidth="1"/>
    <col min="7" max="16384" width="9" style="102"/>
  </cols>
  <sheetData>
    <row r="1" spans="1:6" ht="18" customHeight="1" x14ac:dyDescent="0.3">
      <c r="A1" s="90" t="s">
        <v>0</v>
      </c>
      <c r="B1" s="90" t="s">
        <v>1</v>
      </c>
      <c r="C1" s="90" t="s">
        <v>2</v>
      </c>
      <c r="D1" s="90" t="s">
        <v>3</v>
      </c>
      <c r="E1" s="90" t="s">
        <v>4</v>
      </c>
      <c r="F1" s="90" t="s">
        <v>5</v>
      </c>
    </row>
    <row r="2" spans="1:6" x14ac:dyDescent="0.3">
      <c r="A2" s="91" t="str">
        <f>'내역서(표준단가)'!A5</f>
        <v>L003</v>
      </c>
      <c r="B2" s="92">
        <f>'내역서(표준단가)'!F5</f>
        <v>0</v>
      </c>
      <c r="C2" s="92">
        <f>'내역서(표준단가)'!G5</f>
        <v>0</v>
      </c>
      <c r="D2" s="92">
        <f>'내역서(표준단가)'!H5</f>
        <v>0</v>
      </c>
      <c r="E2" s="92" t="str">
        <f>'내역서(표준단가)'!I5</f>
        <v>L003</v>
      </c>
      <c r="F2" s="92">
        <f>'내역서(표준단가)'!M5</f>
        <v>3</v>
      </c>
    </row>
    <row r="3" spans="1:6" x14ac:dyDescent="0.3">
      <c r="A3" s="91" t="str">
        <f>'내역서(표준단가)'!A6</f>
        <v>L029</v>
      </c>
      <c r="B3" s="92">
        <f>'내역서(표준단가)'!F6</f>
        <v>0</v>
      </c>
      <c r="C3" s="92">
        <f>'내역서(표준단가)'!G6</f>
        <v>0</v>
      </c>
      <c r="D3" s="92">
        <f>'내역서(표준단가)'!H6</f>
        <v>0</v>
      </c>
      <c r="E3" s="92" t="str">
        <f>'내역서(표준단가)'!I6</f>
        <v>L029</v>
      </c>
      <c r="F3" s="92">
        <f>'내역서(표준단가)'!M6</f>
        <v>1</v>
      </c>
    </row>
  </sheetData>
  <phoneticPr fontId="1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2025-11-05T02:08:03Z</dcterms:modified>
</cp:coreProperties>
</file>
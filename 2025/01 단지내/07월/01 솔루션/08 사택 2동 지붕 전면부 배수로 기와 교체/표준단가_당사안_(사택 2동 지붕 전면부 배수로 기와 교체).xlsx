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6월\01 솔루션\17 사택 2동 지붕 전면부 배수로 기와 교체\"/>
    </mc:Choice>
  </mc:AlternateContent>
  <xr:revisionPtr revIDLastSave="0" documentId="13_ncr:1_{89564276-A988-4C9E-89C2-1EED995FF099}" xr6:coauthVersionLast="47" xr6:coauthVersionMax="47" xr10:uidLastSave="{00000000-0000-0000-0000-000000000000}"/>
  <bookViews>
    <workbookView xWindow="14310" yWindow="0" windowWidth="14490" windowHeight="15480" firstSheet="2" activeTab="3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" sheetId="6" r:id="rId4"/>
    <sheet name="Upload-RS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4" l="1"/>
  <c r="A14" i="4"/>
  <c r="A11" i="1" s="1"/>
  <c r="A13" i="4"/>
  <c r="A12" i="4"/>
  <c r="A9" i="1" s="1"/>
  <c r="A11" i="4"/>
  <c r="A10" i="4"/>
  <c r="A9" i="4"/>
  <c r="A6" i="1" s="1"/>
  <c r="A8" i="4"/>
  <c r="A5" i="1" s="1"/>
  <c r="A7" i="4"/>
  <c r="A6" i="4"/>
  <c r="F12" i="1"/>
  <c r="E12" i="1"/>
  <c r="D12" i="1"/>
  <c r="C12" i="1"/>
  <c r="B12" i="1"/>
  <c r="A12" i="1"/>
  <c r="F11" i="1"/>
  <c r="E11" i="1"/>
  <c r="D11" i="1"/>
  <c r="C11" i="1"/>
  <c r="B11" i="1"/>
  <c r="F10" i="1"/>
  <c r="E10" i="1"/>
  <c r="D10" i="1"/>
  <c r="C10" i="1"/>
  <c r="B10" i="1"/>
  <c r="A10" i="1"/>
  <c r="F9" i="1"/>
  <c r="E9" i="1"/>
  <c r="D9" i="1"/>
  <c r="C9" i="1"/>
  <c r="B9" i="1"/>
  <c r="F8" i="1"/>
  <c r="E8" i="1"/>
  <c r="D8" i="1"/>
  <c r="C8" i="1"/>
  <c r="B8" i="1"/>
  <c r="A8" i="1"/>
  <c r="F7" i="1"/>
  <c r="E7" i="1"/>
  <c r="D7" i="1"/>
  <c r="C7" i="1"/>
  <c r="B7" i="1"/>
  <c r="A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A4" i="1"/>
  <c r="F3" i="1"/>
  <c r="E3" i="1"/>
  <c r="D3" i="1"/>
  <c r="C3" i="1"/>
  <c r="B3" i="1"/>
  <c r="A3" i="1"/>
  <c r="S16" i="4"/>
  <c r="V16" i="4" s="1"/>
  <c r="U15" i="4"/>
  <c r="S15" i="4"/>
  <c r="Q15" i="4"/>
  <c r="O15" i="4"/>
  <c r="V15" i="4" l="1"/>
  <c r="O12" i="4" l="1"/>
  <c r="V12" i="4" s="1"/>
  <c r="O7" i="4"/>
  <c r="V7" i="4" s="1"/>
  <c r="Q13" i="4"/>
  <c r="Q14" i="4"/>
  <c r="O17" i="4" l="1"/>
  <c r="V17" i="4" s="1"/>
  <c r="A17" i="4"/>
  <c r="O14" i="4"/>
  <c r="V14" i="4" s="1"/>
  <c r="O13" i="4"/>
  <c r="V13" i="4" s="1"/>
  <c r="O11" i="4"/>
  <c r="V11" i="4" s="1"/>
  <c r="O10" i="4"/>
  <c r="V10" i="4" s="1"/>
  <c r="O9" i="4"/>
  <c r="V9" i="4" s="1"/>
  <c r="O8" i="4"/>
  <c r="V8" i="4" s="1"/>
  <c r="O6" i="4"/>
  <c r="V6" i="4" s="1"/>
  <c r="U5" i="4"/>
  <c r="S5" i="4"/>
  <c r="Q5" i="4"/>
  <c r="O5" i="4"/>
  <c r="A5" i="4"/>
  <c r="V5" i="4" l="1"/>
  <c r="F2" i="1" l="1"/>
  <c r="E2" i="1"/>
  <c r="D2" i="1"/>
  <c r="C2" i="1"/>
  <c r="B2" i="1"/>
  <c r="A2" i="1"/>
  <c r="U18" i="4" l="1"/>
  <c r="Q18" i="4"/>
  <c r="S18" i="4" l="1"/>
  <c r="V18" i="4" l="1"/>
  <c r="F18" i="5" l="1"/>
  <c r="O18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<sst xmlns="http://schemas.openxmlformats.org/spreadsheetml/2006/main" count="180" uniqueCount="153">
  <si>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</si>
  <si>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</si>
  <si>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</si>
  <si>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</si>
  <si>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</si>
  <si>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</si>
  <si>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3" type="noConversion"/>
  </si>
  <si>
    <t xml:space="preserve">금액: </t>
    <phoneticPr fontId="13" type="noConversion"/>
  </si>
  <si>
    <t>원정</t>
    <phoneticPr fontId="15" type="noConversion"/>
  </si>
  <si>
    <t xml:space="preserve">  </t>
  </si>
  <si>
    <t>NO</t>
  </si>
  <si>
    <t>품명</t>
    <phoneticPr fontId="15" type="noConversion"/>
  </si>
  <si>
    <t>규격</t>
    <phoneticPr fontId="15" type="noConversion"/>
  </si>
  <si>
    <t>수량</t>
    <phoneticPr fontId="15" type="noConversion"/>
  </si>
  <si>
    <t>단위</t>
    <phoneticPr fontId="15" type="noConversion"/>
  </si>
  <si>
    <t>금액</t>
    <phoneticPr fontId="15" type="noConversion"/>
  </si>
  <si>
    <t>비고</t>
    <phoneticPr fontId="15" type="noConversion"/>
  </si>
  <si>
    <t>직접비</t>
    <phoneticPr fontId="13" type="noConversion"/>
  </si>
  <si>
    <t>재료비</t>
    <phoneticPr fontId="13" type="noConversion"/>
  </si>
  <si>
    <t>노무비</t>
    <phoneticPr fontId="15" type="noConversion"/>
  </si>
  <si>
    <t>기계/기타경비</t>
    <phoneticPr fontId="13" type="noConversion"/>
  </si>
  <si>
    <t>소계</t>
    <phoneticPr fontId="13" type="noConversion"/>
  </si>
  <si>
    <t>간접비</t>
    <phoneticPr fontId="13" type="noConversion"/>
  </si>
  <si>
    <t>  국민연금</t>
    <phoneticPr fontId="15" type="noConversion"/>
  </si>
  <si>
    <t> 노무비*4.5%</t>
    <phoneticPr fontId="15" type="noConversion"/>
  </si>
  <si>
    <t>식</t>
    <phoneticPr fontId="15" type="noConversion"/>
  </si>
  <si>
    <t>모든공사에 적용</t>
    <phoneticPr fontId="15" type="noConversion"/>
  </si>
  <si>
    <t>  건강보험료</t>
    <phoneticPr fontId="15" type="noConversion"/>
  </si>
  <si>
    <t>모든공사에 적용</t>
    <phoneticPr fontId="15" type="noConversion"/>
  </si>
  <si>
    <t>  장기요양보험료</t>
    <phoneticPr fontId="15" type="noConversion"/>
  </si>
  <si>
    <t>  고용보험료</t>
    <phoneticPr fontId="15" type="noConversion"/>
  </si>
  <si>
    <t>  산재보험료</t>
    <phoneticPr fontId="15" type="noConversion"/>
  </si>
  <si>
    <t xml:space="preserve">  산업안전보건관리비</t>
    <phoneticPr fontId="15" type="noConversion"/>
  </si>
  <si>
    <t>소계</t>
    <phoneticPr fontId="13" type="noConversion"/>
  </si>
  <si>
    <t>합계(단수조정)</t>
    <phoneticPr fontId="13" type="noConversion"/>
  </si>
  <si>
    <t>VAT별도</t>
    <phoneticPr fontId="15" type="noConversion"/>
  </si>
  <si>
    <t>일반관리비/이윤</t>
    <phoneticPr fontId="15" type="noConversion"/>
  </si>
  <si>
    <t> (노무비+간접공사비)*5%</t>
    <phoneticPr fontId="15" type="noConversion"/>
  </si>
  <si>
    <t>등록번호</t>
    <phoneticPr fontId="9" type="noConversion"/>
  </si>
  <si>
    <t>종 목</t>
    <phoneticPr fontId="9" type="noConversion"/>
  </si>
  <si>
    <t>TEL, FAX</t>
    <phoneticPr fontId="9" type="noConversion"/>
  </si>
  <si>
    <t>상 호</t>
    <phoneticPr fontId="9" type="noConversion"/>
  </si>
  <si>
    <t>대표 이사</t>
    <phoneticPr fontId="9" type="noConversion"/>
  </si>
  <si>
    <t>사업장</t>
    <phoneticPr fontId="9" type="noConversion"/>
  </si>
  <si>
    <t>업 태</t>
    <phoneticPr fontId="9" type="noConversion"/>
  </si>
  <si>
    <t>할증기준</t>
    <phoneticPr fontId="7" type="noConversion"/>
  </si>
  <si>
    <t> 노무비*1.01%</t>
    <phoneticPr fontId="15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</si>
  <si>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</si>
  <si>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</si>
  <si>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</si>
  <si>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</si>
  <si>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</si>
  <si>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</si>
  <si>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</si>
  <si>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</si>
  <si>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</si>
  <si>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</si>
  <si>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</si>
  <si>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</si>
  <si>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</si>
  <si>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</si>
  <si>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</si>
  <si>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</si>
  <si>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</si>
  <si>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3" type="noConversion"/>
  </si>
  <si>
    <t> 노무비*3.545%</t>
    <phoneticPr fontId="15" type="noConversion"/>
  </si>
  <si>
    <t> 건강보험료*12.95%</t>
    <phoneticPr fontId="15" type="noConversion"/>
  </si>
  <si>
    <t> 노무비*3.56%</t>
    <phoneticPr fontId="15" type="noConversion"/>
  </si>
  <si>
    <t>314-86-35718</t>
    <phoneticPr fontId="7" type="noConversion"/>
  </si>
  <si>
    <t>㈜일성건축</t>
    <phoneticPr fontId="7" type="noConversion"/>
  </si>
  <si>
    <t>상 석 희</t>
    <phoneticPr fontId="7" type="noConversion"/>
  </si>
  <si>
    <t>대전 서구 도마6길 107 (도마동)</t>
    <phoneticPr fontId="7" type="noConversion"/>
  </si>
  <si>
    <t>건설업</t>
    <phoneticPr fontId="7" type="noConversion"/>
  </si>
  <si>
    <t>실내건축,인테리어공사</t>
    <phoneticPr fontId="7" type="noConversion"/>
  </si>
  <si>
    <t>042)527-0995, 042)527-0996</t>
    <phoneticPr fontId="7" type="noConversion"/>
  </si>
  <si>
    <t>영선, 건축</t>
    <phoneticPr fontId="7" type="noConversion"/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</si>
  <si>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</si>
  <si>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</si>
  <si>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</si>
  <si>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</si>
  <si>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</si>
  <si>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</si>
  <si>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</si>
  <si>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</si>
  <si>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</si>
  <si>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</si>
  <si>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</si>
  <si>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</si>
  <si>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</si>
  <si>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</si>
  <si>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</si>
  <si>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</si>
  <si>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</si>
  <si>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</si>
  <si>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</si>
  <si>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</si>
  <si>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L003</t>
  </si>
  <si>
    <t> (재료비+노무비)*3.11%</t>
    <phoneticPr fontId="15" type="noConversion"/>
  </si>
  <si>
    <t xml:space="preserve"> 견적일 : 2025년  05월  28일</t>
    <phoneticPr fontId="13" type="noConversion"/>
  </si>
  <si>
    <t xml:space="preserve"> 공사명 : 사택 2동 지붕 전면 배수로 기와교체 외</t>
    <phoneticPr fontId="13" type="noConversion"/>
  </si>
  <si>
    <t>5㎏</t>
  </si>
  <si>
    <t>KSM6010-1종-2급, 백색, 콘크리트 시멘트몰탈내 외부 18ℓ</t>
  </si>
  <si>
    <t>통</t>
  </si>
  <si>
    <t>일</t>
    <phoneticPr fontId="7" type="noConversion"/>
  </si>
  <si>
    <t>TON</t>
  </si>
  <si>
    <t>■ 사다리차 전문업체 견적서(999999)</t>
    <phoneticPr fontId="9" type="noConversion"/>
  </si>
  <si>
    <t>코드</t>
    <phoneticPr fontId="9" type="noConversion"/>
  </si>
  <si>
    <t>품목</t>
    <phoneticPr fontId="9" type="noConversion"/>
  </si>
  <si>
    <t>규격</t>
    <phoneticPr fontId="9" type="noConversion"/>
  </si>
  <si>
    <t>적용기준</t>
    <phoneticPr fontId="9" type="noConversion"/>
  </si>
  <si>
    <t>스카이 임대</t>
    <phoneticPr fontId="9" type="noConversion"/>
  </si>
  <si>
    <t>시중가</t>
    <phoneticPr fontId="9" type="noConversion"/>
  </si>
  <si>
    <t xml:space="preserve">5ton </t>
    <phoneticPr fontId="9" type="noConversion"/>
  </si>
  <si>
    <t>5톤  2023년 전문업체 견적서 첨부</t>
    <phoneticPr fontId="7" type="noConversion"/>
  </si>
  <si>
    <t>고소 30% 할증</t>
    <phoneticPr fontId="7" type="noConversion"/>
  </si>
  <si>
    <t>E00000801011510201</t>
  </si>
  <si>
    <t>건출물 현장정리</t>
  </si>
  <si>
    <t>철근콘크리트조·철골·철근콘크리트조</t>
  </si>
  <si>
    <t>(연면적 ㎡ 당)</t>
  </si>
  <si>
    <t>M010551316300101</t>
  </si>
  <si>
    <t>석재용에폭시본드</t>
  </si>
  <si>
    <t>석재용, 앙카용 타일 접착제(주제 10㎏+ 경화제 10㎏)</t>
  </si>
  <si>
    <t>Set</t>
  </si>
  <si>
    <t>M010550114050101</t>
  </si>
  <si>
    <t>REMIFLOW</t>
  </si>
  <si>
    <t>REMIFLOW FS100, 일반 바닥미장용</t>
  </si>
  <si>
    <t>40㎏/포</t>
  </si>
  <si>
    <t>M020251411630101</t>
  </si>
  <si>
    <t>다우실 988</t>
  </si>
  <si>
    <t>1액형 실리콘, 비오염성 실리콘, 석재 조인트용</t>
  </si>
  <si>
    <t>270㎖</t>
  </si>
  <si>
    <t>M020412114290101</t>
  </si>
  <si>
    <t>숲으로에이스 외부용</t>
  </si>
  <si>
    <t>M020412613720101</t>
  </si>
  <si>
    <t>슬레이트기와용 페인트</t>
  </si>
  <si>
    <t>KSM-6020, (4종), 주홍색</t>
  </si>
  <si>
    <t>18ℓ</t>
  </si>
  <si>
    <t>M020413111390101</t>
  </si>
  <si>
    <t>발수재</t>
  </si>
  <si>
    <t>믹싱리퀴드100, 수성도료용 하도</t>
  </si>
  <si>
    <t>L002</t>
  </si>
  <si>
    <t>시중노임단가</t>
    <phoneticPr fontId="7" type="noConversion"/>
  </si>
  <si>
    <t>보통인부, 1인*5일=5인</t>
    <phoneticPr fontId="7" type="noConversion"/>
  </si>
  <si>
    <t>특별인부, 3인*5일 작업=15인, 고소할증 적용</t>
    <phoneticPr fontId="7" type="noConversion"/>
  </si>
  <si>
    <t>M020412311620102</t>
  </si>
  <si>
    <t>숲으로 퍼티</t>
  </si>
  <si>
    <t>외부용</t>
  </si>
  <si>
    <t>M020806810430101</t>
  </si>
  <si>
    <t>STEEL CONCORE PANEL 기준, (소운반비별도), 적용</t>
    <phoneticPr fontId="7" type="noConversion"/>
  </si>
  <si>
    <t>산업폐기물처리비=기와 폐기물 적용</t>
    <phoneticPr fontId="7" type="noConversion"/>
  </si>
  <si>
    <t xml:space="preserve">스카이, 5일 작업 </t>
    <phoneticPr fontId="7" type="noConversion"/>
  </si>
  <si>
    <t>인</t>
    <phoneticPr fontId="7" type="noConversion"/>
  </si>
  <si>
    <t>대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</si>
</sst>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###,###,###,##0"/>
    <numFmt numFmtId="188" formatCode="0.0_);[Red]\(0.0\)"/>
    <numFmt numFmtId="189" formatCode="_-&quot;₩&quot;* #,##0.000_-;\-&quot;₩&quot;* #,##0.000_-;_-&quot;₩&quot;* &quot;-&quot;???_-;_-@_-"/>
  </numFmts>
  <fonts count="5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9"/>
      <color rgb="FF00000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9"/>
      <color indexed="8"/>
      <name val="맑은 고딕"/>
      <family val="3"/>
      <charset val="129"/>
    </font>
    <font>
      <sz val="9"/>
      <color indexed="8"/>
      <name val="맑은 고딕"/>
      <family val="3"/>
      <charset val="129"/>
      <scheme val="major"/>
    </font>
    <font>
      <sz val="9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9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indexed="8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0"/>
      <color indexed="8"/>
      <name val="맑은 고딕"/>
      <family val="2"/>
      <scheme val="minor"/>
    </font>
    <font>
      <sz val="9"/>
      <color rgb="FF000000"/>
      <name val="Malgun Gothic"/>
      <family val="3"/>
      <charset val="129"/>
    </font>
    <font>
      <sz val="10"/>
      <color indexed="8"/>
      <name val="굴림"/>
      <family val="3"/>
      <charset val="129"/>
    </font>
    <font>
      <sz val="10"/>
      <color theme="1"/>
      <name val="굴림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</borders>
  <cellStyleXfs count="23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/>
    <xf numFmtId="0" fontId="12" fillId="0" borderId="0"/>
    <xf numFmtId="180" fontId="12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9" fillId="0" borderId="0"/>
    <xf numFmtId="177" fontId="19" fillId="0" borderId="0" applyFont="0" applyFill="0" applyBorder="0" applyAlignment="0" applyProtection="0"/>
    <xf numFmtId="176" fontId="19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</cellStyleXfs>
  <cellXfs count="198">
    <xf numFmtId="0" fontId="0" fillId="0" borderId="0" xfId="0">
      <alignment vertical="center"/>
    </xf>
    <xf numFmtId="0" fontId="14" fillId="0" borderId="7" xfId="6" applyFont="1" applyBorder="1" applyAlignment="1">
      <alignment horizontal="right" vertical="center"/>
    </xf>
    <xf numFmtId="0" fontId="20" fillId="0" borderId="0" xfId="6" applyFont="1" applyAlignment="1">
      <alignment vertical="center"/>
    </xf>
    <xf numFmtId="0" fontId="21" fillId="0" borderId="0" xfId="3" applyFont="1"/>
    <xf numFmtId="0" fontId="22" fillId="0" borderId="5" xfId="6" applyFont="1" applyBorder="1" applyAlignment="1">
      <alignment horizontal="center" vertical="center"/>
    </xf>
    <xf numFmtId="0" fontId="14" fillId="0" borderId="6" xfId="6" applyFont="1" applyBorder="1" applyAlignment="1">
      <alignment horizontal="right" vertical="center"/>
    </xf>
    <xf numFmtId="0" fontId="14" fillId="5" borderId="25" xfId="6" applyFont="1" applyFill="1" applyBorder="1" applyAlignment="1">
      <alignment horizontal="center" vertical="center"/>
    </xf>
    <xf numFmtId="0" fontId="14" fillId="5" borderId="26" xfId="6" applyFont="1" applyFill="1" applyBorder="1" applyAlignment="1">
      <alignment vertical="center" shrinkToFit="1"/>
    </xf>
    <xf numFmtId="0" fontId="14" fillId="5" borderId="2" xfId="6" applyFont="1" applyFill="1" applyBorder="1" applyAlignment="1">
      <alignment horizontal="center" vertical="center"/>
    </xf>
    <xf numFmtId="0" fontId="14" fillId="5" borderId="27" xfId="6" applyFont="1" applyFill="1" applyBorder="1" applyAlignment="1">
      <alignment vertical="center" shrinkToFit="1"/>
    </xf>
    <xf numFmtId="0" fontId="23" fillId="0" borderId="0" xfId="6" applyFont="1" applyAlignment="1">
      <alignment vertical="center" shrinkToFit="1"/>
    </xf>
    <xf numFmtId="0" fontId="14" fillId="5" borderId="2" xfId="6" applyFont="1" applyFill="1" applyBorder="1" applyAlignment="1">
      <alignment horizontal="center" vertical="center" shrinkToFit="1"/>
    </xf>
    <xf numFmtId="0" fontId="14" fillId="0" borderId="2" xfId="6" applyFont="1" applyBorder="1" applyAlignment="1">
      <alignment horizontal="center" vertical="center"/>
    </xf>
    <xf numFmtId="0" fontId="14" fillId="0" borderId="27" xfId="6" applyFont="1" applyBorder="1" applyAlignment="1">
      <alignment vertical="center"/>
    </xf>
    <xf numFmtId="0" fontId="22" fillId="0" borderId="0" xfId="6" applyFont="1" applyAlignment="1">
      <alignment horizontal="center" vertical="center" shrinkToFit="1"/>
    </xf>
    <xf numFmtId="0" fontId="14" fillId="0" borderId="28" xfId="6" applyFont="1" applyBorder="1" applyAlignment="1">
      <alignment horizontal="center" vertical="center" shrinkToFit="1"/>
    </xf>
    <xf numFmtId="0" fontId="14" fillId="0" borderId="29" xfId="6" applyFont="1" applyBorder="1" applyAlignment="1">
      <alignment vertical="center" shrinkToFit="1"/>
    </xf>
    <xf numFmtId="0" fontId="23" fillId="0" borderId="7" xfId="6" applyFont="1" applyBorder="1" applyAlignment="1">
      <alignment vertical="center"/>
    </xf>
    <xf numFmtId="179" fontId="22" fillId="0" borderId="7" xfId="6" applyNumberFormat="1" applyFont="1" applyBorder="1" applyAlignment="1">
      <alignment vertical="center"/>
    </xf>
    <xf numFmtId="0" fontId="22" fillId="0" borderId="0" xfId="6" applyFont="1" applyAlignment="1">
      <alignment vertical="center" shrinkToFit="1"/>
    </xf>
    <xf numFmtId="0" fontId="14" fillId="0" borderId="8" xfId="6" applyFont="1" applyBorder="1" applyAlignment="1">
      <alignment horizontal="center" vertical="center"/>
    </xf>
    <xf numFmtId="0" fontId="14" fillId="0" borderId="9" xfId="6" applyFont="1" applyBorder="1" applyAlignment="1">
      <alignment horizontal="center" vertical="center"/>
    </xf>
    <xf numFmtId="0" fontId="14" fillId="0" borderId="10" xfId="6" applyFont="1" applyBorder="1" applyAlignment="1">
      <alignment horizontal="center" vertical="center"/>
    </xf>
    <xf numFmtId="0" fontId="24" fillId="0" borderId="11" xfId="6" applyFont="1" applyBorder="1" applyAlignment="1">
      <alignment horizontal="center" vertical="center"/>
    </xf>
    <xf numFmtId="0" fontId="14" fillId="0" borderId="12" xfId="6" applyFont="1" applyBorder="1" applyAlignment="1">
      <alignment vertical="center"/>
    </xf>
    <xf numFmtId="0" fontId="24" fillId="0" borderId="12" xfId="6" applyFont="1" applyBorder="1" applyAlignment="1">
      <alignment vertical="center"/>
    </xf>
    <xf numFmtId="1" fontId="24" fillId="0" borderId="12" xfId="6" applyNumberFormat="1" applyFont="1" applyBorder="1" applyAlignment="1">
      <alignment horizontal="center" vertical="center"/>
    </xf>
    <xf numFmtId="180" fontId="24" fillId="0" borderId="12" xfId="7" applyFont="1" applyBorder="1" applyAlignment="1">
      <alignment horizontal="right" vertical="center"/>
    </xf>
    <xf numFmtId="0" fontId="24" fillId="0" borderId="13" xfId="6" applyFont="1" applyBorder="1" applyAlignment="1">
      <alignment vertical="center"/>
    </xf>
    <xf numFmtId="0" fontId="24" fillId="0" borderId="14" xfId="6" applyFont="1" applyBorder="1" applyAlignment="1">
      <alignment horizontal="center" vertical="center"/>
    </xf>
    <xf numFmtId="0" fontId="24" fillId="0" borderId="15" xfId="6" applyFont="1" applyBorder="1" applyAlignment="1">
      <alignment horizontal="center" vertical="center"/>
    </xf>
    <xf numFmtId="0" fontId="24" fillId="0" borderId="15" xfId="3" applyFont="1" applyBorder="1" applyAlignment="1">
      <alignment horizontal="center" vertical="center"/>
    </xf>
    <xf numFmtId="1" fontId="24" fillId="0" borderId="15" xfId="6" applyNumberFormat="1" applyFont="1" applyBorder="1" applyAlignment="1">
      <alignment horizontal="center" vertical="center"/>
    </xf>
    <xf numFmtId="180" fontId="24" fillId="0" borderId="15" xfId="7" applyFont="1" applyBorder="1" applyAlignment="1">
      <alignment horizontal="right" vertical="center"/>
    </xf>
    <xf numFmtId="0" fontId="24" fillId="0" borderId="16" xfId="6" quotePrefix="1" applyFont="1" applyBorder="1" applyAlignment="1">
      <alignment vertical="center"/>
    </xf>
    <xf numFmtId="0" fontId="24" fillId="0" borderId="16" xfId="6" applyFont="1" applyBorder="1" applyAlignment="1">
      <alignment vertical="center"/>
    </xf>
    <xf numFmtId="0" fontId="14" fillId="8" borderId="15" xfId="6" applyFont="1" applyFill="1" applyBorder="1" applyAlignment="1">
      <alignment vertical="center"/>
    </xf>
    <xf numFmtId="1" fontId="14" fillId="8" borderId="15" xfId="6" applyNumberFormat="1" applyFont="1" applyFill="1" applyBorder="1" applyAlignment="1">
      <alignment horizontal="center" vertical="center"/>
    </xf>
    <xf numFmtId="180" fontId="14" fillId="8" borderId="15" xfId="7" applyFont="1" applyFill="1" applyBorder="1" applyAlignment="1">
      <alignment horizontal="right" vertical="center"/>
    </xf>
    <xf numFmtId="0" fontId="14" fillId="0" borderId="15" xfId="6" applyFont="1" applyBorder="1" applyAlignment="1">
      <alignment vertical="center"/>
    </xf>
    <xf numFmtId="0" fontId="24" fillId="0" borderId="15" xfId="6" applyFont="1" applyBorder="1" applyAlignment="1">
      <alignment vertical="center"/>
    </xf>
    <xf numFmtId="180" fontId="14" fillId="0" borderId="15" xfId="7" applyFont="1" applyFill="1" applyBorder="1" applyAlignment="1">
      <alignment horizontal="right" vertical="center"/>
    </xf>
    <xf numFmtId="0" fontId="24" fillId="0" borderId="15" xfId="8" applyFont="1" applyBorder="1" applyAlignment="1">
      <alignment horizontal="center" vertical="center"/>
    </xf>
    <xf numFmtId="178" fontId="24" fillId="0" borderId="15" xfId="5" applyFont="1" applyFill="1" applyBorder="1" applyAlignment="1">
      <alignment horizontal="right" vertical="center"/>
    </xf>
    <xf numFmtId="0" fontId="24" fillId="5" borderId="15" xfId="8" applyFont="1" applyFill="1" applyBorder="1" applyAlignment="1">
      <alignment horizontal="center" vertical="center"/>
    </xf>
    <xf numFmtId="0" fontId="24" fillId="5" borderId="15" xfId="6" applyFont="1" applyFill="1" applyBorder="1" applyAlignment="1">
      <alignment vertical="center"/>
    </xf>
    <xf numFmtId="0" fontId="24" fillId="5" borderId="15" xfId="6" applyFont="1" applyFill="1" applyBorder="1" applyAlignment="1">
      <alignment horizontal="center" vertical="center"/>
    </xf>
    <xf numFmtId="178" fontId="24" fillId="5" borderId="15" xfId="5" applyFont="1" applyFill="1" applyBorder="1" applyAlignment="1">
      <alignment horizontal="right" vertical="center"/>
    </xf>
    <xf numFmtId="0" fontId="24" fillId="5" borderId="16" xfId="6" applyFont="1" applyFill="1" applyBorder="1" applyAlignment="1">
      <alignment vertical="center"/>
    </xf>
    <xf numFmtId="0" fontId="24" fillId="0" borderId="15" xfId="3" applyFont="1" applyBorder="1" applyAlignment="1">
      <alignment horizontal="left" vertical="center"/>
    </xf>
    <xf numFmtId="9" fontId="14" fillId="8" borderId="15" xfId="3" applyNumberFormat="1" applyFont="1" applyFill="1" applyBorder="1" applyAlignment="1">
      <alignment horizontal="right" vertical="center"/>
    </xf>
    <xf numFmtId="1" fontId="14" fillId="8" borderId="15" xfId="9" applyNumberFormat="1" applyFont="1" applyFill="1" applyBorder="1" applyAlignment="1">
      <alignment horizontal="center" vertical="center"/>
    </xf>
    <xf numFmtId="176" fontId="14" fillId="8" borderId="15" xfId="7" applyNumberFormat="1" applyFont="1" applyFill="1" applyBorder="1" applyAlignment="1">
      <alignment horizontal="right" vertical="center"/>
    </xf>
    <xf numFmtId="9" fontId="24" fillId="0" borderId="15" xfId="3" applyNumberFormat="1" applyFont="1" applyBorder="1" applyAlignment="1">
      <alignment horizontal="right" vertical="center"/>
    </xf>
    <xf numFmtId="1" fontId="24" fillId="0" borderId="15" xfId="9" applyNumberFormat="1" applyFont="1" applyFill="1" applyBorder="1" applyAlignment="1">
      <alignment horizontal="center" vertical="center"/>
    </xf>
    <xf numFmtId="176" fontId="14" fillId="0" borderId="15" xfId="7" applyNumberFormat="1" applyFont="1" applyFill="1" applyBorder="1" applyAlignment="1">
      <alignment horizontal="right" vertical="center"/>
    </xf>
    <xf numFmtId="0" fontId="24" fillId="0" borderId="15" xfId="3" applyFont="1" applyBorder="1" applyAlignment="1">
      <alignment vertical="center"/>
    </xf>
    <xf numFmtId="180" fontId="24" fillId="5" borderId="15" xfId="7" applyFont="1" applyFill="1" applyBorder="1" applyAlignment="1">
      <alignment horizontal="right" vertical="center"/>
    </xf>
    <xf numFmtId="180" fontId="14" fillId="8" borderId="0" xfId="3" applyNumberFormat="1" applyFont="1" applyFill="1" applyAlignment="1">
      <alignment vertical="center"/>
    </xf>
    <xf numFmtId="0" fontId="14" fillId="0" borderId="17" xfId="6" applyFont="1" applyBorder="1" applyAlignment="1">
      <alignment horizontal="center" vertical="center" textRotation="255"/>
    </xf>
    <xf numFmtId="0" fontId="14" fillId="0" borderId="18" xfId="6" applyFont="1" applyBorder="1" applyAlignment="1">
      <alignment vertical="top"/>
    </xf>
    <xf numFmtId="0" fontId="24" fillId="0" borderId="19" xfId="6" applyFont="1" applyBorder="1" applyAlignment="1">
      <alignment vertical="center"/>
    </xf>
    <xf numFmtId="0" fontId="24" fillId="0" borderId="19" xfId="6" applyFont="1" applyBorder="1" applyAlignment="1">
      <alignment horizontal="right" vertical="center"/>
    </xf>
    <xf numFmtId="0" fontId="24" fillId="0" borderId="20" xfId="6" applyFont="1" applyBorder="1" applyAlignment="1">
      <alignment vertical="center"/>
    </xf>
    <xf numFmtId="0" fontId="14" fillId="0" borderId="0" xfId="10" applyFont="1"/>
    <xf numFmtId="181" fontId="22" fillId="0" borderId="0" xfId="1" applyNumberFormat="1" applyFont="1" applyAlignment="1">
      <alignment horizontal="center" vertical="center"/>
    </xf>
    <xf numFmtId="0" fontId="21" fillId="0" borderId="0" xfId="0" applyFont="1">
      <alignment vertical="center"/>
    </xf>
    <xf numFmtId="0" fontId="21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2" fontId="25" fillId="3" borderId="0" xfId="2" applyNumberFormat="1" applyFont="1" applyFill="1" applyAlignment="1">
      <alignment horizontal="center" vertical="center"/>
    </xf>
    <xf numFmtId="0" fontId="25" fillId="4" borderId="22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/>
    </xf>
    <xf numFmtId="176" fontId="25" fillId="4" borderId="3" xfId="4" applyFont="1" applyFill="1" applyBorder="1" applyAlignment="1">
      <alignment horizontal="center" vertical="center"/>
    </xf>
    <xf numFmtId="178" fontId="25" fillId="4" borderId="3" xfId="5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49" fontId="21" fillId="7" borderId="3" xfId="0" applyNumberFormat="1" applyFont="1" applyFill="1" applyBorder="1" applyAlignment="1">
      <alignment horizontal="center" vertical="center" wrapText="1"/>
    </xf>
    <xf numFmtId="49" fontId="21" fillId="5" borderId="3" xfId="0" applyNumberFormat="1" applyFont="1" applyFill="1" applyBorder="1" applyAlignment="1">
      <alignment horizontal="center" vertical="center" wrapText="1"/>
    </xf>
    <xf numFmtId="176" fontId="21" fillId="0" borderId="3" xfId="1" applyFont="1" applyFill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183" fontId="21" fillId="5" borderId="3" xfId="1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49" fontId="21" fillId="2" borderId="1" xfId="0" applyNumberFormat="1" applyFont="1" applyFill="1" applyBorder="1" applyAlignment="1">
      <alignment horizontal="center" vertical="center" wrapText="1"/>
    </xf>
    <xf numFmtId="49" fontId="21" fillId="2" borderId="33" xfId="0" applyNumberFormat="1" applyFont="1" applyFill="1" applyBorder="1" applyAlignment="1">
      <alignment horizontal="center" vertical="center" wrapText="1"/>
    </xf>
    <xf numFmtId="49" fontId="21" fillId="2" borderId="34" xfId="0" applyNumberFormat="1" applyFont="1" applyFill="1" applyBorder="1" applyAlignment="1">
      <alignment horizontal="center" vertical="center" wrapText="1"/>
    </xf>
    <xf numFmtId="184" fontId="21" fillId="0" borderId="0" xfId="0" applyNumberFormat="1" applyFont="1">
      <alignment vertical="center"/>
    </xf>
    <xf numFmtId="181" fontId="21" fillId="7" borderId="1" xfId="1" applyNumberFormat="1" applyFont="1" applyFill="1" applyBorder="1" applyAlignment="1">
      <alignment horizontal="center" vertical="center"/>
    </xf>
    <xf numFmtId="181" fontId="21" fillId="0" borderId="1" xfId="1" applyNumberFormat="1" applyFont="1" applyBorder="1" applyAlignment="1">
      <alignment horizontal="center" vertical="center"/>
    </xf>
    <xf numFmtId="185" fontId="21" fillId="0" borderId="0" xfId="0" applyNumberFormat="1" applyFont="1">
      <alignment vertical="center"/>
    </xf>
    <xf numFmtId="0" fontId="22" fillId="0" borderId="0" xfId="6" applyFont="1" applyAlignment="1">
      <alignment vertical="center"/>
    </xf>
    <xf numFmtId="0" fontId="14" fillId="0" borderId="4" xfId="6" applyFont="1" applyBorder="1" applyAlignment="1">
      <alignment vertical="center"/>
    </xf>
    <xf numFmtId="49" fontId="26" fillId="7" borderId="3" xfId="0" applyNumberFormat="1" applyFont="1" applyFill="1" applyBorder="1" applyAlignment="1">
      <alignment horizontal="center" vertical="center" wrapText="1"/>
    </xf>
    <xf numFmtId="0" fontId="22" fillId="0" borderId="0" xfId="19" applyFont="1">
      <alignment vertical="center"/>
    </xf>
    <xf numFmtId="0" fontId="27" fillId="0" borderId="0" xfId="19" applyFont="1">
      <alignment vertical="center"/>
    </xf>
    <xf numFmtId="0" fontId="22" fillId="0" borderId="0" xfId="19" applyFont="1" applyAlignment="1">
      <alignment horizontal="center" vertical="center"/>
    </xf>
    <xf numFmtId="0" fontId="22" fillId="0" borderId="0" xfId="0" applyFont="1">
      <alignment vertical="center"/>
    </xf>
    <xf numFmtId="186" fontId="21" fillId="5" borderId="3" xfId="0" applyNumberFormat="1" applyFont="1" applyFill="1" applyBorder="1" applyAlignment="1">
      <alignment horizontal="right" vertical="center" wrapText="1"/>
    </xf>
    <xf numFmtId="186" fontId="21" fillId="6" borderId="3" xfId="1" applyNumberFormat="1" applyFont="1" applyFill="1" applyBorder="1" applyAlignment="1">
      <alignment horizontal="right" vertical="center" wrapText="1"/>
    </xf>
    <xf numFmtId="186" fontId="21" fillId="0" borderId="3" xfId="1" applyNumberFormat="1" applyFont="1" applyFill="1" applyBorder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5" fillId="4" borderId="3" xfId="3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5" fillId="9" borderId="24" xfId="0" applyFont="1" applyFill="1" applyBorder="1">
      <alignment vertical="center"/>
    </xf>
    <xf numFmtId="0" fontId="25" fillId="9" borderId="21" xfId="0" applyFont="1" applyFill="1" applyBorder="1">
      <alignment vertical="center"/>
    </xf>
    <xf numFmtId="0" fontId="26" fillId="0" borderId="0" xfId="0" applyFont="1">
      <alignment vertical="center"/>
    </xf>
    <xf numFmtId="0" fontId="24" fillId="10" borderId="0" xfId="0" applyFont="1" applyFill="1">
      <alignment vertical="center"/>
    </xf>
    <xf numFmtId="0" fontId="24" fillId="0" borderId="0" xfId="0" applyFont="1">
      <alignment vertical="center"/>
    </xf>
    <xf numFmtId="0" fontId="25" fillId="5" borderId="0" xfId="0" applyFont="1" applyFill="1">
      <alignment vertical="center"/>
    </xf>
    <xf numFmtId="176" fontId="21" fillId="0" borderId="0" xfId="0" applyNumberFormat="1" applyFont="1">
      <alignment vertical="center"/>
    </xf>
    <xf numFmtId="176" fontId="14" fillId="10" borderId="0" xfId="0" applyNumberFormat="1" applyFont="1" applyFill="1">
      <alignment vertical="center"/>
    </xf>
    <xf numFmtId="176" fontId="14" fillId="0" borderId="0" xfId="0" applyNumberFormat="1" applyFont="1">
      <alignment vertical="center"/>
    </xf>
    <xf numFmtId="176" fontId="29" fillId="5" borderId="3" xfId="1" applyFont="1" applyFill="1" applyBorder="1" applyAlignment="1">
      <alignment horizontal="center" vertical="center"/>
    </xf>
    <xf numFmtId="49" fontId="30" fillId="5" borderId="3" xfId="0" applyNumberFormat="1" applyFont="1" applyFill="1" applyBorder="1" applyAlignment="1">
      <alignment horizontal="center" vertical="center"/>
    </xf>
    <xf numFmtId="49" fontId="31" fillId="5" borderId="3" xfId="0" applyNumberFormat="1" applyFont="1" applyFill="1" applyBorder="1" applyAlignment="1">
      <alignment horizontal="center" vertical="center"/>
    </xf>
    <xf numFmtId="49" fontId="32" fillId="5" borderId="3" xfId="0" applyNumberFormat="1" applyFont="1" applyFill="1" applyBorder="1" applyAlignment="1">
      <alignment horizontal="center" vertical="center" wrapText="1"/>
    </xf>
    <xf numFmtId="49" fontId="33" fillId="5" borderId="3" xfId="0" applyNumberFormat="1" applyFont="1" applyFill="1" applyBorder="1" applyAlignment="1">
      <alignment horizontal="center" vertical="center" wrapText="1"/>
    </xf>
    <xf numFmtId="0" fontId="34" fillId="5" borderId="3" xfId="0" applyFont="1" applyFill="1" applyBorder="1" applyAlignment="1">
      <alignment horizontal="center" vertical="center"/>
    </xf>
    <xf numFmtId="0" fontId="35" fillId="0" borderId="35" xfId="21" applyFont="1" applyBorder="1">
      <alignment vertical="center"/>
    </xf>
    <xf numFmtId="0" fontId="36" fillId="0" borderId="0" xfId="21" applyFont="1">
      <alignment vertical="center"/>
    </xf>
    <xf numFmtId="0" fontId="35" fillId="0" borderId="0" xfId="21" applyFont="1">
      <alignment vertical="center"/>
    </xf>
    <xf numFmtId="0" fontId="36" fillId="0" borderId="0" xfId="21" applyFont="1" applyAlignment="1">
      <alignment horizontal="center" vertical="center"/>
    </xf>
    <xf numFmtId="176" fontId="37" fillId="6" borderId="25" xfId="22" applyFont="1" applyFill="1" applyBorder="1" applyAlignment="1">
      <alignment horizontal="center" vertical="center"/>
    </xf>
    <xf numFmtId="176" fontId="37" fillId="6" borderId="36" xfId="22" applyFont="1" applyFill="1" applyBorder="1" applyAlignment="1">
      <alignment horizontal="center" vertical="center"/>
    </xf>
    <xf numFmtId="176" fontId="37" fillId="6" borderId="26" xfId="22" applyFont="1" applyFill="1" applyBorder="1" applyAlignment="1">
      <alignment horizontal="center" vertical="center"/>
    </xf>
    <xf numFmtId="0" fontId="38" fillId="5" borderId="28" xfId="22" applyNumberFormat="1" applyFont="1" applyFill="1" applyBorder="1" applyAlignment="1">
      <alignment horizontal="center" vertical="center"/>
    </xf>
    <xf numFmtId="176" fontId="38" fillId="0" borderId="37" xfId="22" applyFont="1" applyFill="1" applyBorder="1" applyAlignment="1">
      <alignment horizontal="center" vertical="center" shrinkToFit="1"/>
    </xf>
    <xf numFmtId="176" fontId="39" fillId="10" borderId="37" xfId="22" applyFont="1" applyFill="1" applyBorder="1" applyAlignment="1">
      <alignment horizontal="center" vertical="center"/>
    </xf>
    <xf numFmtId="0" fontId="39" fillId="5" borderId="29" xfId="21" applyFont="1" applyFill="1" applyBorder="1" applyAlignment="1">
      <alignment horizontal="center" vertical="center"/>
    </xf>
    <xf numFmtId="9" fontId="40" fillId="0" borderId="3" xfId="0" applyNumberFormat="1" applyFont="1" applyBorder="1" applyAlignment="1">
      <alignment horizontal="center" vertical="center"/>
    </xf>
    <xf numFmtId="0" fontId="41" fillId="6" borderId="22" xfId="0" applyFont="1" applyFill="1" applyBorder="1" applyAlignment="1">
      <alignment horizontal="center" vertical="center"/>
    </xf>
    <xf numFmtId="0" fontId="41" fillId="6" borderId="3" xfId="0" applyFont="1" applyFill="1" applyBorder="1" applyAlignment="1">
      <alignment horizontal="center" vertical="center"/>
    </xf>
    <xf numFmtId="49" fontId="42" fillId="7" borderId="3" xfId="0" applyNumberFormat="1" applyFont="1" applyFill="1" applyBorder="1" applyAlignment="1">
      <alignment horizontal="center" vertical="center" wrapText="1"/>
    </xf>
    <xf numFmtId="0" fontId="43" fillId="7" borderId="3" xfId="0" applyFont="1" applyFill="1" applyBorder="1" applyAlignment="1">
      <alignment horizontal="center" vertical="center"/>
    </xf>
    <xf numFmtId="0" fontId="44" fillId="7" borderId="3" xfId="0" applyFont="1" applyFill="1" applyBorder="1" applyAlignment="1">
      <alignment horizontal="center" vertical="center"/>
    </xf>
    <xf numFmtId="0" fontId="34" fillId="5" borderId="3" xfId="0" applyFont="1" applyFill="1" applyBorder="1">
      <alignment vertical="center"/>
    </xf>
    <xf numFmtId="176" fontId="28" fillId="6" borderId="3" xfId="1" applyFont="1" applyFill="1" applyBorder="1" applyAlignment="1">
      <alignment horizontal="center" vertical="center" wrapText="1"/>
    </xf>
    <xf numFmtId="187" fontId="28" fillId="5" borderId="3" xfId="0" applyNumberFormat="1" applyFont="1" applyFill="1" applyBorder="1" applyAlignment="1">
      <alignment horizontal="right" vertical="center" wrapText="1"/>
    </xf>
    <xf numFmtId="176" fontId="34" fillId="0" borderId="3" xfId="1" applyFont="1" applyFill="1" applyBorder="1" applyAlignment="1">
      <alignment horizontal="center" vertical="center" wrapText="1"/>
    </xf>
    <xf numFmtId="176" fontId="28" fillId="5" borderId="3" xfId="1" applyFont="1" applyFill="1" applyBorder="1" applyAlignment="1">
      <alignment horizontal="center" vertical="center" wrapText="1"/>
    </xf>
    <xf numFmtId="9" fontId="28" fillId="0" borderId="3" xfId="0" applyNumberFormat="1" applyFont="1" applyBorder="1" applyAlignment="1">
      <alignment horizontal="center" vertical="center"/>
    </xf>
    <xf numFmtId="0" fontId="41" fillId="0" borderId="23" xfId="0" applyFont="1" applyBorder="1" applyAlignment="1">
      <alignment horizontal="center" vertical="center"/>
    </xf>
    <xf numFmtId="49" fontId="45" fillId="7" borderId="3" xfId="0" applyNumberFormat="1" applyFont="1" applyFill="1" applyBorder="1" applyAlignment="1">
      <alignment horizontal="center" vertical="center"/>
    </xf>
    <xf numFmtId="49" fontId="41" fillId="7" borderId="3" xfId="0" applyNumberFormat="1" applyFont="1" applyFill="1" applyBorder="1" applyAlignment="1">
      <alignment horizontal="center" vertical="center" wrapText="1"/>
    </xf>
    <xf numFmtId="176" fontId="28" fillId="5" borderId="3" xfId="20" applyFont="1" applyFill="1" applyBorder="1" applyAlignment="1">
      <alignment horizontal="center" vertical="center" wrapText="1"/>
    </xf>
    <xf numFmtId="49" fontId="30" fillId="5" borderId="3" xfId="0" applyNumberFormat="1" applyFont="1" applyFill="1" applyBorder="1" applyAlignment="1">
      <alignment horizontal="center" vertical="center" wrapText="1"/>
    </xf>
    <xf numFmtId="0" fontId="21" fillId="6" borderId="3" xfId="0" applyFont="1" applyFill="1" applyBorder="1">
      <alignment vertical="center"/>
    </xf>
    <xf numFmtId="49" fontId="25" fillId="7" borderId="3" xfId="0" applyNumberFormat="1" applyFont="1" applyFill="1" applyBorder="1" applyAlignment="1">
      <alignment vertical="center" wrapText="1"/>
    </xf>
    <xf numFmtId="0" fontId="21" fillId="7" borderId="3" xfId="0" applyFont="1" applyFill="1" applyBorder="1">
      <alignment vertical="center"/>
    </xf>
    <xf numFmtId="49" fontId="21" fillId="7" borderId="3" xfId="0" applyNumberFormat="1" applyFont="1" applyFill="1" applyBorder="1" applyAlignment="1">
      <alignment vertical="center" wrapText="1"/>
    </xf>
    <xf numFmtId="49" fontId="21" fillId="5" borderId="3" xfId="1" applyNumberFormat="1" applyFont="1" applyFill="1" applyBorder="1" applyAlignment="1">
      <alignment horizontal="center" vertical="center"/>
    </xf>
    <xf numFmtId="186" fontId="21" fillId="5" borderId="3" xfId="1" applyNumberFormat="1" applyFont="1" applyFill="1" applyBorder="1" applyAlignment="1">
      <alignment horizontal="right" vertical="center" wrapText="1"/>
    </xf>
    <xf numFmtId="176" fontId="21" fillId="0" borderId="3" xfId="1" applyFont="1" applyFill="1" applyBorder="1" applyAlignment="1">
      <alignment vertical="center" wrapText="1"/>
    </xf>
    <xf numFmtId="9" fontId="21" fillId="0" borderId="3" xfId="0" applyNumberFormat="1" applyFont="1" applyBorder="1">
      <alignment vertical="center"/>
    </xf>
    <xf numFmtId="0" fontId="21" fillId="0" borderId="23" xfId="0" applyFont="1" applyBorder="1">
      <alignment vertical="center"/>
    </xf>
    <xf numFmtId="185" fontId="48" fillId="5" borderId="3" xfId="0" applyNumberFormat="1" applyFont="1" applyFill="1" applyBorder="1" applyAlignment="1">
      <alignment vertical="center" wrapText="1"/>
    </xf>
    <xf numFmtId="0" fontId="21" fillId="6" borderId="3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5" fillId="7" borderId="3" xfId="0" applyFont="1" applyFill="1" applyBorder="1" applyAlignment="1">
      <alignment horizontal="center" vertical="center"/>
    </xf>
    <xf numFmtId="49" fontId="48" fillId="7" borderId="3" xfId="0" applyNumberFormat="1" applyFont="1" applyFill="1" applyBorder="1" applyAlignment="1">
      <alignment horizontal="center" vertical="center" wrapText="1"/>
    </xf>
    <xf numFmtId="0" fontId="50" fillId="5" borderId="3" xfId="0" applyFont="1" applyFill="1" applyBorder="1" applyAlignment="1">
      <alignment horizontal="center" vertical="center"/>
    </xf>
    <xf numFmtId="0" fontId="49" fillId="5" borderId="3" xfId="0" applyFont="1" applyFill="1" applyBorder="1">
      <alignment vertical="center"/>
    </xf>
    <xf numFmtId="49" fontId="45" fillId="5" borderId="3" xfId="0" applyNumberFormat="1" applyFont="1" applyFill="1" applyBorder="1" applyAlignment="1">
      <alignment horizontal="center" vertical="center"/>
    </xf>
    <xf numFmtId="176" fontId="46" fillId="5" borderId="3" xfId="20" applyFont="1" applyFill="1" applyBorder="1" applyAlignment="1">
      <alignment horizontal="center" vertical="center" wrapText="1"/>
    </xf>
    <xf numFmtId="0" fontId="45" fillId="5" borderId="3" xfId="0" applyFont="1" applyFill="1" applyBorder="1" applyAlignment="1">
      <alignment horizontal="center" vertical="center"/>
    </xf>
    <xf numFmtId="176" fontId="45" fillId="5" borderId="3" xfId="20" applyFont="1" applyFill="1" applyBorder="1" applyAlignment="1">
      <alignment horizontal="center" vertical="center"/>
    </xf>
    <xf numFmtId="186" fontId="21" fillId="5" borderId="3" xfId="0" applyNumberFormat="1" applyFont="1" applyFill="1" applyBorder="1" applyAlignment="1">
      <alignment horizontal="right" vertical="center"/>
    </xf>
    <xf numFmtId="0" fontId="50" fillId="5" borderId="3" xfId="0" applyFont="1" applyFill="1" applyBorder="1" applyAlignment="1">
      <alignment vertical="center" wrapText="1"/>
    </xf>
    <xf numFmtId="49" fontId="45" fillId="5" borderId="3" xfId="0" applyNumberFormat="1" applyFont="1" applyFill="1" applyBorder="1" applyAlignment="1">
      <alignment horizontal="center" vertical="center" wrapText="1"/>
    </xf>
    <xf numFmtId="0" fontId="45" fillId="5" borderId="3" xfId="0" applyFont="1" applyFill="1" applyBorder="1" applyAlignment="1">
      <alignment horizontal="center" vertical="center" wrapText="1"/>
    </xf>
    <xf numFmtId="188" fontId="29" fillId="5" borderId="3" xfId="1" applyNumberFormat="1" applyFont="1" applyFill="1" applyBorder="1" applyAlignment="1">
      <alignment horizontal="center" vertical="center"/>
    </xf>
    <xf numFmtId="188" fontId="21" fillId="5" borderId="3" xfId="1" applyNumberFormat="1" applyFont="1" applyFill="1" applyBorder="1" applyAlignment="1">
      <alignment horizontal="center" vertical="center"/>
    </xf>
    <xf numFmtId="188" fontId="34" fillId="5" borderId="3" xfId="20" applyNumberFormat="1" applyFont="1" applyFill="1" applyBorder="1" applyAlignment="1">
      <alignment horizontal="center" vertical="center"/>
    </xf>
    <xf numFmtId="184" fontId="21" fillId="0" borderId="1" xfId="1" applyNumberFormat="1" applyFont="1" applyBorder="1" applyAlignment="1">
      <alignment horizontal="center" vertical="center"/>
    </xf>
    <xf numFmtId="189" fontId="24" fillId="0" borderId="16" xfId="6" applyNumberFormat="1" applyFont="1" applyBorder="1" applyAlignment="1">
      <alignment vertical="center"/>
    </xf>
    <xf numFmtId="0" fontId="20" fillId="0" borderId="0" xfId="6" applyFont="1" applyAlignment="1">
      <alignment horizontal="center" vertical="center"/>
    </xf>
    <xf numFmtId="0" fontId="23" fillId="0" borderId="0" xfId="6" applyFont="1" applyAlignment="1">
      <alignment vertical="center"/>
    </xf>
    <xf numFmtId="0" fontId="22" fillId="0" borderId="0" xfId="6" applyFont="1" applyAlignment="1">
      <alignment vertical="center"/>
    </xf>
    <xf numFmtId="0" fontId="14" fillId="0" borderId="4" xfId="6" applyFont="1" applyBorder="1" applyAlignment="1">
      <alignment vertical="center"/>
    </xf>
    <xf numFmtId="0" fontId="14" fillId="0" borderId="5" xfId="6" applyFont="1" applyBorder="1" applyAlignment="1">
      <alignment vertical="center"/>
    </xf>
    <xf numFmtId="0" fontId="14" fillId="0" borderId="6" xfId="6" applyFont="1" applyBorder="1" applyAlignment="1">
      <alignment vertical="center"/>
    </xf>
    <xf numFmtId="0" fontId="14" fillId="0" borderId="4" xfId="6" applyFont="1" applyBorder="1" applyAlignment="1">
      <alignment vertical="center" wrapText="1"/>
    </xf>
    <xf numFmtId="0" fontId="14" fillId="0" borderId="5" xfId="6" applyFont="1" applyBorder="1" applyAlignment="1">
      <alignment vertical="center" wrapText="1"/>
    </xf>
    <xf numFmtId="0" fontId="14" fillId="0" borderId="6" xfId="6" applyFont="1" applyBorder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9" borderId="4" xfId="0" applyFont="1" applyFill="1" applyBorder="1" applyAlignment="1">
      <alignment horizontal="center" vertical="center"/>
    </xf>
    <xf numFmtId="176" fontId="25" fillId="4" borderId="21" xfId="4" applyFont="1" applyFill="1" applyBorder="1" applyAlignment="1">
      <alignment horizontal="center" vertical="center"/>
    </xf>
    <xf numFmtId="178" fontId="25" fillId="4" borderId="21" xfId="5" applyFont="1" applyFill="1" applyBorder="1" applyAlignment="1">
      <alignment horizontal="center" vertical="center"/>
    </xf>
    <xf numFmtId="0" fontId="25" fillId="4" borderId="21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/>
    </xf>
    <xf numFmtId="0" fontId="25" fillId="4" borderId="21" xfId="3" applyFont="1" applyFill="1" applyBorder="1" applyAlignment="1">
      <alignment horizontal="center" vertical="center"/>
    </xf>
    <xf numFmtId="0" fontId="25" fillId="4" borderId="3" xfId="3" applyFont="1" applyFill="1" applyBorder="1" applyAlignment="1">
      <alignment horizontal="center" vertical="center"/>
    </xf>
    <xf numFmtId="0" fontId="25" fillId="4" borderId="21" xfId="3" applyFont="1" applyFill="1" applyBorder="1" applyAlignment="1">
      <alignment horizontal="center" vertical="center" wrapText="1"/>
    </xf>
  </cellXfs>
  <cellStyles count="23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4 3" xfId="22" xr:uid="{8CD1BC60-8847-4B14-9CB8-A2AF33C99651}"/>
    <cellStyle name="쉼표 [0] 3" xfId="16" xr:uid="{8F7BE219-40E1-4BBB-A9BD-02188B74B2A3}"/>
    <cellStyle name="쉼표 [0] 5" xfId="20" xr:uid="{5D194C4A-224D-4C6D-AD9B-CDEC53062FE8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 7 4" xfId="21" xr:uid="{764DBB5F-CB5A-46A0-BADE-086505B9E78B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166687</xdr:rowOff>
    </xdr:from>
    <xdr:to>
      <xdr:col>14</xdr:col>
      <xdr:colOff>751297</xdr:colOff>
      <xdr:row>28</xdr:row>
      <xdr:rowOff>241183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879D202-E331-4012-95F3-B5DF0C5D4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500812"/>
          <a:ext cx="8621328" cy="48489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5</xdr:col>
      <xdr:colOff>76200</xdr:colOff>
      <xdr:row>22</xdr:row>
      <xdr:rowOff>114300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E88EE17F-9F5F-4789-B632-7E05A0E9AFE9}"/>
            </a:ext>
          </a:extLst>
        </xdr:cNvPr>
        <xdr:cNvSpPr/>
      </xdr:nvSpPr>
      <xdr:spPr>
        <a:xfrm>
          <a:off x="0" y="171450"/>
          <a:ext cx="5172075" cy="371475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고소할증 근거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209550</xdr:colOff>
      <xdr:row>2</xdr:row>
      <xdr:rowOff>142875</xdr:rowOff>
    </xdr:from>
    <xdr:to>
      <xdr:col>4</xdr:col>
      <xdr:colOff>712660</xdr:colOff>
      <xdr:row>20</xdr:row>
      <xdr:rowOff>114300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32740296-3BBA-46D0-9A9B-D5C37BABE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485775"/>
          <a:ext cx="4684585" cy="3057525"/>
        </a:xfrm>
        <a:prstGeom prst="rect">
          <a:avLst/>
        </a:prstGeom>
      </xdr:spPr>
    </xdr:pic>
    <xdr:clientData/>
  </xdr:twoCellAnchor>
  <xdr:twoCellAnchor>
    <xdr:from>
      <xdr:col>0</xdr:col>
      <xdr:colOff>1</xdr:colOff>
      <xdr:row>28</xdr:row>
      <xdr:rowOff>1</xdr:rowOff>
    </xdr:from>
    <xdr:to>
      <xdr:col>9</xdr:col>
      <xdr:colOff>638176</xdr:colOff>
      <xdr:row>52</xdr:row>
      <xdr:rowOff>76201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9B7F7E95-4EA0-497E-9FD2-D5C7A17A113F}"/>
            </a:ext>
          </a:extLst>
        </xdr:cNvPr>
        <xdr:cNvSpPr/>
      </xdr:nvSpPr>
      <xdr:spPr>
        <a:xfrm>
          <a:off x="1" y="5429251"/>
          <a:ext cx="9353550" cy="41910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장비임대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314325</xdr:colOff>
      <xdr:row>30</xdr:row>
      <xdr:rowOff>104775</xdr:rowOff>
    </xdr:from>
    <xdr:to>
      <xdr:col>2</xdr:col>
      <xdr:colOff>923925</xdr:colOff>
      <xdr:row>50</xdr:row>
      <xdr:rowOff>10364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437D6D77-C508-4D0F-B42E-36FDA4CD7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876925"/>
          <a:ext cx="2847975" cy="3334589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30</xdr:row>
      <xdr:rowOff>47625</xdr:rowOff>
    </xdr:from>
    <xdr:to>
      <xdr:col>6</xdr:col>
      <xdr:colOff>219075</xdr:colOff>
      <xdr:row>50</xdr:row>
      <xdr:rowOff>85413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3D6B58F0-2DE2-49A6-996D-C9CECDBE7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150" y="5819775"/>
          <a:ext cx="2638425" cy="3466788"/>
        </a:xfrm>
        <a:prstGeom prst="rect">
          <a:avLst/>
        </a:prstGeom>
      </xdr:spPr>
    </xdr:pic>
    <xdr:clientData/>
  </xdr:twoCellAnchor>
  <xdr:twoCellAnchor editAs="oneCell">
    <xdr:from>
      <xdr:col>6</xdr:col>
      <xdr:colOff>447675</xdr:colOff>
      <xdr:row>29</xdr:row>
      <xdr:rowOff>161926</xdr:rowOff>
    </xdr:from>
    <xdr:to>
      <xdr:col>9</xdr:col>
      <xdr:colOff>310076</xdr:colOff>
      <xdr:row>50</xdr:row>
      <xdr:rowOff>104776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8D5C34A-E5F2-4A59-83CE-0BD8C2AF8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3175" y="5762626"/>
          <a:ext cx="2672276" cy="3543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G31" sqref="G31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76" t="s">
        <v>6</v>
      </c>
      <c r="B2" s="176"/>
      <c r="C2" s="176"/>
      <c r="D2" s="176"/>
      <c r="E2" s="176"/>
      <c r="F2" s="176"/>
      <c r="G2" s="176"/>
      <c r="H2" s="2"/>
    </row>
    <row r="3" spans="1:9" ht="14.25">
      <c r="A3" s="90"/>
      <c r="B3" s="90"/>
      <c r="C3" s="90"/>
      <c r="D3" s="90"/>
      <c r="E3" s="90"/>
      <c r="F3" s="90"/>
      <c r="G3" s="90"/>
      <c r="H3" s="90"/>
    </row>
    <row r="4" spans="1:9" ht="14.25">
      <c r="A4" s="90"/>
      <c r="B4" s="90"/>
      <c r="C4" s="90"/>
      <c r="D4" s="90"/>
      <c r="E4" s="90"/>
      <c r="H4" s="90"/>
    </row>
    <row r="5" spans="1:9" ht="27" customHeight="1">
      <c r="A5" s="91" t="s">
        <v>64</v>
      </c>
      <c r="B5" s="4"/>
      <c r="C5" s="5"/>
      <c r="D5" s="90"/>
      <c r="E5" s="90"/>
      <c r="F5" s="6" t="s">
        <v>38</v>
      </c>
      <c r="G5" s="7" t="s">
        <v>68</v>
      </c>
      <c r="H5" s="90"/>
    </row>
    <row r="6" spans="1:9" ht="27" customHeight="1">
      <c r="A6" s="90"/>
      <c r="B6" s="90"/>
      <c r="C6" s="90"/>
      <c r="D6" s="90"/>
      <c r="E6" s="90"/>
      <c r="F6" s="8" t="s">
        <v>41</v>
      </c>
      <c r="G6" s="9" t="s">
        <v>69</v>
      </c>
      <c r="H6" s="90"/>
    </row>
    <row r="7" spans="1:9" ht="27" customHeight="1">
      <c r="A7" s="182" t="s">
        <v>99</v>
      </c>
      <c r="B7" s="183"/>
      <c r="C7" s="184"/>
      <c r="D7" s="90"/>
      <c r="E7" s="10"/>
      <c r="F7" s="11" t="s">
        <v>42</v>
      </c>
      <c r="G7" s="9" t="s">
        <v>70</v>
      </c>
      <c r="H7" s="90"/>
    </row>
    <row r="8" spans="1:9" ht="27" customHeight="1">
      <c r="A8" s="90"/>
      <c r="B8" s="90"/>
      <c r="C8" s="90"/>
      <c r="D8" s="90"/>
      <c r="E8" s="90"/>
      <c r="F8" s="8" t="s">
        <v>43</v>
      </c>
      <c r="G8" s="9" t="s">
        <v>71</v>
      </c>
      <c r="H8" s="90"/>
    </row>
    <row r="9" spans="1:9" ht="27" customHeight="1">
      <c r="A9" s="179" t="s">
        <v>98</v>
      </c>
      <c r="B9" s="180"/>
      <c r="C9" s="181"/>
      <c r="D9" s="90"/>
      <c r="E9" s="90"/>
      <c r="F9" s="8" t="s">
        <v>44</v>
      </c>
      <c r="G9" s="9" t="s">
        <v>72</v>
      </c>
      <c r="H9" s="90"/>
    </row>
    <row r="10" spans="1:9" ht="27" customHeight="1">
      <c r="A10" s="90"/>
      <c r="B10" s="90"/>
      <c r="C10" s="90"/>
      <c r="D10" s="90"/>
      <c r="E10" s="90"/>
      <c r="F10" s="12" t="s">
        <v>39</v>
      </c>
      <c r="G10" s="13" t="s">
        <v>73</v>
      </c>
      <c r="H10" s="90"/>
      <c r="I10" s="90"/>
    </row>
    <row r="11" spans="1:9" ht="27" customHeight="1">
      <c r="A11" s="177"/>
      <c r="B11" s="178"/>
      <c r="C11" s="178"/>
      <c r="D11" s="90"/>
      <c r="E11" s="14"/>
      <c r="F11" s="15" t="s">
        <v>40</v>
      </c>
      <c r="G11" s="16" t="s">
        <v>74</v>
      </c>
      <c r="H11" s="14"/>
    </row>
    <row r="12" spans="1:9" ht="18.75" thickBot="1">
      <c r="A12" s="17" t="s">
        <v>7</v>
      </c>
      <c r="B12" s="17" t="str">
        <f>NUMBERSTRING(F31,1)</f>
        <v>일천육십팔만육천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90"/>
      <c r="B13" s="90"/>
      <c r="C13" s="90"/>
      <c r="D13" s="90"/>
      <c r="E13" s="90"/>
      <c r="F13" s="90"/>
      <c r="G13" s="90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'내역서(표준단가)'!O18</f>
        <v>495054.8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'내역서(표준단가)'!Q18</f>
        <v>5471548.5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'내역서(표준단가)'!S18+'내역서(표준단가)'!U18</f>
        <v>3500000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9466603.3000000007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246219.6825</v>
      </c>
      <c r="G21" s="35" t="s">
        <v>26</v>
      </c>
    </row>
    <row r="22" spans="1:7" ht="33" customHeight="1">
      <c r="A22" s="29"/>
      <c r="B22" s="44" t="s">
        <v>27</v>
      </c>
      <c r="C22" s="45" t="s">
        <v>65</v>
      </c>
      <c r="D22" s="46">
        <v>1</v>
      </c>
      <c r="E22" s="46" t="s">
        <v>25</v>
      </c>
      <c r="F22" s="47">
        <f>F17*3.545%</f>
        <v>193966.394325</v>
      </c>
      <c r="G22" s="48" t="s">
        <v>28</v>
      </c>
    </row>
    <row r="23" spans="1:7" ht="33" customHeight="1">
      <c r="A23" s="29"/>
      <c r="B23" s="42" t="s">
        <v>29</v>
      </c>
      <c r="C23" s="40" t="s">
        <v>66</v>
      </c>
      <c r="D23" s="30">
        <v>1</v>
      </c>
      <c r="E23" s="30" t="s">
        <v>25</v>
      </c>
      <c r="F23" s="43">
        <f>F22*12.95%</f>
        <v>25118.648065087502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55262.63985</v>
      </c>
      <c r="G24" s="35" t="s">
        <v>28</v>
      </c>
    </row>
    <row r="25" spans="1:7" ht="33" customHeight="1">
      <c r="A25" s="29"/>
      <c r="B25" s="42" t="s">
        <v>31</v>
      </c>
      <c r="C25" s="40" t="s">
        <v>67</v>
      </c>
      <c r="D25" s="30">
        <v>1</v>
      </c>
      <c r="E25" s="30" t="s">
        <v>25</v>
      </c>
      <c r="F25" s="43">
        <f>F17*3.56%</f>
        <v>194787.12659999999</v>
      </c>
      <c r="G25" s="35" t="s">
        <v>28</v>
      </c>
    </row>
    <row r="26" spans="1:7" ht="33" customHeight="1">
      <c r="A26" s="29"/>
      <c r="B26" s="42" t="s">
        <v>32</v>
      </c>
      <c r="C26" s="49" t="s">
        <v>97</v>
      </c>
      <c r="D26" s="30">
        <v>1</v>
      </c>
      <c r="E26" s="30" t="s">
        <v>25</v>
      </c>
      <c r="F26" s="43">
        <f>(F16+F17)*3.11%</f>
        <v>185561.36262999999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318623.21769850445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1219539.0716685918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10686142.371668592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10686000</v>
      </c>
      <c r="G31" s="17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5.75">
      <c r="B33" s="64"/>
    </row>
    <row r="34" spans="2:2" ht="15.75">
      <c r="B34" s="64"/>
    </row>
  </sheetData>
  <mergeCells count="4">
    <mergeCell ref="A2:G2"/>
    <mergeCell ref="A11:C11"/>
    <mergeCell ref="A9:C9"/>
    <mergeCell ref="A7:C7"/>
  </mergeCells>
  <phoneticPr fontId="7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6"/>
  <sheetViews>
    <sheetView showGridLines="0" zoomScale="80" zoomScaleNormal="80" workbookViewId="0">
      <pane ySplit="4" topLeftCell="A5" activePane="bottomLeft" state="frozen"/>
      <selection pane="bottomLeft" activeCell="R16" sqref="R16"/>
    </sheetView>
  </sheetViews>
  <sheetFormatPr defaultColWidth="9" defaultRowHeight="38.1" customHeight="1"/>
  <cols>
    <col min="1" max="1" width="17.5" style="109" customWidth="1"/>
    <col min="2" max="5" width="18.5" style="109" hidden="1" customWidth="1"/>
    <col min="6" max="6" width="20.625" style="66" hidden="1" customWidth="1"/>
    <col min="7" max="7" width="15.125" style="66" hidden="1" customWidth="1"/>
    <col min="8" max="8" width="14.625" style="66" hidden="1" customWidth="1"/>
    <col min="9" max="9" width="13.875" style="66" hidden="1" customWidth="1"/>
    <col min="10" max="11" width="30.625" style="100" customWidth="1"/>
    <col min="12" max="12" width="6.875" style="66" customWidth="1"/>
    <col min="13" max="13" width="7.375" style="66" bestFit="1" customWidth="1"/>
    <col min="14" max="14" width="10.25" style="66" bestFit="1" customWidth="1"/>
    <col min="15" max="15" width="14.25" style="66" customWidth="1"/>
    <col min="16" max="16" width="8.25" style="66" customWidth="1"/>
    <col min="17" max="17" width="14.875" style="66" customWidth="1"/>
    <col min="18" max="18" width="9.375" style="66" customWidth="1"/>
    <col min="19" max="19" width="14.5" style="66" customWidth="1"/>
    <col min="20" max="20" width="9.5" style="66" customWidth="1"/>
    <col min="21" max="21" width="8.25" style="66" bestFit="1" customWidth="1"/>
    <col min="22" max="22" width="14.5" style="66" bestFit="1" customWidth="1"/>
    <col min="23" max="23" width="11.875" style="67" customWidth="1"/>
    <col min="24" max="24" width="8.5" style="66" bestFit="1" customWidth="1"/>
    <col min="25" max="16384" width="9" style="66"/>
  </cols>
  <sheetData>
    <row r="1" spans="1:24" ht="19.899999999999999" customHeight="1">
      <c r="A1" s="186"/>
      <c r="B1" s="186"/>
      <c r="C1" s="186"/>
      <c r="D1" s="186"/>
      <c r="E1" s="186"/>
      <c r="F1" s="186"/>
      <c r="G1" s="186"/>
      <c r="H1" s="186"/>
      <c r="I1" s="186"/>
      <c r="N1" s="67"/>
      <c r="O1" s="103" t="s">
        <v>76</v>
      </c>
      <c r="Q1" s="103" t="s">
        <v>76</v>
      </c>
      <c r="S1" s="103" t="s">
        <v>76</v>
      </c>
      <c r="U1" s="103" t="s">
        <v>76</v>
      </c>
    </row>
    <row r="2" spans="1:24" ht="19.899999999999999" customHeight="1" thickBot="1">
      <c r="A2" s="186"/>
      <c r="B2" s="186"/>
      <c r="C2" s="186"/>
      <c r="D2" s="186"/>
      <c r="E2" s="186"/>
      <c r="F2" s="186"/>
      <c r="G2" s="186"/>
      <c r="H2" s="186"/>
      <c r="I2" s="186"/>
      <c r="N2" s="68"/>
      <c r="O2" s="69">
        <v>0.83499999999999996</v>
      </c>
      <c r="Q2" s="69">
        <v>0.83499999999999996</v>
      </c>
      <c r="S2" s="69">
        <v>0.83499999999999996</v>
      </c>
      <c r="U2" s="69">
        <v>0.83499999999999996</v>
      </c>
    </row>
    <row r="3" spans="1:24" ht="19.899999999999999" customHeight="1">
      <c r="A3" s="104"/>
      <c r="B3" s="104"/>
      <c r="C3" s="104"/>
      <c r="D3" s="104"/>
      <c r="E3" s="104"/>
      <c r="F3" s="104" t="s">
        <v>77</v>
      </c>
      <c r="G3" s="105"/>
      <c r="H3" s="105"/>
      <c r="I3" s="105"/>
      <c r="J3" s="197" t="s">
        <v>78</v>
      </c>
      <c r="K3" s="197"/>
      <c r="L3" s="195" t="s">
        <v>51</v>
      </c>
      <c r="M3" s="195" t="s">
        <v>5</v>
      </c>
      <c r="N3" s="191" t="s">
        <v>79</v>
      </c>
      <c r="O3" s="191"/>
      <c r="P3" s="191" t="s">
        <v>80</v>
      </c>
      <c r="Q3" s="191"/>
      <c r="R3" s="192" t="s">
        <v>81</v>
      </c>
      <c r="S3" s="192"/>
      <c r="T3" s="192" t="s">
        <v>82</v>
      </c>
      <c r="U3" s="192"/>
      <c r="V3" s="193" t="s">
        <v>83</v>
      </c>
      <c r="W3" s="189" t="s">
        <v>84</v>
      </c>
      <c r="X3" s="187" t="s">
        <v>45</v>
      </c>
    </row>
    <row r="4" spans="1:24" ht="19.899999999999999" customHeight="1">
      <c r="A4" s="70" t="s">
        <v>85</v>
      </c>
      <c r="B4" s="71"/>
      <c r="C4" s="71"/>
      <c r="D4" s="71"/>
      <c r="E4" s="71"/>
      <c r="F4" s="72" t="s">
        <v>86</v>
      </c>
      <c r="G4" s="72" t="s">
        <v>87</v>
      </c>
      <c r="H4" s="72" t="s">
        <v>88</v>
      </c>
      <c r="I4" s="72" t="s">
        <v>89</v>
      </c>
      <c r="J4" s="101" t="s">
        <v>90</v>
      </c>
      <c r="K4" s="101" t="s">
        <v>91</v>
      </c>
      <c r="L4" s="196"/>
      <c r="M4" s="196"/>
      <c r="N4" s="73" t="s">
        <v>92</v>
      </c>
      <c r="O4" s="74" t="s">
        <v>93</v>
      </c>
      <c r="P4" s="73" t="s">
        <v>94</v>
      </c>
      <c r="Q4" s="74" t="s">
        <v>93</v>
      </c>
      <c r="R4" s="74" t="s">
        <v>95</v>
      </c>
      <c r="S4" s="74" t="s">
        <v>93</v>
      </c>
      <c r="T4" s="74" t="s">
        <v>95</v>
      </c>
      <c r="U4" s="74" t="s">
        <v>93</v>
      </c>
      <c r="V4" s="194"/>
      <c r="W4" s="190"/>
      <c r="X4" s="188"/>
    </row>
    <row r="5" spans="1:24" s="106" customFormat="1" ht="30" customHeight="1">
      <c r="A5" s="131" t="str">
        <f t="shared" ref="A5:A15" si="0">F5&amp;G5&amp;H5&amp;I5</f>
        <v>E00000801011510201</v>
      </c>
      <c r="B5" s="132"/>
      <c r="C5" s="132"/>
      <c r="D5" s="132"/>
      <c r="E5" s="132"/>
      <c r="F5" s="133"/>
      <c r="G5" s="158" t="s">
        <v>115</v>
      </c>
      <c r="H5" s="134"/>
      <c r="I5" s="135"/>
      <c r="J5" s="161" t="s">
        <v>116</v>
      </c>
      <c r="K5" s="168" t="s">
        <v>117</v>
      </c>
      <c r="L5" s="162" t="s">
        <v>118</v>
      </c>
      <c r="M5" s="171">
        <v>20</v>
      </c>
      <c r="N5" s="136"/>
      <c r="O5" s="137">
        <f t="shared" ref="O5:O7" si="1">SUM(N5:N5)*M5*$O$2</f>
        <v>0</v>
      </c>
      <c r="P5" s="156">
        <v>21520</v>
      </c>
      <c r="Q5" s="137">
        <f t="shared" ref="Q5" si="2">(P5*M5)*$Q$2</f>
        <v>359384</v>
      </c>
      <c r="R5" s="139"/>
      <c r="S5" s="137">
        <f t="shared" ref="S5" si="3">R5*M5*$S$2</f>
        <v>0</v>
      </c>
      <c r="T5" s="139"/>
      <c r="U5" s="137">
        <f t="shared" ref="U5" si="4">T5*M5*$U$2</f>
        <v>0</v>
      </c>
      <c r="V5" s="140">
        <f t="shared" ref="V5:V7" si="5">SUM(O5+Q5)+S5+U5</f>
        <v>359384</v>
      </c>
      <c r="W5" s="141"/>
      <c r="X5" s="142"/>
    </row>
    <row r="6" spans="1:24" s="106" customFormat="1" ht="30" customHeight="1">
      <c r="A6" s="131" t="str">
        <f t="shared" si="0"/>
        <v>M010551316300101</v>
      </c>
      <c r="B6" s="132"/>
      <c r="C6" s="132"/>
      <c r="D6" s="132"/>
      <c r="E6" s="132"/>
      <c r="F6" s="133"/>
      <c r="G6" s="134"/>
      <c r="H6" s="159" t="s">
        <v>119</v>
      </c>
      <c r="I6" s="144"/>
      <c r="J6" s="163" t="s">
        <v>120</v>
      </c>
      <c r="K6" s="169" t="s">
        <v>121</v>
      </c>
      <c r="L6" s="163" t="s">
        <v>122</v>
      </c>
      <c r="M6" s="171">
        <v>1</v>
      </c>
      <c r="N6" s="164">
        <v>55000</v>
      </c>
      <c r="O6" s="137">
        <f t="shared" si="1"/>
        <v>45925</v>
      </c>
      <c r="P6" s="138"/>
      <c r="Q6" s="137"/>
      <c r="R6" s="139"/>
      <c r="S6" s="137"/>
      <c r="T6" s="139"/>
      <c r="U6" s="137"/>
      <c r="V6" s="140">
        <f t="shared" si="5"/>
        <v>45925</v>
      </c>
      <c r="W6" s="141"/>
      <c r="X6" s="142"/>
    </row>
    <row r="7" spans="1:24" s="106" customFormat="1" ht="30" customHeight="1">
      <c r="A7" s="131" t="str">
        <f t="shared" si="0"/>
        <v>M020412613720101</v>
      </c>
      <c r="B7" s="132"/>
      <c r="C7" s="132"/>
      <c r="D7" s="132"/>
      <c r="E7" s="132"/>
      <c r="F7" s="133"/>
      <c r="G7" s="134"/>
      <c r="H7" s="159" t="s">
        <v>133</v>
      </c>
      <c r="I7" s="144"/>
      <c r="J7" s="163" t="s">
        <v>134</v>
      </c>
      <c r="K7" s="169" t="s">
        <v>135</v>
      </c>
      <c r="L7" s="163" t="s">
        <v>136</v>
      </c>
      <c r="M7" s="171">
        <v>0.5</v>
      </c>
      <c r="N7" s="164">
        <v>91800</v>
      </c>
      <c r="O7" s="137">
        <f t="shared" si="1"/>
        <v>38326.5</v>
      </c>
      <c r="P7" s="138"/>
      <c r="Q7" s="137"/>
      <c r="R7" s="139"/>
      <c r="S7" s="137"/>
      <c r="T7" s="139"/>
      <c r="U7" s="137"/>
      <c r="V7" s="140">
        <f t="shared" si="5"/>
        <v>38326.5</v>
      </c>
      <c r="W7" s="141"/>
      <c r="X7" s="142"/>
    </row>
    <row r="8" spans="1:24" s="106" customFormat="1" ht="30" customHeight="1">
      <c r="A8" s="131" t="str">
        <f t="shared" si="0"/>
        <v>M010550114050101</v>
      </c>
      <c r="B8" s="132"/>
      <c r="C8" s="132"/>
      <c r="D8" s="132"/>
      <c r="E8" s="132"/>
      <c r="F8" s="133"/>
      <c r="G8" s="134"/>
      <c r="H8" s="159" t="s">
        <v>123</v>
      </c>
      <c r="I8" s="144"/>
      <c r="J8" s="163" t="s">
        <v>124</v>
      </c>
      <c r="K8" s="169" t="s">
        <v>125</v>
      </c>
      <c r="L8" s="163" t="s">
        <v>126</v>
      </c>
      <c r="M8" s="171">
        <v>1</v>
      </c>
      <c r="N8" s="164">
        <v>6500</v>
      </c>
      <c r="O8" s="137">
        <f t="shared" ref="O8:O17" si="6">SUM(N8:N8)*M8*$O$2</f>
        <v>5427.5</v>
      </c>
      <c r="P8" s="138"/>
      <c r="Q8" s="137"/>
      <c r="R8" s="139"/>
      <c r="S8" s="137"/>
      <c r="T8" s="139"/>
      <c r="U8" s="137"/>
      <c r="V8" s="140">
        <f t="shared" ref="V8:V17" si="7">SUM(O8+Q8)+S8+U8</f>
        <v>5427.5</v>
      </c>
      <c r="W8" s="141"/>
      <c r="X8" s="142"/>
    </row>
    <row r="9" spans="1:24" s="106" customFormat="1" ht="30" customHeight="1">
      <c r="A9" s="131" t="str">
        <f t="shared" si="0"/>
        <v>M020251411630101</v>
      </c>
      <c r="B9" s="132"/>
      <c r="C9" s="132"/>
      <c r="D9" s="132"/>
      <c r="E9" s="132"/>
      <c r="F9" s="133"/>
      <c r="G9" s="134"/>
      <c r="H9" s="159" t="s">
        <v>127</v>
      </c>
      <c r="I9" s="144"/>
      <c r="J9" s="165" t="s">
        <v>128</v>
      </c>
      <c r="K9" s="170" t="s">
        <v>129</v>
      </c>
      <c r="L9" s="165" t="s">
        <v>130</v>
      </c>
      <c r="M9" s="171">
        <v>15</v>
      </c>
      <c r="N9" s="166">
        <v>6000</v>
      </c>
      <c r="O9" s="137">
        <f t="shared" si="6"/>
        <v>75150</v>
      </c>
      <c r="P9" s="138"/>
      <c r="Q9" s="137"/>
      <c r="R9" s="139"/>
      <c r="S9" s="137"/>
      <c r="T9" s="139"/>
      <c r="U9" s="137"/>
      <c r="V9" s="140">
        <f t="shared" si="7"/>
        <v>75150</v>
      </c>
      <c r="W9" s="141"/>
      <c r="X9" s="142"/>
    </row>
    <row r="10" spans="1:24" s="106" customFormat="1" ht="30" customHeight="1">
      <c r="A10" s="131" t="str">
        <f t="shared" si="0"/>
        <v>M020412114290101</v>
      </c>
      <c r="B10" s="132"/>
      <c r="C10" s="132"/>
      <c r="D10" s="132"/>
      <c r="E10" s="132"/>
      <c r="F10" s="133"/>
      <c r="G10" s="134"/>
      <c r="H10" s="159" t="s">
        <v>131</v>
      </c>
      <c r="I10" s="144"/>
      <c r="J10" s="163" t="s">
        <v>132</v>
      </c>
      <c r="K10" s="169" t="s">
        <v>101</v>
      </c>
      <c r="L10" s="163" t="s">
        <v>102</v>
      </c>
      <c r="M10" s="171">
        <v>0.5</v>
      </c>
      <c r="N10" s="164">
        <v>88500</v>
      </c>
      <c r="O10" s="137">
        <f t="shared" si="6"/>
        <v>36948.75</v>
      </c>
      <c r="P10" s="138"/>
      <c r="Q10" s="137"/>
      <c r="R10" s="139"/>
      <c r="S10" s="137"/>
      <c r="T10" s="139"/>
      <c r="U10" s="137"/>
      <c r="V10" s="140">
        <f t="shared" si="7"/>
        <v>36948.75</v>
      </c>
      <c r="W10" s="141"/>
      <c r="X10" s="142"/>
    </row>
    <row r="11" spans="1:24" s="106" customFormat="1" ht="30" customHeight="1">
      <c r="A11" s="131" t="str">
        <f t="shared" si="0"/>
        <v>M020413111390101</v>
      </c>
      <c r="B11" s="132"/>
      <c r="C11" s="132"/>
      <c r="D11" s="132"/>
      <c r="E11" s="132"/>
      <c r="F11" s="133"/>
      <c r="G11" s="134"/>
      <c r="H11" s="159" t="s">
        <v>137</v>
      </c>
      <c r="I11" s="144"/>
      <c r="J11" s="165" t="s">
        <v>138</v>
      </c>
      <c r="K11" s="170" t="s">
        <v>139</v>
      </c>
      <c r="L11" s="165" t="s">
        <v>136</v>
      </c>
      <c r="M11" s="171">
        <v>0.5</v>
      </c>
      <c r="N11" s="166">
        <v>89200</v>
      </c>
      <c r="O11" s="137">
        <f t="shared" si="6"/>
        <v>37241</v>
      </c>
      <c r="P11" s="138"/>
      <c r="Q11" s="137"/>
      <c r="R11" s="139"/>
      <c r="S11" s="137"/>
      <c r="T11" s="139"/>
      <c r="U11" s="137"/>
      <c r="V11" s="140">
        <f t="shared" si="7"/>
        <v>37241</v>
      </c>
      <c r="W11" s="141"/>
      <c r="X11" s="142"/>
    </row>
    <row r="12" spans="1:24" s="106" customFormat="1" ht="30" customHeight="1">
      <c r="A12" s="131" t="str">
        <f t="shared" si="0"/>
        <v>M020412311620102</v>
      </c>
      <c r="B12" s="132"/>
      <c r="C12" s="132"/>
      <c r="D12" s="132"/>
      <c r="E12" s="132"/>
      <c r="F12" s="133"/>
      <c r="G12" s="134"/>
      <c r="H12" s="159" t="s">
        <v>144</v>
      </c>
      <c r="I12" s="144"/>
      <c r="J12" s="163" t="s">
        <v>145</v>
      </c>
      <c r="K12" s="169" t="s">
        <v>146</v>
      </c>
      <c r="L12" s="163" t="s">
        <v>100</v>
      </c>
      <c r="M12" s="171">
        <v>1</v>
      </c>
      <c r="N12" s="164">
        <v>6630</v>
      </c>
      <c r="O12" s="137">
        <f t="shared" ref="O12" si="8">SUM(N12:N12)*M12*$O$2</f>
        <v>5536.05</v>
      </c>
      <c r="P12" s="138"/>
      <c r="Q12" s="137"/>
      <c r="R12" s="139"/>
      <c r="S12" s="137"/>
      <c r="T12" s="139"/>
      <c r="U12" s="137"/>
      <c r="V12" s="140">
        <f t="shared" ref="V12" si="9">SUM(O12+Q12)+S12+U12</f>
        <v>5536.05</v>
      </c>
      <c r="W12" s="141"/>
      <c r="X12" s="142"/>
    </row>
    <row r="13" spans="1:24" s="106" customFormat="1" ht="30" customHeight="1">
      <c r="A13" s="131" t="str">
        <f t="shared" si="0"/>
        <v>L003</v>
      </c>
      <c r="B13" s="132"/>
      <c r="C13" s="132"/>
      <c r="D13" s="132"/>
      <c r="E13" s="132"/>
      <c r="F13" s="133"/>
      <c r="G13" s="134"/>
      <c r="H13" s="143"/>
      <c r="I13" s="160" t="s">
        <v>96</v>
      </c>
      <c r="J13" s="114" t="s">
        <v>141</v>
      </c>
      <c r="K13" s="146" t="s">
        <v>143</v>
      </c>
      <c r="L13" s="115" t="s">
        <v>151</v>
      </c>
      <c r="M13" s="171">
        <v>15</v>
      </c>
      <c r="N13" s="145"/>
      <c r="O13" s="137">
        <f t="shared" si="6"/>
        <v>0</v>
      </c>
      <c r="P13" s="156">
        <v>219321</v>
      </c>
      <c r="Q13" s="137">
        <f>(M13*P13)*130%</f>
        <v>4276759.5</v>
      </c>
      <c r="R13" s="139"/>
      <c r="S13" s="137"/>
      <c r="T13" s="139"/>
      <c r="U13" s="137"/>
      <c r="V13" s="140">
        <f t="shared" si="7"/>
        <v>4276759.5</v>
      </c>
      <c r="W13" s="130" t="s">
        <v>114</v>
      </c>
      <c r="X13" s="142"/>
    </row>
    <row r="14" spans="1:24" s="106" customFormat="1" ht="30" customHeight="1">
      <c r="A14" s="131" t="str">
        <f t="shared" si="0"/>
        <v>L002</v>
      </c>
      <c r="B14" s="132"/>
      <c r="C14" s="132"/>
      <c r="D14" s="132"/>
      <c r="E14" s="132"/>
      <c r="F14" s="133"/>
      <c r="G14" s="134"/>
      <c r="H14" s="143"/>
      <c r="I14" s="160" t="s">
        <v>140</v>
      </c>
      <c r="J14" s="114" t="s">
        <v>141</v>
      </c>
      <c r="K14" s="146" t="s">
        <v>142</v>
      </c>
      <c r="L14" s="115" t="s">
        <v>151</v>
      </c>
      <c r="M14" s="171">
        <v>5</v>
      </c>
      <c r="N14" s="145"/>
      <c r="O14" s="137">
        <f t="shared" si="6"/>
        <v>0</v>
      </c>
      <c r="P14" s="156">
        <v>167081</v>
      </c>
      <c r="Q14" s="137">
        <f>M14*P14</f>
        <v>835405</v>
      </c>
      <c r="R14" s="139"/>
      <c r="S14" s="137"/>
      <c r="T14" s="139"/>
      <c r="U14" s="137"/>
      <c r="V14" s="140">
        <f t="shared" si="7"/>
        <v>835405</v>
      </c>
      <c r="W14" s="141"/>
      <c r="X14" s="142"/>
    </row>
    <row r="15" spans="1:24" s="106" customFormat="1" ht="30" customHeight="1">
      <c r="A15" s="131" t="str">
        <f t="shared" si="0"/>
        <v>M020806810430101</v>
      </c>
      <c r="B15" s="147"/>
      <c r="C15" s="147"/>
      <c r="D15" s="147"/>
      <c r="E15" s="147"/>
      <c r="F15" s="148"/>
      <c r="G15" s="149"/>
      <c r="H15" s="80" t="s">
        <v>147</v>
      </c>
      <c r="I15" s="150"/>
      <c r="J15" s="77" t="s">
        <v>149</v>
      </c>
      <c r="K15" s="77" t="s">
        <v>148</v>
      </c>
      <c r="L15" s="151" t="s">
        <v>104</v>
      </c>
      <c r="M15" s="172">
        <v>2</v>
      </c>
      <c r="N15" s="152">
        <v>150000</v>
      </c>
      <c r="O15" s="98">
        <f t="shared" si="6"/>
        <v>250500</v>
      </c>
      <c r="P15" s="97"/>
      <c r="Q15" s="98">
        <f t="shared" ref="Q15" si="10">M15*P15</f>
        <v>0</v>
      </c>
      <c r="R15" s="99"/>
      <c r="S15" s="98">
        <f t="shared" ref="S15" si="11">R15*M15*$S$2</f>
        <v>0</v>
      </c>
      <c r="T15" s="152"/>
      <c r="U15" s="98">
        <f t="shared" ref="U15" si="12">T15*M15*$U$2</f>
        <v>0</v>
      </c>
      <c r="V15" s="153">
        <f t="shared" si="7"/>
        <v>250500</v>
      </c>
      <c r="W15" s="154"/>
      <c r="X15" s="155"/>
    </row>
    <row r="16" spans="1:24" s="106" customFormat="1" ht="30" customHeight="1">
      <c r="A16" s="75"/>
      <c r="B16" s="157"/>
      <c r="C16" s="157"/>
      <c r="D16" s="157"/>
      <c r="E16" s="157"/>
      <c r="F16" s="76"/>
      <c r="G16" s="80"/>
      <c r="H16" s="80"/>
      <c r="I16" s="92"/>
      <c r="J16" s="116" t="s">
        <v>150</v>
      </c>
      <c r="K16" s="117" t="s">
        <v>113</v>
      </c>
      <c r="L16" s="118" t="s">
        <v>103</v>
      </c>
      <c r="M16" s="173">
        <v>5</v>
      </c>
      <c r="N16" s="167"/>
      <c r="O16" s="98"/>
      <c r="P16" s="97"/>
      <c r="Q16" s="98"/>
      <c r="R16" s="99">
        <v>700000</v>
      </c>
      <c r="S16" s="98">
        <f>M16*R16</f>
        <v>3500000</v>
      </c>
      <c r="T16" s="99"/>
      <c r="U16" s="98"/>
      <c r="V16" s="78">
        <f t="shared" si="7"/>
        <v>3500000</v>
      </c>
      <c r="W16" s="81"/>
      <c r="X16" s="79"/>
    </row>
    <row r="17" spans="1:24" s="106" customFormat="1" ht="30" customHeight="1">
      <c r="A17" s="131" t="str">
        <f t="shared" ref="A17" si="13">F17&amp;G17&amp;H17&amp;I17</f>
        <v/>
      </c>
      <c r="B17" s="132"/>
      <c r="C17" s="132"/>
      <c r="D17" s="132"/>
      <c r="E17" s="132"/>
      <c r="F17" s="133"/>
      <c r="G17" s="134"/>
      <c r="H17" s="143"/>
      <c r="I17" s="144"/>
      <c r="J17" s="114"/>
      <c r="K17" s="114"/>
      <c r="L17" s="115"/>
      <c r="M17" s="113"/>
      <c r="N17" s="145"/>
      <c r="O17" s="137">
        <f t="shared" si="6"/>
        <v>0</v>
      </c>
      <c r="P17" s="138"/>
      <c r="Q17" s="137"/>
      <c r="R17" s="139"/>
      <c r="S17" s="137"/>
      <c r="T17" s="139"/>
      <c r="U17" s="137"/>
      <c r="V17" s="140">
        <f t="shared" si="7"/>
        <v>0</v>
      </c>
      <c r="W17" s="141"/>
      <c r="X17" s="142"/>
    </row>
    <row r="18" spans="1:24" s="108" customFormat="1" ht="30" customHeight="1">
      <c r="A18" s="107"/>
      <c r="B18" s="107"/>
      <c r="C18" s="107"/>
      <c r="D18" s="107"/>
      <c r="E18" s="107"/>
      <c r="J18" s="102"/>
      <c r="K18" s="102"/>
      <c r="O18" s="111">
        <f>SUM(O5:O17)</f>
        <v>495054.8</v>
      </c>
      <c r="Q18" s="111">
        <f>SUM(Q5:Q17)</f>
        <v>5471548.5</v>
      </c>
      <c r="S18" s="111">
        <f>SUM(S5:S17)</f>
        <v>3500000</v>
      </c>
      <c r="U18" s="111">
        <f>SUM(U5:U17)</f>
        <v>0</v>
      </c>
      <c r="V18" s="112">
        <f>SUM(V5:V17)</f>
        <v>9466603.3000000007</v>
      </c>
      <c r="W18" s="82"/>
    </row>
    <row r="19" spans="1:24" ht="75.75" customHeight="1">
      <c r="J19" s="66"/>
      <c r="K19" s="66"/>
      <c r="U19" s="67"/>
      <c r="W19" s="66"/>
    </row>
    <row r="20" spans="1:24" ht="30" customHeight="1">
      <c r="J20" s="66"/>
      <c r="K20" s="66"/>
      <c r="U20" s="67"/>
      <c r="W20" s="66"/>
    </row>
    <row r="21" spans="1:24" ht="30" customHeight="1">
      <c r="J21" s="66"/>
      <c r="K21" s="66"/>
      <c r="U21" s="67"/>
      <c r="W21" s="66"/>
    </row>
    <row r="22" spans="1:24" ht="30" customHeight="1">
      <c r="J22" s="66"/>
      <c r="K22" s="66"/>
      <c r="O22" s="110"/>
      <c r="U22" s="67"/>
      <c r="W22" s="66"/>
    </row>
    <row r="23" spans="1:24" ht="30" customHeight="1">
      <c r="J23" s="66"/>
      <c r="K23" s="66"/>
      <c r="O23" s="110"/>
      <c r="U23" s="67"/>
      <c r="W23" s="66"/>
    </row>
    <row r="24" spans="1:24" ht="30" customHeight="1">
      <c r="J24" s="66"/>
      <c r="K24" s="66"/>
      <c r="O24" s="110"/>
      <c r="U24" s="67"/>
      <c r="W24" s="66"/>
    </row>
    <row r="25" spans="1:24" ht="38.1" customHeight="1">
      <c r="J25" s="185"/>
      <c r="K25" s="185"/>
      <c r="Q25" s="110"/>
    </row>
    <row r="26" spans="1:24" ht="38.1" customHeight="1">
      <c r="J26" s="185"/>
      <c r="K26" s="185"/>
      <c r="Q26" s="110"/>
    </row>
  </sheetData>
  <mergeCells count="14">
    <mergeCell ref="J25:K25"/>
    <mergeCell ref="J26:K26"/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A25:P27"/>
  <sheetViews>
    <sheetView topLeftCell="A19" zoomScale="130" zoomScaleNormal="130" zoomScaleSheetLayoutView="85" workbookViewId="0">
      <selection activeCell="O48" sqref="O48"/>
    </sheetView>
  </sheetViews>
  <sheetFormatPr defaultColWidth="9" defaultRowHeight="14.25"/>
  <cols>
    <col min="1" max="1" width="11.5" style="93" bestFit="1" customWidth="1"/>
    <col min="2" max="2" width="17.875" style="93" customWidth="1"/>
    <col min="3" max="3" width="14.625" style="93" customWidth="1"/>
    <col min="4" max="4" width="10.875" style="93" customWidth="1"/>
    <col min="5" max="5" width="12" style="93" customWidth="1"/>
    <col min="6" max="6" width="10.625" style="93" customWidth="1"/>
    <col min="7" max="7" width="13.625" style="94" customWidth="1"/>
    <col min="8" max="8" width="9.625" style="93" customWidth="1"/>
    <col min="9" max="9" width="13.625" style="93" customWidth="1"/>
    <col min="10" max="10" width="12.75" style="93" customWidth="1"/>
    <col min="11" max="11" width="9.25" style="93" customWidth="1"/>
    <col min="12" max="12" width="13.625" style="94" customWidth="1"/>
    <col min="13" max="13" width="9.625" style="93" customWidth="1"/>
    <col min="14" max="14" width="13.625" style="94" customWidth="1"/>
    <col min="15" max="15" width="19.75" style="95" bestFit="1" customWidth="1"/>
    <col min="16" max="16" width="12.25" style="95" bestFit="1" customWidth="1"/>
    <col min="17" max="16384" width="9" style="93"/>
  </cols>
  <sheetData>
    <row r="25" spans="1:16" s="120" customFormat="1" ht="30" customHeight="1">
      <c r="A25" s="119" t="s">
        <v>105</v>
      </c>
      <c r="B25" s="119"/>
      <c r="G25" s="121"/>
      <c r="L25" s="121"/>
      <c r="N25" s="121"/>
      <c r="O25" s="122"/>
      <c r="P25" s="122"/>
    </row>
    <row r="26" spans="1:16" s="120" customFormat="1" ht="30" customHeight="1">
      <c r="A26" s="123" t="s">
        <v>106</v>
      </c>
      <c r="B26" s="124" t="s">
        <v>107</v>
      </c>
      <c r="C26" s="124" t="s">
        <v>108</v>
      </c>
      <c r="D26" s="124" t="s">
        <v>94</v>
      </c>
      <c r="E26" s="125" t="s">
        <v>109</v>
      </c>
      <c r="G26" s="121"/>
      <c r="L26" s="121"/>
      <c r="N26" s="121"/>
      <c r="O26" s="122"/>
      <c r="P26" s="122"/>
    </row>
    <row r="27" spans="1:16" s="120" customFormat="1" ht="30" customHeight="1">
      <c r="A27" s="126">
        <v>999999</v>
      </c>
      <c r="B27" s="127" t="s">
        <v>110</v>
      </c>
      <c r="C27" s="127" t="s">
        <v>112</v>
      </c>
      <c r="D27" s="128">
        <v>700000</v>
      </c>
      <c r="E27" s="129" t="s">
        <v>111</v>
      </c>
      <c r="G27" s="121"/>
      <c r="L27" s="121"/>
      <c r="N27" s="121"/>
      <c r="O27" s="122"/>
      <c r="P27" s="122"/>
    </row>
  </sheetData>
  <phoneticPr fontId="7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tabSelected="1" workbookViewId="0">
      <selection activeCell="C36" sqref="C36"/>
    </sheetView>
  </sheetViews>
  <sheetFormatPr defaultColWidth="9" defaultRowHeight="14.25"/>
  <cols>
    <col min="1" max="1" width="11.125" style="96" customWidth="1"/>
    <col min="2" max="2" width="13.375" style="96" customWidth="1"/>
    <col min="3" max="3" width="38.75" style="96" customWidth="1"/>
    <col min="4" max="4" width="28.75" style="96" customWidth="1"/>
    <col min="5" max="5" width="5" style="96" customWidth="1"/>
    <col min="6" max="6" width="6.25" style="96" customWidth="1"/>
    <col min="7" max="7" width="10" style="96" customWidth="1"/>
    <col min="8" max="8" width="11.875" style="96" customWidth="1"/>
    <col min="9" max="9" width="10" style="96" customWidth="1"/>
    <col min="10" max="10" width="11.875" style="96" customWidth="1"/>
    <col min="11" max="11" width="10" style="96" customWidth="1"/>
    <col min="12" max="12" width="11.875" style="96" customWidth="1"/>
    <col min="13" max="13" width="10" style="96" customWidth="1"/>
    <col min="14" max="14" width="11.875" style="96" customWidth="1"/>
    <col min="15" max="15" width="9.125" style="96" customWidth="1"/>
    <col min="16" max="16" width="11.5" style="96" customWidth="1"/>
    <col min="17" max="17" width="11.75" style="96" customWidth="1"/>
    <col min="18" max="18" width="17.875" style="96" customWidth="1"/>
    <col min="19" max="16384" width="9" style="96"/>
  </cols>
  <sheetData>
    <row r="1" spans="1:18" ht="18" customHeight="1">
      <c r="A1" s="83" t="s">
        <v>47</v>
      </c>
      <c r="B1" s="84" t="s">
        <v>48</v>
      </c>
      <c r="C1" s="85" t="s">
        <v>49</v>
      </c>
      <c r="D1" s="85" t="s">
        <v>50</v>
      </c>
      <c r="E1" s="85" t="s">
        <v>51</v>
      </c>
      <c r="F1" s="85" t="s">
        <v>5</v>
      </c>
      <c r="G1" s="84" t="s">
        <v>52</v>
      </c>
      <c r="H1" s="84" t="s">
        <v>53</v>
      </c>
      <c r="I1" s="84" t="s">
        <v>54</v>
      </c>
      <c r="J1" s="84" t="s">
        <v>55</v>
      </c>
      <c r="K1" s="84" t="s">
        <v>56</v>
      </c>
      <c r="L1" s="84" t="s">
        <v>57</v>
      </c>
      <c r="M1" s="84" t="s">
        <v>58</v>
      </c>
      <c r="N1" s="84" t="s">
        <v>59</v>
      </c>
      <c r="O1" s="84" t="s">
        <v>60</v>
      </c>
      <c r="P1" s="84" t="s">
        <v>61</v>
      </c>
      <c r="Q1" s="84" t="s">
        <v>62</v>
      </c>
      <c r="R1" s="84" t="s">
        <v>63</v>
      </c>
    </row>
    <row r="2" spans="1:18">
      <c r="A2" s="67">
        <v>999999</v>
      </c>
      <c r="B2" s="67" t="s">
        <v>75</v>
      </c>
      <c r="C2" s="116" t="s">
        <v>150</v>
      </c>
      <c r="D2" s="117" t="s">
        <v>113</v>
      </c>
      <c r="E2" s="67" t="s">
        <v>152</v>
      </c>
      <c r="F2" s="86">
        <v>5</v>
      </c>
      <c r="G2" s="89"/>
      <c r="H2" s="66"/>
      <c r="I2" s="66"/>
      <c r="J2" s="66"/>
      <c r="K2" s="66">
        <v>700000</v>
      </c>
      <c r="L2" s="66"/>
      <c r="M2" s="66"/>
      <c r="N2" s="66"/>
      <c r="O2" s="66"/>
      <c r="P2" s="66"/>
      <c r="Q2" s="66"/>
      <c r="R2" s="66"/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12"/>
  <sheetViews>
    <sheetView showGridLines="0" zoomScaleNormal="100" workbookViewId="0">
      <selection activeCell="E36" sqref="E36"/>
    </sheetView>
  </sheetViews>
  <sheetFormatPr defaultColWidth="9" defaultRowHeight="14.2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96"/>
  </cols>
  <sheetData>
    <row r="1" spans="1:7" ht="18" customHeight="1">
      <c r="A1" s="83" t="s">
        <v>0</v>
      </c>
      <c r="B1" s="83" t="s">
        <v>1</v>
      </c>
      <c r="C1" s="83" t="s">
        <v>2</v>
      </c>
      <c r="D1" s="83" t="s">
        <v>3</v>
      </c>
      <c r="E1" s="83" t="s">
        <v>4</v>
      </c>
      <c r="F1" s="83" t="s">
        <v>5</v>
      </c>
      <c r="G1" s="66"/>
    </row>
    <row r="2" spans="1:7">
      <c r="A2" s="87" t="str">
        <f>'내역서(표준단가)'!A5</f>
        <v>E00000801011510201</v>
      </c>
      <c r="B2" s="88">
        <f>'내역서(표준단가)'!F5</f>
        <v>0</v>
      </c>
      <c r="C2" s="88" t="str">
        <f>'내역서(표준단가)'!G5</f>
        <v>E00000801011510201</v>
      </c>
      <c r="D2" s="88">
        <f>'내역서(표준단가)'!H5</f>
        <v>0</v>
      </c>
      <c r="E2" s="88">
        <f>'내역서(표준단가)'!I5</f>
        <v>0</v>
      </c>
      <c r="F2" s="174">
        <f>'내역서(표준단가)'!M5</f>
        <v>20</v>
      </c>
      <c r="G2" s="66"/>
    </row>
    <row r="3" spans="1:7">
      <c r="A3" s="87" t="str">
        <f>'내역서(표준단가)'!A6</f>
        <v>M010551316300101</v>
      </c>
      <c r="B3" s="88">
        <f>'내역서(표준단가)'!F6</f>
        <v>0</v>
      </c>
      <c r="C3" s="88">
        <f>'내역서(표준단가)'!G6</f>
        <v>0</v>
      </c>
      <c r="D3" s="88" t="str">
        <f>'내역서(표준단가)'!H6</f>
        <v>M010551316300101</v>
      </c>
      <c r="E3" s="88">
        <f>'내역서(표준단가)'!I6</f>
        <v>0</v>
      </c>
      <c r="F3" s="174">
        <f>'내역서(표준단가)'!M6</f>
        <v>1</v>
      </c>
    </row>
    <row r="4" spans="1:7">
      <c r="A4" s="87" t="str">
        <f>'내역서(표준단가)'!A7</f>
        <v>M020412613720101</v>
      </c>
      <c r="B4" s="88">
        <f>'내역서(표준단가)'!F7</f>
        <v>0</v>
      </c>
      <c r="C4" s="88">
        <f>'내역서(표준단가)'!G7</f>
        <v>0</v>
      </c>
      <c r="D4" s="88" t="str">
        <f>'내역서(표준단가)'!H7</f>
        <v>M020412613720101</v>
      </c>
      <c r="E4" s="88">
        <f>'내역서(표준단가)'!I7</f>
        <v>0</v>
      </c>
      <c r="F4" s="174">
        <f>'내역서(표준단가)'!M7</f>
        <v>0.5</v>
      </c>
    </row>
    <row r="5" spans="1:7">
      <c r="A5" s="87" t="str">
        <f>'내역서(표준단가)'!A8</f>
        <v>M010550114050101</v>
      </c>
      <c r="B5" s="88">
        <f>'내역서(표준단가)'!F8</f>
        <v>0</v>
      </c>
      <c r="C5" s="88">
        <f>'내역서(표준단가)'!G8</f>
        <v>0</v>
      </c>
      <c r="D5" s="88" t="str">
        <f>'내역서(표준단가)'!H8</f>
        <v>M010550114050101</v>
      </c>
      <c r="E5" s="88">
        <f>'내역서(표준단가)'!I8</f>
        <v>0</v>
      </c>
      <c r="F5" s="174">
        <f>'내역서(표준단가)'!M8</f>
        <v>1</v>
      </c>
    </row>
    <row r="6" spans="1:7">
      <c r="A6" s="87" t="str">
        <f>'내역서(표준단가)'!A9</f>
        <v>M020251411630101</v>
      </c>
      <c r="B6" s="88">
        <f>'내역서(표준단가)'!F9</f>
        <v>0</v>
      </c>
      <c r="C6" s="88">
        <f>'내역서(표준단가)'!G9</f>
        <v>0</v>
      </c>
      <c r="D6" s="88" t="str">
        <f>'내역서(표준단가)'!H9</f>
        <v>M020251411630101</v>
      </c>
      <c r="E6" s="88">
        <f>'내역서(표준단가)'!I9</f>
        <v>0</v>
      </c>
      <c r="F6" s="174">
        <f>'내역서(표준단가)'!M9</f>
        <v>15</v>
      </c>
    </row>
    <row r="7" spans="1:7">
      <c r="A7" s="87" t="str">
        <f>'내역서(표준단가)'!A10</f>
        <v>M020412114290101</v>
      </c>
      <c r="B7" s="88">
        <f>'내역서(표준단가)'!F10</f>
        <v>0</v>
      </c>
      <c r="C7" s="88">
        <f>'내역서(표준단가)'!G10</f>
        <v>0</v>
      </c>
      <c r="D7" s="88" t="str">
        <f>'내역서(표준단가)'!H10</f>
        <v>M020412114290101</v>
      </c>
      <c r="E7" s="88">
        <f>'내역서(표준단가)'!I10</f>
        <v>0</v>
      </c>
      <c r="F7" s="174">
        <f>'내역서(표준단가)'!M10</f>
        <v>0.5</v>
      </c>
    </row>
    <row r="8" spans="1:7">
      <c r="A8" s="87" t="str">
        <f>'내역서(표준단가)'!A11</f>
        <v>M020413111390101</v>
      </c>
      <c r="B8" s="88">
        <f>'내역서(표준단가)'!F11</f>
        <v>0</v>
      </c>
      <c r="C8" s="88">
        <f>'내역서(표준단가)'!G11</f>
        <v>0</v>
      </c>
      <c r="D8" s="88" t="str">
        <f>'내역서(표준단가)'!H11</f>
        <v>M020413111390101</v>
      </c>
      <c r="E8" s="88">
        <f>'내역서(표준단가)'!I11</f>
        <v>0</v>
      </c>
      <c r="F8" s="174">
        <f>'내역서(표준단가)'!M11</f>
        <v>0.5</v>
      </c>
    </row>
    <row r="9" spans="1:7">
      <c r="A9" s="87" t="str">
        <f>'내역서(표준단가)'!A12</f>
        <v>M020412311620102</v>
      </c>
      <c r="B9" s="88">
        <f>'내역서(표준단가)'!F12</f>
        <v>0</v>
      </c>
      <c r="C9" s="88">
        <f>'내역서(표준단가)'!G12</f>
        <v>0</v>
      </c>
      <c r="D9" s="88" t="str">
        <f>'내역서(표준단가)'!H12</f>
        <v>M020412311620102</v>
      </c>
      <c r="E9" s="88">
        <f>'내역서(표준단가)'!I12</f>
        <v>0</v>
      </c>
      <c r="F9" s="174">
        <f>'내역서(표준단가)'!M12</f>
        <v>1</v>
      </c>
    </row>
    <row r="10" spans="1:7">
      <c r="A10" s="87" t="str">
        <f>'내역서(표준단가)'!A13</f>
        <v>L003</v>
      </c>
      <c r="B10" s="88">
        <f>'내역서(표준단가)'!F13</f>
        <v>0</v>
      </c>
      <c r="C10" s="88">
        <f>'내역서(표준단가)'!G13</f>
        <v>0</v>
      </c>
      <c r="D10" s="88">
        <f>'내역서(표준단가)'!H13</f>
        <v>0</v>
      </c>
      <c r="E10" s="88" t="str">
        <f>'내역서(표준단가)'!I13</f>
        <v>L003</v>
      </c>
      <c r="F10" s="174">
        <f>'내역서(표준단가)'!M13</f>
        <v>15</v>
      </c>
    </row>
    <row r="11" spans="1:7">
      <c r="A11" s="87" t="str">
        <f>'내역서(표준단가)'!A14</f>
        <v>L002</v>
      </c>
      <c r="B11" s="88">
        <f>'내역서(표준단가)'!F14</f>
        <v>0</v>
      </c>
      <c r="C11" s="88">
        <f>'내역서(표준단가)'!G14</f>
        <v>0</v>
      </c>
      <c r="D11" s="88">
        <f>'내역서(표준단가)'!H14</f>
        <v>0</v>
      </c>
      <c r="E11" s="88" t="str">
        <f>'내역서(표준단가)'!I14</f>
        <v>L002</v>
      </c>
      <c r="F11" s="174">
        <f>'내역서(표준단가)'!M14</f>
        <v>5</v>
      </c>
    </row>
    <row r="12" spans="1:7">
      <c r="A12" s="87" t="str">
        <f>'내역서(표준단가)'!A15</f>
        <v>M020806810430101</v>
      </c>
      <c r="B12" s="88">
        <f>'내역서(표준단가)'!F15</f>
        <v>0</v>
      </c>
      <c r="C12" s="88">
        <f>'내역서(표준단가)'!G15</f>
        <v>0</v>
      </c>
      <c r="D12" s="88" t="str">
        <f>'내역서(표준단가)'!H15</f>
        <v>M020806810430101</v>
      </c>
      <c r="E12" s="88">
        <f>'내역서(표준단가)'!I15</f>
        <v>0</v>
      </c>
      <c r="F12" s="174">
        <f>'내역서(표준단가)'!M15</f>
        <v>2</v>
      </c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</vt:lpstr>
      <vt:lpstr>Upload-RS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2025-05-20T03:23:43Z</dcterms:modified>
</cp:coreProperties>
</file>
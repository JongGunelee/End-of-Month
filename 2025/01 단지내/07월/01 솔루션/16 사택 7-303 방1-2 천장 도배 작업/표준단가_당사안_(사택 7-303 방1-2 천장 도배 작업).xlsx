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28\06 작업폴더\04 사택 7-303 방1-2 천장 도배 작업\"/>
    </mc:Choice>
  </mc:AlternateContent>
  <xr:revisionPtr revIDLastSave="0" documentId="13_ncr:1_{716A454C-80DD-4DA9-A326-46F8725C5130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E3" i="1"/>
  <c r="D3" i="1"/>
  <c r="C3" i="1"/>
  <c r="B3" i="1"/>
  <c r="D10" i="9" l="1"/>
  <c r="D11" i="9" s="1"/>
  <c r="D8" i="9"/>
  <c r="F2" i="1"/>
  <c r="E2" i="1"/>
  <c r="D2" i="1"/>
  <c r="C2" i="1"/>
  <c r="B2" i="1"/>
  <c r="U5" i="4" l="1"/>
  <c r="S5" i="4"/>
  <c r="Q5" i="4"/>
  <c r="O5" i="4"/>
  <c r="A5" i="4"/>
  <c r="A2" i="1" s="1"/>
  <c r="V5" i="4" l="1"/>
  <c r="L29" i="9" l="1"/>
  <c r="J29" i="9"/>
  <c r="H29" i="9"/>
  <c r="L27" i="9"/>
  <c r="J27" i="9"/>
  <c r="L15" i="9"/>
  <c r="J15" i="9"/>
  <c r="D15" i="9"/>
  <c r="L11" i="9"/>
  <c r="J11" i="9"/>
  <c r="H10" i="9"/>
  <c r="F10" i="9"/>
  <c r="H8" i="9"/>
  <c r="F8" i="9"/>
  <c r="L30" i="9" l="1"/>
  <c r="J30" i="9"/>
  <c r="N10" i="9"/>
  <c r="F27" i="9"/>
  <c r="H15" i="9"/>
  <c r="F11" i="9"/>
  <c r="H27" i="9"/>
  <c r="H11" i="9"/>
  <c r="N8" i="9"/>
  <c r="N29" i="9"/>
  <c r="F15" i="9"/>
  <c r="F30" i="9" l="1"/>
  <c r="N15" i="9"/>
  <c r="H30" i="9"/>
  <c r="N11" i="9"/>
  <c r="N27" i="9"/>
  <c r="N30" i="9" l="1"/>
  <c r="A6" i="4"/>
  <c r="A3" i="1" s="1"/>
  <c r="O6" i="4"/>
  <c r="Q6" i="4"/>
  <c r="S6" i="4"/>
  <c r="U6" i="4"/>
  <c r="V6" i="4" l="1"/>
  <c r="Q7" i="4" l="1"/>
  <c r="F17" i="5" s="1"/>
  <c r="U7" i="4" l="1"/>
  <c r="O7" i="4"/>
  <c r="F16" i="5" s="1"/>
  <c r="F26" i="5" s="1"/>
  <c r="S7" i="4"/>
  <c r="F18" i="5" l="1"/>
  <c r="V7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<sst xmlns="http://schemas.openxmlformats.org/spreadsheetml/2006/main" count="184" uniqueCount="135">
  <si>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</si>
  <si>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</si>
  <si>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</si>
  <si>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</si>
  <si>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</si>
  <si>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</si>
  <si>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</si>
  <si>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</si>
  <si>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</si>
  <si>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</si>
  <si>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</si>
  <si>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</si>
  <si>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</si>
  <si>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</si>
  <si>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</si>
  <si>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</si>
  <si>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</si>
  <si>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</si>
  <si>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</si>
  <si>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</si>
  <si>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</si>
  <si>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</si>
  <si>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</si>
  <si>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</si>
  <si>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</si>
  <si>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</si>
  <si>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</si>
  <si>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</si>
  <si>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</si>
  <si>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</si>
  <si>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</si>
  <si>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</si>
  <si>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</si>
  <si>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</si>
  <si>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</si>
  <si>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</si>
  <si>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</si>
  <si>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</si>
  <si>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</si>
  <si>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</si>
  <si>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</si>
  <si>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</si>
  <si>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</si>
  <si>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</si>
  <si>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</si>
  <si>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</si>
  <si>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</si>
  <si>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</si>
  <si>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</si>
  <si>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</si>
  <si>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</si>
  <si>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</si>
  <si>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</si>
  <si>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</si>
  <si>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</si>
  <si>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</si>
  <si>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</si>
  <si>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</si>
  <si>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</si>
  <si>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</si>
  <si>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</si>
  <si>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</si>
  <si>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</si>
  <si>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</si>
  <si>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</si>
  <si>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</si>
  <si>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</si>
  <si>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</si>
  <si>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</si>
  <si>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</si>
  <si>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</si>
  <si>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</si>
  <si>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</si>
  <si>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</si>
  <si>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</si>
  <si>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</si>
  <si>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</si>
  <si>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</si>
  <si>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</si>
  <si>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</si>
  <si>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</si>
  <si>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</si>
  <si>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</si>
  <si>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</si>
  <si>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</si>
  <si>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</si>
  <si>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</si>
  <si>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</si>
  <si>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</si>
  <si>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</si>
  <si>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</si>
  <si>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</si>
  <si>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</si>
  <si>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</si>
  <si>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</si>
  <si>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</si>
  <si>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</si>
  <si>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</si>
  <si>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</si>
  <si>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</si>
  <si>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</si>
  <si>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</si>
  <si>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</si>
  <si>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</si>
  <si>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</si>
  <si>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</si>
  <si>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</si>
  <si>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</si>
  <si>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</si>
  <si>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</si>
  <si>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</si>
  <si>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</si>
  <si>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</si>
  <si>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</si>
  <si>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</si>
  <si>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</si>
  <si>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</si>
  <si>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</si>
  <si>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교체(천장)</t>
    <phoneticPr fontId="5" type="noConversion"/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</si>
  <si>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</si>
  <si>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</si>
  <si>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</si>
  <si>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</si>
  <si>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</si>
  <si>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</si>
  <si>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</si>
  <si>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</si>
  <si>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</si>
  <si>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</si>
  <si>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R/L</t>
  </si>
  <si>
    <t xml:space="preserve"> 견적일 : 2025 년  04월  18일</t>
    <phoneticPr fontId="11" type="noConversion"/>
  </si>
  <si>
    <t xml:space="preserve"> 공사명 : 사택 7-303 방1,2 천장 도배보수</t>
    <phoneticPr fontId="11" type="noConversion"/>
  </si>
  <si>
    <t>7-303 방1,2 천장 도배보수</t>
    <phoneticPr fontId="5" type="noConversion"/>
  </si>
  <si>
    <r>
      <t>일당 시공량-천장 35㎡ 적산정보 500p 참조,</t>
    </r>
    <r>
      <rPr>
        <b/>
        <sz val="10"/>
        <color rgb="FFFF0000"/>
        <rFont val="LG스마트체 Regular"/>
        <family val="3"/>
        <charset val="129"/>
      </rPr>
      <t xml:space="preserve"> 시공총량20/일당35=0.57</t>
    </r>
    <phoneticPr fontId="5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</si>
  <si>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b/>
        <sz val="10"/>
        <color rgb="FFFF0000"/>
        <rFont val="LG스마트체 Regular"/>
        <family val="3"/>
        <charset val="129"/>
      </rPr>
      <t>소요량20/16.51=1.21R/L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</si>
</sst>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0.00_);[Red]\(0.00\)"/>
  </numFmts>
  <fonts count="3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10"/>
      <name val="Segoe UI Symbol"/>
      <family val="3"/>
    </font>
    <font>
      <b/>
      <sz val="10"/>
      <color rgb="FFFF0000"/>
      <name val="LG스마트체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2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8" fontId="24" fillId="5" borderId="31" xfId="13" applyNumberFormat="1" applyFont="1" applyFill="1" applyBorder="1" applyAlignment="1">
      <alignment horizontal="center" vertical="center" wrapText="1"/>
    </xf>
    <xf numFmtId="189" fontId="19" fillId="0" borderId="1" xfId="1" applyNumberFormat="1" applyFont="1" applyBorder="1" applyAlignment="1">
      <alignment horizontal="center" vertical="center"/>
    </xf>
    <xf numFmtId="187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1" fontId="19" fillId="5" borderId="3" xfId="0" applyNumberFormat="1" applyFont="1" applyFill="1" applyBorder="1" applyAlignment="1">
      <alignment horizontal="right" vertical="center" wrapText="1"/>
    </xf>
    <xf numFmtId="191" fontId="19" fillId="6" borderId="3" xfId="1" applyNumberFormat="1" applyFont="1" applyFill="1" applyBorder="1" applyAlignment="1">
      <alignment horizontal="right" vertical="center" wrapText="1"/>
    </xf>
    <xf numFmtId="191" fontId="19" fillId="0" borderId="3" xfId="1" applyNumberFormat="1" applyFont="1" applyFill="1" applyBorder="1" applyAlignment="1">
      <alignment horizontal="right" vertical="center" wrapText="1"/>
    </xf>
    <xf numFmtId="191" fontId="19" fillId="5" borderId="3" xfId="0" applyNumberFormat="1" applyFont="1" applyFill="1" applyBorder="1" applyAlignment="1">
      <alignment horizontal="right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1" fontId="19" fillId="5" borderId="3" xfId="1" applyNumberFormat="1" applyFont="1" applyFill="1" applyBorder="1" applyAlignment="1">
      <alignment horizontal="right" vertical="center"/>
    </xf>
    <xf numFmtId="192" fontId="19" fillId="0" borderId="3" xfId="1" applyNumberFormat="1" applyFont="1" applyFill="1" applyBorder="1" applyAlignment="1">
      <alignment horizontal="center" vertical="center"/>
    </xf>
    <xf numFmtId="49" fontId="27" fillId="0" borderId="3" xfId="0" applyNumberFormat="1" applyFont="1" applyBorder="1" applyAlignment="1">
      <alignment horizontal="center" vertical="center" wrapText="1"/>
    </xf>
    <xf numFmtId="185" fontId="24" fillId="0" borderId="31" xfId="13" applyNumberFormat="1" applyFont="1" applyFill="1" applyBorder="1" applyAlignment="1">
      <alignment horizontal="center" vertical="center"/>
    </xf>
    <xf numFmtId="177" fontId="24" fillId="0" borderId="31" xfId="13" applyFont="1" applyFill="1" applyBorder="1" applyAlignment="1">
      <alignment horizontal="center" vertical="center"/>
    </xf>
    <xf numFmtId="0" fontId="19" fillId="0" borderId="31" xfId="13" applyNumberFormat="1" applyFont="1" applyFill="1" applyBorder="1" applyAlignment="1">
      <alignment vertical="center"/>
    </xf>
    <xf numFmtId="49" fontId="24" fillId="0" borderId="31" xfId="0" applyNumberFormat="1" applyFont="1" applyBorder="1" applyAlignment="1">
      <alignment horizontal="center" vertical="center"/>
    </xf>
    <xf numFmtId="188" fontId="24" fillId="0" borderId="31" xfId="13" applyNumberFormat="1" applyFont="1" applyFill="1" applyBorder="1" applyAlignment="1">
      <alignment horizontal="center" vertical="center" wrapText="1"/>
    </xf>
    <xf numFmtId="183" fontId="24" fillId="0" borderId="31" xfId="13" applyNumberFormat="1" applyFont="1" applyFill="1" applyBorder="1" applyAlignment="1">
      <alignment horizontal="center" vertical="center" wrapText="1"/>
    </xf>
    <xf numFmtId="180" fontId="22" fillId="0" borderId="16" xfId="6" applyNumberFormat="1" applyFont="1" applyBorder="1" applyAlignment="1">
      <alignment vertical="center"/>
    </xf>
    <xf numFmtId="190" fontId="24" fillId="10" borderId="31" xfId="13" applyNumberFormat="1" applyFont="1" applyFill="1" applyBorder="1" applyAlignment="1">
      <alignment horizontal="center" vertical="center"/>
    </xf>
    <xf numFmtId="190" fontId="24" fillId="0" borderId="31" xfId="13" applyNumberFormat="1" applyFont="1" applyBorder="1" applyAlignment="1">
      <alignment horizontal="center" vertical="center" wrapText="1"/>
    </xf>
    <xf numFmtId="193" fontId="24" fillId="0" borderId="31" xfId="13" applyNumberFormat="1" applyFont="1" applyFill="1" applyBorder="1" applyAlignment="1">
      <alignment horizontal="right" vertical="center"/>
    </xf>
    <xf numFmtId="188" fontId="25" fillId="11" borderId="31" xfId="13" applyNumberFormat="1" applyFont="1" applyFill="1" applyBorder="1" applyAlignment="1">
      <alignment horizontal="center" vertical="center" wrapText="1"/>
    </xf>
    <xf numFmtId="185" fontId="24" fillId="13" borderId="31" xfId="13" applyNumberFormat="1" applyFont="1" applyFill="1" applyBorder="1" applyAlignment="1">
      <alignment horizontal="center" vertical="center"/>
    </xf>
    <xf numFmtId="177" fontId="24" fillId="13" borderId="31" xfId="13" applyFont="1" applyFill="1" applyBorder="1" applyAlignment="1">
      <alignment horizontal="center" vertical="center"/>
    </xf>
    <xf numFmtId="193" fontId="24" fillId="13" borderId="31" xfId="13" applyNumberFormat="1" applyFont="1" applyFill="1" applyBorder="1" applyAlignment="1">
      <alignment horizontal="right" vertical="center"/>
    </xf>
    <xf numFmtId="183" fontId="24" fillId="13" borderId="31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0" borderId="31" xfId="13" applyNumberFormat="1" applyFont="1" applyFill="1" applyBorder="1" applyAlignment="1">
      <alignment vertical="center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K23" sqref="K22:K23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65" t="s">
        <v>6</v>
      </c>
      <c r="B2" s="165"/>
      <c r="C2" s="165"/>
      <c r="D2" s="165"/>
      <c r="E2" s="165"/>
      <c r="F2" s="165"/>
      <c r="G2" s="165"/>
      <c r="H2" s="2"/>
    </row>
    <row r="3" spans="1:9" ht="14.25" x14ac:dyDescent="0.2">
      <c r="A3" s="121"/>
      <c r="B3" s="121"/>
      <c r="C3" s="121"/>
      <c r="D3" s="121"/>
      <c r="E3" s="121"/>
      <c r="F3" s="121"/>
      <c r="G3" s="121"/>
      <c r="H3" s="121"/>
    </row>
    <row r="4" spans="1:9" ht="14.25" x14ac:dyDescent="0.2">
      <c r="A4" s="121"/>
      <c r="B4" s="121"/>
      <c r="C4" s="121"/>
      <c r="D4" s="121"/>
      <c r="E4" s="121"/>
      <c r="H4" s="121"/>
    </row>
    <row r="5" spans="1:9" ht="27" customHeight="1" x14ac:dyDescent="0.2">
      <c r="A5" s="122" t="s">
        <v>48</v>
      </c>
      <c r="B5" s="4"/>
      <c r="C5" s="5"/>
      <c r="D5" s="121"/>
      <c r="E5" s="121"/>
      <c r="F5" s="6" t="s">
        <v>38</v>
      </c>
      <c r="G5" s="7" t="s">
        <v>52</v>
      </c>
      <c r="H5" s="121"/>
    </row>
    <row r="6" spans="1:9" ht="27" customHeight="1" x14ac:dyDescent="0.2">
      <c r="A6" s="121"/>
      <c r="B6" s="121"/>
      <c r="C6" s="121"/>
      <c r="D6" s="121"/>
      <c r="E6" s="121"/>
      <c r="F6" s="8" t="s">
        <v>41</v>
      </c>
      <c r="G6" s="9" t="s">
        <v>53</v>
      </c>
      <c r="H6" s="121"/>
    </row>
    <row r="7" spans="1:9" ht="27" customHeight="1" x14ac:dyDescent="0.2">
      <c r="A7" s="168" t="s">
        <v>131</v>
      </c>
      <c r="B7" s="169"/>
      <c r="C7" s="170"/>
      <c r="D7" s="121"/>
      <c r="E7" s="10"/>
      <c r="F7" s="11" t="s">
        <v>42</v>
      </c>
      <c r="G7" s="9" t="s">
        <v>54</v>
      </c>
      <c r="H7" s="121"/>
    </row>
    <row r="8" spans="1:9" ht="27" customHeight="1" x14ac:dyDescent="0.2">
      <c r="A8" s="121"/>
      <c r="B8" s="121"/>
      <c r="C8" s="121"/>
      <c r="D8" s="121"/>
      <c r="E8" s="121"/>
      <c r="F8" s="8" t="s">
        <v>43</v>
      </c>
      <c r="G8" s="9" t="s">
        <v>55</v>
      </c>
      <c r="H8" s="121"/>
    </row>
    <row r="9" spans="1:9" ht="27" customHeight="1" x14ac:dyDescent="0.2">
      <c r="A9" s="168" t="s">
        <v>130</v>
      </c>
      <c r="B9" s="169"/>
      <c r="C9" s="170"/>
      <c r="D9" s="121"/>
      <c r="E9" s="121"/>
      <c r="F9" s="8" t="s">
        <v>44</v>
      </c>
      <c r="G9" s="9" t="s">
        <v>56</v>
      </c>
      <c r="H9" s="121"/>
    </row>
    <row r="10" spans="1:9" ht="27" customHeight="1" x14ac:dyDescent="0.2">
      <c r="A10" s="121"/>
      <c r="B10" s="121"/>
      <c r="C10" s="121"/>
      <c r="D10" s="121"/>
      <c r="E10" s="121"/>
      <c r="F10" s="12" t="s">
        <v>39</v>
      </c>
      <c r="G10" s="13" t="s">
        <v>57</v>
      </c>
      <c r="H10" s="121"/>
      <c r="I10" s="121"/>
    </row>
    <row r="11" spans="1:9" ht="27" customHeight="1" x14ac:dyDescent="0.2">
      <c r="A11" s="166"/>
      <c r="B11" s="167"/>
      <c r="C11" s="167"/>
      <c r="D11" s="121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삼십만사천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1"/>
      <c r="B13" s="121"/>
      <c r="C13" s="121"/>
      <c r="D13" s="121"/>
      <c r="E13" s="121"/>
      <c r="F13" s="121"/>
      <c r="G13" s="121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21116.314999999999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231823.82219999994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252940.13719999994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10432.071998999996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8218.1544969899987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1064.2510073602048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2341.4206042199994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8252.9280703199984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126</v>
      </c>
      <c r="D26" s="30">
        <v>1</v>
      </c>
      <c r="E26" s="30" t="s">
        <v>25</v>
      </c>
      <c r="F26" s="43">
        <f>(F16+F17)*3.11%</f>
        <v>7866.4382669199977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13499.954332240508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51675.218777050701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304615.35597705061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304000</v>
      </c>
      <c r="G31" s="156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7"/>
  <sheetViews>
    <sheetView showGridLines="0" zoomScale="80" zoomScaleNormal="80" workbookViewId="0">
      <pane ySplit="4" topLeftCell="A5" activePane="bottomLeft" state="frozen"/>
      <selection pane="bottomLeft" activeCell="P14" sqref="P14"/>
    </sheetView>
  </sheetViews>
  <sheetFormatPr defaultColWidth="9" defaultRowHeight="38.1" customHeight="1" x14ac:dyDescent="0.3"/>
  <cols>
    <col min="1" max="1" width="22.625" style="146" bestFit="1" customWidth="1"/>
    <col min="2" max="5" width="4.625" style="146" hidden="1" customWidth="1"/>
    <col min="6" max="6" width="9" style="136" hidden="1" customWidth="1"/>
    <col min="7" max="9" width="12.625" style="136" hidden="1" customWidth="1"/>
    <col min="10" max="11" width="30.625" style="131" customWidth="1"/>
    <col min="12" max="12" width="12.375" style="136" bestFit="1" customWidth="1"/>
    <col min="13" max="13" width="8.25" style="136" customWidth="1"/>
    <col min="14" max="14" width="10.625" style="136" bestFit="1" customWidth="1"/>
    <col min="15" max="15" width="13.25" style="136" bestFit="1" customWidth="1"/>
    <col min="16" max="16" width="12" style="136" bestFit="1" customWidth="1"/>
    <col min="17" max="17" width="15.625" style="136" bestFit="1" customWidth="1"/>
    <col min="18" max="18" width="9" style="136" customWidth="1"/>
    <col min="19" max="19" width="8.75" style="136" bestFit="1" customWidth="1"/>
    <col min="20" max="20" width="10.5" style="136" customWidth="1"/>
    <col min="21" max="21" width="8.75" style="136" bestFit="1" customWidth="1"/>
    <col min="22" max="22" width="15.625" style="136" bestFit="1" customWidth="1"/>
    <col min="23" max="23" width="10.625" style="66" bestFit="1" customWidth="1"/>
    <col min="24" max="24" width="8.5" style="136" bestFit="1" customWidth="1"/>
    <col min="25" max="16384" width="9" style="136"/>
  </cols>
  <sheetData>
    <row r="1" spans="1:24" ht="19.899999999999999" customHeight="1" x14ac:dyDescent="0.3">
      <c r="A1" s="171"/>
      <c r="B1" s="171"/>
      <c r="C1" s="171"/>
      <c r="D1" s="171"/>
      <c r="E1" s="171"/>
      <c r="F1" s="171"/>
      <c r="G1" s="171"/>
      <c r="H1" s="171"/>
      <c r="I1" s="171"/>
      <c r="N1" s="66"/>
      <c r="O1" s="134" t="s">
        <v>96</v>
      </c>
      <c r="Q1" s="134" t="s">
        <v>96</v>
      </c>
      <c r="S1" s="134" t="s">
        <v>96</v>
      </c>
      <c r="U1" s="134" t="s">
        <v>96</v>
      </c>
    </row>
    <row r="2" spans="1:24" ht="19.899999999999999" customHeight="1" thickBot="1" x14ac:dyDescent="0.35">
      <c r="A2" s="171"/>
      <c r="B2" s="171"/>
      <c r="C2" s="171"/>
      <c r="D2" s="171"/>
      <c r="E2" s="171"/>
      <c r="F2" s="171"/>
      <c r="G2" s="171"/>
      <c r="H2" s="171"/>
      <c r="I2" s="171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37"/>
      <c r="B3" s="138"/>
      <c r="C3" s="138"/>
      <c r="D3" s="138"/>
      <c r="E3" s="138"/>
      <c r="F3" s="138" t="s">
        <v>97</v>
      </c>
      <c r="G3" s="138"/>
      <c r="H3" s="138"/>
      <c r="I3" s="138"/>
      <c r="J3" s="182" t="s">
        <v>98</v>
      </c>
      <c r="K3" s="182"/>
      <c r="L3" s="180" t="s">
        <v>47</v>
      </c>
      <c r="M3" s="180" t="s">
        <v>5</v>
      </c>
      <c r="N3" s="176" t="s">
        <v>99</v>
      </c>
      <c r="O3" s="176"/>
      <c r="P3" s="176" t="s">
        <v>100</v>
      </c>
      <c r="Q3" s="176"/>
      <c r="R3" s="177" t="s">
        <v>101</v>
      </c>
      <c r="S3" s="177"/>
      <c r="T3" s="177" t="s">
        <v>102</v>
      </c>
      <c r="U3" s="177"/>
      <c r="V3" s="178" t="s">
        <v>103</v>
      </c>
      <c r="W3" s="174" t="s">
        <v>104</v>
      </c>
      <c r="X3" s="172" t="s">
        <v>45</v>
      </c>
    </row>
    <row r="4" spans="1:24" ht="19.899999999999999" customHeight="1" x14ac:dyDescent="0.3">
      <c r="A4" s="69" t="s">
        <v>105</v>
      </c>
      <c r="B4" s="135"/>
      <c r="C4" s="135"/>
      <c r="D4" s="135"/>
      <c r="E4" s="135"/>
      <c r="F4" s="70" t="s">
        <v>106</v>
      </c>
      <c r="G4" s="70" t="s">
        <v>107</v>
      </c>
      <c r="H4" s="70" t="s">
        <v>108</v>
      </c>
      <c r="I4" s="70" t="s">
        <v>109</v>
      </c>
      <c r="J4" s="132" t="s">
        <v>110</v>
      </c>
      <c r="K4" s="132" t="s">
        <v>111</v>
      </c>
      <c r="L4" s="181"/>
      <c r="M4" s="181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79"/>
      <c r="W4" s="175"/>
      <c r="X4" s="173"/>
    </row>
    <row r="5" spans="1:24" s="139" customFormat="1" ht="38.1" customHeight="1" x14ac:dyDescent="0.3">
      <c r="A5" s="73" t="str">
        <f t="shared" ref="A5" si="0">F5&amp;G5&amp;H5&amp;I5</f>
        <v>M020853710050101</v>
      </c>
      <c r="B5" s="106"/>
      <c r="C5" s="106"/>
      <c r="D5" s="106"/>
      <c r="E5" s="106"/>
      <c r="F5" s="100"/>
      <c r="G5" s="74"/>
      <c r="H5" s="74" t="s">
        <v>127</v>
      </c>
      <c r="I5" s="100"/>
      <c r="J5" s="130" t="s">
        <v>128</v>
      </c>
      <c r="K5" s="149" t="s">
        <v>134</v>
      </c>
      <c r="L5" s="117" t="s">
        <v>129</v>
      </c>
      <c r="M5" s="148">
        <v>1.21</v>
      </c>
      <c r="N5" s="147">
        <v>20900</v>
      </c>
      <c r="O5" s="127">
        <f t="shared" ref="O5" si="1">SUM(N5:N5)*M5*$O$2</f>
        <v>21116.314999999999</v>
      </c>
      <c r="P5" s="126"/>
      <c r="Q5" s="127">
        <f t="shared" ref="Q5" si="2">(P5*M5)*$Q$2</f>
        <v>0</v>
      </c>
      <c r="R5" s="128"/>
      <c r="S5" s="127">
        <f t="shared" ref="S5" si="3">R5*M5*$S$2</f>
        <v>0</v>
      </c>
      <c r="T5" s="128"/>
      <c r="U5" s="127">
        <f t="shared" ref="U5" si="4">T5*M5*$U$2</f>
        <v>0</v>
      </c>
      <c r="V5" s="76">
        <f t="shared" ref="V5" si="5">SUM(O5+Q5)+S5+U5</f>
        <v>21116.314999999999</v>
      </c>
      <c r="W5" s="116"/>
      <c r="X5" s="77"/>
    </row>
    <row r="6" spans="1:24" s="139" customFormat="1" ht="38.1" customHeight="1" x14ac:dyDescent="0.3">
      <c r="A6" s="73" t="str">
        <f t="shared" ref="A6" si="6">F6&amp;G6&amp;H6&amp;I6</f>
        <v>E00000803071260301</v>
      </c>
      <c r="B6" s="106"/>
      <c r="C6" s="106"/>
      <c r="D6" s="106"/>
      <c r="E6" s="106"/>
      <c r="F6" s="100"/>
      <c r="G6" s="74" t="s">
        <v>116</v>
      </c>
      <c r="H6" s="74"/>
      <c r="I6" s="100"/>
      <c r="J6" s="130" t="s">
        <v>118</v>
      </c>
      <c r="K6" s="149" t="s">
        <v>133</v>
      </c>
      <c r="L6" s="75" t="s">
        <v>117</v>
      </c>
      <c r="M6" s="148">
        <v>0.56999999999999995</v>
      </c>
      <c r="N6" s="129"/>
      <c r="O6" s="127">
        <f t="shared" ref="O6" si="7">SUM(N6:N6)*M6*$O$2</f>
        <v>0</v>
      </c>
      <c r="P6" s="126">
        <v>487076</v>
      </c>
      <c r="Q6" s="127">
        <f t="shared" ref="Q6" si="8">(P6*M6)*$Q$2</f>
        <v>231823.82219999994</v>
      </c>
      <c r="R6" s="128"/>
      <c r="S6" s="127">
        <f t="shared" ref="S6" si="9">R6*M6*$S$2</f>
        <v>0</v>
      </c>
      <c r="T6" s="128"/>
      <c r="U6" s="127">
        <f t="shared" ref="U6" si="10">T6*M6*$U$2</f>
        <v>0</v>
      </c>
      <c r="V6" s="76">
        <f t="shared" ref="V6" si="11">SUM(O6+Q6)+S6+U6</f>
        <v>231823.82219999994</v>
      </c>
      <c r="W6" s="116"/>
      <c r="X6" s="77"/>
    </row>
    <row r="7" spans="1:24" s="145" customFormat="1" ht="38.1" customHeight="1" x14ac:dyDescent="0.3">
      <c r="A7" s="140"/>
      <c r="B7" s="141"/>
      <c r="C7" s="141"/>
      <c r="D7" s="141"/>
      <c r="E7" s="141"/>
      <c r="F7" s="141"/>
      <c r="G7" s="141"/>
      <c r="H7" s="141"/>
      <c r="I7" s="141"/>
      <c r="J7" s="133"/>
      <c r="K7" s="133"/>
      <c r="L7" s="141"/>
      <c r="M7" s="141"/>
      <c r="N7" s="141"/>
      <c r="O7" s="142">
        <f>SUM(O5:O6)</f>
        <v>21116.314999999999</v>
      </c>
      <c r="P7" s="143"/>
      <c r="Q7" s="142">
        <f>SUM(Q5:Q6)</f>
        <v>231823.82219999994</v>
      </c>
      <c r="R7" s="143"/>
      <c r="S7" s="142">
        <f>SUM(S5:S6)</f>
        <v>0</v>
      </c>
      <c r="T7" s="143"/>
      <c r="U7" s="142">
        <f>SUM(U5:U6)</f>
        <v>0</v>
      </c>
      <c r="V7" s="144">
        <f>SUM(V5:V6)</f>
        <v>252940.13719999994</v>
      </c>
      <c r="W7" s="109"/>
      <c r="X7" s="14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0"/>
  <sheetViews>
    <sheetView zoomScaleNormal="100" workbookViewId="0">
      <selection activeCell="M37" sqref="M37"/>
    </sheetView>
  </sheetViews>
  <sheetFormatPr defaultColWidth="9" defaultRowHeight="14.25" x14ac:dyDescent="0.3"/>
  <cols>
    <col min="1" max="1" width="22.625" style="99" customWidth="1"/>
    <col min="2" max="2" width="27.625" style="99" customWidth="1"/>
    <col min="3" max="3" width="5.75" style="99" customWidth="1"/>
    <col min="4" max="4" width="5.75" style="99" bestFit="1" customWidth="1"/>
    <col min="5" max="8" width="20.625" style="99" customWidth="1"/>
    <col min="9" max="12" width="20.625" style="99" hidden="1" customWidth="1"/>
    <col min="13" max="14" width="20.625" style="99" customWidth="1"/>
    <col min="15" max="15" width="32.75" style="99" customWidth="1"/>
    <col min="16" max="16384" width="9" style="78"/>
  </cols>
  <sheetData>
    <row r="1" spans="1:15" ht="27" customHeight="1" x14ac:dyDescent="0.3">
      <c r="A1" s="192" t="s">
        <v>59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</row>
    <row r="2" spans="1:15" ht="15" customHeight="1" x14ac:dyDescent="0.3">
      <c r="A2" s="193" t="s">
        <v>60</v>
      </c>
      <c r="B2" s="194" t="s">
        <v>61</v>
      </c>
      <c r="C2" s="195" t="s">
        <v>47</v>
      </c>
      <c r="D2" s="195" t="s">
        <v>62</v>
      </c>
      <c r="E2" s="197" t="s">
        <v>63</v>
      </c>
      <c r="F2" s="194"/>
      <c r="G2" s="194" t="s">
        <v>64</v>
      </c>
      <c r="H2" s="194"/>
      <c r="I2" s="198" t="s">
        <v>65</v>
      </c>
      <c r="J2" s="199"/>
      <c r="K2" s="198" t="s">
        <v>66</v>
      </c>
      <c r="L2" s="199"/>
      <c r="M2" s="197" t="s">
        <v>67</v>
      </c>
      <c r="N2" s="194"/>
      <c r="O2" s="200" t="s">
        <v>68</v>
      </c>
    </row>
    <row r="3" spans="1:15" ht="15" customHeight="1" x14ac:dyDescent="0.3">
      <c r="A3" s="193"/>
      <c r="B3" s="194"/>
      <c r="C3" s="196"/>
      <c r="D3" s="196"/>
      <c r="E3" s="123" t="s">
        <v>69</v>
      </c>
      <c r="F3" s="123" t="s">
        <v>70</v>
      </c>
      <c r="G3" s="79" t="s">
        <v>69</v>
      </c>
      <c r="H3" s="123" t="s">
        <v>71</v>
      </c>
      <c r="I3" s="123"/>
      <c r="J3" s="123"/>
      <c r="K3" s="79" t="s">
        <v>69</v>
      </c>
      <c r="L3" s="123" t="s">
        <v>71</v>
      </c>
      <c r="M3" s="79" t="s">
        <v>69</v>
      </c>
      <c r="N3" s="123" t="s">
        <v>71</v>
      </c>
      <c r="O3" s="201"/>
    </row>
    <row r="4" spans="1:15" ht="15" customHeight="1" x14ac:dyDescent="0.3">
      <c r="A4" s="190" t="s">
        <v>132</v>
      </c>
      <c r="B4" s="191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 x14ac:dyDescent="0.3">
      <c r="A5" s="184" t="s">
        <v>72</v>
      </c>
      <c r="B5" s="150" t="s">
        <v>73</v>
      </c>
      <c r="C5" s="151" t="s">
        <v>74</v>
      </c>
      <c r="D5" s="159"/>
      <c r="E5" s="83"/>
      <c r="F5" s="83"/>
      <c r="G5" s="83"/>
      <c r="H5" s="83"/>
      <c r="I5" s="83"/>
      <c r="J5" s="83"/>
      <c r="K5" s="83"/>
      <c r="L5" s="83"/>
      <c r="M5" s="83"/>
      <c r="N5" s="83"/>
      <c r="O5" s="186"/>
    </row>
    <row r="6" spans="1:15" ht="15" customHeight="1" x14ac:dyDescent="0.3">
      <c r="A6" s="185"/>
      <c r="B6" s="150" t="s">
        <v>75</v>
      </c>
      <c r="C6" s="151" t="s">
        <v>74</v>
      </c>
      <c r="D6" s="159"/>
      <c r="E6" s="83"/>
      <c r="F6" s="83"/>
      <c r="G6" s="83"/>
      <c r="H6" s="83"/>
      <c r="I6" s="83"/>
      <c r="J6" s="83"/>
      <c r="K6" s="83"/>
      <c r="L6" s="83"/>
      <c r="M6" s="83"/>
      <c r="N6" s="83"/>
      <c r="O6" s="187"/>
    </row>
    <row r="7" spans="1:15" ht="15" customHeight="1" x14ac:dyDescent="0.3">
      <c r="A7" s="185"/>
      <c r="B7" s="150" t="s">
        <v>76</v>
      </c>
      <c r="C7" s="151" t="s">
        <v>74</v>
      </c>
      <c r="D7" s="159"/>
      <c r="E7" s="83"/>
      <c r="F7" s="83"/>
      <c r="G7" s="83"/>
      <c r="H7" s="83"/>
      <c r="I7" s="83"/>
      <c r="J7" s="83"/>
      <c r="K7" s="83"/>
      <c r="L7" s="83"/>
      <c r="M7" s="83"/>
      <c r="N7" s="83"/>
      <c r="O7" s="187"/>
    </row>
    <row r="8" spans="1:15" ht="15" customHeight="1" x14ac:dyDescent="0.3">
      <c r="A8" s="185"/>
      <c r="B8" s="161" t="s">
        <v>77</v>
      </c>
      <c r="C8" s="162" t="s">
        <v>74</v>
      </c>
      <c r="D8" s="163">
        <f>12-0.2</f>
        <v>11.8</v>
      </c>
      <c r="E8" s="164">
        <v>1057</v>
      </c>
      <c r="F8" s="164">
        <f t="shared" ref="F8:F10" si="0">D8*E8</f>
        <v>12472.6</v>
      </c>
      <c r="G8" s="164">
        <v>11617.4</v>
      </c>
      <c r="H8" s="164">
        <f t="shared" ref="H8:H10" si="1">D8*G8</f>
        <v>137085.32</v>
      </c>
      <c r="I8" s="164"/>
      <c r="J8" s="164"/>
      <c r="K8" s="164"/>
      <c r="L8" s="164"/>
      <c r="M8" s="164"/>
      <c r="N8" s="164">
        <f t="shared" ref="N8:N10" si="2">F8+H8+J8+L8</f>
        <v>149557.92000000001</v>
      </c>
      <c r="O8" s="187"/>
    </row>
    <row r="9" spans="1:15" ht="15" customHeight="1" x14ac:dyDescent="0.3">
      <c r="A9" s="185"/>
      <c r="B9" s="150" t="s">
        <v>78</v>
      </c>
      <c r="C9" s="151" t="s">
        <v>74</v>
      </c>
      <c r="D9" s="159"/>
      <c r="E9" s="83"/>
      <c r="F9" s="83"/>
      <c r="G9" s="83"/>
      <c r="H9" s="83"/>
      <c r="I9" s="83"/>
      <c r="J9" s="83"/>
      <c r="K9" s="83"/>
      <c r="L9" s="83"/>
      <c r="M9" s="83"/>
      <c r="N9" s="83"/>
      <c r="O9" s="187"/>
    </row>
    <row r="10" spans="1:15" ht="15" customHeight="1" x14ac:dyDescent="0.3">
      <c r="A10" s="185"/>
      <c r="B10" s="161" t="s">
        <v>79</v>
      </c>
      <c r="C10" s="162" t="s">
        <v>74</v>
      </c>
      <c r="D10" s="163">
        <f>12-3.9</f>
        <v>8.1</v>
      </c>
      <c r="E10" s="164">
        <v>1057</v>
      </c>
      <c r="F10" s="164">
        <f t="shared" si="0"/>
        <v>8561.6999999999989</v>
      </c>
      <c r="G10" s="164">
        <v>11617.4</v>
      </c>
      <c r="H10" s="164">
        <f t="shared" si="1"/>
        <v>94100.939999999988</v>
      </c>
      <c r="I10" s="164"/>
      <c r="J10" s="164"/>
      <c r="K10" s="164"/>
      <c r="L10" s="164"/>
      <c r="M10" s="164"/>
      <c r="N10" s="164">
        <f t="shared" si="2"/>
        <v>102662.63999999998</v>
      </c>
      <c r="O10" s="187"/>
    </row>
    <row r="11" spans="1:15" ht="15" customHeight="1" x14ac:dyDescent="0.3">
      <c r="A11" s="110" t="s">
        <v>80</v>
      </c>
      <c r="B11" s="111"/>
      <c r="C11" s="112"/>
      <c r="D11" s="160">
        <f>SUM(D5:D10)</f>
        <v>19.899999999999999</v>
      </c>
      <c r="E11" s="113"/>
      <c r="F11" s="113">
        <f>SUM(F5:F10)</f>
        <v>21034.3</v>
      </c>
      <c r="G11" s="113"/>
      <c r="H11" s="113">
        <f>SUM(H5:H10)</f>
        <v>231186.26</v>
      </c>
      <c r="I11" s="113"/>
      <c r="J11" s="113">
        <f>SUM(J5:J10)</f>
        <v>0</v>
      </c>
      <c r="K11" s="113"/>
      <c r="L11" s="113">
        <f>SUM(L5:L10)</f>
        <v>0</v>
      </c>
      <c r="M11" s="113"/>
      <c r="N11" s="113">
        <f>SUM(N5:N10)</f>
        <v>252220.56</v>
      </c>
      <c r="O11" s="113"/>
    </row>
    <row r="12" spans="1:15" ht="15" customHeight="1" x14ac:dyDescent="0.3">
      <c r="A12" s="188" t="s">
        <v>125</v>
      </c>
      <c r="B12" s="81" t="s">
        <v>81</v>
      </c>
      <c r="C12" s="82" t="s">
        <v>74</v>
      </c>
      <c r="D12" s="157"/>
      <c r="E12" s="118"/>
      <c r="F12" s="118"/>
      <c r="G12" s="83"/>
      <c r="H12" s="118"/>
      <c r="I12" s="118"/>
      <c r="J12" s="118"/>
      <c r="K12" s="83"/>
      <c r="L12" s="118"/>
      <c r="M12" s="83"/>
      <c r="N12" s="118"/>
      <c r="O12" s="187"/>
    </row>
    <row r="13" spans="1:15" ht="15" customHeight="1" x14ac:dyDescent="0.3">
      <c r="A13" s="188"/>
      <c r="B13" s="81" t="s">
        <v>82</v>
      </c>
      <c r="C13" s="82" t="s">
        <v>74</v>
      </c>
      <c r="D13" s="158"/>
      <c r="E13" s="118"/>
      <c r="F13" s="118"/>
      <c r="G13" s="83"/>
      <c r="H13" s="118"/>
      <c r="I13" s="118"/>
      <c r="J13" s="118"/>
      <c r="K13" s="83"/>
      <c r="L13" s="118"/>
      <c r="M13" s="83"/>
      <c r="N13" s="118"/>
      <c r="O13" s="187"/>
    </row>
    <row r="14" spans="1:15" ht="15" customHeight="1" x14ac:dyDescent="0.3">
      <c r="A14" s="188"/>
      <c r="B14" s="81" t="s">
        <v>83</v>
      </c>
      <c r="C14" s="82" t="s">
        <v>74</v>
      </c>
      <c r="D14" s="158"/>
      <c r="E14" s="118"/>
      <c r="F14" s="118"/>
      <c r="G14" s="83"/>
      <c r="H14" s="118"/>
      <c r="I14" s="118"/>
      <c r="J14" s="118"/>
      <c r="K14" s="83"/>
      <c r="L14" s="118"/>
      <c r="M14" s="83"/>
      <c r="N14" s="118"/>
      <c r="O14" s="187"/>
    </row>
    <row r="15" spans="1:15" ht="15" customHeight="1" x14ac:dyDescent="0.3">
      <c r="A15" s="101" t="s">
        <v>80</v>
      </c>
      <c r="B15" s="84"/>
      <c r="C15" s="88"/>
      <c r="D15" s="88">
        <f>SUM(D12:D14)</f>
        <v>0</v>
      </c>
      <c r="E15" s="87"/>
      <c r="F15" s="87">
        <f>SUM(F12:F14)</f>
        <v>0</v>
      </c>
      <c r="G15" s="87"/>
      <c r="H15" s="87">
        <f>SUM(H12:H14)</f>
        <v>0</v>
      </c>
      <c r="I15" s="87"/>
      <c r="J15" s="87">
        <f>SUM(J12:J14)</f>
        <v>0</v>
      </c>
      <c r="K15" s="87"/>
      <c r="L15" s="87">
        <f>SUM(L12:L14)</f>
        <v>0</v>
      </c>
      <c r="M15" s="87"/>
      <c r="N15" s="87">
        <f>SUM(N12:N14)</f>
        <v>0</v>
      </c>
      <c r="O15" s="87"/>
    </row>
    <row r="16" spans="1:15" ht="15" customHeight="1" x14ac:dyDescent="0.3">
      <c r="A16" s="107" t="s">
        <v>84</v>
      </c>
      <c r="B16" s="89"/>
      <c r="C16" s="90"/>
      <c r="D16" s="91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1:15" ht="15" customHeight="1" x14ac:dyDescent="0.3">
      <c r="A17" s="152" t="s">
        <v>124</v>
      </c>
      <c r="B17" s="153" t="s">
        <v>121</v>
      </c>
      <c r="C17" s="153" t="s">
        <v>120</v>
      </c>
      <c r="D17" s="154"/>
      <c r="E17" s="83"/>
      <c r="F17" s="118"/>
      <c r="G17" s="83"/>
      <c r="H17" s="83"/>
      <c r="I17" s="83"/>
      <c r="J17" s="83"/>
      <c r="K17" s="83"/>
      <c r="L17" s="83"/>
      <c r="M17" s="83"/>
      <c r="N17" s="119"/>
      <c r="O17" s="83"/>
    </row>
    <row r="18" spans="1:15" ht="15" customHeight="1" x14ac:dyDescent="0.3">
      <c r="A18" s="189" t="s">
        <v>85</v>
      </c>
      <c r="B18" s="150" t="s">
        <v>86</v>
      </c>
      <c r="C18" s="151" t="s">
        <v>74</v>
      </c>
      <c r="D18" s="155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83"/>
    </row>
    <row r="19" spans="1:15" ht="15" customHeight="1" x14ac:dyDescent="0.3">
      <c r="A19" s="189"/>
      <c r="B19" s="150" t="s">
        <v>87</v>
      </c>
      <c r="C19" s="151" t="s">
        <v>74</v>
      </c>
      <c r="D19" s="155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83"/>
    </row>
    <row r="20" spans="1:15" ht="15" customHeight="1" x14ac:dyDescent="0.3">
      <c r="A20" s="183" t="s">
        <v>88</v>
      </c>
      <c r="B20" s="89" t="s">
        <v>86</v>
      </c>
      <c r="C20" s="90" t="s">
        <v>74</v>
      </c>
      <c r="D20" s="91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83"/>
    </row>
    <row r="21" spans="1:15" ht="15" customHeight="1" x14ac:dyDescent="0.3">
      <c r="A21" s="183"/>
      <c r="B21" s="89" t="s">
        <v>87</v>
      </c>
      <c r="C21" s="90" t="s">
        <v>74</v>
      </c>
      <c r="D21" s="91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83"/>
    </row>
    <row r="22" spans="1:15" ht="15" customHeight="1" x14ac:dyDescent="0.3">
      <c r="A22" s="125" t="s">
        <v>122</v>
      </c>
      <c r="B22" s="124" t="s">
        <v>123</v>
      </c>
      <c r="C22" s="124" t="s">
        <v>120</v>
      </c>
      <c r="D22" s="114"/>
      <c r="E22" s="83"/>
      <c r="F22" s="119"/>
      <c r="G22" s="83"/>
      <c r="H22" s="83"/>
      <c r="I22" s="83"/>
      <c r="J22" s="83"/>
      <c r="K22" s="83"/>
      <c r="L22" s="83"/>
      <c r="M22" s="83"/>
      <c r="N22" s="119"/>
      <c r="O22" s="83"/>
    </row>
    <row r="23" spans="1:15" ht="15" customHeight="1" x14ac:dyDescent="0.3">
      <c r="A23" s="183" t="s">
        <v>89</v>
      </c>
      <c r="B23" s="89" t="s">
        <v>90</v>
      </c>
      <c r="C23" s="90" t="s">
        <v>74</v>
      </c>
      <c r="D23" s="91"/>
      <c r="E23" s="83"/>
      <c r="F23" s="83"/>
      <c r="G23" s="83"/>
      <c r="H23" s="83"/>
      <c r="I23" s="83"/>
      <c r="J23" s="83"/>
      <c r="K23" s="83"/>
      <c r="L23" s="118"/>
      <c r="M23" s="83"/>
      <c r="N23" s="118"/>
      <c r="O23" s="83"/>
    </row>
    <row r="24" spans="1:15" ht="15" customHeight="1" x14ac:dyDescent="0.3">
      <c r="A24" s="183"/>
      <c r="B24" s="89" t="s">
        <v>91</v>
      </c>
      <c r="C24" s="90" t="s">
        <v>74</v>
      </c>
      <c r="D24" s="91"/>
      <c r="E24" s="83"/>
      <c r="F24" s="83"/>
      <c r="G24" s="83"/>
      <c r="H24" s="83"/>
      <c r="I24" s="83"/>
      <c r="J24" s="83"/>
      <c r="K24" s="83"/>
      <c r="L24" s="118"/>
      <c r="M24" s="83"/>
      <c r="N24" s="118"/>
      <c r="O24" s="83"/>
    </row>
    <row r="25" spans="1:15" ht="15" customHeight="1" x14ac:dyDescent="0.3">
      <c r="A25" s="183" t="s">
        <v>92</v>
      </c>
      <c r="B25" s="89" t="s">
        <v>90</v>
      </c>
      <c r="C25" s="90" t="s">
        <v>74</v>
      </c>
      <c r="D25" s="91"/>
      <c r="E25" s="83"/>
      <c r="F25" s="83"/>
      <c r="G25" s="83"/>
      <c r="H25" s="83"/>
      <c r="I25" s="83"/>
      <c r="J25" s="83"/>
      <c r="K25" s="83"/>
      <c r="L25" s="118"/>
      <c r="M25" s="83"/>
      <c r="N25" s="118"/>
      <c r="O25" s="83"/>
    </row>
    <row r="26" spans="1:15" ht="15" customHeight="1" x14ac:dyDescent="0.3">
      <c r="A26" s="183"/>
      <c r="B26" s="89" t="s">
        <v>93</v>
      </c>
      <c r="C26" s="90" t="s">
        <v>74</v>
      </c>
      <c r="D26" s="91"/>
      <c r="E26" s="83"/>
      <c r="F26" s="83"/>
      <c r="G26" s="83"/>
      <c r="H26" s="83"/>
      <c r="I26" s="83"/>
      <c r="J26" s="83"/>
      <c r="K26" s="83"/>
      <c r="L26" s="118"/>
      <c r="M26" s="83"/>
      <c r="N26" s="118"/>
      <c r="O26" s="83"/>
    </row>
    <row r="27" spans="1:15" ht="15" customHeight="1" x14ac:dyDescent="0.3">
      <c r="A27" s="101" t="s">
        <v>80</v>
      </c>
      <c r="B27" s="92"/>
      <c r="C27" s="93"/>
      <c r="D27" s="86"/>
      <c r="E27" s="87"/>
      <c r="F27" s="87">
        <f>SUM(F16:F26)</f>
        <v>0</v>
      </c>
      <c r="G27" s="87"/>
      <c r="H27" s="87">
        <f>SUM(H16:H26)</f>
        <v>0</v>
      </c>
      <c r="I27" s="87"/>
      <c r="J27" s="87">
        <f>SUM(J16:J26)</f>
        <v>0</v>
      </c>
      <c r="K27" s="87"/>
      <c r="L27" s="87">
        <f>SUM(L16:L26)</f>
        <v>0</v>
      </c>
      <c r="M27" s="87"/>
      <c r="N27" s="87">
        <f>SUM(N16:N26)</f>
        <v>0</v>
      </c>
      <c r="O27" s="87"/>
    </row>
    <row r="28" spans="1:15" ht="15" customHeight="1" x14ac:dyDescent="0.3">
      <c r="A28" s="108" t="s">
        <v>94</v>
      </c>
      <c r="B28" s="81" t="s">
        <v>95</v>
      </c>
      <c r="C28" s="82" t="s">
        <v>74</v>
      </c>
      <c r="D28" s="120"/>
      <c r="E28" s="118"/>
      <c r="F28" s="118"/>
      <c r="G28" s="83"/>
      <c r="H28" s="118"/>
      <c r="I28" s="118"/>
      <c r="J28" s="118"/>
      <c r="K28" s="118"/>
      <c r="L28" s="118"/>
      <c r="M28" s="118"/>
      <c r="N28" s="118"/>
      <c r="O28" s="94"/>
    </row>
    <row r="29" spans="1:15" ht="15" customHeight="1" x14ac:dyDescent="0.3">
      <c r="A29" s="102" t="s">
        <v>80</v>
      </c>
      <c r="B29" s="84"/>
      <c r="C29" s="85"/>
      <c r="D29" s="95"/>
      <c r="E29" s="96"/>
      <c r="F29" s="96"/>
      <c r="G29" s="96"/>
      <c r="H29" s="87">
        <f>SUM(H28:H28)</f>
        <v>0</v>
      </c>
      <c r="I29" s="96"/>
      <c r="J29" s="87">
        <f t="shared" ref="J29:N29" si="3">SUM(J28:J28)</f>
        <v>0</v>
      </c>
      <c r="K29" s="87"/>
      <c r="L29" s="87">
        <f t="shared" si="3"/>
        <v>0</v>
      </c>
      <c r="M29" s="87"/>
      <c r="N29" s="87">
        <f t="shared" si="3"/>
        <v>0</v>
      </c>
      <c r="O29" s="96"/>
    </row>
    <row r="30" spans="1:15" ht="15" customHeight="1" x14ac:dyDescent="0.3">
      <c r="A30" s="101" t="s">
        <v>119</v>
      </c>
      <c r="B30" s="84"/>
      <c r="C30" s="85"/>
      <c r="D30" s="95"/>
      <c r="E30" s="97"/>
      <c r="F30" s="98">
        <f>F11+F15+F27+F29</f>
        <v>21034.3</v>
      </c>
      <c r="G30" s="98"/>
      <c r="H30" s="98">
        <f>H11+H15+H27+H29</f>
        <v>231186.26</v>
      </c>
      <c r="I30" s="97"/>
      <c r="J30" s="98">
        <f>J11+J15+J27+J29</f>
        <v>0</v>
      </c>
      <c r="K30" s="97"/>
      <c r="L30" s="98">
        <f>L11+L15+L27+L29</f>
        <v>0</v>
      </c>
      <c r="M30" s="97"/>
      <c r="N30" s="98">
        <f>N11+N15+N27+N29</f>
        <v>252220.56</v>
      </c>
      <c r="O30" s="97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="120" zoomScaleNormal="120" workbookViewId="0">
      <selection activeCell="K36" sqref="K36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8"/>
  </cols>
  <sheetData>
    <row r="1" spans="1:6" ht="18" customHeight="1" x14ac:dyDescent="0.3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</row>
    <row r="2" spans="1:6" x14ac:dyDescent="0.3">
      <c r="A2" s="104" t="str">
        <f>'내역서(표준단가)'!A5</f>
        <v>M020853710050101</v>
      </c>
      <c r="B2" s="105">
        <f>'내역서(표준단가)'!F5</f>
        <v>0</v>
      </c>
      <c r="C2" s="105">
        <f>'내역서(표준단가)'!G5</f>
        <v>0</v>
      </c>
      <c r="D2" s="105" t="str">
        <f>'내역서(표준단가)'!H5</f>
        <v>M020853710050101</v>
      </c>
      <c r="E2" s="105">
        <f>'내역서(표준단가)'!I5</f>
        <v>0</v>
      </c>
      <c r="F2" s="115">
        <f>'내역서(표준단가)'!M5</f>
        <v>1.21</v>
      </c>
    </row>
    <row r="3" spans="1:6" x14ac:dyDescent="0.3">
      <c r="A3" s="104" t="str">
        <f>'내역서(표준단가)'!A6</f>
        <v>E00000803071260301</v>
      </c>
      <c r="B3" s="105">
        <f>'내역서(표준단가)'!F6</f>
        <v>0</v>
      </c>
      <c r="C3" s="105" t="str">
        <f>'내역서(표준단가)'!G6</f>
        <v>E00000803071260301</v>
      </c>
      <c r="D3" s="105">
        <f>'내역서(표준단가)'!H6</f>
        <v>0</v>
      </c>
      <c r="E3" s="105">
        <f>'내역서(표준단가)'!I6</f>
        <v>0</v>
      </c>
      <c r="F3" s="115">
        <f>'내역서(표준단가)'!M6</f>
        <v>0.56999999999999995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2025-04-28T04:55:11Z</dcterms:modified>
</cp:coreProperties>
</file>
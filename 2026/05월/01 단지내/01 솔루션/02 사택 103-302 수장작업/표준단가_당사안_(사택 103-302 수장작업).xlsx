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63D31722-61AE-45C6-8E9E-08342E46DFD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9" i="9"/>
  <c r="H9" i="9"/>
  <c r="N9" i="9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6" i="9"/>
  <c r="F25" i="9"/>
  <c r="H18" i="9"/>
  <c r="N23" i="9"/>
  <c r="N11" i="9"/>
  <c r="F13" i="9"/>
  <c r="N16" i="9"/>
  <c r="H25" i="9"/>
  <c r="H13" i="9"/>
  <c r="N8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<sst xmlns="http://schemas.openxmlformats.org/spreadsheetml/2006/main" count="207" uniqueCount="156">
  <si>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</si>
  <si>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</si>
  <si>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</si>
  <si>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</si>
  <si>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</si>
  <si>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</si>
  <si>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</si>
  <si>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</si>
  <si>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</si>
  <si>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</si>
  <si>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</si>
  <si>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</si>
  <si>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</si>
  <si>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</si>
  <si>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</si>
  <si>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</si>
  <si>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</si>
  <si>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</si>
  <si>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</si>
  <si>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</si>
  <si>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</si>
  <si>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</si>
  <si>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</si>
  <si>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</si>
  <si>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</si>
  <si>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</si>
  <si>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</si>
  <si>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</si>
  <si>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</si>
  <si>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</si>
  <si>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</si>
  <si>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</si>
  <si>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</si>
  <si>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</si>
  <si>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</si>
  <si>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</si>
  <si>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</si>
  <si>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</si>
  <si>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</si>
  <si>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</si>
  <si>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</si>
  <si>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</si>
  <si>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</si>
  <si>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</si>
  <si>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</si>
  <si>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</si>
  <si>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</si>
  <si>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</si>
  <si>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</si>
  <si>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</si>
  <si>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</si>
  <si>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</si>
  <si>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</si>
  <si>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</si>
  <si>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</si>
  <si>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</si>
  <si>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</si>
  <si>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</si>
  <si>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</si>
  <si>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</si>
  <si>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</si>
  <si>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</si>
  <si>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</si>
  <si>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</si>
  <si>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</si>
  <si>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</si>
  <si>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</si>
  <si>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</si>
  <si>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</si>
  <si>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</si>
  <si>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</si>
  <si>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</si>
  <si>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</si>
  <si>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</si>
  <si>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</si>
  <si>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</si>
  <si>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</si>
  <si>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</si>
  <si>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</si>
  <si>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</si>
  <si>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</si>
  <si>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</si>
  <si>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</si>
  <si>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</si>
  <si>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</si>
  <si>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</si>
  <si>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</si>
  <si>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</si>
  <si>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</si>
  <si>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</si>
  <si>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</si>
  <si>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</si>
  <si>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</si>
  <si>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</si>
  <si>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</si>
  <si>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</si>
  <si>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</si>
  <si>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</si>
  <si>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</si>
  <si>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</si>
  <si>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</si>
  <si>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</si>
  <si>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</si>
  <si>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</si>
  <si>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</si>
  <si>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</si>
  <si>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</si>
  <si>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</si>
  <si>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</si>
  <si>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</si>
  <si>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</si>
  <si>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</si>
  <si>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</si>
  <si>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</si>
  <si>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</si>
  <si>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</si>
  <si>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</si>
  <si>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</si>
  <si>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</si>
  <si>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</si>
  <si>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</si>
  <si>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</si>
  <si>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</si>
  <si>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</si>
  <si>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</si>
  <si>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</si>
  <si>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</si>
  <si>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</si>
  <si>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</si>
  <si>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</si>
  <si>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</si>
  <si>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</si>
  <si>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</si>
  <si>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</si>
  <si>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</si>
  <si>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</si>
  <si>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</si>
  <si>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</si>
  <si>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</si>
  <si>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</si>
  <si>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</si>
  <si>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</si>
  <si>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</si>
  <si>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</si>
  <si>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</si>
  <si>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</si>
  <si>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</si>
  <si>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</si>
  <si>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</si>
  <si>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</si>
  <si>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</si>
  <si>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23일</t>
    <phoneticPr fontId="11" type="noConversion"/>
  </si>
  <si>
    <t xml:space="preserve"> 공사명 : 사택 103-302 수장공사</t>
    <phoneticPr fontId="11" type="noConversion"/>
  </si>
  <si>
    <t>사택 103-302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</si>
  <si>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소요량236/16.51=14.2943R/L</t>
    </r>
    <phoneticPr fontId="5" type="noConversion"/>
  </si>
  <si>
    <t>일당 시공량-천장 35㎡ 적산정보 500p 참조, 시공총량50/일당35=1.4285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</si>
</sst>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4" xfId="8" applyFont="1" applyFill="1" applyBorder="1" applyAlignment="1">
      <alignment horizontal="center" vertical="center"/>
    </xf>
    <xf numFmtId="0" fontId="19" fillId="4" borderId="14" xfId="6" applyFont="1" applyFill="1" applyBorder="1" applyAlignment="1">
      <alignment vertical="center"/>
    </xf>
    <xf numFmtId="0" fontId="19" fillId="4" borderId="14" xfId="6" applyFont="1" applyFill="1" applyBorder="1" applyAlignment="1">
      <alignment horizontal="center" vertical="center"/>
    </xf>
    <xf numFmtId="178" fontId="19" fillId="4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5" fontId="21" fillId="0" borderId="30" xfId="13" applyNumberFormat="1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5" fontId="21" fillId="9" borderId="30" xfId="13" applyNumberFormat="1" applyFont="1" applyFill="1" applyBorder="1" applyAlignment="1">
      <alignment horizontal="center" vertical="center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center" vertical="center" wrapText="1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5" fontId="22" fillId="7" borderId="30" xfId="13" applyNumberFormat="1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188" fontId="21" fillId="4" borderId="30" xfId="13" applyNumberFormat="1" applyFont="1" applyFill="1" applyBorder="1" applyAlignment="1">
      <alignment horizontal="center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9" fontId="16" fillId="6" borderId="37" xfId="1" applyNumberFormat="1" applyFont="1" applyFill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90" fontId="16" fillId="0" borderId="37" xfId="1" applyNumberFormat="1" applyFont="1" applyBorder="1" applyAlignment="1">
      <alignment horizontal="center" vertical="center"/>
    </xf>
    <xf numFmtId="189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center" vertical="center" wrapText="1"/>
    </xf>
    <xf numFmtId="188" fontId="22" fillId="10" borderId="30" xfId="13" applyNumberFormat="1" applyFont="1" applyFill="1" applyBorder="1" applyAlignment="1">
      <alignment horizontal="center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185" fontId="21" fillId="4" borderId="30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182" fontId="16" fillId="4" borderId="2" xfId="0" applyNumberFormat="1" applyFont="1" applyFill="1" applyBorder="1" applyAlignment="1">
      <alignment vertical="center" wrapText="1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1" fontId="16" fillId="4" borderId="2" xfId="0" applyNumberFormat="1" applyFont="1" applyFill="1" applyBorder="1" applyAlignment="1">
      <alignment horizontal="right" vertical="center" wrapText="1"/>
    </xf>
    <xf numFmtId="191" fontId="16" fillId="5" borderId="2" xfId="1" applyNumberFormat="1" applyFont="1" applyFill="1" applyBorder="1" applyAlignment="1">
      <alignment horizontal="right" vertical="center" wrapText="1"/>
    </xf>
    <xf numFmtId="191" fontId="16" fillId="0" borderId="2" xfId="1" applyNumberFormat="1" applyFont="1" applyFill="1" applyBorder="1" applyAlignment="1">
      <alignment horizontal="right" vertical="center" wrapText="1"/>
    </xf>
    <xf numFmtId="191" fontId="16" fillId="4" borderId="2" xfId="0" applyNumberFormat="1" applyFont="1" applyFill="1" applyBorder="1" applyAlignment="1">
      <alignment horizontal="right" vertical="center"/>
    </xf>
    <xf numFmtId="191" fontId="16" fillId="4" borderId="2" xfId="1" applyNumberFormat="1" applyFont="1" applyFill="1" applyBorder="1" applyAlignment="1">
      <alignment horizontal="right" vertical="center" wrapText="1"/>
    </xf>
    <xf numFmtId="192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191" fontId="16" fillId="4" borderId="2" xfId="1" applyNumberFormat="1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1" fontId="21" fillId="4" borderId="2" xfId="1" applyNumberFormat="1" applyFont="1" applyFill="1" applyBorder="1" applyAlignment="1">
      <alignment horizontal="right" vertical="center" wrapText="1"/>
    </xf>
    <xf numFmtId="177" fontId="16" fillId="4" borderId="2" xfId="1" applyFont="1" applyFill="1" applyBorder="1" applyAlignment="1">
      <alignment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85" fontId="21" fillId="6" borderId="30" xfId="13" applyNumberFormat="1" applyFont="1" applyFill="1" applyBorder="1" applyAlignment="1">
      <alignment horizontal="center" vertical="center"/>
    </xf>
    <xf numFmtId="182" fontId="21" fillId="6" borderId="30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25" sqref="H2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152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151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오백일십사만사천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'내역서(표준단가)'!O14</f>
        <v>936703.72644999996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'내역서(표준단가)'!Q14</f>
        <v>3423822.0905620004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4360525.8170120008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154071.99407529001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121374.49311042292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15717.996857799768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34580.603114676203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121888.06642400721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135612.35290907323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200353.37985266349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783598.88634393283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5144124.7033559335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5144000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O20" sqref="O20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154</v>
      </c>
      <c r="L5" s="121" t="s">
        <v>148</v>
      </c>
      <c r="M5" s="140">
        <v>14.2943</v>
      </c>
      <c r="N5" s="160">
        <v>20900</v>
      </c>
      <c r="O5" s="136">
        <f t="shared" ref="O5" si="1">SUM(N5:N5)*M5*$O$2</f>
        <v>249456.97644999999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249456.97644999999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149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155</v>
      </c>
      <c r="L7" s="74" t="s">
        <v>110</v>
      </c>
      <c r="M7" s="140">
        <v>1.4285000000000001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580983.03511000006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580983.03511000006</v>
      </c>
      <c r="W7" s="120"/>
      <c r="X7" s="77"/>
    </row>
    <row r="8" spans="1:24" s="150" customFormat="1" ht="38.1" customHeight="1" x14ac:dyDescent="0.3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 x14ac:dyDescent="0.3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150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 x14ac:dyDescent="0.3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 x14ac:dyDescent="0.3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 x14ac:dyDescent="0.3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 x14ac:dyDescent="0.3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 x14ac:dyDescent="0.3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936703.72644999996</v>
      </c>
      <c r="P14" s="156"/>
      <c r="Q14" s="155">
        <f>SUM(Q5:Q13)</f>
        <v>3423822.0905620004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4360525.8170119999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D6" sqref="D6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97" t="s">
        <v>54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5" ht="15" customHeight="1" x14ac:dyDescent="0.3">
      <c r="A2" s="198" t="s">
        <v>55</v>
      </c>
      <c r="B2" s="199" t="s">
        <v>56</v>
      </c>
      <c r="C2" s="200" t="s">
        <v>42</v>
      </c>
      <c r="D2" s="200" t="s">
        <v>57</v>
      </c>
      <c r="E2" s="202" t="s">
        <v>58</v>
      </c>
      <c r="F2" s="199"/>
      <c r="G2" s="199" t="s">
        <v>59</v>
      </c>
      <c r="H2" s="199"/>
      <c r="I2" s="203" t="s">
        <v>60</v>
      </c>
      <c r="J2" s="204"/>
      <c r="K2" s="203" t="s">
        <v>61</v>
      </c>
      <c r="L2" s="204"/>
      <c r="M2" s="202" t="s">
        <v>62</v>
      </c>
      <c r="N2" s="199"/>
      <c r="O2" s="205" t="s">
        <v>63</v>
      </c>
    </row>
    <row r="3" spans="1:15" ht="15" customHeight="1" x14ac:dyDescent="0.3">
      <c r="A3" s="198"/>
      <c r="B3" s="199"/>
      <c r="C3" s="201"/>
      <c r="D3" s="201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6"/>
    </row>
    <row r="4" spans="1:15" ht="15" customHeight="1" x14ac:dyDescent="0.3">
      <c r="A4" s="195" t="s">
        <v>153</v>
      </c>
      <c r="B4" s="19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93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7" t="s">
        <v>129</v>
      </c>
    </row>
    <row r="6" spans="1:15" ht="15" customHeight="1" x14ac:dyDescent="0.3">
      <c r="A6" s="194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1" si="2">F6+H6+J6+L6</f>
        <v>506976</v>
      </c>
      <c r="O6" s="188"/>
    </row>
    <row r="7" spans="1:15" ht="15" customHeight="1" x14ac:dyDescent="0.3">
      <c r="A7" s="194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88"/>
    </row>
    <row r="8" spans="1:15" ht="15" customHeight="1" x14ac:dyDescent="0.3">
      <c r="A8" s="194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88"/>
    </row>
    <row r="9" spans="1:15" ht="15" customHeight="1" x14ac:dyDescent="0.3">
      <c r="A9" s="194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8"/>
    </row>
    <row r="10" spans="1:15" ht="15" customHeight="1" x14ac:dyDescent="0.3">
      <c r="A10" s="194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8"/>
    </row>
    <row r="11" spans="1:15" ht="15" customHeight="1" x14ac:dyDescent="0.3">
      <c r="A11" s="194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8"/>
    </row>
    <row r="12" spans="1:15" ht="15" customHeight="1" x14ac:dyDescent="0.3">
      <c r="A12" s="194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8"/>
    </row>
    <row r="13" spans="1:15" ht="15" customHeight="1" x14ac:dyDescent="0.3">
      <c r="A13" s="109" t="s">
        <v>77</v>
      </c>
      <c r="B13" s="110"/>
      <c r="C13" s="111"/>
      <c r="D13" s="112">
        <f>SUM(D5:D12)</f>
        <v>236</v>
      </c>
      <c r="E13" s="113"/>
      <c r="F13" s="113">
        <f>SUM(F5:F12)</f>
        <v>249452</v>
      </c>
      <c r="G13" s="113"/>
      <c r="H13" s="113">
        <f>SUM(H5:H12)</f>
        <v>2225091.4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2474543.4</v>
      </c>
      <c r="O13" s="113"/>
    </row>
    <row r="14" spans="1:15" ht="15" customHeight="1" x14ac:dyDescent="0.3">
      <c r="A14" s="189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8"/>
    </row>
    <row r="15" spans="1:15" ht="15" customHeight="1" x14ac:dyDescent="0.3">
      <c r="A15" s="189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8"/>
    </row>
    <row r="16" spans="1:15" ht="15" customHeight="1" x14ac:dyDescent="0.3">
      <c r="A16" s="189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8"/>
    </row>
    <row r="17" spans="1:15" ht="15" customHeight="1" x14ac:dyDescent="0.3">
      <c r="A17" s="190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1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192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192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192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192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123</v>
      </c>
      <c r="B28" s="86"/>
      <c r="C28" s="87"/>
      <c r="D28" s="97"/>
      <c r="E28" s="99"/>
      <c r="F28" s="100">
        <f>F13+F18+F25+F27</f>
        <v>936698.9</v>
      </c>
      <c r="G28" s="100"/>
      <c r="H28" s="100">
        <f>H13+H18+H25+H27</f>
        <v>3423651.98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4360350.88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14.2943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1.4285000000000001</v>
      </c>
    </row>
    <row r="5" spans="1:6" x14ac:dyDescent="0.3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 x14ac:dyDescent="0.3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 x14ac:dyDescent="0.3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 x14ac:dyDescent="0.3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 x14ac:dyDescent="0.3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2026-01-31T06:50:06Z</dcterms:created>
  <dcterms:modified xsi:type="dcterms:W3CDTF">2026-02-01T01:36:32Z</dcterms:modified>
</cp:coreProperties>
</file>
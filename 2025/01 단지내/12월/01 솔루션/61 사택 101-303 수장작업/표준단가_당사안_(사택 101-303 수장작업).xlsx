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0AD89DA3-7132-4A89-B80B-1698BBE5EF04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17" i="5" l="1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V6" i="4" l="1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<sst xmlns="http://schemas.openxmlformats.org/spreadsheetml/2006/main" count="207" uniqueCount="156">
  <si>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</si>
  <si>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</si>
  <si>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</si>
  <si>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</si>
  <si>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</si>
  <si>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</si>
  <si>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</si>
  <si>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</si>
  <si>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</si>
  <si>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</si>
  <si>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</si>
  <si>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</si>
  <si>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</si>
  <si>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</si>
  <si>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</si>
  <si>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</si>
  <si>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</si>
  <si>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</si>
  <si>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</si>
  <si>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</si>
  <si>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</si>
  <si>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</si>
  <si>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</si>
  <si>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</si>
  <si>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</si>
  <si>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</si>
  <si>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</si>
  <si>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</si>
  <si>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</si>
  <si>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</si>
  <si>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</si>
  <si>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</si>
  <si>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</si>
  <si>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</si>
  <si>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</si>
  <si>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</si>
  <si>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</si>
  <si>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</si>
  <si>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</si>
  <si>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</si>
  <si>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</si>
  <si>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</si>
  <si>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</si>
  <si>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</si>
  <si>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</si>
  <si>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</si>
  <si>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</si>
  <si>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</si>
  <si>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</si>
  <si>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</si>
  <si>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</si>
  <si>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</si>
  <si>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</si>
  <si>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</si>
  <si>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</si>
  <si>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</si>
  <si>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</si>
  <si>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</si>
  <si>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</si>
  <si>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</si>
  <si>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</si>
  <si>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</si>
  <si>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</si>
  <si>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</si>
  <si>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</si>
  <si>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</si>
  <si>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</si>
  <si>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</si>
  <si>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</si>
  <si>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</si>
  <si>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</si>
  <si>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</si>
  <si>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</si>
  <si>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</si>
  <si>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</si>
  <si>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</si>
  <si>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</si>
  <si>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</si>
  <si>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</si>
  <si>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</si>
  <si>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</si>
  <si>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</si>
  <si>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</si>
  <si>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</si>
  <si>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</si>
  <si>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</si>
  <si>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</si>
  <si>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</si>
  <si>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</si>
  <si>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</si>
  <si>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</si>
  <si>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</si>
  <si>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</si>
  <si>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</si>
  <si>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</si>
  <si>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</si>
  <si>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</si>
  <si>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</si>
  <si>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</si>
  <si>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</si>
  <si>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</si>
  <si>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</si>
  <si>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</si>
  <si>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</si>
  <si>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</si>
  <si>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</si>
  <si>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</si>
  <si>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</si>
  <si>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</si>
  <si>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</si>
  <si>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</si>
  <si>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</si>
  <si>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</si>
  <si>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</si>
  <si>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</si>
  <si>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</si>
  <si>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</si>
  <si>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</si>
  <si>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</si>
  <si>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</si>
  <si>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</si>
  <si>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</si>
  <si>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</si>
  <si>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</si>
  <si>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</si>
  <si>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</si>
  <si>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</si>
  <si>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</si>
  <si>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</si>
  <si>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</si>
  <si>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</si>
  <si>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</si>
  <si>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</si>
  <si>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</si>
  <si>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</si>
  <si>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</si>
  <si>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</si>
  <si>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</si>
  <si>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</si>
  <si>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</si>
  <si>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</si>
  <si>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</si>
  <si>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</si>
  <si>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</si>
  <si>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</si>
  <si>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</si>
  <si>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</si>
  <si>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</si>
  <si>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</si>
  <si>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5" type="noConversion"/>
  </si>
  <si>
    <t xml:space="preserve">일당 시공량-벽 46㎡, 적산정보 500p 참조,시공총량186/일당46=4.043, </t>
    <phoneticPr fontId="5" type="noConversion"/>
  </si>
  <si>
    <t xml:space="preserve">일당 시공량-천장 35㎡ 적산정보 500p 참조, 시공총량66/일당35=1.8857,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</si>
  <si>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</si>
  <si>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견적일 : 2025 년  11월  03일</t>
    <phoneticPr fontId="11" type="noConversion"/>
  </si>
  <si>
    <t xml:space="preserve"> 공사명 : 사택 101-303 수장공사</t>
    <phoneticPr fontId="11" type="noConversion"/>
  </si>
  <si>
    <t>사택 101-303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</si>
</sst>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5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5" t="s">
        <v>1</v>
      </c>
      <c r="B2" s="165"/>
      <c r="C2" s="165"/>
      <c r="D2" s="165"/>
      <c r="E2" s="165"/>
      <c r="F2" s="165"/>
      <c r="G2" s="165"/>
      <c r="H2" s="2"/>
    </row>
    <row r="3" spans="1:9" ht="13.5">
      <c r="A3" s="129"/>
      <c r="B3" s="129"/>
      <c r="C3" s="129"/>
      <c r="D3" s="129"/>
      <c r="E3" s="129"/>
      <c r="F3" s="129"/>
      <c r="G3" s="129"/>
      <c r="H3" s="129"/>
    </row>
    <row r="4" spans="1:9" ht="13.5">
      <c r="A4" s="129"/>
      <c r="B4" s="129"/>
      <c r="C4" s="129"/>
      <c r="D4" s="129"/>
      <c r="E4" s="129"/>
      <c r="H4" s="129"/>
    </row>
    <row r="5" spans="1:9" ht="27" customHeight="1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>
      <c r="A7" s="168" t="s">
        <v>154</v>
      </c>
      <c r="B7" s="169"/>
      <c r="C7" s="170"/>
      <c r="D7" s="129"/>
      <c r="E7" s="10"/>
      <c r="F7" s="11" t="s">
        <v>37</v>
      </c>
      <c r="G7" s="9" t="s">
        <v>49</v>
      </c>
      <c r="H7" s="129"/>
    </row>
    <row r="8" spans="1:9" ht="27" customHeight="1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>
      <c r="A9" s="168" t="s">
        <v>153</v>
      </c>
      <c r="B9" s="169"/>
      <c r="C9" s="170"/>
      <c r="D9" s="129"/>
      <c r="E9" s="129"/>
      <c r="F9" s="8" t="s">
        <v>39</v>
      </c>
      <c r="G9" s="9" t="s">
        <v>51</v>
      </c>
      <c r="H9" s="129"/>
    </row>
    <row r="10" spans="1:9" ht="27" customHeight="1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>
      <c r="A11" s="166"/>
      <c r="B11" s="167"/>
      <c r="C11" s="167"/>
      <c r="D11" s="129"/>
      <c r="E11" s="14"/>
      <c r="F11" s="15" t="s">
        <v>35</v>
      </c>
      <c r="G11" s="16" t="s">
        <v>53</v>
      </c>
      <c r="H11" s="14"/>
    </row>
    <row r="12" spans="1:9" ht="19.5" thickBot="1">
      <c r="A12" s="17" t="s">
        <v>2</v>
      </c>
      <c r="B12" s="17" t="str">
        <f>NUMBERSTRING(F31,1)</f>
        <v>오백삼십팔만팔천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'내역서(표준단가)'!O14</f>
        <v>953608.99450000003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'내역서(표준단가)'!Q14</f>
        <v>3609891.2110119998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4563500.2055120002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162445.10449553997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127970.64343037541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16572.198324233617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36459.901231221193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128512.12711202718</v>
      </c>
      <c r="G25" s="35" t="s">
        <v>23</v>
      </c>
    </row>
    <row r="26" spans="1:7" ht="33" customHeight="1">
      <c r="A26" s="29"/>
      <c r="B26" s="42" t="s">
        <v>27</v>
      </c>
      <c r="C26" s="49" t="s">
        <v>131</v>
      </c>
      <c r="D26" s="30">
        <v>1</v>
      </c>
      <c r="E26" s="30" t="s">
        <v>20</v>
      </c>
      <c r="F26" s="43">
        <f>(F16+F17)*3.11%</f>
        <v>141924.85639142321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211188.80209984106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825073.63308466168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5388573.8385966616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5388000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>
      <c r="A1" s="171"/>
      <c r="B1" s="171"/>
      <c r="C1" s="171"/>
      <c r="D1" s="171"/>
      <c r="E1" s="171"/>
      <c r="F1" s="171"/>
      <c r="G1" s="171"/>
      <c r="H1" s="171"/>
      <c r="I1" s="171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>
      <c r="A2" s="171"/>
      <c r="B2" s="171"/>
      <c r="C2" s="171"/>
      <c r="D2" s="171"/>
      <c r="E2" s="171"/>
      <c r="F2" s="171"/>
      <c r="G2" s="171"/>
      <c r="H2" s="171"/>
      <c r="I2" s="171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2" t="s">
        <v>91</v>
      </c>
      <c r="K3" s="182"/>
      <c r="L3" s="180" t="s">
        <v>42</v>
      </c>
      <c r="M3" s="180" t="s">
        <v>0</v>
      </c>
      <c r="N3" s="176" t="s">
        <v>92</v>
      </c>
      <c r="O3" s="176"/>
      <c r="P3" s="176" t="s">
        <v>93</v>
      </c>
      <c r="Q3" s="176"/>
      <c r="R3" s="177" t="s">
        <v>94</v>
      </c>
      <c r="S3" s="177"/>
      <c r="T3" s="177" t="s">
        <v>95</v>
      </c>
      <c r="U3" s="177"/>
      <c r="V3" s="178" t="s">
        <v>96</v>
      </c>
      <c r="W3" s="174" t="s">
        <v>97</v>
      </c>
      <c r="X3" s="172" t="s">
        <v>40</v>
      </c>
    </row>
    <row r="4" spans="1:24" ht="19.899999999999999" customHeight="1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1"/>
      <c r="M4" s="181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79"/>
      <c r="W4" s="175"/>
      <c r="X4" s="173"/>
    </row>
    <row r="5" spans="1:24" s="150" customFormat="1" ht="38.1" customHeight="1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132</v>
      </c>
      <c r="I5" s="102"/>
      <c r="J5" s="141" t="s">
        <v>133</v>
      </c>
      <c r="K5" s="141" t="s">
        <v>149</v>
      </c>
      <c r="L5" s="121" t="s">
        <v>148</v>
      </c>
      <c r="M5" s="140">
        <v>15.263</v>
      </c>
      <c r="N5" s="160">
        <v>20900</v>
      </c>
      <c r="O5" s="136">
        <f t="shared" ref="O5" si="1">SUM(N5:N5)*M5*$O$2</f>
        <v>266362.24449999997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266362.24449999997</v>
      </c>
      <c r="W5" s="120"/>
      <c r="X5" s="77"/>
    </row>
    <row r="6" spans="1:24" s="150" customFormat="1" ht="38.1" customHeight="1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150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>
      <c r="A7" s="72" t="str">
        <f t="shared" ref="A7:A8" si="12">F7&amp;G7&amp;H7&amp;I7</f>
        <v>E00000803071260301</v>
      </c>
      <c r="B7" s="105"/>
      <c r="C7" s="105"/>
      <c r="D7" s="105"/>
      <c r="E7" s="105"/>
      <c r="F7" s="102"/>
      <c r="G7" s="73" t="s">
        <v>109</v>
      </c>
      <c r="H7" s="73"/>
      <c r="I7" s="102"/>
      <c r="J7" s="141" t="s">
        <v>112</v>
      </c>
      <c r="K7" s="141" t="s">
        <v>151</v>
      </c>
      <c r="L7" s="74" t="s">
        <v>110</v>
      </c>
      <c r="M7" s="140">
        <v>1.8859999999999999</v>
      </c>
      <c r="N7" s="138"/>
      <c r="O7" s="136">
        <f t="shared" ref="O7:O12" si="13">SUM(N7:N7)*M7*$O$2</f>
        <v>0</v>
      </c>
      <c r="P7" s="135">
        <v>487076</v>
      </c>
      <c r="Q7" s="136">
        <f t="shared" ref="Q7:Q13" si="14">(P7*M7)*$Q$2</f>
        <v>767052.15555999987</v>
      </c>
      <c r="R7" s="137"/>
      <c r="S7" s="136">
        <f t="shared" ref="S7:S13" si="15">R7*M7*$S$2</f>
        <v>0</v>
      </c>
      <c r="T7" s="137"/>
      <c r="U7" s="136">
        <f t="shared" ref="U7:U13" si="16">T7*M7*$U$2</f>
        <v>0</v>
      </c>
      <c r="V7" s="76">
        <f t="shared" ref="V7:V13" si="17">SUM(O7+Q7)+S7+U7</f>
        <v>767052.15555999987</v>
      </c>
      <c r="W7" s="120"/>
      <c r="X7" s="77"/>
    </row>
    <row r="8" spans="1:24" s="150" customFormat="1" ht="38.1" customHeight="1">
      <c r="A8" s="72" t="str">
        <f t="shared" si="12"/>
        <v>M020809012520101</v>
      </c>
      <c r="B8" s="105"/>
      <c r="C8" s="105"/>
      <c r="D8" s="105"/>
      <c r="E8" s="105"/>
      <c r="F8" s="102"/>
      <c r="G8" s="73"/>
      <c r="H8" s="73" t="s">
        <v>135</v>
      </c>
      <c r="I8" s="102"/>
      <c r="J8" s="141" t="s">
        <v>136</v>
      </c>
      <c r="K8" s="141" t="s">
        <v>137</v>
      </c>
      <c r="L8" s="121" t="s">
        <v>134</v>
      </c>
      <c r="M8" s="140">
        <v>61.8</v>
      </c>
      <c r="N8" s="139">
        <v>13000</v>
      </c>
      <c r="O8" s="136">
        <f t="shared" si="13"/>
        <v>670839</v>
      </c>
      <c r="P8" s="135"/>
      <c r="Q8" s="136">
        <f t="shared" si="14"/>
        <v>0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670839</v>
      </c>
      <c r="W8" s="120"/>
      <c r="X8" s="77"/>
    </row>
    <row r="9" spans="1:24" s="150" customFormat="1" ht="38.1" customHeight="1">
      <c r="A9" s="72" t="str">
        <f t="shared" ref="A9:A13" si="18">F9&amp;G9&amp;H9&amp;I9</f>
        <v>E00000803071260401</v>
      </c>
      <c r="B9" s="105"/>
      <c r="C9" s="105"/>
      <c r="D9" s="105"/>
      <c r="E9" s="105"/>
      <c r="F9" s="102"/>
      <c r="G9" s="73" t="s">
        <v>113</v>
      </c>
      <c r="H9" s="73"/>
      <c r="I9" s="102"/>
      <c r="J9" s="141" t="s">
        <v>114</v>
      </c>
      <c r="K9" s="141" t="s">
        <v>152</v>
      </c>
      <c r="L9" s="74" t="s">
        <v>110</v>
      </c>
      <c r="M9" s="140">
        <v>1.0132000000000001</v>
      </c>
      <c r="N9" s="138"/>
      <c r="O9" s="136">
        <f t="shared" si="13"/>
        <v>0</v>
      </c>
      <c r="P9" s="135">
        <v>487076</v>
      </c>
      <c r="Q9" s="136">
        <f t="shared" si="14"/>
        <v>412077.01167200005</v>
      </c>
      <c r="R9" s="137"/>
      <c r="S9" s="136">
        <f t="shared" si="15"/>
        <v>0</v>
      </c>
      <c r="T9" s="137"/>
      <c r="U9" s="136">
        <f t="shared" si="16"/>
        <v>0</v>
      </c>
      <c r="V9" s="76">
        <f t="shared" si="17"/>
        <v>412077.01167200005</v>
      </c>
      <c r="W9" s="120"/>
      <c r="X9" s="77"/>
    </row>
    <row r="10" spans="1:24" s="150" customFormat="1" ht="38.1" customHeight="1">
      <c r="A10" s="72" t="str">
        <f t="shared" si="18"/>
        <v>M020412614110102</v>
      </c>
      <c r="B10" s="105"/>
      <c r="C10" s="105"/>
      <c r="D10" s="105"/>
      <c r="E10" s="105"/>
      <c r="F10" s="102"/>
      <c r="G10" s="73"/>
      <c r="H10" s="161" t="s">
        <v>128</v>
      </c>
      <c r="I10" s="102"/>
      <c r="J10" s="162" t="s">
        <v>127</v>
      </c>
      <c r="K10" s="162" t="s">
        <v>125</v>
      </c>
      <c r="L10" s="133" t="s">
        <v>124</v>
      </c>
      <c r="M10" s="140">
        <v>0.3</v>
      </c>
      <c r="N10" s="163">
        <v>65500</v>
      </c>
      <c r="O10" s="136">
        <f t="shared" si="13"/>
        <v>16407.75</v>
      </c>
      <c r="P10" s="135"/>
      <c r="Q10" s="136"/>
      <c r="R10" s="137"/>
      <c r="S10" s="136"/>
      <c r="T10" s="137"/>
      <c r="U10" s="136"/>
      <c r="V10" s="76">
        <f t="shared" si="17"/>
        <v>16407.75</v>
      </c>
      <c r="W10" s="120"/>
      <c r="X10" s="77"/>
    </row>
    <row r="11" spans="1:24" s="150" customFormat="1" ht="38.1" customHeight="1">
      <c r="A11" s="72" t="str">
        <f t="shared" si="18"/>
        <v>E00000803061120402</v>
      </c>
      <c r="B11" s="105"/>
      <c r="C11" s="105"/>
      <c r="D11" s="105"/>
      <c r="E11" s="105"/>
      <c r="F11" s="102"/>
      <c r="G11" s="73" t="s">
        <v>115</v>
      </c>
      <c r="H11" s="73"/>
      <c r="I11" s="102"/>
      <c r="J11" s="141" t="s">
        <v>116</v>
      </c>
      <c r="K11" s="141" t="s">
        <v>117</v>
      </c>
      <c r="L11" s="121" t="s">
        <v>122</v>
      </c>
      <c r="M11" s="140">
        <v>28</v>
      </c>
      <c r="N11" s="122"/>
      <c r="O11" s="75">
        <f t="shared" si="13"/>
        <v>0</v>
      </c>
      <c r="P11" s="132">
        <v>10432</v>
      </c>
      <c r="Q11" s="75">
        <f t="shared" si="14"/>
        <v>243900.16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243900.16</v>
      </c>
      <c r="W11" s="120"/>
      <c r="X11" s="77"/>
    </row>
    <row r="12" spans="1:24" s="150" customFormat="1" ht="38.1" customHeight="1">
      <c r="A12" s="72" t="str">
        <f t="shared" si="18"/>
        <v>E00000803061300201</v>
      </c>
      <c r="B12" s="105"/>
      <c r="C12" s="105"/>
      <c r="D12" s="105"/>
      <c r="E12" s="105"/>
      <c r="F12" s="102"/>
      <c r="G12" s="73" t="s">
        <v>119</v>
      </c>
      <c r="H12" s="73"/>
      <c r="I12" s="102"/>
      <c r="J12" s="141" t="s">
        <v>120</v>
      </c>
      <c r="K12" s="141" t="s">
        <v>121</v>
      </c>
      <c r="L12" s="121" t="s">
        <v>118</v>
      </c>
      <c r="M12" s="140">
        <v>28</v>
      </c>
      <c r="N12" s="122"/>
      <c r="O12" s="75">
        <f t="shared" si="13"/>
        <v>0</v>
      </c>
      <c r="P12" s="132">
        <v>6179</v>
      </c>
      <c r="Q12" s="75">
        <f t="shared" si="14"/>
        <v>144465.01999999999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144465.01999999999</v>
      </c>
      <c r="W12" s="120"/>
      <c r="X12" s="77"/>
    </row>
    <row r="13" spans="1:24" s="150" customFormat="1" ht="38.1" customHeight="1">
      <c r="A13" s="72" t="str">
        <f t="shared" si="18"/>
        <v>E00000801011510701</v>
      </c>
      <c r="B13" s="105"/>
      <c r="C13" s="105"/>
      <c r="D13" s="105"/>
      <c r="E13" s="105"/>
      <c r="F13" s="102"/>
      <c r="G13" s="73" t="s">
        <v>147</v>
      </c>
      <c r="H13" s="73"/>
      <c r="I13" s="102"/>
      <c r="J13" s="151" t="s">
        <v>138</v>
      </c>
      <c r="K13" s="151" t="s">
        <v>139</v>
      </c>
      <c r="L13" s="121" t="s">
        <v>140</v>
      </c>
      <c r="M13" s="140">
        <v>96</v>
      </c>
      <c r="N13" s="152"/>
      <c r="O13" s="75">
        <f t="shared" ref="O13" si="19">SUM(N13:N13)*M13*$O$2</f>
        <v>0</v>
      </c>
      <c r="P13" s="164">
        <v>4966</v>
      </c>
      <c r="Q13" s="75">
        <f t="shared" si="14"/>
        <v>398074.56</v>
      </c>
      <c r="R13" s="76"/>
      <c r="S13" s="75">
        <f t="shared" si="15"/>
        <v>0</v>
      </c>
      <c r="T13" s="76"/>
      <c r="U13" s="75">
        <f t="shared" si="16"/>
        <v>0</v>
      </c>
      <c r="V13" s="76">
        <f t="shared" si="17"/>
        <v>398074.56</v>
      </c>
      <c r="W13" s="120"/>
      <c r="X13" s="77"/>
    </row>
    <row r="14" spans="1:24" s="158" customFormat="1" ht="38.1" customHeight="1">
      <c r="A14" s="153"/>
      <c r="B14" s="154"/>
      <c r="C14" s="154"/>
      <c r="D14" s="154"/>
      <c r="E14" s="154"/>
      <c r="F14" s="154"/>
      <c r="G14" s="154"/>
      <c r="H14" s="154"/>
      <c r="I14" s="154"/>
      <c r="J14" s="144"/>
      <c r="K14" s="144"/>
      <c r="L14" s="154"/>
      <c r="M14" s="154"/>
      <c r="N14" s="154"/>
      <c r="O14" s="155">
        <f>SUM(O5:O13)</f>
        <v>953608.99450000003</v>
      </c>
      <c r="P14" s="156"/>
      <c r="Q14" s="155">
        <f>SUM(Q5:Q13)</f>
        <v>3609891.2110119998</v>
      </c>
      <c r="R14" s="156"/>
      <c r="S14" s="155">
        <f>SUM(S5:S13)</f>
        <v>0</v>
      </c>
      <c r="T14" s="156"/>
      <c r="U14" s="155">
        <f>SUM(U5:U13)</f>
        <v>0</v>
      </c>
      <c r="V14" s="157">
        <f>SUM(V5:V13)</f>
        <v>4563500.2055119993</v>
      </c>
      <c r="W14" s="108"/>
      <c r="X14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zoomScaleNormal="100" workbookViewId="0">
      <selection activeCell="A4" sqref="A4:B4"/>
    </sheetView>
  </sheetViews>
  <sheetFormatPr defaultColWidth="9" defaultRowHeight="13.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>
      <c r="A1" s="193" t="s">
        <v>54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</row>
    <row r="2" spans="1:15" ht="15" customHeight="1">
      <c r="A2" s="194" t="s">
        <v>55</v>
      </c>
      <c r="B2" s="195" t="s">
        <v>56</v>
      </c>
      <c r="C2" s="196" t="s">
        <v>42</v>
      </c>
      <c r="D2" s="196" t="s">
        <v>57</v>
      </c>
      <c r="E2" s="198" t="s">
        <v>58</v>
      </c>
      <c r="F2" s="195"/>
      <c r="G2" s="195" t="s">
        <v>59</v>
      </c>
      <c r="H2" s="195"/>
      <c r="I2" s="199" t="s">
        <v>60</v>
      </c>
      <c r="J2" s="200"/>
      <c r="K2" s="199" t="s">
        <v>61</v>
      </c>
      <c r="L2" s="200"/>
      <c r="M2" s="198" t="s">
        <v>62</v>
      </c>
      <c r="N2" s="195"/>
      <c r="O2" s="201" t="s">
        <v>63</v>
      </c>
    </row>
    <row r="3" spans="1:15" ht="15" customHeight="1">
      <c r="A3" s="194"/>
      <c r="B3" s="195"/>
      <c r="C3" s="197"/>
      <c r="D3" s="197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202"/>
    </row>
    <row r="4" spans="1:15" ht="15" customHeight="1">
      <c r="A4" s="191" t="s">
        <v>155</v>
      </c>
      <c r="B4" s="192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>
      <c r="A5" s="189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2" si="0">D5*E5</f>
        <v>89845</v>
      </c>
      <c r="G5" s="84">
        <v>8839.9</v>
      </c>
      <c r="H5" s="84">
        <f t="shared" ref="H5:H12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83" t="s">
        <v>129</v>
      </c>
    </row>
    <row r="6" spans="1:15" ht="15" customHeight="1">
      <c r="A6" s="190"/>
      <c r="B6" s="81" t="s">
        <v>70</v>
      </c>
      <c r="C6" s="82" t="s">
        <v>69</v>
      </c>
      <c r="D6" s="83">
        <v>40</v>
      </c>
      <c r="E6" s="84">
        <v>1057</v>
      </c>
      <c r="F6" s="84">
        <f t="shared" si="0"/>
        <v>42280</v>
      </c>
      <c r="G6" s="84">
        <v>11617.4</v>
      </c>
      <c r="H6" s="84">
        <f t="shared" si="1"/>
        <v>464696</v>
      </c>
      <c r="I6" s="84"/>
      <c r="J6" s="84"/>
      <c r="K6" s="84"/>
      <c r="L6" s="84"/>
      <c r="M6" s="84"/>
      <c r="N6" s="84">
        <f t="shared" ref="N6:N12" si="2">F6+H6+J6+L6</f>
        <v>506976</v>
      </c>
      <c r="O6" s="184"/>
    </row>
    <row r="7" spans="1:15" ht="15" customHeight="1">
      <c r="A7" s="190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si="2"/>
        <v>376082.2</v>
      </c>
      <c r="O7" s="184"/>
    </row>
    <row r="8" spans="1:15" ht="15" customHeight="1">
      <c r="A8" s="190"/>
      <c r="B8" s="81" t="s">
        <v>72</v>
      </c>
      <c r="C8" s="82" t="s">
        <v>69</v>
      </c>
      <c r="D8" s="83">
        <v>10</v>
      </c>
      <c r="E8" s="84">
        <v>1057</v>
      </c>
      <c r="F8" s="84">
        <f t="shared" si="0"/>
        <v>10570</v>
      </c>
      <c r="G8" s="84">
        <v>11617.4</v>
      </c>
      <c r="H8" s="84">
        <f t="shared" si="1"/>
        <v>116174</v>
      </c>
      <c r="I8" s="84"/>
      <c r="J8" s="84"/>
      <c r="K8" s="84"/>
      <c r="L8" s="84"/>
      <c r="M8" s="84"/>
      <c r="N8" s="84">
        <f t="shared" si="2"/>
        <v>126744</v>
      </c>
      <c r="O8" s="184"/>
    </row>
    <row r="9" spans="1:15" ht="15" customHeight="1">
      <c r="A9" s="190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84"/>
    </row>
    <row r="10" spans="1:15" ht="15" customHeight="1">
      <c r="A10" s="190"/>
      <c r="B10" s="81" t="s">
        <v>74</v>
      </c>
      <c r="C10" s="82" t="s">
        <v>69</v>
      </c>
      <c r="D10" s="83">
        <v>8</v>
      </c>
      <c r="E10" s="84">
        <v>1057</v>
      </c>
      <c r="F10" s="84">
        <f t="shared" si="0"/>
        <v>8456</v>
      </c>
      <c r="G10" s="84">
        <v>11617.4</v>
      </c>
      <c r="H10" s="84">
        <f t="shared" si="1"/>
        <v>92939.199999999997</v>
      </c>
      <c r="I10" s="84"/>
      <c r="J10" s="84"/>
      <c r="K10" s="84"/>
      <c r="L10" s="84"/>
      <c r="M10" s="84"/>
      <c r="N10" s="84">
        <f t="shared" si="2"/>
        <v>101395.2</v>
      </c>
      <c r="O10" s="184"/>
    </row>
    <row r="11" spans="1:15" ht="15" customHeight="1">
      <c r="A11" s="190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84"/>
    </row>
    <row r="12" spans="1:15" ht="15" customHeight="1">
      <c r="A12" s="190"/>
      <c r="B12" s="81" t="s">
        <v>76</v>
      </c>
      <c r="C12" s="82" t="s">
        <v>69</v>
      </c>
      <c r="D12" s="85">
        <v>8</v>
      </c>
      <c r="E12" s="84">
        <v>1057</v>
      </c>
      <c r="F12" s="84">
        <f t="shared" si="0"/>
        <v>8456</v>
      </c>
      <c r="G12" s="84">
        <v>11617.4</v>
      </c>
      <c r="H12" s="84">
        <f t="shared" si="1"/>
        <v>92939.199999999997</v>
      </c>
      <c r="I12" s="84"/>
      <c r="J12" s="84"/>
      <c r="K12" s="84"/>
      <c r="L12" s="84"/>
      <c r="M12" s="84"/>
      <c r="N12" s="84">
        <f t="shared" si="2"/>
        <v>101395.2</v>
      </c>
      <c r="O12" s="184"/>
    </row>
    <row r="13" spans="1:15" ht="15" customHeight="1">
      <c r="A13" s="109" t="s">
        <v>77</v>
      </c>
      <c r="B13" s="110"/>
      <c r="C13" s="111"/>
      <c r="D13" s="112"/>
      <c r="E13" s="113"/>
      <c r="F13" s="113">
        <f>SUM(F5:F12)</f>
        <v>266364</v>
      </c>
      <c r="G13" s="113"/>
      <c r="H13" s="113">
        <f>SUM(H5:H12)</f>
        <v>2410969.8000000003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2677333.8000000003</v>
      </c>
      <c r="O13" s="113"/>
    </row>
    <row r="14" spans="1:15" ht="15" customHeight="1">
      <c r="A14" s="185" t="s">
        <v>130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84"/>
    </row>
    <row r="15" spans="1:15" ht="15" customHeight="1">
      <c r="A15" s="185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84"/>
    </row>
    <row r="16" spans="1:15" ht="15" customHeight="1">
      <c r="A16" s="185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84"/>
    </row>
    <row r="17" spans="1:15" ht="15" customHeight="1">
      <c r="A17" s="186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87"/>
    </row>
    <row r="18" spans="1:15" ht="15" customHeight="1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6" t="s">
        <v>126</v>
      </c>
      <c r="B20" s="134" t="s">
        <v>125</v>
      </c>
      <c r="C20" s="134" t="s">
        <v>124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>
      <c r="A21" s="188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>
      <c r="A22" s="188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>
      <c r="A23" s="188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>
      <c r="A24" s="188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7" t="s">
        <v>87</v>
      </c>
      <c r="B26" s="81" t="s">
        <v>141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03" t="s">
        <v>123</v>
      </c>
      <c r="B28" s="86"/>
      <c r="C28" s="87"/>
      <c r="D28" s="97"/>
      <c r="E28" s="99"/>
      <c r="F28" s="100">
        <f>F13+F18+F25+F27</f>
        <v>953610.9</v>
      </c>
      <c r="G28" s="100"/>
      <c r="H28" s="100">
        <f>H13+H18+H25+H27</f>
        <v>3609530.3800000004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4563141.28</v>
      </c>
      <c r="O28" s="99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3.5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>
      <c r="A1" s="115" t="s">
        <v>142</v>
      </c>
      <c r="B1" s="115" t="s">
        <v>143</v>
      </c>
      <c r="C1" s="115" t="s">
        <v>144</v>
      </c>
      <c r="D1" s="115" t="s">
        <v>145</v>
      </c>
      <c r="E1" s="115" t="s">
        <v>146</v>
      </c>
      <c r="F1" s="115" t="s">
        <v>0</v>
      </c>
    </row>
    <row r="2" spans="1:6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15.263</v>
      </c>
    </row>
    <row r="3" spans="1:6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>
      <c r="A4" s="116" t="str">
        <f>'내역서(표준단가)'!A7</f>
        <v>E00000803071260301</v>
      </c>
      <c r="B4" s="117">
        <f>'내역서(표준단가)'!F7</f>
        <v>0</v>
      </c>
      <c r="C4" s="117" t="str">
        <f>'내역서(표준단가)'!G7</f>
        <v>E00000803071260301</v>
      </c>
      <c r="D4" s="117">
        <f>'내역서(표준단가)'!H7</f>
        <v>0</v>
      </c>
      <c r="E4" s="117">
        <f>'내역서(표준단가)'!I7</f>
        <v>0</v>
      </c>
      <c r="F4" s="118">
        <f>'내역서(표준단가)'!M7</f>
        <v>1.8859999999999999</v>
      </c>
    </row>
    <row r="5" spans="1:6">
      <c r="A5" s="116" t="str">
        <f>'내역서(표준단가)'!A8</f>
        <v>M020809012520101</v>
      </c>
      <c r="B5" s="117">
        <f>'내역서(표준단가)'!F8</f>
        <v>0</v>
      </c>
      <c r="C5" s="117">
        <f>'내역서(표준단가)'!G8</f>
        <v>0</v>
      </c>
      <c r="D5" s="117" t="str">
        <f>'내역서(표준단가)'!H8</f>
        <v>M020809012520101</v>
      </c>
      <c r="E5" s="117">
        <f>'내역서(표준단가)'!I8</f>
        <v>0</v>
      </c>
      <c r="F5" s="118">
        <f>'내역서(표준단가)'!M8</f>
        <v>61.8</v>
      </c>
    </row>
    <row r="6" spans="1:6">
      <c r="A6" s="116" t="str">
        <f>'내역서(표준단가)'!A9</f>
        <v>E00000803071260401</v>
      </c>
      <c r="B6" s="117">
        <f>'내역서(표준단가)'!F9</f>
        <v>0</v>
      </c>
      <c r="C6" s="117" t="str">
        <f>'내역서(표준단가)'!G9</f>
        <v>E00000803071260401</v>
      </c>
      <c r="D6" s="117">
        <f>'내역서(표준단가)'!H9</f>
        <v>0</v>
      </c>
      <c r="E6" s="117">
        <f>'내역서(표준단가)'!I9</f>
        <v>0</v>
      </c>
      <c r="F6" s="118">
        <f>'내역서(표준단가)'!M9</f>
        <v>1.0132000000000001</v>
      </c>
    </row>
    <row r="7" spans="1:6">
      <c r="A7" s="116" t="str">
        <f>'내역서(표준단가)'!A10</f>
        <v>M020412614110102</v>
      </c>
      <c r="B7" s="117">
        <f>'내역서(표준단가)'!F10</f>
        <v>0</v>
      </c>
      <c r="C7" s="117">
        <f>'내역서(표준단가)'!G10</f>
        <v>0</v>
      </c>
      <c r="D7" s="117" t="str">
        <f>'내역서(표준단가)'!H10</f>
        <v>M020412614110102</v>
      </c>
      <c r="E7" s="117">
        <f>'내역서(표준단가)'!I10</f>
        <v>0</v>
      </c>
      <c r="F7" s="118">
        <f>'내역서(표준단가)'!M10</f>
        <v>0.3</v>
      </c>
    </row>
    <row r="8" spans="1:6">
      <c r="A8" s="116" t="str">
        <f>'내역서(표준단가)'!A11</f>
        <v>E00000803061120402</v>
      </c>
      <c r="B8" s="117">
        <f>'내역서(표준단가)'!F11</f>
        <v>0</v>
      </c>
      <c r="C8" s="117" t="str">
        <f>'내역서(표준단가)'!G11</f>
        <v>E00000803061120402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>
      <c r="A9" s="116" t="str">
        <f>'내역서(표준단가)'!A12</f>
        <v>E00000803061300201</v>
      </c>
      <c r="B9" s="117">
        <f>'내역서(표준단가)'!F12</f>
        <v>0</v>
      </c>
      <c r="C9" s="117" t="str">
        <f>'내역서(표준단가)'!G12</f>
        <v>E00000803061300201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28</v>
      </c>
    </row>
    <row r="10" spans="1:6">
      <c r="A10" s="116" t="str">
        <f>'내역서(표준단가)'!A13</f>
        <v>E00000801011510701</v>
      </c>
      <c r="B10" s="117">
        <f>'내역서(표준단가)'!F13</f>
        <v>0</v>
      </c>
      <c r="C10" s="117" t="str">
        <f>'내역서(표준단가)'!G13</f>
        <v>E00000801011510701</v>
      </c>
      <c r="D10" s="117">
        <f>'내역서(표준단가)'!H13</f>
        <v>0</v>
      </c>
      <c r="E10" s="117">
        <f>'내역서(표준단가)'!I13</f>
        <v>0</v>
      </c>
      <c r="F10" s="118">
        <f>'내역서(표준단가)'!M13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2025-10-31T02:35:21Z</dcterms:modified>
</cp:coreProperties>
</file>
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056C4C09-68E7-4139-9080-773F0C6CAF25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11" i="3"/>
  <c r="K20" i="3" s="1"/>
  <c r="U6" i="2"/>
  <c r="S6" i="2"/>
  <c r="Q6" i="2"/>
  <c r="V6" i="2" s="1"/>
  <c r="O6" i="2"/>
  <c r="A6" i="2"/>
  <c r="U5" i="2"/>
  <c r="U7" i="2" s="1"/>
  <c r="S5" i="2"/>
  <c r="S7" i="2" s="1"/>
  <c r="Q5" i="2"/>
  <c r="Q7" i="2" s="1"/>
  <c r="O5" i="2"/>
  <c r="V5" i="2" s="1"/>
  <c r="J22" i="4" l="1"/>
  <c r="J28" i="4" s="1"/>
  <c r="J20" i="4" s="1"/>
  <c r="J24" i="4"/>
  <c r="J23" i="4"/>
  <c r="J26" i="4"/>
  <c r="J25" i="4"/>
  <c r="J27" i="4" s="1"/>
  <c r="V7" i="2"/>
  <c r="K9" i="3"/>
  <c r="D9" i="3"/>
  <c r="O7" i="2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<sst xmlns="http://schemas.openxmlformats.org/spreadsheetml/2006/main" count="144" uniqueCount="126">
  <si>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>네번타는보일러-30K</t>
  </si>
  <si>
    <t>업      태</t>
  </si>
  <si>
    <t>상      호</t>
  </si>
  <si>
    <t>주      소</t>
  </si>
  <si>
    <t xml:space="preserve">  ※ LG사택 101동 403호</t>
  </si>
  <si>
    <t>GTX-8000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</si>
  <si>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</si>
  <si>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 xml:space="preserve"> 대전광역시 유성구 계룡로 16번길 48, 1층(구암동)</t>
  </si>
  <si>
    <t>거꾸로ECO콘덴싱L20-27H 외</t>
  </si>
  <si>
    <t xml:space="preserve">  에스앤아이코퍼레이션시스템 귀하</t>
  </si>
  <si>
    <t>314-19-99933</t>
  </si>
  <si>
    <t>GRV-300(601)</t>
  </si>
  <si>
    <t>보일러,버너,배관자재,에어컨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</si>
  <si>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</si>
  <si>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101동 403호</t>
  </si>
  <si>
    <t>823-9444       FAX 823-9511</t>
  </si>
  <si>
    <t>세    액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</si>
  <si>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</si>
  <si>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기 타 사 항</t>
  </si>
  <si>
    <t>규     격</t>
  </si>
  <si>
    <t xml:space="preserve">  김 태 용</t>
  </si>
  <si>
    <t>등 록 번 호</t>
  </si>
  <si>
    <t>종   목</t>
  </si>
  <si>
    <t>열교환기</t>
  </si>
  <si>
    <t>합 계 금 액</t>
  </si>
  <si>
    <t>공 급 가 액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</si>
  <si>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</si>
  <si>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가스밸브</t>
  </si>
  <si>
    <t>귀뚜라미산업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</si>
  <si>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</si>
  <si>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품     명</t>
  </si>
  <si>
    <t>할증기준</t>
  </si>
  <si>
    <r>
      <rPr>
        <b/>
        <sz val="10"/>
        <color rgb="FF000000"/>
        <rFont val="LG스마트체 Regular"/>
        <family val="3"/>
        <charset val="129"/>
      </rPr>
      <t>▼낙찰율</t>
    </r>
  </si>
  <si>
    <t>성   명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</si>
  <si>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</si>
  <si>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단    가</t>
  </si>
  <si>
    <t>전 화 번 호</t>
  </si>
  <si>
    <t>비   고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</si>
  <si>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</si>
  <si>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견        적        서</t>
  </si>
  <si>
    <t xml:space="preserve"> 2025  년   10  월   1  일</t>
  </si>
  <si>
    <t xml:space="preserve">  </t>
  </si>
  <si>
    <t>SET</t>
  </si>
  <si>
    <r>
      <rPr>
        <b/>
        <sz val="10"/>
        <color rgb="FF000000"/>
        <rFont val="LG스마트체 Regular"/>
        <family val="3"/>
        <charset val="129"/>
      </rPr>
      <t>단위</t>
    </r>
  </si>
  <si>
    <t>도소매</t>
  </si>
  <si>
    <r>
      <rPr>
        <b/>
        <sz val="10"/>
        <color rgb="FF000000"/>
        <rFont val="LG스마트체 Regular"/>
        <family val="3"/>
        <charset val="129"/>
      </rPr>
      <t>합계</t>
    </r>
  </si>
  <si>
    <t>수 량</t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</si>
  <si>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</si>
  <si>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</si>
  <si>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</si>
  <si>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>콘트롤</t>
  </si>
  <si>
    <r>
      <rPr>
        <b/>
        <sz val="10"/>
        <color rgb="FF000000"/>
        <rFont val="LG스마트체 Regular"/>
        <family val="3"/>
        <charset val="129"/>
      </rPr>
      <t>규격</t>
    </r>
  </si>
  <si>
    <t>번 호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</si>
  <si>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</si>
  <si>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</si>
  <si>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합계</t>
  </si>
  <si>
    <r>
      <rPr>
        <b/>
        <sz val="10"/>
        <color rgb="FF000000"/>
        <rFont val="LG스마트체 Regular"/>
        <family val="3"/>
        <charset val="129"/>
      </rPr>
      <t>재료비</t>
    </r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</si>
  <si>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</si>
  <si>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</si>
  <si>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</si>
  <si>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</si>
  <si>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</si>
  <si>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</si>
  <si>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</si>
  <si>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</si>
  <si>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</si>
  <si>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</si>
  <si>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</si>
  <si>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</si>
  <si>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</si>
  <si>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</si>
  <si>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</si>
  <si>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</si>
  <si>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</si>
  <si>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</si>
  <si>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</si>
  <si>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</si>
  <si>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</si>
  <si>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</si>
  <si>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</si>
  <si>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</si>
  <si>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</si>
  <si>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</si>
  <si>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</si>
  <si>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</si>
  <si>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</si>
  <si>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</si>
  <si>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</si>
  <si>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</si>
  <si>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</si>
  <si>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</si>
  <si>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</si>
  <si>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</si>
  <si>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</si>
  <si>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</si>
  <si>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</si>
  <si>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</si>
  <si>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</si>
  <si>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</si>
  <si>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</si>
  <si>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</si>
  <si>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</si>
  <si>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</si>
  <si>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</si>
  <si>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</si>
  <si>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</si>
  <si>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</si>
  <si>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</si>
  <si>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</si>
  <si>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</si>
  <si>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</si>
  <si>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</si>
  <si>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</si>
  <si>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</si>
  <si>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</si>
  <si>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</si>
  <si>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</si>
  <si>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</si>
  <si>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</si>
  <si>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</si>
  <si>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</si>
  <si>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</si>
  <si>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</si>
  <si>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</si>
  <si>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101-403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</si>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</sst>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66246F2C-BB3D-4C35-BA33-8388FADBE8E5}"/>
    <cellStyle name="백분율 2 3" xfId="6" xr:uid="{00000000-0005-0000-0000-000006000000}"/>
    <cellStyle name="쉼표 [0] 17" xfId="2" xr:uid="{00000000-0005-0000-0000-000002000000}"/>
    <cellStyle name="쉼표 [0] 17 2" xfId="20" xr:uid="{D6BD3CF5-EB7A-4B25-A7FF-BCAEFDD365F5}"/>
    <cellStyle name="쉼표 [0] 2" xfId="13" xr:uid="{45460EFD-6158-438E-801A-66DC79FD1B19}"/>
    <cellStyle name="쉼표 [0] 2 2 2" xfId="5" xr:uid="{00000000-0005-0000-0000-000005000000}"/>
    <cellStyle name="쉼표 [0] 2 2 29" xfId="14" xr:uid="{C966B89D-9BD5-47BA-8548-5DC0F8C8978C}"/>
    <cellStyle name="쉼표 [0] 2 3" xfId="4" xr:uid="{00000000-0005-0000-0000-000004000000}"/>
    <cellStyle name="쉼표 [0] 2 84" xfId="18" xr:uid="{8818D2E2-28E1-4443-8C58-02B62B80912D}"/>
    <cellStyle name="쉼표 [0] 5" xfId="16" xr:uid="{BDB17BC9-2E46-4B45-9BEB-47501F133FA0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C5449E87-1660-4412-B2E9-0EFC890A9007}"/>
    <cellStyle name="표준 10 2" xfId="10" xr:uid="{56F3B65F-143E-4822-A8A8-4B1DCE5B69E0}"/>
    <cellStyle name="표준 2" xfId="17" xr:uid="{22CD9335-BADC-404F-BEC7-A2593460A55B}"/>
    <cellStyle name="표준 3 2" xfId="3" xr:uid="{00000000-0005-0000-0000-000003000000}"/>
    <cellStyle name="표준 7" xfId="7" xr:uid="{00000000-0005-0000-0000-000007000000}"/>
    <cellStyle name="표준_p1공장 외벽청소(08.03.17)" xfId="11" xr:uid="{0A494D4E-AC0F-4AC0-BE96-AE81D611C8AA}"/>
    <cellStyle name="표준_P456 공장 및 복지동 전면 유리창 청소건 라상혁님_1129(최종)" xfId="12" xr:uid="{D5C9ACC3-F49B-4E44-A644-C65402B8544B}"/>
    <cellStyle name="표준_S&amp;D_MAIN VALVE_최빈_2" xfId="9" xr:uid="{8F75052C-D6F8-4D5A-8393-6778D8615E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7D45144-50EC-48B1-AE00-AD8A320A32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07925-71CA-4007-A3A3-B3E8166A9878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11" sqref="J11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32</v>
      </c>
      <c r="Q1" s="44" t="s">
        <v>32</v>
      </c>
      <c r="S1" s="44" t="s">
        <v>32</v>
      </c>
      <c r="U1" s="44" t="s">
        <v>32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13</v>
      </c>
      <c r="G3" s="40"/>
      <c r="H3" s="40"/>
      <c r="I3" s="40"/>
      <c r="J3" s="234" t="s">
        <v>26</v>
      </c>
      <c r="K3" s="234"/>
      <c r="L3" s="234" t="s">
        <v>43</v>
      </c>
      <c r="M3" s="234" t="s">
        <v>54</v>
      </c>
      <c r="N3" s="240" t="s">
        <v>56</v>
      </c>
      <c r="O3" s="240"/>
      <c r="P3" s="240" t="s">
        <v>49</v>
      </c>
      <c r="Q3" s="240"/>
      <c r="R3" s="241" t="s">
        <v>17</v>
      </c>
      <c r="S3" s="241"/>
      <c r="T3" s="241" t="s">
        <v>6</v>
      </c>
      <c r="U3" s="241"/>
      <c r="V3" s="242" t="s">
        <v>45</v>
      </c>
      <c r="W3" s="236" t="s">
        <v>29</v>
      </c>
      <c r="X3" s="238" t="s">
        <v>31</v>
      </c>
    </row>
    <row r="4" spans="1:24" ht="19.899999999999999" customHeight="1">
      <c r="A4" s="39" t="s">
        <v>45</v>
      </c>
      <c r="B4" s="38"/>
      <c r="C4" s="38"/>
      <c r="D4" s="38"/>
      <c r="E4" s="38"/>
      <c r="F4" s="37"/>
      <c r="G4" s="37"/>
      <c r="H4" s="37"/>
      <c r="I4" s="37"/>
      <c r="J4" s="36" t="s">
        <v>47</v>
      </c>
      <c r="K4" s="36" t="s">
        <v>51</v>
      </c>
      <c r="L4" s="235"/>
      <c r="M4" s="235"/>
      <c r="N4" s="35" t="s">
        <v>34</v>
      </c>
      <c r="O4" s="34" t="s">
        <v>53</v>
      </c>
      <c r="P4" s="35" t="s">
        <v>48</v>
      </c>
      <c r="Q4" s="34" t="s">
        <v>53</v>
      </c>
      <c r="R4" s="34" t="s">
        <v>48</v>
      </c>
      <c r="S4" s="34" t="s">
        <v>53</v>
      </c>
      <c r="T4" s="34" t="s">
        <v>48</v>
      </c>
      <c r="U4" s="34" t="s">
        <v>53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14</v>
      </c>
      <c r="K5" s="32" t="s">
        <v>8</v>
      </c>
      <c r="L5" s="31" t="s">
        <v>42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E24" sqref="E24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39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9</v>
      </c>
      <c r="B3" s="246"/>
      <c r="C3" s="246"/>
      <c r="D3" s="246"/>
      <c r="E3" s="246"/>
      <c r="F3" s="247" t="s">
        <v>21</v>
      </c>
      <c r="G3" s="248"/>
      <c r="H3" s="247"/>
      <c r="I3" s="249" t="s">
        <v>10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2</v>
      </c>
      <c r="G4" s="250"/>
      <c r="H4" s="247"/>
      <c r="I4" s="249" t="s">
        <v>28</v>
      </c>
      <c r="J4" s="249"/>
      <c r="K4" s="249"/>
      <c r="L4" s="249"/>
      <c r="M4" s="249"/>
      <c r="N4" s="249" t="s">
        <v>33</v>
      </c>
      <c r="O4" s="249"/>
      <c r="P4" s="249"/>
      <c r="Q4" s="251" t="s">
        <v>20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40</v>
      </c>
      <c r="B5" s="252"/>
      <c r="C5" s="252"/>
      <c r="D5" s="252"/>
      <c r="E5" s="252"/>
      <c r="F5" s="247" t="s">
        <v>3</v>
      </c>
      <c r="G5" s="248"/>
      <c r="H5" s="247"/>
      <c r="I5" s="249" t="s">
        <v>7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1</v>
      </c>
      <c r="G6" s="250"/>
      <c r="H6" s="247"/>
      <c r="I6" s="249" t="s">
        <v>44</v>
      </c>
      <c r="J6" s="249"/>
      <c r="K6" s="249" t="s">
        <v>22</v>
      </c>
      <c r="L6" s="249"/>
      <c r="M6" s="249"/>
      <c r="N6" s="249" t="s">
        <v>12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38</v>
      </c>
      <c r="B7" s="252"/>
      <c r="C7" s="252"/>
      <c r="D7" s="252"/>
      <c r="E7" s="252"/>
      <c r="F7" s="247" t="s">
        <v>36</v>
      </c>
      <c r="G7" s="250"/>
      <c r="H7" s="247"/>
      <c r="I7" s="249" t="s">
        <v>15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41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24</v>
      </c>
      <c r="B9" s="250"/>
      <c r="C9" s="250"/>
      <c r="D9" s="256" t="str">
        <f>"일금 "&amp;NUMBERSTRING((K20+N20),1)&amp;"원정"</f>
        <v>일금 육십오만오천원정</v>
      </c>
      <c r="E9" s="256"/>
      <c r="F9" s="256"/>
      <c r="G9" s="256"/>
      <c r="H9" s="256"/>
      <c r="I9" s="256"/>
      <c r="J9" s="256"/>
      <c r="K9" s="257">
        <f>K20+N20</f>
        <v>655000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52</v>
      </c>
      <c r="B10" s="260" t="s">
        <v>30</v>
      </c>
      <c r="C10" s="261"/>
      <c r="D10" s="262" t="s">
        <v>19</v>
      </c>
      <c r="E10" s="263"/>
      <c r="F10" s="51" t="s">
        <v>46</v>
      </c>
      <c r="G10" s="262" t="s">
        <v>35</v>
      </c>
      <c r="H10" s="264"/>
      <c r="I10" s="264"/>
      <c r="J10" s="263"/>
      <c r="K10" s="262" t="s">
        <v>25</v>
      </c>
      <c r="L10" s="264"/>
      <c r="M10" s="264"/>
      <c r="N10" s="263"/>
      <c r="O10" s="262" t="s">
        <v>16</v>
      </c>
      <c r="P10" s="264"/>
      <c r="Q10" s="263"/>
      <c r="R10" s="51" t="s">
        <v>37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23</v>
      </c>
      <c r="C11" s="266"/>
      <c r="D11" s="267" t="s">
        <v>0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50</v>
      </c>
      <c r="C12" s="266"/>
      <c r="D12" s="267" t="s">
        <v>5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27</v>
      </c>
      <c r="C13" s="266"/>
      <c r="D13" s="267" t="s">
        <v>11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55</v>
      </c>
      <c r="B20" s="265"/>
      <c r="C20" s="266"/>
      <c r="D20" s="267"/>
      <c r="E20" s="266"/>
      <c r="F20" s="51"/>
      <c r="G20" s="268">
        <f>SUM(G11:J14)</f>
        <v>655000</v>
      </c>
      <c r="H20" s="269"/>
      <c r="I20" s="269"/>
      <c r="J20" s="270"/>
      <c r="K20" s="271">
        <f>SUM(K11:N14)</f>
        <v>655000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18</v>
      </c>
      <c r="B21" s="284"/>
      <c r="C21" s="285"/>
      <c r="D21" s="286" t="s">
        <v>4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2025-10-01T23:47:36Z</dcterms:modified>
  <cp:version>1300.0100.01</cp:version>
</cp:coreProperties>
</file>
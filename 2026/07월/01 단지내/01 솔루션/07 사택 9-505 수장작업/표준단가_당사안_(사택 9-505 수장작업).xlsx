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B22A777F-210C-4E8D-B5D2-59B6A654EA8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<sst xmlns="http://schemas.openxmlformats.org/spreadsheetml/2006/main" count="241" uniqueCount="173">
  <si>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</si>
  <si>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</si>
  <si>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</si>
  <si>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</si>
  <si>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</si>
  <si>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</si>
  <si>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</si>
  <si>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</si>
  <si>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</si>
  <si>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</si>
  <si>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</si>
  <si>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</si>
  <si>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</si>
  <si>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</si>
  <si>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</si>
  <si>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</si>
  <si>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</si>
  <si>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</si>
  <si>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</si>
  <si>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</si>
  <si>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</si>
  <si>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</si>
  <si>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</si>
  <si>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</si>
  <si>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</si>
  <si>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</si>
  <si>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</si>
  <si>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</si>
  <si>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</si>
  <si>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</si>
  <si>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</si>
  <si>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</si>
  <si>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</si>
  <si>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</si>
  <si>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</si>
  <si>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</si>
  <si>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</si>
  <si>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</si>
  <si>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</si>
  <si>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</si>
  <si>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</si>
  <si>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</si>
  <si>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</si>
  <si>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</si>
  <si>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</si>
  <si>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</si>
  <si>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</si>
  <si>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</si>
  <si>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</si>
  <si>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</si>
  <si>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</si>
  <si>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</si>
  <si>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</si>
  <si>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</si>
  <si>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</si>
  <si>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</si>
  <si>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</si>
  <si>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</si>
  <si>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</si>
  <si>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</si>
  <si>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</si>
  <si>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</si>
  <si>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</si>
  <si>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</si>
  <si>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</si>
  <si>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</si>
  <si>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</si>
  <si>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</si>
  <si>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</si>
  <si>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</si>
  <si>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</si>
  <si>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</si>
  <si>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</si>
  <si>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</si>
  <si>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</si>
  <si>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</si>
  <si>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</si>
  <si>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</si>
  <si>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</si>
  <si>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</si>
  <si>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</si>
  <si>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</si>
  <si>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</si>
  <si>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</si>
  <si>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</si>
  <si>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</si>
  <si>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</si>
  <si>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</si>
  <si>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</si>
  <si>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</si>
  <si>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</si>
  <si>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</si>
  <si>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</si>
  <si>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</si>
  <si>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</si>
  <si>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</si>
  <si>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</si>
  <si>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</si>
  <si>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</si>
  <si>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</si>
  <si>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</si>
  <si>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</si>
  <si>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</si>
  <si>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</si>
  <si>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</si>
  <si>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</si>
  <si>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</si>
  <si>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</si>
  <si>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</si>
  <si>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</si>
  <si>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</si>
  <si>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</si>
  <si>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</si>
  <si>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</si>
  <si>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</si>
  <si>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</si>
  <si>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</si>
  <si>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</si>
  <si>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</si>
  <si>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</si>
  <si>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</si>
  <si>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</si>
  <si>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</si>
  <si>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</si>
  <si>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</si>
  <si>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</si>
  <si>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</si>
  <si>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</si>
  <si>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</si>
  <si>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</si>
  <si>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</si>
  <si>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</si>
  <si>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</si>
  <si>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</si>
  <si>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</si>
  <si>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</si>
  <si>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</si>
  <si>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</si>
  <si>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</si>
  <si>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</si>
  <si>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</si>
  <si>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</si>
  <si>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</si>
  <si>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</si>
  <si>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</si>
  <si>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</si>
  <si>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</si>
  <si>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</si>
  <si>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</si>
  <si>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</si>
  <si>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</si>
  <si>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</si>
  <si>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</si>
  <si>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</si>
  <si>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</si>
  <si>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</si>
  <si>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</si>
  <si>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</si>
  <si>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</si>
  <si>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</si>
  <si>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</si>
  <si>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</si>
  <si>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</si>
  <si>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</si>
  <si>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</si>
  <si>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</si>
  <si>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05월  22일</t>
    <phoneticPr fontId="5" type="noConversion"/>
  </si>
  <si>
    <t xml:space="preserve"> 공사명 : 사택 9-505 수장작업</t>
    <phoneticPr fontId="11" type="noConversion"/>
  </si>
  <si>
    <t>사택 9-505 수장작업</t>
    <phoneticPr fontId="5" type="noConversion"/>
  </si>
  <si>
    <t>방C 천정(화장실 우측방)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</si>
  <si>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소요량171/16.51=10.357R/L</t>
    </r>
    <phoneticPr fontId="5" type="noConversion"/>
  </si>
  <si>
    <t>곰팡이제거 포함</t>
    <phoneticPr fontId="5" type="noConversion"/>
  </si>
  <si>
    <t>일당 시공량-천장 35㎡ 적산정보 500p 참조, 시공총량11㎡/일당35㎡=1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</si>
</sst>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85" fontId="28" fillId="0" borderId="31" xfId="13" applyNumberFormat="1" applyFont="1" applyBorder="1" applyAlignment="1">
      <alignment horizontal="center" vertical="center"/>
    </xf>
    <xf numFmtId="190" fontId="17" fillId="0" borderId="0" xfId="0" applyNumberFormat="1" applyFont="1">
      <alignment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3" fontId="32" fillId="5" borderId="32" xfId="13" applyNumberFormat="1" applyFont="1" applyFill="1" applyBorder="1" applyAlignment="1">
      <alignment horizontal="center" vertical="center" wrapText="1"/>
    </xf>
    <xf numFmtId="183" fontId="32" fillId="5" borderId="36" xfId="13" applyNumberFormat="1" applyFont="1" applyFill="1" applyBorder="1" applyAlignment="1">
      <alignment horizontal="center" vertical="center" wrapText="1"/>
    </xf>
    <xf numFmtId="183" fontId="32" fillId="5" borderId="35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L22" sqref="L22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0" t="s">
        <v>6</v>
      </c>
      <c r="B2" s="180"/>
      <c r="C2" s="180"/>
      <c r="D2" s="180"/>
      <c r="E2" s="180"/>
      <c r="F2" s="180"/>
      <c r="G2" s="180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3" t="s">
        <v>167</v>
      </c>
      <c r="B7" s="184"/>
      <c r="C7" s="185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166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81"/>
      <c r="B11" s="182"/>
      <c r="C11" s="182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사백오십팔만칠천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868960.5355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3023152.0479580001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3892112.5834579999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164</v>
      </c>
      <c r="D21" s="168">
        <v>1</v>
      </c>
      <c r="E21" s="168" t="s">
        <v>24</v>
      </c>
      <c r="F21" s="169">
        <f>F17*4.75%</f>
        <v>143599.72227800501</v>
      </c>
      <c r="G21" s="35" t="s">
        <v>25</v>
      </c>
    </row>
    <row r="22" spans="1:7" ht="33" customHeight="1">
      <c r="A22" s="29"/>
      <c r="B22" s="170" t="s">
        <v>26</v>
      </c>
      <c r="C22" s="167" t="s">
        <v>165</v>
      </c>
      <c r="D22" s="171">
        <v>1</v>
      </c>
      <c r="E22" s="171" t="s">
        <v>24</v>
      </c>
      <c r="F22" s="172">
        <f>F17*3.595%</f>
        <v>108682.31612409011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14074.359938069671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30533.835684375801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107624.2129073048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114038.89869531941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177085.26967925826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695638.61530642305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4587751.1987644229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4587000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10" activePane="bottomLeft" state="frozen"/>
      <selection pane="bottomLeft" activeCell="K13" sqref="K13"/>
    </sheetView>
  </sheetViews>
  <sheetFormatPr defaultColWidth="9" defaultRowHeight="38.1" customHeight="1"/>
  <cols>
    <col min="1" max="1" width="20.5" style="147" bestFit="1" customWidth="1"/>
    <col min="2" max="2" width="9" style="136" hidden="1" customWidth="1"/>
    <col min="3" max="5" width="12.625" style="136" hidden="1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hidden="1" customWidth="1"/>
    <col min="15" max="15" width="8.375" style="136" hidden="1" customWidth="1"/>
    <col min="16" max="16" width="10.5" style="136" hidden="1" customWidth="1"/>
    <col min="17" max="17" width="8.375" style="136" hidden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6"/>
      <c r="B1" s="186"/>
      <c r="C1" s="186"/>
      <c r="D1" s="186"/>
      <c r="E1" s="186"/>
      <c r="J1" s="62"/>
      <c r="K1" s="135" t="s">
        <v>97</v>
      </c>
      <c r="M1" s="135" t="s">
        <v>97</v>
      </c>
      <c r="O1" s="135" t="s">
        <v>97</v>
      </c>
      <c r="Q1" s="135" t="s">
        <v>97</v>
      </c>
    </row>
    <row r="2" spans="1:20" ht="19.899999999999999" customHeight="1" thickBot="1">
      <c r="A2" s="186"/>
      <c r="B2" s="186"/>
      <c r="C2" s="186"/>
      <c r="D2" s="186"/>
      <c r="E2" s="18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98</v>
      </c>
      <c r="C3" s="138"/>
      <c r="D3" s="138"/>
      <c r="E3" s="138"/>
      <c r="F3" s="197" t="s">
        <v>99</v>
      </c>
      <c r="G3" s="197"/>
      <c r="H3" s="195" t="s">
        <v>47</v>
      </c>
      <c r="I3" s="195" t="s">
        <v>5</v>
      </c>
      <c r="J3" s="191" t="s">
        <v>100</v>
      </c>
      <c r="K3" s="191"/>
      <c r="L3" s="191" t="s">
        <v>101</v>
      </c>
      <c r="M3" s="191"/>
      <c r="N3" s="192" t="s">
        <v>102</v>
      </c>
      <c r="O3" s="192"/>
      <c r="P3" s="192" t="s">
        <v>103</v>
      </c>
      <c r="Q3" s="192"/>
      <c r="R3" s="193" t="s">
        <v>104</v>
      </c>
      <c r="S3" s="189" t="s">
        <v>105</v>
      </c>
      <c r="T3" s="187" t="s">
        <v>45</v>
      </c>
    </row>
    <row r="4" spans="1:20" ht="19.899999999999999" customHeight="1">
      <c r="A4" s="65" t="s">
        <v>106</v>
      </c>
      <c r="B4" s="66" t="s">
        <v>107</v>
      </c>
      <c r="C4" s="66" t="s">
        <v>108</v>
      </c>
      <c r="D4" s="66" t="s">
        <v>109</v>
      </c>
      <c r="E4" s="66" t="s">
        <v>110</v>
      </c>
      <c r="F4" s="132" t="s">
        <v>111</v>
      </c>
      <c r="G4" s="132" t="s">
        <v>112</v>
      </c>
      <c r="H4" s="196"/>
      <c r="I4" s="196"/>
      <c r="J4" s="67" t="s">
        <v>113</v>
      </c>
      <c r="K4" s="68" t="s">
        <v>114</v>
      </c>
      <c r="L4" s="67" t="s">
        <v>115</v>
      </c>
      <c r="M4" s="68" t="s">
        <v>114</v>
      </c>
      <c r="N4" s="68" t="s">
        <v>116</v>
      </c>
      <c r="O4" s="68" t="s">
        <v>114</v>
      </c>
      <c r="P4" s="68" t="s">
        <v>116</v>
      </c>
      <c r="Q4" s="68" t="s">
        <v>114</v>
      </c>
      <c r="R4" s="194"/>
      <c r="S4" s="190"/>
      <c r="T4" s="188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150</v>
      </c>
      <c r="E5" s="94"/>
      <c r="F5" s="130" t="s">
        <v>151</v>
      </c>
      <c r="G5" s="130" t="s">
        <v>170</v>
      </c>
      <c r="H5" s="110" t="s">
        <v>159</v>
      </c>
      <c r="I5" s="129">
        <v>10.356999999999999</v>
      </c>
      <c r="J5" s="155">
        <v>20900</v>
      </c>
      <c r="K5" s="126">
        <f t="shared" ref="K5" si="1">SUM(J5:J5)*I5*$K$2</f>
        <v>180745.18549999999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180745.18549999999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117</v>
      </c>
      <c r="D6" s="70"/>
      <c r="E6" s="94"/>
      <c r="F6" s="130" t="s">
        <v>119</v>
      </c>
      <c r="G6" s="130" t="s">
        <v>160</v>
      </c>
      <c r="H6" s="71" t="s">
        <v>118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117</v>
      </c>
      <c r="D7" s="70"/>
      <c r="E7" s="94"/>
      <c r="F7" s="130" t="s">
        <v>120</v>
      </c>
      <c r="G7" s="130" t="s">
        <v>172</v>
      </c>
      <c r="H7" s="71" t="s">
        <v>118</v>
      </c>
      <c r="I7" s="129">
        <v>0.314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133838.03177999999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133838.03177999999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153</v>
      </c>
      <c r="E8" s="94"/>
      <c r="F8" s="130" t="s">
        <v>154</v>
      </c>
      <c r="G8" s="130" t="s">
        <v>155</v>
      </c>
      <c r="H8" s="110" t="s">
        <v>152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121</v>
      </c>
      <c r="D9" s="70"/>
      <c r="E9" s="94"/>
      <c r="F9" s="130" t="s">
        <v>122</v>
      </c>
      <c r="G9" s="130" t="s">
        <v>161</v>
      </c>
      <c r="H9" s="71" t="s">
        <v>118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147</v>
      </c>
      <c r="E10" s="94"/>
      <c r="F10" s="133" t="s">
        <v>146</v>
      </c>
      <c r="G10" s="133" t="s">
        <v>141</v>
      </c>
      <c r="H10" s="122" t="s">
        <v>140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123</v>
      </c>
      <c r="D11" s="70"/>
      <c r="E11" s="94"/>
      <c r="F11" s="130" t="s">
        <v>124</v>
      </c>
      <c r="G11" s="130" t="s">
        <v>125</v>
      </c>
      <c r="H11" s="110" t="s">
        <v>138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127</v>
      </c>
      <c r="D12" s="70"/>
      <c r="E12" s="94"/>
      <c r="F12" s="130" t="s">
        <v>128</v>
      </c>
      <c r="G12" s="130" t="s">
        <v>129</v>
      </c>
      <c r="H12" s="110" t="s">
        <v>126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142</v>
      </c>
      <c r="E13" s="94"/>
      <c r="F13" s="133" t="s">
        <v>143</v>
      </c>
      <c r="G13" s="133" t="s">
        <v>144</v>
      </c>
      <c r="H13" s="122" t="s">
        <v>140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130</v>
      </c>
      <c r="D14" s="70"/>
      <c r="E14" s="94"/>
      <c r="F14" s="130" t="s">
        <v>131</v>
      </c>
      <c r="G14" s="130" t="s">
        <v>132</v>
      </c>
      <c r="H14" s="110" t="s">
        <v>126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133</v>
      </c>
      <c r="D15" s="70"/>
      <c r="E15" s="94"/>
      <c r="F15" s="130" t="s">
        <v>134</v>
      </c>
      <c r="G15" s="130" t="s">
        <v>129</v>
      </c>
      <c r="H15" s="110" t="s">
        <v>126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130</v>
      </c>
      <c r="D16" s="70"/>
      <c r="E16" s="94"/>
      <c r="F16" s="130" t="s">
        <v>135</v>
      </c>
      <c r="G16" s="130" t="s">
        <v>132</v>
      </c>
      <c r="H16" s="110" t="s">
        <v>126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136</v>
      </c>
      <c r="D17" s="70"/>
      <c r="E17" s="94"/>
      <c r="F17" s="130" t="s">
        <v>137</v>
      </c>
      <c r="G17" s="130" t="s">
        <v>129</v>
      </c>
      <c r="H17" s="110" t="s">
        <v>126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158</v>
      </c>
      <c r="D18" s="70"/>
      <c r="E18" s="94"/>
      <c r="F18" s="159" t="s">
        <v>162</v>
      </c>
      <c r="G18" s="71" t="s">
        <v>157</v>
      </c>
      <c r="H18" s="160" t="s">
        <v>163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868960.5355</v>
      </c>
      <c r="L19" s="144"/>
      <c r="M19" s="143">
        <f>SUM(M5:M18)</f>
        <v>3023152.0479580001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3892112.5834580003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0" t="s">
        <v>58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6" ht="15" customHeight="1">
      <c r="A2" s="201" t="s">
        <v>59</v>
      </c>
      <c r="B2" s="202" t="s">
        <v>60</v>
      </c>
      <c r="C2" s="203" t="s">
        <v>47</v>
      </c>
      <c r="D2" s="203" t="s">
        <v>61</v>
      </c>
      <c r="E2" s="205" t="s">
        <v>62</v>
      </c>
      <c r="F2" s="202"/>
      <c r="G2" s="202" t="s">
        <v>63</v>
      </c>
      <c r="H2" s="202"/>
      <c r="I2" s="206" t="s">
        <v>64</v>
      </c>
      <c r="J2" s="207"/>
      <c r="K2" s="206" t="s">
        <v>65</v>
      </c>
      <c r="L2" s="207"/>
      <c r="M2" s="205" t="s">
        <v>66</v>
      </c>
      <c r="N2" s="202"/>
      <c r="O2" s="208" t="s">
        <v>67</v>
      </c>
    </row>
    <row r="3" spans="1:16" ht="15" customHeight="1">
      <c r="A3" s="201"/>
      <c r="B3" s="202"/>
      <c r="C3" s="204"/>
      <c r="D3" s="204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9"/>
    </row>
    <row r="4" spans="1:16" ht="15" customHeight="1">
      <c r="A4" s="198" t="s">
        <v>168</v>
      </c>
      <c r="B4" s="199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11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13" t="s">
        <v>148</v>
      </c>
      <c r="P5" s="179"/>
    </row>
    <row r="6" spans="1:16" ht="15" customHeight="1">
      <c r="A6" s="212"/>
      <c r="B6" s="173" t="s">
        <v>74</v>
      </c>
      <c r="C6" s="174" t="s">
        <v>73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214"/>
    </row>
    <row r="7" spans="1:16" ht="15" customHeight="1">
      <c r="A7" s="212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2" si="2">F7+H7+J7+L7</f>
        <v>330336</v>
      </c>
      <c r="O7" s="214"/>
      <c r="P7" s="108"/>
    </row>
    <row r="8" spans="1:16" ht="15" customHeight="1">
      <c r="A8" s="212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14"/>
    </row>
    <row r="9" spans="1:16" ht="15" customHeight="1">
      <c r="A9" s="212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14"/>
    </row>
    <row r="10" spans="1:16" ht="15" customHeight="1">
      <c r="A10" s="212"/>
      <c r="B10" s="173" t="s">
        <v>78</v>
      </c>
      <c r="C10" s="174" t="s">
        <v>73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214"/>
    </row>
    <row r="11" spans="1:16" ht="15" customHeight="1">
      <c r="A11" s="212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14"/>
    </row>
    <row r="12" spans="1:16" ht="15" customHeight="1">
      <c r="A12" s="212"/>
      <c r="B12" s="178" t="s">
        <v>169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214"/>
    </row>
    <row r="13" spans="1:16" ht="15" customHeight="1">
      <c r="A13" s="103" t="s">
        <v>80</v>
      </c>
      <c r="B13" s="104"/>
      <c r="C13" s="105"/>
      <c r="D13" s="149">
        <f>SUM(D5:D12)</f>
        <v>147</v>
      </c>
      <c r="E13" s="112"/>
      <c r="F13" s="106">
        <f>SUM(F5:F12)</f>
        <v>155379</v>
      </c>
      <c r="G13" s="106"/>
      <c r="H13" s="106">
        <f>SUM(H5:H12)</f>
        <v>1394134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1549513</v>
      </c>
      <c r="O13" s="106"/>
    </row>
    <row r="14" spans="1:16" ht="15" customHeight="1">
      <c r="A14" s="215" t="s">
        <v>149</v>
      </c>
      <c r="B14" s="78" t="s">
        <v>81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14"/>
    </row>
    <row r="15" spans="1:16" ht="15" customHeight="1">
      <c r="A15" s="215"/>
      <c r="B15" s="78" t="s">
        <v>82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14"/>
    </row>
    <row r="16" spans="1:16" ht="15" customHeight="1">
      <c r="A16" s="215"/>
      <c r="B16" s="78" t="s">
        <v>83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14"/>
    </row>
    <row r="17" spans="1:15" ht="15" customHeight="1">
      <c r="A17" s="216"/>
      <c r="B17" s="78" t="s">
        <v>84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17"/>
    </row>
    <row r="18" spans="1:15" ht="15" customHeight="1">
      <c r="A18" s="95" t="s">
        <v>80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85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145</v>
      </c>
      <c r="B20" s="123" t="s">
        <v>141</v>
      </c>
      <c r="C20" s="123" t="s">
        <v>140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219" t="s">
        <v>171</v>
      </c>
    </row>
    <row r="21" spans="1:15" ht="15" customHeight="1">
      <c r="A21" s="218" t="s">
        <v>86</v>
      </c>
      <c r="B21" s="85" t="s">
        <v>87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220"/>
    </row>
    <row r="22" spans="1:15" ht="15" customHeight="1">
      <c r="A22" s="218"/>
      <c r="B22" s="85" t="s">
        <v>88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220"/>
    </row>
    <row r="23" spans="1:15" ht="15" customHeight="1">
      <c r="A23" s="218" t="s">
        <v>89</v>
      </c>
      <c r="B23" s="85" t="s">
        <v>87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220"/>
    </row>
    <row r="24" spans="1:15" ht="15" customHeight="1">
      <c r="A24" s="218"/>
      <c r="B24" s="85" t="s">
        <v>88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221"/>
    </row>
    <row r="25" spans="1:15" ht="15" customHeight="1">
      <c r="A25" s="124" t="s">
        <v>143</v>
      </c>
      <c r="B25" s="123" t="s">
        <v>144</v>
      </c>
      <c r="C25" s="123" t="s">
        <v>140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210" t="s">
        <v>90</v>
      </c>
      <c r="B26" s="85" t="s">
        <v>91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210"/>
      <c r="B27" s="85" t="s">
        <v>92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210" t="s">
        <v>93</v>
      </c>
      <c r="B28" s="85" t="s">
        <v>91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210"/>
      <c r="B29" s="85" t="s">
        <v>94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95</v>
      </c>
      <c r="B31" s="78" t="s">
        <v>156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96</v>
      </c>
    </row>
    <row r="32" spans="1:15" ht="15" customHeight="1">
      <c r="A32" s="96" t="s">
        <v>80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139</v>
      </c>
      <c r="B33" s="81"/>
      <c r="C33" s="82"/>
      <c r="D33" s="154"/>
      <c r="E33" s="91"/>
      <c r="F33" s="92">
        <f>F13+F18+F30+F32</f>
        <v>843594.6</v>
      </c>
      <c r="G33" s="92"/>
      <c r="H33" s="92">
        <f>H13+H18+H30+H32</f>
        <v>3023416.5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3867011.1</v>
      </c>
      <c r="O33" s="91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0:O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10.356999999999999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0.314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2026-05-26T01:38:34Z</dcterms:modified>
</cp:coreProperties>
</file>
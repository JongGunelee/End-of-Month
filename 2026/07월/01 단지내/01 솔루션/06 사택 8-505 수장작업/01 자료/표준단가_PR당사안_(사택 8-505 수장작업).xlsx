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BB89EDD7-1490-416E-AF7E-74E2B10AA6E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3" i="9"/>
  <c r="F2" i="1"/>
  <c r="E2" i="1"/>
  <c r="D2" i="1"/>
  <c r="C2" i="1"/>
  <c r="B2" i="1"/>
  <c r="J28" i="11" l="1"/>
  <c r="J20" i="11" s="1"/>
  <c r="P7" i="9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J30" i="11" l="1"/>
  <c r="Q5" i="4"/>
  <c r="O5" i="4"/>
  <c r="M5" i="4"/>
  <c r="K5" i="4"/>
  <c r="M32" i="11" l="1"/>
  <c r="B15" i="11" s="1"/>
  <c r="R5" i="4"/>
  <c r="F25" i="9" l="1"/>
  <c r="N25" i="9" s="1"/>
  <c r="K7" i="4"/>
  <c r="O7" i="4"/>
  <c r="Q7" i="4"/>
  <c r="R7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L33" i="9" l="1"/>
  <c r="J33" i="9"/>
  <c r="N14" i="9"/>
  <c r="N15" i="9"/>
  <c r="N17" i="9"/>
  <c r="F30" i="9"/>
  <c r="N27" i="9"/>
  <c r="H18" i="9"/>
  <c r="N28" i="9"/>
  <c r="F13" i="9"/>
  <c r="N16" i="9"/>
  <c r="H30" i="9"/>
  <c r="H13" i="9"/>
  <c r="N26" i="9"/>
  <c r="N31" i="9"/>
  <c r="N32" i="9" s="1"/>
  <c r="F18" i="9"/>
  <c r="F33" i="9" l="1"/>
  <c r="H33" i="9"/>
  <c r="N18" i="9"/>
  <c r="N13" i="9"/>
  <c r="N30" i="9"/>
  <c r="Q12" i="4"/>
  <c r="O12" i="4"/>
  <c r="M12" i="4"/>
  <c r="K12" i="4"/>
  <c r="N33" i="9" l="1"/>
  <c r="R12" i="4"/>
  <c r="Q11" i="4" l="1"/>
  <c r="O11" i="4"/>
  <c r="M11" i="4"/>
  <c r="K11" i="4"/>
  <c r="Q10" i="4"/>
  <c r="O10" i="4"/>
  <c r="M10" i="4"/>
  <c r="K10" i="4"/>
  <c r="Q9" i="4"/>
  <c r="O9" i="4"/>
  <c r="M9" i="4"/>
  <c r="K9" i="4"/>
  <c r="Q8" i="4"/>
  <c r="O8" i="4"/>
  <c r="M8" i="4"/>
  <c r="K8" i="4"/>
  <c r="Q6" i="4"/>
  <c r="O6" i="4"/>
  <c r="M6" i="4"/>
  <c r="K6" i="4"/>
  <c r="K13" i="4" l="1"/>
  <c r="M13" i="4"/>
  <c r="R6" i="4"/>
  <c r="R9" i="4"/>
  <c r="R10" i="4"/>
  <c r="R8" i="4"/>
  <c r="R11" i="4"/>
  <c r="R13" i="4" l="1"/>
  <c r="Q13" i="4"/>
  <c r="O13" i="4"/>
</calcChain>
</file>

<file path=xl/sharedStrings.xml><?xml version="1.0" encoding="utf-8"?>
<sst xmlns="http://schemas.openxmlformats.org/spreadsheetml/2006/main" count="229" uniqueCount="168">
  <si>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</si>
  <si>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</si>
  <si>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</si>
  <si>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</si>
  <si>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</si>
  <si>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</si>
  <si>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</si>
  <si>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</si>
  <si>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</si>
  <si>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</si>
  <si>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</si>
  <si>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</si>
  <si>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</si>
  <si>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</si>
  <si>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</si>
  <si>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</si>
  <si>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</si>
  <si>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</si>
  <si>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</si>
  <si>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</si>
  <si>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</si>
  <si>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</si>
  <si>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</si>
  <si>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</si>
  <si>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</si>
  <si>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</si>
  <si>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</si>
  <si>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</si>
  <si>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</si>
  <si>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</si>
  <si>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</si>
  <si>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</si>
  <si>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</si>
  <si>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</si>
  <si>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</si>
  <si>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</si>
  <si>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</si>
  <si>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</si>
  <si>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</si>
  <si>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</si>
  <si>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</si>
  <si>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</si>
  <si>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</si>
  <si>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</si>
  <si>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</si>
  <si>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</si>
  <si>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</si>
  <si>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</si>
  <si>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</si>
  <si>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</si>
  <si>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</si>
  <si>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</si>
  <si>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</si>
  <si>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</si>
  <si>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</si>
  <si>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</si>
  <si>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</si>
  <si>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</si>
  <si>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</si>
  <si>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</si>
  <si>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</si>
  <si>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</si>
  <si>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</si>
  <si>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</si>
  <si>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</si>
  <si>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</si>
  <si>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</si>
  <si>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</si>
  <si>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</si>
  <si>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(일당)</t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</si>
  <si>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</si>
  <si>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</si>
  <si>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</si>
  <si>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</si>
  <si>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</si>
  <si>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</si>
  <si>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</si>
  <si>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</si>
  <si>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</si>
  <si>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</si>
  <si>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</si>
  <si>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</si>
  <si>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</si>
  <si>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</si>
  <si>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</si>
  <si>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</si>
  <si>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</si>
  <si>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</si>
  <si>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</si>
  <si>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</si>
  <si>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</si>
  <si>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</si>
  <si>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</si>
  <si>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</si>
  <si>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</si>
  <si>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</si>
  <si>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</si>
  <si>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</si>
  <si>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일당 시공량-61㎡ 적산정보 500p 참조,시공총량59.5/일당61=0.9754</t>
    <phoneticPr fontId="6" type="noConversion"/>
  </si>
  <si>
    <t>입주청소</t>
  </si>
  <si>
    <t>(바닥면적 ㎡당)</t>
  </si>
  <si>
    <t>사택 8-505 수장작업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</si>
  <si>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</si>
  <si>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</si>
  <si>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</si>
  <si>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</si>
  <si>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</si>
  <si>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</si>
  <si>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</si>
  <si>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</si>
  <si>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</si>
  <si>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</si>
  <si>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</si>
  <si>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</si>
  <si>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</si>
  <si>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</si>
  <si>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</si>
  <si>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</si>
  <si>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</si>
  <si>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</si>
  <si>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</si>
  <si>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</si>
  <si>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</si>
  <si>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</si>
  <si>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</si>
  <si>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</si>
  <si>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</si>
  <si>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</si>
  <si>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</si>
  <si>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</si>
  <si>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</si>
  <si>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</si>
  <si>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</si>
  <si>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</si>
  <si>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</si>
  <si>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</si>
  <si>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</si>
  <si>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</si>
  <si>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</si>
  <si>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</si>
  <si>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</si>
  <si>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</si>
  <si>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</si>
  <si>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</si>
  <si>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</si>
  <si>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</si>
  <si>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</si>
  <si>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</si>
  <si>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</si>
  <si>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</si>
  <si>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</si>
  <si>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</si>
  <si>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</si>
  <si>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</si>
  <si>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</si>
  <si>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</si>
  <si>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</si>
  <si>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</si>
  <si>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</si>
  <si>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</si>
  <si>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</si>
  <si>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</si>
  <si>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</si>
  <si>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</si>
  <si>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</si>
  <si>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</si>
  <si>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8-505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</si>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</sst>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49" fontId="19" fillId="7" borderId="11" xfId="0" applyNumberFormat="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 wrapText="1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1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28" fillId="0" borderId="10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2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2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116A0D8-FF32-41BC-8729-933B515C9F7E}"/>
    <cellStyle name="쉼표 [0] 2 84" xfId="24" xr:uid="{DAE2A13D-1524-4D9E-BB94-AC47956F8B5A}"/>
    <cellStyle name="쉼표 [0] 3" xfId="14" xr:uid="{8F7BE219-40E1-4BBB-A9BD-02188B74B2A3}"/>
    <cellStyle name="쉼표 [0] 4" xfId="21" xr:uid="{F37FA691-7BDE-4608-8BED-621677C7CCC4}"/>
    <cellStyle name="쉼표 [0] 5" xfId="23" xr:uid="{EAB56401-128D-4DC3-902F-9BF10ED9EE5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9D935A3-481F-43EB-B3D5-DA230E1C362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6B29A12-4C25-4233-B8CB-CB408BC673DF}"/>
    <cellStyle name="표준_P456 공장 및 복지동 전면 유리창 청소건 라상혁님_1129(최종)" xfId="20" xr:uid="{CE3262E9-EE6C-4E38-9B14-875E8DBA2F41}"/>
    <cellStyle name="표준_S&amp;D_MAIN VALVE_최빈_2" xfId="17" xr:uid="{EB98CF44-25CF-437D-BB15-C4AFE0D0D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591FCB-E991-42F9-AC02-5CFF133A9E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3AE6-5A4F-4FBB-A596-8BFBBA059265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>
      <c r="A3" s="259" t="s">
        <v>102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>
      <c r="A4" s="109" t="s">
        <v>103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>
      <c r="A5" s="114"/>
      <c r="B5" s="170" t="s">
        <v>167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>
      <c r="A7" s="262" t="s">
        <v>104</v>
      </c>
      <c r="B7" s="263"/>
      <c r="C7" s="264"/>
      <c r="D7" s="172">
        <v>2026</v>
      </c>
      <c r="E7" s="122" t="s">
        <v>105</v>
      </c>
      <c r="F7" s="173">
        <v>5</v>
      </c>
      <c r="G7" s="122" t="s">
        <v>106</v>
      </c>
      <c r="H7" s="173">
        <v>26</v>
      </c>
      <c r="I7" s="122" t="s">
        <v>107</v>
      </c>
      <c r="J7" s="123"/>
      <c r="K7" s="265" t="s">
        <v>108</v>
      </c>
      <c r="L7" s="124" t="s">
        <v>109</v>
      </c>
      <c r="M7" s="124" t="s">
        <v>110</v>
      </c>
      <c r="N7" s="124" t="s">
        <v>111</v>
      </c>
      <c r="O7" s="125" t="s">
        <v>112</v>
      </c>
    </row>
    <row r="8" spans="1:15" ht="23.25" customHeight="1">
      <c r="A8" s="268" t="s">
        <v>113</v>
      </c>
      <c r="B8" s="269"/>
      <c r="C8" s="270"/>
      <c r="D8" s="271" t="s">
        <v>114</v>
      </c>
      <c r="E8" s="272"/>
      <c r="F8" s="272"/>
      <c r="G8" s="273"/>
      <c r="H8" s="274" t="s">
        <v>115</v>
      </c>
      <c r="I8" s="272"/>
      <c r="J8" s="275"/>
      <c r="K8" s="266"/>
      <c r="L8" s="126" t="s">
        <v>116</v>
      </c>
      <c r="M8" s="126" t="s">
        <v>117</v>
      </c>
      <c r="N8" s="126" t="s">
        <v>118</v>
      </c>
      <c r="O8" s="127" t="s">
        <v>119</v>
      </c>
    </row>
    <row r="9" spans="1:15" ht="23.25" customHeight="1">
      <c r="A9" s="268" t="s">
        <v>120</v>
      </c>
      <c r="B9" s="269"/>
      <c r="C9" s="270"/>
      <c r="D9" s="276" t="s">
        <v>121</v>
      </c>
      <c r="E9" s="277"/>
      <c r="F9" s="277"/>
      <c r="G9" s="277"/>
      <c r="H9" s="277"/>
      <c r="I9" s="277"/>
      <c r="J9" s="278"/>
      <c r="K9" s="266"/>
      <c r="L9" s="126" t="s">
        <v>122</v>
      </c>
      <c r="M9" s="279" t="s">
        <v>123</v>
      </c>
      <c r="N9" s="269"/>
      <c r="O9" s="270"/>
    </row>
    <row r="10" spans="1:15" ht="23.25" customHeight="1" thickBot="1">
      <c r="A10" s="280" t="s">
        <v>124</v>
      </c>
      <c r="B10" s="281"/>
      <c r="C10" s="282"/>
      <c r="D10" s="283" t="s">
        <v>125</v>
      </c>
      <c r="E10" s="284"/>
      <c r="F10" s="284"/>
      <c r="G10" s="284"/>
      <c r="H10" s="284"/>
      <c r="I10" s="284"/>
      <c r="J10" s="285"/>
      <c r="K10" s="267"/>
      <c r="L10" s="128" t="s">
        <v>126</v>
      </c>
      <c r="M10" s="128" t="s">
        <v>127</v>
      </c>
      <c r="N10" s="128" t="s">
        <v>128</v>
      </c>
      <c r="O10" s="129" t="s">
        <v>129</v>
      </c>
    </row>
    <row r="11" spans="1:15" ht="21.75" customHeight="1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>
      <c r="A13" s="136"/>
      <c r="B13" s="255" t="s">
        <v>166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130</v>
      </c>
      <c r="O13" s="135"/>
    </row>
    <row r="14" spans="1:15" ht="9" customHeight="1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>
      <c r="A15" s="136"/>
      <c r="B15" s="238" t="str">
        <f>"견 적 금 액 : 一金"&amp;NUMBERSTRING(M32,1) &amp; "원정""(\"&amp; TEXT(M32,"#,###")&amp;"원) [VAT 별도]"</f>
        <v>견 적 금 액 : 一金일백구십칠만사백칠십오원정"(\1,970,475원)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>
      <c r="A17" s="138" t="s">
        <v>131</v>
      </c>
      <c r="B17" s="248" t="s">
        <v>132</v>
      </c>
      <c r="C17" s="249"/>
      <c r="D17" s="249"/>
      <c r="E17" s="249"/>
      <c r="F17" s="249"/>
      <c r="G17" s="250"/>
      <c r="H17" s="139" t="s">
        <v>133</v>
      </c>
      <c r="I17" s="140" t="s">
        <v>134</v>
      </c>
      <c r="J17" s="251" t="s">
        <v>135</v>
      </c>
      <c r="K17" s="252"/>
      <c r="L17" s="252"/>
      <c r="M17" s="253"/>
      <c r="N17" s="248" t="s">
        <v>136</v>
      </c>
      <c r="O17" s="254"/>
    </row>
    <row r="18" spans="1:17" ht="28.5" customHeight="1">
      <c r="A18" s="141">
        <v>1</v>
      </c>
      <c r="B18" s="242" t="s">
        <v>52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1/(TRIM('내역서(표준단가)'!K4:K100)&lt;&gt;""), '내역서(표준단가)'!K4:K100), "-")</f>
        <v>660869.1</v>
      </c>
      <c r="K18" s="245"/>
      <c r="L18" s="245"/>
      <c r="M18" s="245"/>
      <c r="N18" s="246"/>
      <c r="O18" s="247"/>
    </row>
    <row r="19" spans="1:17" ht="28.5" customHeight="1">
      <c r="A19" s="142">
        <v>2</v>
      </c>
      <c r="B19" s="222" t="s">
        <v>53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943191.48005799996</v>
      </c>
      <c r="K19" s="226"/>
      <c r="L19" s="226"/>
      <c r="M19" s="227"/>
      <c r="N19" s="228"/>
      <c r="O19" s="229"/>
    </row>
    <row r="20" spans="1:17" ht="28.5" customHeight="1">
      <c r="A20" s="142">
        <v>3</v>
      </c>
      <c r="B20" s="230" t="s">
        <v>137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176154.93989853686</v>
      </c>
      <c r="K20" s="234"/>
      <c r="L20" s="234"/>
      <c r="M20" s="235"/>
      <c r="N20" s="236"/>
      <c r="O20" s="237"/>
      <c r="P20" s="144"/>
    </row>
    <row r="21" spans="1:17" ht="28.5" customHeight="1">
      <c r="A21" s="141"/>
      <c r="B21" s="145"/>
      <c r="C21" s="214" t="s">
        <v>138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139</v>
      </c>
      <c r="O21" s="221"/>
    </row>
    <row r="22" spans="1:17" ht="28.5" customHeight="1">
      <c r="A22" s="141"/>
      <c r="B22" s="145"/>
      <c r="C22" s="208" t="s">
        <v>140</v>
      </c>
      <c r="D22" s="209"/>
      <c r="E22" s="209"/>
      <c r="F22" s="209"/>
      <c r="G22" s="210"/>
      <c r="H22" s="146">
        <v>3.11</v>
      </c>
      <c r="I22" s="146" t="s">
        <v>141</v>
      </c>
      <c r="J22" s="211">
        <f>IFERROR((J18+J19)*H22%,"-")</f>
        <v>49886.284039803802</v>
      </c>
      <c r="K22" s="212"/>
      <c r="L22" s="212"/>
      <c r="M22" s="213"/>
      <c r="N22" s="204" t="s">
        <v>142</v>
      </c>
      <c r="O22" s="205"/>
    </row>
    <row r="23" spans="1:17" ht="28.5" customHeight="1">
      <c r="A23" s="141"/>
      <c r="B23" s="145"/>
      <c r="C23" s="208" t="s">
        <v>143</v>
      </c>
      <c r="D23" s="209"/>
      <c r="E23" s="209"/>
      <c r="F23" s="209"/>
      <c r="G23" s="210"/>
      <c r="H23" s="146">
        <v>3.56</v>
      </c>
      <c r="I23" s="146" t="s">
        <v>144</v>
      </c>
      <c r="J23" s="211">
        <f>IFERROR(J19*H23%,"-")</f>
        <v>33577.616690064795</v>
      </c>
      <c r="K23" s="212"/>
      <c r="L23" s="212"/>
      <c r="M23" s="213"/>
      <c r="N23" s="204" t="s">
        <v>145</v>
      </c>
      <c r="O23" s="205"/>
    </row>
    <row r="24" spans="1:17" ht="28.5" customHeight="1">
      <c r="A24" s="141"/>
      <c r="B24" s="145"/>
      <c r="C24" s="208" t="s">
        <v>146</v>
      </c>
      <c r="D24" s="209"/>
      <c r="E24" s="209"/>
      <c r="F24" s="209"/>
      <c r="G24" s="210"/>
      <c r="H24" s="146">
        <v>1.01</v>
      </c>
      <c r="I24" s="146" t="s">
        <v>144</v>
      </c>
      <c r="J24" s="211">
        <f>IFERROR(J19*H24%,"-")</f>
        <v>9526.2339485857992</v>
      </c>
      <c r="K24" s="212"/>
      <c r="L24" s="212"/>
      <c r="M24" s="213"/>
      <c r="N24" s="204" t="s">
        <v>147</v>
      </c>
      <c r="O24" s="205"/>
    </row>
    <row r="25" spans="1:17" ht="28.5" customHeight="1">
      <c r="A25" s="141"/>
      <c r="B25" s="145"/>
      <c r="C25" s="208" t="s">
        <v>148</v>
      </c>
      <c r="D25" s="209"/>
      <c r="E25" s="209"/>
      <c r="F25" s="209"/>
      <c r="G25" s="210"/>
      <c r="H25" s="147">
        <v>3.5950000000000002</v>
      </c>
      <c r="I25" s="146" t="s">
        <v>144</v>
      </c>
      <c r="J25" s="211">
        <f>IFERROR(J19*H25%,"-")</f>
        <v>33907.733708085099</v>
      </c>
      <c r="K25" s="212"/>
      <c r="L25" s="212"/>
      <c r="M25" s="213"/>
      <c r="N25" s="204" t="s">
        <v>149</v>
      </c>
      <c r="O25" s="205"/>
      <c r="Q25" s="144"/>
    </row>
    <row r="26" spans="1:17" ht="28.5" customHeight="1">
      <c r="A26" s="141"/>
      <c r="B26" s="145"/>
      <c r="C26" s="208" t="s">
        <v>150</v>
      </c>
      <c r="D26" s="209"/>
      <c r="E26" s="209"/>
      <c r="F26" s="209"/>
      <c r="G26" s="210"/>
      <c r="H26" s="146">
        <v>4.75</v>
      </c>
      <c r="I26" s="146" t="s">
        <v>144</v>
      </c>
      <c r="J26" s="211">
        <f>IFERROR(J19*H26%,"-")</f>
        <v>44801.595302754999</v>
      </c>
      <c r="K26" s="212"/>
      <c r="L26" s="212"/>
      <c r="M26" s="213"/>
      <c r="N26" s="204" t="s">
        <v>151</v>
      </c>
      <c r="O26" s="205"/>
      <c r="Q26" s="148"/>
    </row>
    <row r="27" spans="1:17" ht="28.5" customHeight="1">
      <c r="A27" s="141"/>
      <c r="B27" s="145"/>
      <c r="C27" s="198" t="s">
        <v>152</v>
      </c>
      <c r="D27" s="199"/>
      <c r="E27" s="199"/>
      <c r="F27" s="199"/>
      <c r="G27" s="200"/>
      <c r="H27" s="149">
        <v>13.14</v>
      </c>
      <c r="I27" s="150" t="s">
        <v>144</v>
      </c>
      <c r="J27" s="201">
        <f>IFERROR($H$27*J25%,"-")</f>
        <v>4455.4762092423825</v>
      </c>
      <c r="K27" s="202"/>
      <c r="L27" s="202"/>
      <c r="M27" s="203"/>
      <c r="N27" s="204" t="s">
        <v>153</v>
      </c>
      <c r="O27" s="205"/>
    </row>
    <row r="28" spans="1:17" ht="28.5" customHeight="1">
      <c r="A28" s="141"/>
      <c r="B28" s="145"/>
      <c r="C28" s="198" t="s">
        <v>154</v>
      </c>
      <c r="D28" s="199"/>
      <c r="E28" s="199"/>
      <c r="F28" s="199"/>
      <c r="G28" s="200"/>
      <c r="H28" s="149">
        <v>8.1000000000000003E-2</v>
      </c>
      <c r="I28" s="150" t="s">
        <v>144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155</v>
      </c>
      <c r="O28" s="207"/>
    </row>
    <row r="29" spans="1:17" ht="28.5" customHeight="1">
      <c r="A29" s="151"/>
      <c r="B29" s="152"/>
      <c r="C29" s="178" t="s">
        <v>156</v>
      </c>
      <c r="D29" s="179"/>
      <c r="E29" s="179"/>
      <c r="F29" s="179"/>
      <c r="G29" s="180"/>
      <c r="H29" s="153">
        <v>1</v>
      </c>
      <c r="I29" s="154" t="s">
        <v>157</v>
      </c>
      <c r="J29" s="181">
        <f>34*0</f>
        <v>0</v>
      </c>
      <c r="K29" s="182"/>
      <c r="L29" s="182"/>
      <c r="M29" s="183"/>
      <c r="N29" s="184" t="s">
        <v>158</v>
      </c>
      <c r="O29" s="185"/>
    </row>
    <row r="30" spans="1:17" ht="28.5" customHeight="1">
      <c r="A30" s="151">
        <v>4</v>
      </c>
      <c r="B30" s="152"/>
      <c r="C30" s="178" t="s">
        <v>159</v>
      </c>
      <c r="D30" s="179"/>
      <c r="E30" s="179"/>
      <c r="F30" s="179"/>
      <c r="G30" s="180"/>
      <c r="H30" s="154">
        <v>5</v>
      </c>
      <c r="I30" s="155" t="s">
        <v>160</v>
      </c>
      <c r="J30" s="191">
        <f>IFERROR(IF(ISNUMBER(H30), SUM(J18:M20) * (H30 / 100), "-"), "-")</f>
        <v>89010.775997826844</v>
      </c>
      <c r="K30" s="192"/>
      <c r="L30" s="192"/>
      <c r="M30" s="193"/>
      <c r="N30" s="194" t="s">
        <v>161</v>
      </c>
      <c r="O30" s="195"/>
    </row>
    <row r="31" spans="1:17" ht="28.5" customHeight="1" thickBot="1">
      <c r="A31" s="151">
        <v>5</v>
      </c>
      <c r="B31" s="152"/>
      <c r="C31" s="178" t="s">
        <v>162</v>
      </c>
      <c r="D31" s="179"/>
      <c r="E31" s="179"/>
      <c r="F31" s="179"/>
      <c r="G31" s="180"/>
      <c r="H31" s="154">
        <v>7.5</v>
      </c>
      <c r="I31" s="155" t="s">
        <v>144</v>
      </c>
      <c r="J31" s="181">
        <f>IFERROR(SUM(J18:M20, J30) * (H31 / 100), "-")+-38943</f>
        <v>101248.97219657726</v>
      </c>
      <c r="K31" s="182"/>
      <c r="L31" s="182"/>
      <c r="M31" s="183"/>
      <c r="N31" s="196" t="s">
        <v>163</v>
      </c>
      <c r="O31" s="197"/>
      <c r="Q31" s="156"/>
    </row>
    <row r="32" spans="1:17" ht="28.5" customHeight="1" thickBot="1">
      <c r="A32" s="186" t="s">
        <v>164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1970475</v>
      </c>
      <c r="N32" s="189"/>
      <c r="O32" s="190"/>
      <c r="P32" s="160"/>
    </row>
    <row r="33" spans="1:15">
      <c r="A33" s="161" t="s">
        <v>165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>
      <c r="M42" s="156"/>
    </row>
    <row r="43" spans="1:15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3"/>
  <sheetViews>
    <sheetView showGridLines="0" zoomScale="90" zoomScaleNormal="90" workbookViewId="0">
      <pane ySplit="4" topLeftCell="A5" activePane="bottomLeft" state="frozen"/>
      <selection pane="bottomLeft" activeCell="A16" sqref="A16"/>
    </sheetView>
  </sheetViews>
  <sheetFormatPr defaultColWidth="9" defaultRowHeight="38.1" customHeight="1"/>
  <cols>
    <col min="1" max="1" width="20.5" style="85" bestFit="1" customWidth="1"/>
    <col min="2" max="2" width="9" style="74" hidden="1" customWidth="1"/>
    <col min="3" max="5" width="12.625" style="74" hidden="1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6"/>
      <c r="B1" s="286"/>
      <c r="C1" s="286"/>
      <c r="D1" s="286"/>
      <c r="E1" s="286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6"/>
      <c r="B2" s="286"/>
      <c r="C2" s="286"/>
      <c r="D2" s="286"/>
      <c r="E2" s="28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7" t="s">
        <v>51</v>
      </c>
      <c r="G3" s="297"/>
      <c r="H3" s="295" t="s">
        <v>8</v>
      </c>
      <c r="I3" s="295" t="s">
        <v>5</v>
      </c>
      <c r="J3" s="291" t="s">
        <v>52</v>
      </c>
      <c r="K3" s="291"/>
      <c r="L3" s="291" t="s">
        <v>53</v>
      </c>
      <c r="M3" s="291"/>
      <c r="N3" s="292" t="s">
        <v>54</v>
      </c>
      <c r="O3" s="292"/>
      <c r="P3" s="292" t="s">
        <v>55</v>
      </c>
      <c r="Q3" s="292"/>
      <c r="R3" s="293" t="s">
        <v>56</v>
      </c>
      <c r="S3" s="289" t="s">
        <v>57</v>
      </c>
      <c r="T3" s="287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6"/>
      <c r="I4" s="296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4"/>
      <c r="S4" s="290"/>
      <c r="T4" s="288"/>
    </row>
    <row r="5" spans="1:20" s="77" customFormat="1" ht="38.1" customHeight="1">
      <c r="A5" s="9" t="str">
        <f t="shared" ref="A5:A12" si="0">B5&amp;C5&amp;D5&amp;E5</f>
        <v>M020809012520101</v>
      </c>
      <c r="B5" s="34"/>
      <c r="C5" s="10"/>
      <c r="D5" s="10" t="s">
        <v>92</v>
      </c>
      <c r="E5" s="34"/>
      <c r="F5" s="68" t="s">
        <v>93</v>
      </c>
      <c r="G5" s="68" t="s">
        <v>94</v>
      </c>
      <c r="H5" s="50" t="s">
        <v>91</v>
      </c>
      <c r="I5" s="67">
        <v>59.5</v>
      </c>
      <c r="J5" s="93">
        <v>13000</v>
      </c>
      <c r="K5" s="64">
        <f t="shared" ref="K5:K11" si="1">SUM(J5:J5)*I5*$K$2</f>
        <v>645872.5</v>
      </c>
      <c r="L5" s="63"/>
      <c r="M5" s="64">
        <f t="shared" ref="M5:M11" si="2">(L5*I5)*$M$2</f>
        <v>0</v>
      </c>
      <c r="N5" s="65"/>
      <c r="O5" s="64">
        <f t="shared" ref="O5:O11" si="3">N5*I5*$O$2</f>
        <v>0</v>
      </c>
      <c r="P5" s="65"/>
      <c r="Q5" s="64">
        <f t="shared" ref="Q5:Q11" si="4">P5*I5*$Q$2</f>
        <v>0</v>
      </c>
      <c r="R5" s="13">
        <f t="shared" ref="R5:R11" si="5">SUM(K5+M5)+O5+Q5</f>
        <v>645872.5</v>
      </c>
      <c r="S5" s="49"/>
      <c r="T5" s="14"/>
    </row>
    <row r="6" spans="1:20" s="77" customFormat="1" ht="38.1" customHeight="1">
      <c r="A6" s="9" t="str">
        <f t="shared" si="0"/>
        <v>E00000803071260401</v>
      </c>
      <c r="B6" s="34"/>
      <c r="C6" s="10" t="s">
        <v>70</v>
      </c>
      <c r="D6" s="10"/>
      <c r="E6" s="34"/>
      <c r="F6" s="68" t="s">
        <v>71</v>
      </c>
      <c r="G6" s="68" t="s">
        <v>98</v>
      </c>
      <c r="H6" s="11" t="s">
        <v>69</v>
      </c>
      <c r="I6" s="67">
        <v>0.97540000000000004</v>
      </c>
      <c r="J6" s="66"/>
      <c r="K6" s="64">
        <f t="shared" si="1"/>
        <v>0</v>
      </c>
      <c r="L6" s="92">
        <v>510462</v>
      </c>
      <c r="M6" s="64">
        <f t="shared" si="2"/>
        <v>415750.37005799997</v>
      </c>
      <c r="N6" s="65"/>
      <c r="O6" s="64">
        <f t="shared" si="3"/>
        <v>0</v>
      </c>
      <c r="P6" s="65"/>
      <c r="Q6" s="64">
        <f t="shared" si="4"/>
        <v>0</v>
      </c>
      <c r="R6" s="13">
        <f t="shared" si="5"/>
        <v>415750.37005799997</v>
      </c>
      <c r="S6" s="49"/>
      <c r="T6" s="14"/>
    </row>
    <row r="7" spans="1:20" s="77" customFormat="1" ht="38.1" customHeight="1">
      <c r="A7" s="9" t="str">
        <f t="shared" si="0"/>
        <v>M020411810170101</v>
      </c>
      <c r="B7" s="34"/>
      <c r="C7" s="10"/>
      <c r="D7" s="59" t="s">
        <v>85</v>
      </c>
      <c r="E7" s="34"/>
      <c r="F7" s="71" t="s">
        <v>86</v>
      </c>
      <c r="G7" s="71" t="s">
        <v>87</v>
      </c>
      <c r="H7" s="60" t="s">
        <v>83</v>
      </c>
      <c r="I7" s="67">
        <v>0.2</v>
      </c>
      <c r="J7" s="97">
        <v>89800</v>
      </c>
      <c r="K7" s="64">
        <f t="shared" si="1"/>
        <v>14996.599999999999</v>
      </c>
      <c r="L7" s="63"/>
      <c r="M7" s="64"/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14996.599999999999</v>
      </c>
      <c r="S7" s="49"/>
      <c r="T7" s="14"/>
    </row>
    <row r="8" spans="1:20" s="77" customFormat="1" ht="38.1" customHeight="1">
      <c r="A8" s="9" t="str">
        <f t="shared" si="0"/>
        <v>E00000803061120802</v>
      </c>
      <c r="B8" s="34"/>
      <c r="C8" s="10" t="s">
        <v>74</v>
      </c>
      <c r="D8" s="10"/>
      <c r="E8" s="34"/>
      <c r="F8" s="68" t="s">
        <v>75</v>
      </c>
      <c r="G8" s="68" t="s">
        <v>76</v>
      </c>
      <c r="H8" s="50" t="s">
        <v>72</v>
      </c>
      <c r="I8" s="67">
        <v>16</v>
      </c>
      <c r="J8" s="78"/>
      <c r="K8" s="12">
        <f t="shared" si="1"/>
        <v>0</v>
      </c>
      <c r="L8" s="92">
        <v>2496</v>
      </c>
      <c r="M8" s="12">
        <f t="shared" si="2"/>
        <v>33346.559999999998</v>
      </c>
      <c r="N8" s="13"/>
      <c r="O8" s="12">
        <f t="shared" si="3"/>
        <v>0</v>
      </c>
      <c r="P8" s="13"/>
      <c r="Q8" s="12">
        <f t="shared" si="4"/>
        <v>0</v>
      </c>
      <c r="R8" s="13">
        <f t="shared" si="5"/>
        <v>33346.559999999998</v>
      </c>
      <c r="S8" s="49"/>
      <c r="T8" s="14"/>
    </row>
    <row r="9" spans="1:20" s="77" customFormat="1" ht="38.1" customHeight="1">
      <c r="A9" s="9" t="str">
        <f t="shared" si="0"/>
        <v>E00000803061300701</v>
      </c>
      <c r="B9" s="34"/>
      <c r="C9" s="10" t="s">
        <v>77</v>
      </c>
      <c r="D9" s="10"/>
      <c r="E9" s="34"/>
      <c r="F9" s="68" t="s">
        <v>78</v>
      </c>
      <c r="G9" s="68" t="s">
        <v>73</v>
      </c>
      <c r="H9" s="50" t="s">
        <v>72</v>
      </c>
      <c r="I9" s="67">
        <v>16</v>
      </c>
      <c r="J9" s="51"/>
      <c r="K9" s="12">
        <f t="shared" si="1"/>
        <v>0</v>
      </c>
      <c r="L9" s="92">
        <v>3871</v>
      </c>
      <c r="M9" s="12">
        <f t="shared" si="2"/>
        <v>51716.56</v>
      </c>
      <c r="N9" s="13"/>
      <c r="O9" s="12">
        <f t="shared" si="3"/>
        <v>0</v>
      </c>
      <c r="P9" s="13"/>
      <c r="Q9" s="12">
        <f t="shared" si="4"/>
        <v>0</v>
      </c>
      <c r="R9" s="13">
        <f t="shared" si="5"/>
        <v>51716.56</v>
      </c>
      <c r="S9" s="49"/>
      <c r="T9" s="14"/>
    </row>
    <row r="10" spans="1:20" s="77" customFormat="1" ht="38.1" customHeight="1">
      <c r="A10" s="9" t="str">
        <f t="shared" si="0"/>
        <v>E00000803061120802</v>
      </c>
      <c r="B10" s="34"/>
      <c r="C10" s="10" t="s">
        <v>74</v>
      </c>
      <c r="D10" s="10"/>
      <c r="E10" s="34"/>
      <c r="F10" s="68" t="s">
        <v>79</v>
      </c>
      <c r="G10" s="68" t="s">
        <v>76</v>
      </c>
      <c r="H10" s="50" t="s">
        <v>72</v>
      </c>
      <c r="I10" s="67">
        <v>2</v>
      </c>
      <c r="J10" s="78"/>
      <c r="K10" s="12">
        <f t="shared" si="1"/>
        <v>0</v>
      </c>
      <c r="L10" s="92">
        <v>2496</v>
      </c>
      <c r="M10" s="12">
        <f t="shared" si="2"/>
        <v>4168.32</v>
      </c>
      <c r="N10" s="13"/>
      <c r="O10" s="12">
        <f t="shared" si="3"/>
        <v>0</v>
      </c>
      <c r="P10" s="13"/>
      <c r="Q10" s="12">
        <f t="shared" si="4"/>
        <v>0</v>
      </c>
      <c r="R10" s="13">
        <f t="shared" si="5"/>
        <v>4168.32</v>
      </c>
      <c r="S10" s="49"/>
      <c r="T10" s="14"/>
    </row>
    <row r="11" spans="1:20" s="77" customFormat="1" ht="38.1" customHeight="1">
      <c r="A11" s="9" t="str">
        <f t="shared" si="0"/>
        <v>E00000803061300401</v>
      </c>
      <c r="B11" s="34"/>
      <c r="C11" s="10" t="s">
        <v>80</v>
      </c>
      <c r="D11" s="10"/>
      <c r="E11" s="34"/>
      <c r="F11" s="68" t="s">
        <v>81</v>
      </c>
      <c r="G11" s="68" t="s">
        <v>73</v>
      </c>
      <c r="H11" s="50" t="s">
        <v>72</v>
      </c>
      <c r="I11" s="67">
        <v>2</v>
      </c>
      <c r="J11" s="51"/>
      <c r="K11" s="12">
        <f t="shared" si="1"/>
        <v>0</v>
      </c>
      <c r="L11" s="92">
        <v>5851</v>
      </c>
      <c r="M11" s="12">
        <f t="shared" si="2"/>
        <v>9771.17</v>
      </c>
      <c r="N11" s="13"/>
      <c r="O11" s="12">
        <f t="shared" si="3"/>
        <v>0</v>
      </c>
      <c r="P11" s="13"/>
      <c r="Q11" s="12">
        <f t="shared" si="4"/>
        <v>0</v>
      </c>
      <c r="R11" s="13">
        <f t="shared" si="5"/>
        <v>9771.17</v>
      </c>
      <c r="S11" s="49"/>
      <c r="T11" s="14"/>
    </row>
    <row r="12" spans="1:20" s="77" customFormat="1" ht="38.1" customHeight="1">
      <c r="A12" s="9" t="str">
        <f t="shared" si="0"/>
        <v>E00000801011510701</v>
      </c>
      <c r="B12" s="34"/>
      <c r="C12" s="10" t="s">
        <v>97</v>
      </c>
      <c r="D12" s="10"/>
      <c r="E12" s="34"/>
      <c r="F12" s="94" t="s">
        <v>99</v>
      </c>
      <c r="G12" s="11" t="s">
        <v>96</v>
      </c>
      <c r="H12" s="95" t="s">
        <v>100</v>
      </c>
      <c r="I12" s="67">
        <v>100</v>
      </c>
      <c r="J12" s="78"/>
      <c r="K12" s="12">
        <f t="shared" ref="K12" si="6">SUM(J12:J12)*I12*$K$2</f>
        <v>0</v>
      </c>
      <c r="L12" s="92">
        <v>5131</v>
      </c>
      <c r="M12" s="12">
        <f t="shared" ref="M12" si="7">(L12*I12)*$M$2</f>
        <v>428438.5</v>
      </c>
      <c r="N12" s="13"/>
      <c r="O12" s="12">
        <f t="shared" ref="O12" si="8">N12*I12*$O$2</f>
        <v>0</v>
      </c>
      <c r="P12" s="13"/>
      <c r="Q12" s="12">
        <f t="shared" ref="Q12" si="9">P12*I12*$Q$2</f>
        <v>0</v>
      </c>
      <c r="R12" s="13">
        <f t="shared" ref="R12" si="10">SUM(K12+M12)+O12+Q12</f>
        <v>428438.5</v>
      </c>
      <c r="S12" s="49"/>
      <c r="T12" s="14"/>
    </row>
    <row r="13" spans="1:20" s="84" customFormat="1" ht="38.1" customHeight="1">
      <c r="A13" s="79"/>
      <c r="B13" s="80"/>
      <c r="C13" s="80"/>
      <c r="D13" s="80"/>
      <c r="E13" s="80"/>
      <c r="F13" s="72"/>
      <c r="G13" s="72"/>
      <c r="H13" s="80"/>
      <c r="I13" s="80"/>
      <c r="J13" s="80"/>
      <c r="K13" s="81">
        <f>SUM(K5:K12)</f>
        <v>660869.1</v>
      </c>
      <c r="L13" s="82"/>
      <c r="M13" s="81">
        <f>SUM(M5:M12)</f>
        <v>943191.48005799996</v>
      </c>
      <c r="N13" s="82"/>
      <c r="O13" s="81">
        <f>SUM(O5:O12)</f>
        <v>0</v>
      </c>
      <c r="P13" s="82"/>
      <c r="Q13" s="81">
        <f>SUM(Q5:Q12)</f>
        <v>0</v>
      </c>
      <c r="R13" s="83">
        <f>SUM(R5:R12)</f>
        <v>1604060.5800580003</v>
      </c>
      <c r="S13" s="42"/>
      <c r="T13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A28" sqref="A28:A29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09" t="s">
        <v>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6" ht="15" customHeight="1">
      <c r="A2" s="310" t="s">
        <v>10</v>
      </c>
      <c r="B2" s="311" t="s">
        <v>11</v>
      </c>
      <c r="C2" s="312" t="s">
        <v>8</v>
      </c>
      <c r="D2" s="312" t="s">
        <v>12</v>
      </c>
      <c r="E2" s="314" t="s">
        <v>13</v>
      </c>
      <c r="F2" s="311"/>
      <c r="G2" s="311" t="s">
        <v>14</v>
      </c>
      <c r="H2" s="311"/>
      <c r="I2" s="315" t="s">
        <v>15</v>
      </c>
      <c r="J2" s="316"/>
      <c r="K2" s="315" t="s">
        <v>16</v>
      </c>
      <c r="L2" s="316"/>
      <c r="M2" s="314" t="s">
        <v>17</v>
      </c>
      <c r="N2" s="311"/>
      <c r="O2" s="317" t="s">
        <v>18</v>
      </c>
    </row>
    <row r="3" spans="1:16" ht="15" customHeight="1">
      <c r="A3" s="310"/>
      <c r="B3" s="311"/>
      <c r="C3" s="313"/>
      <c r="D3" s="313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8"/>
    </row>
    <row r="4" spans="1:16" ht="15" customHeight="1">
      <c r="A4" s="307" t="s">
        <v>101</v>
      </c>
      <c r="B4" s="30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299" t="s">
        <v>22</v>
      </c>
      <c r="B5" s="102" t="s">
        <v>23</v>
      </c>
      <c r="C5" s="103" t="s">
        <v>24</v>
      </c>
      <c r="D5" s="104"/>
      <c r="E5" s="100"/>
      <c r="F5" s="101"/>
      <c r="G5" s="100"/>
      <c r="H5" s="101"/>
      <c r="I5" s="101"/>
      <c r="J5" s="101"/>
      <c r="K5" s="101"/>
      <c r="L5" s="101"/>
      <c r="M5" s="101"/>
      <c r="N5" s="101"/>
      <c r="O5" s="301" t="s">
        <v>89</v>
      </c>
    </row>
    <row r="6" spans="1:16" ht="15" customHeight="1">
      <c r="A6" s="300"/>
      <c r="B6" s="102" t="s">
        <v>25</v>
      </c>
      <c r="C6" s="103" t="s">
        <v>24</v>
      </c>
      <c r="D6" s="104"/>
      <c r="E6" s="100"/>
      <c r="F6" s="101"/>
      <c r="G6" s="100"/>
      <c r="H6" s="101"/>
      <c r="I6" s="101"/>
      <c r="J6" s="101"/>
      <c r="K6" s="101"/>
      <c r="L6" s="101"/>
      <c r="M6" s="101"/>
      <c r="N6" s="101"/>
      <c r="O6" s="302"/>
    </row>
    <row r="7" spans="1:16" ht="15" customHeight="1">
      <c r="A7" s="300"/>
      <c r="B7" s="102" t="s">
        <v>26</v>
      </c>
      <c r="C7" s="103" t="s">
        <v>24</v>
      </c>
      <c r="D7" s="104"/>
      <c r="E7" s="100"/>
      <c r="F7" s="101"/>
      <c r="G7" s="100"/>
      <c r="H7" s="101"/>
      <c r="I7" s="101"/>
      <c r="J7" s="101"/>
      <c r="K7" s="101"/>
      <c r="L7" s="101"/>
      <c r="M7" s="101"/>
      <c r="N7" s="101"/>
      <c r="O7" s="302"/>
      <c r="P7" s="48">
        <f>D6+D8+D10+D12</f>
        <v>0</v>
      </c>
    </row>
    <row r="8" spans="1:16" ht="15" customHeight="1">
      <c r="A8" s="300"/>
      <c r="B8" s="102" t="s">
        <v>27</v>
      </c>
      <c r="C8" s="103" t="s">
        <v>24</v>
      </c>
      <c r="D8" s="104"/>
      <c r="E8" s="100"/>
      <c r="F8" s="101"/>
      <c r="G8" s="100"/>
      <c r="H8" s="101"/>
      <c r="I8" s="101"/>
      <c r="J8" s="101"/>
      <c r="K8" s="101"/>
      <c r="L8" s="101"/>
      <c r="M8" s="101"/>
      <c r="N8" s="101"/>
      <c r="O8" s="302"/>
    </row>
    <row r="9" spans="1:16" ht="15" customHeight="1">
      <c r="A9" s="300"/>
      <c r="B9" s="102" t="s">
        <v>28</v>
      </c>
      <c r="C9" s="103" t="s">
        <v>24</v>
      </c>
      <c r="D9" s="104"/>
      <c r="E9" s="100"/>
      <c r="F9" s="101"/>
      <c r="G9" s="100"/>
      <c r="H9" s="101"/>
      <c r="I9" s="101"/>
      <c r="J9" s="101"/>
      <c r="K9" s="101"/>
      <c r="L9" s="101"/>
      <c r="M9" s="101"/>
      <c r="N9" s="101"/>
      <c r="O9" s="302"/>
    </row>
    <row r="10" spans="1:16" ht="15" customHeight="1">
      <c r="A10" s="300"/>
      <c r="B10" s="102" t="s">
        <v>29</v>
      </c>
      <c r="C10" s="103" t="s">
        <v>24</v>
      </c>
      <c r="D10" s="104"/>
      <c r="E10" s="100"/>
      <c r="F10" s="101"/>
      <c r="G10" s="100"/>
      <c r="H10" s="101"/>
      <c r="I10" s="101"/>
      <c r="J10" s="101"/>
      <c r="K10" s="101"/>
      <c r="L10" s="101"/>
      <c r="M10" s="101"/>
      <c r="N10" s="101"/>
      <c r="O10" s="302"/>
    </row>
    <row r="11" spans="1:16" ht="15" customHeight="1">
      <c r="A11" s="300"/>
      <c r="B11" s="102" t="s">
        <v>30</v>
      </c>
      <c r="C11" s="103" t="s">
        <v>24</v>
      </c>
      <c r="D11" s="104"/>
      <c r="E11" s="100"/>
      <c r="F11" s="101"/>
      <c r="G11" s="100"/>
      <c r="H11" s="101"/>
      <c r="I11" s="101"/>
      <c r="J11" s="101"/>
      <c r="K11" s="101"/>
      <c r="L11" s="101"/>
      <c r="M11" s="101"/>
      <c r="N11" s="101"/>
      <c r="O11" s="302"/>
    </row>
    <row r="12" spans="1:16" ht="15" customHeight="1">
      <c r="A12" s="300"/>
      <c r="B12" s="102" t="s">
        <v>31</v>
      </c>
      <c r="C12" s="103" t="s">
        <v>24</v>
      </c>
      <c r="D12" s="104"/>
      <c r="E12" s="100"/>
      <c r="F12" s="101"/>
      <c r="G12" s="100"/>
      <c r="H12" s="101"/>
      <c r="I12" s="101"/>
      <c r="J12" s="101"/>
      <c r="K12" s="101"/>
      <c r="L12" s="101"/>
      <c r="M12" s="101"/>
      <c r="N12" s="101"/>
      <c r="O12" s="302"/>
    </row>
    <row r="13" spans="1:16" ht="15" customHeight="1">
      <c r="A13" s="43" t="s">
        <v>32</v>
      </c>
      <c r="B13" s="44"/>
      <c r="C13" s="45"/>
      <c r="D13" s="86">
        <f>SUM(D5:D12)</f>
        <v>0</v>
      </c>
      <c r="E13" s="52"/>
      <c r="F13" s="46">
        <f>SUM(F5:F12)</f>
        <v>0</v>
      </c>
      <c r="G13" s="46"/>
      <c r="H13" s="46">
        <f>SUM(H5:H12)</f>
        <v>0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0</v>
      </c>
      <c r="O13" s="46"/>
    </row>
    <row r="14" spans="1:16" ht="15" customHeight="1">
      <c r="A14" s="303" t="s">
        <v>90</v>
      </c>
      <c r="B14" s="18" t="s">
        <v>33</v>
      </c>
      <c r="C14" s="19" t="s">
        <v>24</v>
      </c>
      <c r="D14" s="53">
        <v>28.9</v>
      </c>
      <c r="E14" s="96">
        <v>10855</v>
      </c>
      <c r="F14" s="54">
        <f>D14*E14</f>
        <v>313709.5</v>
      </c>
      <c r="G14" s="96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0">F14+H14+J14+L14</f>
        <v>515633.8</v>
      </c>
      <c r="O14" s="302"/>
    </row>
    <row r="15" spans="1:16" ht="15" customHeight="1">
      <c r="A15" s="303"/>
      <c r="B15" s="18" t="s">
        <v>34</v>
      </c>
      <c r="C15" s="19" t="s">
        <v>24</v>
      </c>
      <c r="D15" s="55">
        <v>12.4</v>
      </c>
      <c r="E15" s="96">
        <v>10855</v>
      </c>
      <c r="F15" s="54">
        <f>D15*E15</f>
        <v>134602</v>
      </c>
      <c r="G15" s="96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0"/>
        <v>221240.8</v>
      </c>
      <c r="O15" s="302"/>
    </row>
    <row r="16" spans="1:16" ht="15" customHeight="1">
      <c r="A16" s="303"/>
      <c r="B16" s="18" t="s">
        <v>35</v>
      </c>
      <c r="C16" s="19" t="s">
        <v>24</v>
      </c>
      <c r="D16" s="55">
        <v>9.9</v>
      </c>
      <c r="E16" s="96">
        <v>10855</v>
      </c>
      <c r="F16" s="54">
        <f>D16*E16</f>
        <v>107464.5</v>
      </c>
      <c r="G16" s="96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0"/>
        <v>176635.8</v>
      </c>
      <c r="O16" s="302"/>
    </row>
    <row r="17" spans="1:15" ht="15" customHeight="1">
      <c r="A17" s="304"/>
      <c r="B17" s="18" t="s">
        <v>36</v>
      </c>
      <c r="C17" s="19" t="s">
        <v>24</v>
      </c>
      <c r="D17" s="55">
        <v>8.3000000000000007</v>
      </c>
      <c r="E17" s="96">
        <v>10855</v>
      </c>
      <c r="F17" s="54">
        <f>D17*E17</f>
        <v>90096.500000000015</v>
      </c>
      <c r="G17" s="96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0"/>
        <v>148088.60000000003</v>
      </c>
      <c r="O17" s="305"/>
    </row>
    <row r="18" spans="1:15" ht="15" customHeight="1">
      <c r="A18" s="35" t="s">
        <v>32</v>
      </c>
      <c r="B18" s="21"/>
      <c r="C18" s="24"/>
      <c r="D18" s="87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8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88</v>
      </c>
      <c r="B20" s="98" t="s">
        <v>84</v>
      </c>
      <c r="C20" s="98" t="s">
        <v>83</v>
      </c>
      <c r="D20" s="99"/>
      <c r="E20" s="100"/>
      <c r="F20" s="101"/>
      <c r="G20" s="101"/>
      <c r="H20" s="101"/>
      <c r="I20" s="101"/>
      <c r="J20" s="101"/>
      <c r="K20" s="101"/>
      <c r="L20" s="101"/>
      <c r="M20" s="101"/>
      <c r="N20" s="101"/>
      <c r="O20" s="20"/>
    </row>
    <row r="21" spans="1:15" ht="15" customHeight="1">
      <c r="A21" s="306" t="s">
        <v>38</v>
      </c>
      <c r="B21" s="102" t="s">
        <v>39</v>
      </c>
      <c r="C21" s="103" t="s">
        <v>24</v>
      </c>
      <c r="D21" s="99"/>
      <c r="E21" s="101"/>
      <c r="F21" s="101"/>
      <c r="G21" s="100"/>
      <c r="H21" s="101"/>
      <c r="I21" s="101"/>
      <c r="J21" s="101"/>
      <c r="K21" s="101"/>
      <c r="L21" s="101"/>
      <c r="M21" s="101"/>
      <c r="N21" s="101"/>
      <c r="O21" s="20"/>
    </row>
    <row r="22" spans="1:15" ht="15" customHeight="1">
      <c r="A22" s="306"/>
      <c r="B22" s="102" t="s">
        <v>40</v>
      </c>
      <c r="C22" s="103" t="s">
        <v>24</v>
      </c>
      <c r="D22" s="99"/>
      <c r="E22" s="101"/>
      <c r="F22" s="101"/>
      <c r="G22" s="100"/>
      <c r="H22" s="101"/>
      <c r="I22" s="101"/>
      <c r="J22" s="101"/>
      <c r="K22" s="101"/>
      <c r="L22" s="101"/>
      <c r="M22" s="101"/>
      <c r="N22" s="101"/>
      <c r="O22" s="20"/>
    </row>
    <row r="23" spans="1:15" ht="15" customHeight="1">
      <c r="A23" s="306" t="s">
        <v>41</v>
      </c>
      <c r="B23" s="102" t="s">
        <v>39</v>
      </c>
      <c r="C23" s="103" t="s">
        <v>24</v>
      </c>
      <c r="D23" s="99"/>
      <c r="E23" s="101"/>
      <c r="F23" s="101"/>
      <c r="G23" s="100"/>
      <c r="H23" s="101"/>
      <c r="I23" s="101"/>
      <c r="J23" s="101"/>
      <c r="K23" s="101"/>
      <c r="L23" s="101"/>
      <c r="M23" s="101"/>
      <c r="N23" s="101"/>
      <c r="O23" s="20"/>
    </row>
    <row r="24" spans="1:15" ht="15" customHeight="1">
      <c r="A24" s="306"/>
      <c r="B24" s="102" t="s">
        <v>40</v>
      </c>
      <c r="C24" s="103" t="s">
        <v>24</v>
      </c>
      <c r="D24" s="99"/>
      <c r="E24" s="101"/>
      <c r="F24" s="101"/>
      <c r="G24" s="100"/>
      <c r="H24" s="101"/>
      <c r="I24" s="101"/>
      <c r="J24" s="101"/>
      <c r="K24" s="101"/>
      <c r="L24" s="101"/>
      <c r="M24" s="101"/>
      <c r="N24" s="101"/>
      <c r="O24" s="20"/>
    </row>
    <row r="25" spans="1:15" ht="15" customHeight="1">
      <c r="A25" s="62" t="s">
        <v>86</v>
      </c>
      <c r="B25" s="61" t="s">
        <v>87</v>
      </c>
      <c r="C25" s="61" t="s">
        <v>83</v>
      </c>
      <c r="D25" s="88">
        <v>0.2</v>
      </c>
      <c r="E25" s="96">
        <v>74983</v>
      </c>
      <c r="F25" s="57">
        <f t="shared" ref="F25:F27" si="1">D25*E25</f>
        <v>14996.6</v>
      </c>
      <c r="G25" s="20"/>
      <c r="H25" s="20"/>
      <c r="I25" s="20"/>
      <c r="J25" s="20"/>
      <c r="K25" s="20"/>
      <c r="L25" s="20"/>
      <c r="M25" s="20"/>
      <c r="N25" s="57">
        <f t="shared" ref="N25:N29" si="2">F25+H25+J25+L25</f>
        <v>14996.6</v>
      </c>
      <c r="O25" s="20"/>
    </row>
    <row r="26" spans="1:15" ht="15" customHeight="1">
      <c r="A26" s="298" t="s">
        <v>42</v>
      </c>
      <c r="B26" s="25" t="s">
        <v>43</v>
      </c>
      <c r="C26" s="26" t="s">
        <v>24</v>
      </c>
      <c r="D26" s="88">
        <v>16</v>
      </c>
      <c r="E26" s="20"/>
      <c r="F26" s="20">
        <f t="shared" ref="F26:F29" si="3">D26*E26</f>
        <v>0</v>
      </c>
      <c r="G26" s="96">
        <v>2084</v>
      </c>
      <c r="H26" s="20">
        <f t="shared" ref="H26:H27" si="4">D26*G26</f>
        <v>33344</v>
      </c>
      <c r="I26" s="20"/>
      <c r="J26" s="20"/>
      <c r="K26" s="20"/>
      <c r="L26" s="54"/>
      <c r="M26" s="20"/>
      <c r="N26" s="54">
        <f t="shared" si="2"/>
        <v>33344</v>
      </c>
      <c r="O26" s="20"/>
    </row>
    <row r="27" spans="1:15" ht="15" customHeight="1">
      <c r="A27" s="298"/>
      <c r="B27" s="25" t="s">
        <v>44</v>
      </c>
      <c r="C27" s="26" t="s">
        <v>24</v>
      </c>
      <c r="D27" s="88">
        <v>16</v>
      </c>
      <c r="E27" s="20"/>
      <c r="F27" s="20">
        <f t="shared" si="1"/>
        <v>0</v>
      </c>
      <c r="G27" s="96">
        <v>3232</v>
      </c>
      <c r="H27" s="20">
        <f t="shared" si="4"/>
        <v>51712</v>
      </c>
      <c r="I27" s="20"/>
      <c r="J27" s="20"/>
      <c r="K27" s="20"/>
      <c r="L27" s="54"/>
      <c r="M27" s="20"/>
      <c r="N27" s="54">
        <f t="shared" si="2"/>
        <v>51712</v>
      </c>
      <c r="O27" s="20"/>
    </row>
    <row r="28" spans="1:15" ht="15" customHeight="1">
      <c r="A28" s="298" t="s">
        <v>45</v>
      </c>
      <c r="B28" s="25" t="s">
        <v>43</v>
      </c>
      <c r="C28" s="26" t="s">
        <v>24</v>
      </c>
      <c r="D28" s="88">
        <v>2</v>
      </c>
      <c r="E28" s="20"/>
      <c r="F28" s="20">
        <f t="shared" si="3"/>
        <v>0</v>
      </c>
      <c r="G28" s="96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2"/>
        <v>4168</v>
      </c>
      <c r="O28" s="20"/>
    </row>
    <row r="29" spans="1:15" ht="15" customHeight="1">
      <c r="A29" s="298"/>
      <c r="B29" s="25" t="s">
        <v>46</v>
      </c>
      <c r="C29" s="26" t="s">
        <v>24</v>
      </c>
      <c r="D29" s="88">
        <v>2</v>
      </c>
      <c r="E29" s="20"/>
      <c r="F29" s="20">
        <f t="shared" si="3"/>
        <v>0</v>
      </c>
      <c r="G29" s="96">
        <v>4886</v>
      </c>
      <c r="H29" s="20">
        <f t="shared" ref="H29" si="5">D29*G29</f>
        <v>9772</v>
      </c>
      <c r="I29" s="20"/>
      <c r="J29" s="20"/>
      <c r="K29" s="20"/>
      <c r="L29" s="54"/>
      <c r="M29" s="20"/>
      <c r="N29" s="54">
        <f t="shared" si="2"/>
        <v>9772</v>
      </c>
      <c r="O29" s="20"/>
    </row>
    <row r="30" spans="1:15" ht="15" customHeight="1">
      <c r="A30" s="35" t="s">
        <v>32</v>
      </c>
      <c r="B30" s="27"/>
      <c r="C30" s="28"/>
      <c r="D30" s="89"/>
      <c r="E30" s="23"/>
      <c r="F30" s="23">
        <f>SUM(F19:F29)</f>
        <v>14996.6</v>
      </c>
      <c r="G30" s="23"/>
      <c r="H30" s="23">
        <f>SUM(H19:H29)</f>
        <v>98996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113992.6</v>
      </c>
      <c r="O30" s="23"/>
    </row>
    <row r="31" spans="1:15" ht="15" customHeight="1">
      <c r="A31" s="41" t="s">
        <v>47</v>
      </c>
      <c r="B31" s="18" t="s">
        <v>95</v>
      </c>
      <c r="C31" s="19" t="s">
        <v>24</v>
      </c>
      <c r="D31" s="90">
        <v>100</v>
      </c>
      <c r="E31" s="54"/>
      <c r="F31" s="54"/>
      <c r="G31" s="96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1"/>
      <c r="E32" s="30"/>
      <c r="F32" s="30"/>
      <c r="G32" s="30"/>
      <c r="H32" s="23">
        <f>SUM(H31:H31)</f>
        <v>428400</v>
      </c>
      <c r="I32" s="30"/>
      <c r="J32" s="23">
        <f t="shared" ref="J32:N32" si="6">SUM(J31:J31)</f>
        <v>0</v>
      </c>
      <c r="K32" s="23"/>
      <c r="L32" s="23">
        <f t="shared" si="6"/>
        <v>0</v>
      </c>
      <c r="M32" s="23"/>
      <c r="N32" s="23">
        <f t="shared" si="6"/>
        <v>428400</v>
      </c>
      <c r="O32" s="30"/>
    </row>
    <row r="33" spans="1:15" ht="15" customHeight="1">
      <c r="A33" s="35" t="s">
        <v>82</v>
      </c>
      <c r="B33" s="21"/>
      <c r="C33" s="22"/>
      <c r="D33" s="91"/>
      <c r="E33" s="31"/>
      <c r="F33" s="32">
        <f>F13+F18+F30+F32</f>
        <v>660869.1</v>
      </c>
      <c r="G33" s="32"/>
      <c r="H33" s="32">
        <f>H13+H18+H30+H32</f>
        <v>943122.5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1603991.6</v>
      </c>
      <c r="O33" s="3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G30" sqref="G30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M020809012520101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M020809012520101</v>
      </c>
      <c r="E2" s="39">
        <f>'내역서(표준단가)'!E5</f>
        <v>0</v>
      </c>
      <c r="F2" s="47">
        <f>'내역서(표준단가)'!I5</f>
        <v>59.5</v>
      </c>
    </row>
    <row r="3" spans="1:6">
      <c r="A3" s="38" t="str">
        <f>'내역서(표준단가)'!A6</f>
        <v>E00000803071260401</v>
      </c>
      <c r="B3" s="39">
        <f>'내역서(표준단가)'!B6</f>
        <v>0</v>
      </c>
      <c r="C3" s="39" t="str">
        <f>'내역서(표준단가)'!C6</f>
        <v>E00000803071260401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0.97540000000000004</v>
      </c>
    </row>
    <row r="4" spans="1:6">
      <c r="A4" s="38" t="str">
        <f>'내역서(표준단가)'!A7</f>
        <v>M020411810170101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M020411810170101</v>
      </c>
      <c r="E4" s="39">
        <f>'내역서(표준단가)'!E7</f>
        <v>0</v>
      </c>
      <c r="F4" s="47">
        <f>'내역서(표준단가)'!I7</f>
        <v>0.2</v>
      </c>
    </row>
    <row r="5" spans="1:6">
      <c r="A5" s="38" t="str">
        <f>'내역서(표준단가)'!A8</f>
        <v>E00000803061120802</v>
      </c>
      <c r="B5" s="39">
        <f>'내역서(표준단가)'!B8</f>
        <v>0</v>
      </c>
      <c r="C5" s="39" t="str">
        <f>'내역서(표준단가)'!C8</f>
        <v>E00000803061120802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16</v>
      </c>
    </row>
    <row r="6" spans="1:6">
      <c r="A6" s="38" t="str">
        <f>'내역서(표준단가)'!A9</f>
        <v>E00000803061300701</v>
      </c>
      <c r="B6" s="39">
        <f>'내역서(표준단가)'!B9</f>
        <v>0</v>
      </c>
      <c r="C6" s="39" t="str">
        <f>'내역서(표준단가)'!C9</f>
        <v>E00000803061300701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16</v>
      </c>
    </row>
    <row r="7" spans="1:6">
      <c r="A7" s="38" t="str">
        <f>'내역서(표준단가)'!A10</f>
        <v>E00000803061120802</v>
      </c>
      <c r="B7" s="39">
        <f>'내역서(표준단가)'!B10</f>
        <v>0</v>
      </c>
      <c r="C7" s="39" t="str">
        <f>'내역서(표준단가)'!C10</f>
        <v>E00000803061120802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2</v>
      </c>
    </row>
    <row r="8" spans="1:6">
      <c r="A8" s="38" t="str">
        <f>'내역서(표준단가)'!A11</f>
        <v>E00000803061300401</v>
      </c>
      <c r="B8" s="39">
        <f>'내역서(표준단가)'!B11</f>
        <v>0</v>
      </c>
      <c r="C8" s="39" t="str">
        <f>'내역서(표준단가)'!C11</f>
        <v>E00000803061300401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2</v>
      </c>
    </row>
    <row r="9" spans="1:6">
      <c r="A9" s="38" t="str">
        <f>'내역서(표준단가)'!A12</f>
        <v>E00000801011510701</v>
      </c>
      <c r="B9" s="39">
        <f>'내역서(표준단가)'!B12</f>
        <v>0</v>
      </c>
      <c r="C9" s="39" t="str">
        <f>'내역서(표준단가)'!C12</f>
        <v>E00000801011510701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2026-05-26T01:39:10Z</dcterms:modified>
</cp:coreProperties>
</file>
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A9283720-5F77-467A-891B-624E7CB02FF1}" xr6:coauthVersionLast="47" xr6:coauthVersionMax="47" xr10:uidLastSave="{00000000-0000-0000-0000-000000000000}"/>
  <bookViews>
    <workbookView xWindow="-60" yWindow="-60" windowWidth="28920" windowHeight="15600" activeTab="3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(표준)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F2" i="1" l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R6" i="4" l="1"/>
  <c r="R5" i="4"/>
  <c r="Q7" i="4"/>
  <c r="M7" i="4"/>
  <c r="O7" i="4" l="1"/>
  <c r="R7" i="4" l="1"/>
  <c r="F18" i="5" l="1"/>
  <c r="K7" i="4" l="1"/>
  <c r="F17" i="5" l="1"/>
  <c r="F16" i="5"/>
  <c r="F26" i="5" l="1"/>
  <c r="F22" i="5"/>
  <c r="F21" i="5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<sst xmlns="http://schemas.openxmlformats.org/spreadsheetml/2006/main" count="130" uniqueCount="108">
  <si>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</si>
  <si>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</si>
  <si>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</si>
  <si>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</si>
  <si>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</si>
  <si>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</si>
  <si>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</si>
  <si>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</si>
  <si>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</si>
  <si>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</si>
  <si>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</si>
  <si>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</si>
  <si>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</si>
  <si>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</si>
  <si>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</si>
  <si>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</si>
  <si>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</si>
  <si>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</si>
  <si>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</si>
  <si>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</si>
  <si>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</si>
  <si>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</si>
  <si>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</si>
  <si>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</si>
  <si>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</si>
  <si>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</si>
  <si>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</si>
  <si>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</si>
  <si>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</si>
  <si>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</si>
  <si>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</si>
  <si>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</si>
  <si>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</si>
  <si>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</si>
  <si>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</si>
  <si>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</si>
  <si>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</si>
  <si>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</si>
  <si>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</si>
  <si>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</si>
  <si>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</si>
  <si>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</si>
  <si>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</si>
  <si>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</si>
  <si>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</si>
  <si>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</si>
  <si>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</si>
  <si>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</si>
  <si>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</si>
  <si>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</si>
  <si>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</si>
  <si>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</si>
  <si>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</si>
  <si>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</si>
  <si>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</si>
  <si>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</si>
  <si>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</si>
  <si>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</si>
  <si>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</si>
  <si>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</si>
  <si>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</si>
  <si>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</si>
  <si>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</si>
  <si>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</si>
  <si>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</si>
  <si>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</si>
  <si>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</si>
  <si>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</si>
  <si>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</si>
  <si>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</si>
  <si>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</si>
  <si>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</si>
  <si>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</si>
  <si>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</si>
  <si>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</si>
  <si>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</si>
  <si>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</si>
  <si>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</si>
  <si>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</si>
  <si>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</si>
  <si>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</si>
  <si>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</si>
  <si>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</si>
  <si>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</si>
  <si>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</si>
  <si>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</si>
  <si>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</si>
  <si>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</si>
  <si>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</si>
  <si>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</si>
  <si>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</si>
  <si>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</si>
  <si>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</si>
  <si>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</si>
  <si>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</si>
  <si>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</si>
  <si>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</si>
  <si>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</si>
  <si>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8동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</si>
  <si>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</si>
  <si>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</si>
  <si>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</si>
  <si>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</si>
  <si>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</si>
  <si>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> 노무비*4.75%</t>
    <phoneticPr fontId="14" type="noConversion"/>
  </si>
  <si>
    <t> 노무비*3.595%</t>
    <phoneticPr fontId="14" type="noConversion"/>
  </si>
  <si>
    <t xml:space="preserve"> 공사명 : 사택 8-504 씽크대 상하부장 문짝교체</t>
    <phoneticPr fontId="12" type="noConversion"/>
  </si>
  <si>
    <t xml:space="preserve"> 견적일 : 2026년  06월  08일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</si>
</sst>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6" fontId="24" fillId="5" borderId="3" xfId="0" applyNumberFormat="1" applyFont="1" applyFill="1" applyBorder="1" applyAlignment="1">
      <alignment horizontal="right" vertical="center" wrapText="1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J14" sqref="J14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 x14ac:dyDescent="0.2">
      <c r="A3" s="86"/>
      <c r="B3" s="86"/>
      <c r="C3" s="86"/>
      <c r="D3" s="86"/>
      <c r="E3" s="86"/>
      <c r="F3" s="86"/>
      <c r="G3" s="86"/>
      <c r="H3" s="86"/>
    </row>
    <row r="4" spans="1:9" ht="14.25" x14ac:dyDescent="0.2">
      <c r="A4" s="86"/>
      <c r="B4" s="86"/>
      <c r="C4" s="86"/>
      <c r="D4" s="86"/>
      <c r="E4" s="86"/>
      <c r="H4" s="86"/>
    </row>
    <row r="5" spans="1:9" ht="27" customHeight="1" x14ac:dyDescent="0.2">
      <c r="A5" s="87" t="s">
        <v>63</v>
      </c>
      <c r="B5" s="4"/>
      <c r="C5" s="5"/>
      <c r="D5" s="86"/>
      <c r="E5" s="86"/>
      <c r="F5" s="6" t="s">
        <v>37</v>
      </c>
      <c r="G5" s="7" t="s">
        <v>66</v>
      </c>
      <c r="H5" s="86"/>
    </row>
    <row r="6" spans="1:9" ht="27" customHeight="1" x14ac:dyDescent="0.2">
      <c r="A6" s="86"/>
      <c r="B6" s="86"/>
      <c r="C6" s="86"/>
      <c r="D6" s="86"/>
      <c r="E6" s="86"/>
      <c r="F6" s="8" t="s">
        <v>40</v>
      </c>
      <c r="G6" s="9" t="s">
        <v>67</v>
      </c>
      <c r="H6" s="86"/>
    </row>
    <row r="7" spans="1:9" ht="27" customHeight="1" x14ac:dyDescent="0.2">
      <c r="A7" s="124" t="s">
        <v>106</v>
      </c>
      <c r="B7" s="125"/>
      <c r="C7" s="126"/>
      <c r="D7" s="86"/>
      <c r="E7" s="10"/>
      <c r="F7" s="11" t="s">
        <v>41</v>
      </c>
      <c r="G7" s="9" t="s">
        <v>68</v>
      </c>
      <c r="H7" s="86"/>
    </row>
    <row r="8" spans="1:9" ht="27" customHeight="1" x14ac:dyDescent="0.2">
      <c r="A8" s="86"/>
      <c r="B8" s="86"/>
      <c r="C8" s="86"/>
      <c r="D8" s="86"/>
      <c r="E8" s="86"/>
      <c r="F8" s="8" t="s">
        <v>42</v>
      </c>
      <c r="G8" s="9" t="s">
        <v>69</v>
      </c>
      <c r="H8" s="86"/>
    </row>
    <row r="9" spans="1:9" ht="27" customHeight="1" x14ac:dyDescent="0.2">
      <c r="A9" s="124" t="s">
        <v>107</v>
      </c>
      <c r="B9" s="125"/>
      <c r="C9" s="126"/>
      <c r="D9" s="86"/>
      <c r="E9" s="86"/>
      <c r="F9" s="8" t="s">
        <v>43</v>
      </c>
      <c r="G9" s="9" t="s">
        <v>70</v>
      </c>
      <c r="H9" s="86"/>
    </row>
    <row r="10" spans="1:9" ht="27" customHeight="1" x14ac:dyDescent="0.2">
      <c r="A10" s="86"/>
      <c r="B10" s="86"/>
      <c r="C10" s="86"/>
      <c r="D10" s="86"/>
      <c r="E10" s="86"/>
      <c r="F10" s="12" t="s">
        <v>38</v>
      </c>
      <c r="G10" s="13" t="s">
        <v>71</v>
      </c>
      <c r="H10" s="86"/>
      <c r="I10" s="86"/>
    </row>
    <row r="11" spans="1:9" ht="27" customHeight="1" x14ac:dyDescent="0.2">
      <c r="A11" s="122"/>
      <c r="B11" s="123"/>
      <c r="C11" s="123"/>
      <c r="D11" s="86"/>
      <c r="E11" s="14"/>
      <c r="F11" s="15" t="s">
        <v>39</v>
      </c>
      <c r="G11" s="16" t="s">
        <v>72</v>
      </c>
      <c r="H11" s="14"/>
    </row>
    <row r="12" spans="1:9" ht="18.75" thickBot="1" x14ac:dyDescent="0.25">
      <c r="A12" s="17" t="s">
        <v>7</v>
      </c>
      <c r="B12" s="17" t="str">
        <f>NUMBERSTRING(F31,1)</f>
        <v>일백일십만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'내역서(표준단가)'!M7</f>
        <v>224490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1024490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14" t="s">
        <v>23</v>
      </c>
      <c r="C21" s="115" t="s">
        <v>104</v>
      </c>
      <c r="D21" s="116">
        <v>1</v>
      </c>
      <c r="E21" s="116" t="s">
        <v>24</v>
      </c>
      <c r="F21" s="117">
        <f>F17*4.75%</f>
        <v>10663.275</v>
      </c>
      <c r="G21" s="35" t="s">
        <v>25</v>
      </c>
    </row>
    <row r="22" spans="1:7" ht="33" customHeight="1" x14ac:dyDescent="0.2">
      <c r="A22" s="29"/>
      <c r="B22" s="118" t="s">
        <v>26</v>
      </c>
      <c r="C22" s="115" t="s">
        <v>105</v>
      </c>
      <c r="D22" s="119">
        <v>1</v>
      </c>
      <c r="E22" s="119" t="s">
        <v>24</v>
      </c>
      <c r="F22" s="120">
        <f>F17*3.595%</f>
        <v>8070.415500000001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64</v>
      </c>
      <c r="D23" s="30">
        <v>1</v>
      </c>
      <c r="E23" s="30" t="s">
        <v>24</v>
      </c>
      <c r="F23" s="43">
        <f>F22*12.95%</f>
        <v>1045.1188072500001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2267.3489999999997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65</v>
      </c>
      <c r="D25" s="30">
        <v>1</v>
      </c>
      <c r="E25" s="30" t="s">
        <v>24</v>
      </c>
      <c r="F25" s="43">
        <f>F17*3.56%</f>
        <v>7991.8440000000001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103</v>
      </c>
      <c r="D26" s="30">
        <v>1</v>
      </c>
      <c r="E26" s="30" t="s">
        <v>24</v>
      </c>
      <c r="F26" s="43">
        <f>(F16+F17)*3.11%</f>
        <v>31861.638999999999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14319.482065362501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76219.123372612507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1100709.1233726125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1100000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11.25" style="109" customWidth="1"/>
    <col min="2" max="5" width="11.25" style="62" customWidth="1"/>
    <col min="6" max="6" width="11.25" style="100" customWidth="1"/>
    <col min="7" max="7" width="30.625" style="100" customWidth="1"/>
    <col min="8" max="8" width="5" style="62" bestFit="1" customWidth="1"/>
    <col min="9" max="9" width="6.5" style="62" bestFit="1" customWidth="1"/>
    <col min="10" max="10" width="10.25" style="62" bestFit="1" customWidth="1"/>
    <col min="11" max="11" width="12.5" style="62" bestFit="1" customWidth="1"/>
    <col min="12" max="12" width="8.25" style="62" customWidth="1"/>
    <col min="13" max="13" width="12.5" style="62" bestFit="1" customWidth="1"/>
    <col min="14" max="14" width="6.375" style="62" customWidth="1"/>
    <col min="15" max="15" width="8.25" style="62" bestFit="1" customWidth="1"/>
    <col min="16" max="16" width="6.375" style="62" customWidth="1"/>
    <col min="17" max="17" width="8.25" style="62" bestFit="1" customWidth="1"/>
    <col min="18" max="18" width="14.5" style="62" bestFit="1" customWidth="1"/>
    <col min="19" max="19" width="10.625" style="63" bestFit="1" customWidth="1"/>
    <col min="20" max="20" width="8.5" style="62" bestFit="1" customWidth="1"/>
    <col min="21" max="16384" width="9" style="62"/>
  </cols>
  <sheetData>
    <row r="1" spans="1:20" ht="19.899999999999999" customHeight="1" x14ac:dyDescent="0.3">
      <c r="A1" s="127"/>
      <c r="B1" s="127"/>
      <c r="C1" s="127"/>
      <c r="D1" s="127"/>
      <c r="E1" s="127"/>
      <c r="J1" s="63"/>
      <c r="K1" s="103" t="s">
        <v>78</v>
      </c>
      <c r="M1" s="103" t="s">
        <v>78</v>
      </c>
      <c r="O1" s="103" t="s">
        <v>78</v>
      </c>
      <c r="Q1" s="103" t="s">
        <v>78</v>
      </c>
    </row>
    <row r="2" spans="1:20" ht="19.899999999999999" customHeight="1" thickBot="1" x14ac:dyDescent="0.35">
      <c r="A2" s="127"/>
      <c r="B2" s="127"/>
      <c r="C2" s="127"/>
      <c r="D2" s="127"/>
      <c r="E2" s="127"/>
      <c r="J2" s="64"/>
      <c r="K2" s="65">
        <v>0.83499999999999996</v>
      </c>
      <c r="M2" s="65">
        <v>0.83499999999999996</v>
      </c>
      <c r="O2" s="65">
        <v>0.83499999999999996</v>
      </c>
      <c r="Q2" s="65">
        <v>0.83499999999999996</v>
      </c>
    </row>
    <row r="3" spans="1:20" ht="19.899999999999999" customHeight="1" x14ac:dyDescent="0.3">
      <c r="A3" s="104"/>
      <c r="B3" s="104" t="s">
        <v>79</v>
      </c>
      <c r="C3" s="105"/>
      <c r="D3" s="105"/>
      <c r="E3" s="105"/>
      <c r="F3" s="138" t="s">
        <v>80</v>
      </c>
      <c r="G3" s="138"/>
      <c r="H3" s="136" t="s">
        <v>50</v>
      </c>
      <c r="I3" s="136" t="s">
        <v>5</v>
      </c>
      <c r="J3" s="132" t="s">
        <v>81</v>
      </c>
      <c r="K3" s="132"/>
      <c r="L3" s="132" t="s">
        <v>82</v>
      </c>
      <c r="M3" s="132"/>
      <c r="N3" s="133" t="s">
        <v>83</v>
      </c>
      <c r="O3" s="133"/>
      <c r="P3" s="133" t="s">
        <v>84</v>
      </c>
      <c r="Q3" s="133"/>
      <c r="R3" s="134" t="s">
        <v>85</v>
      </c>
      <c r="S3" s="130" t="s">
        <v>86</v>
      </c>
      <c r="T3" s="128" t="s">
        <v>44</v>
      </c>
    </row>
    <row r="4" spans="1:20" ht="19.899999999999999" customHeight="1" x14ac:dyDescent="0.3">
      <c r="A4" s="66" t="s">
        <v>87</v>
      </c>
      <c r="B4" s="67" t="s">
        <v>88</v>
      </c>
      <c r="C4" s="67" t="s">
        <v>89</v>
      </c>
      <c r="D4" s="67" t="s">
        <v>90</v>
      </c>
      <c r="E4" s="67" t="s">
        <v>91</v>
      </c>
      <c r="F4" s="101" t="s">
        <v>92</v>
      </c>
      <c r="G4" s="101" t="s">
        <v>93</v>
      </c>
      <c r="H4" s="137"/>
      <c r="I4" s="137"/>
      <c r="J4" s="68" t="s">
        <v>94</v>
      </c>
      <c r="K4" s="69" t="s">
        <v>95</v>
      </c>
      <c r="L4" s="68" t="s">
        <v>96</v>
      </c>
      <c r="M4" s="69" t="s">
        <v>95</v>
      </c>
      <c r="N4" s="69" t="s">
        <v>97</v>
      </c>
      <c r="O4" s="69" t="s">
        <v>95</v>
      </c>
      <c r="P4" s="69" t="s">
        <v>97</v>
      </c>
      <c r="Q4" s="69" t="s">
        <v>95</v>
      </c>
      <c r="R4" s="135"/>
      <c r="S4" s="131"/>
      <c r="T4" s="129"/>
    </row>
    <row r="5" spans="1:20" s="106" customFormat="1" ht="38.1" customHeight="1" x14ac:dyDescent="0.3">
      <c r="A5" s="70" t="str">
        <f t="shared" ref="A5" si="0">B5&amp;C5&amp;D5&amp;E5</f>
        <v>L003</v>
      </c>
      <c r="B5" s="71"/>
      <c r="C5" s="75"/>
      <c r="D5" s="85"/>
      <c r="E5" s="90" t="s">
        <v>99</v>
      </c>
      <c r="F5" s="88" t="s">
        <v>100</v>
      </c>
      <c r="G5" s="89" t="s">
        <v>101</v>
      </c>
      <c r="H5" s="72" t="s">
        <v>102</v>
      </c>
      <c r="I5" s="99">
        <v>1</v>
      </c>
      <c r="J5" s="96"/>
      <c r="K5" s="97">
        <f>I5*J5</f>
        <v>0</v>
      </c>
      <c r="L5" s="113">
        <v>224490</v>
      </c>
      <c r="M5" s="97">
        <f>I5*L5</f>
        <v>224490</v>
      </c>
      <c r="N5" s="98"/>
      <c r="O5" s="97">
        <f t="shared" ref="O5" si="1">N5*I5*$O$2</f>
        <v>0</v>
      </c>
      <c r="P5" s="98"/>
      <c r="Q5" s="97">
        <f t="shared" ref="Q5" si="2">P5*I5*$Q$2</f>
        <v>0</v>
      </c>
      <c r="R5" s="73">
        <f t="shared" ref="R5" si="3">SUM(K5+M5)+O5+Q5</f>
        <v>224490</v>
      </c>
      <c r="S5" s="76"/>
      <c r="T5" s="74"/>
    </row>
    <row r="6" spans="1:20" s="106" customFormat="1" ht="38.1" customHeight="1" x14ac:dyDescent="0.3">
      <c r="A6" s="70"/>
      <c r="B6" s="71"/>
      <c r="C6" s="75"/>
      <c r="D6" s="75"/>
      <c r="E6" s="71"/>
      <c r="F6" s="89" t="s">
        <v>98</v>
      </c>
      <c r="G6" s="89" t="s">
        <v>73</v>
      </c>
      <c r="H6" s="72" t="s">
        <v>74</v>
      </c>
      <c r="I6" s="99">
        <v>1</v>
      </c>
      <c r="J6" s="96">
        <v>800000</v>
      </c>
      <c r="K6" s="97">
        <f>I6*J6</f>
        <v>800000</v>
      </c>
      <c r="L6" s="95"/>
      <c r="M6" s="97">
        <f t="shared" ref="M6" si="4">(L6*I6)*$M$2</f>
        <v>0</v>
      </c>
      <c r="N6" s="98"/>
      <c r="O6" s="97">
        <f t="shared" ref="O6" si="5">N6*I6*$O$2</f>
        <v>0</v>
      </c>
      <c r="P6" s="98"/>
      <c r="Q6" s="97">
        <f t="shared" ref="Q6" si="6">P6*I6*$Q$2</f>
        <v>0</v>
      </c>
      <c r="R6" s="73">
        <f t="shared" ref="R6" si="7">SUM(K6+M6)+O6+Q6</f>
        <v>800000</v>
      </c>
      <c r="S6" s="76"/>
      <c r="T6" s="74"/>
    </row>
    <row r="7" spans="1:20" s="108" customFormat="1" ht="38.1" customHeight="1" x14ac:dyDescent="0.3">
      <c r="A7" s="107"/>
      <c r="F7" s="102"/>
      <c r="G7" s="102"/>
      <c r="K7" s="111">
        <f>SUM(K5:K6)</f>
        <v>800000</v>
      </c>
      <c r="M7" s="111">
        <f>SUM(M5:M6)</f>
        <v>224490</v>
      </c>
      <c r="O7" s="111">
        <f>SUM(O5:O6)</f>
        <v>0</v>
      </c>
      <c r="Q7" s="111">
        <f>SUM(Q5:Q6)</f>
        <v>0</v>
      </c>
      <c r="R7" s="112">
        <f>SUM(R5:R6)</f>
        <v>1024490</v>
      </c>
      <c r="S7" s="77"/>
    </row>
    <row r="11" spans="1:20" ht="38.1" customHeight="1" x14ac:dyDescent="0.3">
      <c r="M11" s="11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91" bestFit="1" customWidth="1"/>
    <col min="2" max="2" width="17.875" style="91" customWidth="1"/>
    <col min="3" max="3" width="14.625" style="91" customWidth="1"/>
    <col min="4" max="4" width="10.875" style="91" customWidth="1"/>
    <col min="5" max="5" width="12" style="91" customWidth="1"/>
    <col min="6" max="6" width="10.625" style="91" customWidth="1"/>
    <col min="7" max="7" width="13.625" style="92" customWidth="1"/>
    <col min="8" max="8" width="9.625" style="91" customWidth="1"/>
    <col min="9" max="9" width="13.625" style="91" customWidth="1"/>
    <col min="10" max="10" width="12.75" style="91" customWidth="1"/>
    <col min="11" max="11" width="9.25" style="91" customWidth="1"/>
    <col min="12" max="12" width="13.625" style="92" customWidth="1"/>
    <col min="13" max="13" width="9.625" style="91" customWidth="1"/>
    <col min="14" max="14" width="13.625" style="92" customWidth="1"/>
    <col min="15" max="15" width="19.75" style="93" bestFit="1" customWidth="1"/>
    <col min="16" max="16" width="12.25" style="93" bestFit="1" customWidth="1"/>
    <col min="17" max="16384" width="9" style="91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tabSelected="1" workbookViewId="0">
      <selection activeCell="E15" sqref="E15"/>
    </sheetView>
  </sheetViews>
  <sheetFormatPr defaultColWidth="9" defaultRowHeight="14.25" x14ac:dyDescent="0.3"/>
  <cols>
    <col min="1" max="1" width="11.125" style="94" customWidth="1"/>
    <col min="2" max="2" width="13.375" style="94" customWidth="1"/>
    <col min="3" max="3" width="38.75" style="94" customWidth="1"/>
    <col min="4" max="4" width="28.75" style="94" customWidth="1"/>
    <col min="5" max="5" width="5" style="94" customWidth="1"/>
    <col min="6" max="6" width="6.25" style="94" customWidth="1"/>
    <col min="7" max="7" width="10" style="94" customWidth="1"/>
    <col min="8" max="8" width="11.875" style="94" customWidth="1"/>
    <col min="9" max="9" width="10" style="94" customWidth="1"/>
    <col min="10" max="10" width="11.875" style="94" customWidth="1"/>
    <col min="11" max="11" width="10" style="94" customWidth="1"/>
    <col min="12" max="12" width="11.875" style="94" customWidth="1"/>
    <col min="13" max="13" width="10" style="94" customWidth="1"/>
    <col min="14" max="14" width="11.875" style="94" customWidth="1"/>
    <col min="15" max="15" width="9.125" style="94" customWidth="1"/>
    <col min="16" max="16" width="11.5" style="94" customWidth="1"/>
    <col min="17" max="17" width="11.75" style="94" customWidth="1"/>
    <col min="18" max="18" width="17.875" style="94" customWidth="1"/>
    <col min="19" max="16384" width="9" style="94"/>
  </cols>
  <sheetData>
    <row r="1" spans="1:18" ht="18" customHeight="1" x14ac:dyDescent="0.3">
      <c r="A1" s="78" t="s">
        <v>46</v>
      </c>
      <c r="B1" s="79" t="s">
        <v>47</v>
      </c>
      <c r="C1" s="80" t="s">
        <v>48</v>
      </c>
      <c r="D1" s="80" t="s">
        <v>49</v>
      </c>
      <c r="E1" s="80" t="s">
        <v>50</v>
      </c>
      <c r="F1" s="80" t="s">
        <v>5</v>
      </c>
      <c r="G1" s="79" t="s">
        <v>51</v>
      </c>
      <c r="H1" s="79" t="s">
        <v>52</v>
      </c>
      <c r="I1" s="79" t="s">
        <v>53</v>
      </c>
      <c r="J1" s="79" t="s">
        <v>54</v>
      </c>
      <c r="K1" s="79" t="s">
        <v>55</v>
      </c>
      <c r="L1" s="79" t="s">
        <v>56</v>
      </c>
      <c r="M1" s="79" t="s">
        <v>57</v>
      </c>
      <c r="N1" s="79" t="s">
        <v>58</v>
      </c>
      <c r="O1" s="79" t="s">
        <v>59</v>
      </c>
      <c r="P1" s="79" t="s">
        <v>60</v>
      </c>
      <c r="Q1" s="79" t="s">
        <v>61</v>
      </c>
      <c r="R1" s="79" t="s">
        <v>62</v>
      </c>
    </row>
    <row r="2" spans="1:18" x14ac:dyDescent="0.3">
      <c r="A2" s="63">
        <v>999999</v>
      </c>
      <c r="B2" s="63" t="s">
        <v>75</v>
      </c>
      <c r="C2" s="63" t="s">
        <v>98</v>
      </c>
      <c r="D2" s="63" t="s">
        <v>76</v>
      </c>
      <c r="E2" s="63" t="s">
        <v>77</v>
      </c>
      <c r="F2" s="81">
        <v>1</v>
      </c>
      <c r="G2" s="84">
        <v>800000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4"/>
  </cols>
  <sheetData>
    <row r="1" spans="1:7" ht="18" customHeight="1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62"/>
    </row>
    <row r="2" spans="1:7" x14ac:dyDescent="0.3">
      <c r="A2" s="82" t="str">
        <f>'내역서(표준단가)'!A5</f>
        <v>L003</v>
      </c>
      <c r="B2" s="83">
        <f>'내역서(표준단가)'!B5</f>
        <v>0</v>
      </c>
      <c r="C2" s="83">
        <f>'내역서(표준단가)'!C5</f>
        <v>0</v>
      </c>
      <c r="D2" s="83">
        <f>'내역서(표준단가)'!D5</f>
        <v>0</v>
      </c>
      <c r="E2" s="83" t="str">
        <f>'내역서(표준단가)'!E5</f>
        <v>L003</v>
      </c>
      <c r="F2" s="83">
        <f>'내역서(표준단가)'!I5</f>
        <v>1</v>
      </c>
      <c r="G2" s="62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Upload(표준)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2026-01-20T04:07:03Z</dcterms:created>
  <dcterms:modified xsi:type="dcterms:W3CDTF">2026-06-21T23:17:24Z</dcterms:modified>
</cp:coreProperties>
</file>

<file path=[Content_Types].xml><?xml version="1.0" encoding="utf-8"?>
<Types xmlns="http://schemas.openxmlformats.org/package/2006/content-types">
  <Default Extension="bin" ContentType="application/vnd.openxmlformats-officedocument.spreadsheetml.printerSettings"/>
  <Default Extension="JP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현재_통합_문서"/>
  <mc:AlternateContent xmlns:mc="http://schemas.openxmlformats.org/markup-compatibility/2006">
    <mc:Choice Requires="x15">
      <x15ac:absPath xmlns:x15ac="http://schemas.microsoft.com/office/spreadsheetml/2010/11/ac" url="D:\02 기숙사 및 사택\02 견적작업\02 견적서\01 솔루션\260623\04 PR당사안\"/>
    </mc:Choice>
  </mc:AlternateContent>
  <xr:revisionPtr revIDLastSave="0" documentId="13_ncr:1_{8A38930B-31AD-46B6-B54B-9E436BD739ED}" xr6:coauthVersionLast="47" xr6:coauthVersionMax="47" xr10:uidLastSave="{00000000-0000-0000-0000-000000000000}"/>
  <bookViews>
    <workbookView xWindow="-60" yWindow="-60" windowWidth="28920" windowHeight="15600" xr2:uid="{00000000-000D-0000-FFFF-FFFF00000000}"/>
  </bookViews>
  <sheets>
    <sheet name="PR당사안" sheetId="14" r:id="rId1"/>
    <sheet name="내역서(표준단가)" sheetId="4" r:id="rId2"/>
    <sheet name="상세내역" sheetId="13" r:id="rId3"/>
    <sheet name="Upload" sheetId="1" r:id="rId4"/>
    <sheet name="도면" sheetId="10" r:id="rId5"/>
    <sheet name="참고자료" sheetId="12" r:id="rId6"/>
  </sheets>
  <externalReferences>
    <externalReference r:id="rId7"/>
    <externalReference r:id="rId8"/>
    <externalReference r:id="rId9"/>
    <externalReference r:id="rId10"/>
  </externalReferences>
  <definedNames>
    <definedName name="_" hidden="1">#REF!</definedName>
    <definedName name="_Fill" hidden="1">#REF!</definedName>
    <definedName name="_Key1" hidden="1">#REF!</definedName>
    <definedName name="_Key2" hidden="1">#REF!</definedName>
    <definedName name="_Order1" hidden="1">255</definedName>
    <definedName name="_Order2" hidden="1">255</definedName>
    <definedName name="_Parse_Out" hidden="1">#REF!</definedName>
    <definedName name="_Regression_Int" hidden="1">1</definedName>
    <definedName name="_Sort" hidden="1">#REF!</definedName>
    <definedName name="a\" hidden="1">{#N/A,#N/A,TRUE,"자재관리";#N/A,#N/A,TRUE,"품질"}</definedName>
    <definedName name="A1C1" hidden="1">#REF!</definedName>
    <definedName name="AccessDatabase" hidden="1">"D:\공무jaje\98년품의-수불\98146.mdb"</definedName>
    <definedName name="a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d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e"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f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g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hh"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n"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nn"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r"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rr"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sdfasdf" hidden="1">{#N/A,#N/A,FALSE,"CCTV"}</definedName>
    <definedName name="ass"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vvvv"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vvvvv"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BSB"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BUSH" hidden="1">{"'Sheet1'!$E$23","'Sheet1'!$A$3:$H$19","'Sheet1'!$A$1:$H$19"}</definedName>
    <definedName name="copy2" hidden="1">{#N/A,#N/A,TRUE,"자재관리";#N/A,#N/A,TRUE,"품질"}</definedName>
    <definedName name="copy3" hidden="1">{#N/A,#N/A,TRUE,"자재관리";#N/A,#N/A,TRUE,"품질"}</definedName>
    <definedName name="copy4" hidden="1">{#N/A,#N/A,FALSE,"자재관리";#N/A,#N/A,FALSE,"자재관리";#N/A,#N/A,FALSE,"자재관리"}</definedName>
    <definedName name="cxv"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 hidden="1">{#N/A,#N/A,FALSE,"자재관리";#N/A,#N/A,FALSE,"자재관리";#N/A,#N/A,FALSE,"자재관리"}</definedName>
    <definedName name="DDD" hidden="1">#REF!</definedName>
    <definedName name="ddddd" hidden="1">#REF!</definedName>
    <definedName name="ddddd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dddd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d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ggh"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V" hidden="1">{#N/A,#N/A,FALSE,"자재관리";#N/A,#N/A,FALSE,"자재관리";#N/A,#N/A,FALSE,"자재관리"}</definedName>
    <definedName name="D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j"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k"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kd" hidden="1">{#N/A,#N/A,FALSE,"자재관리";#N/A,#N/A,FALSE,"자재관리";#N/A,#N/A,FALSE,"자재관리"}</definedName>
    <definedName name="DKFDK" hidden="1">{#N/A,#N/A,FALSE,"전력간선"}</definedName>
    <definedName name="DW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efd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df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e"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S"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E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EFE"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FF" hidden="1">{#N/A,#N/A,FALSE,"CCTV"}</definedName>
    <definedName name="FFFF" hidden="1">{#N/A,#N/A,FALSE,"자재관리";#N/A,#N/A,FALSE,"자재관리";#N/A,#N/A,FALSE,"자재관리"}</definedName>
    <definedName name="FFFFFF" hidden="1">{#N/A,#N/A,FALSE,"자재관리";#N/A,#N/A,FALSE,"자재관리";#N/A,#N/A,FALSE,"자재관리"}</definedName>
    <definedName name="fffffff" hidden="1">{#N/A,#N/A,FALSE,"자재관리";#N/A,#N/A,FALSE,"자재관리";#N/A,#N/A,FALSE,"자재관리"}</definedName>
    <definedName name="fffffff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g" hidden="1">{#N/A,#N/A,FALSE,"전력간선"}</definedName>
    <definedName name="FG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HFH" hidden="1">#REF!</definedName>
    <definedName name="FHFK" hidden="1">#REF!</definedName>
    <definedName name="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bc"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EW"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F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fgf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ggh"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DGBG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g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HHH" hidden="1">#REF!</definedName>
    <definedName name="HHHHH" hidden="1">{#N/A,#N/A,FALSE,"자재관리";#N/A,#N/A,FALSE,"자재관리";#N/A,#N/A,FALSE,"자재관리"}</definedName>
    <definedName name="HHHHHH" hidden="1">{#N/A,#N/A,FALSE,"자재관리";#N/A,#N/A,FALSE,"자재관리";#N/A,#N/A,FALSE,"자재관리"}</definedName>
    <definedName name="HMHM"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THT"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TML_CodePage" hidden="1">949</definedName>
    <definedName name="HTML_Control" hidden="1">{"'Sheet1'!$E$23","'Sheet1'!$A$3:$H$19","'Sheet1'!$A$1:$H$19"}</definedName>
    <definedName name="HTML_Description" hidden="1">""</definedName>
    <definedName name="HTML_Email" hidden="1">""</definedName>
    <definedName name="HTML_Header" hidden="1">""</definedName>
    <definedName name="HTML_LastUpdate" hidden="1">""</definedName>
    <definedName name="HTML_LineAfter" hidden="1">FALSE</definedName>
    <definedName name="HTML_LineBefore" hidden="1">FALSE</definedName>
    <definedName name="HTML_Name" hidden="1">""</definedName>
    <definedName name="HTML_OBDlg2" hidden="1">TRUE</definedName>
    <definedName name="HTML_OBDlg3" hidden="1">TRUE</definedName>
    <definedName name="HTML_OBDlg4" hidden="1">TRUE</definedName>
    <definedName name="HTML_OS" hidden="1">0</definedName>
    <definedName name="HTML_PathFile" hidden="1">"C:\개발일반\U-PJT\MyHTML.htm"</definedName>
    <definedName name="HTML_PathTemplate" hidden="1">"C:\개발일반\U-PJT\HTMLTemp.htm"</definedName>
    <definedName name="HTML_Title" hidden="1">""</definedName>
    <definedName name="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u"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u"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uuu"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JJJJ" hidden="1">{#N/A,#N/A,FALSE,"자재관리";#N/A,#N/A,FALSE,"자재관리";#N/A,#N/A,FALSE,"자재관리"}</definedName>
    <definedName name="JYJY"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 hidden="1">{#N/A,#N/A,FALSE,"자재관리";#N/A,#N/A,FALSE,"자재관리";#N/A,#N/A,FALSE,"자재관리"}</definedName>
    <definedName name="k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KK" hidden="1">#REF!</definedName>
    <definedName name="kkkkk" hidden="1">{#N/A,#N/A,FALSE,"자재관리";#N/A,#N/A,FALSE,"자재관리";#N/A,#N/A,FALSE,"자재관리"}</definedName>
    <definedName name="knauf" hidden="1">{#N/A,#N/A,FALSE,"자재관리";#N/A,#N/A,FALSE,"자재관리";#N/A,#N/A,FALSE,"자재관리"}</definedName>
    <definedName name="KUK"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L" hidden="1">{#N/A,#N/A,TRUE,"자재관리";#N/A,#N/A,TRUE,"품질"}</definedName>
    <definedName name="lj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lll" hidden="1">#REF!</definedName>
    <definedName name="MC" hidden="1">{#N/A,#N/A,FALSE,"자재관리";#N/A,#N/A,FALSE,"자재관리";#N/A,#N/A,FALSE,"자재관리"}</definedName>
    <definedName name="MMM"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Neotech" hidden="1">{#N/A,#N/A,FALSE,"자재관리";#N/A,#N/A,FALSE,"자재관리";#N/A,#N/A,FALSE,"자재관리"}</definedName>
    <definedName name="NEWNAME" hidden="1">{#N/A,#N/A,FALSE,"CCTV"}</definedName>
    <definedName name="ng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OOO" hidden="1">#REF!</definedName>
    <definedName name="OOOOOO" hidden="1">{#N/A,#N/A,FALSE,"자재관리";#N/A,#N/A,FALSE,"자재관리";#N/A,#N/A,FALSE,"자재관리"}</definedName>
    <definedName name="PRESS" hidden="1">{"'Sheet1'!$E$23","'Sheet1'!$A$3:$H$19","'Sheet1'!$A$1:$H$19"}</definedName>
    <definedName name="press1" hidden="1">{"'Sheet1'!$E$23","'Sheet1'!$A$3:$H$19","'Sheet1'!$A$1:$H$19"}</definedName>
    <definedName name="_xlnm.Print_Area">#REF!</definedName>
    <definedName name="_xlnm.Print_Titles">#REF!,#REF!</definedName>
    <definedName name="Q" hidden="1">{#N/A,#N/A,FALSE,"자재관리";#N/A,#N/A,FALSE,"자재관리";#N/A,#N/A,FALSE,"자재관리"}</definedName>
    <definedName name="qqq" hidden="1">{#N/A,#N/A,FALSE,"전력간선"}</definedName>
    <definedName name="QQQW" hidden="1">{#N/A,#N/A,FALSE,"전력간선"}</definedName>
    <definedName name="ret" hidden="1">{#N/A,#N/A,FALSE,"전력간선"}</definedName>
    <definedName name="R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GR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IRI" hidden="1">{#N/A,#N/A,FALSE,"전력간선"}</definedName>
    <definedName name="RK" hidden="1">#REF!</definedName>
    <definedName name="rP"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r" hidden="1">{#N/A,#N/A,FALSE,"전력간선"}</definedName>
    <definedName name="RRR"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thyetyuety" hidden="1">{#N/A,#N/A,TRUE,"자재관리";#N/A,#N/A,TRUE,"품질"}</definedName>
    <definedName name="SD" hidden="1">{#N/A,#N/A,FALSE,"자재관리";#N/A,#N/A,FALSE,"자재관리";#N/A,#N/A,FALSE,"자재관리"}</definedName>
    <definedName name="S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SORT" hidden="1">#REF!</definedName>
    <definedName name="sss" hidden="1">{#N/A,#N/A,FALSE,"전력간선"}</definedName>
    <definedName name="SVSV"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t" hidden="1">{#N/A,#N/A,TRUE,"자재관리";#N/A,#N/A,TRUE,"품질"}</definedName>
    <definedName name="tka" hidden="1">{#N/A,#N/A,FALSE,"전력간선"}</definedName>
    <definedName name="TTTT" hidden="1">#REF!</definedName>
    <definedName name="uwehdiueih" hidden="1">{#N/A,#N/A,FALSE,"자재관리";#N/A,#N/A,FALSE,"자재관리";#N/A,#N/A,FALSE,"자재관리"}</definedName>
    <definedName name="VSVS"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rt"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s"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JDEHDRHS" hidden="1">{#N/A,#N/A,FALSE,"CCTV"}</definedName>
    <definedName name="WQW"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RITE" hidden="1">{#N/A,#N/A,FALSE,"CCTV"}</definedName>
    <definedName name="wrn.0812ESC."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wrn.34건물기초." hidden="1">{#N/A,#N/A,FALSE,"집계";#N/A,#N/A,FALSE,"표지";#N/A,#N/A,FALSE,"터빈집계";#N/A,#N/A,FALSE,"터빈내역";#N/A,#N/A,FALSE,"주제어집계";#N/A,#N/A,FALSE,"주제어내역";#N/A,#N/A,FALSE,"보일러집계";#N/A,#N/A,FALSE,"보일러내역"}</definedName>
    <definedName name="wrn.6월._.자재관리._.현황." hidden="1">{#N/A,#N/A,FALSE,"자재관리";#N/A,#N/A,FALSE,"자재관리";#N/A,#N/A,FALSE,"자재관리"}</definedName>
    <definedName name="wrn.abc." hidden="1">{#N/A,#N/A,TRUE,"천상그린44PY"}</definedName>
    <definedName name="wrn.ac30prn." hidden="1">{#N/A,#N/A,FALSE,"별표20 ";#N/A,#N/A,FALSE,"부표";#N/A,#N/A,FALSE,"품셈내역";#N/A,#N/A,FALSE,"품셈집계";#N/A,#N/A,FALSE,"내역서";#N/A,#N/A,FALSE,"집계표";#N/A,#N/A,FALSE,"표지";#N/A,#N/A,FALSE,"별표총괄표"}</definedName>
    <definedName name="wrn.BM." hidden="1">{#N/A,#N/A,FALSE,"CCTV"}</definedName>
    <definedName name="wrn.건물기초."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wrn.교대구조계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rn.교육청." hidden="1">{#N/A,#N/A,FALSE,"전력간선"}</definedName>
    <definedName name="wrn.기성." hidden="1">{#N/A,#N/A,FALSE,"신청통보";#N/A,#N/A,FALSE,"기성확인서";#N/A,#N/A,FALSE,"기성내역서"}</definedName>
    <definedName name="wrn.기초." hidden="1">{#N/A,#N/A,FALSE,"터빈집계";#N/A,#N/A,FALSE,"터빈내역";#N/A,#N/A,FALSE,"보일러집계";#N/A,#N/A,FALSE,"보일러내역"}</definedName>
    <definedName name="wrn.보고서." hidden="1">{#N/A,#N/A,TRUE,"자재관리";#N/A,#N/A,TRUE,"품질"}</definedName>
    <definedName name="wrn.보일러마감." hidden="1">{#N/A,#N/A,FALSE,"물가변동 (2)";#N/A,#N/A,FALSE,"공사비";#N/A,#N/A,FALSE,"사급";#N/A,#N/A,FALSE,"도급집계";#N/A,#N/A,FALSE,"재료비";#N/A,#N/A,FALSE,"노무비";#N/A,#N/A,FALSE,"경비"}</definedName>
    <definedName name="wrn.시행결의." hidden="1">{#N/A,#N/A,FALSE,"도급대비시행율";#N/A,#N/A,FALSE,"결의서";#N/A,#N/A,FALSE,"내역서";#N/A,#N/A,FALSE,"도급예상"}</definedName>
    <definedName name="wrn.외주기성." hidden="1">{#N/A,#N/A,FALSE,"신청통보";#N/A,#N/A,FALSE,"기성확인서";#N/A,#N/A,FALSE,"기성내역서"}</definedName>
    <definedName name="wrn.일위대가." hidden="1">{#N/A,#N/A,TRUE,"대가1"}</definedName>
    <definedName name="WW"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X" hidden="1">{#N/A,#N/A,TRUE,"자재관리";#N/A,#N/A,TRUE,"품질"}</definedName>
    <definedName name="yy" hidden="1">{#N/A,#N/A,FALSE,"전력간선"}</definedName>
    <definedName name="YY0" hidden="1">{#N/A,#N/A,FALSE,"전력간선"}</definedName>
    <definedName name="yyy" hidden="1">[1]수량산출!$A$1:$A$8561</definedName>
    <definedName name="yyyy"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가스" hidden="1">{#N/A,#N/A,FALSE,"CCTV"}</definedName>
    <definedName name="가스실행내역" hidden="1">{#N/A,#N/A,FALSE,"전력간선"}</definedName>
    <definedName name="가실" hidden="1">{#N/A,#N/A,FALSE,"전력간선"}</definedName>
    <definedName name="가아" hidden="1">[2]수량산출!#REF!</definedName>
    <definedName name="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강"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강아지" hidden="1">#REF!</definedName>
    <definedName name="개같"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개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거ㅏ" hidden="1">[3]수량산출!$A$3:$H$8539</definedName>
    <definedName name="건설"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겨격" hidden="1">#REF!</definedName>
    <definedName name="견적" hidden="1">'[4]내역서1999.8최종'!$A$1:$A$2438</definedName>
    <definedName name="경"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계단"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계단기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구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기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로계단구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수" hidden="1">{#N/A,#N/A,FALSE,"도급대비시행율";#N/A,#N/A,FALSE,"결의서";#N/A,#N/A,FALSE,"내역서";#N/A,#N/A,FALSE,"도급예상"}</definedName>
    <definedName name="경수을지"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영목표2" hidden="1">{#N/A,#N/A,FALSE,"자재관리";#N/A,#N/A,FALSE,"자재관리";#N/A,#N/A,FALSE,"자재관리"}</definedName>
    <definedName name="계속"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공내역" hidden="1">{#N/A,#N/A,FALSE,"CCTV"}</definedName>
    <definedName name="공문" hidden="1">{#N/A,#N/A,FALSE,"자재관리";#N/A,#N/A,FALSE,"자재관리";#N/A,#N/A,FALSE,"자재관리"}</definedName>
    <definedName name="공문1" hidden="1">{#N/A,#N/A,FALSE,"자재관리";#N/A,#N/A,FALSE,"자재관리";#N/A,#N/A,FALSE,"자재관리"}</definedName>
    <definedName name="공장동" hidden="1">#REF!</definedName>
    <definedName name="광"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구"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구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구자관" hidden="1">{#N/A,#N/A,FALSE,"신청통보";#N/A,#N/A,FALSE,"기성확인서";#N/A,#N/A,FALSE,"기성내역서"}</definedName>
    <definedName name="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군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금강"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기" hidden="1">{#N/A,#N/A,TRUE,"자재관리";#N/A,#N/A,TRUE,"품질"}</definedName>
    <definedName name="기계단가1" hidden="1">{#N/A,#N/A,FALSE,"전력간선"}</definedName>
    <definedName name="기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길화"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길화건" hidden="1">{#N/A,#N/A,FALSE,"도급대비시행율";#N/A,#N/A,FALSE,"결의서";#N/A,#N/A,FALSE,"내역서";#N/A,#N/A,FALSE,"도급예상"}</definedName>
    <definedName name="길화건업" hidden="1">{#N/A,#N/A,FALSE,"집계";#N/A,#N/A,FALSE,"표지";#N/A,#N/A,FALSE,"터빈집계";#N/A,#N/A,FALSE,"터빈내역";#N/A,#N/A,FALSE,"주제어집계";#N/A,#N/A,FALSE,"주제어내역";#N/A,#N/A,FALSE,"보일러집계";#N/A,#N/A,FALSE,"보일러내역"}</definedName>
    <definedName name="김미모"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은경"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은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은영"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ㄴ" hidden="1">{#N/A,#N/A,TRUE,"자재관리";#N/A,#N/A,TRUE,"품질"}</definedName>
    <definedName name="ㄴㄴㄴ" hidden="1">{#N/A,#N/A,FALSE,"자재관리";#N/A,#N/A,FALSE,"자재관리";#N/A,#N/A,FALSE,"자재관리"}</definedName>
    <definedName name="ㄴㄴㄴㄴ" hidden="1">#REF!</definedName>
    <definedName name="ㄴㄴㄴㄴㄴ" hidden="1">{#N/A,#N/A,TRUE,"자재관리";#N/A,#N/A,TRUE,"품질"}</definedName>
    <definedName name="ㄴㄹㄴ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ㄴㅁㅁㅁ" hidden="1">{#N/A,#N/A,FALSE,"자재관리";#N/A,#N/A,FALSE,"자재관리";#N/A,#N/A,FALSE,"자재관리"}</definedName>
    <definedName name="ㄴㅌㄴㅌ" hidden="1">{#N/A,#N/A,FALSE,"CCTV"}</definedName>
    <definedName name="남"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남불알"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남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내역" hidden="1">{#N/A,#N/A,FALSE,"CCTV"}</definedName>
    <definedName name="내역점검" hidden="1">{#N/A,#N/A,FALSE,"전력간선"}</definedName>
    <definedName name="내작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농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ㄷㄷ" hidden="1">#REF!</definedName>
    <definedName name="ㄷㅅ"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ㄷㅎ"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단가산출서" hidden="1">{#N/A,#N/A,FALSE,"전력간선"}</definedName>
    <definedName name="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당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대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대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대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더"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동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돼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두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두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뚱"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뚱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띤"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ㄹ32" hidden="1">#REF!</definedName>
    <definedName name="ㄹㅇㄹㅇ" hidden="1">#REF!</definedName>
    <definedName name="러헐" hidden="1">{#N/A,#N/A,FALSE,"도급대비시행율";#N/A,#N/A,FALSE,"결의서";#N/A,#N/A,FALSE,"내역서";#N/A,#N/A,FALSE,"도급예상"}</definedName>
    <definedName name="럭키" hidden="1">{#N/A,#N/A,FALSE,"전력간선"}</definedName>
    <definedName name="롯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ㅁ" hidden="1">{#N/A,#N/A,FALSE,"자재관리";#N/A,#N/A,FALSE,"자재관리";#N/A,#N/A,FALSE,"자재관리"}</definedName>
    <definedName name="ㅁㄱㄷ" hidden="1">{#N/A,#N/A,FALSE,"자재관리";#N/A,#N/A,FALSE,"자재관리";#N/A,#N/A,FALSE,"자재관리"}</definedName>
    <definedName name="ㅁㅁ" hidden="1">{#N/A,#N/A,FALSE,"전력간선"}</definedName>
    <definedName name="ㅁㅇ" hidden="1">{#N/A,#N/A,FALSE,"자재관리";#N/A,#N/A,FALSE,"자재관리";#N/A,#N/A,FALSE,"자재관리"}</definedName>
    <definedName name="마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명신" hidden="1">{#N/A,#N/A,FALSE,"전력간선"}</definedName>
    <definedName name="목표" hidden="1">{#N/A,#N/A,FALSE,"자재관리";#N/A,#N/A,FALSE,"자재관리";#N/A,#N/A,FALSE,"자재관리"}</definedName>
    <definedName name="뮹ㅊ"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미"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미모"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미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민수"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 hidden="1">{#N/A,#N/A,FALSE,"전력간선"}</definedName>
    <definedName name="ㅂㄷ"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ㅂㅂㅂㅂ"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ㅍ"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ㅎ"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배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렟"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쳉"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트"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트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트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봉"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봉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불알"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ㅅ" hidden="1">{#N/A,#N/A,FALSE,"자재관리";#N/A,#N/A,FALSE,"자재관리";#N/A,#N/A,FALSE,"자재관리"}</definedName>
    <definedName name="ㅅㅅ" hidden="1">#REF!</definedName>
    <definedName name="산신"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삼성"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서원열" hidden="1">{#N/A,#N/A,FALSE,"자재관리";#N/A,#N/A,FALSE,"자재관리";#N/A,#N/A,FALSE,"자재관리"}</definedName>
    <definedName name="서원영" hidden="1">{#N/A,#N/A,FALSE,"자재관리";#N/A,#N/A,FALSE,"자재관리";#N/A,#N/A,FALSE,"자재관리"}</definedName>
    <definedName name="석"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세월1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세현" hidden="1">{#N/A,#N/A,FALSE,"자재관리";#N/A,#N/A,FALSE,"자재관리";#N/A,#N/A,FALSE,"자재관리"}</definedName>
    <definedName name="소화갑지" hidden="1">{#N/A,#N/A,FALSE,"CCTV"}</definedName>
    <definedName name="수고"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영"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시흥"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시흥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쌍용"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ㅇ" hidden="1">{#N/A,#N/A,TRUE,"자재관리";#N/A,#N/A,TRUE,"품질"}</definedName>
    <definedName name="ㅇㄴㅇㄴ" hidden="1">{#N/A,#N/A,FALSE,"CCTV"}</definedName>
    <definedName name="ㅇㄹㅇㄹ" hidden="1">#REF!</definedName>
    <definedName name="ㅇㅀ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ㅇㅇ" hidden="1">{#N/A,#N/A,FALSE,"자재관리";#N/A,#N/A,FALSE,"자재관리";#N/A,#N/A,FALSE,"자재관리"}</definedName>
    <definedName name="ㅇㅇㄹ" hidden="1">#REF!</definedName>
    <definedName name="ㅇㅇㄹㄴㅁㄹ" hidden="1">{#N/A,#N/A,FALSE,"자재관리";#N/A,#N/A,FALSE,"자재관리";#N/A,#N/A,FALSE,"자재관리"}</definedName>
    <definedName name="ㅇㅇㅇㅇㅇ" hidden="1">{#N/A,#N/A,TRUE,"자재관리";#N/A,#N/A,TRUE,"품질"}</definedName>
    <definedName name="아" hidden="1">{#N/A,#N/A,FALSE,"자재관리";#N/A,#N/A,FALSE,"자재관리";#N/A,#N/A,FALSE,"자재관리"}</definedName>
    <definedName name="아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사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아아ㅏㅇ"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앙ㅇ"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이템별투자" hidden="1">{#N/A,#N/A,FALSE,"자재관리";#N/A,#N/A,FALSE,"자재관리";#N/A,#N/A,FALSE,"자재관리"}</definedName>
    <definedName name="안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알"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암거" hidden="1">#REF!</definedName>
    <definedName name="앙" hidden="1">{#N/A,#N/A,FALSE,"자재관리";#N/A,#N/A,FALSE,"자재관리";#N/A,#N/A,FALSE,"자재관리"}</definedName>
    <definedName name="애"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야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양" hidden="1">{#N/A,#N/A,FALSE,"자재관리";#N/A,#N/A,FALSE,"자재관리";#N/A,#N/A,FALSE,"자재관리"}</definedName>
    <definedName name="양곡"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양곡1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양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업" hidden="1">{#N/A,#N/A,FALSE,"집계";#N/A,#N/A,FALSE,"표지";#N/A,#N/A,FALSE,"터빈집계";#N/A,#N/A,FALSE,"터빈내역";#N/A,#N/A,FALSE,"주제어집계";#N/A,#N/A,FALSE,"주제어내역";#N/A,#N/A,FALSE,"보일러집계";#N/A,#N/A,FALSE,"보일러내역"}</definedName>
    <definedName name="업소용" hidden="1">{#N/A,#N/A,TRUE,"자재관리";#N/A,#N/A,TRUE,"품질"}</definedName>
    <definedName name="업소용생산1팀" hidden="1">{#N/A,#N/A,FALSE,"자재관리";#N/A,#N/A,FALSE,"자재관리";#N/A,#N/A,FALSE,"자재관리"}</definedName>
    <definedName name="역"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염" hidden="1">{#N/A,#N/A,FALSE,"전력간선"}</definedName>
    <definedName name="영"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영수"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영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영조" hidden="1">{#N/A,#N/A,FALSE,"전력간선"}</definedName>
    <definedName name="예상도급내역" hidden="1">{#N/A,#N/A,FALSE,"CCTV"}</definedName>
    <definedName name="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완공3" hidden="1">#REF!</definedName>
    <definedName name="우인보고표지" hidden="1">{#N/A,#N/A,FALSE,"자재관리";#N/A,#N/A,FALSE,"자재관리";#N/A,#N/A,FALSE,"자재관리"}</definedName>
    <definedName name="우인표지" hidden="1">{#N/A,#N/A,TRUE,"자재관리";#N/A,#N/A,TRUE,"품질"}</definedName>
    <definedName name="원가TABLE" hidden="1">{#N/A,#N/A,TRUE,"자재관리";#N/A,#N/A,TRUE,"품질"}</definedName>
    <definedName name="원동"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윤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윤영"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5"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6"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78"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경"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을" hidden="1">{#N/A,#N/A,FALSE,"도급대비시행율";#N/A,#N/A,FALSE,"결의서";#N/A,#N/A,FALSE,"내역서";#N/A,#N/A,FALSE,"도급예상"}</definedName>
    <definedName name="이" hidden="1">{#N/A,#N/A,FALSE,"자재관리";#N/A,#N/A,FALSE,"자재관리";#N/A,#N/A,FALSE,"자재관리"}</definedName>
    <definedName name="이름" hidden="1">{#N/A,#N/A,FALSE,"전력간선"}</definedName>
    <definedName name="이봉해" hidden="1">{#N/A,#N/A,FALSE,"자재관리";#N/A,#N/A,FALSE,"자재관리";#N/A,#N/A,FALSE,"자재관리"}</definedName>
    <definedName name="이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이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이이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장"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일" hidden="1">{#N/A,#N/A,FALSE,"도급대비시행율";#N/A,#N/A,FALSE,"결의서";#N/A,#N/A,FALSE,"내역서";#N/A,#N/A,FALSE,"도급예상"}</definedName>
    <definedName name="ㅈ" hidden="1">{#N/A,#N/A,FALSE,"자재관리";#N/A,#N/A,FALSE,"자재관리";#N/A,#N/A,FALSE,"자재관리"}</definedName>
    <definedName name="잠"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장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재료" hidden="1">{#N/A,#N/A,FALSE,"자재관리";#N/A,#N/A,FALSE,"자재관리";#N/A,#N/A,FALSE,"자재관리"}</definedName>
    <definedName name="재료비1" hidden="1">{#N/A,#N/A,FALSE,"자재관리";#N/A,#N/A,FALSE,"자재관리";#N/A,#N/A,FALSE,"자재관리"}</definedName>
    <definedName name="전기" hidden="1">{#N/A,#N/A,FALSE,"전력간선"}</definedName>
    <definedName name="전년" hidden="1">{#N/A,#N/A,FALSE,"자재관리";#N/A,#N/A,FALSE,"자재관리";#N/A,#N/A,FALSE,"자재관리"}</definedName>
    <definedName name="전년월" hidden="1">{#N/A,#N/A,FALSE,"자재관리";#N/A,#N/A,FALSE,"자재관리";#N/A,#N/A,FALSE,"자재관리"}</definedName>
    <definedName name="정"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정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정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정화조" hidden="1">{#N/A,#N/A,FALSE,"CCTV"}</definedName>
    <definedName name="조정내역2" hidden="1">{#N/A,#N/A,FALSE,"전력간선"}</definedName>
    <definedName name="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주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지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지육"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진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진우1" hidden="1">{#N/A,#N/A,FALSE,"자재관리";#N/A,#N/A,FALSE,"자재관리";#N/A,#N/A,FALSE,"자재관리"}</definedName>
    <definedName name="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찬미"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참"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참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천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쳉"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쳉쳉"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촌"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최종갑지1" hidden="1">{#N/A,#N/A,FALSE,"전력간선"}</definedName>
    <definedName name="추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축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츄ㅗㄹㅊㄹ초"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측"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ㅌㅍㅊㅇㅌㅎ" hidden="1">{#N/A,#N/A,FALSE,"도급대비시행율";#N/A,#N/A,FALSE,"결의서";#N/A,#N/A,FALSE,"내역서";#N/A,#N/A,FALSE,"도급예상"}</definedName>
    <definedName name="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타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투수"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투자및자재" hidden="1">{#N/A,#N/A,FALSE,"자재관리";#N/A,#N/A,FALSE,"자재관리";#N/A,#N/A,FALSE,"자재관리"}</definedName>
    <definedName name="투자비내역" hidden="1">{#N/A,#N/A,TRUE,"자재관리";#N/A,#N/A,TRUE,"품질"}</definedName>
    <definedName name="팀별" hidden="1">{#N/A,#N/A,FALSE,"자재관리";#N/A,#N/A,FALSE,"자재관리";#N/A,#N/A,FALSE,"자재관리"}</definedName>
    <definedName name="ㅍㅍ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ㅍㅍㅍ"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편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평"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표지1" hidden="1">{#N/A,#N/A,FALSE,"자재관리";#N/A,#N/A,FALSE,"자재관리";#N/A,#N/A,FALSE,"자재관리"}</definedName>
    <definedName name="ㅎ" hidden="1">{#N/A,#N/A,TRUE,"자재관리";#N/A,#N/A,TRUE,"품질"}</definedName>
    <definedName name="ㅎㅀ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ㅎㅀㅀㅀㅀㄹ" hidden="1">{#N/A,#N/A,FALSE,"CCTV"}</definedName>
    <definedName name="하행터널" hidden="1">{#N/A,#N/A,TRUE,"대가1"}</definedName>
    <definedName name="한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한신"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한양"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함"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현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현설자재수량검토" hidden="1">{#N/A,#N/A,FALSE,"전력간선"}</definedName>
    <definedName name="호ㅎ"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화"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화ㅣ성"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흥"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ㅏㅏㅏ" hidden="1">{"'Sheet1'!$E$23","'Sheet1'!$A$3:$H$19","'Sheet1'!$A$1:$H$19"}</definedName>
    <definedName name="ㅏㅓㅏ" hidden="1">{#N/A,#N/A,FALSE,"물가변동 (2)";#N/A,#N/A,FALSE,"공사비";#N/A,#N/A,FALSE,"사급";#N/A,#N/A,FALSE,"도급집계";#N/A,#N/A,FALSE,"재료비";#N/A,#N/A,FALSE,"노무비";#N/A,#N/A,FALSE,"경비"}</definedName>
    <definedName name="ㅏㅓㅗ" hidden="1">{#N/A,#N/A,FALSE,"전력간선"}</definedName>
    <definedName name="ㅓ" hidden="1">{#N/A,#N/A,TRUE,"자재관리";#N/A,#N/A,TRUE,"품질"}</definedName>
    <definedName name="ㅗㅗㅗ"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ㅛ" hidden="1">{#N/A,#N/A,FALSE,"자재관리";#N/A,#N/A,FALSE,"자재관리";#N/A,#N/A,FALSE,"자재관리"}</definedName>
    <definedName name="ㅛㅛㅛㅛ" hidden="1">[1]수량산출!$A$1:$A$8561</definedName>
    <definedName name="ㅜ" hidden="1">[3]수량산출!#REF!</definedName>
    <definedName name="ㅜㅜㅜㅜㅜㅜㅜㅜㅜㅜㅜㅜㅜㅜㅜㅜㅜㅜㅜㅜㅜㅜㅜㅜㅜㅜㅜㅜㅜㅜㅜㅜㅜㅜㅜㅜㅜㅜㅜㅜㅜㅜ" hidden="1">{#N/A,#N/A,FALSE,"CCTV"}</definedName>
    <definedName name="ㅠㅍ"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ㅡㅗ" hidden="1">{#N/A,#N/A,FALSE,"전력간선"}</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31" i="14" l="1"/>
  <c r="J21" i="14"/>
  <c r="J19" i="14"/>
  <c r="J18" i="14"/>
  <c r="J29" i="14"/>
  <c r="F7" i="1"/>
  <c r="E7" i="1"/>
  <c r="D7" i="1"/>
  <c r="C7" i="1"/>
  <c r="B7" i="1"/>
  <c r="F6" i="1"/>
  <c r="E6" i="1"/>
  <c r="D6" i="1"/>
  <c r="C6" i="1"/>
  <c r="B6" i="1"/>
  <c r="F5" i="1"/>
  <c r="E5" i="1"/>
  <c r="D5" i="1"/>
  <c r="C5" i="1"/>
  <c r="B5" i="1"/>
  <c r="F4" i="1"/>
  <c r="E4" i="1"/>
  <c r="D4" i="1"/>
  <c r="C4" i="1"/>
  <c r="B4" i="1"/>
  <c r="F3" i="1"/>
  <c r="E3" i="1"/>
  <c r="D3" i="1"/>
  <c r="C3" i="1"/>
  <c r="B3" i="1"/>
  <c r="E17" i="13"/>
  <c r="D17" i="13"/>
  <c r="I5" i="13"/>
  <c r="G5" i="13"/>
  <c r="I6" i="13"/>
  <c r="G6" i="13"/>
  <c r="J22" i="14" l="1"/>
  <c r="J24" i="14"/>
  <c r="J23" i="14"/>
  <c r="J26" i="14"/>
  <c r="J25" i="14"/>
  <c r="J27" i="14" s="1"/>
  <c r="O5" i="13"/>
  <c r="O6" i="13"/>
  <c r="I12" i="13"/>
  <c r="G12" i="13"/>
  <c r="I9" i="13"/>
  <c r="G9" i="13"/>
  <c r="I8" i="13"/>
  <c r="G8" i="13"/>
  <c r="O8" i="13" s="1"/>
  <c r="G7" i="13"/>
  <c r="O7" i="13" s="1"/>
  <c r="I15" i="13"/>
  <c r="G15" i="13"/>
  <c r="I13" i="13"/>
  <c r="G13" i="13"/>
  <c r="I11" i="13"/>
  <c r="G11" i="13"/>
  <c r="I10" i="13"/>
  <c r="G10" i="13"/>
  <c r="J28" i="14" l="1"/>
  <c r="J20" i="14" s="1"/>
  <c r="J30" i="14" s="1"/>
  <c r="O12" i="13"/>
  <c r="O9" i="13"/>
  <c r="O11" i="13"/>
  <c r="O10" i="13"/>
  <c r="O13" i="13"/>
  <c r="O15" i="13"/>
  <c r="M32" i="14" l="1"/>
  <c r="B15" i="14" s="1"/>
  <c r="Q10" i="4"/>
  <c r="O10" i="4"/>
  <c r="M10" i="4"/>
  <c r="K10" i="4"/>
  <c r="A10" i="4"/>
  <c r="A7" i="1" s="1"/>
  <c r="Q9" i="4"/>
  <c r="O9" i="4"/>
  <c r="M9" i="4"/>
  <c r="K9" i="4"/>
  <c r="A9" i="4"/>
  <c r="A6" i="1" s="1"/>
  <c r="K8" i="4"/>
  <c r="R8" i="4" s="1"/>
  <c r="A8" i="4"/>
  <c r="A5" i="1" s="1"/>
  <c r="Q7" i="4"/>
  <c r="O7" i="4"/>
  <c r="M7" i="4"/>
  <c r="K7" i="4"/>
  <c r="A7" i="4"/>
  <c r="A4" i="1" s="1"/>
  <c r="R7" i="4" l="1"/>
  <c r="R10" i="4"/>
  <c r="R9" i="4"/>
  <c r="Q6" i="4" l="1"/>
  <c r="O6" i="4"/>
  <c r="M6" i="4"/>
  <c r="K6" i="4"/>
  <c r="A6" i="4"/>
  <c r="A3" i="1" s="1"/>
  <c r="G16" i="13" l="1"/>
  <c r="R6" i="4"/>
  <c r="K16" i="13" l="1"/>
  <c r="I16" i="13"/>
  <c r="M16" i="13"/>
  <c r="F2" i="1"/>
  <c r="E2" i="1"/>
  <c r="D2" i="1"/>
  <c r="C2" i="1"/>
  <c r="B2" i="1"/>
  <c r="O16" i="13" l="1"/>
  <c r="Q5" i="4"/>
  <c r="O5" i="4"/>
  <c r="M5" i="4"/>
  <c r="K5" i="4"/>
  <c r="A5" i="4"/>
  <c r="A2" i="1" s="1"/>
  <c r="R5" i="4" l="1"/>
  <c r="R11" i="4" l="1"/>
  <c r="M11" i="4" l="1"/>
  <c r="Q11" i="4" l="1"/>
  <c r="K11" i="4"/>
  <c r="O11" i="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USER</author>
  </authors>
  <commentList>
    <comment ref="F3" authorId="0" shapeId="0" xr:uid="{00000000-0006-0000-0100-000001000000}">
      <text>
        <r>
          <rPr>
            <b/>
            <sz val="9"/>
            <color indexed="81"/>
            <rFont val="Tahoma"/>
            <family val="2"/>
          </rPr>
          <t xml:space="preserve">DB </t>
        </r>
        <r>
          <rPr>
            <b/>
            <sz val="9"/>
            <color indexed="81"/>
            <rFont val="돋움"/>
            <family val="3"/>
            <charset val="129"/>
          </rPr>
          <t>코드</t>
        </r>
        <r>
          <rPr>
            <b/>
            <sz val="9"/>
            <color indexed="81"/>
            <rFont val="Tahoma"/>
            <family val="2"/>
          </rPr>
          <t xml:space="preserve"> </t>
        </r>
        <r>
          <rPr>
            <b/>
            <sz val="9"/>
            <color indexed="81"/>
            <rFont val="돋움"/>
            <family val="3"/>
            <charset val="129"/>
          </rPr>
          <t>기준</t>
        </r>
        <r>
          <rPr>
            <b/>
            <sz val="9"/>
            <color indexed="81"/>
            <rFont val="Tahoma"/>
            <family val="2"/>
          </rPr>
          <t xml:space="preserve"> </t>
        </r>
        <r>
          <rPr>
            <b/>
            <sz val="9"/>
            <color indexed="81"/>
            <rFont val="돋움"/>
            <family val="3"/>
            <charset val="129"/>
          </rPr>
          <t>품목</t>
        </r>
        <r>
          <rPr>
            <b/>
            <sz val="9"/>
            <color indexed="81"/>
            <rFont val="Tahoma"/>
            <family val="2"/>
          </rPr>
          <t>/</t>
        </r>
        <r>
          <rPr>
            <b/>
            <sz val="9"/>
            <color indexed="81"/>
            <rFont val="돋움"/>
            <family val="3"/>
            <charset val="129"/>
          </rPr>
          <t>규격</t>
        </r>
        <r>
          <rPr>
            <b/>
            <sz val="9"/>
            <color indexed="81"/>
            <rFont val="Tahoma"/>
            <family val="2"/>
          </rPr>
          <t xml:space="preserve"> </t>
        </r>
        <r>
          <rPr>
            <b/>
            <sz val="9"/>
            <color indexed="81"/>
            <rFont val="돋움"/>
            <family val="3"/>
            <charset val="129"/>
          </rPr>
          <t>입력</t>
        </r>
        <r>
          <rPr>
            <sz val="9"/>
            <color indexed="81"/>
            <rFont val="Tahoma"/>
            <family val="2"/>
          </rPr>
          <t xml:space="preserve">
</t>
        </r>
      </text>
    </comment>
  </commentList>
</comments>
</file>

<file path=xl/sharedStrings.xml><?xml version="1.0" encoding="utf-8"?>
<sst xmlns="http://schemas.openxmlformats.org/spreadsheetml/2006/main" count="183" uniqueCount="151">
  <si>
    <t>구분</t>
  </si>
  <si>
    <t>표준단가</t>
  </si>
  <si>
    <t>표준품셈</t>
  </si>
  <si>
    <t>물가정보</t>
  </si>
  <si>
    <t>노임단가</t>
  </si>
  <si>
    <t>수량</t>
  </si>
  <si>
    <t>식</t>
    <phoneticPr fontId="12" type="noConversion"/>
  </si>
  <si>
    <t>할증기준</t>
    <phoneticPr fontId="6" type="noConversion"/>
  </si>
  <si>
    <t>단위</t>
  </si>
  <si>
    <t>▼낙찰율</t>
    <phoneticPr fontId="8" type="noConversion"/>
  </si>
  <si>
    <t>▶ 표준 Code(표준단가/품셈/물정/노임) 순서별 입력(Upload 자동반영)</t>
    <phoneticPr fontId="6" type="noConversion"/>
  </si>
  <si>
    <t>주요내역</t>
    <phoneticPr fontId="6" type="noConversion"/>
  </si>
  <si>
    <t>재료비</t>
    <phoneticPr fontId="8" type="noConversion"/>
  </si>
  <si>
    <t>노무비</t>
    <phoneticPr fontId="8" type="noConversion"/>
  </si>
  <si>
    <t>기계경비</t>
  </si>
  <si>
    <t>기타경비(부자재비)</t>
  </si>
  <si>
    <t>합계</t>
    <phoneticPr fontId="8" type="noConversion"/>
  </si>
  <si>
    <t>합계</t>
    <phoneticPr fontId="6" type="noConversion"/>
  </si>
  <si>
    <t>표준단가 D</t>
    <phoneticPr fontId="6" type="noConversion"/>
  </si>
  <si>
    <t>표준품셈 E</t>
    <phoneticPr fontId="6" type="noConversion"/>
  </si>
  <si>
    <t>물가정보 M</t>
    <phoneticPr fontId="6" type="noConversion"/>
  </si>
  <si>
    <t>노임단가 L</t>
    <phoneticPr fontId="6" type="noConversion"/>
  </si>
  <si>
    <t>품목</t>
    <phoneticPr fontId="6" type="noConversion"/>
  </si>
  <si>
    <t>규격</t>
    <phoneticPr fontId="6" type="noConversion"/>
  </si>
  <si>
    <t>품셈/표단</t>
    <phoneticPr fontId="6" type="noConversion"/>
  </si>
  <si>
    <t>금액</t>
  </si>
  <si>
    <t>단가</t>
    <phoneticPr fontId="8" type="noConversion"/>
  </si>
  <si>
    <t>단가</t>
  </si>
  <si>
    <t>노무비할증</t>
    <phoneticPr fontId="6" type="noConversion"/>
  </si>
  <si>
    <t>(㎡ 당)</t>
    <phoneticPr fontId="6" type="noConversion"/>
  </si>
  <si>
    <t>E00000803061300101</t>
  </si>
  <si>
    <t>M020414115290101</t>
    <phoneticPr fontId="6" type="noConversion"/>
  </si>
  <si>
    <t>ℓ</t>
    <phoneticPr fontId="6" type="noConversion"/>
  </si>
  <si>
    <t>도배 내부용, 친환경페인트</t>
    <phoneticPr fontId="6" type="noConversion"/>
  </si>
  <si>
    <t>실내 벽면 2회칠, 수성페인트 롤러칠</t>
    <phoneticPr fontId="6" type="noConversion"/>
  </si>
  <si>
    <r>
      <t xml:space="preserve">새잎새골드(백색), 친환경 고기능성 수성코팅재, 고급 실내거주용, </t>
    </r>
    <r>
      <rPr>
        <sz val="10"/>
        <color rgb="FFFF0000"/>
        <rFont val="Malgun Gothic"/>
        <family val="3"/>
        <charset val="129"/>
      </rPr>
      <t>1ℓ 도색량= 2평(1회칠 기준6.6㎡),  11.52/6.6=1.7454ℓ</t>
    </r>
    <phoneticPr fontId="6" type="noConversion"/>
  </si>
  <si>
    <r>
      <t>29㎡*2회칠=58, (2.4*2.4)*</t>
    </r>
    <r>
      <rPr>
        <sz val="10"/>
        <color rgb="FFFF0000"/>
        <rFont val="돋움"/>
        <family val="3"/>
        <charset val="129"/>
      </rPr>
      <t>2회칠=11.52</t>
    </r>
    <phoneticPr fontId="6" type="noConversion"/>
  </si>
  <si>
    <t xml:space="preserve"> 내   역   서</t>
    <phoneticPr fontId="12" type="noConversion"/>
  </si>
  <si>
    <t>규      격</t>
  </si>
  <si>
    <t xml:space="preserve">재    료   비   </t>
    <phoneticPr fontId="12" type="noConversion"/>
  </si>
  <si>
    <t>노   무   비</t>
    <phoneticPr fontId="12" type="noConversion"/>
  </si>
  <si>
    <t xml:space="preserve"> 기계경비</t>
    <phoneticPr fontId="8" type="noConversion"/>
  </si>
  <si>
    <t xml:space="preserve"> 기타경비(부자재비)</t>
    <phoneticPr fontId="8" type="noConversion"/>
  </si>
  <si>
    <t>합  계</t>
    <phoneticPr fontId="12" type="noConversion"/>
  </si>
  <si>
    <t>비  고</t>
    <phoneticPr fontId="12" type="noConversion"/>
  </si>
  <si>
    <t>단   가</t>
    <phoneticPr fontId="12" type="noConversion"/>
  </si>
  <si>
    <t>금     액</t>
    <phoneticPr fontId="12" type="noConversion"/>
  </si>
  <si>
    <t>금    액</t>
    <phoneticPr fontId="12" type="noConversion"/>
  </si>
  <si>
    <t>㎡</t>
    <phoneticPr fontId="12" type="noConversion"/>
  </si>
  <si>
    <t>KSM-6010 내부용, 2급, 백색</t>
  </si>
  <si>
    <t>18ℓ</t>
  </si>
  <si>
    <t>석고보드면 바탕만들기(줄퍼티)</t>
    <phoneticPr fontId="6" type="noConversion"/>
  </si>
  <si>
    <t>붓칠,내벽</t>
    <phoneticPr fontId="6" type="noConversion"/>
  </si>
  <si>
    <t>합 계</t>
    <phoneticPr fontId="6" type="noConversion"/>
  </si>
  <si>
    <t>작업요청번호</t>
    <phoneticPr fontId="12" type="noConversion"/>
  </si>
  <si>
    <t>호실 및 품명</t>
    <phoneticPr fontId="12" type="noConversion"/>
  </si>
  <si>
    <t>재료비 수량(L)</t>
    <phoneticPr fontId="12" type="noConversion"/>
  </si>
  <si>
    <t>노무비 수량(㎡)</t>
    <phoneticPr fontId="12" type="noConversion"/>
  </si>
  <si>
    <t>실내 천정면 2회칠, 수성페인트 롤러칠</t>
    <phoneticPr fontId="6" type="noConversion"/>
  </si>
  <si>
    <r>
      <t xml:space="preserve"> 천정 11㎡*</t>
    </r>
    <r>
      <rPr>
        <sz val="10"/>
        <color rgb="FFFF0000"/>
        <rFont val="돋움"/>
        <family val="3"/>
        <charset val="129"/>
      </rPr>
      <t>천정할증20%</t>
    </r>
    <r>
      <rPr>
        <sz val="10"/>
        <color theme="1"/>
        <rFont val="돋움"/>
        <family val="3"/>
        <charset val="129"/>
      </rPr>
      <t>=13.2, 13.2*2회칠=26.4</t>
    </r>
    <phoneticPr fontId="6" type="noConversion"/>
  </si>
  <si>
    <t>M020412614110102</t>
    <phoneticPr fontId="6" type="noConversion"/>
  </si>
  <si>
    <t>합성수지에멀션페인트</t>
    <phoneticPr fontId="6" type="noConversion"/>
  </si>
  <si>
    <t>E00000803061120402</t>
  </si>
  <si>
    <t>석고보드면 바탕만들기</t>
  </si>
  <si>
    <t>줄퍼티</t>
  </si>
  <si>
    <t>E00000803061300201</t>
  </si>
  <si>
    <t>수성페인트 붓칠</t>
  </si>
  <si>
    <t>1회칠</t>
  </si>
  <si>
    <t>(㎡ 당)</t>
  </si>
  <si>
    <r>
      <t>기숙사 A동 504-3호외 4세대 친환경 부분도장 재료비 산정</t>
    </r>
    <r>
      <rPr>
        <b/>
        <sz val="10"/>
        <color rgb="FF000000"/>
        <rFont val="맑은 고딕"/>
        <family val="3"/>
        <charset val="129"/>
      </rPr>
      <t>⇒</t>
    </r>
    <r>
      <rPr>
        <b/>
        <sz val="10"/>
        <color rgb="FF000000"/>
        <rFont val="LG스마트체 Regular"/>
        <family val="3"/>
        <charset val="129"/>
      </rPr>
      <t>1면 기준(2.4*2.4)*2회칠=11.52, 재료비 1ℓ 도색량= 2평(1회칠 기준6.6㎡),  11.52/6.6=1.7454L   1면 도장 재료 수량(손실포함)=2L</t>
    </r>
    <phoneticPr fontId="6" type="noConversion"/>
  </si>
  <si>
    <r>
      <t>벽면</t>
    </r>
    <r>
      <rPr>
        <sz val="9"/>
        <color rgb="FFFF0000"/>
        <rFont val="LG스마트체 Regular"/>
        <family val="3"/>
        <charset val="129"/>
      </rPr>
      <t>(3번 면)</t>
    </r>
    <phoneticPr fontId="12" type="noConversion"/>
  </si>
  <si>
    <r>
      <t>벽면</t>
    </r>
    <r>
      <rPr>
        <sz val="9"/>
        <color rgb="FFFF0000"/>
        <rFont val="LG스마트체 Regular"/>
        <family val="3"/>
        <charset val="129"/>
      </rPr>
      <t>(2번 면)</t>
    </r>
    <phoneticPr fontId="12" type="noConversion"/>
  </si>
  <si>
    <t>천정면</t>
    <phoneticPr fontId="6" type="noConversion"/>
  </si>
  <si>
    <t>A동 703-2호</t>
    <phoneticPr fontId="6" type="noConversion"/>
  </si>
  <si>
    <t>A동 902-2호</t>
    <phoneticPr fontId="6" type="noConversion"/>
  </si>
  <si>
    <t>B동 903-3호</t>
    <phoneticPr fontId="6" type="noConversion"/>
  </si>
  <si>
    <t>B동 904-4호</t>
    <phoneticPr fontId="6" type="noConversion"/>
  </si>
  <si>
    <t>단열재 들뜸 재시공-기타작업</t>
    <phoneticPr fontId="6" type="noConversion"/>
  </si>
  <si>
    <t>베란다 전체 도장</t>
    <phoneticPr fontId="6" type="noConversion"/>
  </si>
  <si>
    <r>
      <t xml:space="preserve">A동 504-3호 </t>
    </r>
    <r>
      <rPr>
        <sz val="10"/>
        <color rgb="FF000000"/>
        <rFont val="LG스마트체 Regular"/>
        <family val="3"/>
        <charset val="129"/>
      </rPr>
      <t>실내</t>
    </r>
    <phoneticPr fontId="6" type="noConversion"/>
  </si>
  <si>
    <t>도배전환검토</t>
    <phoneticPr fontId="6" type="noConversion"/>
  </si>
  <si>
    <r>
      <rPr>
        <sz val="9"/>
        <rFont val="LG스마트체 Regular"/>
        <family val="3"/>
        <charset val="129"/>
      </rPr>
      <t>벽면</t>
    </r>
    <r>
      <rPr>
        <sz val="9"/>
        <color rgb="FFFF0000"/>
        <rFont val="LG스마트체 Regular"/>
        <family val="3"/>
        <charset val="129"/>
      </rPr>
      <t>(3번 벽면)</t>
    </r>
    <phoneticPr fontId="12" type="noConversion"/>
  </si>
  <si>
    <r>
      <rPr>
        <sz val="9"/>
        <rFont val="LG스마트체 Regular"/>
        <family val="3"/>
        <charset val="129"/>
      </rPr>
      <t>벽면</t>
    </r>
    <r>
      <rPr>
        <sz val="9"/>
        <color rgb="FFFF0000"/>
        <rFont val="LG스마트체 Regular"/>
        <family val="3"/>
        <charset val="129"/>
      </rPr>
      <t>(3번 면)</t>
    </r>
    <phoneticPr fontId="12" type="noConversion"/>
  </si>
  <si>
    <t>A동 202-4호</t>
    <phoneticPr fontId="6" type="noConversion"/>
  </si>
  <si>
    <r>
      <t>벽면</t>
    </r>
    <r>
      <rPr>
        <sz val="9"/>
        <color rgb="FFFF0000"/>
        <rFont val="LG스마트체 Regular"/>
        <family val="3"/>
        <charset val="129"/>
      </rPr>
      <t>(1,2,3번 면)</t>
    </r>
    <phoneticPr fontId="12" type="noConversion"/>
  </si>
  <si>
    <t>見  積  書</t>
    <phoneticPr fontId="12" type="noConversion"/>
  </si>
  <si>
    <t>수 신: LG에너지솔루션</t>
    <phoneticPr fontId="12" type="noConversion"/>
  </si>
  <si>
    <r>
      <t>견  적  일  자</t>
    </r>
    <r>
      <rPr>
        <sz val="12"/>
        <rFont val="Arial"/>
        <family val="2"/>
      </rPr>
      <t/>
    </r>
    <phoneticPr fontId="12" type="noConversion"/>
  </si>
  <si>
    <t>년</t>
    <phoneticPr fontId="12" type="noConversion"/>
  </si>
  <si>
    <t>월</t>
    <phoneticPr fontId="12" type="noConversion"/>
  </si>
  <si>
    <t>일</t>
    <phoneticPr fontId="12" type="noConversion"/>
  </si>
  <si>
    <t>공
급
자</t>
    <phoneticPr fontId="12" type="noConversion"/>
  </si>
  <si>
    <t>등록번호</t>
    <phoneticPr fontId="12" type="noConversion"/>
  </si>
  <si>
    <t>707-86-02-404</t>
    <phoneticPr fontId="12" type="noConversion"/>
  </si>
  <si>
    <t>전      화</t>
    <phoneticPr fontId="12" type="noConversion"/>
  </si>
  <si>
    <t>02-6924-5539</t>
    <phoneticPr fontId="12" type="noConversion"/>
  </si>
  <si>
    <r>
      <t>견  적  담  당</t>
    </r>
    <r>
      <rPr>
        <sz val="12"/>
        <rFont val="Arial"/>
        <family val="2"/>
      </rPr>
      <t/>
    </r>
    <phoneticPr fontId="12" type="noConversion"/>
  </si>
  <si>
    <t>이종근</t>
    <phoneticPr fontId="12" type="noConversion"/>
  </si>
  <si>
    <t>파트너</t>
    <phoneticPr fontId="6" type="noConversion"/>
  </si>
  <si>
    <t>상      호</t>
    <phoneticPr fontId="12" type="noConversion"/>
  </si>
  <si>
    <t>㈜에스앤아이코퍼레이션</t>
    <phoneticPr fontId="12" type="noConversion"/>
  </si>
  <si>
    <t>대      표</t>
    <phoneticPr fontId="12" type="noConversion"/>
  </si>
  <si>
    <t>서 현</t>
    <phoneticPr fontId="12" type="noConversion"/>
  </si>
  <si>
    <r>
      <t>견적유효기간</t>
    </r>
    <r>
      <rPr>
        <sz val="12"/>
        <rFont val="Arial"/>
        <family val="2"/>
      </rPr>
      <t/>
    </r>
    <phoneticPr fontId="12" type="noConversion"/>
  </si>
  <si>
    <t>견적 제출 후 30일 까지</t>
    <phoneticPr fontId="8" type="noConversion"/>
  </si>
  <si>
    <t>주      소</t>
    <phoneticPr fontId="12" type="noConversion"/>
  </si>
  <si>
    <t>서울특별시 강서구 마곡중앙로150</t>
    <phoneticPr fontId="12" type="noConversion"/>
  </si>
  <si>
    <t>납        기</t>
    <phoneticPr fontId="12" type="noConversion"/>
  </si>
  <si>
    <t>발주 후 개별 협의</t>
    <phoneticPr fontId="12" type="noConversion"/>
  </si>
  <si>
    <t>업      태</t>
    <phoneticPr fontId="12" type="noConversion"/>
  </si>
  <si>
    <t>부동산, 서비스</t>
    <phoneticPr fontId="12" type="noConversion"/>
  </si>
  <si>
    <t>종      목</t>
    <phoneticPr fontId="12" type="noConversion"/>
  </si>
  <si>
    <t>임대 및 관리</t>
    <phoneticPr fontId="12" type="noConversion"/>
  </si>
  <si>
    <t>견적을 제출 합니다</t>
    <phoneticPr fontId="12" type="noConversion"/>
  </si>
  <si>
    <t>NO</t>
    <phoneticPr fontId="48" type="noConversion"/>
  </si>
  <si>
    <t>구          분</t>
    <phoneticPr fontId="48" type="noConversion"/>
  </si>
  <si>
    <t>수량</t>
    <phoneticPr fontId="48" type="noConversion"/>
  </si>
  <si>
    <t>단위</t>
    <phoneticPr fontId="48" type="noConversion"/>
  </si>
  <si>
    <t>금    액</t>
    <phoneticPr fontId="48" type="noConversion"/>
  </si>
  <si>
    <t>비    고</t>
    <phoneticPr fontId="48" type="noConversion"/>
  </si>
  <si>
    <t>경   비</t>
    <phoneticPr fontId="12" type="noConversion"/>
  </si>
  <si>
    <t>기계 및 기타경비</t>
    <phoneticPr fontId="12" type="noConversion"/>
  </si>
  <si>
    <t>중장비 사용 등</t>
    <phoneticPr fontId="8" type="noConversion"/>
  </si>
  <si>
    <t>안전관리비</t>
    <phoneticPr fontId="12" type="noConversion"/>
  </si>
  <si>
    <t>%</t>
    <phoneticPr fontId="12" type="noConversion"/>
  </si>
  <si>
    <t>(재료비+노무비)*3.11%</t>
    <phoneticPr fontId="6" type="noConversion"/>
  </si>
  <si>
    <t>산재 보험료</t>
  </si>
  <si>
    <t>%</t>
  </si>
  <si>
    <t>노무비*3.56%</t>
    <phoneticPr fontId="6" type="noConversion"/>
  </si>
  <si>
    <t>고용보험료</t>
  </si>
  <si>
    <t>노무비*1.01%</t>
  </si>
  <si>
    <t>국민건강 보험료</t>
  </si>
  <si>
    <t>노무비*3.595%</t>
    <phoneticPr fontId="8" type="noConversion"/>
  </si>
  <si>
    <t>국민연금 보험료</t>
  </si>
  <si>
    <t>노무비*4.75%</t>
    <phoneticPr fontId="6" type="noConversion"/>
  </si>
  <si>
    <t>노인장기요양 보험료</t>
    <phoneticPr fontId="12" type="noConversion"/>
  </si>
  <si>
    <t>건강보험료*13.14%</t>
    <phoneticPr fontId="8" type="noConversion"/>
  </si>
  <si>
    <t>하도급대금지급보증증권</t>
    <phoneticPr fontId="12" type="noConversion"/>
  </si>
  <si>
    <t>1천만원 이상 공사시 적용</t>
    <phoneticPr fontId="8" type="noConversion"/>
  </si>
  <si>
    <t>폐기물처리 부담금</t>
    <phoneticPr fontId="12" type="noConversion"/>
  </si>
  <si>
    <t>식</t>
    <phoneticPr fontId="6" type="noConversion"/>
  </si>
  <si>
    <t>폐기물발생 시 적용 (kg당 34원)</t>
    <phoneticPr fontId="8" type="noConversion"/>
  </si>
  <si>
    <t>일반관리비</t>
    <phoneticPr fontId="8" type="noConversion"/>
  </si>
  <si>
    <t>%</t>
    <phoneticPr fontId="8" type="noConversion"/>
  </si>
  <si>
    <t>(재료비 + 노무비 + 경비)*5%</t>
    <phoneticPr fontId="8" type="noConversion"/>
  </si>
  <si>
    <t>이      윤</t>
    <phoneticPr fontId="12" type="noConversion"/>
  </si>
  <si>
    <t>(재료비+노무비+경비+일반관리비)*7.5%</t>
    <phoneticPr fontId="8" type="noConversion"/>
  </si>
  <si>
    <t>공사금액</t>
    <phoneticPr fontId="12" type="noConversion"/>
  </si>
  <si>
    <t>*유첨 : 견적서 내역서 1부      ─ 끝 ─</t>
    <phoneticPr fontId="12" type="noConversion"/>
  </si>
  <si>
    <t>기숙사 A동 202-4호외 5세대 친환경 도장</t>
  </si>
  <si>
    <t>대전 업무지원팀 / 김규환님 귀하</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</si>
</sst>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8">
    <numFmt numFmtId="176" formatCode="_(* #,##0_);_(* \(#,##0\);_(* &quot;-&quot;_);_(@_)"/>
    <numFmt numFmtId="177" formatCode="_(* #,##0.00_);_(* \(#,##0.00\);_(* &quot;-&quot;??_);_(@_)"/>
    <numFmt numFmtId="178" formatCode="_(&quot;₩&quot;* #,##0_);_(&quot;₩&quot;* \(#,##0\);_(&quot;₩&quot;* &quot;-&quot;_);_(@_)"/>
    <numFmt numFmtId="179" formatCode="_ * #,##0_ ;_ * \-#,##0_ ;_ * &quot;-&quot;_ ;_ @_ "/>
    <numFmt numFmtId="180" formatCode="#"/>
    <numFmt numFmtId="181" formatCode="0.0%"/>
    <numFmt numFmtId="182" formatCode="#,##0_);[Red]\(#,##0\)"/>
    <numFmt numFmtId="183" formatCode="#,##0.000_ "/>
    <numFmt numFmtId="184" formatCode="0.000_ "/>
    <numFmt numFmtId="185" formatCode="#,##0;\-#,##0;"/>
    <numFmt numFmtId="186" formatCode="0.000"/>
    <numFmt numFmtId="187" formatCode="#,##0_ "/>
    <numFmt numFmtId="188" formatCode="&quot;₩&quot;#,##0"/>
    <numFmt numFmtId="189" formatCode="0.00_);[Red]\(0.00\)"/>
    <numFmt numFmtId="190" formatCode="0_);[Red]\(0\)"/>
    <numFmt numFmtId="191" formatCode="###,###,###,##0"/>
    <numFmt numFmtId="192" formatCode="#,##0.0_);[Red]\(#,##0.0\)"/>
    <numFmt numFmtId="193" formatCode="&quot;공사명:&quot;\ @"/>
  </numFmts>
  <fonts count="51">
    <font>
      <sz val="11"/>
      <color indexed="8"/>
      <name val="맑은 고딕"/>
      <family val="2"/>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8"/>
      <name val="맑은 고딕"/>
      <family val="3"/>
      <charset val="129"/>
      <scheme val="minor"/>
    </font>
    <font>
      <sz val="11"/>
      <color indexed="8"/>
      <name val="맑은 고딕"/>
      <family val="2"/>
      <scheme val="minor"/>
    </font>
    <font>
      <sz val="8"/>
      <name val="맑은 고딕"/>
      <family val="2"/>
      <charset val="129"/>
      <scheme val="minor"/>
    </font>
    <font>
      <sz val="10"/>
      <color indexed="64"/>
      <name val="Arial"/>
      <family val="2"/>
    </font>
    <font>
      <b/>
      <sz val="10"/>
      <color indexed="64"/>
      <name val="Arial"/>
      <family val="2"/>
    </font>
    <font>
      <b/>
      <sz val="12"/>
      <color rgb="FF000000"/>
      <name val="LG스마트체 Regular"/>
      <family val="3"/>
      <charset val="129"/>
    </font>
    <font>
      <sz val="8"/>
      <name val="돋움"/>
      <family val="3"/>
      <charset val="129"/>
    </font>
    <font>
      <sz val="9"/>
      <color indexed="81"/>
      <name val="Tahoma"/>
      <family val="2"/>
    </font>
    <font>
      <b/>
      <sz val="9"/>
      <color indexed="81"/>
      <name val="Tahoma"/>
      <family val="2"/>
    </font>
    <font>
      <b/>
      <sz val="9"/>
      <color indexed="81"/>
      <name val="돋움"/>
      <family val="3"/>
      <charset val="129"/>
    </font>
    <font>
      <sz val="11"/>
      <name val="돋움"/>
      <family val="3"/>
      <charset val="129"/>
    </font>
    <font>
      <sz val="10"/>
      <color rgb="FF000000"/>
      <name val="LG스마트체 Regular"/>
      <family val="3"/>
      <charset val="129"/>
    </font>
    <font>
      <sz val="11"/>
      <color rgb="FF000000"/>
      <name val="LG스마트체 Regular"/>
      <family val="3"/>
      <charset val="129"/>
    </font>
    <font>
      <b/>
      <sz val="14"/>
      <color rgb="FF000000"/>
      <name val="LG스마트체 Regular"/>
      <family val="3"/>
      <charset val="129"/>
    </font>
    <font>
      <sz val="12"/>
      <color rgb="FF000000"/>
      <name val="LG스마트체 Regular"/>
      <family val="3"/>
      <charset val="129"/>
    </font>
    <font>
      <b/>
      <sz val="10"/>
      <color rgb="FF000000"/>
      <name val="LG스마트체 Regular"/>
      <family val="3"/>
      <charset val="129"/>
    </font>
    <font>
      <sz val="9"/>
      <color rgb="FF000000"/>
      <name val="LG스마트체 Regular"/>
      <family val="3"/>
      <charset val="129"/>
    </font>
    <font>
      <sz val="10"/>
      <color indexed="8"/>
      <name val="Malgun Gothic"/>
      <family val="3"/>
      <charset val="129"/>
    </font>
    <font>
      <sz val="10"/>
      <color theme="1"/>
      <name val="돋움"/>
      <family val="3"/>
      <charset val="129"/>
    </font>
    <font>
      <sz val="10"/>
      <color indexed="8"/>
      <name val="맑은 고딕"/>
      <family val="2"/>
      <scheme val="minor"/>
    </font>
    <font>
      <sz val="10"/>
      <color rgb="FFFF0000"/>
      <name val="Malgun Gothic"/>
      <family val="3"/>
      <charset val="129"/>
    </font>
    <font>
      <sz val="10"/>
      <color rgb="FFFF0000"/>
      <name val="LG스마트체 Regular"/>
      <family val="3"/>
      <charset val="129"/>
    </font>
    <font>
      <sz val="10"/>
      <color rgb="FFFF0000"/>
      <name val="돋움"/>
      <family val="3"/>
      <charset val="129"/>
    </font>
    <font>
      <b/>
      <sz val="9"/>
      <color rgb="FF000000"/>
      <name val="LG스마트체 Regular"/>
      <family val="3"/>
      <charset val="129"/>
    </font>
    <font>
      <b/>
      <sz val="10"/>
      <color rgb="FF000000"/>
      <name val="맑은 고딕"/>
      <family val="3"/>
      <charset val="129"/>
    </font>
    <font>
      <sz val="9"/>
      <name val="LG스마트체 Regular"/>
      <family val="3"/>
      <charset val="129"/>
    </font>
    <font>
      <sz val="10"/>
      <color rgb="FFFF0000"/>
      <name val="맑은 고딕"/>
      <family val="2"/>
      <charset val="129"/>
      <scheme val="minor"/>
    </font>
    <font>
      <sz val="9"/>
      <color rgb="FFFF0000"/>
      <name val="LG스마트체 Regular"/>
      <family val="3"/>
      <charset val="129"/>
    </font>
    <font>
      <sz val="8"/>
      <color rgb="FFFF0000"/>
      <name val="LG스마트체 Regular"/>
      <family val="3"/>
      <charset val="129"/>
    </font>
    <font>
      <sz val="36"/>
      <name val="LG스마트체2.0 Regular"/>
      <family val="3"/>
      <charset val="129"/>
    </font>
    <font>
      <sz val="11"/>
      <name val="LG스마트체2.0 Regular"/>
      <family val="3"/>
      <charset val="129"/>
    </font>
    <font>
      <b/>
      <u/>
      <sz val="36"/>
      <name val="LG스마트체2.0 Regular"/>
      <family val="3"/>
      <charset val="129"/>
    </font>
    <font>
      <u/>
      <sz val="12"/>
      <name val="LG스마트체2.0 Regular"/>
      <family val="3"/>
      <charset val="129"/>
    </font>
    <font>
      <sz val="14"/>
      <name val="LG스마트체2.0 Regular"/>
      <family val="3"/>
      <charset val="129"/>
    </font>
    <font>
      <sz val="10"/>
      <name val="LG스마트체2.0 Regular"/>
      <family val="3"/>
      <charset val="129"/>
    </font>
    <font>
      <sz val="12"/>
      <name val="LG스마트체2.0 Regular"/>
      <family val="3"/>
      <charset val="129"/>
    </font>
    <font>
      <sz val="12"/>
      <name val="Arial"/>
      <family val="2"/>
    </font>
    <font>
      <sz val="12"/>
      <color indexed="64"/>
      <name val="LG스마트체2.0 Regular"/>
      <family val="3"/>
      <charset val="129"/>
    </font>
    <font>
      <sz val="10"/>
      <color indexed="64"/>
      <name val="LG스마트체2.0 Regular"/>
      <family val="3"/>
      <charset val="129"/>
    </font>
    <font>
      <u/>
      <sz val="14"/>
      <color theme="0"/>
      <name val="LG스마트체2.0 Regular"/>
      <family val="3"/>
      <charset val="129"/>
    </font>
    <font>
      <b/>
      <sz val="11"/>
      <name val="LG스마트체2.0 Regular"/>
      <family val="3"/>
      <charset val="129"/>
    </font>
    <font>
      <b/>
      <sz val="14"/>
      <color indexed="9"/>
      <name val="LG스마트체2.0 Regular"/>
      <family val="3"/>
      <charset val="129"/>
    </font>
    <font>
      <sz val="12"/>
      <name val="바탕체"/>
      <family val="1"/>
      <charset val="129"/>
    </font>
    <font>
      <sz val="9"/>
      <name val="LG스마트체2.0 Regular"/>
      <family val="3"/>
      <charset val="129"/>
    </font>
    <font>
      <b/>
      <sz val="12"/>
      <color indexed="9"/>
      <name val="LG스마트체2.0 Regular"/>
      <family val="3"/>
      <charset val="129"/>
    </font>
  </fonts>
  <fills count="15">
    <fill>
      <patternFill patternType="none"/>
    </fill>
    <fill>
      <patternFill patternType="gray125"/>
    </fill>
    <fill>
      <patternFill patternType="solid">
        <fgColor rgb="FFF5F5F5"/>
      </patternFill>
    </fill>
    <fill>
      <patternFill patternType="solid">
        <fgColor rgb="FFFFC000"/>
        <bgColor indexed="64"/>
      </patternFill>
    </fill>
    <fill>
      <patternFill patternType="solid">
        <fgColor theme="0" tint="-0.14999847407452621"/>
        <bgColor indexed="64"/>
      </patternFill>
    </fill>
    <fill>
      <patternFill patternType="solid">
        <fgColor theme="0"/>
        <bgColor indexed="64"/>
      </patternFill>
    </fill>
    <fill>
      <patternFill patternType="solid">
        <fgColor theme="2"/>
        <bgColor indexed="64"/>
      </patternFill>
    </fill>
    <fill>
      <patternFill patternType="solid">
        <fgColor theme="5" tint="0.79998168889431442"/>
        <bgColor indexed="64"/>
      </patternFill>
    </fill>
    <fill>
      <patternFill patternType="solid">
        <fgColor theme="1"/>
        <bgColor indexed="64"/>
      </patternFill>
    </fill>
    <fill>
      <patternFill patternType="solid">
        <fgColor rgb="FFFFFF00"/>
        <bgColor indexed="64"/>
      </patternFill>
    </fill>
    <fill>
      <patternFill patternType="solid">
        <fgColor theme="4" tint="0.79998168889431442"/>
        <bgColor indexed="64"/>
      </patternFill>
    </fill>
    <fill>
      <patternFill patternType="solid">
        <fgColor indexed="9"/>
        <bgColor indexed="64"/>
      </patternFill>
    </fill>
    <fill>
      <patternFill patternType="solid">
        <fgColor indexed="8"/>
        <bgColor indexed="64"/>
      </patternFill>
    </fill>
    <fill>
      <patternFill patternType="solid">
        <fgColor indexed="42"/>
        <bgColor indexed="64"/>
      </patternFill>
    </fill>
    <fill>
      <patternFill patternType="solid">
        <fgColor indexed="23"/>
        <bgColor indexed="64"/>
      </patternFill>
    </fill>
  </fills>
  <borders count="79">
    <border>
      <left/>
      <right/>
      <top/>
      <bottom/>
      <diagonal/>
    </border>
    <border>
      <left style="thin">
        <color rgb="FFDCDBDA"/>
      </left>
      <right style="thin">
        <color rgb="FFDCDBDA"/>
      </right>
      <top style="thin">
        <color rgb="FFDCDBDA"/>
      </top>
      <bottom style="thin">
        <color rgb="FFDCDBDA"/>
      </bottom>
      <diagonal/>
    </border>
    <border>
      <left style="hair">
        <color indexed="64"/>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right style="hair">
        <color indexed="64"/>
      </right>
      <top style="hair">
        <color indexed="64"/>
      </top>
      <bottom style="hair">
        <color indexed="64"/>
      </bottom>
      <diagonal/>
    </border>
    <border>
      <left style="hair">
        <color indexed="64"/>
      </left>
      <right style="hair">
        <color indexed="64"/>
      </right>
      <top style="medium">
        <color indexed="64"/>
      </top>
      <bottom style="hair">
        <color indexed="64"/>
      </bottom>
      <diagonal/>
    </border>
    <border>
      <left style="medium">
        <color indexed="64"/>
      </left>
      <right style="hair">
        <color indexed="64"/>
      </right>
      <top style="hair">
        <color indexed="64"/>
      </top>
      <bottom style="hair">
        <color indexed="64"/>
      </bottom>
      <diagonal/>
    </border>
    <border>
      <left style="hair">
        <color indexed="64"/>
      </left>
      <right style="medium">
        <color indexed="64"/>
      </right>
      <top style="hair">
        <color indexed="64"/>
      </top>
      <bottom style="hair">
        <color indexed="64"/>
      </bottom>
      <diagonal/>
    </border>
    <border>
      <left style="medium">
        <color indexed="64"/>
      </left>
      <right style="hair">
        <color indexed="64"/>
      </right>
      <top style="medium">
        <color indexed="64"/>
      </top>
      <bottom style="hair">
        <color indexed="64"/>
      </bottom>
      <diagonal/>
    </border>
    <border>
      <left style="hair">
        <color indexed="64"/>
      </left>
      <right style="medium">
        <color indexed="64"/>
      </right>
      <top style="medium">
        <color indexed="64"/>
      </top>
      <bottom style="hair">
        <color indexed="64"/>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hair">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bottom/>
      <diagonal/>
    </border>
    <border>
      <left style="medium">
        <color indexed="64"/>
      </left>
      <right/>
      <top style="medium">
        <color indexed="64"/>
      </top>
      <bottom/>
      <diagonal/>
    </border>
    <border>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indexed="64"/>
      </right>
      <top/>
      <bottom/>
      <diagonal/>
    </border>
    <border>
      <left style="medium">
        <color indexed="64"/>
      </left>
      <right/>
      <top style="medium">
        <color indexed="64"/>
      </top>
      <bottom style="hair">
        <color indexed="64"/>
      </bottom>
      <diagonal/>
    </border>
    <border>
      <left/>
      <right/>
      <top style="medium">
        <color indexed="64"/>
      </top>
      <bottom style="hair">
        <color indexed="64"/>
      </bottom>
      <diagonal/>
    </border>
    <border>
      <left/>
      <right style="medium">
        <color indexed="64"/>
      </right>
      <top style="medium">
        <color indexed="64"/>
      </top>
      <bottom style="hair">
        <color indexed="64"/>
      </bottom>
      <diagonal/>
    </border>
    <border>
      <left style="medium">
        <color indexed="64"/>
      </left>
      <right style="hair">
        <color indexed="64"/>
      </right>
      <top style="medium">
        <color indexed="64"/>
      </top>
      <bottom/>
      <diagonal/>
    </border>
    <border>
      <left style="medium">
        <color indexed="64"/>
      </left>
      <right/>
      <top style="hair">
        <color indexed="64"/>
      </top>
      <bottom style="hair">
        <color indexed="64"/>
      </bottom>
      <diagonal/>
    </border>
    <border>
      <left/>
      <right style="medium">
        <color indexed="64"/>
      </right>
      <top style="hair">
        <color indexed="64"/>
      </top>
      <bottom style="hair">
        <color indexed="64"/>
      </bottom>
      <diagonal/>
    </border>
    <border>
      <left style="medium">
        <color indexed="64"/>
      </left>
      <right style="hair">
        <color indexed="64"/>
      </right>
      <top/>
      <bottom/>
      <diagonal/>
    </border>
    <border>
      <left style="medium">
        <color indexed="64"/>
      </left>
      <right/>
      <top style="hair">
        <color indexed="64"/>
      </top>
      <bottom style="medium">
        <color indexed="64"/>
      </bottom>
      <diagonal/>
    </border>
    <border>
      <left/>
      <right/>
      <top style="hair">
        <color indexed="64"/>
      </top>
      <bottom style="medium">
        <color indexed="64"/>
      </bottom>
      <diagonal/>
    </border>
    <border>
      <left/>
      <right style="medium">
        <color indexed="64"/>
      </right>
      <top style="hair">
        <color indexed="64"/>
      </top>
      <bottom style="medium">
        <color indexed="64"/>
      </bottom>
      <diagonal/>
    </border>
    <border>
      <left style="medium">
        <color indexed="64"/>
      </left>
      <right style="hair">
        <color indexed="64"/>
      </right>
      <top/>
      <bottom style="medium">
        <color indexed="64"/>
      </bottom>
      <diagonal/>
    </border>
    <border>
      <left style="hair">
        <color indexed="64"/>
      </left>
      <right style="hair">
        <color indexed="64"/>
      </right>
      <top style="hair">
        <color indexed="64"/>
      </top>
      <bottom style="medium">
        <color indexed="64"/>
      </bottom>
      <diagonal/>
    </border>
    <border>
      <left style="hair">
        <color indexed="64"/>
      </left>
      <right style="medium">
        <color indexed="64"/>
      </right>
      <top style="hair">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bottom/>
      <diagonal/>
    </border>
    <border>
      <left style="thin">
        <color indexed="64"/>
      </left>
      <right/>
      <top style="medium">
        <color indexed="64"/>
      </top>
      <bottom style="hair">
        <color indexed="64"/>
      </bottom>
      <diagonal/>
    </border>
    <border>
      <left/>
      <right style="thin">
        <color indexed="64"/>
      </right>
      <top style="medium">
        <color indexed="64"/>
      </top>
      <bottom style="hair">
        <color indexed="64"/>
      </bottom>
      <diagonal/>
    </border>
    <border>
      <left style="thin">
        <color indexed="64"/>
      </left>
      <right style="thin">
        <color indexed="64"/>
      </right>
      <top style="medium">
        <color indexed="64"/>
      </top>
      <bottom style="hair">
        <color indexed="64"/>
      </bottom>
      <diagonal/>
    </border>
    <border>
      <left style="medium">
        <color indexed="64"/>
      </left>
      <right style="thin">
        <color indexed="64"/>
      </right>
      <top style="thin">
        <color indexed="64"/>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style="medium">
        <color indexed="64"/>
      </right>
      <top style="thin">
        <color indexed="64"/>
      </top>
      <bottom/>
      <diagonal/>
    </border>
    <border>
      <left/>
      <right style="medium">
        <color indexed="64"/>
      </right>
      <top style="thin">
        <color indexed="64"/>
      </top>
      <bottom style="thin">
        <color indexed="64"/>
      </bottom>
      <diagonal/>
    </border>
    <border>
      <left style="thin">
        <color indexed="64"/>
      </left>
      <right/>
      <top style="thin">
        <color indexed="64"/>
      </top>
      <bottom style="hair">
        <color indexed="64"/>
      </bottom>
      <diagonal/>
    </border>
    <border>
      <left/>
      <right/>
      <top style="thin">
        <color indexed="64"/>
      </top>
      <bottom style="hair">
        <color indexed="64"/>
      </bottom>
      <diagonal/>
    </border>
    <border>
      <left/>
      <right style="thin">
        <color indexed="64"/>
      </right>
      <top style="thin">
        <color indexed="64"/>
      </top>
      <bottom style="hair">
        <color indexed="64"/>
      </bottom>
      <diagonal/>
    </border>
    <border>
      <left/>
      <right style="medium">
        <color indexed="64"/>
      </right>
      <top style="thin">
        <color indexed="64"/>
      </top>
      <bottom style="hair">
        <color indexed="64"/>
      </bottom>
      <diagonal/>
    </border>
    <border>
      <left style="thin">
        <color indexed="64"/>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top style="hair">
        <color indexed="64"/>
      </top>
      <bottom/>
      <diagonal/>
    </border>
    <border>
      <left/>
      <right/>
      <top style="hair">
        <color indexed="64"/>
      </top>
      <bottom/>
      <diagonal/>
    </border>
    <border>
      <left/>
      <right style="thin">
        <color indexed="64"/>
      </right>
      <top style="hair">
        <color indexed="64"/>
      </top>
      <bottom/>
      <diagonal/>
    </border>
    <border>
      <left style="thin">
        <color indexed="64"/>
      </left>
      <right/>
      <top/>
      <bottom/>
      <diagonal/>
    </border>
    <border>
      <left/>
      <right style="medium">
        <color indexed="64"/>
      </right>
      <top style="hair">
        <color indexed="64"/>
      </top>
      <bottom/>
      <diagonal/>
    </border>
    <border>
      <left style="medium">
        <color indexed="64"/>
      </left>
      <right style="thin">
        <color indexed="64"/>
      </right>
      <top/>
      <bottom style="thin">
        <color indexed="64"/>
      </bottom>
      <diagonal/>
    </border>
    <border>
      <left style="thin">
        <color indexed="64"/>
      </left>
      <right/>
      <top style="hair">
        <color indexed="64"/>
      </top>
      <bottom style="thin">
        <color indexed="64"/>
      </bottom>
      <diagonal/>
    </border>
    <border>
      <left/>
      <right/>
      <top style="hair">
        <color indexed="64"/>
      </top>
      <bottom style="thin">
        <color indexed="64"/>
      </bottom>
      <diagonal/>
    </border>
    <border>
      <left/>
      <right style="thin">
        <color indexed="64"/>
      </right>
      <top style="hair">
        <color indexed="64"/>
      </top>
      <bottom style="thin">
        <color indexed="64"/>
      </bottom>
      <diagonal/>
    </border>
    <border>
      <left/>
      <right style="medium">
        <color indexed="64"/>
      </right>
      <top style="hair">
        <color indexed="64"/>
      </top>
      <bottom style="thin">
        <color indexed="64"/>
      </bottom>
      <diagonal/>
    </border>
    <border>
      <left style="thin">
        <color indexed="64"/>
      </left>
      <right/>
      <top/>
      <bottom style="thin">
        <color indexed="64"/>
      </bottom>
      <diagonal/>
    </border>
    <border>
      <left style="medium">
        <color indexed="64"/>
      </left>
      <right/>
      <top style="medium">
        <color indexed="64"/>
      </top>
      <bottom style="medium">
        <color indexed="64"/>
      </bottom>
      <diagonal/>
    </border>
    <border>
      <left/>
      <right style="medium">
        <color indexed="9"/>
      </right>
      <top style="medium">
        <color indexed="64"/>
      </top>
      <bottom style="medium">
        <color indexed="64"/>
      </bottom>
      <diagonal/>
    </border>
    <border>
      <left style="medium">
        <color indexed="9"/>
      </left>
      <right/>
      <top style="medium">
        <color indexed="64"/>
      </top>
      <bottom style="medium">
        <color indexed="64"/>
      </bottom>
      <diagonal/>
    </border>
    <border>
      <left style="medium">
        <color indexed="64"/>
      </left>
      <right/>
      <top/>
      <bottom style="medium">
        <color indexed="64"/>
      </bottom>
      <diagonal/>
    </border>
    <border>
      <left/>
      <right/>
      <top/>
      <bottom style="medium">
        <color indexed="64"/>
      </bottom>
      <diagonal/>
    </border>
    <border>
      <left/>
      <right style="medium">
        <color auto="1"/>
      </right>
      <top/>
      <bottom style="medium">
        <color auto="1"/>
      </bottom>
      <diagonal/>
    </border>
  </borders>
  <cellStyleXfs count="26">
    <xf numFmtId="0" fontId="0" fillId="0" borderId="0">
      <alignment vertical="center"/>
    </xf>
    <xf numFmtId="176" fontId="7" fillId="0" borderId="0" applyFont="0" applyFill="0" applyBorder="0" applyAlignment="0" applyProtection="0">
      <alignment vertical="center"/>
    </xf>
    <xf numFmtId="9" fontId="7" fillId="0" borderId="0" applyFont="0" applyFill="0" applyBorder="0" applyAlignment="0" applyProtection="0">
      <alignment vertical="center"/>
    </xf>
    <xf numFmtId="0" fontId="9" fillId="0" borderId="0"/>
    <xf numFmtId="176" fontId="5" fillId="0" borderId="0" applyFont="0" applyFill="0" applyBorder="0" applyAlignment="0" applyProtection="0">
      <alignment vertical="center"/>
    </xf>
    <xf numFmtId="179" fontId="10" fillId="0" borderId="0" applyFont="0" applyFill="0" applyBorder="0" applyAlignment="0" applyProtection="0"/>
    <xf numFmtId="0" fontId="5" fillId="0" borderId="0">
      <alignment vertical="center"/>
    </xf>
    <xf numFmtId="9" fontId="10" fillId="0" borderId="0" applyFont="0" applyFill="0" applyBorder="0" applyAlignment="0" applyProtection="0"/>
    <xf numFmtId="0" fontId="9" fillId="0" borderId="0"/>
    <xf numFmtId="0" fontId="16" fillId="0" borderId="0"/>
    <xf numFmtId="178" fontId="16" fillId="0" borderId="0" applyFont="0" applyFill="0" applyBorder="0" applyAlignment="0" applyProtection="0"/>
    <xf numFmtId="176" fontId="16" fillId="0" borderId="0" applyFont="0" applyFill="0" applyBorder="0" applyAlignment="0" applyProtection="0">
      <alignment vertical="center"/>
    </xf>
    <xf numFmtId="0" fontId="4" fillId="0" borderId="0">
      <alignment vertical="center"/>
    </xf>
    <xf numFmtId="0" fontId="3" fillId="0" borderId="0">
      <alignment vertical="center"/>
    </xf>
    <xf numFmtId="176" fontId="3" fillId="0" borderId="0" applyFont="0" applyFill="0" applyBorder="0" applyAlignment="0" applyProtection="0">
      <alignment vertical="center"/>
    </xf>
    <xf numFmtId="0" fontId="2" fillId="0" borderId="0">
      <alignment vertical="center"/>
    </xf>
    <xf numFmtId="176" fontId="2" fillId="0" borderId="0" applyFont="0" applyFill="0" applyBorder="0" applyAlignment="0" applyProtection="0">
      <alignment vertical="center"/>
    </xf>
    <xf numFmtId="0" fontId="16" fillId="0" borderId="0"/>
    <xf numFmtId="0" fontId="16" fillId="0" borderId="0"/>
    <xf numFmtId="0" fontId="16" fillId="0" borderId="0">
      <alignment vertical="center"/>
    </xf>
    <xf numFmtId="0" fontId="16" fillId="0" borderId="0">
      <alignment vertical="center"/>
    </xf>
    <xf numFmtId="0" fontId="16" fillId="0" borderId="0">
      <alignment vertical="center"/>
    </xf>
    <xf numFmtId="176" fontId="7" fillId="0" borderId="0" applyFont="0" applyFill="0" applyBorder="0" applyAlignment="0" applyProtection="0">
      <alignment vertical="center"/>
    </xf>
    <xf numFmtId="176" fontId="16" fillId="0" borderId="0" applyFont="0" applyFill="0" applyBorder="0" applyAlignment="0" applyProtection="0">
      <alignment vertical="center"/>
    </xf>
    <xf numFmtId="179" fontId="10" fillId="0" borderId="0" applyFont="0" applyFill="0" applyBorder="0" applyAlignment="0" applyProtection="0"/>
    <xf numFmtId="176" fontId="1" fillId="0" borderId="0" applyFont="0" applyFill="0" applyBorder="0" applyAlignment="0" applyProtection="0">
      <alignment vertical="center"/>
    </xf>
  </cellStyleXfs>
  <cellXfs count="324">
    <xf numFmtId="0" fontId="0" fillId="0" borderId="0" xfId="0">
      <alignment vertical="center"/>
    </xf>
    <xf numFmtId="180" fontId="18" fillId="0" borderId="0" xfId="1" applyNumberFormat="1" applyFont="1" applyAlignment="1">
      <alignment horizontal="center" vertical="center"/>
    </xf>
    <xf numFmtId="0" fontId="17" fillId="0" borderId="0" xfId="0" applyFont="1" applyAlignment="1">
      <alignment horizontal="center" vertical="center"/>
    </xf>
    <xf numFmtId="9" fontId="21" fillId="0" borderId="0" xfId="0" applyNumberFormat="1" applyFont="1" applyAlignment="1">
      <alignment horizontal="center" vertical="center"/>
    </xf>
    <xf numFmtId="181" fontId="21" fillId="3" borderId="0" xfId="2" applyNumberFormat="1" applyFont="1" applyFill="1" applyAlignment="1">
      <alignment horizontal="center" vertical="center"/>
    </xf>
    <xf numFmtId="0" fontId="21" fillId="4" borderId="7" xfId="0" applyFont="1" applyFill="1" applyBorder="1" applyAlignment="1">
      <alignment horizontal="center" vertical="center"/>
    </xf>
    <xf numFmtId="0" fontId="21" fillId="7" borderId="2" xfId="0" applyFont="1" applyFill="1" applyBorder="1" applyAlignment="1">
      <alignment horizontal="center" vertical="center"/>
    </xf>
    <xf numFmtId="176" fontId="21" fillId="4" borderId="2" xfId="4" applyFont="1" applyFill="1" applyBorder="1" applyAlignment="1">
      <alignment horizontal="center" vertical="center"/>
    </xf>
    <xf numFmtId="179" fontId="21" fillId="4" borderId="2" xfId="5" applyFont="1" applyFill="1" applyBorder="1" applyAlignment="1">
      <alignment horizontal="center" vertical="center"/>
    </xf>
    <xf numFmtId="0" fontId="17" fillId="6" borderId="7" xfId="0" applyFont="1" applyFill="1" applyBorder="1" applyAlignment="1">
      <alignment horizontal="center" vertical="center"/>
    </xf>
    <xf numFmtId="0" fontId="17" fillId="7" borderId="2" xfId="0" applyFont="1" applyFill="1" applyBorder="1" applyAlignment="1">
      <alignment horizontal="center" vertical="center"/>
    </xf>
    <xf numFmtId="176" fontId="17" fillId="6" borderId="2" xfId="1" applyFont="1" applyFill="1" applyBorder="1" applyAlignment="1">
      <alignment horizontal="center" vertical="center" wrapText="1"/>
    </xf>
    <xf numFmtId="176" fontId="17" fillId="0" borderId="2" xfId="1" applyFont="1" applyFill="1" applyBorder="1" applyAlignment="1">
      <alignment horizontal="center" vertical="center" wrapText="1"/>
    </xf>
    <xf numFmtId="0" fontId="22" fillId="0" borderId="8" xfId="0" applyFont="1" applyBorder="1" applyAlignment="1">
      <alignment horizontal="center" vertical="center"/>
    </xf>
    <xf numFmtId="0" fontId="18" fillId="0" borderId="0" xfId="0" applyFont="1">
      <alignment vertical="center"/>
    </xf>
    <xf numFmtId="49" fontId="17" fillId="7" borderId="2" xfId="0" applyNumberFormat="1" applyFont="1" applyFill="1" applyBorder="1" applyAlignment="1">
      <alignment horizontal="center" vertical="center"/>
    </xf>
    <xf numFmtId="49" fontId="17" fillId="2" borderId="1" xfId="0" applyNumberFormat="1" applyFont="1" applyFill="1" applyBorder="1" applyAlignment="1">
      <alignment horizontal="center" vertical="center" wrapText="1"/>
    </xf>
    <xf numFmtId="180" fontId="17" fillId="7" borderId="1" xfId="1" applyNumberFormat="1" applyFont="1" applyFill="1" applyBorder="1" applyAlignment="1">
      <alignment horizontal="center" vertical="center"/>
    </xf>
    <xf numFmtId="180" fontId="17" fillId="0" borderId="1" xfId="1" applyNumberFormat="1" applyFont="1" applyBorder="1" applyAlignment="1">
      <alignment horizontal="center" vertical="center"/>
    </xf>
    <xf numFmtId="184" fontId="17" fillId="0" borderId="1" xfId="1" applyNumberFormat="1" applyFont="1" applyBorder="1" applyAlignment="1">
      <alignment horizontal="center" vertical="center"/>
    </xf>
    <xf numFmtId="183" fontId="17" fillId="0" borderId="2" xfId="1" applyNumberFormat="1" applyFont="1" applyFill="1" applyBorder="1" applyAlignment="1">
      <alignment horizontal="center" vertical="center"/>
    </xf>
    <xf numFmtId="185" fontId="17" fillId="5" borderId="2" xfId="0" applyNumberFormat="1" applyFont="1" applyFill="1" applyBorder="1" applyAlignment="1">
      <alignment horizontal="right" vertical="center" wrapText="1"/>
    </xf>
    <xf numFmtId="185" fontId="17" fillId="6" borderId="2" xfId="1" applyNumberFormat="1" applyFont="1" applyFill="1" applyBorder="1" applyAlignment="1">
      <alignment horizontal="right" vertical="center" wrapText="1"/>
    </xf>
    <xf numFmtId="185" fontId="17" fillId="0" borderId="2" xfId="1" applyNumberFormat="1" applyFont="1" applyFill="1" applyBorder="1" applyAlignment="1">
      <alignment horizontal="right" vertical="center" wrapText="1"/>
    </xf>
    <xf numFmtId="49" fontId="17" fillId="5" borderId="2" xfId="0" applyNumberFormat="1" applyFont="1" applyFill="1" applyBorder="1" applyAlignment="1">
      <alignment horizontal="center" vertical="center"/>
    </xf>
    <xf numFmtId="186" fontId="17" fillId="5" borderId="2" xfId="1" applyNumberFormat="1" applyFont="1" applyFill="1" applyBorder="1" applyAlignment="1">
      <alignment horizontal="center" vertical="center"/>
    </xf>
    <xf numFmtId="0" fontId="17" fillId="0" borderId="0" xfId="0" applyFont="1" applyAlignment="1">
      <alignment vertical="center" wrapText="1"/>
    </xf>
    <xf numFmtId="0" fontId="21" fillId="4" borderId="2" xfId="3" applyFont="1" applyFill="1" applyBorder="1" applyAlignment="1">
      <alignment horizontal="center" vertical="center" wrapText="1"/>
    </xf>
    <xf numFmtId="0" fontId="21" fillId="0" borderId="0" xfId="0" applyFont="1" applyAlignment="1">
      <alignment horizontal="center" vertical="center"/>
    </xf>
    <xf numFmtId="0" fontId="17" fillId="0" borderId="0" xfId="0" applyFont="1">
      <alignment vertical="center"/>
    </xf>
    <xf numFmtId="0" fontId="21" fillId="8" borderId="9" xfId="0" applyFont="1" applyFill="1" applyBorder="1">
      <alignment vertical="center"/>
    </xf>
    <xf numFmtId="0" fontId="21" fillId="8" borderId="6" xfId="0" applyFont="1" applyFill="1" applyBorder="1">
      <alignment vertical="center"/>
    </xf>
    <xf numFmtId="0" fontId="22" fillId="0" borderId="0" xfId="0" applyFont="1">
      <alignment vertical="center"/>
    </xf>
    <xf numFmtId="0" fontId="20" fillId="9" borderId="0" xfId="0" applyFont="1" applyFill="1">
      <alignment vertical="center"/>
    </xf>
    <xf numFmtId="176" fontId="11" fillId="9" borderId="0" xfId="0" applyNumberFormat="1" applyFont="1" applyFill="1">
      <alignment vertical="center"/>
    </xf>
    <xf numFmtId="0" fontId="21" fillId="0" borderId="0" xfId="0" applyFont="1">
      <alignment vertical="center"/>
    </xf>
    <xf numFmtId="0" fontId="21" fillId="5" borderId="0" xfId="0" applyFont="1" applyFill="1">
      <alignment vertical="center"/>
    </xf>
    <xf numFmtId="0" fontId="23" fillId="7" borderId="2" xfId="0" applyFont="1" applyFill="1" applyBorder="1" applyAlignment="1">
      <alignment horizontal="center" vertical="center"/>
    </xf>
    <xf numFmtId="49" fontId="23" fillId="5" borderId="2" xfId="0" applyNumberFormat="1" applyFont="1" applyFill="1" applyBorder="1" applyAlignment="1">
      <alignment horizontal="center" vertical="center"/>
    </xf>
    <xf numFmtId="0" fontId="25" fillId="7" borderId="2" xfId="0" applyFont="1" applyFill="1" applyBorder="1" applyAlignment="1">
      <alignment horizontal="center" vertical="center"/>
    </xf>
    <xf numFmtId="49" fontId="23" fillId="5" borderId="2" xfId="0" applyNumberFormat="1" applyFont="1" applyFill="1" applyBorder="1" applyAlignment="1">
      <alignment horizontal="center" vertical="center" wrapText="1"/>
    </xf>
    <xf numFmtId="0" fontId="24" fillId="5" borderId="2" xfId="0" applyFont="1" applyFill="1" applyBorder="1" applyAlignment="1">
      <alignment horizontal="center" vertical="center"/>
    </xf>
    <xf numFmtId="0" fontId="24" fillId="5" borderId="2" xfId="0" applyFont="1" applyFill="1" applyBorder="1" applyAlignment="1">
      <alignment horizontal="center" vertical="center" wrapText="1"/>
    </xf>
    <xf numFmtId="185" fontId="17" fillId="5" borderId="2" xfId="1" applyNumberFormat="1" applyFont="1" applyFill="1" applyBorder="1" applyAlignment="1">
      <alignment horizontal="right" vertical="center"/>
    </xf>
    <xf numFmtId="183" fontId="17" fillId="5" borderId="2" xfId="1" applyNumberFormat="1" applyFont="1" applyFill="1" applyBorder="1" applyAlignment="1">
      <alignment horizontal="center" vertical="center"/>
    </xf>
    <xf numFmtId="176" fontId="26" fillId="5" borderId="2" xfId="1" applyFont="1" applyFill="1" applyBorder="1" applyAlignment="1">
      <alignment horizontal="center" vertical="center" wrapText="1"/>
    </xf>
    <xf numFmtId="182" fontId="27" fillId="5" borderId="2" xfId="0" applyNumberFormat="1" applyFont="1" applyFill="1" applyBorder="1" applyAlignment="1">
      <alignment vertical="center" wrapText="1"/>
    </xf>
    <xf numFmtId="176" fontId="17" fillId="5" borderId="2" xfId="1" applyFont="1" applyFill="1" applyBorder="1" applyAlignment="1">
      <alignment horizontal="center" vertical="center" wrapText="1"/>
    </xf>
    <xf numFmtId="0" fontId="29" fillId="0" borderId="12" xfId="13" quotePrefix="1" applyFont="1" applyBorder="1" applyAlignment="1">
      <alignment horizontal="center" vertical="center"/>
    </xf>
    <xf numFmtId="182" fontId="29" fillId="0" borderId="12" xfId="13" quotePrefix="1" applyNumberFormat="1" applyFont="1" applyBorder="1" applyAlignment="1">
      <alignment horizontal="center" vertical="center"/>
    </xf>
    <xf numFmtId="0" fontId="21" fillId="10" borderId="12" xfId="11" applyNumberFormat="1" applyFont="1" applyFill="1" applyBorder="1" applyAlignment="1">
      <alignment horizontal="center" vertical="center"/>
    </xf>
    <xf numFmtId="188" fontId="22" fillId="10" borderId="12" xfId="11" applyNumberFormat="1" applyFont="1" applyFill="1" applyBorder="1" applyAlignment="1">
      <alignment horizontal="center" vertical="center"/>
    </xf>
    <xf numFmtId="182" fontId="22" fillId="10" borderId="12" xfId="11" applyNumberFormat="1" applyFont="1" applyFill="1" applyBorder="1" applyAlignment="1">
      <alignment vertical="center" wrapText="1"/>
    </xf>
    <xf numFmtId="182" fontId="29" fillId="10" borderId="12" xfId="11" applyNumberFormat="1" applyFont="1" applyFill="1" applyBorder="1" applyAlignment="1">
      <alignment vertical="center" wrapText="1"/>
    </xf>
    <xf numFmtId="0" fontId="18" fillId="0" borderId="0" xfId="13" applyFont="1">
      <alignment vertical="center"/>
    </xf>
    <xf numFmtId="190" fontId="29" fillId="10" borderId="12" xfId="11" applyNumberFormat="1" applyFont="1" applyFill="1" applyBorder="1" applyAlignment="1">
      <alignment horizontal="center" vertical="center"/>
    </xf>
    <xf numFmtId="182" fontId="29" fillId="10" borderId="12" xfId="11" applyNumberFormat="1" applyFont="1" applyFill="1" applyBorder="1" applyAlignment="1">
      <alignment vertical="center"/>
    </xf>
    <xf numFmtId="0" fontId="22" fillId="7" borderId="2" xfId="0" applyFont="1" applyFill="1" applyBorder="1" applyAlignment="1">
      <alignment horizontal="center" vertical="center"/>
    </xf>
    <xf numFmtId="176" fontId="26" fillId="5" borderId="2" xfId="1" applyFont="1" applyFill="1" applyBorder="1" applyAlignment="1">
      <alignment horizontal="center" vertical="center"/>
    </xf>
    <xf numFmtId="191" fontId="17" fillId="5" borderId="2" xfId="0" applyNumberFormat="1" applyFont="1" applyFill="1" applyBorder="1" applyAlignment="1">
      <alignment horizontal="right" vertical="center" wrapText="1"/>
    </xf>
    <xf numFmtId="176" fontId="32" fillId="5" borderId="2" xfId="1" applyFont="1" applyFill="1" applyBorder="1" applyAlignment="1">
      <alignment vertical="center"/>
    </xf>
    <xf numFmtId="176" fontId="32" fillId="5" borderId="2" xfId="1" applyFont="1" applyFill="1" applyBorder="1" applyAlignment="1">
      <alignment horizontal="right" vertical="center"/>
    </xf>
    <xf numFmtId="49" fontId="17" fillId="5" borderId="2" xfId="0" applyNumberFormat="1" applyFont="1" applyFill="1" applyBorder="1" applyAlignment="1">
      <alignment horizontal="center" vertical="center" wrapText="1"/>
    </xf>
    <xf numFmtId="0" fontId="21" fillId="0" borderId="18" xfId="11" applyNumberFormat="1" applyFont="1" applyBorder="1" applyAlignment="1">
      <alignment horizontal="center" vertical="center"/>
    </xf>
    <xf numFmtId="188" fontId="22" fillId="0" borderId="18" xfId="11" applyNumberFormat="1" applyFont="1" applyFill="1" applyBorder="1" applyAlignment="1">
      <alignment vertical="center"/>
    </xf>
    <xf numFmtId="189" fontId="31" fillId="0" borderId="18" xfId="11" applyNumberFormat="1" applyFont="1" applyFill="1" applyBorder="1" applyAlignment="1">
      <alignment horizontal="center" vertical="center"/>
    </xf>
    <xf numFmtId="182" fontId="31" fillId="5" borderId="18" xfId="11" applyNumberFormat="1" applyFont="1" applyFill="1" applyBorder="1" applyAlignment="1">
      <alignment horizontal="right" vertical="center" wrapText="1"/>
    </xf>
    <xf numFmtId="182" fontId="22" fillId="5" borderId="18" xfId="11" applyNumberFormat="1" applyFont="1" applyFill="1" applyBorder="1" applyAlignment="1">
      <alignment horizontal="right" vertical="center" wrapText="1"/>
    </xf>
    <xf numFmtId="182" fontId="17" fillId="0" borderId="18" xfId="11" applyNumberFormat="1" applyFont="1" applyBorder="1" applyAlignment="1">
      <alignment horizontal="center" vertical="center" wrapText="1"/>
    </xf>
    <xf numFmtId="182" fontId="31" fillId="5" borderId="19" xfId="11" applyNumberFormat="1" applyFont="1" applyFill="1" applyBorder="1" applyAlignment="1">
      <alignment horizontal="right" vertical="center" wrapText="1"/>
    </xf>
    <xf numFmtId="182" fontId="22" fillId="5" borderId="19" xfId="11" applyNumberFormat="1" applyFont="1" applyFill="1" applyBorder="1" applyAlignment="1">
      <alignment horizontal="right" vertical="center" wrapText="1"/>
    </xf>
    <xf numFmtId="49" fontId="22" fillId="5" borderId="19" xfId="0" applyNumberFormat="1" applyFont="1" applyFill="1" applyBorder="1" applyAlignment="1">
      <alignment vertical="center"/>
    </xf>
    <xf numFmtId="49" fontId="22" fillId="5" borderId="19" xfId="0" applyNumberFormat="1" applyFont="1" applyFill="1" applyBorder="1" applyAlignment="1">
      <alignment horizontal="center" vertical="center"/>
    </xf>
    <xf numFmtId="192" fontId="22" fillId="5" borderId="19" xfId="11" applyNumberFormat="1" applyFont="1" applyFill="1" applyBorder="1" applyAlignment="1">
      <alignment horizontal="center" vertical="center" wrapText="1"/>
    </xf>
    <xf numFmtId="182" fontId="22" fillId="0" borderId="19" xfId="11" applyNumberFormat="1" applyFont="1" applyBorder="1" applyAlignment="1">
      <alignment horizontal="right" vertical="center" wrapText="1"/>
    </xf>
    <xf numFmtId="182" fontId="22" fillId="0" borderId="19" xfId="11" applyNumberFormat="1" applyFont="1" applyFill="1" applyBorder="1" applyAlignment="1">
      <alignment horizontal="right" vertical="center" wrapText="1"/>
    </xf>
    <xf numFmtId="188" fontId="22" fillId="5" borderId="19" xfId="11" applyNumberFormat="1" applyFont="1" applyFill="1" applyBorder="1" applyAlignment="1">
      <alignment vertical="center"/>
    </xf>
    <xf numFmtId="176" fontId="22" fillId="5" borderId="19" xfId="11" applyFont="1" applyFill="1" applyBorder="1" applyAlignment="1">
      <alignment horizontal="center" vertical="center"/>
    </xf>
    <xf numFmtId="182" fontId="22" fillId="5" borderId="19" xfId="11" applyNumberFormat="1" applyFont="1" applyFill="1" applyBorder="1" applyAlignment="1">
      <alignment horizontal="center" vertical="center" wrapText="1"/>
    </xf>
    <xf numFmtId="182" fontId="31" fillId="0" borderId="19" xfId="11" applyNumberFormat="1" applyFont="1" applyFill="1" applyBorder="1" applyAlignment="1">
      <alignment horizontal="right" vertical="center" wrapText="1"/>
    </xf>
    <xf numFmtId="188" fontId="22" fillId="5" borderId="20" xfId="11" applyNumberFormat="1" applyFont="1" applyFill="1" applyBorder="1" applyAlignment="1">
      <alignment vertical="center"/>
    </xf>
    <xf numFmtId="176" fontId="22" fillId="5" borderId="20" xfId="11" applyFont="1" applyFill="1" applyBorder="1" applyAlignment="1">
      <alignment horizontal="center" vertical="center"/>
    </xf>
    <xf numFmtId="182" fontId="22" fillId="5" borderId="20" xfId="11" applyNumberFormat="1" applyFont="1" applyFill="1" applyBorder="1" applyAlignment="1">
      <alignment horizontal="center" vertical="center" wrapText="1"/>
    </xf>
    <xf numFmtId="182" fontId="22" fillId="0" borderId="20" xfId="11" applyNumberFormat="1" applyFont="1" applyFill="1" applyBorder="1" applyAlignment="1">
      <alignment horizontal="right" vertical="center" wrapText="1"/>
    </xf>
    <xf numFmtId="182" fontId="31" fillId="0" borderId="20" xfId="11" applyNumberFormat="1" applyFont="1" applyFill="1" applyBorder="1" applyAlignment="1">
      <alignment horizontal="right" vertical="center" wrapText="1"/>
    </xf>
    <xf numFmtId="182" fontId="17" fillId="0" borderId="20" xfId="11" applyNumberFormat="1" applyFont="1" applyBorder="1" applyAlignment="1">
      <alignment horizontal="center" vertical="center" wrapText="1"/>
    </xf>
    <xf numFmtId="182" fontId="17" fillId="0" borderId="19" xfId="11" applyNumberFormat="1" applyFont="1" applyBorder="1" applyAlignment="1">
      <alignment horizontal="center" vertical="center" wrapText="1"/>
    </xf>
    <xf numFmtId="0" fontId="21" fillId="0" borderId="21" xfId="11" applyNumberFormat="1" applyFont="1" applyBorder="1" applyAlignment="1">
      <alignment horizontal="center" vertical="center"/>
    </xf>
    <xf numFmtId="189" fontId="31" fillId="0" borderId="21" xfId="11" applyNumberFormat="1" applyFont="1" applyFill="1" applyBorder="1" applyAlignment="1">
      <alignment horizontal="center" vertical="center"/>
    </xf>
    <xf numFmtId="182" fontId="31" fillId="5" borderId="21" xfId="11" applyNumberFormat="1" applyFont="1" applyFill="1" applyBorder="1" applyAlignment="1">
      <alignment horizontal="right" vertical="center" wrapText="1"/>
    </xf>
    <xf numFmtId="182" fontId="22" fillId="5" borderId="21" xfId="11" applyNumberFormat="1" applyFont="1" applyFill="1" applyBorder="1" applyAlignment="1">
      <alignment horizontal="right" vertical="center" wrapText="1"/>
    </xf>
    <xf numFmtId="182" fontId="17" fillId="0" borderId="21" xfId="11" applyNumberFormat="1" applyFont="1" applyBorder="1" applyAlignment="1">
      <alignment horizontal="center" vertical="center" wrapText="1"/>
    </xf>
    <xf numFmtId="188" fontId="33" fillId="0" borderId="18" xfId="11" applyNumberFormat="1" applyFont="1" applyFill="1" applyBorder="1" applyAlignment="1">
      <alignment vertical="center"/>
    </xf>
    <xf numFmtId="0" fontId="21" fillId="0" borderId="18" xfId="11" applyNumberFormat="1" applyFont="1" applyBorder="1" applyAlignment="1">
      <alignment vertical="center"/>
    </xf>
    <xf numFmtId="182" fontId="34" fillId="0" borderId="18" xfId="11" applyNumberFormat="1" applyFont="1" applyBorder="1" applyAlignment="1">
      <alignment horizontal="center" vertical="center" wrapText="1"/>
    </xf>
    <xf numFmtId="189" fontId="31" fillId="0" borderId="20" xfId="11" applyNumberFormat="1" applyFont="1" applyFill="1" applyBorder="1" applyAlignment="1">
      <alignment horizontal="center" vertical="center"/>
    </xf>
    <xf numFmtId="182" fontId="31" fillId="5" borderId="20" xfId="11" applyNumberFormat="1" applyFont="1" applyFill="1" applyBorder="1" applyAlignment="1">
      <alignment horizontal="right" vertical="center" wrapText="1"/>
    </xf>
    <xf numFmtId="182" fontId="22" fillId="5" borderId="20" xfId="11" applyNumberFormat="1" applyFont="1" applyFill="1" applyBorder="1" applyAlignment="1">
      <alignment horizontal="right" vertical="center" wrapText="1"/>
    </xf>
    <xf numFmtId="188" fontId="33" fillId="0" borderId="21" xfId="11" applyNumberFormat="1" applyFont="1" applyFill="1" applyBorder="1" applyAlignment="1">
      <alignment vertical="center"/>
    </xf>
    <xf numFmtId="0" fontId="21" fillId="0" borderId="12" xfId="11" applyNumberFormat="1" applyFont="1" applyBorder="1" applyAlignment="1">
      <alignment vertical="center"/>
    </xf>
    <xf numFmtId="188" fontId="22" fillId="0" borderId="12" xfId="11" applyNumberFormat="1" applyFont="1" applyFill="1" applyBorder="1" applyAlignment="1">
      <alignment vertical="center"/>
    </xf>
    <xf numFmtId="189" fontId="31" fillId="0" borderId="12" xfId="11" applyNumberFormat="1" applyFont="1" applyFill="1" applyBorder="1" applyAlignment="1">
      <alignment horizontal="center" vertical="center"/>
    </xf>
    <xf numFmtId="182" fontId="31" fillId="5" borderId="12" xfId="11" applyNumberFormat="1" applyFont="1" applyFill="1" applyBorder="1" applyAlignment="1">
      <alignment horizontal="right" vertical="center" wrapText="1"/>
    </xf>
    <xf numFmtId="182" fontId="22" fillId="5" borderId="12" xfId="11" applyNumberFormat="1" applyFont="1" applyFill="1" applyBorder="1" applyAlignment="1">
      <alignment horizontal="right" vertical="center" wrapText="1"/>
    </xf>
    <xf numFmtId="182" fontId="17" fillId="0" borderId="12" xfId="11" applyNumberFormat="1" applyFont="1" applyBorder="1" applyAlignment="1">
      <alignment horizontal="center" vertical="center" wrapText="1"/>
    </xf>
    <xf numFmtId="188" fontId="31" fillId="0" borderId="20" xfId="11" applyNumberFormat="1" applyFont="1" applyFill="1" applyBorder="1" applyAlignment="1">
      <alignment vertical="center"/>
    </xf>
    <xf numFmtId="182" fontId="34" fillId="0" borderId="20" xfId="11" applyNumberFormat="1" applyFont="1" applyBorder="1" applyAlignment="1">
      <alignment horizontal="center" vertical="center" wrapText="1"/>
    </xf>
    <xf numFmtId="189" fontId="18" fillId="0" borderId="0" xfId="13" applyNumberFormat="1" applyFont="1">
      <alignment vertical="center"/>
    </xf>
    <xf numFmtId="0" fontId="36" fillId="0" borderId="0" xfId="19" applyFont="1">
      <alignment vertical="center"/>
    </xf>
    <xf numFmtId="0" fontId="35" fillId="0" borderId="26" xfId="18" applyFont="1" applyBorder="1" applyAlignment="1">
      <alignment horizontal="center" vertical="center"/>
    </xf>
    <xf numFmtId="0" fontId="35" fillId="0" borderId="0" xfId="18" applyFont="1" applyAlignment="1">
      <alignment horizontal="center" vertical="center"/>
    </xf>
    <xf numFmtId="0" fontId="35" fillId="0" borderId="27" xfId="18" applyFont="1" applyBorder="1" applyAlignment="1">
      <alignment horizontal="center" vertical="center"/>
    </xf>
    <xf numFmtId="0" fontId="38" fillId="0" borderId="26" xfId="18" applyFont="1" applyBorder="1" applyAlignment="1">
      <alignment horizontal="left" vertical="center"/>
    </xf>
    <xf numFmtId="0" fontId="39" fillId="0" borderId="0" xfId="18" applyFont="1" applyAlignment="1">
      <alignment vertical="center"/>
    </xf>
    <xf numFmtId="0" fontId="39" fillId="0" borderId="0" xfId="18" applyFont="1" applyAlignment="1">
      <alignment horizontal="left" vertical="center" textRotation="1"/>
    </xf>
    <xf numFmtId="0" fontId="40" fillId="0" borderId="0" xfId="18" applyFont="1" applyAlignment="1">
      <alignment horizontal="centerContinuous" vertical="center"/>
    </xf>
    <xf numFmtId="0" fontId="40" fillId="0" borderId="27" xfId="18" applyFont="1" applyBorder="1" applyAlignment="1">
      <alignment vertical="center"/>
    </xf>
    <xf numFmtId="0" fontId="41" fillId="0" borderId="26" xfId="18" applyFont="1" applyBorder="1" applyAlignment="1">
      <alignment horizontal="left" vertical="center" indent="2"/>
    </xf>
    <xf numFmtId="0" fontId="36" fillId="0" borderId="11" xfId="18" applyFont="1" applyBorder="1" applyAlignment="1">
      <alignment vertical="center"/>
    </xf>
    <xf numFmtId="0" fontId="36" fillId="0" borderId="0" xfId="18" applyFont="1" applyAlignment="1">
      <alignment vertical="center"/>
    </xf>
    <xf numFmtId="0" fontId="40" fillId="0" borderId="27" xfId="18" applyFont="1" applyBorder="1" applyAlignment="1">
      <alignment horizontal="right" vertical="center"/>
    </xf>
    <xf numFmtId="0" fontId="41" fillId="0" borderId="26" xfId="18" applyFont="1" applyBorder="1" applyAlignment="1">
      <alignment vertical="center"/>
    </xf>
    <xf numFmtId="0" fontId="41" fillId="0" borderId="0" xfId="18" applyFont="1" applyAlignment="1">
      <alignment vertical="center"/>
    </xf>
    <xf numFmtId="0" fontId="40" fillId="0" borderId="0" xfId="18" applyFont="1" applyAlignment="1">
      <alignment horizontal="right" vertical="center"/>
    </xf>
    <xf numFmtId="0" fontId="41" fillId="0" borderId="27" xfId="18" applyFont="1" applyBorder="1" applyAlignment="1">
      <alignment vertical="center"/>
    </xf>
    <xf numFmtId="0" fontId="36" fillId="0" borderId="29" xfId="18" applyFont="1" applyBorder="1" applyAlignment="1">
      <alignment horizontal="center" vertical="center"/>
    </xf>
    <xf numFmtId="0" fontId="36" fillId="0" borderId="30" xfId="18" applyFont="1" applyBorder="1" applyAlignment="1">
      <alignment horizontal="center" vertical="center"/>
    </xf>
    <xf numFmtId="0" fontId="36" fillId="0" borderId="6" xfId="18" applyFont="1" applyBorder="1" applyAlignment="1">
      <alignment horizontal="center" vertical="center"/>
    </xf>
    <xf numFmtId="0" fontId="36" fillId="0" borderId="10" xfId="18" applyFont="1" applyBorder="1" applyAlignment="1">
      <alignment horizontal="center" vertical="center"/>
    </xf>
    <xf numFmtId="0" fontId="36" fillId="0" borderId="2" xfId="18" applyFont="1" applyBorder="1" applyAlignment="1">
      <alignment horizontal="center" vertical="center"/>
    </xf>
    <xf numFmtId="0" fontId="44" fillId="0" borderId="8" xfId="18" applyFont="1" applyBorder="1" applyAlignment="1">
      <alignment horizontal="center" vertical="center"/>
    </xf>
    <xf numFmtId="0" fontId="36" fillId="0" borderId="39" xfId="18" applyFont="1" applyBorder="1" applyAlignment="1">
      <alignment horizontal="center" vertical="center"/>
    </xf>
    <xf numFmtId="0" fontId="36" fillId="0" borderId="40" xfId="18" applyFont="1" applyBorder="1" applyAlignment="1">
      <alignment horizontal="center" vertical="center"/>
    </xf>
    <xf numFmtId="0" fontId="36" fillId="0" borderId="26" xfId="18" applyFont="1" applyBorder="1" applyAlignment="1">
      <alignment horizontal="center" vertical="center"/>
    </xf>
    <xf numFmtId="0" fontId="36" fillId="0" borderId="0" xfId="18" applyFont="1" applyAlignment="1">
      <alignment horizontal="center" vertical="center"/>
    </xf>
    <xf numFmtId="0" fontId="36" fillId="0" borderId="0" xfId="18" applyFont="1" applyAlignment="1">
      <alignment horizontal="left" vertical="center" indent="1"/>
    </xf>
    <xf numFmtId="0" fontId="40" fillId="0" borderId="0" xfId="18" applyFont="1" applyAlignment="1">
      <alignment vertical="center"/>
    </xf>
    <xf numFmtId="0" fontId="36" fillId="0" borderId="26" xfId="18" applyFont="1" applyBorder="1" applyAlignment="1">
      <alignment vertical="center"/>
    </xf>
    <xf numFmtId="0" fontId="36" fillId="0" borderId="27" xfId="18" applyFont="1" applyBorder="1" applyAlignment="1">
      <alignment vertical="center"/>
    </xf>
    <xf numFmtId="0" fontId="41" fillId="0" borderId="26" xfId="18" applyFont="1" applyBorder="1" applyAlignment="1">
      <alignment horizontal="left" vertical="center" indent="1"/>
    </xf>
    <xf numFmtId="0" fontId="46" fillId="0" borderId="0" xfId="18" applyFont="1" applyAlignment="1">
      <alignment vertical="center"/>
    </xf>
    <xf numFmtId="0" fontId="46" fillId="13" borderId="41" xfId="18" applyFont="1" applyFill="1" applyBorder="1" applyAlignment="1">
      <alignment horizontal="center" vertical="center"/>
    </xf>
    <xf numFmtId="0" fontId="46" fillId="13" borderId="42" xfId="18" applyFont="1" applyFill="1" applyBorder="1" applyAlignment="1">
      <alignment horizontal="center" vertical="center"/>
    </xf>
    <xf numFmtId="3" fontId="46" fillId="13" borderId="42" xfId="18" applyNumberFormat="1" applyFont="1" applyFill="1" applyBorder="1" applyAlignment="1">
      <alignment horizontal="center" vertical="center"/>
    </xf>
    <xf numFmtId="0" fontId="36" fillId="0" borderId="46" xfId="18" applyFont="1" applyBorder="1" applyAlignment="1">
      <alignment horizontal="center" vertical="center"/>
    </xf>
    <xf numFmtId="0" fontId="36" fillId="0" borderId="50" xfId="18" applyFont="1" applyBorder="1" applyAlignment="1">
      <alignment horizontal="center" vertical="center"/>
    </xf>
    <xf numFmtId="0" fontId="36" fillId="0" borderId="14" xfId="21" applyFont="1" applyBorder="1" applyAlignment="1">
      <alignment horizontal="center" vertical="center"/>
    </xf>
    <xf numFmtId="176" fontId="36" fillId="0" borderId="0" xfId="19" applyNumberFormat="1" applyFont="1">
      <alignment vertical="center"/>
    </xf>
    <xf numFmtId="0" fontId="36" fillId="0" borderId="22" xfId="21" applyFont="1" applyBorder="1" applyAlignment="1">
      <alignment horizontal="left" vertical="center" wrapText="1" indent="1"/>
    </xf>
    <xf numFmtId="0" fontId="40" fillId="0" borderId="60" xfId="21" applyFont="1" applyBorder="1" applyAlignment="1">
      <alignment horizontal="center" vertical="center"/>
    </xf>
    <xf numFmtId="186" fontId="40" fillId="0" borderId="60" xfId="21" applyNumberFormat="1" applyFont="1" applyBorder="1" applyAlignment="1">
      <alignment horizontal="center" vertical="center"/>
    </xf>
    <xf numFmtId="177" fontId="36" fillId="0" borderId="0" xfId="19" applyNumberFormat="1" applyFont="1">
      <alignment vertical="center"/>
    </xf>
    <xf numFmtId="2" fontId="40" fillId="0" borderId="62" xfId="21" applyNumberFormat="1" applyFont="1" applyBorder="1" applyAlignment="1">
      <alignment horizontal="center" vertical="center"/>
    </xf>
    <xf numFmtId="0" fontId="40" fillId="0" borderId="65" xfId="21" applyFont="1" applyBorder="1" applyAlignment="1">
      <alignment horizontal="center" vertical="center"/>
    </xf>
    <xf numFmtId="0" fontId="36" fillId="0" borderId="67" xfId="18" applyFont="1" applyBorder="1" applyAlignment="1">
      <alignment horizontal="center" vertical="center"/>
    </xf>
    <xf numFmtId="0" fontId="36" fillId="0" borderId="16" xfId="21" applyFont="1" applyBorder="1" applyAlignment="1">
      <alignment horizontal="left" vertical="center" wrapText="1" indent="1"/>
    </xf>
    <xf numFmtId="1" fontId="40" fillId="0" borderId="68" xfId="21" applyNumberFormat="1" applyFont="1" applyBorder="1" applyAlignment="1">
      <alignment horizontal="center" vertical="center"/>
    </xf>
    <xf numFmtId="0" fontId="40" fillId="0" borderId="68" xfId="21" applyFont="1" applyBorder="1" applyAlignment="1">
      <alignment horizontal="center" vertical="center"/>
    </xf>
    <xf numFmtId="0" fontId="40" fillId="0" borderId="72" xfId="21" applyFont="1" applyBorder="1" applyAlignment="1">
      <alignment horizontal="center" vertical="center"/>
    </xf>
    <xf numFmtId="176" fontId="36" fillId="0" borderId="0" xfId="22" applyFont="1">
      <alignment vertical="center"/>
    </xf>
    <xf numFmtId="176" fontId="50" fillId="14" borderId="43" xfId="18" applyNumberFormat="1" applyFont="1" applyFill="1" applyBorder="1" applyAlignment="1">
      <alignment horizontal="right" vertical="center"/>
    </xf>
    <xf numFmtId="0" fontId="50" fillId="14" borderId="43" xfId="18" applyFont="1" applyFill="1" applyBorder="1" applyAlignment="1">
      <alignment horizontal="right" vertical="center"/>
    </xf>
    <xf numFmtId="176" fontId="50" fillId="14" borderId="74" xfId="22" applyFont="1" applyFill="1" applyBorder="1" applyAlignment="1">
      <alignment horizontal="right" vertical="center"/>
    </xf>
    <xf numFmtId="179" fontId="36" fillId="0" borderId="0" xfId="24" applyFont="1" applyAlignment="1">
      <alignment vertical="center"/>
    </xf>
    <xf numFmtId="49" fontId="40" fillId="0" borderId="26" xfId="18" applyNumberFormat="1" applyFont="1" applyBorder="1" applyAlignment="1">
      <alignment horizontal="left" vertical="center" indent="1"/>
    </xf>
    <xf numFmtId="49" fontId="36" fillId="0" borderId="0" xfId="18" applyNumberFormat="1" applyFont="1" applyAlignment="1">
      <alignment vertical="center"/>
    </xf>
    <xf numFmtId="49" fontId="36" fillId="0" borderId="27" xfId="18" applyNumberFormat="1" applyFont="1" applyBorder="1" applyAlignment="1">
      <alignment vertical="center"/>
    </xf>
    <xf numFmtId="49" fontId="36" fillId="0" borderId="26" xfId="18" applyNumberFormat="1" applyFont="1" applyBorder="1" applyAlignment="1">
      <alignment vertical="center"/>
    </xf>
    <xf numFmtId="0" fontId="41" fillId="0" borderId="0" xfId="21" applyFont="1" applyAlignment="1">
      <alignment horizontal="left" vertical="center"/>
    </xf>
    <xf numFmtId="0" fontId="41" fillId="0" borderId="27" xfId="21" applyFont="1" applyBorder="1" applyAlignment="1">
      <alignment horizontal="left" vertical="center"/>
    </xf>
    <xf numFmtId="49" fontId="36" fillId="0" borderId="76" xfId="18" applyNumberFormat="1" applyFont="1" applyBorder="1" applyAlignment="1">
      <alignment vertical="center"/>
    </xf>
    <xf numFmtId="49" fontId="36" fillId="0" borderId="77" xfId="18" applyNumberFormat="1" applyFont="1" applyBorder="1" applyAlignment="1">
      <alignment vertical="center"/>
    </xf>
    <xf numFmtId="49" fontId="36" fillId="0" borderId="78" xfId="18" applyNumberFormat="1" applyFont="1" applyBorder="1" applyAlignment="1">
      <alignment vertical="center"/>
    </xf>
    <xf numFmtId="0" fontId="41" fillId="0" borderId="11" xfId="18" applyFont="1" applyFill="1" applyBorder="1" applyAlignment="1">
      <alignment vertical="center"/>
    </xf>
    <xf numFmtId="0" fontId="36" fillId="0" borderId="11" xfId="18" applyFont="1" applyFill="1" applyBorder="1" applyAlignment="1">
      <alignment vertical="center"/>
    </xf>
    <xf numFmtId="0" fontId="36" fillId="0" borderId="28" xfId="18" applyFont="1" applyFill="1" applyBorder="1" applyAlignment="1">
      <alignment horizontal="right" vertical="center"/>
    </xf>
    <xf numFmtId="0" fontId="36" fillId="0" borderId="29" xfId="18" applyFont="1" applyFill="1" applyBorder="1" applyAlignment="1">
      <alignment horizontal="center" vertical="center"/>
    </xf>
    <xf numFmtId="0" fontId="36" fillId="0" borderId="47" xfId="21" applyFont="1" applyFill="1" applyBorder="1" applyAlignment="1">
      <alignment horizontal="center" vertical="center"/>
    </xf>
    <xf numFmtId="0" fontId="36" fillId="0" borderId="49" xfId="21" applyFont="1" applyFill="1" applyBorder="1" applyAlignment="1">
      <alignment horizontal="center" vertical="center"/>
    </xf>
    <xf numFmtId="0" fontId="36" fillId="0" borderId="13" xfId="21" applyFont="1" applyFill="1" applyBorder="1" applyAlignment="1">
      <alignment horizontal="center" vertical="center"/>
    </xf>
    <xf numFmtId="0" fontId="40" fillId="0" borderId="56" xfId="21" applyFont="1" applyFill="1" applyBorder="1" applyAlignment="1">
      <alignment horizontal="center" vertical="center"/>
    </xf>
    <xf numFmtId="0" fontId="40" fillId="0" borderId="68" xfId="21" applyFont="1" applyBorder="1" applyAlignment="1">
      <alignment horizontal="left" vertical="center" wrapText="1" indent="1"/>
    </xf>
    <xf numFmtId="0" fontId="40" fillId="0" borderId="69" xfId="21" applyFont="1" applyBorder="1" applyAlignment="1">
      <alignment horizontal="left" vertical="center" wrapText="1" indent="1"/>
    </xf>
    <xf numFmtId="0" fontId="40" fillId="0" borderId="70" xfId="21" applyFont="1" applyBorder="1" applyAlignment="1">
      <alignment horizontal="left" vertical="center" wrapText="1" indent="1"/>
    </xf>
    <xf numFmtId="176" fontId="36" fillId="0" borderId="68" xfId="22" applyFont="1" applyFill="1" applyBorder="1" applyAlignment="1">
      <alignment horizontal="right" vertical="center"/>
    </xf>
    <xf numFmtId="176" fontId="36" fillId="0" borderId="69" xfId="22" applyFont="1" applyFill="1" applyBorder="1" applyAlignment="1">
      <alignment horizontal="right" vertical="center"/>
    </xf>
    <xf numFmtId="176" fontId="36" fillId="0" borderId="70" xfId="22" applyFont="1" applyFill="1" applyBorder="1" applyAlignment="1">
      <alignment horizontal="right" vertical="center"/>
    </xf>
    <xf numFmtId="176" fontId="36" fillId="0" borderId="68" xfId="23" applyFont="1" applyFill="1" applyBorder="1" applyAlignment="1">
      <alignment horizontal="left" vertical="center"/>
    </xf>
    <xf numFmtId="176" fontId="36" fillId="0" borderId="71" xfId="23" applyFont="1" applyFill="1" applyBorder="1" applyAlignment="1">
      <alignment horizontal="left" vertical="center"/>
    </xf>
    <xf numFmtId="0" fontId="50" fillId="14" borderId="73" xfId="18" applyFont="1" applyFill="1" applyBorder="1" applyAlignment="1">
      <alignment horizontal="center" vertical="center"/>
    </xf>
    <xf numFmtId="0" fontId="50" fillId="14" borderId="43" xfId="18" applyFont="1" applyFill="1" applyBorder="1" applyAlignment="1">
      <alignment horizontal="center" vertical="center"/>
    </xf>
    <xf numFmtId="0" fontId="50" fillId="14" borderId="74" xfId="18" applyFont="1" applyFill="1" applyBorder="1" applyAlignment="1">
      <alignment horizontal="center" vertical="center"/>
    </xf>
    <xf numFmtId="9" fontId="50" fillId="14" borderId="75" xfId="2" applyFont="1" applyFill="1" applyBorder="1" applyAlignment="1">
      <alignment horizontal="center" vertical="center"/>
    </xf>
    <xf numFmtId="9" fontId="50" fillId="14" borderId="45" xfId="2" applyFont="1" applyFill="1" applyBorder="1" applyAlignment="1">
      <alignment horizontal="center" vertical="center"/>
    </xf>
    <xf numFmtId="176" fontId="36" fillId="0" borderId="14" xfId="22" applyFont="1" applyFill="1" applyBorder="1" applyAlignment="1">
      <alignment horizontal="right" vertical="center"/>
    </xf>
    <xf numFmtId="176" fontId="36" fillId="0" borderId="17" xfId="22" applyFont="1" applyFill="1" applyBorder="1" applyAlignment="1">
      <alignment horizontal="right" vertical="center"/>
    </xf>
    <xf numFmtId="176" fontId="36" fillId="0" borderId="15" xfId="22" applyFont="1" applyFill="1" applyBorder="1" applyAlignment="1">
      <alignment horizontal="right" vertical="center"/>
    </xf>
    <xf numFmtId="176" fontId="36" fillId="0" borderId="14" xfId="23" applyFont="1" applyFill="1" applyBorder="1" applyAlignment="1">
      <alignment horizontal="left" vertical="center"/>
    </xf>
    <xf numFmtId="176" fontId="36" fillId="0" borderId="55" xfId="23" applyFont="1" applyFill="1" applyBorder="1" applyAlignment="1">
      <alignment horizontal="left" vertical="center"/>
    </xf>
    <xf numFmtId="176" fontId="49" fillId="0" borderId="68" xfId="23" applyFont="1" applyBorder="1" applyAlignment="1">
      <alignment horizontal="left" vertical="center"/>
    </xf>
    <xf numFmtId="176" fontId="49" fillId="0" borderId="71" xfId="23" applyFont="1" applyBorder="1" applyAlignment="1">
      <alignment horizontal="left" vertical="center"/>
    </xf>
    <xf numFmtId="0" fontId="40" fillId="0" borderId="62" xfId="21" applyFont="1" applyBorder="1" applyAlignment="1">
      <alignment horizontal="left" vertical="center" wrapText="1" indent="1"/>
    </xf>
    <xf numFmtId="0" fontId="40" fillId="0" borderId="63" xfId="21" applyFont="1" applyBorder="1" applyAlignment="1">
      <alignment horizontal="left" vertical="center" wrapText="1" indent="1"/>
    </xf>
    <xf numFmtId="0" fontId="40" fillId="0" borderId="64" xfId="21" applyFont="1" applyBorder="1" applyAlignment="1">
      <alignment horizontal="left" vertical="center" wrapText="1" indent="1"/>
    </xf>
    <xf numFmtId="176" fontId="36" fillId="0" borderId="62" xfId="22" applyFont="1" applyFill="1" applyBorder="1" applyAlignment="1">
      <alignment horizontal="right" vertical="center"/>
    </xf>
    <xf numFmtId="176" fontId="36" fillId="0" borderId="63" xfId="22" applyFont="1" applyFill="1" applyBorder="1" applyAlignment="1">
      <alignment horizontal="right" vertical="center"/>
    </xf>
    <xf numFmtId="176" fontId="36" fillId="0" borderId="64" xfId="22" applyFont="1" applyFill="1" applyBorder="1" applyAlignment="1">
      <alignment horizontal="right" vertical="center"/>
    </xf>
    <xf numFmtId="176" fontId="36" fillId="0" borderId="60" xfId="23" applyFont="1" applyFill="1" applyBorder="1" applyAlignment="1">
      <alignment horizontal="left" vertical="center"/>
    </xf>
    <xf numFmtId="176" fontId="36" fillId="0" borderId="33" xfId="23" applyFont="1" applyFill="1" applyBorder="1" applyAlignment="1">
      <alignment horizontal="left" vertical="center"/>
    </xf>
    <xf numFmtId="176" fontId="36" fillId="0" borderId="62" xfId="23" applyFont="1" applyFill="1" applyBorder="1" applyAlignment="1">
      <alignment horizontal="left" vertical="center"/>
    </xf>
    <xf numFmtId="176" fontId="36" fillId="0" borderId="66" xfId="23" applyFont="1" applyFill="1" applyBorder="1" applyAlignment="1">
      <alignment horizontal="left" vertical="center"/>
    </xf>
    <xf numFmtId="0" fontId="40" fillId="0" borderId="60" xfId="21" applyFont="1" applyBorder="1" applyAlignment="1">
      <alignment horizontal="left" vertical="center" wrapText="1" indent="1"/>
    </xf>
    <xf numFmtId="0" fontId="40" fillId="0" borderId="4" xfId="21" applyFont="1" applyBorder="1" applyAlignment="1">
      <alignment horizontal="left" vertical="center" wrapText="1" indent="1"/>
    </xf>
    <xf numFmtId="0" fontId="40" fillId="0" borderId="61" xfId="21" applyFont="1" applyBorder="1" applyAlignment="1">
      <alignment horizontal="left" vertical="center" wrapText="1" indent="1"/>
    </xf>
    <xf numFmtId="176" fontId="36" fillId="0" borderId="60" xfId="22" applyFont="1" applyFill="1" applyBorder="1" applyAlignment="1">
      <alignment horizontal="right" vertical="center"/>
    </xf>
    <xf numFmtId="176" fontId="36" fillId="0" borderId="4" xfId="22" applyFont="1" applyFill="1" applyBorder="1" applyAlignment="1">
      <alignment horizontal="right" vertical="center"/>
    </xf>
    <xf numFmtId="176" fontId="36" fillId="0" borderId="61" xfId="22" applyFont="1" applyFill="1" applyBorder="1" applyAlignment="1">
      <alignment horizontal="right" vertical="center"/>
    </xf>
    <xf numFmtId="0" fontId="40" fillId="0" borderId="56" xfId="21" applyFont="1" applyFill="1" applyBorder="1" applyAlignment="1">
      <alignment horizontal="left" vertical="center" wrapText="1" indent="1"/>
    </xf>
    <xf numFmtId="0" fontId="40" fillId="0" borderId="57" xfId="21" applyFont="1" applyFill="1" applyBorder="1" applyAlignment="1">
      <alignment horizontal="left" vertical="center" wrapText="1" indent="1"/>
    </xf>
    <xf numFmtId="0" fontId="40" fillId="0" borderId="58" xfId="21" applyFont="1" applyFill="1" applyBorder="1" applyAlignment="1">
      <alignment horizontal="left" vertical="center" wrapText="1" indent="1"/>
    </xf>
    <xf numFmtId="176" fontId="36" fillId="0" borderId="56" xfId="22" applyFont="1" applyFill="1" applyBorder="1" applyAlignment="1">
      <alignment horizontal="right" vertical="center"/>
    </xf>
    <xf numFmtId="176" fontId="36" fillId="0" borderId="57" xfId="22" applyFont="1" applyFill="1" applyBorder="1" applyAlignment="1">
      <alignment horizontal="right" vertical="center"/>
    </xf>
    <xf numFmtId="176" fontId="36" fillId="0" borderId="58" xfId="22" applyFont="1" applyFill="1" applyBorder="1" applyAlignment="1">
      <alignment horizontal="right" vertical="center"/>
    </xf>
    <xf numFmtId="176" fontId="36" fillId="0" borderId="56" xfId="23" applyFont="1" applyBorder="1" applyAlignment="1">
      <alignment horizontal="left" vertical="center"/>
    </xf>
    <xf numFmtId="176" fontId="36" fillId="0" borderId="59" xfId="23" applyFont="1" applyBorder="1" applyAlignment="1">
      <alignment horizontal="left" vertical="center"/>
    </xf>
    <xf numFmtId="0" fontId="36" fillId="0" borderId="51" xfId="21" applyFont="1" applyFill="1" applyBorder="1" applyAlignment="1">
      <alignment horizontal="center" vertical="center" wrapText="1"/>
    </xf>
    <xf numFmtId="0" fontId="36" fillId="0" borderId="52" xfId="21" applyFont="1" applyFill="1" applyBorder="1" applyAlignment="1">
      <alignment horizontal="center" vertical="center" wrapText="1"/>
    </xf>
    <xf numFmtId="0" fontId="36" fillId="0" borderId="53" xfId="21" applyFont="1" applyFill="1" applyBorder="1" applyAlignment="1">
      <alignment horizontal="center" vertical="center" wrapText="1"/>
    </xf>
    <xf numFmtId="176" fontId="36" fillId="0" borderId="51" xfId="22" applyFont="1" applyFill="1" applyBorder="1" applyAlignment="1">
      <alignment horizontal="right" vertical="center"/>
    </xf>
    <xf numFmtId="176" fontId="36" fillId="0" borderId="52" xfId="22" applyFont="1" applyFill="1" applyBorder="1" applyAlignment="1">
      <alignment horizontal="right" vertical="center"/>
    </xf>
    <xf numFmtId="176" fontId="36" fillId="0" borderId="53" xfId="22" applyFont="1" applyFill="1" applyBorder="1" applyAlignment="1">
      <alignment horizontal="right" vertical="center"/>
    </xf>
    <xf numFmtId="176" fontId="36" fillId="0" borderId="51" xfId="23" applyFont="1" applyBorder="1" applyAlignment="1">
      <alignment horizontal="left" vertical="center"/>
    </xf>
    <xf numFmtId="176" fontId="36" fillId="0" borderId="54" xfId="23" applyFont="1" applyBorder="1" applyAlignment="1">
      <alignment horizontal="left" vertical="center"/>
    </xf>
    <xf numFmtId="0" fontId="36" fillId="0" borderId="51" xfId="21" applyFont="1" applyBorder="1" applyAlignment="1">
      <alignment horizontal="center" vertical="center" wrapText="1"/>
    </xf>
    <xf numFmtId="0" fontId="36" fillId="0" borderId="52" xfId="21" applyFont="1" applyBorder="1" applyAlignment="1">
      <alignment horizontal="center" vertical="center" wrapText="1"/>
    </xf>
    <xf numFmtId="0" fontId="36" fillId="0" borderId="53" xfId="21" applyFont="1" applyBorder="1" applyAlignment="1">
      <alignment horizontal="center" vertical="center" wrapText="1"/>
    </xf>
    <xf numFmtId="176" fontId="36" fillId="0" borderId="14" xfId="22" applyFont="1" applyBorder="1" applyAlignment="1">
      <alignment horizontal="center" vertical="center"/>
    </xf>
    <xf numFmtId="176" fontId="36" fillId="0" borderId="17" xfId="22" applyFont="1" applyBorder="1" applyAlignment="1">
      <alignment horizontal="center" vertical="center"/>
    </xf>
    <xf numFmtId="176" fontId="36" fillId="0" borderId="15" xfId="22" applyFont="1" applyBorder="1" applyAlignment="1">
      <alignment horizontal="center" vertical="center"/>
    </xf>
    <xf numFmtId="176" fontId="36" fillId="0" borderId="14" xfId="23" applyFont="1" applyBorder="1" applyAlignment="1">
      <alignment horizontal="left" vertical="center"/>
    </xf>
    <xf numFmtId="176" fontId="36" fillId="0" borderId="55" xfId="23" applyFont="1" applyBorder="1" applyAlignment="1">
      <alignment horizontal="left" vertical="center"/>
    </xf>
    <xf numFmtId="0" fontId="47" fillId="12" borderId="0" xfId="20" applyFont="1" applyFill="1" applyAlignment="1">
      <alignment horizontal="left" vertical="center"/>
    </xf>
    <xf numFmtId="0" fontId="47" fillId="12" borderId="27" xfId="20" applyFont="1" applyFill="1" applyBorder="1" applyAlignment="1">
      <alignment horizontal="left" vertical="center"/>
    </xf>
    <xf numFmtId="0" fontId="36" fillId="0" borderId="0" xfId="18" applyFont="1" applyAlignment="1">
      <alignment horizontal="right" vertical="center"/>
    </xf>
    <xf numFmtId="0" fontId="36" fillId="0" borderId="27" xfId="18" applyFont="1" applyBorder="1" applyAlignment="1">
      <alignment horizontal="right" vertical="center"/>
    </xf>
    <xf numFmtId="0" fontId="36" fillId="0" borderId="47" xfId="21" applyFont="1" applyFill="1" applyBorder="1" applyAlignment="1">
      <alignment horizontal="center" vertical="center" wrapText="1"/>
    </xf>
    <xf numFmtId="0" fontId="36" fillId="0" borderId="29" xfId="21" applyFont="1" applyFill="1" applyBorder="1" applyAlignment="1">
      <alignment horizontal="center" vertical="center" wrapText="1"/>
    </xf>
    <xf numFmtId="0" fontId="36" fillId="0" borderId="48" xfId="21" applyFont="1" applyFill="1" applyBorder="1" applyAlignment="1">
      <alignment horizontal="center" vertical="center" wrapText="1"/>
    </xf>
    <xf numFmtId="176" fontId="36" fillId="0" borderId="49" xfId="22" applyFont="1" applyFill="1" applyBorder="1" applyAlignment="1">
      <alignment horizontal="right" vertical="center"/>
    </xf>
    <xf numFmtId="176" fontId="36" fillId="0" borderId="47" xfId="21" applyNumberFormat="1" applyFont="1" applyBorder="1" applyAlignment="1">
      <alignment horizontal="left" vertical="center"/>
    </xf>
    <xf numFmtId="176" fontId="36" fillId="0" borderId="30" xfId="21" applyNumberFormat="1" applyFont="1" applyBorder="1" applyAlignment="1">
      <alignment horizontal="left" vertical="center"/>
    </xf>
    <xf numFmtId="0" fontId="46" fillId="13" borderId="42" xfId="18" applyFont="1" applyFill="1" applyBorder="1" applyAlignment="1">
      <alignment horizontal="center" vertical="center"/>
    </xf>
    <xf numFmtId="0" fontId="46" fillId="13" borderId="43" xfId="18" applyFont="1" applyFill="1" applyBorder="1" applyAlignment="1">
      <alignment horizontal="center" vertical="center"/>
    </xf>
    <xf numFmtId="0" fontId="46" fillId="13" borderId="44" xfId="18" applyFont="1" applyFill="1" applyBorder="1" applyAlignment="1">
      <alignment horizontal="center" vertical="center"/>
    </xf>
    <xf numFmtId="3" fontId="46" fillId="13" borderId="42" xfId="18" applyNumberFormat="1" applyFont="1" applyFill="1" applyBorder="1" applyAlignment="1">
      <alignment horizontal="center" vertical="center"/>
    </xf>
    <xf numFmtId="3" fontId="46" fillId="13" borderId="43" xfId="18" applyNumberFormat="1" applyFont="1" applyFill="1" applyBorder="1" applyAlignment="1">
      <alignment horizontal="center" vertical="center"/>
    </xf>
    <xf numFmtId="3" fontId="46" fillId="13" borderId="44" xfId="18" applyNumberFormat="1" applyFont="1" applyFill="1" applyBorder="1" applyAlignment="1">
      <alignment horizontal="center" vertical="center"/>
    </xf>
    <xf numFmtId="0" fontId="46" fillId="13" borderId="45" xfId="18" applyFont="1" applyFill="1" applyBorder="1" applyAlignment="1">
      <alignment horizontal="center" vertical="center"/>
    </xf>
    <xf numFmtId="193" fontId="45" fillId="12" borderId="0" xfId="18" applyNumberFormat="1" applyFont="1" applyFill="1" applyAlignment="1">
      <alignment horizontal="left" vertical="center"/>
    </xf>
    <xf numFmtId="0" fontId="35" fillId="0" borderId="23" xfId="18" applyFont="1" applyBorder="1" applyAlignment="1">
      <alignment horizontal="center" vertical="center"/>
    </xf>
    <xf numFmtId="0" fontId="35" fillId="0" borderId="24" xfId="18" applyFont="1" applyBorder="1" applyAlignment="1">
      <alignment horizontal="center" vertical="center"/>
    </xf>
    <xf numFmtId="0" fontId="35" fillId="0" borderId="25" xfId="18" applyFont="1" applyBorder="1" applyAlignment="1">
      <alignment horizontal="center" vertical="center"/>
    </xf>
    <xf numFmtId="0" fontId="37" fillId="0" borderId="26" xfId="18" applyFont="1" applyBorder="1" applyAlignment="1" applyProtection="1">
      <alignment horizontal="center" vertical="center"/>
      <protection locked="0"/>
    </xf>
    <xf numFmtId="0" fontId="37" fillId="0" borderId="0" xfId="18" applyFont="1" applyAlignment="1" applyProtection="1">
      <alignment horizontal="center" vertical="center"/>
      <protection locked="0"/>
    </xf>
    <xf numFmtId="0" fontId="37" fillId="0" borderId="27" xfId="18" applyFont="1" applyBorder="1" applyAlignment="1" applyProtection="1">
      <alignment horizontal="center" vertical="center"/>
      <protection locked="0"/>
    </xf>
    <xf numFmtId="0" fontId="36" fillId="11" borderId="28" xfId="18" applyFont="1" applyFill="1" applyBorder="1" applyAlignment="1">
      <alignment horizontal="center" vertical="center"/>
    </xf>
    <xf numFmtId="0" fontId="36" fillId="11" borderId="29" xfId="18" applyFont="1" applyFill="1" applyBorder="1" applyAlignment="1">
      <alignment horizontal="center" vertical="center"/>
    </xf>
    <xf numFmtId="0" fontId="36" fillId="11" borderId="30" xfId="18" applyFont="1" applyFill="1" applyBorder="1" applyAlignment="1">
      <alignment horizontal="center" vertical="center"/>
    </xf>
    <xf numFmtId="0" fontId="36" fillId="0" borderId="31" xfId="18" applyFont="1" applyBorder="1" applyAlignment="1">
      <alignment horizontal="center" vertical="center" wrapText="1"/>
    </xf>
    <xf numFmtId="0" fontId="36" fillId="0" borderId="34" xfId="18" applyFont="1" applyBorder="1" applyAlignment="1">
      <alignment horizontal="center" vertical="center"/>
    </xf>
    <xf numFmtId="0" fontId="36" fillId="0" borderId="38" xfId="18" applyFont="1" applyBorder="1" applyAlignment="1">
      <alignment horizontal="center" vertical="center"/>
    </xf>
    <xf numFmtId="0" fontId="36" fillId="0" borderId="32" xfId="18" applyFont="1" applyBorder="1" applyAlignment="1">
      <alignment horizontal="center" vertical="center"/>
    </xf>
    <xf numFmtId="0" fontId="36" fillId="0" borderId="4" xfId="18" applyFont="1" applyBorder="1" applyAlignment="1">
      <alignment horizontal="center" vertical="center"/>
    </xf>
    <xf numFmtId="0" fontId="36" fillId="0" borderId="33" xfId="18" applyFont="1" applyBorder="1" applyAlignment="1">
      <alignment horizontal="center" vertical="center"/>
    </xf>
    <xf numFmtId="0" fontId="43" fillId="0" borderId="32" xfId="18" applyFont="1" applyBorder="1" applyAlignment="1">
      <alignment horizontal="center" vertical="center"/>
    </xf>
    <xf numFmtId="0" fontId="41" fillId="0" borderId="4" xfId="18" applyFont="1" applyBorder="1" applyAlignment="1">
      <alignment horizontal="center" vertical="center"/>
    </xf>
    <xf numFmtId="0" fontId="41" fillId="0" borderId="5" xfId="18" applyFont="1" applyBorder="1" applyAlignment="1">
      <alignment horizontal="center" vertical="center"/>
    </xf>
    <xf numFmtId="0" fontId="43" fillId="0" borderId="3" xfId="18" applyFont="1" applyBorder="1" applyAlignment="1">
      <alignment horizontal="center" vertical="center"/>
    </xf>
    <xf numFmtId="0" fontId="41" fillId="0" borderId="33" xfId="18" applyFont="1" applyBorder="1" applyAlignment="1">
      <alignment horizontal="center" vertical="center"/>
    </xf>
    <xf numFmtId="0" fontId="36" fillId="0" borderId="32" xfId="18" applyFont="1" applyBorder="1" applyAlignment="1">
      <alignment horizontal="left" vertical="center" indent="1"/>
    </xf>
    <xf numFmtId="0" fontId="36" fillId="0" borderId="4" xfId="18" applyFont="1" applyBorder="1" applyAlignment="1">
      <alignment horizontal="left" vertical="center" indent="1"/>
    </xf>
    <xf numFmtId="0" fontId="36" fillId="0" borderId="33" xfId="18" applyFont="1" applyBorder="1" applyAlignment="1">
      <alignment horizontal="left" vertical="center" indent="1"/>
    </xf>
    <xf numFmtId="0" fontId="36" fillId="0" borderId="3" xfId="18" applyFont="1" applyBorder="1" applyAlignment="1">
      <alignment horizontal="center" vertical="center"/>
    </xf>
    <xf numFmtId="0" fontId="36" fillId="0" borderId="35" xfId="18" applyFont="1" applyBorder="1" applyAlignment="1">
      <alignment horizontal="center" vertical="center"/>
    </xf>
    <xf numFmtId="0" fontId="36" fillId="0" borderId="36" xfId="18" applyFont="1" applyBorder="1" applyAlignment="1">
      <alignment horizontal="center" vertical="center"/>
    </xf>
    <xf numFmtId="0" fontId="36" fillId="0" borderId="37" xfId="18" applyFont="1" applyBorder="1" applyAlignment="1">
      <alignment horizontal="center" vertical="center"/>
    </xf>
    <xf numFmtId="0" fontId="36" fillId="0" borderId="35" xfId="18" applyFont="1" applyBorder="1" applyAlignment="1">
      <alignment horizontal="left" vertical="center" indent="1"/>
    </xf>
    <xf numFmtId="0" fontId="36" fillId="0" borderId="36" xfId="18" applyFont="1" applyBorder="1" applyAlignment="1">
      <alignment horizontal="left" vertical="center" indent="1"/>
    </xf>
    <xf numFmtId="0" fontId="36" fillId="0" borderId="37" xfId="18" applyFont="1" applyBorder="1" applyAlignment="1">
      <alignment horizontal="left" vertical="center" indent="1"/>
    </xf>
    <xf numFmtId="0" fontId="21" fillId="0" borderId="0" xfId="0" applyFont="1" applyAlignment="1">
      <alignment horizontal="center" vertical="center"/>
    </xf>
    <xf numFmtId="0" fontId="17" fillId="0" borderId="10" xfId="0" applyFont="1" applyBorder="1" applyAlignment="1">
      <alignment horizontal="center" vertical="center"/>
    </xf>
    <xf numFmtId="0" fontId="17" fillId="0" borderId="8" xfId="0" applyFont="1" applyBorder="1" applyAlignment="1">
      <alignment horizontal="center" vertical="center"/>
    </xf>
    <xf numFmtId="0" fontId="21" fillId="0" borderId="6" xfId="0" applyFont="1" applyBorder="1" applyAlignment="1">
      <alignment horizontal="center" vertical="center"/>
    </xf>
    <xf numFmtId="0" fontId="21" fillId="8" borderId="2" xfId="0" applyFont="1" applyFill="1" applyBorder="1" applyAlignment="1">
      <alignment horizontal="center" vertical="center"/>
    </xf>
    <xf numFmtId="176" fontId="21" fillId="4" borderId="6" xfId="4" applyFont="1" applyFill="1" applyBorder="1" applyAlignment="1">
      <alignment horizontal="center" vertical="center"/>
    </xf>
    <xf numFmtId="179" fontId="21" fillId="4" borderId="6" xfId="5" applyFont="1" applyFill="1" applyBorder="1" applyAlignment="1">
      <alignment horizontal="center" vertical="center"/>
    </xf>
    <xf numFmtId="0" fontId="21" fillId="4" borderId="6" xfId="0" applyFont="1" applyFill="1" applyBorder="1" applyAlignment="1">
      <alignment horizontal="center" vertical="center"/>
    </xf>
    <xf numFmtId="0" fontId="21" fillId="4" borderId="2" xfId="0" applyFont="1" applyFill="1" applyBorder="1" applyAlignment="1">
      <alignment horizontal="center" vertical="center"/>
    </xf>
    <xf numFmtId="0" fontId="21" fillId="4" borderId="6" xfId="3" applyFont="1" applyFill="1" applyBorder="1" applyAlignment="1">
      <alignment horizontal="center" vertical="center"/>
    </xf>
    <xf numFmtId="0" fontId="21" fillId="4" borderId="2" xfId="3" applyFont="1" applyFill="1" applyBorder="1" applyAlignment="1">
      <alignment horizontal="center" vertical="center"/>
    </xf>
    <xf numFmtId="0" fontId="21" fillId="4" borderId="6" xfId="3" applyFont="1" applyFill="1" applyBorder="1" applyAlignment="1">
      <alignment horizontal="center" vertical="center" wrapText="1"/>
    </xf>
    <xf numFmtId="0" fontId="21" fillId="0" borderId="18" xfId="11" applyNumberFormat="1" applyFont="1" applyBorder="1" applyAlignment="1">
      <alignment vertical="center"/>
    </xf>
    <xf numFmtId="0" fontId="21" fillId="0" borderId="20" xfId="11" applyNumberFormat="1" applyFont="1" applyBorder="1" applyAlignment="1">
      <alignment vertical="center"/>
    </xf>
    <xf numFmtId="0" fontId="21" fillId="0" borderId="13" xfId="11" applyNumberFormat="1" applyFont="1" applyBorder="1" applyAlignment="1">
      <alignment horizontal="center" vertical="center"/>
    </xf>
    <xf numFmtId="0" fontId="21" fillId="0" borderId="16" xfId="11" applyNumberFormat="1" applyFont="1" applyBorder="1" applyAlignment="1">
      <alignment horizontal="center" vertical="center"/>
    </xf>
    <xf numFmtId="0" fontId="17" fillId="0" borderId="19" xfId="11" applyNumberFormat="1" applyFont="1" applyBorder="1" applyAlignment="1">
      <alignment vertical="center"/>
    </xf>
    <xf numFmtId="0" fontId="17" fillId="0" borderId="20" xfId="11" applyNumberFormat="1" applyFont="1" applyBorder="1" applyAlignment="1">
      <alignment vertical="center"/>
    </xf>
    <xf numFmtId="0" fontId="21" fillId="0" borderId="13" xfId="11" applyNumberFormat="1" applyFont="1" applyBorder="1" applyAlignment="1">
      <alignment vertical="center"/>
    </xf>
    <xf numFmtId="0" fontId="21" fillId="0" borderId="16" xfId="11" applyNumberFormat="1" applyFont="1" applyBorder="1" applyAlignment="1">
      <alignment vertical="center"/>
    </xf>
    <xf numFmtId="0" fontId="21" fillId="0" borderId="22" xfId="11" applyNumberFormat="1" applyFont="1" applyBorder="1" applyAlignment="1">
      <alignment horizontal="center" vertical="center"/>
    </xf>
    <xf numFmtId="0" fontId="19" fillId="0" borderId="11" xfId="13" applyFont="1" applyBorder="1" applyAlignment="1">
      <alignment horizontal="center" vertical="center"/>
    </xf>
    <xf numFmtId="187" fontId="21" fillId="10" borderId="14" xfId="11" applyNumberFormat="1" applyFont="1" applyFill="1" applyBorder="1" applyAlignment="1">
      <alignment vertical="center" wrapText="1"/>
    </xf>
    <xf numFmtId="187" fontId="21" fillId="10" borderId="17" xfId="11" applyNumberFormat="1" applyFont="1" applyFill="1" applyBorder="1" applyAlignment="1">
      <alignment vertical="center" wrapText="1"/>
    </xf>
    <xf numFmtId="187" fontId="21" fillId="10" borderId="15" xfId="11" applyNumberFormat="1" applyFont="1" applyFill="1" applyBorder="1" applyAlignment="1">
      <alignment vertical="center" wrapText="1"/>
    </xf>
    <xf numFmtId="0" fontId="21" fillId="0" borderId="12" xfId="13" quotePrefix="1" applyFont="1" applyBorder="1" applyAlignment="1">
      <alignment horizontal="center" vertical="center" wrapText="1"/>
    </xf>
    <xf numFmtId="0" fontId="29" fillId="0" borderId="12" xfId="13" quotePrefix="1" applyFont="1" applyBorder="1" applyAlignment="1">
      <alignment horizontal="center" vertical="center"/>
    </xf>
    <xf numFmtId="0" fontId="29" fillId="0" borderId="13" xfId="13" quotePrefix="1" applyFont="1" applyBorder="1" applyAlignment="1">
      <alignment horizontal="center" vertical="center" wrapText="1"/>
    </xf>
    <xf numFmtId="0" fontId="29" fillId="0" borderId="16" xfId="13" quotePrefix="1" applyFont="1" applyBorder="1" applyAlignment="1">
      <alignment horizontal="center" vertical="center" wrapText="1"/>
    </xf>
    <xf numFmtId="0" fontId="29" fillId="0" borderId="12" xfId="13" applyFont="1" applyBorder="1" applyAlignment="1">
      <alignment horizontal="center" vertical="center"/>
    </xf>
    <xf numFmtId="0" fontId="29" fillId="0" borderId="14" xfId="13" quotePrefix="1" applyFont="1" applyBorder="1" applyAlignment="1">
      <alignment horizontal="center" vertical="center"/>
    </xf>
    <xf numFmtId="0" fontId="29" fillId="0" borderId="15" xfId="13" quotePrefix="1" applyFont="1" applyBorder="1" applyAlignment="1">
      <alignment horizontal="center" vertical="center"/>
    </xf>
    <xf numFmtId="0" fontId="29" fillId="0" borderId="13" xfId="13" applyFont="1" applyBorder="1" applyAlignment="1">
      <alignment horizontal="center" vertical="center"/>
    </xf>
    <xf numFmtId="0" fontId="29" fillId="0" borderId="16" xfId="13" applyFont="1" applyBorder="1" applyAlignment="1">
      <alignment horizontal="center" vertical="center"/>
    </xf>
    <xf numFmtId="0" fontId="21" fillId="0" borderId="12" xfId="13" quotePrefix="1" applyFont="1" applyBorder="1" applyAlignment="1">
      <alignment horizontal="center" vertical="center"/>
    </xf>
  </cellXfs>
  <cellStyles count="26">
    <cellStyle name="백분율" xfId="2" builtinId="5"/>
    <cellStyle name="백분율 2 64" xfId="7" xr:uid="{00000000-0005-0000-0000-000001000000}"/>
    <cellStyle name="쉼표 [0]" xfId="1" builtinId="6"/>
    <cellStyle name="쉼표 [0] 17" xfId="5" xr:uid="{00000000-0005-0000-0000-000003000000}"/>
    <cellStyle name="쉼표 [0] 2" xfId="4" xr:uid="{00000000-0005-0000-0000-000004000000}"/>
    <cellStyle name="쉼표 [0] 2 2" xfId="16" xr:uid="{9DE5560C-89D3-4234-A527-EA49B53D4971}"/>
    <cellStyle name="쉼표 [0] 2 2 29" xfId="11" xr:uid="{00000000-0005-0000-0000-000005000000}"/>
    <cellStyle name="쉼표 [0] 2 2 29 2" xfId="23" xr:uid="{334D0B19-F3DE-48BF-AF69-BB88763A7FF6}"/>
    <cellStyle name="쉼표 [0] 2 84" xfId="25" xr:uid="{AFAAF293-B117-4DCF-B113-3BEA5427CF4D}"/>
    <cellStyle name="쉼표 [0] 3" xfId="14" xr:uid="{8F7BE219-40E1-4BBB-A9BD-02188B74B2A3}"/>
    <cellStyle name="쉼표 [0] 4" xfId="22" xr:uid="{77AC6281-630F-4791-BBCB-4588248442B2}"/>
    <cellStyle name="쉼표 [0] 5" xfId="24" xr:uid="{065256F4-1F13-42C0-A93A-7DBD4D502023}"/>
    <cellStyle name="통화 [0] 2 2" xfId="10" xr:uid="{00000000-0005-0000-0000-000007000000}"/>
    <cellStyle name="표준" xfId="0" builtinId="0"/>
    <cellStyle name="표준 10 10 2" xfId="3" xr:uid="{00000000-0005-0000-0000-000009000000}"/>
    <cellStyle name="표준 10 2" xfId="19" xr:uid="{B682C0AE-9062-466C-9FE4-2B3C276A0323}"/>
    <cellStyle name="표준 10 31" xfId="9" xr:uid="{00000000-0005-0000-0000-00000A000000}"/>
    <cellStyle name="표준 2" xfId="6" xr:uid="{00000000-0005-0000-0000-00000B000000}"/>
    <cellStyle name="표준 2 10 5" xfId="8" xr:uid="{00000000-0005-0000-0000-00000C000000}"/>
    <cellStyle name="표준 2 81" xfId="17" xr:uid="{D42D6AC2-0CD6-4D79-A095-CB5FA603F000}"/>
    <cellStyle name="표준 3" xfId="12" xr:uid="{00000000-0005-0000-0000-00000D000000}"/>
    <cellStyle name="표준 4" xfId="13" xr:uid="{08D43F33-5EF4-4FAF-B422-8A71947BBD29}"/>
    <cellStyle name="표준 5" xfId="15" xr:uid="{B39ACF8E-5B1E-4331-957C-34579729CB23}"/>
    <cellStyle name="표준_p1공장 외벽청소(08.03.17)" xfId="20" xr:uid="{FFB5FBE6-81E6-4A1D-A018-14C163180E3E}"/>
    <cellStyle name="표준_P456 공장 및 복지동 전면 유리창 청소건 라상혁님_1129(최종)" xfId="21" xr:uid="{9D2BFA9B-BA54-4D10-BABD-5070CC6D78AA}"/>
    <cellStyle name="표준_S&amp;D_MAIN VALVE_최빈_2" xfId="18" xr:uid="{8FAC172A-59A1-42B8-97F4-14AADD4A5CA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externalLink" Target="externalLinks/externalLink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externalLink" Target="externalLinks/externalLink4.xml"/><Relationship Id="rId4" Type="http://schemas.openxmlformats.org/officeDocument/2006/relationships/worksheet" Target="worksheets/sheet4.xml"/><Relationship Id="rId9" Type="http://schemas.openxmlformats.org/officeDocument/2006/relationships/externalLink" Target="externalLinks/externalLink3.xml"/><Relationship Id="rId14"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3" Type="http://schemas.openxmlformats.org/officeDocument/2006/relationships/image" Target="../media/image5.jpg"/><Relationship Id="rId2" Type="http://schemas.openxmlformats.org/officeDocument/2006/relationships/image" Target="../media/image4.png"/><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oneCell">
    <xdr:from>
      <xdr:col>13</xdr:col>
      <xdr:colOff>549088</xdr:colOff>
      <xdr:row>1</xdr:row>
      <xdr:rowOff>22410</xdr:rowOff>
    </xdr:from>
    <xdr:to>
      <xdr:col>14</xdr:col>
      <xdr:colOff>1064559</xdr:colOff>
      <xdr:row>2</xdr:row>
      <xdr:rowOff>354912</xdr:rowOff>
    </xdr:to>
    <xdr:pic>
      <xdr:nvPicPr>
        <xdr:cNvPr id="2" name="그림 1">
          <a:extLst>
            <a:ext uri="{FF2B5EF4-FFF2-40B4-BE49-F238E27FC236}">
              <a16:creationId xmlns:a16="http://schemas.microsoft.com/office/drawing/2014/main" id="{83E2843C-5A8F-46A3-881A-46EEDC1A423F}"/>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r="11173" b="11539"/>
        <a:stretch/>
      </xdr:blipFill>
      <xdr:spPr>
        <a:xfrm>
          <a:off x="6559363" y="136710"/>
          <a:ext cx="1496546" cy="456327"/>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590550</xdr:colOff>
      <xdr:row>5</xdr:row>
      <xdr:rowOff>161926</xdr:rowOff>
    </xdr:from>
    <xdr:to>
      <xdr:col>7</xdr:col>
      <xdr:colOff>310253</xdr:colOff>
      <xdr:row>38</xdr:row>
      <xdr:rowOff>171451</xdr:rowOff>
    </xdr:to>
    <xdr:pic>
      <xdr:nvPicPr>
        <xdr:cNvPr id="3" name="그림 2">
          <a:extLst>
            <a:ext uri="{FF2B5EF4-FFF2-40B4-BE49-F238E27FC236}">
              <a16:creationId xmlns:a16="http://schemas.microsoft.com/office/drawing/2014/main" id="{27E528FC-1086-4C58-B21E-FC2FA1E0B323}"/>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590550" y="1209676"/>
          <a:ext cx="4520303" cy="598170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17</xdr:col>
      <xdr:colOff>380999</xdr:colOff>
      <xdr:row>2</xdr:row>
      <xdr:rowOff>38100</xdr:rowOff>
    </xdr:from>
    <xdr:to>
      <xdr:col>26</xdr:col>
      <xdr:colOff>469140</xdr:colOff>
      <xdr:row>26</xdr:row>
      <xdr:rowOff>104775</xdr:rowOff>
    </xdr:to>
    <xdr:pic>
      <xdr:nvPicPr>
        <xdr:cNvPr id="7" name="그림 6">
          <a:extLst>
            <a:ext uri="{FF2B5EF4-FFF2-40B4-BE49-F238E27FC236}">
              <a16:creationId xmlns:a16="http://schemas.microsoft.com/office/drawing/2014/main" id="{ED2F7CAA-803A-4C32-9EA0-5517B8A5088B}"/>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2039599" y="457200"/>
          <a:ext cx="6260341" cy="5095875"/>
        </a:xfrm>
        <a:prstGeom prst="rect">
          <a:avLst/>
        </a:prstGeom>
      </xdr:spPr>
    </xdr:pic>
    <xdr:clientData/>
  </xdr:twoCellAnchor>
  <xdr:twoCellAnchor editAs="oneCell">
    <xdr:from>
      <xdr:col>10</xdr:col>
      <xdr:colOff>0</xdr:colOff>
      <xdr:row>2</xdr:row>
      <xdr:rowOff>0</xdr:rowOff>
    </xdr:from>
    <xdr:to>
      <xdr:col>17</xdr:col>
      <xdr:colOff>561305</xdr:colOff>
      <xdr:row>30</xdr:row>
      <xdr:rowOff>132600</xdr:rowOff>
    </xdr:to>
    <xdr:pic>
      <xdr:nvPicPr>
        <xdr:cNvPr id="9" name="그림 8">
          <a:extLst>
            <a:ext uri="{FF2B5EF4-FFF2-40B4-BE49-F238E27FC236}">
              <a16:creationId xmlns:a16="http://schemas.microsoft.com/office/drawing/2014/main" id="{4038D9E4-B4E2-4C4F-92C6-44B19B34F04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6858000" y="419100"/>
          <a:ext cx="5361905" cy="6000000"/>
        </a:xfrm>
        <a:prstGeom prst="rect">
          <a:avLst/>
        </a:prstGeom>
      </xdr:spPr>
    </xdr:pic>
    <xdr:clientData/>
  </xdr:twoCellAnchor>
  <xdr:twoCellAnchor editAs="oneCell">
    <xdr:from>
      <xdr:col>0</xdr:col>
      <xdr:colOff>389131</xdr:colOff>
      <xdr:row>0</xdr:row>
      <xdr:rowOff>185854</xdr:rowOff>
    </xdr:from>
    <xdr:to>
      <xdr:col>8</xdr:col>
      <xdr:colOff>563369</xdr:colOff>
      <xdr:row>26</xdr:row>
      <xdr:rowOff>11624</xdr:rowOff>
    </xdr:to>
    <xdr:pic>
      <xdr:nvPicPr>
        <xdr:cNvPr id="4" name="그림 3">
          <a:extLst>
            <a:ext uri="{FF2B5EF4-FFF2-40B4-BE49-F238E27FC236}">
              <a16:creationId xmlns:a16="http://schemas.microsoft.com/office/drawing/2014/main" id="{A0C26686-D0A5-7A3C-B8A9-40CF724DB85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89131" y="185854"/>
          <a:ext cx="5656921" cy="5412996"/>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User102\c\My%20Documents\&#50857;&#50516;&#52488;&#46321;&#54617;&#44368;\&#54028;&#51452;&#45209;&#52272;.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45224;&#51648;&#50689;\&#47196;&#52972;%20&#46356;&#49828;&#53356;%20(c)\00&#44204;&#51201;\6.%20&#44592;&#53440;&#44277;&#49324;\&#51064;&#52380;&#49340;&#49328;%20&#54156;&#54532;&#51109;\&#51064;&#52380;&#49340;&#49328;&#45236;&#50669;&#49436;-2.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A:\&#44204;&#51201;&#49436;\&#44204;&#51201;&#49436;(&#50641;&#49472;)\&#54532;&#47196;&#51229;&#53944;\&#54788;&#51228;&#51089;&#50629;&#49892;\&#46020;&#54868;,&#44221;&#54868;,&#44148;&#54868;\&#49457;&#45224;&#51008;&#54665;1&#44032;&#50517;&#51109;.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48149;&#49457;&#54596;\&#44204;&#51201;&#51088;&#47308;\PROJ\9610-01\G_BASE.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토목"/>
      <sheetName val="건축"/>
      <sheetName val="기계"/>
      <sheetName val="수량산출"/>
    </sheetNames>
    <sheetDataSet>
      <sheetData sheetId="0" refreshError="1"/>
      <sheetData sheetId="1" refreshError="1"/>
      <sheetData sheetId="2" refreshError="1"/>
      <sheetData sheetId="3"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수량산출"/>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수량산출"/>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견적서"/>
      <sheetName val="내역서1999.8최종"/>
    </sheetNames>
    <sheetDataSet>
      <sheetData sheetId="0"/>
      <sheetData sheetId="1" refreshError="1"/>
    </sheetDataSet>
  </externalBook>
</externalLink>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EF4133-CDEB-47BB-B9F3-82BF2A493094}">
  <sheetPr>
    <tabColor rgb="FF0000FF"/>
  </sheetPr>
  <dimension ref="A1:Q43"/>
  <sheetViews>
    <sheetView tabSelected="1" view="pageBreakPreview" topLeftCell="A15" zoomScale="85" zoomScaleNormal="85" zoomScaleSheetLayoutView="85" workbookViewId="0">
      <selection activeCell="J18" sqref="J18:M18"/>
    </sheetView>
  </sheetViews>
  <sheetFormatPr defaultRowHeight="14.25"/>
  <cols>
    <col min="1" max="1" width="5" style="108" customWidth="1"/>
    <col min="2" max="2" width="3.875" style="108" customWidth="1"/>
    <col min="3" max="3" width="5" style="108" customWidth="1"/>
    <col min="4" max="4" width="6.25" style="108" customWidth="1"/>
    <col min="5" max="5" width="2.875" style="108" customWidth="1"/>
    <col min="6" max="6" width="4" style="108" customWidth="1"/>
    <col min="7" max="7" width="4.75" style="108" customWidth="1"/>
    <col min="8" max="8" width="5.5" style="108" customWidth="1"/>
    <col min="9" max="9" width="5.375" style="108" customWidth="1"/>
    <col min="10" max="10" width="1.25" style="108" customWidth="1"/>
    <col min="11" max="11" width="4.375" style="108" customWidth="1"/>
    <col min="12" max="12" width="10.375" style="108" customWidth="1"/>
    <col min="13" max="13" width="20.25" style="108" bestFit="1" customWidth="1"/>
    <col min="14" max="14" width="12.875" style="108" customWidth="1"/>
    <col min="15" max="15" width="15.5" style="108" bestFit="1" customWidth="1"/>
    <col min="16" max="16" width="2.75" style="108" customWidth="1"/>
    <col min="17" max="17" width="12" style="108" bestFit="1" customWidth="1"/>
    <col min="18" max="243" width="9" style="108"/>
    <col min="244" max="244" width="5" style="108" customWidth="1"/>
    <col min="245" max="245" width="3.875" style="108" customWidth="1"/>
    <col min="246" max="246" width="5" style="108" customWidth="1"/>
    <col min="247" max="247" width="6.25" style="108" customWidth="1"/>
    <col min="248" max="248" width="2.875" style="108" customWidth="1"/>
    <col min="249" max="249" width="4" style="108" customWidth="1"/>
    <col min="250" max="250" width="4.75" style="108" customWidth="1"/>
    <col min="251" max="251" width="5.5" style="108" customWidth="1"/>
    <col min="252" max="252" width="5.375" style="108" customWidth="1"/>
    <col min="253" max="253" width="1.25" style="108" customWidth="1"/>
    <col min="254" max="254" width="4.375" style="108" customWidth="1"/>
    <col min="255" max="255" width="10.375" style="108" customWidth="1"/>
    <col min="256" max="256" width="16.625" style="108" customWidth="1"/>
    <col min="257" max="257" width="10.875" style="108" customWidth="1"/>
    <col min="258" max="258" width="18.75" style="108" customWidth="1"/>
    <col min="259" max="259" width="14.25" style="108" bestFit="1" customWidth="1"/>
    <col min="260" max="499" width="9" style="108"/>
    <col min="500" max="500" width="5" style="108" customWidth="1"/>
    <col min="501" max="501" width="3.875" style="108" customWidth="1"/>
    <col min="502" max="502" width="5" style="108" customWidth="1"/>
    <col min="503" max="503" width="6.25" style="108" customWidth="1"/>
    <col min="504" max="504" width="2.875" style="108" customWidth="1"/>
    <col min="505" max="505" width="4" style="108" customWidth="1"/>
    <col min="506" max="506" width="4.75" style="108" customWidth="1"/>
    <col min="507" max="507" width="5.5" style="108" customWidth="1"/>
    <col min="508" max="508" width="5.375" style="108" customWidth="1"/>
    <col min="509" max="509" width="1.25" style="108" customWidth="1"/>
    <col min="510" max="510" width="4.375" style="108" customWidth="1"/>
    <col min="511" max="511" width="10.375" style="108" customWidth="1"/>
    <col min="512" max="512" width="16.625" style="108" customWidth="1"/>
    <col min="513" max="513" width="10.875" style="108" customWidth="1"/>
    <col min="514" max="514" width="18.75" style="108" customWidth="1"/>
    <col min="515" max="515" width="14.25" style="108" bestFit="1" customWidth="1"/>
    <col min="516" max="755" width="9" style="108"/>
    <col min="756" max="756" width="5" style="108" customWidth="1"/>
    <col min="757" max="757" width="3.875" style="108" customWidth="1"/>
    <col min="758" max="758" width="5" style="108" customWidth="1"/>
    <col min="759" max="759" width="6.25" style="108" customWidth="1"/>
    <col min="760" max="760" width="2.875" style="108" customWidth="1"/>
    <col min="761" max="761" width="4" style="108" customWidth="1"/>
    <col min="762" max="762" width="4.75" style="108" customWidth="1"/>
    <col min="763" max="763" width="5.5" style="108" customWidth="1"/>
    <col min="764" max="764" width="5.375" style="108" customWidth="1"/>
    <col min="765" max="765" width="1.25" style="108" customWidth="1"/>
    <col min="766" max="766" width="4.375" style="108" customWidth="1"/>
    <col min="767" max="767" width="10.375" style="108" customWidth="1"/>
    <col min="768" max="768" width="16.625" style="108" customWidth="1"/>
    <col min="769" max="769" width="10.875" style="108" customWidth="1"/>
    <col min="770" max="770" width="18.75" style="108" customWidth="1"/>
    <col min="771" max="771" width="14.25" style="108" bestFit="1" customWidth="1"/>
    <col min="772" max="1011" width="9" style="108"/>
    <col min="1012" max="1012" width="5" style="108" customWidth="1"/>
    <col min="1013" max="1013" width="3.875" style="108" customWidth="1"/>
    <col min="1014" max="1014" width="5" style="108" customWidth="1"/>
    <col min="1015" max="1015" width="6.25" style="108" customWidth="1"/>
    <col min="1016" max="1016" width="2.875" style="108" customWidth="1"/>
    <col min="1017" max="1017" width="4" style="108" customWidth="1"/>
    <col min="1018" max="1018" width="4.75" style="108" customWidth="1"/>
    <col min="1019" max="1019" width="5.5" style="108" customWidth="1"/>
    <col min="1020" max="1020" width="5.375" style="108" customWidth="1"/>
    <col min="1021" max="1021" width="1.25" style="108" customWidth="1"/>
    <col min="1022" max="1022" width="4.375" style="108" customWidth="1"/>
    <col min="1023" max="1023" width="10.375" style="108" customWidth="1"/>
    <col min="1024" max="1024" width="16.625" style="108" customWidth="1"/>
    <col min="1025" max="1025" width="10.875" style="108" customWidth="1"/>
    <col min="1026" max="1026" width="18.75" style="108" customWidth="1"/>
    <col min="1027" max="1027" width="14.25" style="108" bestFit="1" customWidth="1"/>
    <col min="1028" max="1267" width="9" style="108"/>
    <col min="1268" max="1268" width="5" style="108" customWidth="1"/>
    <col min="1269" max="1269" width="3.875" style="108" customWidth="1"/>
    <col min="1270" max="1270" width="5" style="108" customWidth="1"/>
    <col min="1271" max="1271" width="6.25" style="108" customWidth="1"/>
    <col min="1272" max="1272" width="2.875" style="108" customWidth="1"/>
    <col min="1273" max="1273" width="4" style="108" customWidth="1"/>
    <col min="1274" max="1274" width="4.75" style="108" customWidth="1"/>
    <col min="1275" max="1275" width="5.5" style="108" customWidth="1"/>
    <col min="1276" max="1276" width="5.375" style="108" customWidth="1"/>
    <col min="1277" max="1277" width="1.25" style="108" customWidth="1"/>
    <col min="1278" max="1278" width="4.375" style="108" customWidth="1"/>
    <col min="1279" max="1279" width="10.375" style="108" customWidth="1"/>
    <col min="1280" max="1280" width="16.625" style="108" customWidth="1"/>
    <col min="1281" max="1281" width="10.875" style="108" customWidth="1"/>
    <col min="1282" max="1282" width="18.75" style="108" customWidth="1"/>
    <col min="1283" max="1283" width="14.25" style="108" bestFit="1" customWidth="1"/>
    <col min="1284" max="1523" width="9" style="108"/>
    <col min="1524" max="1524" width="5" style="108" customWidth="1"/>
    <col min="1525" max="1525" width="3.875" style="108" customWidth="1"/>
    <col min="1526" max="1526" width="5" style="108" customWidth="1"/>
    <col min="1527" max="1527" width="6.25" style="108" customWidth="1"/>
    <col min="1528" max="1528" width="2.875" style="108" customWidth="1"/>
    <col min="1529" max="1529" width="4" style="108" customWidth="1"/>
    <col min="1530" max="1530" width="4.75" style="108" customWidth="1"/>
    <col min="1531" max="1531" width="5.5" style="108" customWidth="1"/>
    <col min="1532" max="1532" width="5.375" style="108" customWidth="1"/>
    <col min="1533" max="1533" width="1.25" style="108" customWidth="1"/>
    <col min="1534" max="1534" width="4.375" style="108" customWidth="1"/>
    <col min="1535" max="1535" width="10.375" style="108" customWidth="1"/>
    <col min="1536" max="1536" width="16.625" style="108" customWidth="1"/>
    <col min="1537" max="1537" width="10.875" style="108" customWidth="1"/>
    <col min="1538" max="1538" width="18.75" style="108" customWidth="1"/>
    <col min="1539" max="1539" width="14.25" style="108" bestFit="1" customWidth="1"/>
    <col min="1540" max="1779" width="9" style="108"/>
    <col min="1780" max="1780" width="5" style="108" customWidth="1"/>
    <col min="1781" max="1781" width="3.875" style="108" customWidth="1"/>
    <col min="1782" max="1782" width="5" style="108" customWidth="1"/>
    <col min="1783" max="1783" width="6.25" style="108" customWidth="1"/>
    <col min="1784" max="1784" width="2.875" style="108" customWidth="1"/>
    <col min="1785" max="1785" width="4" style="108" customWidth="1"/>
    <col min="1786" max="1786" width="4.75" style="108" customWidth="1"/>
    <col min="1787" max="1787" width="5.5" style="108" customWidth="1"/>
    <col min="1788" max="1788" width="5.375" style="108" customWidth="1"/>
    <col min="1789" max="1789" width="1.25" style="108" customWidth="1"/>
    <col min="1790" max="1790" width="4.375" style="108" customWidth="1"/>
    <col min="1791" max="1791" width="10.375" style="108" customWidth="1"/>
    <col min="1792" max="1792" width="16.625" style="108" customWidth="1"/>
    <col min="1793" max="1793" width="10.875" style="108" customWidth="1"/>
    <col min="1794" max="1794" width="18.75" style="108" customWidth="1"/>
    <col min="1795" max="1795" width="14.25" style="108" bestFit="1" customWidth="1"/>
    <col min="1796" max="2035" width="9" style="108"/>
    <col min="2036" max="2036" width="5" style="108" customWidth="1"/>
    <col min="2037" max="2037" width="3.875" style="108" customWidth="1"/>
    <col min="2038" max="2038" width="5" style="108" customWidth="1"/>
    <col min="2039" max="2039" width="6.25" style="108" customWidth="1"/>
    <col min="2040" max="2040" width="2.875" style="108" customWidth="1"/>
    <col min="2041" max="2041" width="4" style="108" customWidth="1"/>
    <col min="2042" max="2042" width="4.75" style="108" customWidth="1"/>
    <col min="2043" max="2043" width="5.5" style="108" customWidth="1"/>
    <col min="2044" max="2044" width="5.375" style="108" customWidth="1"/>
    <col min="2045" max="2045" width="1.25" style="108" customWidth="1"/>
    <col min="2046" max="2046" width="4.375" style="108" customWidth="1"/>
    <col min="2047" max="2047" width="10.375" style="108" customWidth="1"/>
    <col min="2048" max="2048" width="16.625" style="108" customWidth="1"/>
    <col min="2049" max="2049" width="10.875" style="108" customWidth="1"/>
    <col min="2050" max="2050" width="18.75" style="108" customWidth="1"/>
    <col min="2051" max="2051" width="14.25" style="108" bestFit="1" customWidth="1"/>
    <col min="2052" max="2291" width="9" style="108"/>
    <col min="2292" max="2292" width="5" style="108" customWidth="1"/>
    <col min="2293" max="2293" width="3.875" style="108" customWidth="1"/>
    <col min="2294" max="2294" width="5" style="108" customWidth="1"/>
    <col min="2295" max="2295" width="6.25" style="108" customWidth="1"/>
    <col min="2296" max="2296" width="2.875" style="108" customWidth="1"/>
    <col min="2297" max="2297" width="4" style="108" customWidth="1"/>
    <col min="2298" max="2298" width="4.75" style="108" customWidth="1"/>
    <col min="2299" max="2299" width="5.5" style="108" customWidth="1"/>
    <col min="2300" max="2300" width="5.375" style="108" customWidth="1"/>
    <col min="2301" max="2301" width="1.25" style="108" customWidth="1"/>
    <col min="2302" max="2302" width="4.375" style="108" customWidth="1"/>
    <col min="2303" max="2303" width="10.375" style="108" customWidth="1"/>
    <col min="2304" max="2304" width="16.625" style="108" customWidth="1"/>
    <col min="2305" max="2305" width="10.875" style="108" customWidth="1"/>
    <col min="2306" max="2306" width="18.75" style="108" customWidth="1"/>
    <col min="2307" max="2307" width="14.25" style="108" bestFit="1" customWidth="1"/>
    <col min="2308" max="2547" width="9" style="108"/>
    <col min="2548" max="2548" width="5" style="108" customWidth="1"/>
    <col min="2549" max="2549" width="3.875" style="108" customWidth="1"/>
    <col min="2550" max="2550" width="5" style="108" customWidth="1"/>
    <col min="2551" max="2551" width="6.25" style="108" customWidth="1"/>
    <col min="2552" max="2552" width="2.875" style="108" customWidth="1"/>
    <col min="2553" max="2553" width="4" style="108" customWidth="1"/>
    <col min="2554" max="2554" width="4.75" style="108" customWidth="1"/>
    <col min="2555" max="2555" width="5.5" style="108" customWidth="1"/>
    <col min="2556" max="2556" width="5.375" style="108" customWidth="1"/>
    <col min="2557" max="2557" width="1.25" style="108" customWidth="1"/>
    <col min="2558" max="2558" width="4.375" style="108" customWidth="1"/>
    <col min="2559" max="2559" width="10.375" style="108" customWidth="1"/>
    <col min="2560" max="2560" width="16.625" style="108" customWidth="1"/>
    <col min="2561" max="2561" width="10.875" style="108" customWidth="1"/>
    <col min="2562" max="2562" width="18.75" style="108" customWidth="1"/>
    <col min="2563" max="2563" width="14.25" style="108" bestFit="1" customWidth="1"/>
    <col min="2564" max="2803" width="9" style="108"/>
    <col min="2804" max="2804" width="5" style="108" customWidth="1"/>
    <col min="2805" max="2805" width="3.875" style="108" customWidth="1"/>
    <col min="2806" max="2806" width="5" style="108" customWidth="1"/>
    <col min="2807" max="2807" width="6.25" style="108" customWidth="1"/>
    <col min="2808" max="2808" width="2.875" style="108" customWidth="1"/>
    <col min="2809" max="2809" width="4" style="108" customWidth="1"/>
    <col min="2810" max="2810" width="4.75" style="108" customWidth="1"/>
    <col min="2811" max="2811" width="5.5" style="108" customWidth="1"/>
    <col min="2812" max="2812" width="5.375" style="108" customWidth="1"/>
    <col min="2813" max="2813" width="1.25" style="108" customWidth="1"/>
    <col min="2814" max="2814" width="4.375" style="108" customWidth="1"/>
    <col min="2815" max="2815" width="10.375" style="108" customWidth="1"/>
    <col min="2816" max="2816" width="16.625" style="108" customWidth="1"/>
    <col min="2817" max="2817" width="10.875" style="108" customWidth="1"/>
    <col min="2818" max="2818" width="18.75" style="108" customWidth="1"/>
    <col min="2819" max="2819" width="14.25" style="108" bestFit="1" customWidth="1"/>
    <col min="2820" max="3059" width="9" style="108"/>
    <col min="3060" max="3060" width="5" style="108" customWidth="1"/>
    <col min="3061" max="3061" width="3.875" style="108" customWidth="1"/>
    <col min="3062" max="3062" width="5" style="108" customWidth="1"/>
    <col min="3063" max="3063" width="6.25" style="108" customWidth="1"/>
    <col min="3064" max="3064" width="2.875" style="108" customWidth="1"/>
    <col min="3065" max="3065" width="4" style="108" customWidth="1"/>
    <col min="3066" max="3066" width="4.75" style="108" customWidth="1"/>
    <col min="3067" max="3067" width="5.5" style="108" customWidth="1"/>
    <col min="3068" max="3068" width="5.375" style="108" customWidth="1"/>
    <col min="3069" max="3069" width="1.25" style="108" customWidth="1"/>
    <col min="3070" max="3070" width="4.375" style="108" customWidth="1"/>
    <col min="3071" max="3071" width="10.375" style="108" customWidth="1"/>
    <col min="3072" max="3072" width="16.625" style="108" customWidth="1"/>
    <col min="3073" max="3073" width="10.875" style="108" customWidth="1"/>
    <col min="3074" max="3074" width="18.75" style="108" customWidth="1"/>
    <col min="3075" max="3075" width="14.25" style="108" bestFit="1" customWidth="1"/>
    <col min="3076" max="3315" width="9" style="108"/>
    <col min="3316" max="3316" width="5" style="108" customWidth="1"/>
    <col min="3317" max="3317" width="3.875" style="108" customWidth="1"/>
    <col min="3318" max="3318" width="5" style="108" customWidth="1"/>
    <col min="3319" max="3319" width="6.25" style="108" customWidth="1"/>
    <col min="3320" max="3320" width="2.875" style="108" customWidth="1"/>
    <col min="3321" max="3321" width="4" style="108" customWidth="1"/>
    <col min="3322" max="3322" width="4.75" style="108" customWidth="1"/>
    <col min="3323" max="3323" width="5.5" style="108" customWidth="1"/>
    <col min="3324" max="3324" width="5.375" style="108" customWidth="1"/>
    <col min="3325" max="3325" width="1.25" style="108" customWidth="1"/>
    <col min="3326" max="3326" width="4.375" style="108" customWidth="1"/>
    <col min="3327" max="3327" width="10.375" style="108" customWidth="1"/>
    <col min="3328" max="3328" width="16.625" style="108" customWidth="1"/>
    <col min="3329" max="3329" width="10.875" style="108" customWidth="1"/>
    <col min="3330" max="3330" width="18.75" style="108" customWidth="1"/>
    <col min="3331" max="3331" width="14.25" style="108" bestFit="1" customWidth="1"/>
    <col min="3332" max="3571" width="9" style="108"/>
    <col min="3572" max="3572" width="5" style="108" customWidth="1"/>
    <col min="3573" max="3573" width="3.875" style="108" customWidth="1"/>
    <col min="3574" max="3574" width="5" style="108" customWidth="1"/>
    <col min="3575" max="3575" width="6.25" style="108" customWidth="1"/>
    <col min="3576" max="3576" width="2.875" style="108" customWidth="1"/>
    <col min="3577" max="3577" width="4" style="108" customWidth="1"/>
    <col min="3578" max="3578" width="4.75" style="108" customWidth="1"/>
    <col min="3579" max="3579" width="5.5" style="108" customWidth="1"/>
    <col min="3580" max="3580" width="5.375" style="108" customWidth="1"/>
    <col min="3581" max="3581" width="1.25" style="108" customWidth="1"/>
    <col min="3582" max="3582" width="4.375" style="108" customWidth="1"/>
    <col min="3583" max="3583" width="10.375" style="108" customWidth="1"/>
    <col min="3584" max="3584" width="16.625" style="108" customWidth="1"/>
    <col min="3585" max="3585" width="10.875" style="108" customWidth="1"/>
    <col min="3586" max="3586" width="18.75" style="108" customWidth="1"/>
    <col min="3587" max="3587" width="14.25" style="108" bestFit="1" customWidth="1"/>
    <col min="3588" max="3827" width="9" style="108"/>
    <col min="3828" max="3828" width="5" style="108" customWidth="1"/>
    <col min="3829" max="3829" width="3.875" style="108" customWidth="1"/>
    <col min="3830" max="3830" width="5" style="108" customWidth="1"/>
    <col min="3831" max="3831" width="6.25" style="108" customWidth="1"/>
    <col min="3832" max="3832" width="2.875" style="108" customWidth="1"/>
    <col min="3833" max="3833" width="4" style="108" customWidth="1"/>
    <col min="3834" max="3834" width="4.75" style="108" customWidth="1"/>
    <col min="3835" max="3835" width="5.5" style="108" customWidth="1"/>
    <col min="3836" max="3836" width="5.375" style="108" customWidth="1"/>
    <col min="3837" max="3837" width="1.25" style="108" customWidth="1"/>
    <col min="3838" max="3838" width="4.375" style="108" customWidth="1"/>
    <col min="3839" max="3839" width="10.375" style="108" customWidth="1"/>
    <col min="3840" max="3840" width="16.625" style="108" customWidth="1"/>
    <col min="3841" max="3841" width="10.875" style="108" customWidth="1"/>
    <col min="3842" max="3842" width="18.75" style="108" customWidth="1"/>
    <col min="3843" max="3843" width="14.25" style="108" bestFit="1" customWidth="1"/>
    <col min="3844" max="4083" width="9" style="108"/>
    <col min="4084" max="4084" width="5" style="108" customWidth="1"/>
    <col min="4085" max="4085" width="3.875" style="108" customWidth="1"/>
    <col min="4086" max="4086" width="5" style="108" customWidth="1"/>
    <col min="4087" max="4087" width="6.25" style="108" customWidth="1"/>
    <col min="4088" max="4088" width="2.875" style="108" customWidth="1"/>
    <col min="4089" max="4089" width="4" style="108" customWidth="1"/>
    <col min="4090" max="4090" width="4.75" style="108" customWidth="1"/>
    <col min="4091" max="4091" width="5.5" style="108" customWidth="1"/>
    <col min="4092" max="4092" width="5.375" style="108" customWidth="1"/>
    <col min="4093" max="4093" width="1.25" style="108" customWidth="1"/>
    <col min="4094" max="4094" width="4.375" style="108" customWidth="1"/>
    <col min="4095" max="4095" width="10.375" style="108" customWidth="1"/>
    <col min="4096" max="4096" width="16.625" style="108" customWidth="1"/>
    <col min="4097" max="4097" width="10.875" style="108" customWidth="1"/>
    <col min="4098" max="4098" width="18.75" style="108" customWidth="1"/>
    <col min="4099" max="4099" width="14.25" style="108" bestFit="1" customWidth="1"/>
    <col min="4100" max="4339" width="9" style="108"/>
    <col min="4340" max="4340" width="5" style="108" customWidth="1"/>
    <col min="4341" max="4341" width="3.875" style="108" customWidth="1"/>
    <col min="4342" max="4342" width="5" style="108" customWidth="1"/>
    <col min="4343" max="4343" width="6.25" style="108" customWidth="1"/>
    <col min="4344" max="4344" width="2.875" style="108" customWidth="1"/>
    <col min="4345" max="4345" width="4" style="108" customWidth="1"/>
    <col min="4346" max="4346" width="4.75" style="108" customWidth="1"/>
    <col min="4347" max="4347" width="5.5" style="108" customWidth="1"/>
    <col min="4348" max="4348" width="5.375" style="108" customWidth="1"/>
    <col min="4349" max="4349" width="1.25" style="108" customWidth="1"/>
    <col min="4350" max="4350" width="4.375" style="108" customWidth="1"/>
    <col min="4351" max="4351" width="10.375" style="108" customWidth="1"/>
    <col min="4352" max="4352" width="16.625" style="108" customWidth="1"/>
    <col min="4353" max="4353" width="10.875" style="108" customWidth="1"/>
    <col min="4354" max="4354" width="18.75" style="108" customWidth="1"/>
    <col min="4355" max="4355" width="14.25" style="108" bestFit="1" customWidth="1"/>
    <col min="4356" max="4595" width="9" style="108"/>
    <col min="4596" max="4596" width="5" style="108" customWidth="1"/>
    <col min="4597" max="4597" width="3.875" style="108" customWidth="1"/>
    <col min="4598" max="4598" width="5" style="108" customWidth="1"/>
    <col min="4599" max="4599" width="6.25" style="108" customWidth="1"/>
    <col min="4600" max="4600" width="2.875" style="108" customWidth="1"/>
    <col min="4601" max="4601" width="4" style="108" customWidth="1"/>
    <col min="4602" max="4602" width="4.75" style="108" customWidth="1"/>
    <col min="4603" max="4603" width="5.5" style="108" customWidth="1"/>
    <col min="4604" max="4604" width="5.375" style="108" customWidth="1"/>
    <col min="4605" max="4605" width="1.25" style="108" customWidth="1"/>
    <col min="4606" max="4606" width="4.375" style="108" customWidth="1"/>
    <col min="4607" max="4607" width="10.375" style="108" customWidth="1"/>
    <col min="4608" max="4608" width="16.625" style="108" customWidth="1"/>
    <col min="4609" max="4609" width="10.875" style="108" customWidth="1"/>
    <col min="4610" max="4610" width="18.75" style="108" customWidth="1"/>
    <col min="4611" max="4611" width="14.25" style="108" bestFit="1" customWidth="1"/>
    <col min="4612" max="4851" width="9" style="108"/>
    <col min="4852" max="4852" width="5" style="108" customWidth="1"/>
    <col min="4853" max="4853" width="3.875" style="108" customWidth="1"/>
    <col min="4854" max="4854" width="5" style="108" customWidth="1"/>
    <col min="4855" max="4855" width="6.25" style="108" customWidth="1"/>
    <col min="4856" max="4856" width="2.875" style="108" customWidth="1"/>
    <col min="4857" max="4857" width="4" style="108" customWidth="1"/>
    <col min="4858" max="4858" width="4.75" style="108" customWidth="1"/>
    <col min="4859" max="4859" width="5.5" style="108" customWidth="1"/>
    <col min="4860" max="4860" width="5.375" style="108" customWidth="1"/>
    <col min="4861" max="4861" width="1.25" style="108" customWidth="1"/>
    <col min="4862" max="4862" width="4.375" style="108" customWidth="1"/>
    <col min="4863" max="4863" width="10.375" style="108" customWidth="1"/>
    <col min="4864" max="4864" width="16.625" style="108" customWidth="1"/>
    <col min="4865" max="4865" width="10.875" style="108" customWidth="1"/>
    <col min="4866" max="4866" width="18.75" style="108" customWidth="1"/>
    <col min="4867" max="4867" width="14.25" style="108" bestFit="1" customWidth="1"/>
    <col min="4868" max="5107" width="9" style="108"/>
    <col min="5108" max="5108" width="5" style="108" customWidth="1"/>
    <col min="5109" max="5109" width="3.875" style="108" customWidth="1"/>
    <col min="5110" max="5110" width="5" style="108" customWidth="1"/>
    <col min="5111" max="5111" width="6.25" style="108" customWidth="1"/>
    <col min="5112" max="5112" width="2.875" style="108" customWidth="1"/>
    <col min="5113" max="5113" width="4" style="108" customWidth="1"/>
    <col min="5114" max="5114" width="4.75" style="108" customWidth="1"/>
    <col min="5115" max="5115" width="5.5" style="108" customWidth="1"/>
    <col min="5116" max="5116" width="5.375" style="108" customWidth="1"/>
    <col min="5117" max="5117" width="1.25" style="108" customWidth="1"/>
    <col min="5118" max="5118" width="4.375" style="108" customWidth="1"/>
    <col min="5119" max="5119" width="10.375" style="108" customWidth="1"/>
    <col min="5120" max="5120" width="16.625" style="108" customWidth="1"/>
    <col min="5121" max="5121" width="10.875" style="108" customWidth="1"/>
    <col min="5122" max="5122" width="18.75" style="108" customWidth="1"/>
    <col min="5123" max="5123" width="14.25" style="108" bestFit="1" customWidth="1"/>
    <col min="5124" max="5363" width="9" style="108"/>
    <col min="5364" max="5364" width="5" style="108" customWidth="1"/>
    <col min="5365" max="5365" width="3.875" style="108" customWidth="1"/>
    <col min="5366" max="5366" width="5" style="108" customWidth="1"/>
    <col min="5367" max="5367" width="6.25" style="108" customWidth="1"/>
    <col min="5368" max="5368" width="2.875" style="108" customWidth="1"/>
    <col min="5369" max="5369" width="4" style="108" customWidth="1"/>
    <col min="5370" max="5370" width="4.75" style="108" customWidth="1"/>
    <col min="5371" max="5371" width="5.5" style="108" customWidth="1"/>
    <col min="5372" max="5372" width="5.375" style="108" customWidth="1"/>
    <col min="5373" max="5373" width="1.25" style="108" customWidth="1"/>
    <col min="5374" max="5374" width="4.375" style="108" customWidth="1"/>
    <col min="5375" max="5375" width="10.375" style="108" customWidth="1"/>
    <col min="5376" max="5376" width="16.625" style="108" customWidth="1"/>
    <col min="5377" max="5377" width="10.875" style="108" customWidth="1"/>
    <col min="5378" max="5378" width="18.75" style="108" customWidth="1"/>
    <col min="5379" max="5379" width="14.25" style="108" bestFit="1" customWidth="1"/>
    <col min="5380" max="5619" width="9" style="108"/>
    <col min="5620" max="5620" width="5" style="108" customWidth="1"/>
    <col min="5621" max="5621" width="3.875" style="108" customWidth="1"/>
    <col min="5622" max="5622" width="5" style="108" customWidth="1"/>
    <col min="5623" max="5623" width="6.25" style="108" customWidth="1"/>
    <col min="5624" max="5624" width="2.875" style="108" customWidth="1"/>
    <col min="5625" max="5625" width="4" style="108" customWidth="1"/>
    <col min="5626" max="5626" width="4.75" style="108" customWidth="1"/>
    <col min="5627" max="5627" width="5.5" style="108" customWidth="1"/>
    <col min="5628" max="5628" width="5.375" style="108" customWidth="1"/>
    <col min="5629" max="5629" width="1.25" style="108" customWidth="1"/>
    <col min="5630" max="5630" width="4.375" style="108" customWidth="1"/>
    <col min="5631" max="5631" width="10.375" style="108" customWidth="1"/>
    <col min="5632" max="5632" width="16.625" style="108" customWidth="1"/>
    <col min="5633" max="5633" width="10.875" style="108" customWidth="1"/>
    <col min="5634" max="5634" width="18.75" style="108" customWidth="1"/>
    <col min="5635" max="5635" width="14.25" style="108" bestFit="1" customWidth="1"/>
    <col min="5636" max="5875" width="9" style="108"/>
    <col min="5876" max="5876" width="5" style="108" customWidth="1"/>
    <col min="5877" max="5877" width="3.875" style="108" customWidth="1"/>
    <col min="5878" max="5878" width="5" style="108" customWidth="1"/>
    <col min="5879" max="5879" width="6.25" style="108" customWidth="1"/>
    <col min="5880" max="5880" width="2.875" style="108" customWidth="1"/>
    <col min="5881" max="5881" width="4" style="108" customWidth="1"/>
    <col min="5882" max="5882" width="4.75" style="108" customWidth="1"/>
    <col min="5883" max="5883" width="5.5" style="108" customWidth="1"/>
    <col min="5884" max="5884" width="5.375" style="108" customWidth="1"/>
    <col min="5885" max="5885" width="1.25" style="108" customWidth="1"/>
    <col min="5886" max="5886" width="4.375" style="108" customWidth="1"/>
    <col min="5887" max="5887" width="10.375" style="108" customWidth="1"/>
    <col min="5888" max="5888" width="16.625" style="108" customWidth="1"/>
    <col min="5889" max="5889" width="10.875" style="108" customWidth="1"/>
    <col min="5890" max="5890" width="18.75" style="108" customWidth="1"/>
    <col min="5891" max="5891" width="14.25" style="108" bestFit="1" customWidth="1"/>
    <col min="5892" max="6131" width="9" style="108"/>
    <col min="6132" max="6132" width="5" style="108" customWidth="1"/>
    <col min="6133" max="6133" width="3.875" style="108" customWidth="1"/>
    <col min="6134" max="6134" width="5" style="108" customWidth="1"/>
    <col min="6135" max="6135" width="6.25" style="108" customWidth="1"/>
    <col min="6136" max="6136" width="2.875" style="108" customWidth="1"/>
    <col min="6137" max="6137" width="4" style="108" customWidth="1"/>
    <col min="6138" max="6138" width="4.75" style="108" customWidth="1"/>
    <col min="6139" max="6139" width="5.5" style="108" customWidth="1"/>
    <col min="6140" max="6140" width="5.375" style="108" customWidth="1"/>
    <col min="6141" max="6141" width="1.25" style="108" customWidth="1"/>
    <col min="6142" max="6142" width="4.375" style="108" customWidth="1"/>
    <col min="6143" max="6143" width="10.375" style="108" customWidth="1"/>
    <col min="6144" max="6144" width="16.625" style="108" customWidth="1"/>
    <col min="6145" max="6145" width="10.875" style="108" customWidth="1"/>
    <col min="6146" max="6146" width="18.75" style="108" customWidth="1"/>
    <col min="6147" max="6147" width="14.25" style="108" bestFit="1" customWidth="1"/>
    <col min="6148" max="6387" width="9" style="108"/>
    <col min="6388" max="6388" width="5" style="108" customWidth="1"/>
    <col min="6389" max="6389" width="3.875" style="108" customWidth="1"/>
    <col min="6390" max="6390" width="5" style="108" customWidth="1"/>
    <col min="6391" max="6391" width="6.25" style="108" customWidth="1"/>
    <col min="6392" max="6392" width="2.875" style="108" customWidth="1"/>
    <col min="6393" max="6393" width="4" style="108" customWidth="1"/>
    <col min="6394" max="6394" width="4.75" style="108" customWidth="1"/>
    <col min="6395" max="6395" width="5.5" style="108" customWidth="1"/>
    <col min="6396" max="6396" width="5.375" style="108" customWidth="1"/>
    <col min="6397" max="6397" width="1.25" style="108" customWidth="1"/>
    <col min="6398" max="6398" width="4.375" style="108" customWidth="1"/>
    <col min="6399" max="6399" width="10.375" style="108" customWidth="1"/>
    <col min="6400" max="6400" width="16.625" style="108" customWidth="1"/>
    <col min="6401" max="6401" width="10.875" style="108" customWidth="1"/>
    <col min="6402" max="6402" width="18.75" style="108" customWidth="1"/>
    <col min="6403" max="6403" width="14.25" style="108" bestFit="1" customWidth="1"/>
    <col min="6404" max="6643" width="9" style="108"/>
    <col min="6644" max="6644" width="5" style="108" customWidth="1"/>
    <col min="6645" max="6645" width="3.875" style="108" customWidth="1"/>
    <col min="6646" max="6646" width="5" style="108" customWidth="1"/>
    <col min="6647" max="6647" width="6.25" style="108" customWidth="1"/>
    <col min="6648" max="6648" width="2.875" style="108" customWidth="1"/>
    <col min="6649" max="6649" width="4" style="108" customWidth="1"/>
    <col min="6650" max="6650" width="4.75" style="108" customWidth="1"/>
    <col min="6651" max="6651" width="5.5" style="108" customWidth="1"/>
    <col min="6652" max="6652" width="5.375" style="108" customWidth="1"/>
    <col min="6653" max="6653" width="1.25" style="108" customWidth="1"/>
    <col min="6654" max="6654" width="4.375" style="108" customWidth="1"/>
    <col min="6655" max="6655" width="10.375" style="108" customWidth="1"/>
    <col min="6656" max="6656" width="16.625" style="108" customWidth="1"/>
    <col min="6657" max="6657" width="10.875" style="108" customWidth="1"/>
    <col min="6658" max="6658" width="18.75" style="108" customWidth="1"/>
    <col min="6659" max="6659" width="14.25" style="108" bestFit="1" customWidth="1"/>
    <col min="6660" max="6899" width="9" style="108"/>
    <col min="6900" max="6900" width="5" style="108" customWidth="1"/>
    <col min="6901" max="6901" width="3.875" style="108" customWidth="1"/>
    <col min="6902" max="6902" width="5" style="108" customWidth="1"/>
    <col min="6903" max="6903" width="6.25" style="108" customWidth="1"/>
    <col min="6904" max="6904" width="2.875" style="108" customWidth="1"/>
    <col min="6905" max="6905" width="4" style="108" customWidth="1"/>
    <col min="6906" max="6906" width="4.75" style="108" customWidth="1"/>
    <col min="6907" max="6907" width="5.5" style="108" customWidth="1"/>
    <col min="6908" max="6908" width="5.375" style="108" customWidth="1"/>
    <col min="6909" max="6909" width="1.25" style="108" customWidth="1"/>
    <col min="6910" max="6910" width="4.375" style="108" customWidth="1"/>
    <col min="6911" max="6911" width="10.375" style="108" customWidth="1"/>
    <col min="6912" max="6912" width="16.625" style="108" customWidth="1"/>
    <col min="6913" max="6913" width="10.875" style="108" customWidth="1"/>
    <col min="6914" max="6914" width="18.75" style="108" customWidth="1"/>
    <col min="6915" max="6915" width="14.25" style="108" bestFit="1" customWidth="1"/>
    <col min="6916" max="7155" width="9" style="108"/>
    <col min="7156" max="7156" width="5" style="108" customWidth="1"/>
    <col min="7157" max="7157" width="3.875" style="108" customWidth="1"/>
    <col min="7158" max="7158" width="5" style="108" customWidth="1"/>
    <col min="7159" max="7159" width="6.25" style="108" customWidth="1"/>
    <col min="7160" max="7160" width="2.875" style="108" customWidth="1"/>
    <col min="7161" max="7161" width="4" style="108" customWidth="1"/>
    <col min="7162" max="7162" width="4.75" style="108" customWidth="1"/>
    <col min="7163" max="7163" width="5.5" style="108" customWidth="1"/>
    <col min="7164" max="7164" width="5.375" style="108" customWidth="1"/>
    <col min="7165" max="7165" width="1.25" style="108" customWidth="1"/>
    <col min="7166" max="7166" width="4.375" style="108" customWidth="1"/>
    <col min="7167" max="7167" width="10.375" style="108" customWidth="1"/>
    <col min="7168" max="7168" width="16.625" style="108" customWidth="1"/>
    <col min="7169" max="7169" width="10.875" style="108" customWidth="1"/>
    <col min="7170" max="7170" width="18.75" style="108" customWidth="1"/>
    <col min="7171" max="7171" width="14.25" style="108" bestFit="1" customWidth="1"/>
    <col min="7172" max="7411" width="9" style="108"/>
    <col min="7412" max="7412" width="5" style="108" customWidth="1"/>
    <col min="7413" max="7413" width="3.875" style="108" customWidth="1"/>
    <col min="7414" max="7414" width="5" style="108" customWidth="1"/>
    <col min="7415" max="7415" width="6.25" style="108" customWidth="1"/>
    <col min="7416" max="7416" width="2.875" style="108" customWidth="1"/>
    <col min="7417" max="7417" width="4" style="108" customWidth="1"/>
    <col min="7418" max="7418" width="4.75" style="108" customWidth="1"/>
    <col min="7419" max="7419" width="5.5" style="108" customWidth="1"/>
    <col min="7420" max="7420" width="5.375" style="108" customWidth="1"/>
    <col min="7421" max="7421" width="1.25" style="108" customWidth="1"/>
    <col min="7422" max="7422" width="4.375" style="108" customWidth="1"/>
    <col min="7423" max="7423" width="10.375" style="108" customWidth="1"/>
    <col min="7424" max="7424" width="16.625" style="108" customWidth="1"/>
    <col min="7425" max="7425" width="10.875" style="108" customWidth="1"/>
    <col min="7426" max="7426" width="18.75" style="108" customWidth="1"/>
    <col min="7427" max="7427" width="14.25" style="108" bestFit="1" customWidth="1"/>
    <col min="7428" max="7667" width="9" style="108"/>
    <col min="7668" max="7668" width="5" style="108" customWidth="1"/>
    <col min="7669" max="7669" width="3.875" style="108" customWidth="1"/>
    <col min="7670" max="7670" width="5" style="108" customWidth="1"/>
    <col min="7671" max="7671" width="6.25" style="108" customWidth="1"/>
    <col min="7672" max="7672" width="2.875" style="108" customWidth="1"/>
    <col min="7673" max="7673" width="4" style="108" customWidth="1"/>
    <col min="7674" max="7674" width="4.75" style="108" customWidth="1"/>
    <col min="7675" max="7675" width="5.5" style="108" customWidth="1"/>
    <col min="7676" max="7676" width="5.375" style="108" customWidth="1"/>
    <col min="7677" max="7677" width="1.25" style="108" customWidth="1"/>
    <col min="7678" max="7678" width="4.375" style="108" customWidth="1"/>
    <col min="7679" max="7679" width="10.375" style="108" customWidth="1"/>
    <col min="7680" max="7680" width="16.625" style="108" customWidth="1"/>
    <col min="7681" max="7681" width="10.875" style="108" customWidth="1"/>
    <col min="7682" max="7682" width="18.75" style="108" customWidth="1"/>
    <col min="7683" max="7683" width="14.25" style="108" bestFit="1" customWidth="1"/>
    <col min="7684" max="7923" width="9" style="108"/>
    <col min="7924" max="7924" width="5" style="108" customWidth="1"/>
    <col min="7925" max="7925" width="3.875" style="108" customWidth="1"/>
    <col min="7926" max="7926" width="5" style="108" customWidth="1"/>
    <col min="7927" max="7927" width="6.25" style="108" customWidth="1"/>
    <col min="7928" max="7928" width="2.875" style="108" customWidth="1"/>
    <col min="7929" max="7929" width="4" style="108" customWidth="1"/>
    <col min="7930" max="7930" width="4.75" style="108" customWidth="1"/>
    <col min="7931" max="7931" width="5.5" style="108" customWidth="1"/>
    <col min="7932" max="7932" width="5.375" style="108" customWidth="1"/>
    <col min="7933" max="7933" width="1.25" style="108" customWidth="1"/>
    <col min="7934" max="7934" width="4.375" style="108" customWidth="1"/>
    <col min="7935" max="7935" width="10.375" style="108" customWidth="1"/>
    <col min="7936" max="7936" width="16.625" style="108" customWidth="1"/>
    <col min="7937" max="7937" width="10.875" style="108" customWidth="1"/>
    <col min="7938" max="7938" width="18.75" style="108" customWidth="1"/>
    <col min="7939" max="7939" width="14.25" style="108" bestFit="1" customWidth="1"/>
    <col min="7940" max="8179" width="9" style="108"/>
    <col min="8180" max="8180" width="5" style="108" customWidth="1"/>
    <col min="8181" max="8181" width="3.875" style="108" customWidth="1"/>
    <col min="8182" max="8182" width="5" style="108" customWidth="1"/>
    <col min="8183" max="8183" width="6.25" style="108" customWidth="1"/>
    <col min="8184" max="8184" width="2.875" style="108" customWidth="1"/>
    <col min="8185" max="8185" width="4" style="108" customWidth="1"/>
    <col min="8186" max="8186" width="4.75" style="108" customWidth="1"/>
    <col min="8187" max="8187" width="5.5" style="108" customWidth="1"/>
    <col min="8188" max="8188" width="5.375" style="108" customWidth="1"/>
    <col min="8189" max="8189" width="1.25" style="108" customWidth="1"/>
    <col min="8190" max="8190" width="4.375" style="108" customWidth="1"/>
    <col min="8191" max="8191" width="10.375" style="108" customWidth="1"/>
    <col min="8192" max="8192" width="16.625" style="108" customWidth="1"/>
    <col min="8193" max="8193" width="10.875" style="108" customWidth="1"/>
    <col min="8194" max="8194" width="18.75" style="108" customWidth="1"/>
    <col min="8195" max="8195" width="14.25" style="108" bestFit="1" customWidth="1"/>
    <col min="8196" max="8435" width="9" style="108"/>
    <col min="8436" max="8436" width="5" style="108" customWidth="1"/>
    <col min="8437" max="8437" width="3.875" style="108" customWidth="1"/>
    <col min="8438" max="8438" width="5" style="108" customWidth="1"/>
    <col min="8439" max="8439" width="6.25" style="108" customWidth="1"/>
    <col min="8440" max="8440" width="2.875" style="108" customWidth="1"/>
    <col min="8441" max="8441" width="4" style="108" customWidth="1"/>
    <col min="8442" max="8442" width="4.75" style="108" customWidth="1"/>
    <col min="8443" max="8443" width="5.5" style="108" customWidth="1"/>
    <col min="8444" max="8444" width="5.375" style="108" customWidth="1"/>
    <col min="8445" max="8445" width="1.25" style="108" customWidth="1"/>
    <col min="8446" max="8446" width="4.375" style="108" customWidth="1"/>
    <col min="8447" max="8447" width="10.375" style="108" customWidth="1"/>
    <col min="8448" max="8448" width="16.625" style="108" customWidth="1"/>
    <col min="8449" max="8449" width="10.875" style="108" customWidth="1"/>
    <col min="8450" max="8450" width="18.75" style="108" customWidth="1"/>
    <col min="8451" max="8451" width="14.25" style="108" bestFit="1" customWidth="1"/>
    <col min="8452" max="8691" width="9" style="108"/>
    <col min="8692" max="8692" width="5" style="108" customWidth="1"/>
    <col min="8693" max="8693" width="3.875" style="108" customWidth="1"/>
    <col min="8694" max="8694" width="5" style="108" customWidth="1"/>
    <col min="8695" max="8695" width="6.25" style="108" customWidth="1"/>
    <col min="8696" max="8696" width="2.875" style="108" customWidth="1"/>
    <col min="8697" max="8697" width="4" style="108" customWidth="1"/>
    <col min="8698" max="8698" width="4.75" style="108" customWidth="1"/>
    <col min="8699" max="8699" width="5.5" style="108" customWidth="1"/>
    <col min="8700" max="8700" width="5.375" style="108" customWidth="1"/>
    <col min="8701" max="8701" width="1.25" style="108" customWidth="1"/>
    <col min="8702" max="8702" width="4.375" style="108" customWidth="1"/>
    <col min="8703" max="8703" width="10.375" style="108" customWidth="1"/>
    <col min="8704" max="8704" width="16.625" style="108" customWidth="1"/>
    <col min="8705" max="8705" width="10.875" style="108" customWidth="1"/>
    <col min="8706" max="8706" width="18.75" style="108" customWidth="1"/>
    <col min="8707" max="8707" width="14.25" style="108" bestFit="1" customWidth="1"/>
    <col min="8708" max="8947" width="9" style="108"/>
    <col min="8948" max="8948" width="5" style="108" customWidth="1"/>
    <col min="8949" max="8949" width="3.875" style="108" customWidth="1"/>
    <col min="8950" max="8950" width="5" style="108" customWidth="1"/>
    <col min="8951" max="8951" width="6.25" style="108" customWidth="1"/>
    <col min="8952" max="8952" width="2.875" style="108" customWidth="1"/>
    <col min="8953" max="8953" width="4" style="108" customWidth="1"/>
    <col min="8954" max="8954" width="4.75" style="108" customWidth="1"/>
    <col min="8955" max="8955" width="5.5" style="108" customWidth="1"/>
    <col min="8956" max="8956" width="5.375" style="108" customWidth="1"/>
    <col min="8957" max="8957" width="1.25" style="108" customWidth="1"/>
    <col min="8958" max="8958" width="4.375" style="108" customWidth="1"/>
    <col min="8959" max="8959" width="10.375" style="108" customWidth="1"/>
    <col min="8960" max="8960" width="16.625" style="108" customWidth="1"/>
    <col min="8961" max="8961" width="10.875" style="108" customWidth="1"/>
    <col min="8962" max="8962" width="18.75" style="108" customWidth="1"/>
    <col min="8963" max="8963" width="14.25" style="108" bestFit="1" customWidth="1"/>
    <col min="8964" max="9203" width="9" style="108"/>
    <col min="9204" max="9204" width="5" style="108" customWidth="1"/>
    <col min="9205" max="9205" width="3.875" style="108" customWidth="1"/>
    <col min="9206" max="9206" width="5" style="108" customWidth="1"/>
    <col min="9207" max="9207" width="6.25" style="108" customWidth="1"/>
    <col min="9208" max="9208" width="2.875" style="108" customWidth="1"/>
    <col min="9209" max="9209" width="4" style="108" customWidth="1"/>
    <col min="9210" max="9210" width="4.75" style="108" customWidth="1"/>
    <col min="9211" max="9211" width="5.5" style="108" customWidth="1"/>
    <col min="9212" max="9212" width="5.375" style="108" customWidth="1"/>
    <col min="9213" max="9213" width="1.25" style="108" customWidth="1"/>
    <col min="9214" max="9214" width="4.375" style="108" customWidth="1"/>
    <col min="9215" max="9215" width="10.375" style="108" customWidth="1"/>
    <col min="9216" max="9216" width="16.625" style="108" customWidth="1"/>
    <col min="9217" max="9217" width="10.875" style="108" customWidth="1"/>
    <col min="9218" max="9218" width="18.75" style="108" customWidth="1"/>
    <col min="9219" max="9219" width="14.25" style="108" bestFit="1" customWidth="1"/>
    <col min="9220" max="9459" width="9" style="108"/>
    <col min="9460" max="9460" width="5" style="108" customWidth="1"/>
    <col min="9461" max="9461" width="3.875" style="108" customWidth="1"/>
    <col min="9462" max="9462" width="5" style="108" customWidth="1"/>
    <col min="9463" max="9463" width="6.25" style="108" customWidth="1"/>
    <col min="9464" max="9464" width="2.875" style="108" customWidth="1"/>
    <col min="9465" max="9465" width="4" style="108" customWidth="1"/>
    <col min="9466" max="9466" width="4.75" style="108" customWidth="1"/>
    <col min="9467" max="9467" width="5.5" style="108" customWidth="1"/>
    <col min="9468" max="9468" width="5.375" style="108" customWidth="1"/>
    <col min="9469" max="9469" width="1.25" style="108" customWidth="1"/>
    <col min="9470" max="9470" width="4.375" style="108" customWidth="1"/>
    <col min="9471" max="9471" width="10.375" style="108" customWidth="1"/>
    <col min="9472" max="9472" width="16.625" style="108" customWidth="1"/>
    <col min="9473" max="9473" width="10.875" style="108" customWidth="1"/>
    <col min="9474" max="9474" width="18.75" style="108" customWidth="1"/>
    <col min="9475" max="9475" width="14.25" style="108" bestFit="1" customWidth="1"/>
    <col min="9476" max="9715" width="9" style="108"/>
    <col min="9716" max="9716" width="5" style="108" customWidth="1"/>
    <col min="9717" max="9717" width="3.875" style="108" customWidth="1"/>
    <col min="9718" max="9718" width="5" style="108" customWidth="1"/>
    <col min="9719" max="9719" width="6.25" style="108" customWidth="1"/>
    <col min="9720" max="9720" width="2.875" style="108" customWidth="1"/>
    <col min="9721" max="9721" width="4" style="108" customWidth="1"/>
    <col min="9722" max="9722" width="4.75" style="108" customWidth="1"/>
    <col min="9723" max="9723" width="5.5" style="108" customWidth="1"/>
    <col min="9724" max="9724" width="5.375" style="108" customWidth="1"/>
    <col min="9725" max="9725" width="1.25" style="108" customWidth="1"/>
    <col min="9726" max="9726" width="4.375" style="108" customWidth="1"/>
    <col min="9727" max="9727" width="10.375" style="108" customWidth="1"/>
    <col min="9728" max="9728" width="16.625" style="108" customWidth="1"/>
    <col min="9729" max="9729" width="10.875" style="108" customWidth="1"/>
    <col min="9730" max="9730" width="18.75" style="108" customWidth="1"/>
    <col min="9731" max="9731" width="14.25" style="108" bestFit="1" customWidth="1"/>
    <col min="9732" max="9971" width="9" style="108"/>
    <col min="9972" max="9972" width="5" style="108" customWidth="1"/>
    <col min="9973" max="9973" width="3.875" style="108" customWidth="1"/>
    <col min="9974" max="9974" width="5" style="108" customWidth="1"/>
    <col min="9975" max="9975" width="6.25" style="108" customWidth="1"/>
    <col min="9976" max="9976" width="2.875" style="108" customWidth="1"/>
    <col min="9977" max="9977" width="4" style="108" customWidth="1"/>
    <col min="9978" max="9978" width="4.75" style="108" customWidth="1"/>
    <col min="9979" max="9979" width="5.5" style="108" customWidth="1"/>
    <col min="9980" max="9980" width="5.375" style="108" customWidth="1"/>
    <col min="9981" max="9981" width="1.25" style="108" customWidth="1"/>
    <col min="9982" max="9982" width="4.375" style="108" customWidth="1"/>
    <col min="9983" max="9983" width="10.375" style="108" customWidth="1"/>
    <col min="9984" max="9984" width="16.625" style="108" customWidth="1"/>
    <col min="9985" max="9985" width="10.875" style="108" customWidth="1"/>
    <col min="9986" max="9986" width="18.75" style="108" customWidth="1"/>
    <col min="9987" max="9987" width="14.25" style="108" bestFit="1" customWidth="1"/>
    <col min="9988" max="10227" width="9" style="108"/>
    <col min="10228" max="10228" width="5" style="108" customWidth="1"/>
    <col min="10229" max="10229" width="3.875" style="108" customWidth="1"/>
    <col min="10230" max="10230" width="5" style="108" customWidth="1"/>
    <col min="10231" max="10231" width="6.25" style="108" customWidth="1"/>
    <col min="10232" max="10232" width="2.875" style="108" customWidth="1"/>
    <col min="10233" max="10233" width="4" style="108" customWidth="1"/>
    <col min="10234" max="10234" width="4.75" style="108" customWidth="1"/>
    <col min="10235" max="10235" width="5.5" style="108" customWidth="1"/>
    <col min="10236" max="10236" width="5.375" style="108" customWidth="1"/>
    <col min="10237" max="10237" width="1.25" style="108" customWidth="1"/>
    <col min="10238" max="10238" width="4.375" style="108" customWidth="1"/>
    <col min="10239" max="10239" width="10.375" style="108" customWidth="1"/>
    <col min="10240" max="10240" width="16.625" style="108" customWidth="1"/>
    <col min="10241" max="10241" width="10.875" style="108" customWidth="1"/>
    <col min="10242" max="10242" width="18.75" style="108" customWidth="1"/>
    <col min="10243" max="10243" width="14.25" style="108" bestFit="1" customWidth="1"/>
    <col min="10244" max="10483" width="9" style="108"/>
    <col min="10484" max="10484" width="5" style="108" customWidth="1"/>
    <col min="10485" max="10485" width="3.875" style="108" customWidth="1"/>
    <col min="10486" max="10486" width="5" style="108" customWidth="1"/>
    <col min="10487" max="10487" width="6.25" style="108" customWidth="1"/>
    <col min="10488" max="10488" width="2.875" style="108" customWidth="1"/>
    <col min="10489" max="10489" width="4" style="108" customWidth="1"/>
    <col min="10490" max="10490" width="4.75" style="108" customWidth="1"/>
    <col min="10491" max="10491" width="5.5" style="108" customWidth="1"/>
    <col min="10492" max="10492" width="5.375" style="108" customWidth="1"/>
    <col min="10493" max="10493" width="1.25" style="108" customWidth="1"/>
    <col min="10494" max="10494" width="4.375" style="108" customWidth="1"/>
    <col min="10495" max="10495" width="10.375" style="108" customWidth="1"/>
    <col min="10496" max="10496" width="16.625" style="108" customWidth="1"/>
    <col min="10497" max="10497" width="10.875" style="108" customWidth="1"/>
    <col min="10498" max="10498" width="18.75" style="108" customWidth="1"/>
    <col min="10499" max="10499" width="14.25" style="108" bestFit="1" customWidth="1"/>
    <col min="10500" max="10739" width="9" style="108"/>
    <col min="10740" max="10740" width="5" style="108" customWidth="1"/>
    <col min="10741" max="10741" width="3.875" style="108" customWidth="1"/>
    <col min="10742" max="10742" width="5" style="108" customWidth="1"/>
    <col min="10743" max="10743" width="6.25" style="108" customWidth="1"/>
    <col min="10744" max="10744" width="2.875" style="108" customWidth="1"/>
    <col min="10745" max="10745" width="4" style="108" customWidth="1"/>
    <col min="10746" max="10746" width="4.75" style="108" customWidth="1"/>
    <col min="10747" max="10747" width="5.5" style="108" customWidth="1"/>
    <col min="10748" max="10748" width="5.375" style="108" customWidth="1"/>
    <col min="10749" max="10749" width="1.25" style="108" customWidth="1"/>
    <col min="10750" max="10750" width="4.375" style="108" customWidth="1"/>
    <col min="10751" max="10751" width="10.375" style="108" customWidth="1"/>
    <col min="10752" max="10752" width="16.625" style="108" customWidth="1"/>
    <col min="10753" max="10753" width="10.875" style="108" customWidth="1"/>
    <col min="10754" max="10754" width="18.75" style="108" customWidth="1"/>
    <col min="10755" max="10755" width="14.25" style="108" bestFit="1" customWidth="1"/>
    <col min="10756" max="10995" width="9" style="108"/>
    <col min="10996" max="10996" width="5" style="108" customWidth="1"/>
    <col min="10997" max="10997" width="3.875" style="108" customWidth="1"/>
    <col min="10998" max="10998" width="5" style="108" customWidth="1"/>
    <col min="10999" max="10999" width="6.25" style="108" customWidth="1"/>
    <col min="11000" max="11000" width="2.875" style="108" customWidth="1"/>
    <col min="11001" max="11001" width="4" style="108" customWidth="1"/>
    <col min="11002" max="11002" width="4.75" style="108" customWidth="1"/>
    <col min="11003" max="11003" width="5.5" style="108" customWidth="1"/>
    <col min="11004" max="11004" width="5.375" style="108" customWidth="1"/>
    <col min="11005" max="11005" width="1.25" style="108" customWidth="1"/>
    <col min="11006" max="11006" width="4.375" style="108" customWidth="1"/>
    <col min="11007" max="11007" width="10.375" style="108" customWidth="1"/>
    <col min="11008" max="11008" width="16.625" style="108" customWidth="1"/>
    <col min="11009" max="11009" width="10.875" style="108" customWidth="1"/>
    <col min="11010" max="11010" width="18.75" style="108" customWidth="1"/>
    <col min="11011" max="11011" width="14.25" style="108" bestFit="1" customWidth="1"/>
    <col min="11012" max="11251" width="9" style="108"/>
    <col min="11252" max="11252" width="5" style="108" customWidth="1"/>
    <col min="11253" max="11253" width="3.875" style="108" customWidth="1"/>
    <col min="11254" max="11254" width="5" style="108" customWidth="1"/>
    <col min="11255" max="11255" width="6.25" style="108" customWidth="1"/>
    <col min="11256" max="11256" width="2.875" style="108" customWidth="1"/>
    <col min="11257" max="11257" width="4" style="108" customWidth="1"/>
    <col min="11258" max="11258" width="4.75" style="108" customWidth="1"/>
    <col min="11259" max="11259" width="5.5" style="108" customWidth="1"/>
    <col min="11260" max="11260" width="5.375" style="108" customWidth="1"/>
    <col min="11261" max="11261" width="1.25" style="108" customWidth="1"/>
    <col min="11262" max="11262" width="4.375" style="108" customWidth="1"/>
    <col min="11263" max="11263" width="10.375" style="108" customWidth="1"/>
    <col min="11264" max="11264" width="16.625" style="108" customWidth="1"/>
    <col min="11265" max="11265" width="10.875" style="108" customWidth="1"/>
    <col min="11266" max="11266" width="18.75" style="108" customWidth="1"/>
    <col min="11267" max="11267" width="14.25" style="108" bestFit="1" customWidth="1"/>
    <col min="11268" max="11507" width="9" style="108"/>
    <col min="11508" max="11508" width="5" style="108" customWidth="1"/>
    <col min="11509" max="11509" width="3.875" style="108" customWidth="1"/>
    <col min="11510" max="11510" width="5" style="108" customWidth="1"/>
    <col min="11511" max="11511" width="6.25" style="108" customWidth="1"/>
    <col min="11512" max="11512" width="2.875" style="108" customWidth="1"/>
    <col min="11513" max="11513" width="4" style="108" customWidth="1"/>
    <col min="11514" max="11514" width="4.75" style="108" customWidth="1"/>
    <col min="11515" max="11515" width="5.5" style="108" customWidth="1"/>
    <col min="11516" max="11516" width="5.375" style="108" customWidth="1"/>
    <col min="11517" max="11517" width="1.25" style="108" customWidth="1"/>
    <col min="11518" max="11518" width="4.375" style="108" customWidth="1"/>
    <col min="11519" max="11519" width="10.375" style="108" customWidth="1"/>
    <col min="11520" max="11520" width="16.625" style="108" customWidth="1"/>
    <col min="11521" max="11521" width="10.875" style="108" customWidth="1"/>
    <col min="11522" max="11522" width="18.75" style="108" customWidth="1"/>
    <col min="11523" max="11523" width="14.25" style="108" bestFit="1" customWidth="1"/>
    <col min="11524" max="11763" width="9" style="108"/>
    <col min="11764" max="11764" width="5" style="108" customWidth="1"/>
    <col min="11765" max="11765" width="3.875" style="108" customWidth="1"/>
    <col min="11766" max="11766" width="5" style="108" customWidth="1"/>
    <col min="11767" max="11767" width="6.25" style="108" customWidth="1"/>
    <col min="11768" max="11768" width="2.875" style="108" customWidth="1"/>
    <col min="11769" max="11769" width="4" style="108" customWidth="1"/>
    <col min="11770" max="11770" width="4.75" style="108" customWidth="1"/>
    <col min="11771" max="11771" width="5.5" style="108" customWidth="1"/>
    <col min="11772" max="11772" width="5.375" style="108" customWidth="1"/>
    <col min="11773" max="11773" width="1.25" style="108" customWidth="1"/>
    <col min="11774" max="11774" width="4.375" style="108" customWidth="1"/>
    <col min="11775" max="11775" width="10.375" style="108" customWidth="1"/>
    <col min="11776" max="11776" width="16.625" style="108" customWidth="1"/>
    <col min="11777" max="11777" width="10.875" style="108" customWidth="1"/>
    <col min="11778" max="11778" width="18.75" style="108" customWidth="1"/>
    <col min="11779" max="11779" width="14.25" style="108" bestFit="1" customWidth="1"/>
    <col min="11780" max="12019" width="9" style="108"/>
    <col min="12020" max="12020" width="5" style="108" customWidth="1"/>
    <col min="12021" max="12021" width="3.875" style="108" customWidth="1"/>
    <col min="12022" max="12022" width="5" style="108" customWidth="1"/>
    <col min="12023" max="12023" width="6.25" style="108" customWidth="1"/>
    <col min="12024" max="12024" width="2.875" style="108" customWidth="1"/>
    <col min="12025" max="12025" width="4" style="108" customWidth="1"/>
    <col min="12026" max="12026" width="4.75" style="108" customWidth="1"/>
    <col min="12027" max="12027" width="5.5" style="108" customWidth="1"/>
    <col min="12028" max="12028" width="5.375" style="108" customWidth="1"/>
    <col min="12029" max="12029" width="1.25" style="108" customWidth="1"/>
    <col min="12030" max="12030" width="4.375" style="108" customWidth="1"/>
    <col min="12031" max="12031" width="10.375" style="108" customWidth="1"/>
    <col min="12032" max="12032" width="16.625" style="108" customWidth="1"/>
    <col min="12033" max="12033" width="10.875" style="108" customWidth="1"/>
    <col min="12034" max="12034" width="18.75" style="108" customWidth="1"/>
    <col min="12035" max="12035" width="14.25" style="108" bestFit="1" customWidth="1"/>
    <col min="12036" max="12275" width="9" style="108"/>
    <col min="12276" max="12276" width="5" style="108" customWidth="1"/>
    <col min="12277" max="12277" width="3.875" style="108" customWidth="1"/>
    <col min="12278" max="12278" width="5" style="108" customWidth="1"/>
    <col min="12279" max="12279" width="6.25" style="108" customWidth="1"/>
    <col min="12280" max="12280" width="2.875" style="108" customWidth="1"/>
    <col min="12281" max="12281" width="4" style="108" customWidth="1"/>
    <col min="12282" max="12282" width="4.75" style="108" customWidth="1"/>
    <col min="12283" max="12283" width="5.5" style="108" customWidth="1"/>
    <col min="12284" max="12284" width="5.375" style="108" customWidth="1"/>
    <col min="12285" max="12285" width="1.25" style="108" customWidth="1"/>
    <col min="12286" max="12286" width="4.375" style="108" customWidth="1"/>
    <col min="12287" max="12287" width="10.375" style="108" customWidth="1"/>
    <col min="12288" max="12288" width="16.625" style="108" customWidth="1"/>
    <col min="12289" max="12289" width="10.875" style="108" customWidth="1"/>
    <col min="12290" max="12290" width="18.75" style="108" customWidth="1"/>
    <col min="12291" max="12291" width="14.25" style="108" bestFit="1" customWidth="1"/>
    <col min="12292" max="12531" width="9" style="108"/>
    <col min="12532" max="12532" width="5" style="108" customWidth="1"/>
    <col min="12533" max="12533" width="3.875" style="108" customWidth="1"/>
    <col min="12534" max="12534" width="5" style="108" customWidth="1"/>
    <col min="12535" max="12535" width="6.25" style="108" customWidth="1"/>
    <col min="12536" max="12536" width="2.875" style="108" customWidth="1"/>
    <col min="12537" max="12537" width="4" style="108" customWidth="1"/>
    <col min="12538" max="12538" width="4.75" style="108" customWidth="1"/>
    <col min="12539" max="12539" width="5.5" style="108" customWidth="1"/>
    <col min="12540" max="12540" width="5.375" style="108" customWidth="1"/>
    <col min="12541" max="12541" width="1.25" style="108" customWidth="1"/>
    <col min="12542" max="12542" width="4.375" style="108" customWidth="1"/>
    <col min="12543" max="12543" width="10.375" style="108" customWidth="1"/>
    <col min="12544" max="12544" width="16.625" style="108" customWidth="1"/>
    <col min="12545" max="12545" width="10.875" style="108" customWidth="1"/>
    <col min="12546" max="12546" width="18.75" style="108" customWidth="1"/>
    <col min="12547" max="12547" width="14.25" style="108" bestFit="1" customWidth="1"/>
    <col min="12548" max="12787" width="9" style="108"/>
    <col min="12788" max="12788" width="5" style="108" customWidth="1"/>
    <col min="12789" max="12789" width="3.875" style="108" customWidth="1"/>
    <col min="12790" max="12790" width="5" style="108" customWidth="1"/>
    <col min="12791" max="12791" width="6.25" style="108" customWidth="1"/>
    <col min="12792" max="12792" width="2.875" style="108" customWidth="1"/>
    <col min="12793" max="12793" width="4" style="108" customWidth="1"/>
    <col min="12794" max="12794" width="4.75" style="108" customWidth="1"/>
    <col min="12795" max="12795" width="5.5" style="108" customWidth="1"/>
    <col min="12796" max="12796" width="5.375" style="108" customWidth="1"/>
    <col min="12797" max="12797" width="1.25" style="108" customWidth="1"/>
    <col min="12798" max="12798" width="4.375" style="108" customWidth="1"/>
    <col min="12799" max="12799" width="10.375" style="108" customWidth="1"/>
    <col min="12800" max="12800" width="16.625" style="108" customWidth="1"/>
    <col min="12801" max="12801" width="10.875" style="108" customWidth="1"/>
    <col min="12802" max="12802" width="18.75" style="108" customWidth="1"/>
    <col min="12803" max="12803" width="14.25" style="108" bestFit="1" customWidth="1"/>
    <col min="12804" max="13043" width="9" style="108"/>
    <col min="13044" max="13044" width="5" style="108" customWidth="1"/>
    <col min="13045" max="13045" width="3.875" style="108" customWidth="1"/>
    <col min="13046" max="13046" width="5" style="108" customWidth="1"/>
    <col min="13047" max="13047" width="6.25" style="108" customWidth="1"/>
    <col min="13048" max="13048" width="2.875" style="108" customWidth="1"/>
    <col min="13049" max="13049" width="4" style="108" customWidth="1"/>
    <col min="13050" max="13050" width="4.75" style="108" customWidth="1"/>
    <col min="13051" max="13051" width="5.5" style="108" customWidth="1"/>
    <col min="13052" max="13052" width="5.375" style="108" customWidth="1"/>
    <col min="13053" max="13053" width="1.25" style="108" customWidth="1"/>
    <col min="13054" max="13054" width="4.375" style="108" customWidth="1"/>
    <col min="13055" max="13055" width="10.375" style="108" customWidth="1"/>
    <col min="13056" max="13056" width="16.625" style="108" customWidth="1"/>
    <col min="13057" max="13057" width="10.875" style="108" customWidth="1"/>
    <col min="13058" max="13058" width="18.75" style="108" customWidth="1"/>
    <col min="13059" max="13059" width="14.25" style="108" bestFit="1" customWidth="1"/>
    <col min="13060" max="13299" width="9" style="108"/>
    <col min="13300" max="13300" width="5" style="108" customWidth="1"/>
    <col min="13301" max="13301" width="3.875" style="108" customWidth="1"/>
    <col min="13302" max="13302" width="5" style="108" customWidth="1"/>
    <col min="13303" max="13303" width="6.25" style="108" customWidth="1"/>
    <col min="13304" max="13304" width="2.875" style="108" customWidth="1"/>
    <col min="13305" max="13305" width="4" style="108" customWidth="1"/>
    <col min="13306" max="13306" width="4.75" style="108" customWidth="1"/>
    <col min="13307" max="13307" width="5.5" style="108" customWidth="1"/>
    <col min="13308" max="13308" width="5.375" style="108" customWidth="1"/>
    <col min="13309" max="13309" width="1.25" style="108" customWidth="1"/>
    <col min="13310" max="13310" width="4.375" style="108" customWidth="1"/>
    <col min="13311" max="13311" width="10.375" style="108" customWidth="1"/>
    <col min="13312" max="13312" width="16.625" style="108" customWidth="1"/>
    <col min="13313" max="13313" width="10.875" style="108" customWidth="1"/>
    <col min="13314" max="13314" width="18.75" style="108" customWidth="1"/>
    <col min="13315" max="13315" width="14.25" style="108" bestFit="1" customWidth="1"/>
    <col min="13316" max="13555" width="9" style="108"/>
    <col min="13556" max="13556" width="5" style="108" customWidth="1"/>
    <col min="13557" max="13557" width="3.875" style="108" customWidth="1"/>
    <col min="13558" max="13558" width="5" style="108" customWidth="1"/>
    <col min="13559" max="13559" width="6.25" style="108" customWidth="1"/>
    <col min="13560" max="13560" width="2.875" style="108" customWidth="1"/>
    <col min="13561" max="13561" width="4" style="108" customWidth="1"/>
    <col min="13562" max="13562" width="4.75" style="108" customWidth="1"/>
    <col min="13563" max="13563" width="5.5" style="108" customWidth="1"/>
    <col min="13564" max="13564" width="5.375" style="108" customWidth="1"/>
    <col min="13565" max="13565" width="1.25" style="108" customWidth="1"/>
    <col min="13566" max="13566" width="4.375" style="108" customWidth="1"/>
    <col min="13567" max="13567" width="10.375" style="108" customWidth="1"/>
    <col min="13568" max="13568" width="16.625" style="108" customWidth="1"/>
    <col min="13569" max="13569" width="10.875" style="108" customWidth="1"/>
    <col min="13570" max="13570" width="18.75" style="108" customWidth="1"/>
    <col min="13571" max="13571" width="14.25" style="108" bestFit="1" customWidth="1"/>
    <col min="13572" max="13811" width="9" style="108"/>
    <col min="13812" max="13812" width="5" style="108" customWidth="1"/>
    <col min="13813" max="13813" width="3.875" style="108" customWidth="1"/>
    <col min="13814" max="13814" width="5" style="108" customWidth="1"/>
    <col min="13815" max="13815" width="6.25" style="108" customWidth="1"/>
    <col min="13816" max="13816" width="2.875" style="108" customWidth="1"/>
    <col min="13817" max="13817" width="4" style="108" customWidth="1"/>
    <col min="13818" max="13818" width="4.75" style="108" customWidth="1"/>
    <col min="13819" max="13819" width="5.5" style="108" customWidth="1"/>
    <col min="13820" max="13820" width="5.375" style="108" customWidth="1"/>
    <col min="13821" max="13821" width="1.25" style="108" customWidth="1"/>
    <col min="13822" max="13822" width="4.375" style="108" customWidth="1"/>
    <col min="13823" max="13823" width="10.375" style="108" customWidth="1"/>
    <col min="13824" max="13824" width="16.625" style="108" customWidth="1"/>
    <col min="13825" max="13825" width="10.875" style="108" customWidth="1"/>
    <col min="13826" max="13826" width="18.75" style="108" customWidth="1"/>
    <col min="13827" max="13827" width="14.25" style="108" bestFit="1" customWidth="1"/>
    <col min="13828" max="14067" width="9" style="108"/>
    <col min="14068" max="14068" width="5" style="108" customWidth="1"/>
    <col min="14069" max="14069" width="3.875" style="108" customWidth="1"/>
    <col min="14070" max="14070" width="5" style="108" customWidth="1"/>
    <col min="14071" max="14071" width="6.25" style="108" customWidth="1"/>
    <col min="14072" max="14072" width="2.875" style="108" customWidth="1"/>
    <col min="14073" max="14073" width="4" style="108" customWidth="1"/>
    <col min="14074" max="14074" width="4.75" style="108" customWidth="1"/>
    <col min="14075" max="14075" width="5.5" style="108" customWidth="1"/>
    <col min="14076" max="14076" width="5.375" style="108" customWidth="1"/>
    <col min="14077" max="14077" width="1.25" style="108" customWidth="1"/>
    <col min="14078" max="14078" width="4.375" style="108" customWidth="1"/>
    <col min="14079" max="14079" width="10.375" style="108" customWidth="1"/>
    <col min="14080" max="14080" width="16.625" style="108" customWidth="1"/>
    <col min="14081" max="14081" width="10.875" style="108" customWidth="1"/>
    <col min="14082" max="14082" width="18.75" style="108" customWidth="1"/>
    <col min="14083" max="14083" width="14.25" style="108" bestFit="1" customWidth="1"/>
    <col min="14084" max="14323" width="9" style="108"/>
    <col min="14324" max="14324" width="5" style="108" customWidth="1"/>
    <col min="14325" max="14325" width="3.875" style="108" customWidth="1"/>
    <col min="14326" max="14326" width="5" style="108" customWidth="1"/>
    <col min="14327" max="14327" width="6.25" style="108" customWidth="1"/>
    <col min="14328" max="14328" width="2.875" style="108" customWidth="1"/>
    <col min="14329" max="14329" width="4" style="108" customWidth="1"/>
    <col min="14330" max="14330" width="4.75" style="108" customWidth="1"/>
    <col min="14331" max="14331" width="5.5" style="108" customWidth="1"/>
    <col min="14332" max="14332" width="5.375" style="108" customWidth="1"/>
    <col min="14333" max="14333" width="1.25" style="108" customWidth="1"/>
    <col min="14334" max="14334" width="4.375" style="108" customWidth="1"/>
    <col min="14335" max="14335" width="10.375" style="108" customWidth="1"/>
    <col min="14336" max="14336" width="16.625" style="108" customWidth="1"/>
    <col min="14337" max="14337" width="10.875" style="108" customWidth="1"/>
    <col min="14338" max="14338" width="18.75" style="108" customWidth="1"/>
    <col min="14339" max="14339" width="14.25" style="108" bestFit="1" customWidth="1"/>
    <col min="14340" max="14579" width="9" style="108"/>
    <col min="14580" max="14580" width="5" style="108" customWidth="1"/>
    <col min="14581" max="14581" width="3.875" style="108" customWidth="1"/>
    <col min="14582" max="14582" width="5" style="108" customWidth="1"/>
    <col min="14583" max="14583" width="6.25" style="108" customWidth="1"/>
    <col min="14584" max="14584" width="2.875" style="108" customWidth="1"/>
    <col min="14585" max="14585" width="4" style="108" customWidth="1"/>
    <col min="14586" max="14586" width="4.75" style="108" customWidth="1"/>
    <col min="14587" max="14587" width="5.5" style="108" customWidth="1"/>
    <col min="14588" max="14588" width="5.375" style="108" customWidth="1"/>
    <col min="14589" max="14589" width="1.25" style="108" customWidth="1"/>
    <col min="14590" max="14590" width="4.375" style="108" customWidth="1"/>
    <col min="14591" max="14591" width="10.375" style="108" customWidth="1"/>
    <col min="14592" max="14592" width="16.625" style="108" customWidth="1"/>
    <col min="14593" max="14593" width="10.875" style="108" customWidth="1"/>
    <col min="14594" max="14594" width="18.75" style="108" customWidth="1"/>
    <col min="14595" max="14595" width="14.25" style="108" bestFit="1" customWidth="1"/>
    <col min="14596" max="14835" width="9" style="108"/>
    <col min="14836" max="14836" width="5" style="108" customWidth="1"/>
    <col min="14837" max="14837" width="3.875" style="108" customWidth="1"/>
    <col min="14838" max="14838" width="5" style="108" customWidth="1"/>
    <col min="14839" max="14839" width="6.25" style="108" customWidth="1"/>
    <col min="14840" max="14840" width="2.875" style="108" customWidth="1"/>
    <col min="14841" max="14841" width="4" style="108" customWidth="1"/>
    <col min="14842" max="14842" width="4.75" style="108" customWidth="1"/>
    <col min="14843" max="14843" width="5.5" style="108" customWidth="1"/>
    <col min="14844" max="14844" width="5.375" style="108" customWidth="1"/>
    <col min="14845" max="14845" width="1.25" style="108" customWidth="1"/>
    <col min="14846" max="14846" width="4.375" style="108" customWidth="1"/>
    <col min="14847" max="14847" width="10.375" style="108" customWidth="1"/>
    <col min="14848" max="14848" width="16.625" style="108" customWidth="1"/>
    <col min="14849" max="14849" width="10.875" style="108" customWidth="1"/>
    <col min="14850" max="14850" width="18.75" style="108" customWidth="1"/>
    <col min="14851" max="14851" width="14.25" style="108" bestFit="1" customWidth="1"/>
    <col min="14852" max="15091" width="9" style="108"/>
    <col min="15092" max="15092" width="5" style="108" customWidth="1"/>
    <col min="15093" max="15093" width="3.875" style="108" customWidth="1"/>
    <col min="15094" max="15094" width="5" style="108" customWidth="1"/>
    <col min="15095" max="15095" width="6.25" style="108" customWidth="1"/>
    <col min="15096" max="15096" width="2.875" style="108" customWidth="1"/>
    <col min="15097" max="15097" width="4" style="108" customWidth="1"/>
    <col min="15098" max="15098" width="4.75" style="108" customWidth="1"/>
    <col min="15099" max="15099" width="5.5" style="108" customWidth="1"/>
    <col min="15100" max="15100" width="5.375" style="108" customWidth="1"/>
    <col min="15101" max="15101" width="1.25" style="108" customWidth="1"/>
    <col min="15102" max="15102" width="4.375" style="108" customWidth="1"/>
    <col min="15103" max="15103" width="10.375" style="108" customWidth="1"/>
    <col min="15104" max="15104" width="16.625" style="108" customWidth="1"/>
    <col min="15105" max="15105" width="10.875" style="108" customWidth="1"/>
    <col min="15106" max="15106" width="18.75" style="108" customWidth="1"/>
    <col min="15107" max="15107" width="14.25" style="108" bestFit="1" customWidth="1"/>
    <col min="15108" max="15347" width="9" style="108"/>
    <col min="15348" max="15348" width="5" style="108" customWidth="1"/>
    <col min="15349" max="15349" width="3.875" style="108" customWidth="1"/>
    <col min="15350" max="15350" width="5" style="108" customWidth="1"/>
    <col min="15351" max="15351" width="6.25" style="108" customWidth="1"/>
    <col min="15352" max="15352" width="2.875" style="108" customWidth="1"/>
    <col min="15353" max="15353" width="4" style="108" customWidth="1"/>
    <col min="15354" max="15354" width="4.75" style="108" customWidth="1"/>
    <col min="15355" max="15355" width="5.5" style="108" customWidth="1"/>
    <col min="15356" max="15356" width="5.375" style="108" customWidth="1"/>
    <col min="15357" max="15357" width="1.25" style="108" customWidth="1"/>
    <col min="15358" max="15358" width="4.375" style="108" customWidth="1"/>
    <col min="15359" max="15359" width="10.375" style="108" customWidth="1"/>
    <col min="15360" max="15360" width="16.625" style="108" customWidth="1"/>
    <col min="15361" max="15361" width="10.875" style="108" customWidth="1"/>
    <col min="15362" max="15362" width="18.75" style="108" customWidth="1"/>
    <col min="15363" max="15363" width="14.25" style="108" bestFit="1" customWidth="1"/>
    <col min="15364" max="15603" width="9" style="108"/>
    <col min="15604" max="15604" width="5" style="108" customWidth="1"/>
    <col min="15605" max="15605" width="3.875" style="108" customWidth="1"/>
    <col min="15606" max="15606" width="5" style="108" customWidth="1"/>
    <col min="15607" max="15607" width="6.25" style="108" customWidth="1"/>
    <col min="15608" max="15608" width="2.875" style="108" customWidth="1"/>
    <col min="15609" max="15609" width="4" style="108" customWidth="1"/>
    <col min="15610" max="15610" width="4.75" style="108" customWidth="1"/>
    <col min="15611" max="15611" width="5.5" style="108" customWidth="1"/>
    <col min="15612" max="15612" width="5.375" style="108" customWidth="1"/>
    <col min="15613" max="15613" width="1.25" style="108" customWidth="1"/>
    <col min="15614" max="15614" width="4.375" style="108" customWidth="1"/>
    <col min="15615" max="15615" width="10.375" style="108" customWidth="1"/>
    <col min="15616" max="15616" width="16.625" style="108" customWidth="1"/>
    <col min="15617" max="15617" width="10.875" style="108" customWidth="1"/>
    <col min="15618" max="15618" width="18.75" style="108" customWidth="1"/>
    <col min="15619" max="15619" width="14.25" style="108" bestFit="1" customWidth="1"/>
    <col min="15620" max="15859" width="9" style="108"/>
    <col min="15860" max="15860" width="5" style="108" customWidth="1"/>
    <col min="15861" max="15861" width="3.875" style="108" customWidth="1"/>
    <col min="15862" max="15862" width="5" style="108" customWidth="1"/>
    <col min="15863" max="15863" width="6.25" style="108" customWidth="1"/>
    <col min="15864" max="15864" width="2.875" style="108" customWidth="1"/>
    <col min="15865" max="15865" width="4" style="108" customWidth="1"/>
    <col min="15866" max="15866" width="4.75" style="108" customWidth="1"/>
    <col min="15867" max="15867" width="5.5" style="108" customWidth="1"/>
    <col min="15868" max="15868" width="5.375" style="108" customWidth="1"/>
    <col min="15869" max="15869" width="1.25" style="108" customWidth="1"/>
    <col min="15870" max="15870" width="4.375" style="108" customWidth="1"/>
    <col min="15871" max="15871" width="10.375" style="108" customWidth="1"/>
    <col min="15872" max="15872" width="16.625" style="108" customWidth="1"/>
    <col min="15873" max="15873" width="10.875" style="108" customWidth="1"/>
    <col min="15874" max="15874" width="18.75" style="108" customWidth="1"/>
    <col min="15875" max="15875" width="14.25" style="108" bestFit="1" customWidth="1"/>
    <col min="15876" max="16115" width="9" style="108"/>
    <col min="16116" max="16116" width="5" style="108" customWidth="1"/>
    <col min="16117" max="16117" width="3.875" style="108" customWidth="1"/>
    <col min="16118" max="16118" width="5" style="108" customWidth="1"/>
    <col min="16119" max="16119" width="6.25" style="108" customWidth="1"/>
    <col min="16120" max="16120" width="2.875" style="108" customWidth="1"/>
    <col min="16121" max="16121" width="4" style="108" customWidth="1"/>
    <col min="16122" max="16122" width="4.75" style="108" customWidth="1"/>
    <col min="16123" max="16123" width="5.5" style="108" customWidth="1"/>
    <col min="16124" max="16124" width="5.375" style="108" customWidth="1"/>
    <col min="16125" max="16125" width="1.25" style="108" customWidth="1"/>
    <col min="16126" max="16126" width="4.375" style="108" customWidth="1"/>
    <col min="16127" max="16127" width="10.375" style="108" customWidth="1"/>
    <col min="16128" max="16128" width="16.625" style="108" customWidth="1"/>
    <col min="16129" max="16129" width="10.875" style="108" customWidth="1"/>
    <col min="16130" max="16130" width="18.75" style="108" customWidth="1"/>
    <col min="16131" max="16131" width="14.25" style="108" bestFit="1" customWidth="1"/>
    <col min="16132" max="16384" width="9" style="108"/>
  </cols>
  <sheetData>
    <row r="1" spans="1:15" ht="9" customHeight="1">
      <c r="A1" s="259"/>
      <c r="B1" s="260"/>
      <c r="C1" s="260"/>
      <c r="D1" s="260"/>
      <c r="E1" s="260"/>
      <c r="F1" s="260"/>
      <c r="G1" s="260"/>
      <c r="H1" s="260"/>
      <c r="I1" s="260"/>
      <c r="J1" s="260"/>
      <c r="K1" s="260"/>
      <c r="L1" s="260"/>
      <c r="M1" s="260"/>
      <c r="N1" s="260"/>
      <c r="O1" s="261"/>
    </row>
    <row r="2" spans="1:15" ht="9.75" customHeight="1">
      <c r="A2" s="109"/>
      <c r="B2" s="110"/>
      <c r="C2" s="110"/>
      <c r="D2" s="110"/>
      <c r="E2" s="110"/>
      <c r="F2" s="110"/>
      <c r="G2" s="110"/>
      <c r="H2" s="110"/>
      <c r="I2" s="110"/>
      <c r="J2" s="110"/>
      <c r="K2" s="110"/>
      <c r="L2" s="110"/>
      <c r="M2" s="110"/>
      <c r="N2" s="110"/>
      <c r="O2" s="111"/>
    </row>
    <row r="3" spans="1:15" ht="45">
      <c r="A3" s="262" t="s">
        <v>85</v>
      </c>
      <c r="B3" s="263"/>
      <c r="C3" s="263"/>
      <c r="D3" s="263"/>
      <c r="E3" s="263"/>
      <c r="F3" s="263"/>
      <c r="G3" s="263"/>
      <c r="H3" s="263"/>
      <c r="I3" s="263"/>
      <c r="J3" s="263"/>
      <c r="K3" s="263"/>
      <c r="L3" s="263"/>
      <c r="M3" s="263"/>
      <c r="N3" s="263"/>
      <c r="O3" s="264"/>
    </row>
    <row r="4" spans="1:15" ht="16.5" customHeight="1">
      <c r="A4" s="112" t="s">
        <v>86</v>
      </c>
      <c r="B4" s="113"/>
      <c r="C4" s="113"/>
      <c r="D4" s="113"/>
      <c r="E4" s="113"/>
      <c r="F4" s="113"/>
      <c r="G4" s="113"/>
      <c r="H4" s="113"/>
      <c r="I4" s="114"/>
      <c r="J4" s="114"/>
      <c r="K4" s="115"/>
      <c r="L4" s="115"/>
      <c r="M4" s="115"/>
      <c r="N4" s="115"/>
      <c r="O4" s="116"/>
    </row>
    <row r="5" spans="1:15" ht="21" customHeight="1">
      <c r="A5" s="117"/>
      <c r="B5" s="173" t="s">
        <v>150</v>
      </c>
      <c r="C5" s="173"/>
      <c r="D5" s="173"/>
      <c r="E5" s="173"/>
      <c r="F5" s="173"/>
      <c r="G5" s="174"/>
      <c r="H5" s="174"/>
      <c r="I5" s="118"/>
      <c r="J5" s="118"/>
      <c r="K5" s="118"/>
      <c r="L5" s="118"/>
      <c r="M5" s="119"/>
      <c r="N5" s="119"/>
      <c r="O5" s="120"/>
    </row>
    <row r="6" spans="1:15" ht="12" customHeight="1" thickBot="1">
      <c r="A6" s="121"/>
      <c r="B6" s="122"/>
      <c r="C6" s="122"/>
      <c r="D6" s="122"/>
      <c r="E6" s="122"/>
      <c r="F6" s="122"/>
      <c r="G6" s="122"/>
      <c r="H6" s="122"/>
      <c r="I6" s="122"/>
      <c r="J6" s="122"/>
      <c r="K6" s="123"/>
      <c r="L6" s="123"/>
      <c r="M6" s="123"/>
      <c r="N6" s="123"/>
      <c r="O6" s="124"/>
    </row>
    <row r="7" spans="1:15" ht="23.25" customHeight="1">
      <c r="A7" s="265" t="s">
        <v>87</v>
      </c>
      <c r="B7" s="266"/>
      <c r="C7" s="267"/>
      <c r="D7" s="175">
        <v>2026</v>
      </c>
      <c r="E7" s="125" t="s">
        <v>88</v>
      </c>
      <c r="F7" s="176">
        <v>6</v>
      </c>
      <c r="G7" s="125" t="s">
        <v>89</v>
      </c>
      <c r="H7" s="176">
        <v>23</v>
      </c>
      <c r="I7" s="125" t="s">
        <v>90</v>
      </c>
      <c r="J7" s="126"/>
      <c r="K7" s="268" t="s">
        <v>91</v>
      </c>
      <c r="L7" s="127" t="s">
        <v>92</v>
      </c>
      <c r="M7" s="127" t="s">
        <v>93</v>
      </c>
      <c r="N7" s="127" t="s">
        <v>94</v>
      </c>
      <c r="O7" s="128" t="s">
        <v>95</v>
      </c>
    </row>
    <row r="8" spans="1:15" ht="23.25" customHeight="1">
      <c r="A8" s="271" t="s">
        <v>96</v>
      </c>
      <c r="B8" s="272"/>
      <c r="C8" s="273"/>
      <c r="D8" s="274" t="s">
        <v>97</v>
      </c>
      <c r="E8" s="275"/>
      <c r="F8" s="275"/>
      <c r="G8" s="276"/>
      <c r="H8" s="277" t="s">
        <v>98</v>
      </c>
      <c r="I8" s="275"/>
      <c r="J8" s="278"/>
      <c r="K8" s="269"/>
      <c r="L8" s="129" t="s">
        <v>99</v>
      </c>
      <c r="M8" s="129" t="s">
        <v>100</v>
      </c>
      <c r="N8" s="129" t="s">
        <v>101</v>
      </c>
      <c r="O8" s="130" t="s">
        <v>102</v>
      </c>
    </row>
    <row r="9" spans="1:15" ht="23.25" customHeight="1">
      <c r="A9" s="271" t="s">
        <v>103</v>
      </c>
      <c r="B9" s="272"/>
      <c r="C9" s="273"/>
      <c r="D9" s="279" t="s">
        <v>104</v>
      </c>
      <c r="E9" s="280"/>
      <c r="F9" s="280"/>
      <c r="G9" s="280"/>
      <c r="H9" s="280"/>
      <c r="I9" s="280"/>
      <c r="J9" s="281"/>
      <c r="K9" s="269"/>
      <c r="L9" s="129" t="s">
        <v>105</v>
      </c>
      <c r="M9" s="282" t="s">
        <v>106</v>
      </c>
      <c r="N9" s="272"/>
      <c r="O9" s="273"/>
    </row>
    <row r="10" spans="1:15" ht="23.25" customHeight="1" thickBot="1">
      <c r="A10" s="283" t="s">
        <v>107</v>
      </c>
      <c r="B10" s="284"/>
      <c r="C10" s="285"/>
      <c r="D10" s="286" t="s">
        <v>108</v>
      </c>
      <c r="E10" s="287"/>
      <c r="F10" s="287"/>
      <c r="G10" s="287"/>
      <c r="H10" s="287"/>
      <c r="I10" s="287"/>
      <c r="J10" s="288"/>
      <c r="K10" s="270"/>
      <c r="L10" s="131" t="s">
        <v>109</v>
      </c>
      <c r="M10" s="131" t="s">
        <v>110</v>
      </c>
      <c r="N10" s="131" t="s">
        <v>111</v>
      </c>
      <c r="O10" s="132" t="s">
        <v>112</v>
      </c>
    </row>
    <row r="11" spans="1:15" ht="21.75" customHeight="1">
      <c r="A11" s="133"/>
      <c r="B11" s="134"/>
      <c r="C11" s="134"/>
      <c r="D11" s="135"/>
      <c r="E11" s="135"/>
      <c r="F11" s="135"/>
      <c r="G11" s="135"/>
      <c r="H11" s="135"/>
      <c r="I11" s="135"/>
      <c r="J11" s="135"/>
      <c r="K11" s="136"/>
      <c r="L11" s="136"/>
      <c r="M11" s="136"/>
      <c r="N11" s="136"/>
      <c r="O11" s="116"/>
    </row>
    <row r="12" spans="1:15" ht="21.75" customHeight="1">
      <c r="A12" s="137"/>
      <c r="B12" s="119"/>
      <c r="C12" s="119"/>
      <c r="D12" s="119"/>
      <c r="E12" s="119"/>
      <c r="F12" s="119"/>
      <c r="G12" s="119"/>
      <c r="H12" s="119"/>
      <c r="I12" s="136"/>
      <c r="J12" s="136"/>
      <c r="K12" s="136"/>
      <c r="L12" s="136"/>
      <c r="M12" s="136"/>
      <c r="N12" s="136"/>
      <c r="O12" s="138"/>
    </row>
    <row r="13" spans="1:15" ht="24" customHeight="1">
      <c r="A13" s="139"/>
      <c r="B13" s="258" t="s">
        <v>149</v>
      </c>
      <c r="C13" s="258"/>
      <c r="D13" s="258"/>
      <c r="E13" s="258"/>
      <c r="F13" s="258"/>
      <c r="G13" s="258"/>
      <c r="H13" s="258"/>
      <c r="I13" s="258"/>
      <c r="J13" s="258"/>
      <c r="K13" s="258"/>
      <c r="L13" s="258"/>
      <c r="M13" s="258"/>
      <c r="N13" s="140" t="s">
        <v>113</v>
      </c>
      <c r="O13" s="138"/>
    </row>
    <row r="14" spans="1:15" ht="9" customHeight="1">
      <c r="A14" s="139"/>
      <c r="B14" s="119"/>
      <c r="C14" s="119"/>
      <c r="D14" s="119"/>
      <c r="E14" s="119"/>
      <c r="F14" s="119"/>
      <c r="G14" s="119"/>
      <c r="H14" s="119"/>
      <c r="I14" s="136"/>
      <c r="J14" s="136"/>
      <c r="K14" s="136"/>
      <c r="L14" s="136"/>
      <c r="M14" s="136"/>
      <c r="N14" s="136"/>
      <c r="O14" s="138"/>
    </row>
    <row r="15" spans="1:15" ht="25.5" customHeight="1">
      <c r="A15" s="139"/>
      <c r="B15" s="241" t="str">
        <f>"견 적 금 액 : 一金"&amp;NUMBERSTRING(M32,1) &amp; "원정""(\"&amp; TEXT(M32,"#,###")&amp;"원) [VAT 별도]"</f>
        <v>견 적 금 액 : 一金구십육만육천사백이십오원정"(\966,425원) [VAT 별도]</v>
      </c>
      <c r="C15" s="241"/>
      <c r="D15" s="241"/>
      <c r="E15" s="241"/>
      <c r="F15" s="241"/>
      <c r="G15" s="241"/>
      <c r="H15" s="241"/>
      <c r="I15" s="241"/>
      <c r="J15" s="241"/>
      <c r="K15" s="241"/>
      <c r="L15" s="241"/>
      <c r="M15" s="241"/>
      <c r="N15" s="241"/>
      <c r="O15" s="242"/>
    </row>
    <row r="16" spans="1:15" ht="15" thickBot="1">
      <c r="A16" s="137"/>
      <c r="B16" s="136"/>
      <c r="C16" s="136"/>
      <c r="D16" s="136"/>
      <c r="E16" s="136"/>
      <c r="F16" s="136"/>
      <c r="G16" s="136"/>
      <c r="H16" s="136"/>
      <c r="I16" s="119"/>
      <c r="J16" s="119"/>
      <c r="K16" s="243"/>
      <c r="L16" s="243"/>
      <c r="M16" s="243"/>
      <c r="N16" s="243"/>
      <c r="O16" s="244"/>
    </row>
    <row r="17" spans="1:17" ht="27.75" customHeight="1" thickBot="1">
      <c r="A17" s="141" t="s">
        <v>114</v>
      </c>
      <c r="B17" s="251" t="s">
        <v>115</v>
      </c>
      <c r="C17" s="252"/>
      <c r="D17" s="252"/>
      <c r="E17" s="252"/>
      <c r="F17" s="252"/>
      <c r="G17" s="253"/>
      <c r="H17" s="142" t="s">
        <v>116</v>
      </c>
      <c r="I17" s="143" t="s">
        <v>117</v>
      </c>
      <c r="J17" s="254" t="s">
        <v>118</v>
      </c>
      <c r="K17" s="255"/>
      <c r="L17" s="255"/>
      <c r="M17" s="256"/>
      <c r="N17" s="251" t="s">
        <v>119</v>
      </c>
      <c r="O17" s="257"/>
    </row>
    <row r="18" spans="1:17" ht="28.5" customHeight="1">
      <c r="A18" s="144">
        <v>1</v>
      </c>
      <c r="B18" s="245" t="s">
        <v>12</v>
      </c>
      <c r="C18" s="246"/>
      <c r="D18" s="246"/>
      <c r="E18" s="246"/>
      <c r="F18" s="246"/>
      <c r="G18" s="247"/>
      <c r="H18" s="177">
        <v>1</v>
      </c>
      <c r="I18" s="178" t="s">
        <v>6</v>
      </c>
      <c r="J18" s="248">
        <f>IFERROR(LOOKUP(2, 1/(TRIM('내역서(표준단가)'!K4:K100)&lt;&gt;""), '내역서(표준단가)'!K4:K100), "-")</f>
        <v>268118.5</v>
      </c>
      <c r="K18" s="248"/>
      <c r="L18" s="248"/>
      <c r="M18" s="248"/>
      <c r="N18" s="249"/>
      <c r="O18" s="250"/>
    </row>
    <row r="19" spans="1:17" ht="28.5" customHeight="1">
      <c r="A19" s="145">
        <v>2</v>
      </c>
      <c r="B19" s="225" t="s">
        <v>13</v>
      </c>
      <c r="C19" s="226"/>
      <c r="D19" s="226"/>
      <c r="E19" s="226"/>
      <c r="F19" s="226"/>
      <c r="G19" s="227"/>
      <c r="H19" s="179">
        <v>1</v>
      </c>
      <c r="I19" s="179" t="s">
        <v>6</v>
      </c>
      <c r="J19" s="228">
        <f>IFERROR(LOOKUP(2, 1/(TRIM('내역서(표준단가)'!M4:M100)&lt;&gt;""), '내역서(표준단가)'!M4:M100), "-")</f>
        <v>509033.36799999996</v>
      </c>
      <c r="K19" s="229"/>
      <c r="L19" s="229"/>
      <c r="M19" s="230"/>
      <c r="N19" s="231"/>
      <c r="O19" s="232"/>
    </row>
    <row r="20" spans="1:17" ht="28.5" customHeight="1">
      <c r="A20" s="145">
        <v>3</v>
      </c>
      <c r="B20" s="233" t="s">
        <v>120</v>
      </c>
      <c r="C20" s="234"/>
      <c r="D20" s="234"/>
      <c r="E20" s="234"/>
      <c r="F20" s="234"/>
      <c r="G20" s="235"/>
      <c r="H20" s="146">
        <v>1</v>
      </c>
      <c r="I20" s="146" t="s">
        <v>6</v>
      </c>
      <c r="J20" s="236">
        <f>IFERROR(SUM(J21:M29),"-")</f>
        <v>92315.669666759437</v>
      </c>
      <c r="K20" s="237"/>
      <c r="L20" s="237"/>
      <c r="M20" s="238"/>
      <c r="N20" s="239"/>
      <c r="O20" s="240"/>
      <c r="P20" s="147"/>
    </row>
    <row r="21" spans="1:17" ht="28.5" customHeight="1">
      <c r="A21" s="144"/>
      <c r="B21" s="148"/>
      <c r="C21" s="217" t="s">
        <v>121</v>
      </c>
      <c r="D21" s="218"/>
      <c r="E21" s="218"/>
      <c r="F21" s="218"/>
      <c r="G21" s="219"/>
      <c r="H21" s="180">
        <v>1</v>
      </c>
      <c r="I21" s="180" t="s">
        <v>6</v>
      </c>
      <c r="J21" s="220">
        <f>IFERROR(LOOKUP(2, 1/(TRIM('내역서(표준단가)'!O4:O100)&lt;&gt;""), '내역서(표준단가)'!O4:O100) + LOOKUP(2, 1/(TRIM('내역서(표준단가)'!Q4:Q100)&lt;&gt;""), '내역서(표준단가)'!Q4:Q100), "-")</f>
        <v>0</v>
      </c>
      <c r="K21" s="221"/>
      <c r="L21" s="221"/>
      <c r="M21" s="222"/>
      <c r="N21" s="223" t="s">
        <v>122</v>
      </c>
      <c r="O21" s="224"/>
    </row>
    <row r="22" spans="1:17" ht="28.5" customHeight="1">
      <c r="A22" s="144"/>
      <c r="B22" s="148"/>
      <c r="C22" s="211" t="s">
        <v>123</v>
      </c>
      <c r="D22" s="212"/>
      <c r="E22" s="212"/>
      <c r="F22" s="212"/>
      <c r="G22" s="213"/>
      <c r="H22" s="149">
        <v>3.11</v>
      </c>
      <c r="I22" s="149" t="s">
        <v>124</v>
      </c>
      <c r="J22" s="214">
        <f>IFERROR((J18+J19)*H22%,"-")</f>
        <v>24169.4230948</v>
      </c>
      <c r="K22" s="215"/>
      <c r="L22" s="215"/>
      <c r="M22" s="216"/>
      <c r="N22" s="207" t="s">
        <v>125</v>
      </c>
      <c r="O22" s="208"/>
    </row>
    <row r="23" spans="1:17" ht="28.5" customHeight="1">
      <c r="A23" s="144"/>
      <c r="B23" s="148"/>
      <c r="C23" s="211" t="s">
        <v>126</v>
      </c>
      <c r="D23" s="212"/>
      <c r="E23" s="212"/>
      <c r="F23" s="212"/>
      <c r="G23" s="213"/>
      <c r="H23" s="149">
        <v>3.56</v>
      </c>
      <c r="I23" s="149" t="s">
        <v>127</v>
      </c>
      <c r="J23" s="214">
        <f>IFERROR(J19*H23%,"-")</f>
        <v>18121.587900799997</v>
      </c>
      <c r="K23" s="215"/>
      <c r="L23" s="215"/>
      <c r="M23" s="216"/>
      <c r="N23" s="207" t="s">
        <v>128</v>
      </c>
      <c r="O23" s="208"/>
    </row>
    <row r="24" spans="1:17" ht="28.5" customHeight="1">
      <c r="A24" s="144"/>
      <c r="B24" s="148"/>
      <c r="C24" s="211" t="s">
        <v>129</v>
      </c>
      <c r="D24" s="212"/>
      <c r="E24" s="212"/>
      <c r="F24" s="212"/>
      <c r="G24" s="213"/>
      <c r="H24" s="149">
        <v>1.01</v>
      </c>
      <c r="I24" s="149" t="s">
        <v>127</v>
      </c>
      <c r="J24" s="214">
        <f>IFERROR(J19*H24%,"-")</f>
        <v>5141.2370167999998</v>
      </c>
      <c r="K24" s="215"/>
      <c r="L24" s="215"/>
      <c r="M24" s="216"/>
      <c r="N24" s="207" t="s">
        <v>130</v>
      </c>
      <c r="O24" s="208"/>
    </row>
    <row r="25" spans="1:17" ht="28.5" customHeight="1">
      <c r="A25" s="144"/>
      <c r="B25" s="148"/>
      <c r="C25" s="211" t="s">
        <v>131</v>
      </c>
      <c r="D25" s="212"/>
      <c r="E25" s="212"/>
      <c r="F25" s="212"/>
      <c r="G25" s="213"/>
      <c r="H25" s="150">
        <v>3.5950000000000002</v>
      </c>
      <c r="I25" s="149" t="s">
        <v>127</v>
      </c>
      <c r="J25" s="214">
        <f>IFERROR(J19*H25%,"-")</f>
        <v>18299.7495796</v>
      </c>
      <c r="K25" s="215"/>
      <c r="L25" s="215"/>
      <c r="M25" s="216"/>
      <c r="N25" s="207" t="s">
        <v>132</v>
      </c>
      <c r="O25" s="208"/>
      <c r="Q25" s="147"/>
    </row>
    <row r="26" spans="1:17" ht="28.5" customHeight="1">
      <c r="A26" s="144"/>
      <c r="B26" s="148"/>
      <c r="C26" s="211" t="s">
        <v>133</v>
      </c>
      <c r="D26" s="212"/>
      <c r="E26" s="212"/>
      <c r="F26" s="212"/>
      <c r="G26" s="213"/>
      <c r="H26" s="149">
        <v>4.75</v>
      </c>
      <c r="I26" s="149" t="s">
        <v>127</v>
      </c>
      <c r="J26" s="214">
        <f>IFERROR(J19*H26%,"-")</f>
        <v>24179.08498</v>
      </c>
      <c r="K26" s="215"/>
      <c r="L26" s="215"/>
      <c r="M26" s="216"/>
      <c r="N26" s="207" t="s">
        <v>134</v>
      </c>
      <c r="O26" s="208"/>
      <c r="Q26" s="151"/>
    </row>
    <row r="27" spans="1:17" ht="28.5" customHeight="1">
      <c r="A27" s="144"/>
      <c r="B27" s="148"/>
      <c r="C27" s="201" t="s">
        <v>135</v>
      </c>
      <c r="D27" s="202"/>
      <c r="E27" s="202"/>
      <c r="F27" s="202"/>
      <c r="G27" s="203"/>
      <c r="H27" s="152">
        <v>13.14</v>
      </c>
      <c r="I27" s="153" t="s">
        <v>127</v>
      </c>
      <c r="J27" s="204">
        <f>IFERROR($H$27*J25%,"-")</f>
        <v>2404.5870947594403</v>
      </c>
      <c r="K27" s="205"/>
      <c r="L27" s="205"/>
      <c r="M27" s="206"/>
      <c r="N27" s="207" t="s">
        <v>136</v>
      </c>
      <c r="O27" s="208"/>
    </row>
    <row r="28" spans="1:17" ht="28.5" customHeight="1">
      <c r="A28" s="144"/>
      <c r="B28" s="148"/>
      <c r="C28" s="201" t="s">
        <v>137</v>
      </c>
      <c r="D28" s="202"/>
      <c r="E28" s="202"/>
      <c r="F28" s="202"/>
      <c r="G28" s="203"/>
      <c r="H28" s="152">
        <v>8.1000000000000003E-2</v>
      </c>
      <c r="I28" s="153" t="s">
        <v>127</v>
      </c>
      <c r="J28" s="204" t="str">
        <f>IFERROR(IF(SUM(J21:J27,J18:J19)&gt;=10000000,SUM(J21:J27,J18:J19)*H28%,"-"),"-")</f>
        <v>-</v>
      </c>
      <c r="K28" s="205"/>
      <c r="L28" s="205"/>
      <c r="M28" s="206"/>
      <c r="N28" s="209" t="s">
        <v>138</v>
      </c>
      <c r="O28" s="210"/>
    </row>
    <row r="29" spans="1:17" ht="28.5" customHeight="1">
      <c r="A29" s="154"/>
      <c r="B29" s="155"/>
      <c r="C29" s="181" t="s">
        <v>139</v>
      </c>
      <c r="D29" s="182"/>
      <c r="E29" s="182"/>
      <c r="F29" s="182"/>
      <c r="G29" s="183"/>
      <c r="H29" s="156">
        <v>1</v>
      </c>
      <c r="I29" s="157" t="s">
        <v>140</v>
      </c>
      <c r="J29" s="184">
        <f>34*0</f>
        <v>0</v>
      </c>
      <c r="K29" s="185"/>
      <c r="L29" s="185"/>
      <c r="M29" s="186"/>
      <c r="N29" s="187" t="s">
        <v>141</v>
      </c>
      <c r="O29" s="188"/>
    </row>
    <row r="30" spans="1:17" ht="28.5" customHeight="1">
      <c r="A30" s="154">
        <v>4</v>
      </c>
      <c r="B30" s="155"/>
      <c r="C30" s="181" t="s">
        <v>142</v>
      </c>
      <c r="D30" s="182"/>
      <c r="E30" s="182"/>
      <c r="F30" s="182"/>
      <c r="G30" s="183"/>
      <c r="H30" s="157">
        <v>5</v>
      </c>
      <c r="I30" s="158" t="s">
        <v>143</v>
      </c>
      <c r="J30" s="194">
        <f>IFERROR(IF(ISNUMBER(H30), SUM(J18:M20) * (H30 / 100), "-"), "-")</f>
        <v>43473.376883337973</v>
      </c>
      <c r="K30" s="195"/>
      <c r="L30" s="195"/>
      <c r="M30" s="196"/>
      <c r="N30" s="197" t="s">
        <v>144</v>
      </c>
      <c r="O30" s="198"/>
    </row>
    <row r="31" spans="1:17" ht="28.5" customHeight="1" thickBot="1">
      <c r="A31" s="154">
        <v>5</v>
      </c>
      <c r="B31" s="155"/>
      <c r="C31" s="181" t="s">
        <v>145</v>
      </c>
      <c r="D31" s="182"/>
      <c r="E31" s="182"/>
      <c r="F31" s="182"/>
      <c r="G31" s="183"/>
      <c r="H31" s="157">
        <v>7.5</v>
      </c>
      <c r="I31" s="158" t="s">
        <v>127</v>
      </c>
      <c r="J31" s="184">
        <f>IFERROR(SUM(J18:M20, J30) * (H31 / 100), "-")+-14986</f>
        <v>53484.56859125731</v>
      </c>
      <c r="K31" s="185"/>
      <c r="L31" s="185"/>
      <c r="M31" s="186"/>
      <c r="N31" s="199" t="s">
        <v>146</v>
      </c>
      <c r="O31" s="200"/>
      <c r="Q31" s="159"/>
    </row>
    <row r="32" spans="1:17" ht="28.5" customHeight="1" thickBot="1">
      <c r="A32" s="189" t="s">
        <v>147</v>
      </c>
      <c r="B32" s="190"/>
      <c r="C32" s="190"/>
      <c r="D32" s="190"/>
      <c r="E32" s="190"/>
      <c r="F32" s="190"/>
      <c r="G32" s="190"/>
      <c r="H32" s="190"/>
      <c r="I32" s="191"/>
      <c r="J32" s="160"/>
      <c r="K32" s="161"/>
      <c r="L32" s="161"/>
      <c r="M32" s="162">
        <f>IFERROR(ROUNDDOWN(SUM(J18:M20)+J30+J31,0),"-")</f>
        <v>966425</v>
      </c>
      <c r="N32" s="192"/>
      <c r="O32" s="193"/>
      <c r="P32" s="163"/>
    </row>
    <row r="33" spans="1:15">
      <c r="A33" s="164" t="s">
        <v>148</v>
      </c>
      <c r="B33" s="165"/>
      <c r="C33" s="165"/>
      <c r="D33" s="165"/>
      <c r="E33" s="165"/>
      <c r="F33" s="165"/>
      <c r="G33" s="165"/>
      <c r="H33" s="165"/>
      <c r="I33" s="165"/>
      <c r="J33" s="165"/>
      <c r="K33" s="165"/>
      <c r="L33" s="165"/>
      <c r="M33" s="165"/>
      <c r="N33" s="165"/>
      <c r="O33" s="166"/>
    </row>
    <row r="34" spans="1:15">
      <c r="A34" s="167"/>
      <c r="B34" s="165"/>
      <c r="C34" s="165"/>
      <c r="D34" s="165"/>
      <c r="E34" s="165"/>
      <c r="F34" s="165"/>
      <c r="G34" s="165"/>
      <c r="H34" s="165"/>
      <c r="I34" s="165"/>
      <c r="J34" s="165"/>
      <c r="K34" s="165"/>
      <c r="L34" s="165"/>
      <c r="M34" s="165"/>
      <c r="N34" s="165"/>
      <c r="O34" s="166"/>
    </row>
    <row r="35" spans="1:15">
      <c r="A35" s="167"/>
      <c r="B35" s="165"/>
      <c r="C35" s="165"/>
      <c r="D35" s="165"/>
      <c r="E35" s="165"/>
      <c r="F35" s="165"/>
      <c r="G35" s="165"/>
      <c r="H35" s="165"/>
      <c r="I35" s="165"/>
      <c r="J35" s="165"/>
      <c r="K35" s="165"/>
      <c r="L35" s="165"/>
      <c r="M35" s="165"/>
      <c r="N35" s="165"/>
      <c r="O35" s="166"/>
    </row>
    <row r="36" spans="1:15">
      <c r="A36" s="167"/>
      <c r="B36" s="165"/>
      <c r="C36" s="165"/>
      <c r="D36" s="165"/>
      <c r="E36" s="165"/>
      <c r="F36" s="165"/>
      <c r="G36" s="165"/>
      <c r="H36" s="165"/>
      <c r="I36" s="165"/>
      <c r="J36" s="165"/>
      <c r="K36" s="165"/>
      <c r="L36" s="165"/>
      <c r="M36" s="165"/>
      <c r="N36" s="165"/>
      <c r="O36" s="166"/>
    </row>
    <row r="37" spans="1:15" ht="15.75">
      <c r="A37" s="167"/>
      <c r="B37" s="168"/>
      <c r="C37" s="168"/>
      <c r="D37" s="168"/>
      <c r="E37" s="168"/>
      <c r="F37" s="168"/>
      <c r="G37" s="168"/>
      <c r="H37" s="168"/>
      <c r="I37" s="168"/>
      <c r="J37" s="168"/>
      <c r="K37" s="168"/>
      <c r="L37" s="168"/>
      <c r="M37" s="168"/>
      <c r="N37" s="168"/>
      <c r="O37" s="169"/>
    </row>
    <row r="38" spans="1:15" ht="15.75">
      <c r="A38" s="167"/>
      <c r="B38" s="168"/>
      <c r="C38" s="168"/>
      <c r="D38" s="168"/>
      <c r="E38" s="168"/>
      <c r="F38" s="168"/>
      <c r="G38" s="168"/>
      <c r="H38" s="168"/>
      <c r="I38" s="168"/>
      <c r="J38" s="168"/>
      <c r="K38" s="168"/>
      <c r="L38" s="168"/>
      <c r="M38" s="168"/>
      <c r="N38" s="168"/>
      <c r="O38" s="169"/>
    </row>
    <row r="39" spans="1:15" ht="15.75">
      <c r="A39" s="167"/>
      <c r="B39" s="168"/>
      <c r="C39" s="168"/>
      <c r="D39" s="168"/>
      <c r="E39" s="168"/>
      <c r="F39" s="168"/>
      <c r="G39" s="168"/>
      <c r="H39" s="168"/>
      <c r="I39" s="168"/>
      <c r="J39" s="168"/>
      <c r="K39" s="168"/>
      <c r="L39" s="168"/>
      <c r="M39" s="168"/>
      <c r="N39" s="168"/>
      <c r="O39" s="169"/>
    </row>
    <row r="40" spans="1:15" ht="15" thickBot="1">
      <c r="A40" s="170"/>
      <c r="B40" s="171"/>
      <c r="C40" s="171"/>
      <c r="D40" s="171"/>
      <c r="E40" s="171"/>
      <c r="F40" s="171"/>
      <c r="G40" s="171"/>
      <c r="H40" s="171"/>
      <c r="I40" s="171"/>
      <c r="J40" s="171"/>
      <c r="K40" s="171"/>
      <c r="L40" s="171"/>
      <c r="M40" s="171"/>
      <c r="N40" s="171"/>
      <c r="O40" s="172"/>
    </row>
    <row r="42" spans="1:15">
      <c r="M42" s="159"/>
    </row>
    <row r="43" spans="1:15">
      <c r="M43" s="159"/>
    </row>
  </sheetData>
  <mergeCells count="62">
    <mergeCell ref="B13:M13"/>
    <mergeCell ref="A1:O1"/>
    <mergeCell ref="A3:O3"/>
    <mergeCell ref="A7:C7"/>
    <mergeCell ref="K7:K10"/>
    <mergeCell ref="A8:C8"/>
    <mergeCell ref="D8:G8"/>
    <mergeCell ref="H8:J8"/>
    <mergeCell ref="A9:C9"/>
    <mergeCell ref="D9:J9"/>
    <mergeCell ref="M9:O9"/>
    <mergeCell ref="A10:C10"/>
    <mergeCell ref="D10:J10"/>
    <mergeCell ref="B15:O15"/>
    <mergeCell ref="K16:O16"/>
    <mergeCell ref="B18:G18"/>
    <mergeCell ref="J18:M18"/>
    <mergeCell ref="N18:O18"/>
    <mergeCell ref="B17:G17"/>
    <mergeCell ref="J17:M17"/>
    <mergeCell ref="N17:O17"/>
    <mergeCell ref="B19:G19"/>
    <mergeCell ref="J19:M19"/>
    <mergeCell ref="N19:O19"/>
    <mergeCell ref="B20:G20"/>
    <mergeCell ref="J20:M20"/>
    <mergeCell ref="N20:O20"/>
    <mergeCell ref="C21:G21"/>
    <mergeCell ref="J21:M21"/>
    <mergeCell ref="N21:O21"/>
    <mergeCell ref="C22:G22"/>
    <mergeCell ref="J22:M22"/>
    <mergeCell ref="N22:O22"/>
    <mergeCell ref="C23:G23"/>
    <mergeCell ref="J23:M23"/>
    <mergeCell ref="N23:O23"/>
    <mergeCell ref="C24:G24"/>
    <mergeCell ref="J24:M24"/>
    <mergeCell ref="N24:O24"/>
    <mergeCell ref="C25:G25"/>
    <mergeCell ref="J25:M25"/>
    <mergeCell ref="N25:O25"/>
    <mergeCell ref="C26:G26"/>
    <mergeCell ref="J26:M26"/>
    <mergeCell ref="N26:O26"/>
    <mergeCell ref="C27:G27"/>
    <mergeCell ref="J27:M27"/>
    <mergeCell ref="N27:O27"/>
    <mergeCell ref="C28:G28"/>
    <mergeCell ref="J28:M28"/>
    <mergeCell ref="N28:O28"/>
    <mergeCell ref="C29:G29"/>
    <mergeCell ref="J29:M29"/>
    <mergeCell ref="N29:O29"/>
    <mergeCell ref="A32:I32"/>
    <mergeCell ref="N32:O32"/>
    <mergeCell ref="C30:G30"/>
    <mergeCell ref="J30:M30"/>
    <mergeCell ref="N30:O30"/>
    <mergeCell ref="C31:G31"/>
    <mergeCell ref="J31:M31"/>
    <mergeCell ref="N31:O31"/>
  </mergeCells>
  <phoneticPr fontId="6" type="noConversion"/>
  <pageMargins left="0.23622047244094491" right="0.23622047244094491" top="0.35433070866141736" bottom="0.35433070866141736" header="0" footer="0"/>
  <pageSetup paperSize="9" scale="85" orientation="portrait" r:id="rId1"/>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0000FF"/>
    <pageSetUpPr fitToPage="1"/>
  </sheetPr>
  <dimension ref="A1:T11"/>
  <sheetViews>
    <sheetView showGridLines="0" zoomScale="80" zoomScaleNormal="80" workbookViewId="0">
      <pane ySplit="4" topLeftCell="A5" activePane="bottomLeft" state="frozen"/>
      <selection pane="bottomLeft" activeCell="C16" sqref="C16"/>
    </sheetView>
  </sheetViews>
  <sheetFormatPr defaultColWidth="9" defaultRowHeight="38.1" customHeight="1"/>
  <cols>
    <col min="1" max="1" width="20.75" style="36" customWidth="1"/>
    <col min="2" max="2" width="13.125" style="29" customWidth="1"/>
    <col min="3" max="5" width="12.625" style="29" customWidth="1"/>
    <col min="6" max="7" width="30.625" style="26" customWidth="1"/>
    <col min="8" max="8" width="6.75" style="29" bestFit="1" customWidth="1"/>
    <col min="9" max="9" width="8.25" style="29" customWidth="1"/>
    <col min="10" max="10" width="10.625" style="29" bestFit="1" customWidth="1"/>
    <col min="11" max="11" width="15.625" style="29" customWidth="1"/>
    <col min="12" max="12" width="12" style="29" bestFit="1" customWidth="1"/>
    <col min="13" max="13" width="15.125" style="29" customWidth="1"/>
    <col min="14" max="14" width="9" style="29" customWidth="1"/>
    <col min="15" max="15" width="8.75" style="29" bestFit="1" customWidth="1"/>
    <col min="16" max="16" width="10.5" style="29" customWidth="1"/>
    <col min="17" max="17" width="8.75" style="29" bestFit="1" customWidth="1"/>
    <col min="18" max="18" width="15.625" style="29" bestFit="1" customWidth="1"/>
    <col min="19" max="19" width="13.375" style="2" bestFit="1" customWidth="1"/>
    <col min="20" max="20" width="8.5" style="29" bestFit="1" customWidth="1"/>
    <col min="21" max="21" width="16.375" style="29" customWidth="1"/>
    <col min="22" max="16384" width="9" style="29"/>
  </cols>
  <sheetData>
    <row r="1" spans="1:20" ht="19.899999999999999" customHeight="1">
      <c r="A1" s="289"/>
      <c r="B1" s="289"/>
      <c r="C1" s="289"/>
      <c r="D1" s="289"/>
      <c r="E1" s="289"/>
      <c r="J1" s="2"/>
      <c r="K1" s="28" t="s">
        <v>9</v>
      </c>
      <c r="M1" s="28" t="s">
        <v>9</v>
      </c>
      <c r="O1" s="28" t="s">
        <v>9</v>
      </c>
      <c r="Q1" s="28" t="s">
        <v>9</v>
      </c>
    </row>
    <row r="2" spans="1:20" ht="19.899999999999999" customHeight="1" thickBot="1">
      <c r="A2" s="289"/>
      <c r="B2" s="289"/>
      <c r="C2" s="289"/>
      <c r="D2" s="289"/>
      <c r="E2" s="289"/>
      <c r="J2" s="3"/>
      <c r="K2" s="4">
        <v>0.83499999999999996</v>
      </c>
      <c r="M2" s="4">
        <v>0.83499999999999996</v>
      </c>
      <c r="O2" s="4">
        <v>0.83499999999999996</v>
      </c>
      <c r="Q2" s="4">
        <v>0.83499999999999996</v>
      </c>
    </row>
    <row r="3" spans="1:20" ht="19.899999999999999" customHeight="1">
      <c r="A3" s="30"/>
      <c r="B3" s="31" t="s">
        <v>10</v>
      </c>
      <c r="C3" s="31"/>
      <c r="D3" s="31"/>
      <c r="E3" s="31"/>
      <c r="F3" s="300" t="s">
        <v>11</v>
      </c>
      <c r="G3" s="300"/>
      <c r="H3" s="298" t="s">
        <v>8</v>
      </c>
      <c r="I3" s="298" t="s">
        <v>5</v>
      </c>
      <c r="J3" s="294" t="s">
        <v>12</v>
      </c>
      <c r="K3" s="294"/>
      <c r="L3" s="294" t="s">
        <v>13</v>
      </c>
      <c r="M3" s="294"/>
      <c r="N3" s="295" t="s">
        <v>14</v>
      </c>
      <c r="O3" s="295"/>
      <c r="P3" s="295" t="s">
        <v>15</v>
      </c>
      <c r="Q3" s="295"/>
      <c r="R3" s="296" t="s">
        <v>16</v>
      </c>
      <c r="S3" s="292" t="s">
        <v>28</v>
      </c>
      <c r="T3" s="290" t="s">
        <v>7</v>
      </c>
    </row>
    <row r="4" spans="1:20" ht="19.899999999999999" customHeight="1">
      <c r="A4" s="5" t="s">
        <v>17</v>
      </c>
      <c r="B4" s="6" t="s">
        <v>18</v>
      </c>
      <c r="C4" s="6" t="s">
        <v>19</v>
      </c>
      <c r="D4" s="6" t="s">
        <v>20</v>
      </c>
      <c r="E4" s="6" t="s">
        <v>21</v>
      </c>
      <c r="F4" s="27" t="s">
        <v>22</v>
      </c>
      <c r="G4" s="27" t="s">
        <v>23</v>
      </c>
      <c r="H4" s="299"/>
      <c r="I4" s="299"/>
      <c r="J4" s="7" t="s">
        <v>24</v>
      </c>
      <c r="K4" s="8" t="s">
        <v>25</v>
      </c>
      <c r="L4" s="7" t="s">
        <v>26</v>
      </c>
      <c r="M4" s="8" t="s">
        <v>25</v>
      </c>
      <c r="N4" s="8" t="s">
        <v>27</v>
      </c>
      <c r="O4" s="8" t="s">
        <v>25</v>
      </c>
      <c r="P4" s="8" t="s">
        <v>27</v>
      </c>
      <c r="Q4" s="8" t="s">
        <v>25</v>
      </c>
      <c r="R4" s="297"/>
      <c r="S4" s="293"/>
      <c r="T4" s="291"/>
    </row>
    <row r="5" spans="1:20" s="32" customFormat="1" ht="58.5" customHeight="1">
      <c r="A5" s="9" t="str">
        <f t="shared" ref="A5:A6" si="0">B5&amp;C5&amp;D5&amp;E5</f>
        <v>M020414115290101</v>
      </c>
      <c r="B5" s="15"/>
      <c r="C5" s="10"/>
      <c r="D5" s="37" t="s">
        <v>31</v>
      </c>
      <c r="E5" s="15"/>
      <c r="F5" s="38" t="s">
        <v>33</v>
      </c>
      <c r="G5" s="40" t="s">
        <v>35</v>
      </c>
      <c r="H5" s="38" t="s">
        <v>32</v>
      </c>
      <c r="I5" s="25">
        <v>20</v>
      </c>
      <c r="J5" s="45">
        <v>15400</v>
      </c>
      <c r="K5" s="22">
        <f t="shared" ref="K5:K6" si="1">SUM(J5:J5)*I5*$K$2</f>
        <v>257180</v>
      </c>
      <c r="L5" s="21"/>
      <c r="M5" s="22">
        <f t="shared" ref="M5:M6" si="2">(L5*I5)*$M$2</f>
        <v>0</v>
      </c>
      <c r="N5" s="23"/>
      <c r="O5" s="22">
        <f t="shared" ref="O5:O6" si="3">N5*I5*$O$2</f>
        <v>0</v>
      </c>
      <c r="P5" s="23"/>
      <c r="Q5" s="22">
        <f t="shared" ref="Q5:Q6" si="4">P5*I5*$Q$2</f>
        <v>0</v>
      </c>
      <c r="R5" s="47">
        <f t="shared" ref="R5:R6" si="5">SUM(K5+M5)+O5+Q5</f>
        <v>257180</v>
      </c>
      <c r="S5" s="20"/>
      <c r="T5" s="13"/>
    </row>
    <row r="6" spans="1:20" s="32" customFormat="1" ht="38.1" customHeight="1">
      <c r="A6" s="9" t="str">
        <f t="shared" si="0"/>
        <v>E00000803061300101</v>
      </c>
      <c r="B6" s="15"/>
      <c r="C6" s="39" t="s">
        <v>30</v>
      </c>
      <c r="D6" s="10"/>
      <c r="E6" s="15"/>
      <c r="F6" s="42" t="s">
        <v>34</v>
      </c>
      <c r="G6" s="41" t="s">
        <v>36</v>
      </c>
      <c r="H6" s="24" t="s">
        <v>29</v>
      </c>
      <c r="I6" s="25">
        <v>96</v>
      </c>
      <c r="J6" s="43"/>
      <c r="K6" s="11">
        <f t="shared" si="1"/>
        <v>0</v>
      </c>
      <c r="L6" s="46">
        <v>3442</v>
      </c>
      <c r="M6" s="11">
        <f t="shared" si="2"/>
        <v>275910.71999999997</v>
      </c>
      <c r="N6" s="12"/>
      <c r="O6" s="11">
        <f t="shared" si="3"/>
        <v>0</v>
      </c>
      <c r="P6" s="12"/>
      <c r="Q6" s="11">
        <f t="shared" si="4"/>
        <v>0</v>
      </c>
      <c r="R6" s="47">
        <f t="shared" si="5"/>
        <v>275910.71999999997</v>
      </c>
      <c r="S6" s="44"/>
      <c r="T6" s="13"/>
    </row>
    <row r="7" spans="1:20" s="32" customFormat="1" ht="38.1" customHeight="1">
      <c r="A7" s="9" t="str">
        <f t="shared" ref="A7:A10" si="6">B7&amp;C7&amp;D7&amp;E7</f>
        <v>E00000803061300101</v>
      </c>
      <c r="B7" s="15"/>
      <c r="C7" s="39" t="s">
        <v>30</v>
      </c>
      <c r="D7" s="10"/>
      <c r="E7" s="15"/>
      <c r="F7" s="42" t="s">
        <v>58</v>
      </c>
      <c r="G7" s="42" t="s">
        <v>59</v>
      </c>
      <c r="H7" s="24" t="s">
        <v>29</v>
      </c>
      <c r="I7" s="25">
        <v>26.4</v>
      </c>
      <c r="J7" s="43"/>
      <c r="K7" s="11">
        <f t="shared" ref="K7:K10" si="7">SUM(J7:J7)*I7*$K$2</f>
        <v>0</v>
      </c>
      <c r="L7" s="46">
        <v>3442</v>
      </c>
      <c r="M7" s="11">
        <f t="shared" ref="M7" si="8">(L7*I7)*$M$2</f>
        <v>75875.447999999989</v>
      </c>
      <c r="N7" s="12"/>
      <c r="O7" s="11">
        <f t="shared" ref="O7" si="9">N7*I7*$O$2</f>
        <v>0</v>
      </c>
      <c r="P7" s="12"/>
      <c r="Q7" s="11">
        <f t="shared" ref="Q7" si="10">P7*I7*$Q$2</f>
        <v>0</v>
      </c>
      <c r="R7" s="47">
        <f t="shared" ref="R7:R10" si="11">SUM(K7+M7)+O7+Q7</f>
        <v>75875.447999999989</v>
      </c>
      <c r="S7" s="44"/>
      <c r="T7" s="13"/>
    </row>
    <row r="8" spans="1:20" s="32" customFormat="1" ht="38.1" customHeight="1">
      <c r="A8" s="9" t="str">
        <f t="shared" si="6"/>
        <v>M020412614110102</v>
      </c>
      <c r="B8" s="15"/>
      <c r="C8" s="10"/>
      <c r="D8" s="57" t="s">
        <v>60</v>
      </c>
      <c r="E8" s="15"/>
      <c r="F8" s="62" t="s">
        <v>61</v>
      </c>
      <c r="G8" s="62" t="s">
        <v>49</v>
      </c>
      <c r="H8" s="24" t="s">
        <v>50</v>
      </c>
      <c r="I8" s="25">
        <v>0.2</v>
      </c>
      <c r="J8" s="58">
        <v>65500</v>
      </c>
      <c r="K8" s="22">
        <f t="shared" si="7"/>
        <v>10938.5</v>
      </c>
      <c r="L8" s="21"/>
      <c r="M8" s="22"/>
      <c r="N8" s="23"/>
      <c r="O8" s="22"/>
      <c r="P8" s="23"/>
      <c r="Q8" s="22"/>
      <c r="R8" s="12">
        <f t="shared" si="11"/>
        <v>10938.5</v>
      </c>
      <c r="S8" s="44"/>
      <c r="T8" s="13"/>
    </row>
    <row r="9" spans="1:20" s="32" customFormat="1" ht="38.1" customHeight="1">
      <c r="A9" s="9" t="str">
        <f t="shared" si="6"/>
        <v>E00000803061120402</v>
      </c>
      <c r="B9" s="15"/>
      <c r="C9" s="10" t="s">
        <v>62</v>
      </c>
      <c r="D9" s="10"/>
      <c r="E9" s="15"/>
      <c r="F9" s="62" t="s">
        <v>63</v>
      </c>
      <c r="G9" s="62" t="s">
        <v>64</v>
      </c>
      <c r="H9" s="24" t="s">
        <v>29</v>
      </c>
      <c r="I9" s="25">
        <v>11</v>
      </c>
      <c r="J9" s="59"/>
      <c r="K9" s="11">
        <f t="shared" si="7"/>
        <v>0</v>
      </c>
      <c r="L9" s="60">
        <v>10752</v>
      </c>
      <c r="M9" s="11">
        <f t="shared" ref="M9:M10" si="12">(L9*I9)*$M$2</f>
        <v>98757.119999999995</v>
      </c>
      <c r="N9" s="12"/>
      <c r="O9" s="11">
        <f t="shared" ref="O9:O10" si="13">N9*I9*$O$2</f>
        <v>0</v>
      </c>
      <c r="P9" s="12"/>
      <c r="Q9" s="11">
        <f t="shared" ref="Q9:Q10" si="14">P9*I9*$Q$2</f>
        <v>0</v>
      </c>
      <c r="R9" s="12">
        <f t="shared" si="11"/>
        <v>98757.119999999995</v>
      </c>
      <c r="S9" s="44"/>
      <c r="T9" s="13"/>
    </row>
    <row r="10" spans="1:20" s="32" customFormat="1" ht="38.1" customHeight="1">
      <c r="A10" s="9" t="str">
        <f t="shared" si="6"/>
        <v>E00000803061300201</v>
      </c>
      <c r="B10" s="15"/>
      <c r="C10" s="10" t="s">
        <v>65</v>
      </c>
      <c r="D10" s="10"/>
      <c r="E10" s="15"/>
      <c r="F10" s="62" t="s">
        <v>66</v>
      </c>
      <c r="G10" s="62" t="s">
        <v>67</v>
      </c>
      <c r="H10" s="24" t="s">
        <v>68</v>
      </c>
      <c r="I10" s="25">
        <v>11</v>
      </c>
      <c r="J10" s="59"/>
      <c r="K10" s="11">
        <f t="shared" si="7"/>
        <v>0</v>
      </c>
      <c r="L10" s="61">
        <v>6368</v>
      </c>
      <c r="M10" s="11">
        <f t="shared" si="12"/>
        <v>58490.079999999994</v>
      </c>
      <c r="N10" s="12"/>
      <c r="O10" s="11">
        <f t="shared" si="13"/>
        <v>0</v>
      </c>
      <c r="P10" s="12"/>
      <c r="Q10" s="11">
        <f t="shared" si="14"/>
        <v>0</v>
      </c>
      <c r="R10" s="12">
        <f t="shared" si="11"/>
        <v>58490.079999999994</v>
      </c>
      <c r="S10" s="44"/>
      <c r="T10" s="13"/>
    </row>
    <row r="11" spans="1:20" ht="38.1" customHeight="1">
      <c r="A11" s="33"/>
      <c r="K11" s="34">
        <f>SUM(K5:K10)</f>
        <v>268118.5</v>
      </c>
      <c r="L11" s="35"/>
      <c r="M11" s="34">
        <f>SUM(M5:M10)</f>
        <v>509033.36799999996</v>
      </c>
      <c r="N11" s="35"/>
      <c r="O11" s="34">
        <f>SUM(O5:O10)</f>
        <v>0</v>
      </c>
      <c r="P11" s="35"/>
      <c r="Q11" s="34">
        <f>SUM(Q5:Q10)</f>
        <v>0</v>
      </c>
      <c r="R11" s="34">
        <f>SUM(R5:R10)</f>
        <v>777151.8679999999</v>
      </c>
    </row>
  </sheetData>
  <mergeCells count="12">
    <mergeCell ref="A1:E1"/>
    <mergeCell ref="T3:T4"/>
    <mergeCell ref="A2:E2"/>
    <mergeCell ref="S3:S4"/>
    <mergeCell ref="L3:M3"/>
    <mergeCell ref="N3:O3"/>
    <mergeCell ref="P3:Q3"/>
    <mergeCell ref="R3:R4"/>
    <mergeCell ref="H3:H4"/>
    <mergeCell ref="I3:I4"/>
    <mergeCell ref="J3:K3"/>
    <mergeCell ref="F3:G3"/>
  </mergeCells>
  <phoneticPr fontId="6" type="noConversion"/>
  <pageMargins left="0.7" right="0.7" top="0.75" bottom="0.75" header="0.3" footer="0.3"/>
  <pageSetup paperSize="9" scale="36" orientation="landscape"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FB5B19-35E1-4F33-9441-41BFC38FD977}">
  <sheetPr>
    <tabColor rgb="FF0000FF"/>
    <pageSetUpPr fitToPage="1"/>
  </sheetPr>
  <dimension ref="A1:P17"/>
  <sheetViews>
    <sheetView workbookViewId="0">
      <selection activeCell="N28" sqref="N28"/>
    </sheetView>
  </sheetViews>
  <sheetFormatPr defaultRowHeight="16.5"/>
  <cols>
    <col min="1" max="1" width="8.875" style="54" customWidth="1"/>
    <col min="2" max="2" width="16.25" style="54" customWidth="1"/>
    <col min="3" max="3" width="26.625" style="54" customWidth="1"/>
    <col min="4" max="4" width="7.5" style="54" bestFit="1" customWidth="1"/>
    <col min="5" max="5" width="8.5" style="54" bestFit="1" customWidth="1"/>
    <col min="6" max="9" width="10.625" style="54" customWidth="1"/>
    <col min="10" max="13" width="10.625" style="54" hidden="1" customWidth="1"/>
    <col min="14" max="16" width="10.625" style="54" customWidth="1"/>
  </cols>
  <sheetData>
    <row r="1" spans="1:16" s="14" customFormat="1" ht="27" customHeight="1">
      <c r="A1" s="310" t="s">
        <v>37</v>
      </c>
      <c r="B1" s="310"/>
      <c r="C1" s="310"/>
      <c r="D1" s="310"/>
      <c r="E1" s="310"/>
      <c r="F1" s="310"/>
      <c r="G1" s="310"/>
      <c r="H1" s="310"/>
      <c r="I1" s="310"/>
      <c r="J1" s="310"/>
      <c r="K1" s="310"/>
      <c r="L1" s="310"/>
      <c r="M1" s="310"/>
      <c r="N1" s="310"/>
      <c r="O1" s="310"/>
      <c r="P1" s="310"/>
    </row>
    <row r="2" spans="1:16" s="14" customFormat="1" ht="30.75" customHeight="1">
      <c r="A2" s="311" t="s">
        <v>69</v>
      </c>
      <c r="B2" s="312"/>
      <c r="C2" s="312"/>
      <c r="D2" s="312"/>
      <c r="E2" s="312"/>
      <c r="F2" s="312"/>
      <c r="G2" s="312"/>
      <c r="H2" s="312"/>
      <c r="I2" s="312"/>
      <c r="J2" s="312"/>
      <c r="K2" s="312"/>
      <c r="L2" s="312"/>
      <c r="M2" s="312"/>
      <c r="N2" s="312"/>
      <c r="O2" s="312"/>
      <c r="P2" s="313"/>
    </row>
    <row r="3" spans="1:16" s="14" customFormat="1" ht="18" customHeight="1">
      <c r="A3" s="314" t="s">
        <v>54</v>
      </c>
      <c r="B3" s="323" t="s">
        <v>55</v>
      </c>
      <c r="C3" s="315" t="s">
        <v>38</v>
      </c>
      <c r="D3" s="316" t="s">
        <v>56</v>
      </c>
      <c r="E3" s="316" t="s">
        <v>57</v>
      </c>
      <c r="F3" s="318" t="s">
        <v>39</v>
      </c>
      <c r="G3" s="315"/>
      <c r="H3" s="315" t="s">
        <v>40</v>
      </c>
      <c r="I3" s="315"/>
      <c r="J3" s="319" t="s">
        <v>41</v>
      </c>
      <c r="K3" s="320"/>
      <c r="L3" s="319" t="s">
        <v>42</v>
      </c>
      <c r="M3" s="320"/>
      <c r="N3" s="318" t="s">
        <v>43</v>
      </c>
      <c r="O3" s="315"/>
      <c r="P3" s="321" t="s">
        <v>44</v>
      </c>
    </row>
    <row r="4" spans="1:16" s="14" customFormat="1" ht="18" customHeight="1">
      <c r="A4" s="314"/>
      <c r="B4" s="323"/>
      <c r="C4" s="315"/>
      <c r="D4" s="317"/>
      <c r="E4" s="317"/>
      <c r="F4" s="48" t="s">
        <v>45</v>
      </c>
      <c r="G4" s="48" t="s">
        <v>46</v>
      </c>
      <c r="H4" s="49" t="s">
        <v>45</v>
      </c>
      <c r="I4" s="48" t="s">
        <v>47</v>
      </c>
      <c r="J4" s="48"/>
      <c r="K4" s="48"/>
      <c r="L4" s="49" t="s">
        <v>45</v>
      </c>
      <c r="M4" s="48" t="s">
        <v>47</v>
      </c>
      <c r="N4" s="49" t="s">
        <v>45</v>
      </c>
      <c r="O4" s="48" t="s">
        <v>47</v>
      </c>
      <c r="P4" s="322"/>
    </row>
    <row r="5" spans="1:16" s="14" customFormat="1" ht="18" customHeight="1">
      <c r="A5" s="87">
        <v>99</v>
      </c>
      <c r="B5" s="99" t="s">
        <v>83</v>
      </c>
      <c r="C5" s="100" t="s">
        <v>84</v>
      </c>
      <c r="D5" s="101">
        <v>6</v>
      </c>
      <c r="E5" s="101">
        <v>36</v>
      </c>
      <c r="F5" s="102">
        <v>12859</v>
      </c>
      <c r="G5" s="103">
        <f t="shared" ref="G5" si="0">D5*F5</f>
        <v>77154</v>
      </c>
      <c r="H5" s="102">
        <v>2874</v>
      </c>
      <c r="I5" s="103">
        <f t="shared" ref="I5" si="1">E5*H5</f>
        <v>103464</v>
      </c>
      <c r="J5" s="103"/>
      <c r="K5" s="103"/>
      <c r="L5" s="103"/>
      <c r="M5" s="103"/>
      <c r="N5" s="103"/>
      <c r="O5" s="103">
        <f t="shared" ref="O5" si="2">G5+I5+K5+M5</f>
        <v>180618</v>
      </c>
      <c r="P5" s="104"/>
    </row>
    <row r="6" spans="1:16" s="14" customFormat="1" ht="18" customHeight="1">
      <c r="A6" s="303">
        <v>139</v>
      </c>
      <c r="B6" s="93" t="s">
        <v>79</v>
      </c>
      <c r="C6" s="64" t="s">
        <v>71</v>
      </c>
      <c r="D6" s="65">
        <v>2</v>
      </c>
      <c r="E6" s="65">
        <v>12</v>
      </c>
      <c r="F6" s="66">
        <v>12859</v>
      </c>
      <c r="G6" s="67">
        <f>D6*F6</f>
        <v>25718</v>
      </c>
      <c r="H6" s="66">
        <v>2874</v>
      </c>
      <c r="I6" s="67">
        <f t="shared" ref="I6" si="3">E6*H6</f>
        <v>34488</v>
      </c>
      <c r="J6" s="67"/>
      <c r="K6" s="67"/>
      <c r="L6" s="67"/>
      <c r="M6" s="67"/>
      <c r="N6" s="67"/>
      <c r="O6" s="67">
        <f>G6+I6+K6+M6</f>
        <v>60206</v>
      </c>
      <c r="P6" s="94" t="s">
        <v>80</v>
      </c>
    </row>
    <row r="7" spans="1:16" s="14" customFormat="1" ht="18" customHeight="1">
      <c r="A7" s="309"/>
      <c r="B7" s="305" t="s">
        <v>78</v>
      </c>
      <c r="C7" s="71" t="s">
        <v>49</v>
      </c>
      <c r="D7" s="72" t="s">
        <v>50</v>
      </c>
      <c r="E7" s="73">
        <v>0.2</v>
      </c>
      <c r="F7" s="69">
        <v>54693</v>
      </c>
      <c r="G7" s="74">
        <f>E7*F7</f>
        <v>10938.6</v>
      </c>
      <c r="H7" s="69"/>
      <c r="I7" s="70"/>
      <c r="J7" s="70"/>
      <c r="K7" s="70"/>
      <c r="L7" s="70"/>
      <c r="M7" s="70"/>
      <c r="N7" s="70"/>
      <c r="O7" s="75">
        <f t="shared" ref="O7:O9" si="4">G7+I7+K7+M7</f>
        <v>10938.6</v>
      </c>
      <c r="P7" s="86"/>
    </row>
    <row r="8" spans="1:16" s="14" customFormat="1" ht="18" customHeight="1">
      <c r="A8" s="309"/>
      <c r="B8" s="305"/>
      <c r="C8" s="76" t="s">
        <v>51</v>
      </c>
      <c r="D8" s="77" t="s">
        <v>48</v>
      </c>
      <c r="E8" s="78">
        <v>11</v>
      </c>
      <c r="F8" s="75"/>
      <c r="G8" s="75">
        <f>E8*F8</f>
        <v>0</v>
      </c>
      <c r="H8" s="79">
        <v>8978</v>
      </c>
      <c r="I8" s="75">
        <f t="shared" ref="I8:I9" si="5">E8*H8</f>
        <v>98758</v>
      </c>
      <c r="J8" s="75"/>
      <c r="K8" s="75"/>
      <c r="L8" s="75"/>
      <c r="M8" s="75"/>
      <c r="N8" s="75"/>
      <c r="O8" s="75">
        <f t="shared" si="4"/>
        <v>98758</v>
      </c>
      <c r="P8" s="86"/>
    </row>
    <row r="9" spans="1:16" s="14" customFormat="1" ht="18" customHeight="1">
      <c r="A9" s="304"/>
      <c r="B9" s="306"/>
      <c r="C9" s="80" t="s">
        <v>52</v>
      </c>
      <c r="D9" s="81" t="s">
        <v>48</v>
      </c>
      <c r="E9" s="82">
        <v>11</v>
      </c>
      <c r="F9" s="83"/>
      <c r="G9" s="83">
        <f t="shared" ref="G9" si="6">E9*F9</f>
        <v>0</v>
      </c>
      <c r="H9" s="84">
        <v>5317</v>
      </c>
      <c r="I9" s="83">
        <f t="shared" si="5"/>
        <v>58487</v>
      </c>
      <c r="J9" s="83"/>
      <c r="K9" s="83"/>
      <c r="L9" s="83"/>
      <c r="M9" s="83"/>
      <c r="N9" s="83"/>
      <c r="O9" s="83">
        <f t="shared" si="4"/>
        <v>58487</v>
      </c>
      <c r="P9" s="85"/>
    </row>
    <row r="10" spans="1:16" s="14" customFormat="1" ht="18" customHeight="1">
      <c r="A10" s="87">
        <v>138</v>
      </c>
      <c r="B10" s="99" t="s">
        <v>73</v>
      </c>
      <c r="C10" s="100" t="s">
        <v>70</v>
      </c>
      <c r="D10" s="101">
        <v>2</v>
      </c>
      <c r="E10" s="101">
        <v>12</v>
      </c>
      <c r="F10" s="102">
        <v>12859</v>
      </c>
      <c r="G10" s="103">
        <f t="shared" ref="G10:G15" si="7">D10*F10</f>
        <v>25718</v>
      </c>
      <c r="H10" s="102">
        <v>2874</v>
      </c>
      <c r="I10" s="103">
        <f t="shared" ref="I10:I15" si="8">E10*H10</f>
        <v>34488</v>
      </c>
      <c r="J10" s="103"/>
      <c r="K10" s="103"/>
      <c r="L10" s="103"/>
      <c r="M10" s="103"/>
      <c r="N10" s="103"/>
      <c r="O10" s="103">
        <f t="shared" ref="O10:O15" si="9">G10+I10+K10+M10</f>
        <v>60206</v>
      </c>
      <c r="P10" s="104"/>
    </row>
    <row r="11" spans="1:16" s="14" customFormat="1" ht="18" customHeight="1">
      <c r="A11" s="303">
        <v>64</v>
      </c>
      <c r="B11" s="301" t="s">
        <v>74</v>
      </c>
      <c r="C11" s="92" t="s">
        <v>82</v>
      </c>
      <c r="D11" s="65">
        <v>2</v>
      </c>
      <c r="E11" s="65">
        <v>12</v>
      </c>
      <c r="F11" s="66">
        <v>12859</v>
      </c>
      <c r="G11" s="67">
        <f t="shared" si="7"/>
        <v>25718</v>
      </c>
      <c r="H11" s="66">
        <v>2874</v>
      </c>
      <c r="I11" s="67">
        <f t="shared" si="8"/>
        <v>34488</v>
      </c>
      <c r="J11" s="67"/>
      <c r="K11" s="67"/>
      <c r="L11" s="67"/>
      <c r="M11" s="67"/>
      <c r="N11" s="67"/>
      <c r="O11" s="67">
        <f t="shared" si="9"/>
        <v>60206</v>
      </c>
      <c r="P11" s="68"/>
    </row>
    <row r="12" spans="1:16" s="14" customFormat="1" ht="18" customHeight="1">
      <c r="A12" s="304"/>
      <c r="B12" s="302"/>
      <c r="C12" s="105" t="s">
        <v>72</v>
      </c>
      <c r="D12" s="95">
        <v>4</v>
      </c>
      <c r="E12" s="95">
        <v>26.4</v>
      </c>
      <c r="F12" s="96">
        <v>12859</v>
      </c>
      <c r="G12" s="97">
        <f t="shared" si="7"/>
        <v>51436</v>
      </c>
      <c r="H12" s="96">
        <v>2874</v>
      </c>
      <c r="I12" s="97">
        <f t="shared" si="8"/>
        <v>75873.599999999991</v>
      </c>
      <c r="J12" s="97"/>
      <c r="K12" s="97"/>
      <c r="L12" s="97"/>
      <c r="M12" s="97"/>
      <c r="N12" s="97"/>
      <c r="O12" s="97">
        <f t="shared" si="9"/>
        <v>127309.59999999999</v>
      </c>
      <c r="P12" s="106" t="s">
        <v>80</v>
      </c>
    </row>
    <row r="13" spans="1:16" s="14" customFormat="1" ht="18" customHeight="1">
      <c r="A13" s="303">
        <v>66</v>
      </c>
      <c r="B13" s="307" t="s">
        <v>75</v>
      </c>
      <c r="C13" s="98" t="s">
        <v>81</v>
      </c>
      <c r="D13" s="88">
        <v>2</v>
      </c>
      <c r="E13" s="88">
        <v>12</v>
      </c>
      <c r="F13" s="89">
        <v>12859</v>
      </c>
      <c r="G13" s="90">
        <f t="shared" si="7"/>
        <v>25718</v>
      </c>
      <c r="H13" s="89">
        <v>2874</v>
      </c>
      <c r="I13" s="90">
        <f t="shared" si="8"/>
        <v>34488</v>
      </c>
      <c r="J13" s="90"/>
      <c r="K13" s="90"/>
      <c r="L13" s="90"/>
      <c r="M13" s="90"/>
      <c r="N13" s="90"/>
      <c r="O13" s="90">
        <f t="shared" si="9"/>
        <v>60206</v>
      </c>
      <c r="P13" s="91"/>
    </row>
    <row r="14" spans="1:16" s="14" customFormat="1" ht="18" customHeight="1">
      <c r="A14" s="304"/>
      <c r="B14" s="308"/>
      <c r="C14" s="105" t="s">
        <v>77</v>
      </c>
      <c r="D14" s="95"/>
      <c r="E14" s="95"/>
      <c r="F14" s="96"/>
      <c r="G14" s="97"/>
      <c r="H14" s="96"/>
      <c r="I14" s="97"/>
      <c r="J14" s="97"/>
      <c r="K14" s="97"/>
      <c r="L14" s="97"/>
      <c r="M14" s="97"/>
      <c r="N14" s="97"/>
      <c r="O14" s="97"/>
      <c r="P14" s="85"/>
    </row>
    <row r="15" spans="1:16" s="14" customFormat="1" ht="18" customHeight="1">
      <c r="A15" s="63">
        <v>140</v>
      </c>
      <c r="B15" s="99" t="s">
        <v>76</v>
      </c>
      <c r="C15" s="100" t="s">
        <v>71</v>
      </c>
      <c r="D15" s="101">
        <v>2</v>
      </c>
      <c r="E15" s="101">
        <v>12</v>
      </c>
      <c r="F15" s="102">
        <v>12859</v>
      </c>
      <c r="G15" s="103">
        <f t="shared" si="7"/>
        <v>25718</v>
      </c>
      <c r="H15" s="102">
        <v>2874</v>
      </c>
      <c r="I15" s="103">
        <f t="shared" si="8"/>
        <v>34488</v>
      </c>
      <c r="J15" s="103"/>
      <c r="K15" s="103"/>
      <c r="L15" s="103"/>
      <c r="M15" s="103"/>
      <c r="N15" s="103"/>
      <c r="O15" s="103">
        <f t="shared" si="9"/>
        <v>60206</v>
      </c>
      <c r="P15" s="104"/>
    </row>
    <row r="16" spans="1:16" s="14" customFormat="1" ht="18" customHeight="1">
      <c r="A16" s="50"/>
      <c r="B16" s="50" t="s">
        <v>53</v>
      </c>
      <c r="C16" s="51"/>
      <c r="D16" s="55"/>
      <c r="E16" s="55"/>
      <c r="F16" s="52"/>
      <c r="G16" s="56">
        <f>SUM(G5:G15)</f>
        <v>268118.59999999998</v>
      </c>
      <c r="H16" s="53"/>
      <c r="I16" s="56">
        <f>SUM(I5:I15)</f>
        <v>509022.6</v>
      </c>
      <c r="J16" s="52"/>
      <c r="K16" s="53" t="e">
        <f>#REF!+#REF!+#REF!+#REF!</f>
        <v>#REF!</v>
      </c>
      <c r="L16" s="52"/>
      <c r="M16" s="53" t="e">
        <f>#REF!+#REF!+#REF!+#REF!</f>
        <v>#REF!</v>
      </c>
      <c r="N16" s="52"/>
      <c r="O16" s="56">
        <f>SUM(O5:O15)</f>
        <v>777141.2</v>
      </c>
      <c r="P16" s="52"/>
    </row>
    <row r="17" spans="4:5">
      <c r="D17" s="107">
        <f>D5+D6+D10+D11+D12+D13+D15</f>
        <v>20</v>
      </c>
      <c r="E17" s="107">
        <f>E5+E6+E10+E11+E13+E15</f>
        <v>96</v>
      </c>
    </row>
  </sheetData>
  <mergeCells count="19">
    <mergeCell ref="A1:P1"/>
    <mergeCell ref="A2:P2"/>
    <mergeCell ref="A3:A4"/>
    <mergeCell ref="C3:C4"/>
    <mergeCell ref="E3:E4"/>
    <mergeCell ref="F3:G3"/>
    <mergeCell ref="H3:I3"/>
    <mergeCell ref="J3:K3"/>
    <mergeCell ref="L3:M3"/>
    <mergeCell ref="N3:O3"/>
    <mergeCell ref="D3:D4"/>
    <mergeCell ref="P3:P4"/>
    <mergeCell ref="B3:B4"/>
    <mergeCell ref="B11:B12"/>
    <mergeCell ref="A11:A12"/>
    <mergeCell ref="A13:A14"/>
    <mergeCell ref="B7:B9"/>
    <mergeCell ref="B13:B14"/>
    <mergeCell ref="A6:A9"/>
  </mergeCells>
  <phoneticPr fontId="6" type="noConversion"/>
  <pageMargins left="0.7" right="0.7" top="0.75" bottom="0.75" header="0.3" footer="0.3"/>
  <pageSetup paperSize="9" scale="83" orientation="landscape" horizontalDpi="4294967293"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6"/>
  <dimension ref="A1:F7"/>
  <sheetViews>
    <sheetView showGridLines="0" zoomScaleNormal="100" workbookViewId="0">
      <selection activeCell="G26" sqref="G26"/>
    </sheetView>
  </sheetViews>
  <sheetFormatPr defaultColWidth="9" defaultRowHeight="14.25"/>
  <cols>
    <col min="1" max="1" width="25.125" style="1" customWidth="1"/>
    <col min="2" max="2" width="16.25" style="1" customWidth="1"/>
    <col min="3" max="3" width="22.375" style="1" customWidth="1"/>
    <col min="4" max="4" width="24.125" style="1" customWidth="1"/>
    <col min="5" max="5" width="13" style="1" customWidth="1"/>
    <col min="6" max="6" width="9" style="1" customWidth="1"/>
    <col min="7" max="16384" width="9" style="14"/>
  </cols>
  <sheetData>
    <row r="1" spans="1:6" ht="18" customHeight="1">
      <c r="A1" s="16" t="s">
        <v>0</v>
      </c>
      <c r="B1" s="16" t="s">
        <v>1</v>
      </c>
      <c r="C1" s="16" t="s">
        <v>2</v>
      </c>
      <c r="D1" s="16" t="s">
        <v>3</v>
      </c>
      <c r="E1" s="16" t="s">
        <v>4</v>
      </c>
      <c r="F1" s="16" t="s">
        <v>5</v>
      </c>
    </row>
    <row r="2" spans="1:6">
      <c r="A2" s="17" t="str">
        <f>'내역서(표준단가)'!A5</f>
        <v>M020414115290101</v>
      </c>
      <c r="B2" s="18">
        <f>'내역서(표준단가)'!B5</f>
        <v>0</v>
      </c>
      <c r="C2" s="18">
        <f>'내역서(표준단가)'!C5</f>
        <v>0</v>
      </c>
      <c r="D2" s="18" t="str">
        <f>'내역서(표준단가)'!D5</f>
        <v>M020414115290101</v>
      </c>
      <c r="E2" s="18">
        <f>'내역서(표준단가)'!E5</f>
        <v>0</v>
      </c>
      <c r="F2" s="19">
        <f>'내역서(표준단가)'!I5</f>
        <v>20</v>
      </c>
    </row>
    <row r="3" spans="1:6">
      <c r="A3" s="17" t="str">
        <f>'내역서(표준단가)'!A6</f>
        <v>E00000803061300101</v>
      </c>
      <c r="B3" s="18">
        <f>'내역서(표준단가)'!B6</f>
        <v>0</v>
      </c>
      <c r="C3" s="18" t="str">
        <f>'내역서(표준단가)'!C6</f>
        <v>E00000803061300101</v>
      </c>
      <c r="D3" s="18">
        <f>'내역서(표준단가)'!D6</f>
        <v>0</v>
      </c>
      <c r="E3" s="18">
        <f>'내역서(표준단가)'!E6</f>
        <v>0</v>
      </c>
      <c r="F3" s="19">
        <f>'내역서(표준단가)'!I6</f>
        <v>96</v>
      </c>
    </row>
    <row r="4" spans="1:6">
      <c r="A4" s="17" t="str">
        <f>'내역서(표준단가)'!A7</f>
        <v>E00000803061300101</v>
      </c>
      <c r="B4" s="18">
        <f>'내역서(표준단가)'!B7</f>
        <v>0</v>
      </c>
      <c r="C4" s="18" t="str">
        <f>'내역서(표준단가)'!C7</f>
        <v>E00000803061300101</v>
      </c>
      <c r="D4" s="18">
        <f>'내역서(표준단가)'!D7</f>
        <v>0</v>
      </c>
      <c r="E4" s="18">
        <f>'내역서(표준단가)'!E7</f>
        <v>0</v>
      </c>
      <c r="F4" s="19">
        <f>'내역서(표준단가)'!I7</f>
        <v>26.4</v>
      </c>
    </row>
    <row r="5" spans="1:6">
      <c r="A5" s="17" t="str">
        <f>'내역서(표준단가)'!A8</f>
        <v>M020412614110102</v>
      </c>
      <c r="B5" s="18">
        <f>'내역서(표준단가)'!B8</f>
        <v>0</v>
      </c>
      <c r="C5" s="18">
        <f>'내역서(표준단가)'!C8</f>
        <v>0</v>
      </c>
      <c r="D5" s="18" t="str">
        <f>'내역서(표준단가)'!D8</f>
        <v>M020412614110102</v>
      </c>
      <c r="E5" s="18">
        <f>'내역서(표준단가)'!E8</f>
        <v>0</v>
      </c>
      <c r="F5" s="19">
        <f>'내역서(표준단가)'!I8</f>
        <v>0.2</v>
      </c>
    </row>
    <row r="6" spans="1:6">
      <c r="A6" s="17" t="str">
        <f>'내역서(표준단가)'!A9</f>
        <v>E00000803061120402</v>
      </c>
      <c r="B6" s="18">
        <f>'내역서(표준단가)'!B9</f>
        <v>0</v>
      </c>
      <c r="C6" s="18" t="str">
        <f>'내역서(표준단가)'!C9</f>
        <v>E00000803061120402</v>
      </c>
      <c r="D6" s="18">
        <f>'내역서(표준단가)'!D9</f>
        <v>0</v>
      </c>
      <c r="E6" s="18">
        <f>'내역서(표준단가)'!E9</f>
        <v>0</v>
      </c>
      <c r="F6" s="19">
        <f>'내역서(표준단가)'!I9</f>
        <v>11</v>
      </c>
    </row>
    <row r="7" spans="1:6">
      <c r="A7" s="17" t="str">
        <f>'내역서(표준단가)'!A10</f>
        <v>E00000803061300201</v>
      </c>
      <c r="B7" s="18">
        <f>'내역서(표준단가)'!B10</f>
        <v>0</v>
      </c>
      <c r="C7" s="18" t="str">
        <f>'내역서(표준단가)'!C10</f>
        <v>E00000803061300201</v>
      </c>
      <c r="D7" s="18">
        <f>'내역서(표준단가)'!D10</f>
        <v>0</v>
      </c>
      <c r="E7" s="18">
        <f>'내역서(표준단가)'!E10</f>
        <v>0</v>
      </c>
      <c r="F7" s="19">
        <f>'내역서(표준단가)'!I10</f>
        <v>11</v>
      </c>
    </row>
  </sheetData>
  <phoneticPr fontId="6" type="noConversion"/>
  <pageMargins left="0.7" right="0.7" top="0.75" bottom="0.75" header="0.3" footer="0.3"/>
  <pageSetup paperSize="9"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8CBC07-0BB5-46CB-B98E-979C59182194}">
  <sheetPr codeName="Sheet4"/>
  <dimension ref="A1"/>
  <sheetViews>
    <sheetView topLeftCell="A4" workbookViewId="0">
      <selection activeCell="K40" sqref="K40"/>
    </sheetView>
  </sheetViews>
  <sheetFormatPr defaultRowHeight="14.25"/>
  <cols>
    <col min="1" max="16384" width="9" style="14"/>
  </cols>
  <sheetData/>
  <phoneticPr fontId="6" type="noConversion"/>
  <pageMargins left="0.7" right="0.7" top="0.75" bottom="0.75" header="0.3" footer="0.3"/>
  <pageSetup paperSize="9" orientation="portrait" horizontalDpi="4294967293" verticalDpi="0"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5F0EAD-947A-4509-94E0-ABD58C874BAC}">
  <dimension ref="A1"/>
  <sheetViews>
    <sheetView zoomScale="81" zoomScaleNormal="81" workbookViewId="0">
      <selection activeCell="S41" sqref="S41"/>
    </sheetView>
  </sheetViews>
  <sheetFormatPr defaultRowHeight="16.5"/>
  <sheetData/>
  <phoneticPr fontId="6" type="noConversion"/>
  <pageMargins left="0.7" right="0.7" top="0.75" bottom="0.75" header="0.3" footer="0.3"/>
  <pageSetup paperSize="9" orientation="portrait" horizontalDpi="4294967293" verticalDpi="0"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6</vt:i4>
      </vt:variant>
    </vt:vector>
  </HeadingPairs>
  <TitlesOfParts>
    <vt:vector size="6" baseType="lpstr">
      <vt:lpstr>PR당사안</vt:lpstr>
      <vt:lpstr>내역서(표준단가)</vt:lpstr>
      <vt:lpstr>상세내역</vt:lpstr>
      <vt:lpstr>Upload</vt:lpstr>
      <vt:lpstr>도면</vt:lpstr>
      <vt:lpstr>참고자료</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종근 이</cp:lastModifiedBy>
  <cp:lastPrinted>2026-01-27T04:29:03Z</cp:lastPrinted>
  <dcterms:created xsi:type="dcterms:W3CDTF">2020-09-15T23:52:51Z</dcterms:created>
  <dcterms:modified xsi:type="dcterms:W3CDTF">2026-06-23T06:30:31Z</dcterms:modified>
</cp:coreProperties>
</file>
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25CC5462-9805-4308-B8EC-C86DAC9A7AF7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3" i="3"/>
  <c r="K12" i="3"/>
  <c r="K11" i="3"/>
  <c r="K20" i="3" s="1"/>
  <c r="Q7" i="2"/>
  <c r="U6" i="2"/>
  <c r="S6" i="2"/>
  <c r="Q6" i="2"/>
  <c r="O6" i="2"/>
  <c r="V6" i="2" s="1"/>
  <c r="A6" i="2"/>
  <c r="V5" i="2"/>
  <c r="U5" i="2"/>
  <c r="U7" i="2" s="1"/>
  <c r="S5" i="2"/>
  <c r="S7" i="2" s="1"/>
  <c r="Q5" i="2"/>
  <c r="O5" i="2"/>
  <c r="O7" i="2" s="1"/>
  <c r="J22" i="4" l="1"/>
  <c r="J24" i="4"/>
  <c r="J23" i="4"/>
  <c r="J26" i="4"/>
  <c r="J25" i="4"/>
  <c r="J27" i="4" s="1"/>
  <c r="D9" i="3"/>
  <c r="K9" i="3"/>
  <c r="V7" i="2"/>
  <c r="J28" i="4" l="1"/>
  <c r="J20" i="4" s="1"/>
  <c r="J30" i="4" l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<sst xmlns="http://schemas.openxmlformats.org/spreadsheetml/2006/main" count="144" uniqueCount="126">
  <si>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>823-9444       FAX 823-9511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</si>
  <si>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</si>
  <si>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</si>
  <si>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</si>
  <si>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GRV-300(601)</t>
  </si>
  <si>
    <t>보일러,버너,배관자재,에어컨</t>
  </si>
  <si>
    <t>314-19-99933</t>
  </si>
  <si>
    <t>품     명</t>
  </si>
  <si>
    <t>기 타 사 항</t>
  </si>
  <si>
    <t>세    액</t>
  </si>
  <si>
    <t>할증기준</t>
  </si>
  <si>
    <t>규     격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</si>
  <si>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</si>
  <si>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공 급 가 액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</si>
  <si>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</si>
  <si>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</si>
  <si>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t>단    가</t>
  </si>
  <si>
    <r>
      <rPr>
        <b/>
        <sz val="10"/>
        <color rgb="FF000000"/>
        <rFont val="LG스마트체 Regular"/>
        <family val="3"/>
        <charset val="129"/>
      </rPr>
      <t>기계경비</t>
    </r>
  </si>
  <si>
    <t>등 록 번 호</t>
  </si>
  <si>
    <t>종   목</t>
  </si>
  <si>
    <t>가스밸브</t>
  </si>
  <si>
    <t xml:space="preserve">  김 태 용</t>
  </si>
  <si>
    <t>열교환기</t>
  </si>
  <si>
    <t>합 계 금 액</t>
  </si>
  <si>
    <t>성   명</t>
  </si>
  <si>
    <t>비   고</t>
  </si>
  <si>
    <t>귀뚜라미산업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</si>
  <si>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</si>
  <si>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</si>
  <si>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</si>
  <si>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</si>
  <si>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상      호</t>
  </si>
  <si>
    <t>주      소</t>
  </si>
  <si>
    <t>업      태</t>
  </si>
  <si>
    <t>네번타는보일러-30K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</si>
  <si>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</si>
  <si>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</si>
  <si>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</si>
  <si>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>102동 402호</t>
  </si>
  <si>
    <t>SET</t>
  </si>
  <si>
    <t>합계</t>
  </si>
  <si>
    <t>번 호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</si>
  <si>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</si>
  <si>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</si>
  <si>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</si>
  <si>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</si>
  <si>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</si>
  <si>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</si>
  <si>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</si>
  <si>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</si>
  <si>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</si>
  <si>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</si>
  <si>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도소매</t>
  </si>
  <si>
    <r>
      <rPr>
        <b/>
        <sz val="10"/>
        <color rgb="FF000000"/>
        <rFont val="LG스마트체 Regular"/>
        <family val="3"/>
        <charset val="129"/>
      </rPr>
      <t>단위</t>
    </r>
  </si>
  <si>
    <t xml:space="preserve">  ※ LG사택 102동 402호</t>
  </si>
  <si>
    <t>점화트랜흐</t>
  </si>
  <si>
    <t>EI-730ECO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</si>
  <si>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</si>
  <si>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</si>
  <si>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</si>
  <si>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</si>
  <si>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</si>
  <si>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</si>
  <si>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</si>
  <si>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</si>
  <si>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</si>
  <si>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</si>
  <si>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</si>
  <si>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</si>
  <si>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</si>
  <si>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</si>
  <si>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</si>
  <si>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</si>
  <si>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</si>
  <si>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</si>
  <si>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</si>
  <si>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</si>
  <si>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</si>
  <si>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</si>
  <si>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</si>
  <si>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</si>
  <si>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</si>
  <si>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</si>
  <si>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</si>
  <si>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</si>
  <si>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</si>
  <si>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</si>
  <si>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</si>
  <si>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</si>
  <si>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</si>
  <si>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</si>
  <si>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</si>
  <si>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</si>
  <si>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</si>
  <si>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</si>
  <si>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</si>
  <si>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</si>
  <si>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</si>
  <si>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</si>
  <si>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</si>
  <si>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</si>
  <si>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</si>
  <si>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</si>
  <si>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</si>
  <si>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</si>
  <si>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</si>
  <si>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</si>
  <si>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</si>
  <si>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</si>
  <si>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</si>
  <si>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</si>
  <si>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</si>
  <si>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</si>
  <si>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</si>
  <si>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</si>
  <si>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</si>
  <si>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</si>
  <si>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</si>
  <si>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</si>
  <si>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</si>
  <si>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</si>
  <si>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</si>
  <si>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</si>
  <si>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</si>
  <si>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102-402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</si>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</sst>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0508F1DF-3EE8-48AC-AA5E-6A714D410DBA}"/>
    <cellStyle name="백분율 2 3" xfId="6" xr:uid="{00000000-0005-0000-0000-000006000000}"/>
    <cellStyle name="쉼표 [0] 17" xfId="2" xr:uid="{00000000-0005-0000-0000-000002000000}"/>
    <cellStyle name="쉼표 [0] 17 2" xfId="20" xr:uid="{E97A7E27-E95D-430D-8059-3A09F5D65D4C}"/>
    <cellStyle name="쉼표 [0] 2" xfId="13" xr:uid="{4B1011CB-A683-4F94-8077-1F56BF516365}"/>
    <cellStyle name="쉼표 [0] 2 2 2" xfId="5" xr:uid="{00000000-0005-0000-0000-000005000000}"/>
    <cellStyle name="쉼표 [0] 2 2 29" xfId="14" xr:uid="{1B15E9C4-BEBF-4BDF-8494-2758CC9A0905}"/>
    <cellStyle name="쉼표 [0] 2 3" xfId="4" xr:uid="{00000000-0005-0000-0000-000004000000}"/>
    <cellStyle name="쉼표 [0] 2 84" xfId="18" xr:uid="{E01D1B1A-F867-4D61-8FB7-EF242D0B894A}"/>
    <cellStyle name="쉼표 [0] 5" xfId="16" xr:uid="{DED36505-4BEC-4257-9EB6-66BE7B86D9D5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09F74F2B-E1CC-4D0F-9C16-5A470FA5856C}"/>
    <cellStyle name="표준 10 2" xfId="10" xr:uid="{A4155C60-CF5F-46C2-B9C8-947B48A52A0C}"/>
    <cellStyle name="표준 2" xfId="17" xr:uid="{0517EE22-897F-4AE7-BA12-CA46964C081D}"/>
    <cellStyle name="표준 3 2" xfId="3" xr:uid="{00000000-0005-0000-0000-000003000000}"/>
    <cellStyle name="표준 7" xfId="7" xr:uid="{00000000-0005-0000-0000-000007000000}"/>
    <cellStyle name="표준_p1공장 외벽청소(08.03.17)" xfId="11" xr:uid="{E29D4AF8-DEC0-43F7-BB64-C81AF6C52A4A}"/>
    <cellStyle name="표준_P456 공장 및 복지동 전면 유리창 청소건 라상혁님_1129(최종)" xfId="12" xr:uid="{F0B3F0BB-931A-474E-966D-D747F1B1DFED}"/>
    <cellStyle name="표준_S&amp;D_MAIN VALVE_최빈_2" xfId="9" xr:uid="{0D76BB73-1889-4C76-AF27-88ED7C8884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8B9773-BE5F-4607-A41D-336CE4B8D5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2F67-B2B2-474F-8B80-973A87E1E2FF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K11" sqref="K11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15</v>
      </c>
      <c r="Q1" s="44" t="s">
        <v>15</v>
      </c>
      <c r="S1" s="44" t="s">
        <v>15</v>
      </c>
      <c r="U1" s="44" t="s">
        <v>15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</v>
      </c>
      <c r="G3" s="40"/>
      <c r="H3" s="40"/>
      <c r="I3" s="40"/>
      <c r="J3" s="234" t="s">
        <v>12</v>
      </c>
      <c r="K3" s="234"/>
      <c r="L3" s="234" t="s">
        <v>53</v>
      </c>
      <c r="M3" s="234" t="s">
        <v>48</v>
      </c>
      <c r="N3" s="240" t="s">
        <v>43</v>
      </c>
      <c r="O3" s="240"/>
      <c r="P3" s="240" t="s">
        <v>45</v>
      </c>
      <c r="Q3" s="240"/>
      <c r="R3" s="241" t="s">
        <v>17</v>
      </c>
      <c r="S3" s="241"/>
      <c r="T3" s="241" t="s">
        <v>30</v>
      </c>
      <c r="U3" s="241"/>
      <c r="V3" s="242" t="s">
        <v>51</v>
      </c>
      <c r="W3" s="236" t="s">
        <v>27</v>
      </c>
      <c r="X3" s="238" t="s">
        <v>10</v>
      </c>
    </row>
    <row r="4" spans="1:24" ht="19.899999999999999" customHeight="1">
      <c r="A4" s="39" t="s">
        <v>51</v>
      </c>
      <c r="B4" s="38"/>
      <c r="C4" s="38"/>
      <c r="D4" s="38"/>
      <c r="E4" s="38"/>
      <c r="F4" s="37"/>
      <c r="G4" s="37"/>
      <c r="H4" s="37"/>
      <c r="I4" s="37"/>
      <c r="J4" s="36" t="s">
        <v>42</v>
      </c>
      <c r="K4" s="36" t="s">
        <v>47</v>
      </c>
      <c r="L4" s="235"/>
      <c r="M4" s="235"/>
      <c r="N4" s="35" t="s">
        <v>28</v>
      </c>
      <c r="O4" s="34" t="s">
        <v>50</v>
      </c>
      <c r="P4" s="35" t="s">
        <v>44</v>
      </c>
      <c r="Q4" s="34" t="s">
        <v>50</v>
      </c>
      <c r="R4" s="34" t="s">
        <v>44</v>
      </c>
      <c r="S4" s="34" t="s">
        <v>50</v>
      </c>
      <c r="T4" s="34" t="s">
        <v>44</v>
      </c>
      <c r="U4" s="34" t="s">
        <v>50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38</v>
      </c>
      <c r="K5" s="32" t="s">
        <v>2</v>
      </c>
      <c r="L5" s="31" t="s">
        <v>39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B13" sqref="B13:C13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37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</v>
      </c>
      <c r="B3" s="246"/>
      <c r="C3" s="246"/>
      <c r="D3" s="246"/>
      <c r="E3" s="246"/>
      <c r="F3" s="247" t="s">
        <v>18</v>
      </c>
      <c r="G3" s="248"/>
      <c r="H3" s="247"/>
      <c r="I3" s="249" t="s">
        <v>6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31</v>
      </c>
      <c r="G4" s="250"/>
      <c r="H4" s="247"/>
      <c r="I4" s="249" t="s">
        <v>26</v>
      </c>
      <c r="J4" s="249"/>
      <c r="K4" s="249"/>
      <c r="L4" s="249"/>
      <c r="M4" s="249"/>
      <c r="N4" s="249" t="s">
        <v>24</v>
      </c>
      <c r="O4" s="249"/>
      <c r="P4" s="249"/>
      <c r="Q4" s="251" t="s">
        <v>21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36</v>
      </c>
      <c r="B5" s="252"/>
      <c r="C5" s="252"/>
      <c r="D5" s="252"/>
      <c r="E5" s="252"/>
      <c r="F5" s="247" t="s">
        <v>32</v>
      </c>
      <c r="G5" s="248"/>
      <c r="H5" s="247"/>
      <c r="I5" s="249" t="s">
        <v>29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33</v>
      </c>
      <c r="G6" s="250"/>
      <c r="H6" s="247"/>
      <c r="I6" s="249" t="s">
        <v>52</v>
      </c>
      <c r="J6" s="249"/>
      <c r="K6" s="249" t="s">
        <v>19</v>
      </c>
      <c r="L6" s="249"/>
      <c r="M6" s="249"/>
      <c r="N6" s="249" t="s">
        <v>5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35</v>
      </c>
      <c r="B7" s="252"/>
      <c r="C7" s="252"/>
      <c r="D7" s="252"/>
      <c r="E7" s="252"/>
      <c r="F7" s="247" t="s">
        <v>14</v>
      </c>
      <c r="G7" s="250"/>
      <c r="H7" s="247"/>
      <c r="I7" s="249" t="s">
        <v>0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49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23</v>
      </c>
      <c r="B9" s="250"/>
      <c r="C9" s="250"/>
      <c r="D9" s="256" t="str">
        <f>"일금 "&amp;NUMBERSTRING((K20+N20),1)&amp;"원정"</f>
        <v>일금 오십팔만이천원정</v>
      </c>
      <c r="E9" s="256"/>
      <c r="F9" s="256"/>
      <c r="G9" s="256"/>
      <c r="H9" s="256"/>
      <c r="I9" s="256"/>
      <c r="J9" s="256"/>
      <c r="K9" s="257">
        <f>K20+N20</f>
        <v>582000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41</v>
      </c>
      <c r="B10" s="260" t="s">
        <v>7</v>
      </c>
      <c r="C10" s="261"/>
      <c r="D10" s="262" t="s">
        <v>11</v>
      </c>
      <c r="E10" s="263"/>
      <c r="F10" s="51" t="s">
        <v>46</v>
      </c>
      <c r="G10" s="262" t="s">
        <v>16</v>
      </c>
      <c r="H10" s="264"/>
      <c r="I10" s="264"/>
      <c r="J10" s="263"/>
      <c r="K10" s="262" t="s">
        <v>13</v>
      </c>
      <c r="L10" s="264"/>
      <c r="M10" s="264"/>
      <c r="N10" s="263"/>
      <c r="O10" s="262" t="s">
        <v>9</v>
      </c>
      <c r="P10" s="264"/>
      <c r="Q10" s="263"/>
      <c r="R10" s="51" t="s">
        <v>25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22</v>
      </c>
      <c r="C11" s="266"/>
      <c r="D11" s="267" t="s">
        <v>34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55</v>
      </c>
      <c r="C12" s="266"/>
      <c r="D12" s="267" t="s">
        <v>56</v>
      </c>
      <c r="E12" s="266"/>
      <c r="F12" s="51">
        <v>1</v>
      </c>
      <c r="G12" s="268">
        <v>65000</v>
      </c>
      <c r="H12" s="269"/>
      <c r="I12" s="269"/>
      <c r="J12" s="270"/>
      <c r="K12" s="271">
        <f>F12*G12</f>
        <v>65000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20</v>
      </c>
      <c r="C13" s="266"/>
      <c r="D13" s="267" t="s">
        <v>4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40</v>
      </c>
      <c r="B20" s="265"/>
      <c r="C20" s="266"/>
      <c r="D20" s="267"/>
      <c r="E20" s="266"/>
      <c r="F20" s="51"/>
      <c r="G20" s="268">
        <f>SUM(G11:J14)</f>
        <v>582000</v>
      </c>
      <c r="H20" s="269"/>
      <c r="I20" s="269"/>
      <c r="J20" s="270"/>
      <c r="K20" s="271">
        <f>SUM(K11:N14)</f>
        <v>582000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8</v>
      </c>
      <c r="B21" s="284"/>
      <c r="C21" s="285"/>
      <c r="D21" s="286" t="s">
        <v>54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21</cp:revision>
  <dcterms:created xsi:type="dcterms:W3CDTF">2020-09-15T23:52:51Z</dcterms:created>
  <dcterms:modified xsi:type="dcterms:W3CDTF">2025-10-01T23:47:50Z</dcterms:modified>
  <cp:version>1300.0100.01</cp:version>
</cp:coreProperties>
</file>
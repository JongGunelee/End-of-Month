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현재_통합_문서"/>
  <xr:revisionPtr revIDLastSave="0" documentId="13_ncr:1_{C36CA9CF-820D-4A66-B66C-C3C85DB5B28B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M5" i="4"/>
  <c r="J23" i="12" l="1"/>
  <c r="J24" i="12"/>
  <c r="J26" i="12"/>
  <c r="J25" i="12"/>
  <c r="J27" i="12" s="1"/>
  <c r="J22" i="12"/>
  <c r="F2" i="1"/>
  <c r="E2" i="1"/>
  <c r="D2" i="1"/>
  <c r="C2" i="1"/>
  <c r="B2" i="1"/>
  <c r="Q5" i="4"/>
  <c r="O5" i="4"/>
  <c r="K5" i="4"/>
  <c r="A5" i="4"/>
  <c r="A2" i="1" s="1"/>
  <c r="Q6" i="4"/>
  <c r="O6" i="4"/>
  <c r="M6" i="4"/>
  <c r="K6" i="4"/>
  <c r="J28" i="12" l="1"/>
  <c r="J20" i="12" s="1"/>
  <c r="R6" i="4"/>
  <c r="R5" i="4"/>
  <c r="Q7" i="4"/>
  <c r="M7" i="4"/>
  <c r="J30" i="12" l="1"/>
  <c r="O7" i="4"/>
  <c r="M32" i="12" l="1"/>
  <c r="B15" i="12" s="1"/>
  <c r="R7" i="4"/>
  <c r="K7" i="4" l="1"/>
</calcChain>
</file>

<file path=xl/sharedStrings.xml><?xml version="1.0" encoding="utf-8"?>
<sst xmlns="http://schemas.openxmlformats.org/spreadsheetml/2006/main" count="143" uniqueCount="121">
  <si>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</si>
  <si>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</si>
  <si>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</si>
  <si>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</si>
  <si>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</si>
  <si>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</si>
  <si>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</si>
  <si>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</si>
  <si>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</si>
  <si>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</si>
  <si>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</si>
  <si>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</si>
  <si>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</si>
  <si>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</si>
  <si>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</si>
  <si>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</si>
  <si>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</si>
  <si>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</si>
  <si>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</si>
  <si>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</si>
  <si>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</si>
  <si>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</si>
  <si>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</si>
  <si>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</si>
  <si>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</si>
  <si>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</si>
  <si>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</si>
  <si>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</si>
  <si>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</si>
  <si>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</si>
  <si>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</si>
  <si>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</si>
  <si>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</si>
  <si>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</si>
  <si>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</si>
  <si>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</si>
  <si>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</si>
  <si>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</si>
  <si>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</si>
  <si>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</si>
  <si>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</si>
  <si>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</si>
  <si>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</si>
  <si>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</si>
  <si>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</si>
  <si>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</si>
  <si>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</si>
  <si>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</si>
  <si>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</si>
  <si>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</si>
  <si>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8동 씽크대 상하부장 문짝교체</t>
    <phoneticPr fontId="7" type="noConversion"/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</si>
  <si>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</si>
  <si>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</si>
  <si>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</si>
  <si>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</si>
  <si>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</si>
  <si>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</si>
  <si>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</si>
  <si>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</si>
  <si>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</si>
  <si>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</si>
  <si>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</si>
  <si>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</si>
  <si>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</si>
  <si>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</si>
  <si>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</si>
  <si>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</si>
  <si>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</si>
  <si>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</si>
  <si>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</si>
  <si>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</si>
  <si>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</si>
  <si>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</si>
  <si>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</si>
  <si>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</si>
  <si>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</si>
  <si>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</si>
  <si>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</si>
  <si>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</si>
  <si>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</si>
  <si>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</si>
  <si>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</si>
  <si>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</si>
  <si>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</si>
  <si>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5" type="noConversion"/>
  </si>
  <si>
    <t>구          분</t>
    <phoneticPr fontId="35" type="noConversion"/>
  </si>
  <si>
    <t>수량</t>
    <phoneticPr fontId="35" type="noConversion"/>
  </si>
  <si>
    <t>단위</t>
    <phoneticPr fontId="35" type="noConversion"/>
  </si>
  <si>
    <t>금    액</t>
    <phoneticPr fontId="35" type="noConversion"/>
  </si>
  <si>
    <t>비    고</t>
    <phoneticPr fontId="35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</si>
  <si>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</si>
  <si>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</si>
  <si>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</si>
  <si>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</si>
  <si>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</si>
  <si>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</si>
  <si>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</si>
  <si>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</si>
  <si>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</si>
  <si>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</si>
  <si>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</si>
  <si>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</si>
  <si>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노무비*3.595%</t>
    <phoneticPr fontId="9" type="noConversion"/>
  </si>
  <si>
    <t>국민연금 보험료</t>
  </si>
  <si>
    <t>노무비*4.75%</t>
    <phoneticPr fontId="7" type="noConversion"/>
  </si>
  <si>
    <t>노인장기요양 보험료</t>
    <phoneticPr fontId="13" type="noConversion"/>
  </si>
  <si>
    <t>건강보험료*13.14%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</si>
  <si>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</si>
  <si>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</si>
  <si>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</si>
  <si>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</si>
  <si>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</si>
  <si>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</si>
  <si>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</si>
  <si>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</si>
  <si>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</si>
  <si>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</si>
  <si>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</si>
  <si>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</si>
  <si>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8-308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</si>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</sst>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3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4" fillId="0" borderId="0"/>
    <xf numFmtId="178" fontId="14" fillId="0" borderId="0" applyFont="0" applyFill="0" applyBorder="0" applyAlignment="0" applyProtection="0"/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5">
    <xf numFmtId="0" fontId="0" fillId="0" borderId="0" xfId="0">
      <alignment vertical="center"/>
    </xf>
    <xf numFmtId="180" fontId="16" fillId="0" borderId="0" xfId="1" applyNumberFormat="1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49" fontId="15" fillId="7" borderId="2" xfId="0" applyNumberFormat="1" applyFont="1" applyFill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 wrapText="1"/>
    </xf>
    <xf numFmtId="176" fontId="15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182" fontId="15" fillId="5" borderId="2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13" xfId="0" applyNumberFormat="1" applyFont="1" applyFill="1" applyBorder="1" applyAlignment="1">
      <alignment horizontal="center" vertical="center" wrapText="1"/>
    </xf>
    <xf numFmtId="49" fontId="15" fillId="2" borderId="14" xfId="0" applyNumberFormat="1" applyFont="1" applyFill="1" applyBorder="1" applyAlignment="1">
      <alignment horizontal="center" vertical="center" wrapText="1"/>
    </xf>
    <xf numFmtId="183" fontId="15" fillId="0" borderId="0" xfId="0" applyNumberFormat="1" applyFont="1">
      <alignment vertical="center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184" fontId="15" fillId="0" borderId="0" xfId="0" applyNumberFormat="1" applyFont="1">
      <alignment vertical="center"/>
    </xf>
    <xf numFmtId="0" fontId="15" fillId="7" borderId="3" xfId="0" applyFont="1" applyFill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9" fontId="19" fillId="7" borderId="2" xfId="0" applyNumberFormat="1" applyFont="1" applyFill="1" applyBorder="1" applyAlignment="1">
      <alignment horizontal="center" vertical="center" wrapText="1"/>
    </xf>
    <xf numFmtId="0" fontId="16" fillId="0" borderId="0" xfId="17" applyFont="1">
      <alignment vertical="center"/>
    </xf>
    <xf numFmtId="0" fontId="20" fillId="0" borderId="0" xfId="17" applyFont="1">
      <alignment vertical="center"/>
    </xf>
    <xf numFmtId="0" fontId="16" fillId="0" borderId="0" xfId="17" applyFont="1" applyAlignment="1">
      <alignment horizontal="center" vertical="center"/>
    </xf>
    <xf numFmtId="0" fontId="16" fillId="0" borderId="0" xfId="0" applyFont="1">
      <alignment vertical="center"/>
    </xf>
    <xf numFmtId="185" fontId="15" fillId="5" borderId="2" xfId="0" applyNumberFormat="1" applyFont="1" applyFill="1" applyBorder="1" applyAlignment="1">
      <alignment horizontal="right" vertical="center" wrapText="1"/>
    </xf>
    <xf numFmtId="185" fontId="15" fillId="0" borderId="2" xfId="0" applyNumberFormat="1" applyFont="1" applyBorder="1" applyAlignment="1">
      <alignment horizontal="right" vertical="center"/>
    </xf>
    <xf numFmtId="185" fontId="15" fillId="6" borderId="2" xfId="1" applyNumberFormat="1" applyFont="1" applyFill="1" applyBorder="1" applyAlignment="1">
      <alignment horizontal="right" vertical="center" wrapText="1"/>
    </xf>
    <xf numFmtId="185" fontId="15" fillId="0" borderId="2" xfId="1" applyNumberFormat="1" applyFont="1" applyFill="1" applyBorder="1" applyAlignment="1">
      <alignment horizontal="right" vertical="center" wrapText="1"/>
    </xf>
    <xf numFmtId="186" fontId="15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8" borderId="9" xfId="0" applyFont="1" applyFill="1" applyBorder="1">
      <alignment vertical="center"/>
    </xf>
    <xf numFmtId="0" fontId="18" fillId="8" borderId="6" xfId="0" applyFont="1" applyFill="1" applyBorder="1">
      <alignment vertical="center"/>
    </xf>
    <xf numFmtId="0" fontId="19" fillId="0" borderId="0" xfId="0" applyFont="1">
      <alignment vertical="center"/>
    </xf>
    <xf numFmtId="0" fontId="17" fillId="9" borderId="0" xfId="0" applyFont="1" applyFill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76" fontId="15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185" fontId="21" fillId="5" borderId="2" xfId="0" applyNumberFormat="1" applyFont="1" applyFill="1" applyBorder="1" applyAlignment="1">
      <alignment horizontal="right" vertical="center" wrapText="1"/>
    </xf>
    <xf numFmtId="0" fontId="23" fillId="0" borderId="0" xfId="19" applyFont="1">
      <alignment vertical="center"/>
    </xf>
    <xf numFmtId="0" fontId="22" fillId="0" borderId="18" xfId="18" applyFont="1" applyBorder="1" applyAlignment="1">
      <alignment horizontal="center" vertical="center"/>
    </xf>
    <xf numFmtId="0" fontId="22" fillId="0" borderId="0" xfId="18" applyFont="1" applyAlignment="1">
      <alignment horizontal="center" vertical="center"/>
    </xf>
    <xf numFmtId="0" fontId="22" fillId="0" borderId="19" xfId="18" applyFont="1" applyBorder="1" applyAlignment="1">
      <alignment horizontal="center" vertical="center"/>
    </xf>
    <xf numFmtId="0" fontId="25" fillId="0" borderId="18" xfId="18" applyFont="1" applyBorder="1" applyAlignment="1">
      <alignment horizontal="left" vertical="center"/>
    </xf>
    <xf numFmtId="0" fontId="26" fillId="0" borderId="0" xfId="18" applyFont="1" applyAlignment="1">
      <alignment vertical="center"/>
    </xf>
    <xf numFmtId="0" fontId="26" fillId="0" borderId="0" xfId="18" applyFont="1" applyAlignment="1">
      <alignment horizontal="left" vertical="center" textRotation="1"/>
    </xf>
    <xf numFmtId="0" fontId="27" fillId="0" borderId="0" xfId="18" applyFont="1" applyAlignment="1">
      <alignment horizontal="centerContinuous" vertical="center"/>
    </xf>
    <xf numFmtId="0" fontId="27" fillId="0" borderId="19" xfId="18" applyFont="1" applyBorder="1" applyAlignment="1">
      <alignment vertical="center"/>
    </xf>
    <xf numFmtId="0" fontId="28" fillId="0" borderId="18" xfId="18" applyFont="1" applyBorder="1" applyAlignment="1">
      <alignment horizontal="left" vertical="center" indent="2"/>
    </xf>
    <xf numFmtId="0" fontId="23" fillId="0" borderId="20" xfId="18" applyFont="1" applyBorder="1" applyAlignment="1">
      <alignment vertical="center"/>
    </xf>
    <xf numFmtId="0" fontId="23" fillId="0" borderId="0" xfId="18" applyFont="1" applyAlignment="1">
      <alignment vertical="center"/>
    </xf>
    <xf numFmtId="0" fontId="27" fillId="0" borderId="19" xfId="18" applyFont="1" applyBorder="1" applyAlignment="1">
      <alignment horizontal="right" vertical="center"/>
    </xf>
    <xf numFmtId="0" fontId="28" fillId="0" borderId="18" xfId="18" applyFont="1" applyBorder="1" applyAlignment="1">
      <alignment vertical="center"/>
    </xf>
    <xf numFmtId="0" fontId="28" fillId="0" borderId="0" xfId="18" applyFont="1" applyAlignment="1">
      <alignment vertical="center"/>
    </xf>
    <xf numFmtId="0" fontId="27" fillId="0" borderId="0" xfId="18" applyFont="1" applyAlignment="1">
      <alignment horizontal="right" vertical="center"/>
    </xf>
    <xf numFmtId="0" fontId="28" fillId="0" borderId="19" xfId="18" applyFont="1" applyBorder="1" applyAlignment="1">
      <alignment vertical="center"/>
    </xf>
    <xf numFmtId="0" fontId="23" fillId="0" borderId="22" xfId="18" applyFont="1" applyBorder="1" applyAlignment="1">
      <alignment horizontal="center" vertical="center"/>
    </xf>
    <xf numFmtId="0" fontId="23" fillId="0" borderId="23" xfId="18" applyFont="1" applyBorder="1" applyAlignment="1">
      <alignment horizontal="center" vertical="center"/>
    </xf>
    <xf numFmtId="0" fontId="23" fillId="0" borderId="6" xfId="18" applyFont="1" applyBorder="1" applyAlignment="1">
      <alignment horizontal="center" vertical="center"/>
    </xf>
    <xf numFmtId="0" fontId="23" fillId="0" borderId="25" xfId="18" applyFont="1" applyBorder="1" applyAlignment="1">
      <alignment horizontal="center" vertical="center"/>
    </xf>
    <xf numFmtId="0" fontId="23" fillId="0" borderId="2" xfId="18" applyFont="1" applyBorder="1" applyAlignment="1">
      <alignment horizontal="center" vertical="center"/>
    </xf>
    <xf numFmtId="0" fontId="31" fillId="0" borderId="8" xfId="18" applyFont="1" applyBorder="1" applyAlignment="1">
      <alignment horizontal="center" vertical="center"/>
    </xf>
    <xf numFmtId="0" fontId="23" fillId="0" borderId="33" xfId="18" applyFont="1" applyBorder="1" applyAlignment="1">
      <alignment horizontal="center" vertical="center"/>
    </xf>
    <xf numFmtId="0" fontId="23" fillId="0" borderId="34" xfId="18" applyFont="1" applyBorder="1" applyAlignment="1">
      <alignment horizontal="center" vertical="center"/>
    </xf>
    <xf numFmtId="0" fontId="23" fillId="0" borderId="18" xfId="18" applyFont="1" applyBorder="1" applyAlignment="1">
      <alignment horizontal="center" vertical="center"/>
    </xf>
    <xf numFmtId="0" fontId="23" fillId="0" borderId="0" xfId="18" applyFont="1" applyAlignment="1">
      <alignment horizontal="center" vertical="center"/>
    </xf>
    <xf numFmtId="0" fontId="23" fillId="0" borderId="0" xfId="18" applyFont="1" applyAlignment="1">
      <alignment horizontal="left" vertical="center" indent="1"/>
    </xf>
    <xf numFmtId="0" fontId="27" fillId="0" borderId="0" xfId="18" applyFont="1" applyAlignment="1">
      <alignment vertical="center"/>
    </xf>
    <xf numFmtId="0" fontId="23" fillId="0" borderId="18" xfId="18" applyFont="1" applyBorder="1" applyAlignment="1">
      <alignment vertical="center"/>
    </xf>
    <xf numFmtId="0" fontId="23" fillId="0" borderId="19" xfId="18" applyFont="1" applyBorder="1" applyAlignment="1">
      <alignment vertical="center"/>
    </xf>
    <xf numFmtId="0" fontId="28" fillId="0" borderId="18" xfId="18" applyFont="1" applyBorder="1" applyAlignment="1">
      <alignment horizontal="left" vertical="center" indent="1"/>
    </xf>
    <xf numFmtId="0" fontId="33" fillId="0" borderId="0" xfId="18" applyFont="1" applyAlignment="1">
      <alignment vertical="center"/>
    </xf>
    <xf numFmtId="0" fontId="33" fillId="12" borderId="35" xfId="18" applyFont="1" applyFill="1" applyBorder="1" applyAlignment="1">
      <alignment horizontal="center" vertical="center"/>
    </xf>
    <xf numFmtId="0" fontId="33" fillId="12" borderId="36" xfId="18" applyFont="1" applyFill="1" applyBorder="1" applyAlignment="1">
      <alignment horizontal="center" vertical="center"/>
    </xf>
    <xf numFmtId="3" fontId="33" fillId="12" borderId="36" xfId="18" applyNumberFormat="1" applyFont="1" applyFill="1" applyBorder="1" applyAlignment="1">
      <alignment horizontal="center" vertical="center"/>
    </xf>
    <xf numFmtId="0" fontId="23" fillId="0" borderId="40" xfId="18" applyFont="1" applyBorder="1" applyAlignment="1">
      <alignment horizontal="center" vertical="center"/>
    </xf>
    <xf numFmtId="0" fontId="23" fillId="0" borderId="44" xfId="18" applyFont="1" applyBorder="1" applyAlignment="1">
      <alignment horizontal="center" vertical="center"/>
    </xf>
    <xf numFmtId="0" fontId="23" fillId="0" borderId="50" xfId="21" applyFont="1" applyBorder="1" applyAlignment="1">
      <alignment horizontal="center" vertical="center"/>
    </xf>
    <xf numFmtId="176" fontId="23" fillId="0" borderId="0" xfId="19" applyNumberFormat="1" applyFont="1">
      <alignment vertical="center"/>
    </xf>
    <xf numFmtId="0" fontId="23" fillId="0" borderId="54" xfId="21" applyFont="1" applyBorder="1" applyAlignment="1">
      <alignment horizontal="left" vertical="center" wrapText="1" indent="1"/>
    </xf>
    <xf numFmtId="0" fontId="27" fillId="0" borderId="59" xfId="21" applyFont="1" applyBorder="1" applyAlignment="1">
      <alignment horizontal="center" vertical="center"/>
    </xf>
    <xf numFmtId="186" fontId="27" fillId="0" borderId="59" xfId="21" applyNumberFormat="1" applyFont="1" applyBorder="1" applyAlignment="1">
      <alignment horizontal="center" vertical="center"/>
    </xf>
    <xf numFmtId="177" fontId="23" fillId="0" borderId="0" xfId="19" applyNumberFormat="1" applyFont="1">
      <alignment vertical="center"/>
    </xf>
    <xf numFmtId="2" fontId="27" fillId="0" borderId="61" xfId="21" applyNumberFormat="1" applyFont="1" applyBorder="1" applyAlignment="1">
      <alignment horizontal="center" vertical="center"/>
    </xf>
    <xf numFmtId="0" fontId="27" fillId="0" borderId="64" xfId="21" applyFont="1" applyBorder="1" applyAlignment="1">
      <alignment horizontal="center" vertical="center"/>
    </xf>
    <xf numFmtId="0" fontId="23" fillId="0" borderId="66" xfId="18" applyFont="1" applyBorder="1" applyAlignment="1">
      <alignment horizontal="center" vertical="center"/>
    </xf>
    <xf numFmtId="0" fontId="23" fillId="0" borderId="67" xfId="21" applyFont="1" applyBorder="1" applyAlignment="1">
      <alignment horizontal="left" vertical="center" wrapText="1" indent="1"/>
    </xf>
    <xf numFmtId="1" fontId="27" fillId="0" borderId="68" xfId="21" applyNumberFormat="1" applyFont="1" applyBorder="1" applyAlignment="1">
      <alignment horizontal="center" vertical="center"/>
    </xf>
    <xf numFmtId="0" fontId="27" fillId="0" borderId="68" xfId="21" applyFont="1" applyBorder="1" applyAlignment="1">
      <alignment horizontal="center" vertical="center"/>
    </xf>
    <xf numFmtId="0" fontId="27" fillId="0" borderId="72" xfId="21" applyFont="1" applyBorder="1" applyAlignment="1">
      <alignment horizontal="center" vertical="center"/>
    </xf>
    <xf numFmtId="176" fontId="23" fillId="0" borderId="0" xfId="22" applyFont="1">
      <alignment vertical="center"/>
    </xf>
    <xf numFmtId="176" fontId="37" fillId="13" borderId="37" xfId="18" applyNumberFormat="1" applyFont="1" applyFill="1" applyBorder="1" applyAlignment="1">
      <alignment horizontal="right" vertical="center"/>
    </xf>
    <xf numFmtId="0" fontId="37" fillId="13" borderId="37" xfId="18" applyFont="1" applyFill="1" applyBorder="1" applyAlignment="1">
      <alignment horizontal="right" vertical="center"/>
    </xf>
    <xf numFmtId="176" fontId="37" fillId="13" borderId="74" xfId="22" applyFont="1" applyFill="1" applyBorder="1" applyAlignment="1">
      <alignment horizontal="right" vertical="center"/>
    </xf>
    <xf numFmtId="179" fontId="23" fillId="0" borderId="0" xfId="24" applyFont="1" applyAlignment="1">
      <alignment vertical="center"/>
    </xf>
    <xf numFmtId="49" fontId="27" fillId="0" borderId="18" xfId="18" applyNumberFormat="1" applyFont="1" applyBorder="1" applyAlignment="1">
      <alignment horizontal="left" vertical="center" indent="1"/>
    </xf>
    <xf numFmtId="49" fontId="23" fillId="0" borderId="0" xfId="18" applyNumberFormat="1" applyFont="1" applyAlignment="1">
      <alignment vertical="center"/>
    </xf>
    <xf numFmtId="49" fontId="23" fillId="0" borderId="19" xfId="18" applyNumberFormat="1" applyFont="1" applyBorder="1" applyAlignment="1">
      <alignment vertical="center"/>
    </xf>
    <xf numFmtId="49" fontId="23" fillId="0" borderId="18" xfId="18" applyNumberFormat="1" applyFont="1" applyBorder="1" applyAlignment="1">
      <alignment vertical="center"/>
    </xf>
    <xf numFmtId="0" fontId="28" fillId="0" borderId="0" xfId="21" applyFont="1" applyAlignment="1">
      <alignment horizontal="left" vertical="center"/>
    </xf>
    <xf numFmtId="0" fontId="28" fillId="0" borderId="19" xfId="21" applyFont="1" applyBorder="1" applyAlignment="1">
      <alignment horizontal="left" vertical="center"/>
    </xf>
    <xf numFmtId="49" fontId="23" fillId="0" borderId="76" xfId="18" applyNumberFormat="1" applyFont="1" applyBorder="1" applyAlignment="1">
      <alignment vertical="center"/>
    </xf>
    <xf numFmtId="49" fontId="23" fillId="0" borderId="77" xfId="18" applyNumberFormat="1" applyFont="1" applyBorder="1" applyAlignment="1">
      <alignment vertical="center"/>
    </xf>
    <xf numFmtId="49" fontId="23" fillId="0" borderId="78" xfId="18" applyNumberFormat="1" applyFont="1" applyBorder="1" applyAlignment="1">
      <alignment vertical="center"/>
    </xf>
    <xf numFmtId="0" fontId="28" fillId="0" borderId="20" xfId="18" applyFont="1" applyFill="1" applyBorder="1" applyAlignment="1">
      <alignment vertical="center"/>
    </xf>
    <xf numFmtId="0" fontId="23" fillId="0" borderId="20" xfId="18" applyFont="1" applyFill="1" applyBorder="1" applyAlignment="1">
      <alignment vertical="center"/>
    </xf>
    <xf numFmtId="0" fontId="23" fillId="0" borderId="21" xfId="18" applyFont="1" applyFill="1" applyBorder="1" applyAlignment="1">
      <alignment horizontal="right" vertical="center"/>
    </xf>
    <xf numFmtId="0" fontId="23" fillId="0" borderId="22" xfId="18" applyFont="1" applyFill="1" applyBorder="1" applyAlignment="1">
      <alignment horizontal="center" vertical="center"/>
    </xf>
    <xf numFmtId="0" fontId="23" fillId="0" borderId="41" xfId="21" applyFont="1" applyFill="1" applyBorder="1" applyAlignment="1">
      <alignment horizontal="center" vertical="center"/>
    </xf>
    <xf numFmtId="0" fontId="23" fillId="0" borderId="43" xfId="21" applyFont="1" applyFill="1" applyBorder="1" applyAlignment="1">
      <alignment horizontal="center" vertical="center"/>
    </xf>
    <xf numFmtId="0" fontId="23" fillId="0" borderId="48" xfId="21" applyFont="1" applyFill="1" applyBorder="1" applyAlignment="1">
      <alignment horizontal="center" vertical="center"/>
    </xf>
    <xf numFmtId="0" fontId="27" fillId="0" borderId="55" xfId="21" applyFont="1" applyFill="1" applyBorder="1" applyAlignment="1">
      <alignment horizontal="center" vertical="center"/>
    </xf>
    <xf numFmtId="0" fontId="27" fillId="0" borderId="68" xfId="21" applyFont="1" applyBorder="1" applyAlignment="1">
      <alignment horizontal="left" vertical="center" wrapText="1" indent="1"/>
    </xf>
    <xf numFmtId="0" fontId="27" fillId="0" borderId="69" xfId="21" applyFont="1" applyBorder="1" applyAlignment="1">
      <alignment horizontal="left" vertical="center" wrapText="1" indent="1"/>
    </xf>
    <xf numFmtId="0" fontId="27" fillId="0" borderId="70" xfId="21" applyFont="1" applyBorder="1" applyAlignment="1">
      <alignment horizontal="left" vertical="center" wrapText="1" indent="1"/>
    </xf>
    <xf numFmtId="176" fontId="23" fillId="0" borderId="68" xfId="22" applyFont="1" applyFill="1" applyBorder="1" applyAlignment="1">
      <alignment horizontal="right" vertical="center"/>
    </xf>
    <xf numFmtId="176" fontId="23" fillId="0" borderId="69" xfId="22" applyFont="1" applyFill="1" applyBorder="1" applyAlignment="1">
      <alignment horizontal="right" vertical="center"/>
    </xf>
    <xf numFmtId="176" fontId="23" fillId="0" borderId="70" xfId="22" applyFont="1" applyFill="1" applyBorder="1" applyAlignment="1">
      <alignment horizontal="right" vertical="center"/>
    </xf>
    <xf numFmtId="176" fontId="23" fillId="0" borderId="68" xfId="23" applyFont="1" applyFill="1" applyBorder="1" applyAlignment="1">
      <alignment horizontal="left" vertical="center"/>
    </xf>
    <xf numFmtId="176" fontId="23" fillId="0" borderId="71" xfId="23" applyFont="1" applyFill="1" applyBorder="1" applyAlignment="1">
      <alignment horizontal="left" vertical="center"/>
    </xf>
    <xf numFmtId="0" fontId="37" fillId="13" borderId="73" xfId="18" applyFont="1" applyFill="1" applyBorder="1" applyAlignment="1">
      <alignment horizontal="center" vertical="center"/>
    </xf>
    <xf numFmtId="0" fontId="37" fillId="13" borderId="37" xfId="18" applyFont="1" applyFill="1" applyBorder="1" applyAlignment="1">
      <alignment horizontal="center" vertical="center"/>
    </xf>
    <xf numFmtId="0" fontId="37" fillId="13" borderId="74" xfId="18" applyFont="1" applyFill="1" applyBorder="1" applyAlignment="1">
      <alignment horizontal="center" vertical="center"/>
    </xf>
    <xf numFmtId="9" fontId="37" fillId="13" borderId="75" xfId="2" applyFont="1" applyFill="1" applyBorder="1" applyAlignment="1">
      <alignment horizontal="center" vertical="center"/>
    </xf>
    <xf numFmtId="9" fontId="37" fillId="13" borderId="39" xfId="2" applyFont="1" applyFill="1" applyBorder="1" applyAlignment="1">
      <alignment horizontal="center" vertical="center"/>
    </xf>
    <xf numFmtId="176" fontId="23" fillId="0" borderId="50" xfId="22" applyFont="1" applyFill="1" applyBorder="1" applyAlignment="1">
      <alignment horizontal="right" vertical="center"/>
    </xf>
    <xf numFmtId="176" fontId="23" fillId="0" borderId="51" xfId="22" applyFont="1" applyFill="1" applyBorder="1" applyAlignment="1">
      <alignment horizontal="right" vertical="center"/>
    </xf>
    <xf numFmtId="176" fontId="23" fillId="0" borderId="52" xfId="22" applyFont="1" applyFill="1" applyBorder="1" applyAlignment="1">
      <alignment horizontal="right" vertical="center"/>
    </xf>
    <xf numFmtId="176" fontId="23" fillId="0" borderId="50" xfId="23" applyFont="1" applyFill="1" applyBorder="1" applyAlignment="1">
      <alignment horizontal="left" vertical="center"/>
    </xf>
    <xf numFmtId="176" fontId="23" fillId="0" borderId="53" xfId="23" applyFont="1" applyFill="1" applyBorder="1" applyAlignment="1">
      <alignment horizontal="left" vertical="center"/>
    </xf>
    <xf numFmtId="176" fontId="36" fillId="0" borderId="68" xfId="23" applyFont="1" applyBorder="1" applyAlignment="1">
      <alignment horizontal="left" vertical="center"/>
    </xf>
    <xf numFmtId="176" fontId="36" fillId="0" borderId="71" xfId="23" applyFont="1" applyBorder="1" applyAlignment="1">
      <alignment horizontal="left" vertical="center"/>
    </xf>
    <xf numFmtId="0" fontId="27" fillId="0" borderId="61" xfId="21" applyFont="1" applyBorder="1" applyAlignment="1">
      <alignment horizontal="left" vertical="center" wrapText="1" indent="1"/>
    </xf>
    <xf numFmtId="0" fontId="27" fillId="0" borderId="62" xfId="21" applyFont="1" applyBorder="1" applyAlignment="1">
      <alignment horizontal="left" vertical="center" wrapText="1" indent="1"/>
    </xf>
    <xf numFmtId="0" fontId="27" fillId="0" borderId="63" xfId="21" applyFont="1" applyBorder="1" applyAlignment="1">
      <alignment horizontal="left" vertical="center" wrapText="1" indent="1"/>
    </xf>
    <xf numFmtId="176" fontId="23" fillId="0" borderId="61" xfId="22" applyFont="1" applyFill="1" applyBorder="1" applyAlignment="1">
      <alignment horizontal="right" vertical="center"/>
    </xf>
    <xf numFmtId="176" fontId="23" fillId="0" borderId="62" xfId="22" applyFont="1" applyFill="1" applyBorder="1" applyAlignment="1">
      <alignment horizontal="right" vertical="center"/>
    </xf>
    <xf numFmtId="176" fontId="23" fillId="0" borderId="63" xfId="22" applyFont="1" applyFill="1" applyBorder="1" applyAlignment="1">
      <alignment horizontal="right" vertical="center"/>
    </xf>
    <xf numFmtId="176" fontId="23" fillId="0" borderId="59" xfId="23" applyFont="1" applyFill="1" applyBorder="1" applyAlignment="1">
      <alignment horizontal="left" vertical="center"/>
    </xf>
    <xf numFmtId="176" fontId="23" fillId="0" borderId="27" xfId="23" applyFont="1" applyFill="1" applyBorder="1" applyAlignment="1">
      <alignment horizontal="left" vertical="center"/>
    </xf>
    <xf numFmtId="176" fontId="23" fillId="0" borderId="61" xfId="23" applyFont="1" applyFill="1" applyBorder="1" applyAlignment="1">
      <alignment horizontal="left" vertical="center"/>
    </xf>
    <xf numFmtId="176" fontId="23" fillId="0" borderId="65" xfId="23" applyFont="1" applyFill="1" applyBorder="1" applyAlignment="1">
      <alignment horizontal="left" vertical="center"/>
    </xf>
    <xf numFmtId="0" fontId="27" fillId="0" borderId="59" xfId="21" applyFont="1" applyBorder="1" applyAlignment="1">
      <alignment horizontal="left" vertical="center" wrapText="1" indent="1"/>
    </xf>
    <xf numFmtId="0" fontId="27" fillId="0" borderId="4" xfId="21" applyFont="1" applyBorder="1" applyAlignment="1">
      <alignment horizontal="left" vertical="center" wrapText="1" indent="1"/>
    </xf>
    <xf numFmtId="0" fontId="27" fillId="0" borderId="60" xfId="21" applyFont="1" applyBorder="1" applyAlignment="1">
      <alignment horizontal="left" vertical="center" wrapText="1" indent="1"/>
    </xf>
    <xf numFmtId="176" fontId="23" fillId="0" borderId="59" xfId="22" applyFont="1" applyFill="1" applyBorder="1" applyAlignment="1">
      <alignment horizontal="right" vertical="center"/>
    </xf>
    <xf numFmtId="176" fontId="23" fillId="0" borderId="4" xfId="22" applyFont="1" applyFill="1" applyBorder="1" applyAlignment="1">
      <alignment horizontal="right" vertical="center"/>
    </xf>
    <xf numFmtId="176" fontId="23" fillId="0" borderId="60" xfId="22" applyFont="1" applyFill="1" applyBorder="1" applyAlignment="1">
      <alignment horizontal="right" vertical="center"/>
    </xf>
    <xf numFmtId="0" fontId="27" fillId="0" borderId="55" xfId="21" applyFont="1" applyFill="1" applyBorder="1" applyAlignment="1">
      <alignment horizontal="left" vertical="center" wrapText="1" indent="1"/>
    </xf>
    <xf numFmtId="0" fontId="27" fillId="0" borderId="56" xfId="21" applyFont="1" applyFill="1" applyBorder="1" applyAlignment="1">
      <alignment horizontal="left" vertical="center" wrapText="1" indent="1"/>
    </xf>
    <xf numFmtId="0" fontId="27" fillId="0" borderId="57" xfId="21" applyFont="1" applyFill="1" applyBorder="1" applyAlignment="1">
      <alignment horizontal="left" vertical="center" wrapText="1" indent="1"/>
    </xf>
    <xf numFmtId="176" fontId="23" fillId="0" borderId="55" xfId="22" applyFont="1" applyFill="1" applyBorder="1" applyAlignment="1">
      <alignment horizontal="right" vertical="center"/>
    </xf>
    <xf numFmtId="176" fontId="23" fillId="0" borderId="56" xfId="22" applyFont="1" applyFill="1" applyBorder="1" applyAlignment="1">
      <alignment horizontal="right" vertical="center"/>
    </xf>
    <xf numFmtId="176" fontId="23" fillId="0" borderId="57" xfId="22" applyFont="1" applyFill="1" applyBorder="1" applyAlignment="1">
      <alignment horizontal="right" vertical="center"/>
    </xf>
    <xf numFmtId="176" fontId="23" fillId="0" borderId="55" xfId="23" applyFont="1" applyBorder="1" applyAlignment="1">
      <alignment horizontal="left" vertical="center"/>
    </xf>
    <xf numFmtId="176" fontId="23" fillId="0" borderId="58" xfId="23" applyFont="1" applyBorder="1" applyAlignment="1">
      <alignment horizontal="left" vertical="center"/>
    </xf>
    <xf numFmtId="0" fontId="23" fillId="0" borderId="45" xfId="21" applyFont="1" applyFill="1" applyBorder="1" applyAlignment="1">
      <alignment horizontal="center" vertical="center" wrapText="1"/>
    </xf>
    <xf numFmtId="0" fontId="23" fillId="0" borderId="46" xfId="21" applyFont="1" applyFill="1" applyBorder="1" applyAlignment="1">
      <alignment horizontal="center" vertical="center" wrapText="1"/>
    </xf>
    <xf numFmtId="0" fontId="23" fillId="0" borderId="47" xfId="21" applyFont="1" applyFill="1" applyBorder="1" applyAlignment="1">
      <alignment horizontal="center" vertical="center" wrapText="1"/>
    </xf>
    <xf numFmtId="176" fontId="23" fillId="0" borderId="45" xfId="22" applyFont="1" applyFill="1" applyBorder="1" applyAlignment="1">
      <alignment horizontal="right" vertical="center"/>
    </xf>
    <xf numFmtId="176" fontId="23" fillId="0" borderId="46" xfId="22" applyFont="1" applyFill="1" applyBorder="1" applyAlignment="1">
      <alignment horizontal="right" vertical="center"/>
    </xf>
    <xf numFmtId="176" fontId="23" fillId="0" borderId="47" xfId="22" applyFont="1" applyFill="1" applyBorder="1" applyAlignment="1">
      <alignment horizontal="right" vertical="center"/>
    </xf>
    <xf numFmtId="176" fontId="23" fillId="0" borderId="45" xfId="23" applyFont="1" applyBorder="1" applyAlignment="1">
      <alignment horizontal="left" vertical="center"/>
    </xf>
    <xf numFmtId="176" fontId="23" fillId="0" borderId="49" xfId="23" applyFont="1" applyBorder="1" applyAlignment="1">
      <alignment horizontal="left" vertical="center"/>
    </xf>
    <xf numFmtId="0" fontId="23" fillId="0" borderId="45" xfId="21" applyFont="1" applyBorder="1" applyAlignment="1">
      <alignment horizontal="center" vertical="center" wrapText="1"/>
    </xf>
    <xf numFmtId="0" fontId="23" fillId="0" borderId="46" xfId="21" applyFont="1" applyBorder="1" applyAlignment="1">
      <alignment horizontal="center" vertical="center" wrapText="1"/>
    </xf>
    <xf numFmtId="0" fontId="23" fillId="0" borderId="47" xfId="21" applyFont="1" applyBorder="1" applyAlignment="1">
      <alignment horizontal="center" vertical="center" wrapText="1"/>
    </xf>
    <xf numFmtId="176" fontId="23" fillId="0" borderId="50" xfId="22" applyFont="1" applyBorder="1" applyAlignment="1">
      <alignment horizontal="center" vertical="center"/>
    </xf>
    <xf numFmtId="176" fontId="23" fillId="0" borderId="51" xfId="22" applyFont="1" applyBorder="1" applyAlignment="1">
      <alignment horizontal="center" vertical="center"/>
    </xf>
    <xf numFmtId="176" fontId="23" fillId="0" borderId="52" xfId="22" applyFont="1" applyBorder="1" applyAlignment="1">
      <alignment horizontal="center" vertical="center"/>
    </xf>
    <xf numFmtId="176" fontId="23" fillId="0" borderId="50" xfId="23" applyFont="1" applyBorder="1" applyAlignment="1">
      <alignment horizontal="left" vertical="center"/>
    </xf>
    <xf numFmtId="176" fontId="23" fillId="0" borderId="53" xfId="23" applyFont="1" applyBorder="1" applyAlignment="1">
      <alignment horizontal="left" vertical="center"/>
    </xf>
    <xf numFmtId="0" fontId="34" fillId="11" borderId="0" xfId="20" applyFont="1" applyFill="1" applyAlignment="1">
      <alignment horizontal="left" vertical="center"/>
    </xf>
    <xf numFmtId="0" fontId="34" fillId="11" borderId="19" xfId="20" applyFont="1" applyFill="1" applyBorder="1" applyAlignment="1">
      <alignment horizontal="left" vertical="center"/>
    </xf>
    <xf numFmtId="0" fontId="23" fillId="0" borderId="0" xfId="18" applyFont="1" applyAlignment="1">
      <alignment horizontal="right" vertical="center"/>
    </xf>
    <xf numFmtId="0" fontId="23" fillId="0" borderId="19" xfId="18" applyFont="1" applyBorder="1" applyAlignment="1">
      <alignment horizontal="right" vertical="center"/>
    </xf>
    <xf numFmtId="0" fontId="23" fillId="0" borderId="41" xfId="21" applyFont="1" applyFill="1" applyBorder="1" applyAlignment="1">
      <alignment horizontal="center" vertical="center" wrapText="1"/>
    </xf>
    <xf numFmtId="0" fontId="23" fillId="0" borderId="22" xfId="21" applyFont="1" applyFill="1" applyBorder="1" applyAlignment="1">
      <alignment horizontal="center" vertical="center" wrapText="1"/>
    </xf>
    <xf numFmtId="0" fontId="23" fillId="0" borderId="42" xfId="21" applyFont="1" applyFill="1" applyBorder="1" applyAlignment="1">
      <alignment horizontal="center" vertical="center" wrapText="1"/>
    </xf>
    <xf numFmtId="176" fontId="23" fillId="0" borderId="43" xfId="22" applyFont="1" applyFill="1" applyBorder="1" applyAlignment="1">
      <alignment horizontal="right" vertical="center"/>
    </xf>
    <xf numFmtId="176" fontId="23" fillId="0" borderId="41" xfId="21" applyNumberFormat="1" applyFont="1" applyBorder="1" applyAlignment="1">
      <alignment horizontal="left" vertical="center"/>
    </xf>
    <xf numFmtId="176" fontId="23" fillId="0" borderId="23" xfId="21" applyNumberFormat="1" applyFont="1" applyBorder="1" applyAlignment="1">
      <alignment horizontal="left" vertical="center"/>
    </xf>
    <xf numFmtId="0" fontId="33" fillId="12" borderId="36" xfId="18" applyFont="1" applyFill="1" applyBorder="1" applyAlignment="1">
      <alignment horizontal="center" vertical="center"/>
    </xf>
    <xf numFmtId="0" fontId="33" fillId="12" borderId="37" xfId="18" applyFont="1" applyFill="1" applyBorder="1" applyAlignment="1">
      <alignment horizontal="center" vertical="center"/>
    </xf>
    <xf numFmtId="0" fontId="33" fillId="12" borderId="38" xfId="18" applyFont="1" applyFill="1" applyBorder="1" applyAlignment="1">
      <alignment horizontal="center" vertical="center"/>
    </xf>
    <xf numFmtId="3" fontId="33" fillId="12" borderId="36" xfId="18" applyNumberFormat="1" applyFont="1" applyFill="1" applyBorder="1" applyAlignment="1">
      <alignment horizontal="center" vertical="center"/>
    </xf>
    <xf numFmtId="3" fontId="33" fillId="12" borderId="37" xfId="18" applyNumberFormat="1" applyFont="1" applyFill="1" applyBorder="1" applyAlignment="1">
      <alignment horizontal="center" vertical="center"/>
    </xf>
    <xf numFmtId="3" fontId="33" fillId="12" borderId="38" xfId="18" applyNumberFormat="1" applyFont="1" applyFill="1" applyBorder="1" applyAlignment="1">
      <alignment horizontal="center" vertical="center"/>
    </xf>
    <xf numFmtId="0" fontId="33" fillId="12" borderId="39" xfId="18" applyFont="1" applyFill="1" applyBorder="1" applyAlignment="1">
      <alignment horizontal="center" vertical="center"/>
    </xf>
    <xf numFmtId="187" fontId="32" fillId="11" borderId="0" xfId="18" applyNumberFormat="1" applyFont="1" applyFill="1" applyAlignment="1">
      <alignment horizontal="left" vertical="center"/>
    </xf>
    <xf numFmtId="0" fontId="22" fillId="0" borderId="15" xfId="18" applyFont="1" applyBorder="1" applyAlignment="1">
      <alignment horizontal="center" vertical="center"/>
    </xf>
    <xf numFmtId="0" fontId="22" fillId="0" borderId="16" xfId="18" applyFont="1" applyBorder="1" applyAlignment="1">
      <alignment horizontal="center" vertical="center"/>
    </xf>
    <xf numFmtId="0" fontId="22" fillId="0" borderId="17" xfId="18" applyFont="1" applyBorder="1" applyAlignment="1">
      <alignment horizontal="center" vertical="center"/>
    </xf>
    <xf numFmtId="0" fontId="24" fillId="0" borderId="18" xfId="18" applyFont="1" applyBorder="1" applyAlignment="1" applyProtection="1">
      <alignment horizontal="center" vertical="center"/>
      <protection locked="0"/>
    </xf>
    <xf numFmtId="0" fontId="24" fillId="0" borderId="0" xfId="18" applyFont="1" applyAlignment="1" applyProtection="1">
      <alignment horizontal="center" vertical="center"/>
      <protection locked="0"/>
    </xf>
    <xf numFmtId="0" fontId="24" fillId="0" borderId="19" xfId="18" applyFont="1" applyBorder="1" applyAlignment="1" applyProtection="1">
      <alignment horizontal="center" vertical="center"/>
      <protection locked="0"/>
    </xf>
    <xf numFmtId="0" fontId="23" fillId="10" borderId="21" xfId="18" applyFont="1" applyFill="1" applyBorder="1" applyAlignment="1">
      <alignment horizontal="center" vertical="center"/>
    </xf>
    <xf numFmtId="0" fontId="23" fillId="10" borderId="22" xfId="18" applyFont="1" applyFill="1" applyBorder="1" applyAlignment="1">
      <alignment horizontal="center" vertical="center"/>
    </xf>
    <xf numFmtId="0" fontId="23" fillId="10" borderId="23" xfId="18" applyFont="1" applyFill="1" applyBorder="1" applyAlignment="1">
      <alignment horizontal="center" vertical="center"/>
    </xf>
    <xf numFmtId="0" fontId="23" fillId="0" borderId="24" xfId="18" applyFont="1" applyBorder="1" applyAlignment="1">
      <alignment horizontal="center" vertical="center" wrapText="1"/>
    </xf>
    <xf numFmtId="0" fontId="23" fillId="0" borderId="28" xfId="18" applyFont="1" applyBorder="1" applyAlignment="1">
      <alignment horizontal="center" vertical="center"/>
    </xf>
    <xf numFmtId="0" fontId="23" fillId="0" borderId="32" xfId="18" applyFont="1" applyBorder="1" applyAlignment="1">
      <alignment horizontal="center" vertical="center"/>
    </xf>
    <xf numFmtId="0" fontId="23" fillId="0" borderId="26" xfId="18" applyFont="1" applyBorder="1" applyAlignment="1">
      <alignment horizontal="center" vertical="center"/>
    </xf>
    <xf numFmtId="0" fontId="23" fillId="0" borderId="4" xfId="18" applyFont="1" applyBorder="1" applyAlignment="1">
      <alignment horizontal="center" vertical="center"/>
    </xf>
    <xf numFmtId="0" fontId="23" fillId="0" borderId="27" xfId="18" applyFont="1" applyBorder="1" applyAlignment="1">
      <alignment horizontal="center" vertical="center"/>
    </xf>
    <xf numFmtId="0" fontId="30" fillId="0" borderId="26" xfId="18" applyFont="1" applyBorder="1" applyAlignment="1">
      <alignment horizontal="center" vertical="center"/>
    </xf>
    <xf numFmtId="0" fontId="28" fillId="0" borderId="4" xfId="18" applyFont="1" applyBorder="1" applyAlignment="1">
      <alignment horizontal="center" vertical="center"/>
    </xf>
    <xf numFmtId="0" fontId="28" fillId="0" borderId="5" xfId="18" applyFont="1" applyBorder="1" applyAlignment="1">
      <alignment horizontal="center" vertical="center"/>
    </xf>
    <xf numFmtId="0" fontId="30" fillId="0" borderId="3" xfId="18" applyFont="1" applyBorder="1" applyAlignment="1">
      <alignment horizontal="center" vertical="center"/>
    </xf>
    <xf numFmtId="0" fontId="28" fillId="0" borderId="27" xfId="18" applyFont="1" applyBorder="1" applyAlignment="1">
      <alignment horizontal="center" vertical="center"/>
    </xf>
    <xf numFmtId="0" fontId="23" fillId="0" borderId="26" xfId="18" applyFont="1" applyBorder="1" applyAlignment="1">
      <alignment horizontal="left" vertical="center" indent="1"/>
    </xf>
    <xf numFmtId="0" fontId="23" fillId="0" borderId="4" xfId="18" applyFont="1" applyBorder="1" applyAlignment="1">
      <alignment horizontal="left" vertical="center" indent="1"/>
    </xf>
    <xf numFmtId="0" fontId="23" fillId="0" borderId="27" xfId="18" applyFont="1" applyBorder="1" applyAlignment="1">
      <alignment horizontal="left" vertical="center" indent="1"/>
    </xf>
    <xf numFmtId="0" fontId="23" fillId="0" borderId="3" xfId="18" applyFont="1" applyBorder="1" applyAlignment="1">
      <alignment horizontal="center" vertical="center"/>
    </xf>
    <xf numFmtId="0" fontId="23" fillId="0" borderId="29" xfId="18" applyFont="1" applyBorder="1" applyAlignment="1">
      <alignment horizontal="center" vertical="center"/>
    </xf>
    <xf numFmtId="0" fontId="23" fillId="0" borderId="30" xfId="18" applyFont="1" applyBorder="1" applyAlignment="1">
      <alignment horizontal="center" vertical="center"/>
    </xf>
    <xf numFmtId="0" fontId="23" fillId="0" borderId="31" xfId="18" applyFont="1" applyBorder="1" applyAlignment="1">
      <alignment horizontal="center" vertical="center"/>
    </xf>
    <xf numFmtId="0" fontId="23" fillId="0" borderId="29" xfId="18" applyFont="1" applyBorder="1" applyAlignment="1">
      <alignment horizontal="left" vertical="center" indent="1"/>
    </xf>
    <xf numFmtId="0" fontId="23" fillId="0" borderId="30" xfId="18" applyFont="1" applyBorder="1" applyAlignment="1">
      <alignment horizontal="left" vertical="center" indent="1"/>
    </xf>
    <xf numFmtId="0" fontId="23" fillId="0" borderId="31" xfId="18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0D48D3C8-7448-41A0-B724-DF35F6427A0B}"/>
    <cellStyle name="쉼표 [0] 2 84" xfId="25" xr:uid="{0478BA28-DE8E-4EF4-9E85-6E246686574A}"/>
    <cellStyle name="쉼표 [0] 3" xfId="14" xr:uid="{8F7BE219-40E1-4BBB-A9BD-02188B74B2A3}"/>
    <cellStyle name="쉼표 [0] 4" xfId="22" xr:uid="{5A2C66FC-A85F-4B30-98CC-FD0F99A33784}"/>
    <cellStyle name="쉼표 [0] 5" xfId="24" xr:uid="{99F49771-46D5-43C9-9B63-6A0EF5F3B8D1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B902147B-0DBD-440E-94D8-885BF0A4EF6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049F6ACA-93C8-4E4B-91DC-CFA5DFD80759}"/>
    <cellStyle name="표준_P456 공장 및 복지동 전면 유리창 청소건 라상혁님_1129(최종)" xfId="21" xr:uid="{1A8173D5-AB97-4419-BD82-92369C46A524}"/>
    <cellStyle name="표준_S&amp;D_MAIN VALVE_최빈_2" xfId="18" xr:uid="{C1D92B1D-E19E-4BB1-B851-89C14D5A24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77EA6F0-695B-46CA-835E-6BA6416C73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107497</xdr:rowOff>
    </xdr:from>
    <xdr:to>
      <xdr:col>14</xdr:col>
      <xdr:colOff>1433285</xdr:colOff>
      <xdr:row>33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317047"/>
          <a:ext cx="14634935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323850</xdr:colOff>
      <xdr:row>4</xdr:row>
      <xdr:rowOff>28575</xdr:rowOff>
    </xdr:from>
    <xdr:to>
      <xdr:col>4</xdr:col>
      <xdr:colOff>276983</xdr:colOff>
      <xdr:row>36</xdr:row>
      <xdr:rowOff>94189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089D8-F74F-4B65-A5BE-9C58C59B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66775"/>
          <a:ext cx="4134608" cy="5856814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4</xdr:row>
      <xdr:rowOff>95249</xdr:rowOff>
    </xdr:from>
    <xdr:to>
      <xdr:col>9</xdr:col>
      <xdr:colOff>430125</xdr:colOff>
      <xdr:row>36</xdr:row>
      <xdr:rowOff>85724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961EF20-7E5B-4F0D-A382-35EC3AF3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933449"/>
          <a:ext cx="4097250" cy="578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57150</xdr:rowOff>
    </xdr:from>
    <xdr:to>
      <xdr:col>14</xdr:col>
      <xdr:colOff>742950</xdr:colOff>
      <xdr:row>36</xdr:row>
      <xdr:rowOff>65859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F4A91CC-4F56-4F04-A915-1168B8B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895350"/>
          <a:ext cx="4114800" cy="5799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E12A-A6FD-4CA0-93A4-72BF1037F312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 x14ac:dyDescent="0.3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 x14ac:dyDescent="0.3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 x14ac:dyDescent="0.3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 x14ac:dyDescent="0.3">
      <c r="A3" s="206" t="s">
        <v>55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 x14ac:dyDescent="0.3">
      <c r="A4" s="56" t="s">
        <v>56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 x14ac:dyDescent="0.3">
      <c r="A5" s="61"/>
      <c r="B5" s="117" t="s">
        <v>120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 x14ac:dyDescent="0.35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 x14ac:dyDescent="0.3">
      <c r="A7" s="209" t="s">
        <v>57</v>
      </c>
      <c r="B7" s="210"/>
      <c r="C7" s="211"/>
      <c r="D7" s="119">
        <v>2026</v>
      </c>
      <c r="E7" s="69" t="s">
        <v>58</v>
      </c>
      <c r="F7" s="120">
        <v>5</v>
      </c>
      <c r="G7" s="69" t="s">
        <v>59</v>
      </c>
      <c r="H7" s="120">
        <v>26</v>
      </c>
      <c r="I7" s="69" t="s">
        <v>60</v>
      </c>
      <c r="J7" s="70"/>
      <c r="K7" s="212" t="s">
        <v>61</v>
      </c>
      <c r="L7" s="71" t="s">
        <v>62</v>
      </c>
      <c r="M7" s="71" t="s">
        <v>63</v>
      </c>
      <c r="N7" s="71" t="s">
        <v>64</v>
      </c>
      <c r="O7" s="72" t="s">
        <v>65</v>
      </c>
    </row>
    <row r="8" spans="1:15" ht="23.25" customHeight="1" x14ac:dyDescent="0.3">
      <c r="A8" s="215" t="s">
        <v>66</v>
      </c>
      <c r="B8" s="216"/>
      <c r="C8" s="217"/>
      <c r="D8" s="218" t="s">
        <v>67</v>
      </c>
      <c r="E8" s="219"/>
      <c r="F8" s="219"/>
      <c r="G8" s="220"/>
      <c r="H8" s="221" t="s">
        <v>68</v>
      </c>
      <c r="I8" s="219"/>
      <c r="J8" s="222"/>
      <c r="K8" s="213"/>
      <c r="L8" s="73" t="s">
        <v>69</v>
      </c>
      <c r="M8" s="73" t="s">
        <v>70</v>
      </c>
      <c r="N8" s="73" t="s">
        <v>71</v>
      </c>
      <c r="O8" s="74" t="s">
        <v>72</v>
      </c>
    </row>
    <row r="9" spans="1:15" ht="23.25" customHeight="1" x14ac:dyDescent="0.3">
      <c r="A9" s="215" t="s">
        <v>73</v>
      </c>
      <c r="B9" s="216"/>
      <c r="C9" s="217"/>
      <c r="D9" s="223" t="s">
        <v>74</v>
      </c>
      <c r="E9" s="224"/>
      <c r="F9" s="224"/>
      <c r="G9" s="224"/>
      <c r="H9" s="224"/>
      <c r="I9" s="224"/>
      <c r="J9" s="225"/>
      <c r="K9" s="213"/>
      <c r="L9" s="73" t="s">
        <v>75</v>
      </c>
      <c r="M9" s="226" t="s">
        <v>76</v>
      </c>
      <c r="N9" s="216"/>
      <c r="O9" s="217"/>
    </row>
    <row r="10" spans="1:15" ht="23.25" customHeight="1" thickBot="1" x14ac:dyDescent="0.35">
      <c r="A10" s="227" t="s">
        <v>77</v>
      </c>
      <c r="B10" s="228"/>
      <c r="C10" s="229"/>
      <c r="D10" s="230" t="s">
        <v>78</v>
      </c>
      <c r="E10" s="231"/>
      <c r="F10" s="231"/>
      <c r="G10" s="231"/>
      <c r="H10" s="231"/>
      <c r="I10" s="231"/>
      <c r="J10" s="232"/>
      <c r="K10" s="214"/>
      <c r="L10" s="75" t="s">
        <v>79</v>
      </c>
      <c r="M10" s="75" t="s">
        <v>80</v>
      </c>
      <c r="N10" s="75" t="s">
        <v>81</v>
      </c>
      <c r="O10" s="76" t="s">
        <v>82</v>
      </c>
    </row>
    <row r="11" spans="1:15" ht="21.75" customHeight="1" x14ac:dyDescent="0.3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 x14ac:dyDescent="0.3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 x14ac:dyDescent="0.3">
      <c r="A13" s="83"/>
      <c r="B13" s="202" t="s">
        <v>119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83</v>
      </c>
      <c r="O13" s="82"/>
    </row>
    <row r="14" spans="1:15" ht="9" customHeight="1" x14ac:dyDescent="0.3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 x14ac:dyDescent="0.3">
      <c r="A15" s="83"/>
      <c r="B15" s="185" t="str">
        <f>"견 적 금 액 : 一金"&amp;NUMBERSTRING(M32,1) &amp; "원정""(\"&amp; TEXT(M32,"#,###")&amp;"원) [VAT 별도]"</f>
        <v>견 적 금 액 : 一金일백일십팔만이천오백원정"(\1,182,500원)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 x14ac:dyDescent="0.35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 x14ac:dyDescent="0.35">
      <c r="A17" s="85" t="s">
        <v>84</v>
      </c>
      <c r="B17" s="195" t="s">
        <v>85</v>
      </c>
      <c r="C17" s="196"/>
      <c r="D17" s="196"/>
      <c r="E17" s="196"/>
      <c r="F17" s="196"/>
      <c r="G17" s="197"/>
      <c r="H17" s="86" t="s">
        <v>86</v>
      </c>
      <c r="I17" s="87" t="s">
        <v>87</v>
      </c>
      <c r="J17" s="198" t="s">
        <v>88</v>
      </c>
      <c r="K17" s="199"/>
      <c r="L17" s="199"/>
      <c r="M17" s="200"/>
      <c r="N17" s="195" t="s">
        <v>89</v>
      </c>
      <c r="O17" s="201"/>
    </row>
    <row r="18" spans="1:17" ht="28.5" customHeight="1" x14ac:dyDescent="0.3">
      <c r="A18" s="88">
        <v>1</v>
      </c>
      <c r="B18" s="189" t="s">
        <v>33</v>
      </c>
      <c r="C18" s="190"/>
      <c r="D18" s="190"/>
      <c r="E18" s="190"/>
      <c r="F18" s="190"/>
      <c r="G18" s="191"/>
      <c r="H18" s="121">
        <v>1</v>
      </c>
      <c r="I18" s="122" t="s">
        <v>6</v>
      </c>
      <c r="J18" s="192">
        <f>IFERROR(LOOKUP(2, 1/(TRIM('내역서(표준단가)'!K4:K100)&lt;&gt;""), '내역서(표준단가)'!K4:K100), "-")</f>
        <v>800000</v>
      </c>
      <c r="K18" s="192"/>
      <c r="L18" s="192"/>
      <c r="M18" s="192"/>
      <c r="N18" s="193"/>
      <c r="O18" s="194"/>
    </row>
    <row r="19" spans="1:17" ht="28.5" customHeight="1" x14ac:dyDescent="0.3">
      <c r="A19" s="89">
        <v>2</v>
      </c>
      <c r="B19" s="169" t="s">
        <v>34</v>
      </c>
      <c r="C19" s="170"/>
      <c r="D19" s="170"/>
      <c r="E19" s="170"/>
      <c r="F19" s="170"/>
      <c r="G19" s="171"/>
      <c r="H19" s="123">
        <v>1</v>
      </c>
      <c r="I19" s="123" t="s">
        <v>6</v>
      </c>
      <c r="J19" s="172">
        <f>IFERROR(LOOKUP(2, 1/(TRIM('내역서(표준단가)'!M4:M100)&lt;&gt;""), '내역서(표준단가)'!M4:M100), "-")</f>
        <v>224490</v>
      </c>
      <c r="K19" s="173"/>
      <c r="L19" s="173"/>
      <c r="M19" s="174"/>
      <c r="N19" s="175"/>
      <c r="O19" s="176"/>
    </row>
    <row r="20" spans="1:17" ht="28.5" customHeight="1" x14ac:dyDescent="0.3">
      <c r="A20" s="89">
        <v>3</v>
      </c>
      <c r="B20" s="177" t="s">
        <v>90</v>
      </c>
      <c r="C20" s="178"/>
      <c r="D20" s="178"/>
      <c r="E20" s="178"/>
      <c r="F20" s="178"/>
      <c r="G20" s="179"/>
      <c r="H20" s="90">
        <v>1</v>
      </c>
      <c r="I20" s="90" t="s">
        <v>6</v>
      </c>
      <c r="J20" s="180">
        <f>IFERROR(SUM(J21:M29),"-")</f>
        <v>61914.975096700007</v>
      </c>
      <c r="K20" s="181"/>
      <c r="L20" s="181"/>
      <c r="M20" s="182"/>
      <c r="N20" s="183"/>
      <c r="O20" s="184"/>
      <c r="P20" s="91"/>
    </row>
    <row r="21" spans="1:17" ht="28.5" customHeight="1" x14ac:dyDescent="0.3">
      <c r="A21" s="88"/>
      <c r="B21" s="92"/>
      <c r="C21" s="161" t="s">
        <v>91</v>
      </c>
      <c r="D21" s="162"/>
      <c r="E21" s="162"/>
      <c r="F21" s="162"/>
      <c r="G21" s="163"/>
      <c r="H21" s="124">
        <v>1</v>
      </c>
      <c r="I21" s="124" t="s">
        <v>6</v>
      </c>
      <c r="J21" s="164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65"/>
      <c r="L21" s="165"/>
      <c r="M21" s="166"/>
      <c r="N21" s="167" t="s">
        <v>92</v>
      </c>
      <c r="O21" s="168"/>
    </row>
    <row r="22" spans="1:17" ht="28.5" customHeight="1" x14ac:dyDescent="0.3">
      <c r="A22" s="88"/>
      <c r="B22" s="92"/>
      <c r="C22" s="155" t="s">
        <v>93</v>
      </c>
      <c r="D22" s="156"/>
      <c r="E22" s="156"/>
      <c r="F22" s="156"/>
      <c r="G22" s="157"/>
      <c r="H22" s="93">
        <v>3.11</v>
      </c>
      <c r="I22" s="93" t="s">
        <v>94</v>
      </c>
      <c r="J22" s="158">
        <f>IFERROR((J18+J19)*H22%,"-")</f>
        <v>31861.638999999999</v>
      </c>
      <c r="K22" s="159"/>
      <c r="L22" s="159"/>
      <c r="M22" s="160"/>
      <c r="N22" s="151" t="s">
        <v>95</v>
      </c>
      <c r="O22" s="152"/>
    </row>
    <row r="23" spans="1:17" ht="28.5" customHeight="1" x14ac:dyDescent="0.3">
      <c r="A23" s="88"/>
      <c r="B23" s="92"/>
      <c r="C23" s="155" t="s">
        <v>96</v>
      </c>
      <c r="D23" s="156"/>
      <c r="E23" s="156"/>
      <c r="F23" s="156"/>
      <c r="G23" s="157"/>
      <c r="H23" s="93">
        <v>3.56</v>
      </c>
      <c r="I23" s="93" t="s">
        <v>97</v>
      </c>
      <c r="J23" s="158">
        <f>IFERROR(J19*H23%,"-")</f>
        <v>7991.8440000000001</v>
      </c>
      <c r="K23" s="159"/>
      <c r="L23" s="159"/>
      <c r="M23" s="160"/>
      <c r="N23" s="151" t="s">
        <v>98</v>
      </c>
      <c r="O23" s="152"/>
    </row>
    <row r="24" spans="1:17" ht="28.5" customHeight="1" x14ac:dyDescent="0.3">
      <c r="A24" s="88"/>
      <c r="B24" s="92"/>
      <c r="C24" s="155" t="s">
        <v>99</v>
      </c>
      <c r="D24" s="156"/>
      <c r="E24" s="156"/>
      <c r="F24" s="156"/>
      <c r="G24" s="157"/>
      <c r="H24" s="93">
        <v>1.01</v>
      </c>
      <c r="I24" s="93" t="s">
        <v>97</v>
      </c>
      <c r="J24" s="158">
        <f>IFERROR(J19*H24%,"-")</f>
        <v>2267.3489999999997</v>
      </c>
      <c r="K24" s="159"/>
      <c r="L24" s="159"/>
      <c r="M24" s="160"/>
      <c r="N24" s="151" t="s">
        <v>100</v>
      </c>
      <c r="O24" s="152"/>
    </row>
    <row r="25" spans="1:17" ht="28.5" customHeight="1" x14ac:dyDescent="0.3">
      <c r="A25" s="88"/>
      <c r="B25" s="92"/>
      <c r="C25" s="155" t="s">
        <v>101</v>
      </c>
      <c r="D25" s="156"/>
      <c r="E25" s="156"/>
      <c r="F25" s="156"/>
      <c r="G25" s="157"/>
      <c r="H25" s="94">
        <v>3.5950000000000002</v>
      </c>
      <c r="I25" s="93" t="s">
        <v>97</v>
      </c>
      <c r="J25" s="158">
        <f>IFERROR(J19*H25%,"-")</f>
        <v>8070.415500000001</v>
      </c>
      <c r="K25" s="159"/>
      <c r="L25" s="159"/>
      <c r="M25" s="160"/>
      <c r="N25" s="151" t="s">
        <v>102</v>
      </c>
      <c r="O25" s="152"/>
      <c r="Q25" s="91"/>
    </row>
    <row r="26" spans="1:17" ht="28.5" customHeight="1" x14ac:dyDescent="0.3">
      <c r="A26" s="88"/>
      <c r="B26" s="92"/>
      <c r="C26" s="155" t="s">
        <v>103</v>
      </c>
      <c r="D26" s="156"/>
      <c r="E26" s="156"/>
      <c r="F26" s="156"/>
      <c r="G26" s="157"/>
      <c r="H26" s="93">
        <v>4.75</v>
      </c>
      <c r="I26" s="93" t="s">
        <v>97</v>
      </c>
      <c r="J26" s="158">
        <f>IFERROR(J19*H26%,"-")</f>
        <v>10663.275</v>
      </c>
      <c r="K26" s="159"/>
      <c r="L26" s="159"/>
      <c r="M26" s="160"/>
      <c r="N26" s="151" t="s">
        <v>104</v>
      </c>
      <c r="O26" s="152"/>
      <c r="Q26" s="95"/>
    </row>
    <row r="27" spans="1:17" ht="28.5" customHeight="1" x14ac:dyDescent="0.3">
      <c r="A27" s="88"/>
      <c r="B27" s="92"/>
      <c r="C27" s="145" t="s">
        <v>105</v>
      </c>
      <c r="D27" s="146"/>
      <c r="E27" s="146"/>
      <c r="F27" s="146"/>
      <c r="G27" s="147"/>
      <c r="H27" s="96">
        <v>13.14</v>
      </c>
      <c r="I27" s="97" t="s">
        <v>97</v>
      </c>
      <c r="J27" s="148">
        <f>IFERROR($H$27*J25%,"-")</f>
        <v>1060.4525967000002</v>
      </c>
      <c r="K27" s="149"/>
      <c r="L27" s="149"/>
      <c r="M27" s="150"/>
      <c r="N27" s="151" t="s">
        <v>106</v>
      </c>
      <c r="O27" s="152"/>
    </row>
    <row r="28" spans="1:17" ht="28.5" customHeight="1" x14ac:dyDescent="0.3">
      <c r="A28" s="88"/>
      <c r="B28" s="92"/>
      <c r="C28" s="145" t="s">
        <v>107</v>
      </c>
      <c r="D28" s="146"/>
      <c r="E28" s="146"/>
      <c r="F28" s="146"/>
      <c r="G28" s="147"/>
      <c r="H28" s="96">
        <v>8.1000000000000003E-2</v>
      </c>
      <c r="I28" s="97" t="s">
        <v>97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108</v>
      </c>
      <c r="O28" s="154"/>
    </row>
    <row r="29" spans="1:17" ht="28.5" customHeight="1" x14ac:dyDescent="0.3">
      <c r="A29" s="98"/>
      <c r="B29" s="99"/>
      <c r="C29" s="125" t="s">
        <v>109</v>
      </c>
      <c r="D29" s="126"/>
      <c r="E29" s="126"/>
      <c r="F29" s="126"/>
      <c r="G29" s="127"/>
      <c r="H29" s="100">
        <v>1</v>
      </c>
      <c r="I29" s="101" t="s">
        <v>110</v>
      </c>
      <c r="J29" s="128">
        <f>34*0</f>
        <v>0</v>
      </c>
      <c r="K29" s="129"/>
      <c r="L29" s="129"/>
      <c r="M29" s="130"/>
      <c r="N29" s="131" t="s">
        <v>111</v>
      </c>
      <c r="O29" s="132"/>
    </row>
    <row r="30" spans="1:17" ht="28.5" customHeight="1" x14ac:dyDescent="0.3">
      <c r="A30" s="98">
        <v>4</v>
      </c>
      <c r="B30" s="99"/>
      <c r="C30" s="125" t="s">
        <v>112</v>
      </c>
      <c r="D30" s="126"/>
      <c r="E30" s="126"/>
      <c r="F30" s="126"/>
      <c r="G30" s="127"/>
      <c r="H30" s="101">
        <v>5</v>
      </c>
      <c r="I30" s="102" t="s">
        <v>113</v>
      </c>
      <c r="J30" s="138">
        <f>IFERROR(IF(ISNUMBER(H30), SUM(J18:M20) * (H30 / 100), "-"), "-")</f>
        <v>54320.248754835004</v>
      </c>
      <c r="K30" s="139"/>
      <c r="L30" s="139"/>
      <c r="M30" s="140"/>
      <c r="N30" s="141" t="s">
        <v>114</v>
      </c>
      <c r="O30" s="142"/>
    </row>
    <row r="31" spans="1:17" ht="28.5" customHeight="1" thickBot="1" x14ac:dyDescent="0.35">
      <c r="A31" s="98">
        <v>5</v>
      </c>
      <c r="B31" s="99"/>
      <c r="C31" s="125" t="s">
        <v>115</v>
      </c>
      <c r="D31" s="126"/>
      <c r="E31" s="126"/>
      <c r="F31" s="126"/>
      <c r="G31" s="127"/>
      <c r="H31" s="101">
        <v>7.5</v>
      </c>
      <c r="I31" s="102" t="s">
        <v>97</v>
      </c>
      <c r="J31" s="128">
        <f>IFERROR(SUM(J18:M20, J30) * (H31 / 100), "-")+-43779</f>
        <v>41775.391788865119</v>
      </c>
      <c r="K31" s="129"/>
      <c r="L31" s="129"/>
      <c r="M31" s="130"/>
      <c r="N31" s="143" t="s">
        <v>116</v>
      </c>
      <c r="O31" s="144"/>
      <c r="Q31" s="103"/>
    </row>
    <row r="32" spans="1:17" ht="28.5" customHeight="1" thickBot="1" x14ac:dyDescent="0.35">
      <c r="A32" s="133" t="s">
        <v>117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1182500</v>
      </c>
      <c r="N32" s="136"/>
      <c r="O32" s="137"/>
      <c r="P32" s="107"/>
    </row>
    <row r="33" spans="1:15" x14ac:dyDescent="0.3">
      <c r="A33" s="108" t="s">
        <v>118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 x14ac:dyDescent="0.3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 x14ac:dyDescent="0.3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 x14ac:dyDescent="0.3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 x14ac:dyDescent="0.3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 x14ac:dyDescent="0.3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 x14ac:dyDescent="0.3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 x14ac:dyDescent="0.35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 x14ac:dyDescent="0.3">
      <c r="M42" s="103"/>
    </row>
    <row r="43" spans="1:15" x14ac:dyDescent="0.3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1"/>
  <sheetViews>
    <sheetView showGridLines="0" zoomScaleNormal="10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 x14ac:dyDescent="0.3"/>
  <cols>
    <col min="1" max="1" width="11.25" style="47" customWidth="1"/>
    <col min="2" max="5" width="11.25" style="2" customWidth="1"/>
    <col min="6" max="6" width="11.25" style="38" customWidth="1"/>
    <col min="7" max="7" width="30.625" style="38" customWidth="1"/>
    <col min="8" max="8" width="5" style="2" bestFit="1" customWidth="1"/>
    <col min="9" max="9" width="6.5" style="2" bestFit="1" customWidth="1"/>
    <col min="10" max="10" width="10.25" style="2" bestFit="1" customWidth="1"/>
    <col min="11" max="11" width="12.5" style="2" bestFit="1" customWidth="1"/>
    <col min="12" max="12" width="8.25" style="2" customWidth="1"/>
    <col min="13" max="13" width="12.5" style="2" bestFit="1" customWidth="1"/>
    <col min="14" max="14" width="6.375" style="2" customWidth="1"/>
    <col min="15" max="15" width="8.25" style="2" bestFit="1" customWidth="1"/>
    <col min="16" max="16" width="6.375" style="2" customWidth="1"/>
    <col min="17" max="17" width="8.25" style="2" bestFit="1" customWidth="1"/>
    <col min="18" max="18" width="14.5" style="2" bestFit="1" customWidth="1"/>
    <col min="19" max="19" width="10.625" style="3" bestFit="1" customWidth="1"/>
    <col min="20" max="20" width="8.5" style="2" bestFit="1" customWidth="1"/>
    <col min="21" max="16384" width="9" style="2"/>
  </cols>
  <sheetData>
    <row r="1" spans="1:20" ht="19.899999999999999" customHeight="1" x14ac:dyDescent="0.3">
      <c r="A1" s="233"/>
      <c r="B1" s="233"/>
      <c r="C1" s="233"/>
      <c r="D1" s="233"/>
      <c r="E1" s="233"/>
      <c r="J1" s="3"/>
      <c r="K1" s="41" t="s">
        <v>30</v>
      </c>
      <c r="M1" s="41" t="s">
        <v>30</v>
      </c>
      <c r="O1" s="41" t="s">
        <v>30</v>
      </c>
      <c r="Q1" s="41" t="s">
        <v>30</v>
      </c>
    </row>
    <row r="2" spans="1:20" ht="19.899999999999999" customHeight="1" thickBot="1" x14ac:dyDescent="0.35">
      <c r="A2" s="233"/>
      <c r="B2" s="233"/>
      <c r="C2" s="233"/>
      <c r="D2" s="233"/>
      <c r="E2" s="233"/>
      <c r="J2" s="4"/>
      <c r="K2" s="5">
        <v>0.83499999999999996</v>
      </c>
      <c r="M2" s="5">
        <v>0.83499999999999996</v>
      </c>
      <c r="O2" s="5">
        <v>0.83499999999999996</v>
      </c>
      <c r="Q2" s="5">
        <v>0.83499999999999996</v>
      </c>
    </row>
    <row r="3" spans="1:20" ht="19.899999999999999" customHeight="1" x14ac:dyDescent="0.3">
      <c r="A3" s="42"/>
      <c r="B3" s="42" t="s">
        <v>31</v>
      </c>
      <c r="C3" s="43"/>
      <c r="D3" s="43"/>
      <c r="E3" s="43"/>
      <c r="F3" s="244" t="s">
        <v>32</v>
      </c>
      <c r="G3" s="244"/>
      <c r="H3" s="242" t="s">
        <v>12</v>
      </c>
      <c r="I3" s="242" t="s">
        <v>5</v>
      </c>
      <c r="J3" s="238" t="s">
        <v>33</v>
      </c>
      <c r="K3" s="238"/>
      <c r="L3" s="238" t="s">
        <v>34</v>
      </c>
      <c r="M3" s="238"/>
      <c r="N3" s="239" t="s">
        <v>35</v>
      </c>
      <c r="O3" s="239"/>
      <c r="P3" s="239" t="s">
        <v>36</v>
      </c>
      <c r="Q3" s="239"/>
      <c r="R3" s="240" t="s">
        <v>37</v>
      </c>
      <c r="S3" s="236" t="s">
        <v>38</v>
      </c>
      <c r="T3" s="234" t="s">
        <v>7</v>
      </c>
    </row>
    <row r="4" spans="1:20" ht="19.899999999999999" customHeight="1" x14ac:dyDescent="0.3">
      <c r="A4" s="6" t="s">
        <v>39</v>
      </c>
      <c r="B4" s="7" t="s">
        <v>40</v>
      </c>
      <c r="C4" s="7" t="s">
        <v>41</v>
      </c>
      <c r="D4" s="7" t="s">
        <v>42</v>
      </c>
      <c r="E4" s="7" t="s">
        <v>43</v>
      </c>
      <c r="F4" s="39" t="s">
        <v>44</v>
      </c>
      <c r="G4" s="39" t="s">
        <v>45</v>
      </c>
      <c r="H4" s="243"/>
      <c r="I4" s="243"/>
      <c r="J4" s="8" t="s">
        <v>46</v>
      </c>
      <c r="K4" s="9" t="s">
        <v>47</v>
      </c>
      <c r="L4" s="8" t="s">
        <v>48</v>
      </c>
      <c r="M4" s="9" t="s">
        <v>47</v>
      </c>
      <c r="N4" s="9" t="s">
        <v>49</v>
      </c>
      <c r="O4" s="9" t="s">
        <v>47</v>
      </c>
      <c r="P4" s="9" t="s">
        <v>49</v>
      </c>
      <c r="Q4" s="9" t="s">
        <v>47</v>
      </c>
      <c r="R4" s="241"/>
      <c r="S4" s="237"/>
      <c r="T4" s="235"/>
    </row>
    <row r="5" spans="1:20" s="44" customFormat="1" ht="38.1" customHeight="1" x14ac:dyDescent="0.3">
      <c r="A5" s="10" t="str">
        <f t="shared" ref="A5" si="0">B5&amp;C5&amp;D5&amp;E5</f>
        <v>L003</v>
      </c>
      <c r="B5" s="11"/>
      <c r="C5" s="15"/>
      <c r="D5" s="25"/>
      <c r="E5" s="28" t="s">
        <v>51</v>
      </c>
      <c r="F5" s="26" t="s">
        <v>52</v>
      </c>
      <c r="G5" s="27" t="s">
        <v>53</v>
      </c>
      <c r="H5" s="12" t="s">
        <v>54</v>
      </c>
      <c r="I5" s="37">
        <v>1</v>
      </c>
      <c r="J5" s="34"/>
      <c r="K5" s="35">
        <f>I5*J5</f>
        <v>0</v>
      </c>
      <c r="L5" s="51">
        <v>224490</v>
      </c>
      <c r="M5" s="35">
        <f>I5*L5</f>
        <v>224490</v>
      </c>
      <c r="N5" s="36"/>
      <c r="O5" s="35">
        <f t="shared" ref="O5" si="1">N5*I5*$O$2</f>
        <v>0</v>
      </c>
      <c r="P5" s="36"/>
      <c r="Q5" s="35">
        <f t="shared" ref="Q5" si="2">P5*I5*$Q$2</f>
        <v>0</v>
      </c>
      <c r="R5" s="13">
        <f t="shared" ref="R5" si="3">SUM(K5+M5)+O5+Q5</f>
        <v>224490</v>
      </c>
      <c r="S5" s="16"/>
      <c r="T5" s="14"/>
    </row>
    <row r="6" spans="1:20" s="44" customFormat="1" ht="38.1" customHeight="1" x14ac:dyDescent="0.3">
      <c r="A6" s="10"/>
      <c r="B6" s="11"/>
      <c r="C6" s="15"/>
      <c r="D6" s="15"/>
      <c r="E6" s="11"/>
      <c r="F6" s="27" t="s">
        <v>50</v>
      </c>
      <c r="G6" s="27" t="s">
        <v>25</v>
      </c>
      <c r="H6" s="12" t="s">
        <v>26</v>
      </c>
      <c r="I6" s="37">
        <v>1</v>
      </c>
      <c r="J6" s="34">
        <v>800000</v>
      </c>
      <c r="K6" s="35">
        <f>I6*J6</f>
        <v>800000</v>
      </c>
      <c r="L6" s="33"/>
      <c r="M6" s="35">
        <f t="shared" ref="M6" si="4">(L6*I6)*$M$2</f>
        <v>0</v>
      </c>
      <c r="N6" s="36"/>
      <c r="O6" s="35">
        <f t="shared" ref="O6" si="5">N6*I6*$O$2</f>
        <v>0</v>
      </c>
      <c r="P6" s="36"/>
      <c r="Q6" s="35">
        <f t="shared" ref="Q6" si="6">P6*I6*$Q$2</f>
        <v>0</v>
      </c>
      <c r="R6" s="13">
        <f t="shared" ref="R6" si="7">SUM(K6+M6)+O6+Q6</f>
        <v>800000</v>
      </c>
      <c r="S6" s="16"/>
      <c r="T6" s="14"/>
    </row>
    <row r="7" spans="1:20" s="46" customFormat="1" ht="38.1" customHeight="1" x14ac:dyDescent="0.3">
      <c r="A7" s="45"/>
      <c r="F7" s="40"/>
      <c r="G7" s="40"/>
      <c r="K7" s="49">
        <f>SUM(K5:K6)</f>
        <v>800000</v>
      </c>
      <c r="M7" s="49">
        <f>SUM(M5:M6)</f>
        <v>224490</v>
      </c>
      <c r="O7" s="49">
        <f>SUM(O5:O6)</f>
        <v>0</v>
      </c>
      <c r="Q7" s="49">
        <f>SUM(Q5:Q6)</f>
        <v>0</v>
      </c>
      <c r="R7" s="50">
        <f>SUM(R5:R6)</f>
        <v>1024490</v>
      </c>
      <c r="S7" s="17"/>
    </row>
    <row r="11" spans="1:20" ht="38.1" customHeight="1" x14ac:dyDescent="0.3">
      <c r="M11" s="48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7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F38" sqref="F38"/>
    </sheetView>
  </sheetViews>
  <sheetFormatPr defaultColWidth="9" defaultRowHeight="14.25" x14ac:dyDescent="0.3"/>
  <cols>
    <col min="1" max="1" width="11.5" style="29" bestFit="1" customWidth="1"/>
    <col min="2" max="2" width="17.875" style="29" customWidth="1"/>
    <col min="3" max="3" width="14.625" style="29" customWidth="1"/>
    <col min="4" max="4" width="10.875" style="29" customWidth="1"/>
    <col min="5" max="5" width="12" style="29" customWidth="1"/>
    <col min="6" max="6" width="10.625" style="29" customWidth="1"/>
    <col min="7" max="7" width="13.625" style="30" customWidth="1"/>
    <col min="8" max="8" width="9.625" style="29" customWidth="1"/>
    <col min="9" max="9" width="13.625" style="29" customWidth="1"/>
    <col min="10" max="10" width="12.75" style="29" customWidth="1"/>
    <col min="11" max="11" width="9.25" style="29" customWidth="1"/>
    <col min="12" max="12" width="13.625" style="30" customWidth="1"/>
    <col min="13" max="13" width="9.625" style="29" customWidth="1"/>
    <col min="14" max="14" width="13.625" style="30" customWidth="1"/>
    <col min="15" max="15" width="19.75" style="31" bestFit="1" customWidth="1"/>
    <col min="16" max="16" width="12.25" style="31" bestFit="1" customWidth="1"/>
    <col min="17" max="16384" width="9" style="29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E15" sqref="E15"/>
    </sheetView>
  </sheetViews>
  <sheetFormatPr defaultColWidth="9" defaultRowHeight="14.25" x14ac:dyDescent="0.3"/>
  <cols>
    <col min="1" max="1" width="11.125" style="32" customWidth="1"/>
    <col min="2" max="2" width="13.375" style="32" customWidth="1"/>
    <col min="3" max="3" width="38.75" style="32" customWidth="1"/>
    <col min="4" max="4" width="28.75" style="32" customWidth="1"/>
    <col min="5" max="5" width="5" style="32" customWidth="1"/>
    <col min="6" max="6" width="6.25" style="32" customWidth="1"/>
    <col min="7" max="7" width="10" style="32" customWidth="1"/>
    <col min="8" max="8" width="11.875" style="32" customWidth="1"/>
    <col min="9" max="9" width="10" style="32" customWidth="1"/>
    <col min="10" max="10" width="11.875" style="32" customWidth="1"/>
    <col min="11" max="11" width="10" style="32" customWidth="1"/>
    <col min="12" max="12" width="11.875" style="32" customWidth="1"/>
    <col min="13" max="13" width="10" style="32" customWidth="1"/>
    <col min="14" max="14" width="11.875" style="32" customWidth="1"/>
    <col min="15" max="15" width="9.125" style="32" customWidth="1"/>
    <col min="16" max="16" width="11.5" style="32" customWidth="1"/>
    <col min="17" max="17" width="11.75" style="32" customWidth="1"/>
    <col min="18" max="18" width="17.875" style="32" customWidth="1"/>
    <col min="19" max="16384" width="9" style="32"/>
  </cols>
  <sheetData>
    <row r="1" spans="1:18" ht="18" customHeight="1" x14ac:dyDescent="0.3">
      <c r="A1" s="18" t="s">
        <v>8</v>
      </c>
      <c r="B1" s="19" t="s">
        <v>9</v>
      </c>
      <c r="C1" s="20" t="s">
        <v>10</v>
      </c>
      <c r="D1" s="20" t="s">
        <v>11</v>
      </c>
      <c r="E1" s="20" t="s">
        <v>12</v>
      </c>
      <c r="F1" s="20" t="s">
        <v>5</v>
      </c>
      <c r="G1" s="19" t="s">
        <v>13</v>
      </c>
      <c r="H1" s="19" t="s">
        <v>14</v>
      </c>
      <c r="I1" s="19" t="s">
        <v>15</v>
      </c>
      <c r="J1" s="19" t="s">
        <v>16</v>
      </c>
      <c r="K1" s="19" t="s">
        <v>17</v>
      </c>
      <c r="L1" s="19" t="s">
        <v>18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23</v>
      </c>
      <c r="R1" s="19" t="s">
        <v>24</v>
      </c>
    </row>
    <row r="2" spans="1:18" x14ac:dyDescent="0.3">
      <c r="A2" s="3">
        <v>999999</v>
      </c>
      <c r="B2" s="3" t="s">
        <v>27</v>
      </c>
      <c r="C2" s="3" t="s">
        <v>50</v>
      </c>
      <c r="D2" s="3" t="s">
        <v>28</v>
      </c>
      <c r="E2" s="3" t="s">
        <v>29</v>
      </c>
      <c r="F2" s="21">
        <v>1</v>
      </c>
      <c r="G2" s="24">
        <v>800000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16" sqref="F16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2"/>
  </cols>
  <sheetData>
    <row r="1" spans="1:7" ht="18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2"/>
    </row>
    <row r="2" spans="1:7" x14ac:dyDescent="0.3">
      <c r="A2" s="22" t="str">
        <f>'내역서(표준단가)'!A5</f>
        <v>L003</v>
      </c>
      <c r="B2" s="23">
        <f>'내역서(표준단가)'!B5</f>
        <v>0</v>
      </c>
      <c r="C2" s="23">
        <f>'내역서(표준단가)'!C5</f>
        <v>0</v>
      </c>
      <c r="D2" s="23">
        <f>'내역서(표준단가)'!D5</f>
        <v>0</v>
      </c>
      <c r="E2" s="23" t="str">
        <f>'내역서(표준단가)'!E5</f>
        <v>L003</v>
      </c>
      <c r="F2" s="23">
        <f>'내역서(표준단가)'!I5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2026-01-20T04:07:03Z</dcterms:created>
  <dcterms:modified xsi:type="dcterms:W3CDTF">2026-05-26T01:38:57Z</dcterms:modified>
</cp:coreProperties>
</file>
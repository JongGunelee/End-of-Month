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825\06 작업폴더\07 사택 9-506 뒤베란다 외벽 단열작업\"/>
    </mc:Choice>
  </mc:AlternateContent>
  <xr:revisionPtr revIDLastSave="0" documentId="13_ncr:1_{13868584-0581-4002-BC86-9F03284BBD01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U8" i="4"/>
  <c r="S8" i="4"/>
  <c r="Q8" i="4"/>
  <c r="O8" i="4"/>
  <c r="V8" i="4" s="1"/>
  <c r="A8" i="4"/>
  <c r="A5" i="1" s="1"/>
  <c r="F2" i="1" l="1"/>
  <c r="E2" i="1"/>
  <c r="D2" i="1"/>
  <c r="C2" i="1"/>
  <c r="B2" i="1"/>
  <c r="U7" i="4"/>
  <c r="S7" i="4"/>
  <c r="Q7" i="4"/>
  <c r="O7" i="4"/>
  <c r="A7" i="4"/>
  <c r="A4" i="1" s="1"/>
  <c r="V7" i="4" l="1"/>
  <c r="U6" i="4"/>
  <c r="S6" i="4"/>
  <c r="Q6" i="4"/>
  <c r="O6" i="4"/>
  <c r="A6" i="4"/>
  <c r="A3" i="1" s="1"/>
  <c r="V6" i="4" l="1"/>
  <c r="U5" i="4" l="1"/>
  <c r="S5" i="4"/>
  <c r="Q5" i="4"/>
  <c r="O5" i="4"/>
  <c r="A5" i="4"/>
  <c r="A2" i="1" s="1"/>
  <c r="V5" i="4" l="1"/>
  <c r="U9" i="4" l="1"/>
  <c r="Q9" i="4"/>
  <c r="F17" i="5" s="1"/>
  <c r="S9" i="4" l="1"/>
  <c r="V9" i="4" l="1"/>
  <c r="F18" i="5" l="1"/>
  <c r="O9" i="4" l="1"/>
  <c r="F16" i="5" s="1"/>
  <c r="F26" i="5" l="1"/>
  <c r="F19" i="5"/>
  <c r="F21" i="5"/>
  <c r="F24" i="5"/>
  <c r="F25" i="5"/>
  <c r="F22" i="5"/>
  <c r="F23" i="5" s="1"/>
  <c r="F27" i="5" l="1"/>
  <c r="F28" i="5" s="1"/>
  <c r="F30" i="5" s="1"/>
  <c r="F31" i="5" l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<sst xmlns="http://schemas.openxmlformats.org/spreadsheetml/2006/main" count="117" uniqueCount="97">
  <si>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</si>
  <si>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</si>
  <si>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</si>
  <si>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</si>
  <si>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</si>
  <si>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</si>
  <si>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</si>
  <si>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</si>
  <si>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</si>
  <si>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</si>
  <si>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</si>
  <si>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</si>
  <si>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</si>
  <si>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</si>
  <si>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</si>
  <si>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</si>
  <si>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</si>
  <si>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</si>
  <si>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</si>
  <si>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</si>
  <si>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</si>
  <si>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</si>
  <si>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</si>
  <si>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</si>
  <si>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 노무비*4.5%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</si>
  <si>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</si>
  <si>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</si>
  <si>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</si>
  <si>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</si>
  <si>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</si>
  <si>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</si>
  <si>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</si>
  <si>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</si>
  <si>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</si>
  <si>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</si>
  <si>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</si>
  <si>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</si>
  <si>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</si>
  <si>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</si>
  <si>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</si>
  <si>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</si>
  <si>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</si>
  <si>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</si>
  <si>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</si>
  <si>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</si>
  <si>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</si>
  <si>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</si>
  <si>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>단위</t>
  </si>
  <si>
    <t xml:space="preserve"> 수신인 : 주식회사 에스엔아이 코퍼레이션</t>
    <phoneticPr fontId="16" type="noConversion"/>
  </si>
  <si>
    <t> 노무비*3.545%</t>
    <phoneticPr fontId="18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</si>
  <si>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</si>
  <si>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</si>
  <si>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</si>
  <si>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</si>
  <si>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</si>
  <si>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</si>
  <si>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</si>
  <si>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</si>
  <si>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</si>
  <si>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</si>
  <si>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</si>
  <si>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</si>
  <si>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</si>
  <si>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</si>
  <si>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</si>
  <si>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</si>
  <si>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</si>
  <si>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</si>
  <si>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</si>
  <si>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</si>
  <si>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</si>
  <si>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</si>
  <si>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</si>
  <si>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</si>
  <si>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</si>
  <si>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</si>
  <si>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</si>
  <si>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</si>
  <si>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</si>
  <si>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매</t>
  </si>
  <si>
    <t>석고판 설치(나사 고정)</t>
  </si>
  <si>
    <t>(일당)</t>
  </si>
  <si>
    <t>M020750510120102</t>
  </si>
  <si>
    <t>900 X 1800X40, 3호(비중0.020)</t>
  </si>
  <si>
    <t> (재료비+노무비)*3.11%</t>
    <phoneticPr fontId="18" type="noConversion"/>
  </si>
  <si>
    <t xml:space="preserve"> 공사명 : 사택 9-306 뒤 베란다 외벽 단열작업</t>
    <phoneticPr fontId="16" type="noConversion"/>
  </si>
  <si>
    <t>인</t>
    <phoneticPr fontId="10" type="noConversion"/>
  </si>
  <si>
    <t>L002</t>
    <phoneticPr fontId="10" type="noConversion"/>
  </si>
  <si>
    <t>보통인부</t>
    <phoneticPr fontId="10" type="noConversion"/>
  </si>
  <si>
    <t>에너폴(태화론 TW-06, 6㎜×1M×50M단면-점착 대체)</t>
  </si>
  <si>
    <t>M020750510130104</t>
  </si>
  <si>
    <t>에너폴</t>
  </si>
  <si>
    <t>이보드, 1000*1000*33T, 대체</t>
    <phoneticPr fontId="10" type="noConversion"/>
  </si>
  <si>
    <t>E00000803066470202</t>
    <phoneticPr fontId="10" type="noConversion"/>
  </si>
  <si>
    <t>바탕용(2겹) (시공량 : 30㎡),시공총량8/일당35=0.229</t>
    <phoneticPr fontId="10" type="noConversion"/>
  </si>
  <si>
    <r>
      <rPr>
        <b/>
        <sz val="10"/>
        <rFont val="Malgun Gothic"/>
        <family val="3"/>
        <charset val="129"/>
      </rPr>
      <t>뒤베란다 단열부위 하단</t>
    </r>
    <r>
      <rPr>
        <sz val="10"/>
        <rFont val="Malgun Gothic"/>
        <family val="3"/>
        <charset val="129"/>
      </rPr>
      <t xml:space="preserve"> , 타일붙임, 재료비 포함</t>
    </r>
    <phoneticPr fontId="10" type="noConversion"/>
  </si>
  <si>
    <t xml:space="preserve"> 견적일 : 2025년  08월  11일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</si>
</sst>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0.000_);[Red]\(0.000\)"/>
    <numFmt numFmtId="184" formatCode="0.000_ "/>
    <numFmt numFmtId="185" formatCode="#,##0;\-#,##0;"/>
    <numFmt numFmtId="186" formatCode="0.000"/>
  </numFmts>
  <fonts count="36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1"/>
      <name val="맑은 고딕"/>
      <family val="3"/>
      <charset val="129"/>
    </font>
    <font>
      <sz val="10"/>
      <name val="LG스마트체 Regular"/>
      <family val="3"/>
      <charset val="129"/>
    </font>
    <font>
      <b/>
      <sz val="10"/>
      <name val="LG스마트체 Regular"/>
      <family val="3"/>
      <charset val="129"/>
    </font>
    <font>
      <sz val="9"/>
      <name val="LG스마트체 Regular"/>
      <family val="3"/>
      <charset val="129"/>
    </font>
    <font>
      <sz val="10"/>
      <name val="Malgun Gothic"/>
      <family val="3"/>
      <charset val="129"/>
    </font>
    <font>
      <b/>
      <sz val="10"/>
      <name val="Malgun Gothic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3">
    <xf numFmtId="0" fontId="0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7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22" fillId="0" borderId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177" fontId="30" fillId="0" borderId="0">
      <alignment vertical="center"/>
    </xf>
  </cellStyleXfs>
  <cellXfs count="146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3" fillId="0" borderId="0" xfId="6" applyFont="1" applyAlignment="1">
      <alignment vertical="center"/>
    </xf>
    <xf numFmtId="0" fontId="24" fillId="0" borderId="0" xfId="3" applyFont="1"/>
    <xf numFmtId="0" fontId="25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6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5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6" fillId="0" borderId="7" xfId="6" applyFont="1" applyBorder="1" applyAlignment="1">
      <alignment vertical="center"/>
    </xf>
    <xf numFmtId="179" fontId="25" fillId="0" borderId="7" xfId="6" applyNumberFormat="1" applyFont="1" applyBorder="1" applyAlignment="1">
      <alignment vertical="center"/>
    </xf>
    <xf numFmtId="0" fontId="25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7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7" fillId="0" borderId="12" xfId="6" applyFont="1" applyBorder="1" applyAlignment="1">
      <alignment vertical="center"/>
    </xf>
    <xf numFmtId="1" fontId="27" fillId="0" borderId="12" xfId="6" applyNumberFormat="1" applyFont="1" applyBorder="1" applyAlignment="1">
      <alignment horizontal="center" vertical="center"/>
    </xf>
    <xf numFmtId="180" fontId="27" fillId="0" borderId="12" xfId="7" applyFont="1" applyBorder="1" applyAlignment="1">
      <alignment horizontal="right" vertical="center"/>
    </xf>
    <xf numFmtId="0" fontId="27" fillId="0" borderId="13" xfId="6" applyFont="1" applyBorder="1" applyAlignment="1">
      <alignment vertical="center"/>
    </xf>
    <xf numFmtId="0" fontId="27" fillId="0" borderId="14" xfId="6" applyFont="1" applyBorder="1" applyAlignment="1">
      <alignment horizontal="center" vertical="center"/>
    </xf>
    <xf numFmtId="0" fontId="27" fillId="0" borderId="15" xfId="6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1" fontId="27" fillId="0" borderId="15" xfId="6" applyNumberFormat="1" applyFont="1" applyBorder="1" applyAlignment="1">
      <alignment horizontal="center" vertical="center"/>
    </xf>
    <xf numFmtId="180" fontId="27" fillId="0" borderId="15" xfId="7" applyFont="1" applyBorder="1" applyAlignment="1">
      <alignment horizontal="right" vertical="center"/>
    </xf>
    <xf numFmtId="0" fontId="27" fillId="0" borderId="16" xfId="6" quotePrefix="1" applyFont="1" applyBorder="1" applyAlignment="1">
      <alignment vertical="center"/>
    </xf>
    <xf numFmtId="0" fontId="27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7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7" fillId="0" borderId="15" xfId="8" applyFont="1" applyBorder="1" applyAlignment="1">
      <alignment horizontal="center" vertical="center"/>
    </xf>
    <xf numFmtId="178" fontId="27" fillId="0" borderId="15" xfId="5" applyFont="1" applyFill="1" applyBorder="1" applyAlignment="1">
      <alignment horizontal="right" vertical="center"/>
    </xf>
    <xf numFmtId="0" fontId="27" fillId="5" borderId="15" xfId="8" applyFont="1" applyFill="1" applyBorder="1" applyAlignment="1">
      <alignment horizontal="center" vertical="center"/>
    </xf>
    <xf numFmtId="0" fontId="27" fillId="5" borderId="15" xfId="6" applyFont="1" applyFill="1" applyBorder="1" applyAlignment="1">
      <alignment vertical="center"/>
    </xf>
    <xf numFmtId="0" fontId="27" fillId="5" borderId="15" xfId="6" applyFont="1" applyFill="1" applyBorder="1" applyAlignment="1">
      <alignment horizontal="center" vertical="center"/>
    </xf>
    <xf numFmtId="178" fontId="27" fillId="5" borderId="15" xfId="5" applyFont="1" applyFill="1" applyBorder="1" applyAlignment="1">
      <alignment horizontal="right" vertical="center"/>
    </xf>
    <xf numFmtId="0" fontId="27" fillId="5" borderId="16" xfId="6" applyFont="1" applyFill="1" applyBorder="1" applyAlignment="1">
      <alignment vertical="center"/>
    </xf>
    <xf numFmtId="0" fontId="27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7" fontId="17" fillId="8" borderId="15" xfId="7" applyNumberFormat="1" applyFont="1" applyFill="1" applyBorder="1" applyAlignment="1">
      <alignment horizontal="right" vertical="center"/>
    </xf>
    <xf numFmtId="9" fontId="27" fillId="0" borderId="15" xfId="3" applyNumberFormat="1" applyFont="1" applyBorder="1" applyAlignment="1">
      <alignment horizontal="right" vertical="center"/>
    </xf>
    <xf numFmtId="1" fontId="27" fillId="0" borderId="15" xfId="9" applyNumberFormat="1" applyFont="1" applyFill="1" applyBorder="1" applyAlignment="1">
      <alignment horizontal="center" vertical="center"/>
    </xf>
    <xf numFmtId="177" fontId="17" fillId="0" borderId="15" xfId="7" applyNumberFormat="1" applyFont="1" applyFill="1" applyBorder="1" applyAlignment="1">
      <alignment horizontal="right" vertical="center"/>
    </xf>
    <xf numFmtId="0" fontId="27" fillId="0" borderId="15" xfId="3" applyFont="1" applyBorder="1" applyAlignment="1">
      <alignment vertical="center"/>
    </xf>
    <xf numFmtId="180" fontId="27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7" fillId="0" borderId="19" xfId="6" applyFont="1" applyBorder="1" applyAlignment="1">
      <alignment vertical="center"/>
    </xf>
    <xf numFmtId="0" fontId="27" fillId="0" borderId="19" xfId="6" applyFont="1" applyBorder="1" applyAlignment="1">
      <alignment horizontal="right" vertical="center"/>
    </xf>
    <xf numFmtId="0" fontId="27" fillId="0" borderId="20" xfId="6" applyFont="1" applyBorder="1" applyAlignment="1">
      <alignment vertical="center"/>
    </xf>
    <xf numFmtId="0" fontId="17" fillId="0" borderId="0" xfId="10" applyFont="1"/>
    <xf numFmtId="181" fontId="25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9" fontId="28" fillId="0" borderId="0" xfId="0" applyNumberFormat="1" applyFont="1" applyAlignment="1">
      <alignment horizontal="center" vertical="center"/>
    </xf>
    <xf numFmtId="182" fontId="28" fillId="3" borderId="0" xfId="2" applyNumberFormat="1" applyFont="1" applyFill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6" xfId="0" applyFont="1" applyFill="1" applyBorder="1" applyAlignment="1">
      <alignment horizontal="center" vertical="center"/>
    </xf>
    <xf numFmtId="0" fontId="28" fillId="7" borderId="3" xfId="0" applyFont="1" applyFill="1" applyBorder="1" applyAlignment="1">
      <alignment horizontal="center" vertical="center"/>
    </xf>
    <xf numFmtId="177" fontId="28" fillId="4" borderId="3" xfId="4" applyFont="1" applyFill="1" applyBorder="1" applyAlignment="1">
      <alignment horizontal="center" vertical="center"/>
    </xf>
    <xf numFmtId="178" fontId="28" fillId="4" borderId="3" xfId="5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177" fontId="24" fillId="5" borderId="3" xfId="1" applyFont="1" applyFill="1" applyBorder="1" applyAlignment="1">
      <alignment horizontal="center" vertical="center" wrapText="1"/>
    </xf>
    <xf numFmtId="0" fontId="29" fillId="0" borderId="23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181" fontId="24" fillId="7" borderId="1" xfId="1" applyNumberFormat="1" applyFont="1" applyFill="1" applyBorder="1" applyAlignment="1">
      <alignment horizontal="center" vertical="center"/>
    </xf>
    <xf numFmtId="181" fontId="24" fillId="0" borderId="1" xfId="1" applyNumberFormat="1" applyFont="1" applyBorder="1" applyAlignment="1">
      <alignment horizontal="center" vertical="center"/>
    </xf>
    <xf numFmtId="0" fontId="24" fillId="6" borderId="3" xfId="0" applyFont="1" applyFill="1" applyBorder="1" applyAlignment="1">
      <alignment horizontal="center" vertical="center"/>
    </xf>
    <xf numFmtId="177" fontId="24" fillId="0" borderId="3" xfId="1" applyFont="1" applyFill="1" applyBorder="1" applyAlignment="1">
      <alignment vertical="center" wrapText="1"/>
    </xf>
    <xf numFmtId="0" fontId="24" fillId="0" borderId="23" xfId="0" applyFont="1" applyBorder="1">
      <alignment vertical="center"/>
    </xf>
    <xf numFmtId="177" fontId="24" fillId="5" borderId="3" xfId="1" applyFont="1" applyFill="1" applyBorder="1" applyAlignment="1">
      <alignment vertical="center" wrapText="1"/>
    </xf>
    <xf numFmtId="183" fontId="24" fillId="5" borderId="3" xfId="1" applyNumberFormat="1" applyFont="1" applyFill="1" applyBorder="1" applyAlignment="1">
      <alignment vertical="center"/>
    </xf>
    <xf numFmtId="184" fontId="24" fillId="0" borderId="1" xfId="1" applyNumberFormat="1" applyFont="1" applyBorder="1" applyAlignment="1">
      <alignment horizontal="center" vertical="center"/>
    </xf>
    <xf numFmtId="0" fontId="25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25" fillId="0" borderId="0" xfId="0" applyFont="1">
      <alignment vertical="center"/>
    </xf>
    <xf numFmtId="185" fontId="24" fillId="5" borderId="3" xfId="0" applyNumberFormat="1" applyFont="1" applyFill="1" applyBorder="1" applyAlignment="1">
      <alignment horizontal="right" vertical="center" wrapText="1"/>
    </xf>
    <xf numFmtId="185" fontId="24" fillId="6" borderId="3" xfId="1" applyNumberFormat="1" applyFont="1" applyFill="1" applyBorder="1" applyAlignment="1">
      <alignment horizontal="right" vertical="center" wrapText="1"/>
    </xf>
    <xf numFmtId="185" fontId="24" fillId="5" borderId="3" xfId="1" applyNumberFormat="1" applyFont="1" applyFill="1" applyBorder="1" applyAlignment="1">
      <alignment horizontal="right" vertical="center"/>
    </xf>
    <xf numFmtId="185" fontId="24" fillId="0" borderId="3" xfId="1" applyNumberFormat="1" applyFont="1" applyFill="1" applyBorder="1" applyAlignment="1">
      <alignment horizontal="right" vertical="center" wrapText="1"/>
    </xf>
    <xf numFmtId="0" fontId="24" fillId="0" borderId="0" xfId="0" applyFont="1" applyAlignment="1">
      <alignment vertical="center" wrapText="1"/>
    </xf>
    <xf numFmtId="0" fontId="28" fillId="4" borderId="3" xfId="3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8" fillId="9" borderId="24" xfId="0" applyFont="1" applyFill="1" applyBorder="1">
      <alignment vertical="center"/>
    </xf>
    <xf numFmtId="0" fontId="28" fillId="9" borderId="21" xfId="0" applyFont="1" applyFill="1" applyBorder="1">
      <alignment vertical="center"/>
    </xf>
    <xf numFmtId="0" fontId="29" fillId="0" borderId="0" xfId="0" applyFont="1">
      <alignment vertical="center"/>
    </xf>
    <xf numFmtId="0" fontId="27" fillId="10" borderId="0" xfId="0" applyFont="1" applyFill="1">
      <alignment vertical="center"/>
    </xf>
    <xf numFmtId="0" fontId="27" fillId="0" borderId="0" xfId="0" applyFont="1">
      <alignment vertical="center"/>
    </xf>
    <xf numFmtId="177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7" fontId="17" fillId="0" borderId="0" xfId="0" applyNumberFormat="1" applyFont="1">
      <alignment vertical="center"/>
    </xf>
    <xf numFmtId="0" fontId="28" fillId="5" borderId="0" xfId="0" applyFont="1" applyFill="1">
      <alignment vertical="center"/>
    </xf>
    <xf numFmtId="177" fontId="24" fillId="0" borderId="0" xfId="0" applyNumberFormat="1" applyFont="1">
      <alignment vertical="center"/>
    </xf>
    <xf numFmtId="49" fontId="31" fillId="7" borderId="3" xfId="0" applyNumberFormat="1" applyFont="1" applyFill="1" applyBorder="1" applyAlignment="1">
      <alignment horizontal="center" vertical="center" wrapText="1"/>
    </xf>
    <xf numFmtId="0" fontId="32" fillId="7" borderId="3" xfId="0" applyFont="1" applyFill="1" applyBorder="1" applyAlignment="1">
      <alignment horizontal="center" vertical="center"/>
    </xf>
    <xf numFmtId="0" fontId="31" fillId="11" borderId="3" xfId="31" applyFont="1" applyFill="1" applyBorder="1" applyAlignment="1">
      <alignment horizontal="center" vertical="center"/>
    </xf>
    <xf numFmtId="49" fontId="31" fillId="0" borderId="3" xfId="31" applyNumberFormat="1" applyFont="1" applyBorder="1" applyAlignment="1">
      <alignment horizontal="center" vertical="center" wrapText="1"/>
    </xf>
    <xf numFmtId="49" fontId="31" fillId="12" borderId="3" xfId="31" applyNumberFormat="1" applyFont="1" applyFill="1" applyBorder="1" applyAlignment="1">
      <alignment horizontal="center" vertical="center"/>
    </xf>
    <xf numFmtId="186" fontId="31" fillId="5" borderId="3" xfId="1" applyNumberFormat="1" applyFont="1" applyFill="1" applyBorder="1" applyAlignment="1">
      <alignment horizontal="center" vertical="center"/>
    </xf>
    <xf numFmtId="185" fontId="31" fillId="12" borderId="3" xfId="32" applyNumberFormat="1" applyFont="1" applyFill="1" applyBorder="1" applyAlignment="1">
      <alignment horizontal="right" vertical="center"/>
    </xf>
    <xf numFmtId="49" fontId="31" fillId="7" borderId="3" xfId="0" applyNumberFormat="1" applyFont="1" applyFill="1" applyBorder="1" applyAlignment="1">
      <alignment horizontal="center" vertical="center"/>
    </xf>
    <xf numFmtId="0" fontId="31" fillId="7" borderId="3" xfId="0" applyFont="1" applyFill="1" applyBorder="1" applyAlignment="1">
      <alignment horizontal="center" vertical="center"/>
    </xf>
    <xf numFmtId="49" fontId="31" fillId="0" borderId="3" xfId="0" applyNumberFormat="1" applyFont="1" applyBorder="1" applyAlignment="1">
      <alignment horizontal="center" vertical="center" wrapText="1"/>
    </xf>
    <xf numFmtId="49" fontId="31" fillId="5" borderId="3" xfId="0" applyNumberFormat="1" applyFont="1" applyFill="1" applyBorder="1" applyAlignment="1">
      <alignment horizontal="center" vertical="center" wrapText="1"/>
    </xf>
    <xf numFmtId="185" fontId="31" fillId="5" borderId="3" xfId="1" applyNumberFormat="1" applyFont="1" applyFill="1" applyBorder="1" applyAlignment="1">
      <alignment horizontal="right" vertical="center" wrapText="1"/>
    </xf>
    <xf numFmtId="0" fontId="33" fillId="7" borderId="3" xfId="0" applyFont="1" applyFill="1" applyBorder="1" applyAlignment="1">
      <alignment horizontal="center" vertical="center"/>
    </xf>
    <xf numFmtId="0" fontId="31" fillId="7" borderId="4" xfId="0" applyFont="1" applyFill="1" applyBorder="1" applyAlignment="1">
      <alignment horizontal="center" vertical="center"/>
    </xf>
    <xf numFmtId="49" fontId="34" fillId="5" borderId="6" xfId="0" applyNumberFormat="1" applyFont="1" applyFill="1" applyBorder="1" applyAlignment="1">
      <alignment horizontal="center" vertical="center" wrapText="1"/>
    </xf>
    <xf numFmtId="49" fontId="34" fillId="5" borderId="3" xfId="0" applyNumberFormat="1" applyFont="1" applyFill="1" applyBorder="1" applyAlignment="1">
      <alignment horizontal="center" vertical="center" wrapText="1"/>
    </xf>
    <xf numFmtId="0" fontId="23" fillId="0" borderId="0" xfId="6" applyFont="1" applyAlignment="1">
      <alignment horizontal="center" vertical="center"/>
    </xf>
    <xf numFmtId="0" fontId="26" fillId="0" borderId="0" xfId="6" applyFont="1" applyAlignment="1">
      <alignment vertical="center"/>
    </xf>
    <xf numFmtId="0" fontId="25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5" xfId="6" applyFont="1" applyBorder="1" applyAlignment="1">
      <alignment vertical="center" wrapText="1"/>
    </xf>
    <xf numFmtId="0" fontId="17" fillId="0" borderId="6" xfId="6" applyFont="1" applyBorder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8" fillId="9" borderId="4" xfId="0" applyFont="1" applyFill="1" applyBorder="1" applyAlignment="1">
      <alignment horizontal="center" vertical="center"/>
    </xf>
    <xf numFmtId="177" fontId="28" fillId="4" borderId="21" xfId="4" applyFont="1" applyFill="1" applyBorder="1" applyAlignment="1">
      <alignment horizontal="center" vertical="center"/>
    </xf>
    <xf numFmtId="178" fontId="28" fillId="4" borderId="21" xfId="5" applyFont="1" applyFill="1" applyBorder="1" applyAlignment="1">
      <alignment horizontal="center" vertical="center"/>
    </xf>
    <xf numFmtId="0" fontId="28" fillId="4" borderId="21" xfId="0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/>
    </xf>
    <xf numFmtId="0" fontId="28" fillId="4" borderId="3" xfId="3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 wrapText="1"/>
    </xf>
  </cellXfs>
  <cellStyles count="33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내역서(표준단가)_1" xfId="32" xr:uid="{9D453929-C6D1-4E01-9886-F23DB0E907A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내역서(표준단가)" xfId="31" xr:uid="{44D66A8C-747D-4F18-8400-384A8DEA226D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N17" sqref="N17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25" t="s">
        <v>6</v>
      </c>
      <c r="B2" s="125"/>
      <c r="C2" s="125"/>
      <c r="D2" s="125"/>
      <c r="E2" s="125"/>
      <c r="F2" s="125"/>
      <c r="G2" s="125"/>
      <c r="H2" s="2"/>
    </row>
    <row r="3" spans="1:9" ht="14.25">
      <c r="A3" s="87"/>
      <c r="B3" s="87"/>
      <c r="C3" s="87"/>
      <c r="D3" s="87"/>
      <c r="E3" s="87"/>
      <c r="F3" s="87"/>
      <c r="G3" s="87"/>
      <c r="H3" s="87"/>
    </row>
    <row r="4" spans="1:9" ht="14.25">
      <c r="A4" s="87"/>
      <c r="B4" s="87"/>
      <c r="C4" s="87"/>
      <c r="D4" s="87"/>
      <c r="E4" s="87"/>
      <c r="H4" s="87"/>
    </row>
    <row r="5" spans="1:9" ht="27" customHeight="1">
      <c r="A5" s="88" t="s">
        <v>48</v>
      </c>
      <c r="B5" s="4"/>
      <c r="C5" s="5"/>
      <c r="D5" s="87"/>
      <c r="E5" s="87"/>
      <c r="F5" s="6" t="s">
        <v>38</v>
      </c>
      <c r="G5" s="7" t="s">
        <v>52</v>
      </c>
      <c r="H5" s="87"/>
    </row>
    <row r="6" spans="1:9" ht="27" customHeight="1">
      <c r="A6" s="87"/>
      <c r="B6" s="87"/>
      <c r="C6" s="87"/>
      <c r="D6" s="87"/>
      <c r="E6" s="87"/>
      <c r="F6" s="8" t="s">
        <v>41</v>
      </c>
      <c r="G6" s="9" t="s">
        <v>53</v>
      </c>
      <c r="H6" s="87"/>
    </row>
    <row r="7" spans="1:9" ht="27" customHeight="1">
      <c r="A7" s="131" t="s">
        <v>85</v>
      </c>
      <c r="B7" s="132"/>
      <c r="C7" s="133"/>
      <c r="D7" s="87"/>
      <c r="E7" s="10"/>
      <c r="F7" s="11" t="s">
        <v>42</v>
      </c>
      <c r="G7" s="9" t="s">
        <v>54</v>
      </c>
      <c r="H7" s="87"/>
    </row>
    <row r="8" spans="1:9" ht="27" customHeight="1">
      <c r="A8" s="87"/>
      <c r="B8" s="87"/>
      <c r="C8" s="87"/>
      <c r="D8" s="87"/>
      <c r="E8" s="87"/>
      <c r="F8" s="8" t="s">
        <v>43</v>
      </c>
      <c r="G8" s="9" t="s">
        <v>55</v>
      </c>
      <c r="H8" s="87"/>
    </row>
    <row r="9" spans="1:9" ht="27" customHeight="1">
      <c r="A9" s="128" t="s">
        <v>96</v>
      </c>
      <c r="B9" s="129"/>
      <c r="C9" s="130"/>
      <c r="D9" s="87"/>
      <c r="E9" s="87"/>
      <c r="F9" s="8" t="s">
        <v>44</v>
      </c>
      <c r="G9" s="9" t="s">
        <v>56</v>
      </c>
      <c r="H9" s="87"/>
    </row>
    <row r="10" spans="1:9" ht="27" customHeight="1">
      <c r="A10" s="87"/>
      <c r="B10" s="87"/>
      <c r="C10" s="87"/>
      <c r="D10" s="87"/>
      <c r="E10" s="87"/>
      <c r="F10" s="12" t="s">
        <v>39</v>
      </c>
      <c r="G10" s="13" t="s">
        <v>57</v>
      </c>
      <c r="H10" s="87"/>
      <c r="I10" s="87"/>
    </row>
    <row r="11" spans="1:9" ht="27" customHeight="1">
      <c r="A11" s="126"/>
      <c r="B11" s="127"/>
      <c r="C11" s="127"/>
      <c r="D11" s="87"/>
      <c r="E11" s="14"/>
      <c r="F11" s="15" t="s">
        <v>40</v>
      </c>
      <c r="G11" s="16" t="s">
        <v>58</v>
      </c>
      <c r="H11" s="14"/>
    </row>
    <row r="12" spans="1:9" ht="18.75" thickBot="1">
      <c r="A12" s="17" t="s">
        <v>7</v>
      </c>
      <c r="B12" s="17" t="str">
        <f>NUMBERSTRING(F31,1)</f>
        <v>사십일만구천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87"/>
      <c r="B13" s="87"/>
      <c r="C13" s="87"/>
      <c r="D13" s="87"/>
      <c r="E13" s="87"/>
      <c r="F13" s="87"/>
      <c r="G13" s="87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'내역서(표준단가)'!O9</f>
        <v>61456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'내역서(표준단가)'!Q9</f>
        <v>291653.94910099998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'내역서(표준단가)'!S9+'내역서(표준단가)'!U9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353109.94910099998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13124.427709544998</v>
      </c>
      <c r="G21" s="35" t="s">
        <v>26</v>
      </c>
    </row>
    <row r="22" spans="1:7" ht="33" customHeight="1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10339.132495630451</v>
      </c>
      <c r="G22" s="48" t="s">
        <v>28</v>
      </c>
    </row>
    <row r="23" spans="1:7" ht="33" customHeight="1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1338.9176581841434</v>
      </c>
      <c r="G23" s="35" t="s">
        <v>28</v>
      </c>
    </row>
    <row r="24" spans="1:7" ht="33" customHeight="1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2945.7048859200995</v>
      </c>
      <c r="G24" s="35" t="s">
        <v>28</v>
      </c>
    </row>
    <row r="25" spans="1:7" ht="33" customHeight="1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10382.8805879956</v>
      </c>
      <c r="G25" s="35" t="s">
        <v>28</v>
      </c>
    </row>
    <row r="26" spans="1:7" ht="33" customHeight="1">
      <c r="A26" s="29"/>
      <c r="B26" s="42" t="s">
        <v>32</v>
      </c>
      <c r="C26" s="49" t="s">
        <v>84</v>
      </c>
      <c r="D26" s="30">
        <v>1</v>
      </c>
      <c r="E26" s="30" t="s">
        <v>25</v>
      </c>
      <c r="F26" s="43">
        <f>(F16+F17)*3.11%</f>
        <v>10981.719417041098</v>
      </c>
      <c r="G26" s="35" t="s">
        <v>26</v>
      </c>
    </row>
    <row r="27" spans="1:7" ht="33" customHeight="1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17038.33659276582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66151.119347082204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419261.06844808219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419000</v>
      </c>
      <c r="G31" s="35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5.75">
      <c r="B33" s="64"/>
    </row>
    <row r="34" spans="2:2" ht="15.75">
      <c r="B34" s="64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3"/>
  <sheetViews>
    <sheetView showGridLines="0" zoomScale="80" zoomScaleNormal="80" workbookViewId="0">
      <pane ySplit="4" topLeftCell="A5" activePane="bottomLeft" state="frozen"/>
      <selection pane="bottomLeft" activeCell="N14" sqref="N14"/>
    </sheetView>
  </sheetViews>
  <sheetFormatPr defaultColWidth="9" defaultRowHeight="38.1" customHeight="1"/>
  <cols>
    <col min="1" max="1" width="22.625" style="107" bestFit="1" customWidth="1"/>
    <col min="2" max="5" width="18.5" style="107" hidden="1" customWidth="1"/>
    <col min="6" max="6" width="17.25" style="98" customWidth="1"/>
    <col min="7" max="7" width="13.75" style="98" customWidth="1"/>
    <col min="8" max="8" width="16.625" style="98" customWidth="1"/>
    <col min="9" max="9" width="10.125" style="98" customWidth="1"/>
    <col min="10" max="10" width="37.375" style="94" customWidth="1"/>
    <col min="11" max="11" width="30.625" style="94" customWidth="1"/>
    <col min="12" max="12" width="12" style="98" bestFit="1" customWidth="1"/>
    <col min="13" max="13" width="10" style="98" bestFit="1" customWidth="1"/>
    <col min="14" max="14" width="10.25" style="98" bestFit="1" customWidth="1"/>
    <col min="15" max="15" width="13.25" style="98" bestFit="1" customWidth="1"/>
    <col min="16" max="16" width="9.75" style="98" customWidth="1"/>
    <col min="17" max="17" width="15.625" style="98" bestFit="1" customWidth="1"/>
    <col min="18" max="18" width="8.125" style="98" customWidth="1"/>
    <col min="19" max="19" width="8.75" style="98" bestFit="1" customWidth="1"/>
    <col min="20" max="20" width="9" style="98" customWidth="1"/>
    <col min="21" max="21" width="8.75" style="98" bestFit="1" customWidth="1"/>
    <col min="22" max="22" width="15.5" style="98" bestFit="1" customWidth="1"/>
    <col min="23" max="23" width="10.625" style="66" bestFit="1" customWidth="1"/>
    <col min="24" max="24" width="8.5" style="98" bestFit="1" customWidth="1"/>
    <col min="25" max="16384" width="9" style="98"/>
  </cols>
  <sheetData>
    <row r="1" spans="1:24" ht="19.899999999999999" customHeight="1">
      <c r="A1" s="134"/>
      <c r="B1" s="134"/>
      <c r="C1" s="134"/>
      <c r="D1" s="134"/>
      <c r="E1" s="134"/>
      <c r="F1" s="134"/>
      <c r="G1" s="134"/>
      <c r="H1" s="134"/>
      <c r="I1" s="134"/>
      <c r="N1" s="66"/>
      <c r="O1" s="97" t="s">
        <v>59</v>
      </c>
      <c r="Q1" s="97" t="s">
        <v>59</v>
      </c>
      <c r="S1" s="97" t="s">
        <v>59</v>
      </c>
      <c r="U1" s="97" t="s">
        <v>59</v>
      </c>
    </row>
    <row r="2" spans="1:24" ht="19.899999999999999" customHeight="1" thickBot="1">
      <c r="A2" s="134"/>
      <c r="B2" s="134"/>
      <c r="C2" s="134"/>
      <c r="D2" s="134"/>
      <c r="E2" s="134"/>
      <c r="F2" s="134"/>
      <c r="G2" s="134"/>
      <c r="H2" s="134"/>
      <c r="I2" s="134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>
      <c r="A3" s="99"/>
      <c r="B3" s="99"/>
      <c r="C3" s="99"/>
      <c r="D3" s="99"/>
      <c r="E3" s="99"/>
      <c r="F3" s="99" t="s">
        <v>60</v>
      </c>
      <c r="G3" s="100"/>
      <c r="H3" s="100"/>
      <c r="I3" s="100"/>
      <c r="J3" s="145" t="s">
        <v>61</v>
      </c>
      <c r="K3" s="145"/>
      <c r="L3" s="143" t="s">
        <v>47</v>
      </c>
      <c r="M3" s="143" t="s">
        <v>5</v>
      </c>
      <c r="N3" s="139" t="s">
        <v>62</v>
      </c>
      <c r="O3" s="139"/>
      <c r="P3" s="139" t="s">
        <v>63</v>
      </c>
      <c r="Q3" s="139"/>
      <c r="R3" s="140" t="s">
        <v>64</v>
      </c>
      <c r="S3" s="140"/>
      <c r="T3" s="140" t="s">
        <v>65</v>
      </c>
      <c r="U3" s="140"/>
      <c r="V3" s="141" t="s">
        <v>66</v>
      </c>
      <c r="W3" s="137" t="s">
        <v>67</v>
      </c>
      <c r="X3" s="135" t="s">
        <v>45</v>
      </c>
    </row>
    <row r="4" spans="1:24" ht="19.899999999999999" customHeight="1">
      <c r="A4" s="69" t="s">
        <v>68</v>
      </c>
      <c r="B4" s="70"/>
      <c r="C4" s="70"/>
      <c r="D4" s="70"/>
      <c r="E4" s="70"/>
      <c r="F4" s="71" t="s">
        <v>69</v>
      </c>
      <c r="G4" s="71" t="s">
        <v>70</v>
      </c>
      <c r="H4" s="71" t="s">
        <v>71</v>
      </c>
      <c r="I4" s="71" t="s">
        <v>72</v>
      </c>
      <c r="J4" s="95" t="s">
        <v>73</v>
      </c>
      <c r="K4" s="95" t="s">
        <v>74</v>
      </c>
      <c r="L4" s="144"/>
      <c r="M4" s="144"/>
      <c r="N4" s="72" t="s">
        <v>75</v>
      </c>
      <c r="O4" s="73" t="s">
        <v>76</v>
      </c>
      <c r="P4" s="72" t="s">
        <v>77</v>
      </c>
      <c r="Q4" s="73" t="s">
        <v>76</v>
      </c>
      <c r="R4" s="73" t="s">
        <v>78</v>
      </c>
      <c r="S4" s="73" t="s">
        <v>76</v>
      </c>
      <c r="T4" s="73" t="s">
        <v>78</v>
      </c>
      <c r="U4" s="73" t="s">
        <v>76</v>
      </c>
      <c r="V4" s="142"/>
      <c r="W4" s="138"/>
      <c r="X4" s="136"/>
    </row>
    <row r="5" spans="1:24" s="101" customFormat="1" ht="38.1" customHeight="1">
      <c r="A5" s="74" t="str">
        <f t="shared" ref="A5" si="0">F5&amp;G5&amp;H5&amp;I5</f>
        <v>M020750510120102</v>
      </c>
      <c r="B5" s="81"/>
      <c r="C5" s="81"/>
      <c r="D5" s="81"/>
      <c r="E5" s="81"/>
      <c r="F5" s="109"/>
      <c r="G5" s="110"/>
      <c r="H5" s="111" t="s">
        <v>82</v>
      </c>
      <c r="I5" s="110"/>
      <c r="J5" s="112" t="s">
        <v>89</v>
      </c>
      <c r="K5" s="112" t="s">
        <v>83</v>
      </c>
      <c r="L5" s="113" t="s">
        <v>79</v>
      </c>
      <c r="M5" s="114">
        <v>4</v>
      </c>
      <c r="N5" s="115">
        <v>6400</v>
      </c>
      <c r="O5" s="91">
        <f t="shared" ref="O5" si="1">SUM(N5:N5)*M5*$O$2</f>
        <v>21376</v>
      </c>
      <c r="P5" s="90"/>
      <c r="Q5" s="91">
        <f t="shared" ref="Q5" si="2">(P5*M5)*$Q$2</f>
        <v>0</v>
      </c>
      <c r="R5" s="93"/>
      <c r="S5" s="91">
        <f t="shared" ref="S5" si="3">R5*M5*$S$2</f>
        <v>0</v>
      </c>
      <c r="T5" s="93"/>
      <c r="U5" s="91">
        <f t="shared" ref="U5" si="4">T5*M5*$U$2</f>
        <v>0</v>
      </c>
      <c r="V5" s="84">
        <f t="shared" ref="V5" si="5">SUM(O5+Q5)+S5+U5</f>
        <v>21376</v>
      </c>
      <c r="W5" s="85"/>
      <c r="X5" s="83"/>
    </row>
    <row r="6" spans="1:24" s="101" customFormat="1" ht="38.1" customHeight="1">
      <c r="A6" s="74" t="str">
        <f t="shared" ref="A6:A8" si="6">F6&amp;G6&amp;H6&amp;I6</f>
        <v>M020750510130104</v>
      </c>
      <c r="B6" s="81"/>
      <c r="C6" s="81"/>
      <c r="D6" s="81"/>
      <c r="E6" s="81"/>
      <c r="F6" s="109"/>
      <c r="G6" s="110"/>
      <c r="H6" s="111" t="s">
        <v>90</v>
      </c>
      <c r="I6" s="110"/>
      <c r="J6" s="112" t="s">
        <v>91</v>
      </c>
      <c r="K6" s="112" t="s">
        <v>92</v>
      </c>
      <c r="L6" s="113" t="s">
        <v>79</v>
      </c>
      <c r="M6" s="114">
        <v>4</v>
      </c>
      <c r="N6" s="115">
        <v>12000</v>
      </c>
      <c r="O6" s="91">
        <f t="shared" ref="O6:O8" si="7">SUM(N6:N6)*M6*$O$2</f>
        <v>40080</v>
      </c>
      <c r="P6" s="90"/>
      <c r="Q6" s="91">
        <f t="shared" ref="Q6:Q7" si="8">(P6*M6)*$Q$2</f>
        <v>0</v>
      </c>
      <c r="R6" s="93"/>
      <c r="S6" s="91">
        <f t="shared" ref="S6:S8" si="9">R6*M6*$S$2</f>
        <v>0</v>
      </c>
      <c r="T6" s="93"/>
      <c r="U6" s="91">
        <f t="shared" ref="U6:U8" si="10">T6*M6*$U$2</f>
        <v>0</v>
      </c>
      <c r="V6" s="75">
        <f t="shared" ref="V6:V8" si="11">SUM(O6+Q6)+S6+U6</f>
        <v>40080</v>
      </c>
      <c r="W6" s="85"/>
      <c r="X6" s="76"/>
    </row>
    <row r="7" spans="1:24" s="101" customFormat="1" ht="38.1" customHeight="1">
      <c r="A7" s="74" t="str">
        <f t="shared" si="6"/>
        <v>E00000803066470202</v>
      </c>
      <c r="B7" s="81"/>
      <c r="C7" s="81"/>
      <c r="D7" s="81"/>
      <c r="E7" s="81"/>
      <c r="F7" s="116"/>
      <c r="G7" s="111" t="s">
        <v>93</v>
      </c>
      <c r="H7" s="117"/>
      <c r="I7" s="116"/>
      <c r="J7" s="112" t="s">
        <v>80</v>
      </c>
      <c r="K7" s="118" t="s">
        <v>94</v>
      </c>
      <c r="L7" s="119" t="s">
        <v>81</v>
      </c>
      <c r="M7" s="114">
        <v>0.2286</v>
      </c>
      <c r="N7" s="120"/>
      <c r="O7" s="91">
        <f t="shared" si="7"/>
        <v>0</v>
      </c>
      <c r="P7" s="92">
        <v>652621</v>
      </c>
      <c r="Q7" s="91">
        <f t="shared" si="8"/>
        <v>124572.94910099999</v>
      </c>
      <c r="R7" s="93"/>
      <c r="S7" s="91">
        <f t="shared" si="9"/>
        <v>0</v>
      </c>
      <c r="T7" s="93"/>
      <c r="U7" s="91">
        <f t="shared" si="10"/>
        <v>0</v>
      </c>
      <c r="V7" s="82">
        <f t="shared" si="11"/>
        <v>124572.94910099999</v>
      </c>
      <c r="W7" s="85"/>
      <c r="X7" s="83"/>
    </row>
    <row r="8" spans="1:24" s="101" customFormat="1" ht="38.1" customHeight="1">
      <c r="A8" s="74" t="str">
        <f t="shared" si="6"/>
        <v>L002</v>
      </c>
      <c r="B8" s="81"/>
      <c r="C8" s="81"/>
      <c r="D8" s="81"/>
      <c r="E8" s="81"/>
      <c r="F8" s="116"/>
      <c r="G8" s="121"/>
      <c r="H8" s="122"/>
      <c r="I8" s="116" t="s">
        <v>87</v>
      </c>
      <c r="J8" s="123" t="s">
        <v>95</v>
      </c>
      <c r="K8" s="124" t="s">
        <v>88</v>
      </c>
      <c r="L8" s="119" t="s">
        <v>86</v>
      </c>
      <c r="M8" s="114">
        <v>1</v>
      </c>
      <c r="N8" s="120"/>
      <c r="O8" s="91">
        <f t="shared" si="7"/>
        <v>0</v>
      </c>
      <c r="P8" s="92">
        <v>167081</v>
      </c>
      <c r="Q8" s="91">
        <f>M8*P8</f>
        <v>167081</v>
      </c>
      <c r="R8" s="93"/>
      <c r="S8" s="91">
        <f t="shared" si="9"/>
        <v>0</v>
      </c>
      <c r="T8" s="93"/>
      <c r="U8" s="91">
        <f t="shared" si="10"/>
        <v>0</v>
      </c>
      <c r="V8" s="82">
        <f t="shared" si="11"/>
        <v>167081</v>
      </c>
      <c r="W8" s="85"/>
      <c r="X8" s="83"/>
    </row>
    <row r="9" spans="1:24" s="103" customFormat="1" ht="38.1" customHeight="1">
      <c r="A9" s="102"/>
      <c r="B9" s="102"/>
      <c r="C9" s="102"/>
      <c r="D9" s="102"/>
      <c r="E9" s="102"/>
      <c r="J9" s="96"/>
      <c r="K9" s="96"/>
      <c r="O9" s="104">
        <f>SUM(O5:O8)</f>
        <v>61456</v>
      </c>
      <c r="P9" s="105"/>
      <c r="Q9" s="104">
        <f>SUM(Q5:Q8)</f>
        <v>291653.94910099998</v>
      </c>
      <c r="R9" s="105"/>
      <c r="S9" s="104">
        <f>SUM(S5:S8)</f>
        <v>0</v>
      </c>
      <c r="T9" s="105"/>
      <c r="U9" s="104">
        <f>SUM(U5:U8)</f>
        <v>0</v>
      </c>
      <c r="V9" s="106">
        <f>SUM(V5:V8)</f>
        <v>353109.94910099998</v>
      </c>
      <c r="W9" s="77"/>
    </row>
    <row r="13" spans="1:24" ht="38.1" customHeight="1">
      <c r="Q13" s="10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5"/>
  <sheetViews>
    <sheetView showGridLines="0" zoomScaleNormal="100" workbookViewId="0">
      <selection activeCell="I31" sqref="I31"/>
    </sheetView>
  </sheetViews>
  <sheetFormatPr defaultColWidth="9" defaultRowHeight="14.2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89"/>
  </cols>
  <sheetData>
    <row r="1" spans="1:6" ht="18" customHeight="1">
      <c r="A1" s="78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8" t="s">
        <v>5</v>
      </c>
    </row>
    <row r="2" spans="1:6">
      <c r="A2" s="79" t="str">
        <f>'내역서(표준단가)'!A5</f>
        <v>M020750510120102</v>
      </c>
      <c r="B2" s="80">
        <f>'내역서(표준단가)'!F5</f>
        <v>0</v>
      </c>
      <c r="C2" s="80">
        <f>'내역서(표준단가)'!G5</f>
        <v>0</v>
      </c>
      <c r="D2" s="80" t="str">
        <f>'내역서(표준단가)'!H5</f>
        <v>M020750510120102</v>
      </c>
      <c r="E2" s="80">
        <f>'내역서(표준단가)'!I5</f>
        <v>0</v>
      </c>
      <c r="F2" s="86">
        <f>'내역서(표준단가)'!M5</f>
        <v>4</v>
      </c>
    </row>
    <row r="3" spans="1:6">
      <c r="A3" s="79" t="str">
        <f>'내역서(표준단가)'!A6</f>
        <v>M020750510130104</v>
      </c>
      <c r="B3" s="80">
        <f>'내역서(표준단가)'!F6</f>
        <v>0</v>
      </c>
      <c r="C3" s="80">
        <f>'내역서(표준단가)'!G6</f>
        <v>0</v>
      </c>
      <c r="D3" s="80" t="str">
        <f>'내역서(표준단가)'!H6</f>
        <v>M020750510130104</v>
      </c>
      <c r="E3" s="80">
        <f>'내역서(표준단가)'!I6</f>
        <v>0</v>
      </c>
      <c r="F3" s="86">
        <f>'내역서(표준단가)'!M6</f>
        <v>4</v>
      </c>
    </row>
    <row r="4" spans="1:6">
      <c r="A4" s="79" t="str">
        <f>'내역서(표준단가)'!A7</f>
        <v>E00000803066470202</v>
      </c>
      <c r="B4" s="80">
        <f>'내역서(표준단가)'!F7</f>
        <v>0</v>
      </c>
      <c r="C4" s="80" t="str">
        <f>'내역서(표준단가)'!G7</f>
        <v>E00000803066470202</v>
      </c>
      <c r="D4" s="80">
        <f>'내역서(표준단가)'!H7</f>
        <v>0</v>
      </c>
      <c r="E4" s="80">
        <f>'내역서(표준단가)'!I7</f>
        <v>0</v>
      </c>
      <c r="F4" s="86">
        <f>'내역서(표준단가)'!M7</f>
        <v>0.2286</v>
      </c>
    </row>
    <row r="5" spans="1:6">
      <c r="A5" s="79" t="str">
        <f>'내역서(표준단가)'!A8</f>
        <v>L002</v>
      </c>
      <c r="B5" s="80">
        <f>'내역서(표준단가)'!F8</f>
        <v>0</v>
      </c>
      <c r="C5" s="80">
        <f>'내역서(표준단가)'!G8</f>
        <v>0</v>
      </c>
      <c r="D5" s="80">
        <f>'내역서(표준단가)'!H8</f>
        <v>0</v>
      </c>
      <c r="E5" s="80" t="str">
        <f>'내역서(표준단가)'!I8</f>
        <v>L002</v>
      </c>
      <c r="F5" s="86">
        <f>'내역서(표준단가)'!M8</f>
        <v>1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2025-08-25T03:18:38Z</dcterms:modified>
</cp:coreProperties>
</file>
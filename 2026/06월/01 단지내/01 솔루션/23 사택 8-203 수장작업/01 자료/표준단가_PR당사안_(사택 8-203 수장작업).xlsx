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FAF5FFB4-1C48-4D37-8A16-BA71051E32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8" i="4"/>
  <c r="O8" i="4"/>
  <c r="M8" i="4"/>
  <c r="K8" i="4"/>
  <c r="R8" i="4" l="1"/>
  <c r="F25" i="9" l="1"/>
  <c r="N25" i="9" s="1"/>
  <c r="K10" i="4"/>
  <c r="O10" i="4"/>
  <c r="Q10" i="4"/>
  <c r="R10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5" i="4"/>
  <c r="O15" i="4"/>
  <c r="M15" i="4"/>
  <c r="K15" i="4"/>
  <c r="N33" i="9" l="1"/>
  <c r="R15" i="4"/>
  <c r="K7" i="4"/>
  <c r="M7" i="4"/>
  <c r="O7" i="4"/>
  <c r="Q7" i="4"/>
  <c r="R7" i="4" l="1"/>
  <c r="Q14" i="4" l="1"/>
  <c r="O14" i="4"/>
  <c r="M14" i="4"/>
  <c r="K14" i="4"/>
  <c r="Q13" i="4"/>
  <c r="O13" i="4"/>
  <c r="M13" i="4"/>
  <c r="K13" i="4"/>
  <c r="Q12" i="4"/>
  <c r="O12" i="4"/>
  <c r="M12" i="4"/>
  <c r="K12" i="4"/>
  <c r="Q11" i="4"/>
  <c r="O11" i="4"/>
  <c r="M11" i="4"/>
  <c r="K11" i="4"/>
  <c r="Q9" i="4"/>
  <c r="O9" i="4"/>
  <c r="M9" i="4"/>
  <c r="K9" i="4"/>
  <c r="K16" i="4" l="1"/>
  <c r="M16" i="4"/>
  <c r="R9" i="4"/>
  <c r="R12" i="4"/>
  <c r="R13" i="4"/>
  <c r="R11" i="4"/>
  <c r="R14" i="4"/>
  <c r="R16" i="4" l="1"/>
  <c r="Q16" i="4"/>
  <c r="O16" i="4"/>
</calcChain>
</file>

<file path=xl/sharedStrings.xml><?xml version="1.0" encoding="utf-8"?>
<sst xmlns="http://schemas.openxmlformats.org/spreadsheetml/2006/main" count="241" uniqueCount="177">
  <si>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</si>
  <si>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</si>
  <si>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</si>
  <si>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</si>
  <si>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</si>
  <si>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</si>
  <si>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</si>
  <si>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</si>
  <si>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</si>
  <si>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</si>
  <si>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</si>
  <si>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</si>
  <si>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</si>
  <si>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</si>
  <si>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</si>
  <si>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</si>
  <si>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</si>
  <si>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</si>
  <si>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</si>
  <si>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</si>
  <si>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</si>
  <si>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</si>
  <si>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</si>
  <si>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</si>
  <si>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</si>
  <si>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</si>
  <si>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</si>
  <si>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</si>
  <si>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</si>
  <si>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</si>
  <si>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</si>
  <si>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</si>
  <si>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</si>
  <si>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</si>
  <si>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</si>
  <si>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</si>
  <si>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</si>
  <si>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</si>
  <si>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</si>
  <si>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</si>
  <si>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</si>
  <si>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</si>
  <si>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</si>
  <si>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</si>
  <si>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</si>
  <si>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</si>
  <si>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</si>
  <si>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</si>
  <si>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</si>
  <si>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</si>
  <si>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</si>
  <si>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</si>
  <si>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</si>
  <si>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</si>
  <si>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</si>
  <si>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</si>
  <si>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</si>
  <si>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</si>
  <si>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</si>
  <si>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</si>
  <si>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</si>
  <si>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</si>
  <si>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</si>
  <si>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</si>
  <si>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</si>
  <si>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</si>
  <si>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</si>
  <si>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</si>
  <si>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</si>
  <si>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</si>
  <si>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</si>
  <si>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</si>
  <si>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</si>
  <si>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</si>
  <si>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</si>
  <si>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</si>
  <si>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</si>
  <si>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</si>
  <si>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</si>
  <si>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</si>
  <si>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</si>
  <si>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</si>
  <si>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</si>
  <si>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</si>
  <si>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</si>
  <si>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</si>
  <si>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</si>
  <si>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</si>
  <si>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</si>
  <si>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</si>
  <si>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</si>
  <si>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</si>
  <si>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</si>
  <si>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</si>
  <si>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</si>
  <si>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</si>
  <si>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</si>
  <si>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</si>
  <si>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</si>
  <si>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</si>
  <si>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</si>
  <si>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</si>
  <si>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</si>
  <si>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</si>
  <si>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</si>
  <si>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</si>
  <si>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</si>
  <si>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</si>
  <si>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8-203 수장작업</t>
    <phoneticPr fontId="6" type="noConversion"/>
  </si>
  <si>
    <t>일당 시공량-천장 35㎡ 적산정보 500p 참조, 시공총량24㎡/일당35㎡=0.6857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</si>
  <si>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소요량160/16.51=9.6910R/L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</si>
  <si>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</si>
  <si>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</si>
  <si>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</si>
  <si>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</si>
  <si>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</si>
  <si>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</si>
  <si>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</si>
  <si>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</si>
  <si>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</si>
  <si>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</si>
  <si>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</si>
  <si>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</si>
  <si>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</si>
  <si>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</si>
  <si>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</si>
  <si>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</si>
  <si>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</si>
  <si>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</si>
  <si>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</si>
  <si>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</si>
  <si>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</si>
  <si>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</si>
  <si>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</si>
  <si>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</si>
  <si>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</si>
  <si>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</si>
  <si>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</si>
  <si>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</si>
  <si>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</si>
  <si>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</si>
  <si>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</si>
  <si>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</si>
  <si>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</si>
  <si>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</si>
  <si>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</si>
  <si>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</si>
  <si>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</si>
  <si>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</si>
  <si>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</si>
  <si>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</si>
  <si>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</si>
  <si>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</si>
  <si>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</si>
  <si>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</si>
  <si>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</si>
  <si>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</si>
  <si>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</si>
  <si>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</si>
  <si>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</si>
  <si>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</si>
  <si>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</si>
  <si>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</si>
  <si>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</si>
  <si>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</si>
  <si>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</si>
  <si>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</si>
  <si>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</si>
  <si>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</si>
  <si>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</si>
  <si>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</si>
  <si>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</si>
  <si>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</si>
  <si>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</si>
  <si>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</si>
  <si>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8-203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</si>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</sst>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49" fontId="19" fillId="7" borderId="11" xfId="0" applyNumberFormat="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Border="1" applyAlignment="1">
      <alignment vertical="center"/>
    </xf>
    <xf numFmtId="0" fontId="29" fillId="0" borderId="23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/>
    </xf>
    <xf numFmtId="0" fontId="29" fillId="0" borderId="44" xfId="20" applyFont="1" applyBorder="1" applyAlignment="1">
      <alignment horizontal="center" vertical="center"/>
    </xf>
    <xf numFmtId="0" fontId="29" fillId="0" borderId="12" xfId="20" applyFont="1" applyBorder="1" applyAlignment="1">
      <alignment horizontal="center" vertical="center"/>
    </xf>
    <xf numFmtId="0" fontId="33" fillId="0" borderId="52" xfId="20" applyFont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Border="1" applyAlignment="1">
      <alignment horizontal="left" vertical="center" wrapText="1" indent="1"/>
    </xf>
    <xf numFmtId="0" fontId="33" fillId="0" borderId="53" xfId="20" applyFont="1" applyBorder="1" applyAlignment="1">
      <alignment horizontal="left" vertical="center" wrapText="1" indent="1"/>
    </xf>
    <xf numFmtId="0" fontId="33" fillId="0" borderId="54" xfId="20" applyFont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 wrapText="1"/>
    </xf>
    <xf numFmtId="0" fontId="29" fillId="0" borderId="24" xfId="20" applyFont="1" applyBorder="1" applyAlignment="1">
      <alignment horizontal="center" vertical="center" wrapText="1"/>
    </xf>
    <xf numFmtId="0" fontId="29" fillId="0" borderId="43" xfId="20" applyFont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AEFA079E-80F7-4BCA-8ADA-578CFDD9C4BC}"/>
    <cellStyle name="쉼표 [0] 2 84" xfId="24" xr:uid="{BA8D0B4B-B05C-486A-B09C-2806F162F752}"/>
    <cellStyle name="쉼표 [0] 3" xfId="14" xr:uid="{8F7BE219-40E1-4BBB-A9BD-02188B74B2A3}"/>
    <cellStyle name="쉼표 [0] 4" xfId="21" xr:uid="{2FAD374C-EF5D-4969-AB2C-45251DF67692}"/>
    <cellStyle name="쉼표 [0] 5" xfId="23" xr:uid="{7DAB38ED-7915-4968-8D57-20A0EB33F13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5BC980E-1E96-4C98-986E-FE8A466B1CE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DB8CC0C-D43D-40AF-9570-D971F3107FC1}"/>
    <cellStyle name="표준_P456 공장 및 복지동 전면 유리창 청소건 라상혁님_1129(최종)" xfId="20" xr:uid="{EFF33602-3AFC-4162-8686-6FAA6B37A314}"/>
    <cellStyle name="표준_S&amp;D_MAIN VALVE_최빈_2" xfId="17" xr:uid="{79E9D121-C071-4F15-B1E4-DC8263237D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44732C-1B4F-4A2E-8155-71A1AEB64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C1BC-5DF8-4B85-A03B-1BD2BB04F046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56" t="s">
        <v>111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>
      <c r="A4" s="111" t="s">
        <v>112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176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59" t="s">
        <v>113</v>
      </c>
      <c r="B7" s="260"/>
      <c r="C7" s="261"/>
      <c r="D7" s="173">
        <v>2026</v>
      </c>
      <c r="E7" s="124" t="s">
        <v>114</v>
      </c>
      <c r="F7" s="124">
        <v>5</v>
      </c>
      <c r="G7" s="124" t="s">
        <v>115</v>
      </c>
      <c r="H7" s="124">
        <v>9</v>
      </c>
      <c r="I7" s="124" t="s">
        <v>116</v>
      </c>
      <c r="J7" s="125"/>
      <c r="K7" s="262" t="s">
        <v>117</v>
      </c>
      <c r="L7" s="126" t="s">
        <v>118</v>
      </c>
      <c r="M7" s="126" t="s">
        <v>119</v>
      </c>
      <c r="N7" s="126" t="s">
        <v>120</v>
      </c>
      <c r="O7" s="127" t="s">
        <v>121</v>
      </c>
    </row>
    <row r="8" spans="1:15" ht="23.25" customHeight="1">
      <c r="A8" s="265" t="s">
        <v>122</v>
      </c>
      <c r="B8" s="266"/>
      <c r="C8" s="267"/>
      <c r="D8" s="268" t="s">
        <v>123</v>
      </c>
      <c r="E8" s="269"/>
      <c r="F8" s="269"/>
      <c r="G8" s="270"/>
      <c r="H8" s="271" t="s">
        <v>124</v>
      </c>
      <c r="I8" s="269"/>
      <c r="J8" s="272"/>
      <c r="K8" s="263"/>
      <c r="L8" s="128" t="s">
        <v>125</v>
      </c>
      <c r="M8" s="128" t="s">
        <v>126</v>
      </c>
      <c r="N8" s="128" t="s">
        <v>127</v>
      </c>
      <c r="O8" s="129" t="s">
        <v>128</v>
      </c>
    </row>
    <row r="9" spans="1:15" ht="23.25" customHeight="1">
      <c r="A9" s="265" t="s">
        <v>129</v>
      </c>
      <c r="B9" s="266"/>
      <c r="C9" s="267"/>
      <c r="D9" s="273" t="s">
        <v>130</v>
      </c>
      <c r="E9" s="274"/>
      <c r="F9" s="274"/>
      <c r="G9" s="274"/>
      <c r="H9" s="274"/>
      <c r="I9" s="274"/>
      <c r="J9" s="275"/>
      <c r="K9" s="263"/>
      <c r="L9" s="128" t="s">
        <v>131</v>
      </c>
      <c r="M9" s="276" t="s">
        <v>132</v>
      </c>
      <c r="N9" s="266"/>
      <c r="O9" s="267"/>
    </row>
    <row r="10" spans="1:15" ht="23.25" customHeight="1" thickBot="1">
      <c r="A10" s="277" t="s">
        <v>133</v>
      </c>
      <c r="B10" s="278"/>
      <c r="C10" s="279"/>
      <c r="D10" s="280" t="s">
        <v>134</v>
      </c>
      <c r="E10" s="281"/>
      <c r="F10" s="281"/>
      <c r="G10" s="281"/>
      <c r="H10" s="281"/>
      <c r="I10" s="281"/>
      <c r="J10" s="282"/>
      <c r="K10" s="264"/>
      <c r="L10" s="130" t="s">
        <v>135</v>
      </c>
      <c r="M10" s="130" t="s">
        <v>136</v>
      </c>
      <c r="N10" s="130" t="s">
        <v>137</v>
      </c>
      <c r="O10" s="131" t="s">
        <v>138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2" t="s">
        <v>175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139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35" t="str">
        <f>"견 적 금 액 : 一金"&amp;NUMBERSTRING(M32,1) &amp; "원정""(\"&amp; TEXT(M32,"#,###")&amp;"원) [VAT 별도]"</f>
        <v>견 적 금 액 : 一金사백일십구만오천칠백이십오원정"(\4,195,725원)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>
      <c r="A17" s="140" t="s">
        <v>140</v>
      </c>
      <c r="B17" s="245" t="s">
        <v>141</v>
      </c>
      <c r="C17" s="246"/>
      <c r="D17" s="246"/>
      <c r="E17" s="246"/>
      <c r="F17" s="246"/>
      <c r="G17" s="247"/>
      <c r="H17" s="141" t="s">
        <v>142</v>
      </c>
      <c r="I17" s="142" t="s">
        <v>143</v>
      </c>
      <c r="J17" s="248" t="s">
        <v>144</v>
      </c>
      <c r="K17" s="249"/>
      <c r="L17" s="249"/>
      <c r="M17" s="250"/>
      <c r="N17" s="245" t="s">
        <v>145</v>
      </c>
      <c r="O17" s="251"/>
    </row>
    <row r="18" spans="1:17" ht="28.5" customHeight="1">
      <c r="A18" s="143">
        <v>1</v>
      </c>
      <c r="B18" s="239" t="s">
        <v>52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1/(TRIM('내역서(표준단가)'!K4:K100)&lt;&gt;""), '내역서(표준단가)'!K4:K100), "-")</f>
        <v>829991.58649999998</v>
      </c>
      <c r="K18" s="242"/>
      <c r="L18" s="242"/>
      <c r="M18" s="242"/>
      <c r="N18" s="243"/>
      <c r="O18" s="244"/>
    </row>
    <row r="19" spans="1:17" ht="28.5" customHeight="1">
      <c r="A19" s="144">
        <v>2</v>
      </c>
      <c r="B19" s="222" t="s">
        <v>53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2495414.283667</v>
      </c>
      <c r="K19" s="226"/>
      <c r="L19" s="226"/>
      <c r="M19" s="227"/>
      <c r="N19" s="228"/>
      <c r="O19" s="229"/>
    </row>
    <row r="20" spans="1:17" ht="28.5" customHeight="1">
      <c r="A20" s="144">
        <v>3</v>
      </c>
      <c r="B20" s="222" t="s">
        <v>146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437490.79015340144</v>
      </c>
      <c r="K20" s="231"/>
      <c r="L20" s="231"/>
      <c r="M20" s="232"/>
      <c r="N20" s="233"/>
      <c r="O20" s="234"/>
      <c r="P20" s="146"/>
    </row>
    <row r="21" spans="1:17" ht="28.5" customHeight="1">
      <c r="A21" s="143"/>
      <c r="B21" s="147"/>
      <c r="C21" s="214" t="s">
        <v>147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148</v>
      </c>
      <c r="O21" s="221"/>
    </row>
    <row r="22" spans="1:17" ht="28.5" customHeight="1">
      <c r="A22" s="143"/>
      <c r="B22" s="147"/>
      <c r="C22" s="208" t="s">
        <v>149</v>
      </c>
      <c r="D22" s="209"/>
      <c r="E22" s="209"/>
      <c r="F22" s="209"/>
      <c r="G22" s="210"/>
      <c r="H22" s="148">
        <v>3.11</v>
      </c>
      <c r="I22" s="148" t="s">
        <v>150</v>
      </c>
      <c r="J22" s="211">
        <f>IFERROR((J18+J19)*H22%,"-")</f>
        <v>103420.1225621937</v>
      </c>
      <c r="K22" s="212"/>
      <c r="L22" s="212"/>
      <c r="M22" s="213"/>
      <c r="N22" s="204" t="s">
        <v>151</v>
      </c>
      <c r="O22" s="205"/>
    </row>
    <row r="23" spans="1:17" ht="28.5" customHeight="1">
      <c r="A23" s="143"/>
      <c r="B23" s="147"/>
      <c r="C23" s="208" t="s">
        <v>152</v>
      </c>
      <c r="D23" s="209"/>
      <c r="E23" s="209"/>
      <c r="F23" s="209"/>
      <c r="G23" s="210"/>
      <c r="H23" s="148">
        <v>3.56</v>
      </c>
      <c r="I23" s="148" t="s">
        <v>153</v>
      </c>
      <c r="J23" s="211">
        <f>IFERROR(J19*H23%,"-")</f>
        <v>88836.748498545203</v>
      </c>
      <c r="K23" s="212"/>
      <c r="L23" s="212"/>
      <c r="M23" s="213"/>
      <c r="N23" s="204" t="s">
        <v>154</v>
      </c>
      <c r="O23" s="205"/>
    </row>
    <row r="24" spans="1:17" ht="28.5" customHeight="1">
      <c r="A24" s="143"/>
      <c r="B24" s="147"/>
      <c r="C24" s="208" t="s">
        <v>155</v>
      </c>
      <c r="D24" s="209"/>
      <c r="E24" s="209"/>
      <c r="F24" s="209"/>
      <c r="G24" s="210"/>
      <c r="H24" s="148">
        <v>1.01</v>
      </c>
      <c r="I24" s="148" t="s">
        <v>153</v>
      </c>
      <c r="J24" s="211">
        <f>IFERROR(J19*H24%,"-")</f>
        <v>25203.6842650367</v>
      </c>
      <c r="K24" s="212"/>
      <c r="L24" s="212"/>
      <c r="M24" s="213"/>
      <c r="N24" s="204" t="s">
        <v>156</v>
      </c>
      <c r="O24" s="205"/>
    </row>
    <row r="25" spans="1:17" ht="28.5" customHeight="1">
      <c r="A25" s="143"/>
      <c r="B25" s="147"/>
      <c r="C25" s="208" t="s">
        <v>157</v>
      </c>
      <c r="D25" s="209"/>
      <c r="E25" s="209"/>
      <c r="F25" s="209"/>
      <c r="G25" s="210"/>
      <c r="H25" s="149">
        <v>3.5950000000000002</v>
      </c>
      <c r="I25" s="148" t="s">
        <v>153</v>
      </c>
      <c r="J25" s="211">
        <f>IFERROR(J19*H25%,"-")</f>
        <v>89710.143497828656</v>
      </c>
      <c r="K25" s="212"/>
      <c r="L25" s="212"/>
      <c r="M25" s="213"/>
      <c r="N25" s="204" t="s">
        <v>158</v>
      </c>
      <c r="O25" s="205"/>
      <c r="Q25" s="146"/>
    </row>
    <row r="26" spans="1:17" ht="28.5" customHeight="1">
      <c r="A26" s="143"/>
      <c r="B26" s="147"/>
      <c r="C26" s="208" t="s">
        <v>159</v>
      </c>
      <c r="D26" s="209"/>
      <c r="E26" s="209"/>
      <c r="F26" s="209"/>
      <c r="G26" s="210"/>
      <c r="H26" s="148">
        <v>4.75</v>
      </c>
      <c r="I26" s="148" t="s">
        <v>153</v>
      </c>
      <c r="J26" s="211">
        <f>IFERROR(J19*H26%,"-")</f>
        <v>118532.1784741825</v>
      </c>
      <c r="K26" s="212"/>
      <c r="L26" s="212"/>
      <c r="M26" s="213"/>
      <c r="N26" s="204" t="s">
        <v>160</v>
      </c>
      <c r="O26" s="205"/>
      <c r="Q26" s="150"/>
    </row>
    <row r="27" spans="1:17" ht="28.5" customHeight="1">
      <c r="A27" s="143"/>
      <c r="B27" s="147"/>
      <c r="C27" s="198" t="s">
        <v>161</v>
      </c>
      <c r="D27" s="199"/>
      <c r="E27" s="199"/>
      <c r="F27" s="199"/>
      <c r="G27" s="200"/>
      <c r="H27" s="151">
        <v>13.14</v>
      </c>
      <c r="I27" s="152" t="s">
        <v>153</v>
      </c>
      <c r="J27" s="201">
        <f>IFERROR($H$27*J25%,"-")</f>
        <v>11787.912855614686</v>
      </c>
      <c r="K27" s="202"/>
      <c r="L27" s="202"/>
      <c r="M27" s="203"/>
      <c r="N27" s="204" t="s">
        <v>162</v>
      </c>
      <c r="O27" s="205"/>
    </row>
    <row r="28" spans="1:17" ht="28.5" customHeight="1">
      <c r="A28" s="143"/>
      <c r="B28" s="147"/>
      <c r="C28" s="198" t="s">
        <v>163</v>
      </c>
      <c r="D28" s="199"/>
      <c r="E28" s="199"/>
      <c r="F28" s="199"/>
      <c r="G28" s="200"/>
      <c r="H28" s="151">
        <v>8.1000000000000003E-2</v>
      </c>
      <c r="I28" s="152" t="s">
        <v>153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164</v>
      </c>
      <c r="O28" s="207"/>
    </row>
    <row r="29" spans="1:17" ht="28.5" customHeight="1">
      <c r="A29" s="153"/>
      <c r="B29" s="154"/>
      <c r="C29" s="178" t="s">
        <v>165</v>
      </c>
      <c r="D29" s="179"/>
      <c r="E29" s="179"/>
      <c r="F29" s="179"/>
      <c r="G29" s="180"/>
      <c r="H29" s="155">
        <v>1</v>
      </c>
      <c r="I29" s="156" t="s">
        <v>166</v>
      </c>
      <c r="J29" s="181">
        <f>34*0</f>
        <v>0</v>
      </c>
      <c r="K29" s="182"/>
      <c r="L29" s="182"/>
      <c r="M29" s="183"/>
      <c r="N29" s="184" t="s">
        <v>167</v>
      </c>
      <c r="O29" s="185"/>
    </row>
    <row r="30" spans="1:17" ht="28.5" customHeight="1">
      <c r="A30" s="153">
        <v>4</v>
      </c>
      <c r="B30" s="154"/>
      <c r="C30" s="178" t="s">
        <v>168</v>
      </c>
      <c r="D30" s="179"/>
      <c r="E30" s="179"/>
      <c r="F30" s="179"/>
      <c r="G30" s="180"/>
      <c r="H30" s="156">
        <v>5</v>
      </c>
      <c r="I30" s="157" t="s">
        <v>169</v>
      </c>
      <c r="J30" s="191">
        <f>IFERROR(IF(ISNUMBER(H30), SUM(J18:M20) * (H30 / 100), "-"), "-")</f>
        <v>188144.8330160201</v>
      </c>
      <c r="K30" s="192"/>
      <c r="L30" s="192"/>
      <c r="M30" s="193"/>
      <c r="N30" s="194" t="s">
        <v>170</v>
      </c>
      <c r="O30" s="195"/>
    </row>
    <row r="31" spans="1:17" ht="28.5" customHeight="1" thickBot="1">
      <c r="A31" s="153">
        <v>5</v>
      </c>
      <c r="B31" s="154"/>
      <c r="C31" s="178" t="s">
        <v>171</v>
      </c>
      <c r="D31" s="179"/>
      <c r="E31" s="179"/>
      <c r="F31" s="179"/>
      <c r="G31" s="180"/>
      <c r="H31" s="156">
        <v>7.5</v>
      </c>
      <c r="I31" s="157" t="s">
        <v>153</v>
      </c>
      <c r="J31" s="181">
        <f>IFERROR(SUM(J18:M20, J30) * (H31 / 100), "-")+-51644</f>
        <v>244684.11200023163</v>
      </c>
      <c r="K31" s="182"/>
      <c r="L31" s="182"/>
      <c r="M31" s="183"/>
      <c r="N31" s="196" t="s">
        <v>172</v>
      </c>
      <c r="O31" s="197"/>
      <c r="Q31" s="158"/>
    </row>
    <row r="32" spans="1:17" ht="28.5" customHeight="1" thickBot="1">
      <c r="A32" s="186" t="s">
        <v>173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4195725</v>
      </c>
      <c r="N32" s="189"/>
      <c r="O32" s="190"/>
      <c r="P32" s="162"/>
    </row>
    <row r="33" spans="1:15">
      <c r="A33" s="163" t="s">
        <v>174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6"/>
  <sheetViews>
    <sheetView showGridLines="0" zoomScale="90" zoomScaleNormal="90" workbookViewId="0">
      <pane ySplit="4" topLeftCell="A5" activePane="bottomLeft" state="frozen"/>
      <selection pane="bottomLeft" activeCell="A10" sqref="A10:XFD12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3"/>
      <c r="B1" s="283"/>
      <c r="C1" s="283"/>
      <c r="D1" s="283"/>
      <c r="E1" s="283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3"/>
      <c r="B2" s="283"/>
      <c r="C2" s="283"/>
      <c r="D2" s="283"/>
      <c r="E2" s="28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4" t="s">
        <v>51</v>
      </c>
      <c r="G3" s="294"/>
      <c r="H3" s="292" t="s">
        <v>8</v>
      </c>
      <c r="I3" s="292" t="s">
        <v>5</v>
      </c>
      <c r="J3" s="288" t="s">
        <v>52</v>
      </c>
      <c r="K3" s="288"/>
      <c r="L3" s="288" t="s">
        <v>53</v>
      </c>
      <c r="M3" s="288"/>
      <c r="N3" s="289" t="s">
        <v>54</v>
      </c>
      <c r="O3" s="289"/>
      <c r="P3" s="289" t="s">
        <v>55</v>
      </c>
      <c r="Q3" s="289"/>
      <c r="R3" s="290" t="s">
        <v>56</v>
      </c>
      <c r="S3" s="286" t="s">
        <v>57</v>
      </c>
      <c r="T3" s="284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3"/>
      <c r="I4" s="293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1"/>
      <c r="S4" s="287"/>
      <c r="T4" s="285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94</v>
      </c>
      <c r="E5" s="34"/>
      <c r="F5" s="68" t="s">
        <v>95</v>
      </c>
      <c r="G5" s="68" t="s">
        <v>110</v>
      </c>
      <c r="H5" s="50" t="s">
        <v>103</v>
      </c>
      <c r="I5" s="67">
        <v>9.6910000000000007</v>
      </c>
      <c r="J5" s="93">
        <v>20900</v>
      </c>
      <c r="K5" s="64">
        <f t="shared" ref="K5" si="1">SUM(J5:J5)*I5*$K$2</f>
        <v>169122.4865</v>
      </c>
      <c r="L5" s="63"/>
      <c r="M5" s="64">
        <f t="shared" ref="M5:M14" si="2">(L5*I5)*$M$2</f>
        <v>0</v>
      </c>
      <c r="N5" s="65"/>
      <c r="O5" s="64">
        <f t="shared" ref="O5:O14" si="3">N5*I5*$O$2</f>
        <v>0</v>
      </c>
      <c r="P5" s="65"/>
      <c r="Q5" s="64">
        <f t="shared" ref="Q5:Q14" si="4">P5*I5*$Q$2</f>
        <v>0</v>
      </c>
      <c r="R5" s="13">
        <f t="shared" ref="R5:R14" si="5">SUM(K5+M5)+O5+Q5</f>
        <v>169122.4865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104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5" si="11">B7&amp;C7&amp;D7&amp;E7</f>
        <v>E00000803071260301</v>
      </c>
      <c r="B7" s="34"/>
      <c r="C7" s="10" t="s">
        <v>69</v>
      </c>
      <c r="D7" s="10"/>
      <c r="E7" s="34"/>
      <c r="F7" s="68" t="s">
        <v>72</v>
      </c>
      <c r="G7" s="68" t="s">
        <v>109</v>
      </c>
      <c r="H7" s="11" t="s">
        <v>70</v>
      </c>
      <c r="I7" s="67">
        <v>0.68569999999999998</v>
      </c>
      <c r="J7" s="66"/>
      <c r="K7" s="64">
        <f t="shared" ref="K7:K14" si="12">SUM(J7:J7)*I7*$K$2</f>
        <v>0</v>
      </c>
      <c r="L7" s="94">
        <v>510462</v>
      </c>
      <c r="M7" s="64">
        <f t="shared" si="2"/>
        <v>292269.86748899997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292269.86748899997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97</v>
      </c>
      <c r="E8" s="34"/>
      <c r="F8" s="68" t="s">
        <v>98</v>
      </c>
      <c r="G8" s="68" t="s">
        <v>99</v>
      </c>
      <c r="H8" s="50" t="s">
        <v>96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73</v>
      </c>
      <c r="D9" s="10"/>
      <c r="E9" s="34"/>
      <c r="F9" s="68" t="s">
        <v>74</v>
      </c>
      <c r="G9" s="68" t="s">
        <v>105</v>
      </c>
      <c r="H9" s="11" t="s">
        <v>70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M020411810170101</v>
      </c>
      <c r="B10" s="34"/>
      <c r="C10" s="10"/>
      <c r="D10" s="59" t="s">
        <v>88</v>
      </c>
      <c r="E10" s="34"/>
      <c r="F10" s="71" t="s">
        <v>89</v>
      </c>
      <c r="G10" s="71" t="s">
        <v>90</v>
      </c>
      <c r="H10" s="60" t="s">
        <v>86</v>
      </c>
      <c r="I10" s="67">
        <v>0.2</v>
      </c>
      <c r="J10" s="99">
        <v>89800</v>
      </c>
      <c r="K10" s="64">
        <f t="shared" si="12"/>
        <v>14996.599999999999</v>
      </c>
      <c r="L10" s="63"/>
      <c r="M10" s="64"/>
      <c r="N10" s="65"/>
      <c r="O10" s="64">
        <f t="shared" si="3"/>
        <v>0</v>
      </c>
      <c r="P10" s="65"/>
      <c r="Q10" s="64">
        <f t="shared" si="4"/>
        <v>0</v>
      </c>
      <c r="R10" s="13">
        <f t="shared" si="5"/>
        <v>14996.599999999999</v>
      </c>
      <c r="S10" s="49"/>
      <c r="T10" s="14"/>
    </row>
    <row r="11" spans="1:20" s="77" customFormat="1" ht="38.1" customHeight="1">
      <c r="A11" s="9" t="str">
        <f t="shared" si="11"/>
        <v>E00000803061120802</v>
      </c>
      <c r="B11" s="34"/>
      <c r="C11" s="10" t="s">
        <v>77</v>
      </c>
      <c r="D11" s="10"/>
      <c r="E11" s="34"/>
      <c r="F11" s="68" t="s">
        <v>78</v>
      </c>
      <c r="G11" s="68" t="s">
        <v>79</v>
      </c>
      <c r="H11" s="50" t="s">
        <v>75</v>
      </c>
      <c r="I11" s="67">
        <v>16</v>
      </c>
      <c r="J11" s="78"/>
      <c r="K11" s="12">
        <f t="shared" si="12"/>
        <v>0</v>
      </c>
      <c r="L11" s="94">
        <v>2496</v>
      </c>
      <c r="M11" s="12">
        <f t="shared" si="2"/>
        <v>33346.559999999998</v>
      </c>
      <c r="N11" s="13"/>
      <c r="O11" s="12">
        <f t="shared" si="3"/>
        <v>0</v>
      </c>
      <c r="P11" s="13"/>
      <c r="Q11" s="12">
        <f t="shared" si="4"/>
        <v>0</v>
      </c>
      <c r="R11" s="13">
        <f t="shared" si="5"/>
        <v>33346.559999999998</v>
      </c>
      <c r="S11" s="49"/>
      <c r="T11" s="14"/>
    </row>
    <row r="12" spans="1:20" s="77" customFormat="1" ht="38.1" customHeight="1">
      <c r="A12" s="9" t="str">
        <f t="shared" si="11"/>
        <v>E00000803061300701</v>
      </c>
      <c r="B12" s="34"/>
      <c r="C12" s="10" t="s">
        <v>80</v>
      </c>
      <c r="D12" s="10"/>
      <c r="E12" s="34"/>
      <c r="F12" s="68" t="s">
        <v>81</v>
      </c>
      <c r="G12" s="68" t="s">
        <v>76</v>
      </c>
      <c r="H12" s="50" t="s">
        <v>75</v>
      </c>
      <c r="I12" s="67">
        <v>16</v>
      </c>
      <c r="J12" s="51"/>
      <c r="K12" s="12">
        <f t="shared" si="12"/>
        <v>0</v>
      </c>
      <c r="L12" s="94">
        <v>3871</v>
      </c>
      <c r="M12" s="12">
        <f t="shared" si="2"/>
        <v>51716.56</v>
      </c>
      <c r="N12" s="13"/>
      <c r="O12" s="12">
        <f t="shared" si="3"/>
        <v>0</v>
      </c>
      <c r="P12" s="13"/>
      <c r="Q12" s="12">
        <f t="shared" si="4"/>
        <v>0</v>
      </c>
      <c r="R12" s="13">
        <f t="shared" si="5"/>
        <v>51716.56</v>
      </c>
      <c r="S12" s="49"/>
      <c r="T12" s="14"/>
    </row>
    <row r="13" spans="1:20" s="77" customFormat="1" ht="38.1" customHeight="1">
      <c r="A13" s="9" t="str">
        <f t="shared" si="11"/>
        <v>E00000803061120802</v>
      </c>
      <c r="B13" s="34"/>
      <c r="C13" s="10" t="s">
        <v>77</v>
      </c>
      <c r="D13" s="10"/>
      <c r="E13" s="34"/>
      <c r="F13" s="68" t="s">
        <v>82</v>
      </c>
      <c r="G13" s="68" t="s">
        <v>79</v>
      </c>
      <c r="H13" s="50" t="s">
        <v>75</v>
      </c>
      <c r="I13" s="67">
        <v>2</v>
      </c>
      <c r="J13" s="78"/>
      <c r="K13" s="12">
        <f t="shared" si="12"/>
        <v>0</v>
      </c>
      <c r="L13" s="94">
        <v>2496</v>
      </c>
      <c r="M13" s="12">
        <f t="shared" si="2"/>
        <v>4168.32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4168.32</v>
      </c>
      <c r="S13" s="49"/>
      <c r="T13" s="14"/>
    </row>
    <row r="14" spans="1:20" s="77" customFormat="1" ht="38.1" customHeight="1">
      <c r="A14" s="9" t="str">
        <f t="shared" si="11"/>
        <v>E00000803061300401</v>
      </c>
      <c r="B14" s="34"/>
      <c r="C14" s="10" t="s">
        <v>83</v>
      </c>
      <c r="D14" s="10"/>
      <c r="E14" s="34"/>
      <c r="F14" s="68" t="s">
        <v>84</v>
      </c>
      <c r="G14" s="68" t="s">
        <v>76</v>
      </c>
      <c r="H14" s="50" t="s">
        <v>75</v>
      </c>
      <c r="I14" s="67">
        <v>2</v>
      </c>
      <c r="J14" s="51"/>
      <c r="K14" s="12">
        <f t="shared" si="12"/>
        <v>0</v>
      </c>
      <c r="L14" s="94">
        <v>5851</v>
      </c>
      <c r="M14" s="12">
        <f t="shared" si="2"/>
        <v>9771.17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9771.17</v>
      </c>
      <c r="S14" s="49"/>
      <c r="T14" s="14"/>
    </row>
    <row r="15" spans="1:20" s="77" customFormat="1" ht="38.1" customHeight="1">
      <c r="A15" s="9" t="str">
        <f t="shared" si="11"/>
        <v>E00000801011510701</v>
      </c>
      <c r="B15" s="34"/>
      <c r="C15" s="10" t="s">
        <v>102</v>
      </c>
      <c r="D15" s="10"/>
      <c r="E15" s="34"/>
      <c r="F15" s="96" t="s">
        <v>106</v>
      </c>
      <c r="G15" s="11" t="s">
        <v>101</v>
      </c>
      <c r="H15" s="97" t="s">
        <v>107</v>
      </c>
      <c r="I15" s="67">
        <v>100</v>
      </c>
      <c r="J15" s="78"/>
      <c r="K15" s="12">
        <f t="shared" ref="K15" si="13">SUM(J15:J15)*I15*$K$2</f>
        <v>0</v>
      </c>
      <c r="L15" s="94">
        <v>5131</v>
      </c>
      <c r="M15" s="12">
        <f t="shared" ref="M15" si="14">(L15*I15)*$M$2</f>
        <v>428438.5</v>
      </c>
      <c r="N15" s="13"/>
      <c r="O15" s="12">
        <f t="shared" ref="O15" si="15">N15*I15*$O$2</f>
        <v>0</v>
      </c>
      <c r="P15" s="13"/>
      <c r="Q15" s="12">
        <f t="shared" ref="Q15" si="16">P15*I15*$Q$2</f>
        <v>0</v>
      </c>
      <c r="R15" s="13">
        <f t="shared" ref="R15" si="17">SUM(K15+M15)+O15+Q15</f>
        <v>428438.5</v>
      </c>
      <c r="S15" s="49"/>
      <c r="T15" s="14"/>
    </row>
    <row r="16" spans="1:20" s="84" customFormat="1" ht="38.1" customHeight="1">
      <c r="A16" s="79"/>
      <c r="B16" s="80"/>
      <c r="C16" s="80"/>
      <c r="D16" s="80"/>
      <c r="E16" s="80"/>
      <c r="F16" s="72"/>
      <c r="G16" s="72"/>
      <c r="H16" s="80"/>
      <c r="I16" s="80"/>
      <c r="J16" s="80"/>
      <c r="K16" s="81">
        <f>SUM(K5:K15)</f>
        <v>829991.58649999998</v>
      </c>
      <c r="L16" s="82"/>
      <c r="M16" s="81">
        <f>SUM(M5:M15)</f>
        <v>2495414.283667</v>
      </c>
      <c r="N16" s="82"/>
      <c r="O16" s="81">
        <f>SUM(O5:O15)</f>
        <v>0</v>
      </c>
      <c r="P16" s="82"/>
      <c r="Q16" s="81">
        <f>SUM(Q5:Q15)</f>
        <v>0</v>
      </c>
      <c r="R16" s="83">
        <f>SUM(R5:R15)</f>
        <v>3325405.8701669998</v>
      </c>
      <c r="S16" s="42"/>
      <c r="T16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297" t="s">
        <v>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6" ht="15" customHeight="1">
      <c r="A2" s="298" t="s">
        <v>10</v>
      </c>
      <c r="B2" s="299" t="s">
        <v>11</v>
      </c>
      <c r="C2" s="300" t="s">
        <v>8</v>
      </c>
      <c r="D2" s="300" t="s">
        <v>12</v>
      </c>
      <c r="E2" s="302" t="s">
        <v>13</v>
      </c>
      <c r="F2" s="299"/>
      <c r="G2" s="299" t="s">
        <v>14</v>
      </c>
      <c r="H2" s="299"/>
      <c r="I2" s="303" t="s">
        <v>15</v>
      </c>
      <c r="J2" s="304"/>
      <c r="K2" s="303" t="s">
        <v>16</v>
      </c>
      <c r="L2" s="304"/>
      <c r="M2" s="302" t="s">
        <v>17</v>
      </c>
      <c r="N2" s="299"/>
      <c r="O2" s="305" t="s">
        <v>18</v>
      </c>
    </row>
    <row r="3" spans="1:16" ht="15" customHeight="1">
      <c r="A3" s="298"/>
      <c r="B3" s="299"/>
      <c r="C3" s="301"/>
      <c r="D3" s="301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6"/>
    </row>
    <row r="4" spans="1:16" ht="15" customHeight="1">
      <c r="A4" s="295" t="s">
        <v>108</v>
      </c>
      <c r="B4" s="29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8" t="s">
        <v>22</v>
      </c>
      <c r="B5" s="18" t="s">
        <v>23</v>
      </c>
      <c r="C5" s="19" t="s">
        <v>24</v>
      </c>
      <c r="D5" s="86">
        <v>40</v>
      </c>
      <c r="E5" s="98">
        <v>1057</v>
      </c>
      <c r="F5" s="20">
        <f t="shared" ref="F5:F11" si="0">D5*E5</f>
        <v>42280</v>
      </c>
      <c r="G5" s="98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0" t="s">
        <v>92</v>
      </c>
    </row>
    <row r="6" spans="1:16" ht="15" customHeight="1">
      <c r="A6" s="309"/>
      <c r="B6" s="18" t="s">
        <v>25</v>
      </c>
      <c r="C6" s="19" t="s">
        <v>24</v>
      </c>
      <c r="D6" s="86">
        <v>24</v>
      </c>
      <c r="E6" s="98">
        <v>1057</v>
      </c>
      <c r="F6" s="20">
        <f t="shared" si="0"/>
        <v>25368</v>
      </c>
      <c r="G6" s="98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1" si="2">F6+H6+J6+L6</f>
        <v>317640</v>
      </c>
      <c r="O6" s="311"/>
    </row>
    <row r="7" spans="1:16" ht="15" customHeight="1">
      <c r="A7" s="309"/>
      <c r="B7" s="18" t="s">
        <v>26</v>
      </c>
      <c r="C7" s="19" t="s">
        <v>24</v>
      </c>
      <c r="D7" s="86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311"/>
      <c r="P7" s="48">
        <f>D6+D8+D10+D12</f>
        <v>24</v>
      </c>
    </row>
    <row r="8" spans="1:16" ht="15" customHeight="1">
      <c r="A8" s="309"/>
      <c r="B8" s="100" t="s">
        <v>27</v>
      </c>
      <c r="C8" s="101" t="s">
        <v>24</v>
      </c>
      <c r="D8" s="102"/>
      <c r="E8" s="103"/>
      <c r="F8" s="104"/>
      <c r="G8" s="103"/>
      <c r="H8" s="104"/>
      <c r="I8" s="104"/>
      <c r="J8" s="104"/>
      <c r="K8" s="104"/>
      <c r="L8" s="104"/>
      <c r="M8" s="104"/>
      <c r="N8" s="104"/>
      <c r="O8" s="311"/>
    </row>
    <row r="9" spans="1:16" ht="15" customHeight="1">
      <c r="A9" s="309"/>
      <c r="B9" s="18" t="s">
        <v>28</v>
      </c>
      <c r="C9" s="19" t="s">
        <v>24</v>
      </c>
      <c r="D9" s="86">
        <v>32</v>
      </c>
      <c r="E9" s="98">
        <v>1057</v>
      </c>
      <c r="F9" s="20">
        <f t="shared" si="0"/>
        <v>33824</v>
      </c>
      <c r="G9" s="98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1"/>
    </row>
    <row r="10" spans="1:16" ht="15" customHeight="1">
      <c r="A10" s="309"/>
      <c r="B10" s="100" t="s">
        <v>29</v>
      </c>
      <c r="C10" s="101" t="s">
        <v>24</v>
      </c>
      <c r="D10" s="102"/>
      <c r="E10" s="103"/>
      <c r="F10" s="104"/>
      <c r="G10" s="103"/>
      <c r="H10" s="104"/>
      <c r="I10" s="104"/>
      <c r="J10" s="104"/>
      <c r="K10" s="104"/>
      <c r="L10" s="104"/>
      <c r="M10" s="104"/>
      <c r="N10" s="104"/>
      <c r="O10" s="311"/>
    </row>
    <row r="11" spans="1:16" ht="15" customHeight="1">
      <c r="A11" s="309"/>
      <c r="B11" s="18" t="s">
        <v>30</v>
      </c>
      <c r="C11" s="19" t="s">
        <v>24</v>
      </c>
      <c r="D11" s="86">
        <v>32</v>
      </c>
      <c r="E11" s="98">
        <v>1057</v>
      </c>
      <c r="F11" s="20">
        <f t="shared" si="0"/>
        <v>33824</v>
      </c>
      <c r="G11" s="98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1"/>
    </row>
    <row r="12" spans="1:16" ht="15" customHeight="1">
      <c r="A12" s="309"/>
      <c r="B12" s="100" t="s">
        <v>31</v>
      </c>
      <c r="C12" s="101" t="s">
        <v>24</v>
      </c>
      <c r="D12" s="102"/>
      <c r="E12" s="103"/>
      <c r="F12" s="104"/>
      <c r="G12" s="103"/>
      <c r="H12" s="104"/>
      <c r="I12" s="104"/>
      <c r="J12" s="104"/>
      <c r="K12" s="104"/>
      <c r="L12" s="104"/>
      <c r="M12" s="104"/>
      <c r="N12" s="104"/>
      <c r="O12" s="311"/>
    </row>
    <row r="13" spans="1:16" ht="15" customHeight="1">
      <c r="A13" s="43" t="s">
        <v>32</v>
      </c>
      <c r="B13" s="44"/>
      <c r="C13" s="45"/>
      <c r="D13" s="87">
        <f>SUM(D5:D12)</f>
        <v>160</v>
      </c>
      <c r="E13" s="52"/>
      <c r="F13" s="46">
        <f>SUM(F5:F12)</f>
        <v>169120</v>
      </c>
      <c r="G13" s="46"/>
      <c r="H13" s="46">
        <f>SUM(H5:H12)</f>
        <v>1552448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1721568</v>
      </c>
      <c r="O13" s="46"/>
    </row>
    <row r="14" spans="1:16" ht="15" customHeight="1">
      <c r="A14" s="312" t="s">
        <v>93</v>
      </c>
      <c r="B14" s="18" t="s">
        <v>33</v>
      </c>
      <c r="C14" s="19" t="s">
        <v>24</v>
      </c>
      <c r="D14" s="53">
        <v>28.9</v>
      </c>
      <c r="E14" s="98">
        <v>10855</v>
      </c>
      <c r="F14" s="54">
        <f>D14*E14</f>
        <v>313709.5</v>
      </c>
      <c r="G14" s="98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1"/>
    </row>
    <row r="15" spans="1:16" ht="15" customHeight="1">
      <c r="A15" s="312"/>
      <c r="B15" s="18" t="s">
        <v>34</v>
      </c>
      <c r="C15" s="19" t="s">
        <v>24</v>
      </c>
      <c r="D15" s="55">
        <v>12.4</v>
      </c>
      <c r="E15" s="98">
        <v>10855</v>
      </c>
      <c r="F15" s="54">
        <f>D15*E15</f>
        <v>134602</v>
      </c>
      <c r="G15" s="98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1"/>
    </row>
    <row r="16" spans="1:16" ht="15" customHeight="1">
      <c r="A16" s="312"/>
      <c r="B16" s="18" t="s">
        <v>35</v>
      </c>
      <c r="C16" s="19" t="s">
        <v>24</v>
      </c>
      <c r="D16" s="55">
        <v>9.9</v>
      </c>
      <c r="E16" s="98">
        <v>10855</v>
      </c>
      <c r="F16" s="54">
        <f>D16*E16</f>
        <v>107464.5</v>
      </c>
      <c r="G16" s="98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1"/>
    </row>
    <row r="17" spans="1:15" ht="15" customHeight="1">
      <c r="A17" s="313"/>
      <c r="B17" s="18" t="s">
        <v>36</v>
      </c>
      <c r="C17" s="19" t="s">
        <v>24</v>
      </c>
      <c r="D17" s="55">
        <v>8.3000000000000007</v>
      </c>
      <c r="E17" s="98">
        <v>10855</v>
      </c>
      <c r="F17" s="54">
        <f>D17*E17</f>
        <v>90096.500000000015</v>
      </c>
      <c r="G17" s="98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14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91</v>
      </c>
      <c r="B20" s="105" t="s">
        <v>87</v>
      </c>
      <c r="C20" s="105" t="s">
        <v>86</v>
      </c>
      <c r="D20" s="106"/>
      <c r="E20" s="103"/>
      <c r="F20" s="104"/>
      <c r="G20" s="104"/>
      <c r="H20" s="104"/>
      <c r="I20" s="104"/>
      <c r="J20" s="104"/>
      <c r="K20" s="104"/>
      <c r="L20" s="104"/>
      <c r="M20" s="104"/>
      <c r="N20" s="104"/>
      <c r="O20" s="20"/>
    </row>
    <row r="21" spans="1:15" ht="15" customHeight="1">
      <c r="A21" s="315" t="s">
        <v>38</v>
      </c>
      <c r="B21" s="100" t="s">
        <v>39</v>
      </c>
      <c r="C21" s="101" t="s">
        <v>24</v>
      </c>
      <c r="D21" s="106"/>
      <c r="E21" s="104"/>
      <c r="F21" s="104"/>
      <c r="G21" s="103"/>
      <c r="H21" s="104"/>
      <c r="I21" s="104"/>
      <c r="J21" s="104"/>
      <c r="K21" s="104"/>
      <c r="L21" s="104"/>
      <c r="M21" s="104"/>
      <c r="N21" s="104"/>
      <c r="O21" s="20"/>
    </row>
    <row r="22" spans="1:15" ht="15" customHeight="1">
      <c r="A22" s="315"/>
      <c r="B22" s="100" t="s">
        <v>40</v>
      </c>
      <c r="C22" s="101" t="s">
        <v>24</v>
      </c>
      <c r="D22" s="106"/>
      <c r="E22" s="104"/>
      <c r="F22" s="104"/>
      <c r="G22" s="103"/>
      <c r="H22" s="104"/>
      <c r="I22" s="104"/>
      <c r="J22" s="104"/>
      <c r="K22" s="104"/>
      <c r="L22" s="104"/>
      <c r="M22" s="104"/>
      <c r="N22" s="104"/>
      <c r="O22" s="20"/>
    </row>
    <row r="23" spans="1:15" ht="15" customHeight="1">
      <c r="A23" s="315" t="s">
        <v>41</v>
      </c>
      <c r="B23" s="100" t="s">
        <v>39</v>
      </c>
      <c r="C23" s="101" t="s">
        <v>24</v>
      </c>
      <c r="D23" s="106"/>
      <c r="E23" s="104"/>
      <c r="F23" s="104"/>
      <c r="G23" s="103"/>
      <c r="H23" s="104"/>
      <c r="I23" s="104"/>
      <c r="J23" s="104"/>
      <c r="K23" s="104"/>
      <c r="L23" s="104"/>
      <c r="M23" s="104"/>
      <c r="N23" s="104"/>
      <c r="O23" s="20"/>
    </row>
    <row r="24" spans="1:15" ht="15" customHeight="1">
      <c r="A24" s="315"/>
      <c r="B24" s="100" t="s">
        <v>40</v>
      </c>
      <c r="C24" s="101" t="s">
        <v>24</v>
      </c>
      <c r="D24" s="106"/>
      <c r="E24" s="104"/>
      <c r="F24" s="104"/>
      <c r="G24" s="103"/>
      <c r="H24" s="104"/>
      <c r="I24" s="104"/>
      <c r="J24" s="104"/>
      <c r="K24" s="104"/>
      <c r="L24" s="104"/>
      <c r="M24" s="104"/>
      <c r="N24" s="104"/>
      <c r="O24" s="20"/>
    </row>
    <row r="25" spans="1:15" ht="15" customHeight="1">
      <c r="A25" s="62" t="s">
        <v>89</v>
      </c>
      <c r="B25" s="61" t="s">
        <v>90</v>
      </c>
      <c r="C25" s="61" t="s">
        <v>86</v>
      </c>
      <c r="D25" s="89">
        <v>0.2</v>
      </c>
      <c r="E25" s="98">
        <v>74983</v>
      </c>
      <c r="F25" s="57">
        <f t="shared" ref="F25:F27" si="4">D25*E25</f>
        <v>14996.6</v>
      </c>
      <c r="G25" s="20"/>
      <c r="H25" s="20"/>
      <c r="I25" s="20"/>
      <c r="J25" s="20"/>
      <c r="K25" s="20"/>
      <c r="L25" s="20"/>
      <c r="M25" s="20"/>
      <c r="N25" s="57">
        <f t="shared" ref="N25:N29" si="5">F25+H25+J25+L25</f>
        <v>14996.6</v>
      </c>
      <c r="O25" s="20"/>
    </row>
    <row r="26" spans="1:15" ht="15" customHeight="1">
      <c r="A26" s="307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ref="F26:F29" si="6">D26*E26</f>
        <v>0</v>
      </c>
      <c r="G26" s="98">
        <v>2084</v>
      </c>
      <c r="H26" s="20">
        <f t="shared" ref="H26:H27" si="7">D26*G26</f>
        <v>33344</v>
      </c>
      <c r="I26" s="20"/>
      <c r="J26" s="20"/>
      <c r="K26" s="20"/>
      <c r="L26" s="54"/>
      <c r="M26" s="20"/>
      <c r="N26" s="54">
        <f t="shared" si="5"/>
        <v>33344</v>
      </c>
      <c r="O26" s="20"/>
    </row>
    <row r="27" spans="1:15" ht="15" customHeight="1">
      <c r="A27" s="307"/>
      <c r="B27" s="25" t="s">
        <v>44</v>
      </c>
      <c r="C27" s="26" t="s">
        <v>24</v>
      </c>
      <c r="D27" s="89">
        <v>16</v>
      </c>
      <c r="E27" s="20"/>
      <c r="F27" s="20">
        <f t="shared" si="4"/>
        <v>0</v>
      </c>
      <c r="G27" s="98">
        <v>3232</v>
      </c>
      <c r="H27" s="20">
        <f t="shared" si="7"/>
        <v>51712</v>
      </c>
      <c r="I27" s="20"/>
      <c r="J27" s="20"/>
      <c r="K27" s="20"/>
      <c r="L27" s="54"/>
      <c r="M27" s="20"/>
      <c r="N27" s="54">
        <f t="shared" si="5"/>
        <v>51712</v>
      </c>
      <c r="O27" s="20"/>
    </row>
    <row r="28" spans="1:15" ht="15" customHeight="1">
      <c r="A28" s="307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5"/>
        <v>4168</v>
      </c>
      <c r="O28" s="20"/>
    </row>
    <row r="29" spans="1:15" ht="15" customHeight="1">
      <c r="A29" s="307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5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14996.6</v>
      </c>
      <c r="G30" s="23"/>
      <c r="H30" s="23">
        <f>SUM(H19:H29)</f>
        <v>98996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113992.6</v>
      </c>
      <c r="O30" s="23"/>
    </row>
    <row r="31" spans="1:15" ht="15" customHeight="1">
      <c r="A31" s="41" t="s">
        <v>47</v>
      </c>
      <c r="B31" s="18" t="s">
        <v>100</v>
      </c>
      <c r="C31" s="19" t="s">
        <v>24</v>
      </c>
      <c r="D31" s="91">
        <v>100</v>
      </c>
      <c r="E31" s="54"/>
      <c r="F31" s="54"/>
      <c r="G31" s="98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85</v>
      </c>
      <c r="B33" s="21"/>
      <c r="C33" s="22"/>
      <c r="D33" s="92"/>
      <c r="E33" s="31"/>
      <c r="F33" s="32">
        <f>F13+F18+F30+F32</f>
        <v>829989.1</v>
      </c>
      <c r="G33" s="32"/>
      <c r="H33" s="32">
        <f>H13+H18+H30+H32</f>
        <v>2495570.5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3325559.6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="120" zoomScaleNormal="120" workbookViewId="0">
      <selection activeCell="E29" sqref="E29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9.6910000000000007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0.68569999999999998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M020411810170101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M020411810170101</v>
      </c>
      <c r="E7" s="39">
        <f>'내역서(표준단가)'!E10</f>
        <v>0</v>
      </c>
      <c r="F7" s="47">
        <f>'내역서(표준단가)'!I10</f>
        <v>0.2</v>
      </c>
    </row>
    <row r="8" spans="1:6">
      <c r="A8" s="38" t="str">
        <f>'내역서(표준단가)'!A11</f>
        <v>E00000803061120802</v>
      </c>
      <c r="B8" s="39">
        <f>'내역서(표준단가)'!B11</f>
        <v>0</v>
      </c>
      <c r="C8" s="39" t="str">
        <f>'내역서(표준단가)'!C11</f>
        <v>E00000803061120802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16</v>
      </c>
    </row>
    <row r="9" spans="1:6">
      <c r="A9" s="38" t="str">
        <f>'내역서(표준단가)'!A12</f>
        <v>E00000803061300701</v>
      </c>
      <c r="B9" s="39">
        <f>'내역서(표준단가)'!B12</f>
        <v>0</v>
      </c>
      <c r="C9" s="39" t="str">
        <f>'내역서(표준단가)'!C12</f>
        <v>E00000803061300701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16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2</v>
      </c>
    </row>
    <row r="11" spans="1:6">
      <c r="A11" s="38" t="str">
        <f>'내역서(표준단가)'!A14</f>
        <v>E00000803061300401</v>
      </c>
      <c r="B11" s="39">
        <f>'내역서(표준단가)'!B14</f>
        <v>0</v>
      </c>
      <c r="C11" s="39" t="str">
        <f>'내역서(표준단가)'!C14</f>
        <v>E00000803061300401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2</v>
      </c>
    </row>
    <row r="12" spans="1:6">
      <c r="A12" s="38" t="str">
        <f>'내역서(표준단가)'!A15</f>
        <v>E00000801011510701</v>
      </c>
      <c r="B12" s="39">
        <f>'내역서(표준단가)'!B15</f>
        <v>0</v>
      </c>
      <c r="C12" s="39" t="str">
        <f>'내역서(표준단가)'!C15</f>
        <v>E00000801011510701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2026-05-09T06:46:34Z</dcterms:modified>
</cp:coreProperties>
</file>
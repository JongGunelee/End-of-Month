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29\06 작업폴더\01 임차사택 수장공사 최영균(전지개발)\"/>
    </mc:Choice>
  </mc:AlternateContent>
  <xr:revisionPtr revIDLastSave="0" documentId="13_ncr:1_{CD0E2AF5-2451-4E2C-8CE0-AE7B8657CEAC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초원 23평 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0" l="1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U8" i="4" l="1"/>
  <c r="S8" i="4"/>
  <c r="Q8" i="4"/>
  <c r="O8" i="4"/>
  <c r="A8" i="4"/>
  <c r="A5" i="10" s="1"/>
  <c r="U6" i="4"/>
  <c r="S6" i="4"/>
  <c r="Q6" i="4"/>
  <c r="O6" i="4"/>
  <c r="A6" i="4"/>
  <c r="A3" i="10" s="1"/>
  <c r="V6" i="4" l="1"/>
  <c r="V8" i="4"/>
  <c r="L18" i="9" l="1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L19" i="9" l="1"/>
  <c r="N15" i="9"/>
  <c r="N17" i="9"/>
  <c r="J19" i="9"/>
  <c r="N14" i="9"/>
  <c r="N9" i="9"/>
  <c r="N6" i="9"/>
  <c r="N10" i="9"/>
  <c r="H18" i="9"/>
  <c r="N11" i="9"/>
  <c r="F13" i="9"/>
  <c r="N16" i="9"/>
  <c r="H13" i="9"/>
  <c r="N8" i="9"/>
  <c r="N7" i="9"/>
  <c r="N12" i="9"/>
  <c r="N5" i="9"/>
  <c r="F18" i="9"/>
  <c r="F19" i="9" l="1"/>
  <c r="N18" i="9"/>
  <c r="H19" i="9"/>
  <c r="N13" i="9"/>
  <c r="N19" i="9" l="1"/>
  <c r="A7" i="4"/>
  <c r="A4" i="10" s="1"/>
  <c r="O7" i="4"/>
  <c r="Q7" i="4"/>
  <c r="S7" i="4"/>
  <c r="U7" i="4"/>
  <c r="V7" i="4" l="1"/>
  <c r="A9" i="4" l="1"/>
  <c r="A6" i="10" s="1"/>
  <c r="U9" i="4" l="1"/>
  <c r="S9" i="4"/>
  <c r="Q9" i="4"/>
  <c r="Q10" i="4" s="1"/>
  <c r="F17" i="5" s="1"/>
  <c r="O9" i="4"/>
  <c r="V9" i="4" l="1"/>
  <c r="U10" i="4" l="1"/>
  <c r="O10" i="4"/>
  <c r="F16" i="5" s="1"/>
  <c r="F26" i="5" s="1"/>
  <c r="S10" i="4"/>
  <c r="F18" i="5" l="1"/>
  <c r="V10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<sst xmlns="http://schemas.openxmlformats.org/spreadsheetml/2006/main" count="172" uniqueCount="131">
  <si>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</si>
  <si>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</si>
  <si>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</si>
  <si>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</si>
  <si>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</si>
  <si>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</si>
  <si>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</si>
  <si>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</si>
  <si>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</si>
  <si>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</si>
  <si>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</si>
  <si>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</si>
  <si>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</si>
  <si>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</si>
  <si>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</si>
  <si>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</si>
  <si>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</si>
  <si>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</si>
  <si>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</si>
  <si>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</si>
  <si>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</si>
  <si>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</si>
  <si>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</si>
  <si>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</si>
  <si>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</si>
  <si>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</si>
  <si>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</si>
  <si>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</si>
  <si>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</si>
  <si>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</si>
  <si>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</si>
  <si>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</si>
  <si>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</si>
  <si>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</si>
  <si>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</si>
  <si>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</si>
  <si>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</si>
  <si>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</si>
  <si>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</si>
  <si>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</si>
  <si>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</si>
  <si>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</si>
  <si>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</si>
  <si>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</si>
  <si>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</si>
  <si>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</si>
  <si>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</si>
  <si>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</si>
  <si>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</si>
  <si>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</si>
  <si>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</si>
  <si>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</si>
  <si>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</si>
  <si>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</si>
  <si>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</si>
  <si>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</si>
  <si>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</si>
  <si>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</si>
  <si>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</si>
  <si>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</si>
  <si>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</si>
  <si>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</si>
  <si>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</si>
  <si>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</si>
  <si>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</si>
  <si>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</si>
  <si>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</si>
  <si>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</si>
  <si>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</si>
  <si>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</si>
  <si>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</si>
  <si>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</si>
  <si>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</si>
  <si>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</si>
  <si>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</si>
  <si>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</si>
  <si>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</si>
  <si>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</si>
  <si>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</si>
  <si>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</si>
  <si>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</si>
  <si>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</si>
  <si>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</si>
  <si>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</si>
  <si>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</si>
  <si>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</si>
  <si>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</si>
  <si>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</si>
  <si>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</si>
  <si>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</si>
  <si>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</si>
  <si>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</si>
  <si>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</si>
  <si>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</si>
  <si>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</si>
  <si>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</si>
  <si>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</si>
  <si>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</si>
  <si>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</si>
  <si>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</si>
  <si>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</si>
  <si>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</si>
  <si>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</si>
  <si>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</si>
  <si>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</si>
  <si>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</si>
  <si>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</si>
  <si>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합 계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</si>
  <si>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</si>
  <si>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</si>
  <si>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</si>
  <si>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</si>
  <si>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</si>
  <si>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</si>
  <si>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</si>
  <si>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</si>
  <si>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구분</t>
  </si>
  <si>
    <t>표준단가</t>
  </si>
  <si>
    <t>표준품셈</t>
  </si>
  <si>
    <t>물가정보</t>
  </si>
  <si>
    <t>노임단가</t>
  </si>
  <si>
    <t xml:space="preserve">                              성명:                         근무부서:                         전화번호:                        사택명:</t>
    <phoneticPr fontId="13" type="noConversion"/>
  </si>
  <si>
    <t xml:space="preserve">   *외부 임차 사택공사와 관련하여, 견적서의 금액 \3,215,000원(내역서+부대비용)을 확인 후, 공사 하였기에 서명날인 합니다.</t>
    <phoneticPr fontId="13" type="noConversion"/>
  </si>
  <si>
    <t>R/L</t>
  </si>
  <si>
    <t>합지벽지 1R/L=93㎝(고정)×17.75m=16.51㎡, 소요량184/16.51=11.144R/L</t>
    <phoneticPr fontId="5" type="noConversion"/>
  </si>
  <si>
    <t xml:space="preserve">일당 시공량-벽 46㎡, 적산정보 500p 참조,시공총량122/일당46=2.652, </t>
    <phoneticPr fontId="5" type="noConversion"/>
  </si>
  <si>
    <t xml:space="preserve">일당 시공량-천장 35㎡ 적산정보 500p 참조, 시공총량62/일당35=1.771, </t>
    <phoneticPr fontId="5" type="noConversion"/>
  </si>
  <si>
    <t>일당 시공량-61㎡ 적산정보 500p 참조,시공총량42.4/일당61=0.8443</t>
    <phoneticPr fontId="5" type="noConversion"/>
  </si>
  <si>
    <t xml:space="preserve"> 공사명 : 임차사택 수장공사 최영균 책임</t>
    <phoneticPr fontId="11" type="noConversion"/>
  </si>
  <si>
    <t xml:space="preserve"> 견적일 : 2025 년  07월  28일</t>
    <phoneticPr fontId="11" type="noConversion"/>
  </si>
  <si>
    <t>임차사택 수장공사 최영균 책임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</si>
</sst>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"/>
    <numFmt numFmtId="188" formatCode="0.000_ "/>
    <numFmt numFmtId="189" formatCode="#,##0.0_);[Red]\(#,##0.0\)"/>
    <numFmt numFmtId="190" formatCode="0.00_);[Red]\(0.00\)"/>
    <numFmt numFmtId="191" formatCode="#,##0;\-#,##0;"/>
    <numFmt numFmtId="192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81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77" fontId="24" fillId="0" borderId="30" xfId="13" applyFont="1" applyBorder="1" applyAlignment="1">
      <alignment vertical="center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185" fontId="20" fillId="0" borderId="0" xfId="15" applyNumberFormat="1" applyFont="1">
      <alignment vertical="center"/>
    </xf>
    <xf numFmtId="49" fontId="19" fillId="11" borderId="37" xfId="0" applyNumberFormat="1" applyFont="1" applyFill="1" applyBorder="1" applyAlignment="1">
      <alignment horizontal="center" vertical="center" wrapText="1"/>
    </xf>
    <xf numFmtId="187" fontId="19" fillId="6" borderId="37" xfId="1" applyNumberFormat="1" applyFont="1" applyFill="1" applyBorder="1" applyAlignment="1">
      <alignment horizontal="center" vertical="center"/>
    </xf>
    <xf numFmtId="187" fontId="19" fillId="0" borderId="37" xfId="1" applyNumberFormat="1" applyFont="1" applyBorder="1" applyAlignment="1">
      <alignment horizontal="center" vertical="center"/>
    </xf>
    <xf numFmtId="188" fontId="19" fillId="0" borderId="37" xfId="1" applyNumberFormat="1" applyFont="1" applyBorder="1" applyAlignment="1">
      <alignment horizontal="center" vertical="center"/>
    </xf>
    <xf numFmtId="187" fontId="20" fillId="0" borderId="0" xfId="1" applyNumberFormat="1" applyFont="1" applyAlignment="1">
      <alignment horizontal="center" vertical="center"/>
    </xf>
    <xf numFmtId="184" fontId="22" fillId="0" borderId="30" xfId="13" applyNumberFormat="1" applyFont="1" applyBorder="1" applyAlignment="1">
      <alignment horizontal="center" vertical="center"/>
    </xf>
    <xf numFmtId="177" fontId="22" fillId="0" borderId="30" xfId="13" applyFont="1" applyBorder="1" applyAlignment="1">
      <alignment horizontal="center" vertical="center"/>
    </xf>
    <xf numFmtId="185" fontId="22" fillId="0" borderId="30" xfId="13" applyNumberFormat="1" applyFont="1" applyFill="1" applyBorder="1" applyAlignment="1">
      <alignment horizontal="center" vertical="center"/>
    </xf>
    <xf numFmtId="0" fontId="12" fillId="7" borderId="30" xfId="13" applyNumberFormat="1" applyFont="1" applyFill="1" applyBorder="1" applyAlignment="1">
      <alignment horizontal="center" vertical="center"/>
    </xf>
    <xf numFmtId="184" fontId="22" fillId="7" borderId="30" xfId="13" applyNumberFormat="1" applyFont="1" applyFill="1" applyBorder="1" applyAlignment="1">
      <alignment horizontal="center" vertical="center"/>
    </xf>
    <xf numFmtId="177" fontId="22" fillId="7" borderId="30" xfId="13" applyFont="1" applyFill="1" applyBorder="1" applyAlignment="1">
      <alignment horizontal="center" vertical="center"/>
    </xf>
    <xf numFmtId="185" fontId="12" fillId="7" borderId="30" xfId="13" applyNumberFormat="1" applyFont="1" applyFill="1" applyBorder="1" applyAlignment="1">
      <alignment horizontal="center" vertical="center"/>
    </xf>
    <xf numFmtId="182" fontId="12" fillId="7" borderId="30" xfId="13" applyNumberFormat="1" applyFont="1" applyFill="1" applyBorder="1" applyAlignment="1">
      <alignment horizontal="right" vertical="center" wrapText="1"/>
    </xf>
    <xf numFmtId="190" fontId="22" fillId="9" borderId="30" xfId="13" applyNumberFormat="1" applyFont="1" applyFill="1" applyBorder="1" applyAlignment="1">
      <alignment horizontal="center" vertical="center"/>
    </xf>
    <xf numFmtId="190" fontId="22" fillId="0" borderId="30" xfId="13" applyNumberFormat="1" applyFont="1" applyBorder="1" applyAlignment="1">
      <alignment horizontal="center" vertical="center" wrapText="1"/>
    </xf>
    <xf numFmtId="0" fontId="12" fillId="10" borderId="30" xfId="13" applyNumberFormat="1" applyFont="1" applyFill="1" applyBorder="1" applyAlignment="1">
      <alignment horizontal="center" vertical="center"/>
    </xf>
    <xf numFmtId="184" fontId="22" fillId="10" borderId="30" xfId="13" applyNumberFormat="1" applyFont="1" applyFill="1" applyBorder="1" applyAlignment="1">
      <alignment horizontal="center" vertical="center"/>
    </xf>
    <xf numFmtId="182" fontId="12" fillId="10" borderId="30" xfId="13" applyNumberFormat="1" applyFont="1" applyFill="1" applyBorder="1" applyAlignment="1">
      <alignment horizontal="center" vertical="center" wrapText="1"/>
    </xf>
    <xf numFmtId="189" fontId="12" fillId="10" borderId="30" xfId="13" applyNumberFormat="1" applyFont="1" applyFill="1" applyBorder="1" applyAlignment="1">
      <alignment horizontal="center" vertical="center" wrapText="1"/>
    </xf>
    <xf numFmtId="182" fontId="12" fillId="10" borderId="30" xfId="13" applyNumberFormat="1" applyFont="1" applyFill="1" applyBorder="1" applyAlignment="1">
      <alignment horizontal="right" vertical="center" wrapText="1"/>
    </xf>
    <xf numFmtId="177" fontId="22" fillId="10" borderId="30" xfId="13" applyFont="1" applyFill="1" applyBorder="1" applyAlignment="1">
      <alignment horizontal="center" vertical="center"/>
    </xf>
    <xf numFmtId="185" fontId="22" fillId="10" borderId="30" xfId="13" applyNumberFormat="1" applyFont="1" applyFill="1" applyBorder="1" applyAlignment="1">
      <alignment horizontal="center" vertical="center"/>
    </xf>
    <xf numFmtId="182" fontId="22" fillId="10" borderId="30" xfId="13" applyNumberFormat="1" applyFont="1" applyFill="1" applyBorder="1" applyAlignment="1">
      <alignment vertical="center" wrapText="1"/>
    </xf>
    <xf numFmtId="182" fontId="12" fillId="10" borderId="30" xfId="13" applyNumberFormat="1" applyFont="1" applyFill="1" applyBorder="1" applyAlignment="1">
      <alignment vertical="center" wrapText="1"/>
    </xf>
    <xf numFmtId="182" fontId="12" fillId="0" borderId="30" xfId="15" quotePrefix="1" applyNumberFormat="1" applyFont="1" applyBorder="1" applyAlignment="1">
      <alignment horizontal="center" vertical="center"/>
    </xf>
    <xf numFmtId="186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2" fontId="22" fillId="4" borderId="30" xfId="13" applyNumberFormat="1" applyFont="1" applyFill="1" applyBorder="1" applyAlignment="1">
      <alignment horizontal="right" vertical="center" wrapText="1"/>
    </xf>
    <xf numFmtId="182" fontId="22" fillId="0" borderId="30" xfId="13" applyNumberFormat="1" applyFont="1" applyBorder="1" applyAlignment="1">
      <alignment horizontal="right" vertical="center" wrapText="1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5" fillId="0" borderId="0" xfId="0" applyFont="1">
      <alignment vertical="center"/>
    </xf>
    <xf numFmtId="177" fontId="25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0" fontId="22" fillId="9" borderId="35" xfId="13" applyNumberFormat="1" applyFont="1" applyFill="1" applyBorder="1" applyAlignment="1">
      <alignment vertical="center"/>
    </xf>
    <xf numFmtId="0" fontId="22" fillId="9" borderId="34" xfId="13" applyNumberFormat="1" applyFont="1" applyFill="1" applyBorder="1" applyAlignment="1">
      <alignment vertical="center"/>
    </xf>
    <xf numFmtId="182" fontId="22" fillId="0" borderId="35" xfId="13" applyNumberFormat="1" applyFont="1" applyBorder="1" applyAlignment="1">
      <alignment horizontal="center" vertical="center" wrapText="1"/>
    </xf>
    <xf numFmtId="182" fontId="22" fillId="0" borderId="34" xfId="13" applyNumberFormat="1" applyFont="1" applyBorder="1" applyAlignment="1">
      <alignment horizontal="center" vertical="center" wrapText="1"/>
    </xf>
    <xf numFmtId="183" fontId="23" fillId="10" borderId="32" xfId="13" applyNumberFormat="1" applyFont="1" applyFill="1" applyBorder="1" applyAlignment="1">
      <alignment vertical="center"/>
    </xf>
    <xf numFmtId="183" fontId="26" fillId="10" borderId="33" xfId="13" applyNumberFormat="1" applyFont="1" applyFill="1" applyBorder="1" applyAlignment="1">
      <alignment vertical="center"/>
    </xf>
    <xf numFmtId="0" fontId="12" fillId="0" borderId="0" xfId="13" applyNumberFormat="1" applyFont="1" applyBorder="1" applyAlignment="1">
      <alignment horizontal="center" vertical="center"/>
    </xf>
    <xf numFmtId="0" fontId="12" fillId="0" borderId="0" xfId="13" applyNumberFormat="1" applyFont="1" applyBorder="1" applyAlignment="1">
      <alignment vertical="center"/>
    </xf>
    <xf numFmtId="0" fontId="22" fillId="0" borderId="31" xfId="13" applyNumberFormat="1" applyFont="1" applyBorder="1" applyAlignment="1">
      <alignment vertical="center"/>
    </xf>
    <xf numFmtId="0" fontId="22" fillId="0" borderId="35" xfId="13" applyNumberFormat="1" applyFont="1" applyBorder="1" applyAlignment="1">
      <alignment vertical="center"/>
    </xf>
    <xf numFmtId="182" fontId="22" fillId="0" borderId="31" xfId="13" applyNumberFormat="1" applyFont="1" applyBorder="1" applyAlignment="1">
      <alignment horizontal="center" vertical="center" wrapText="1"/>
    </xf>
    <xf numFmtId="0" fontId="21" fillId="0" borderId="29" xfId="15" applyFont="1" applyBorder="1" applyAlignment="1">
      <alignment horizontal="center" vertical="center"/>
    </xf>
    <xf numFmtId="0" fontId="12" fillId="0" borderId="30" xfId="15" quotePrefix="1" applyFont="1" applyBorder="1" applyAlignment="1">
      <alignment horizontal="center" vertical="center"/>
    </xf>
    <xf numFmtId="0" fontId="12" fillId="0" borderId="31" xfId="15" quotePrefix="1" applyFont="1" applyBorder="1" applyAlignment="1">
      <alignment horizontal="center" vertical="center"/>
    </xf>
    <xf numFmtId="0" fontId="12" fillId="0" borderId="34" xfId="15" quotePrefix="1" applyFont="1" applyBorder="1" applyAlignment="1">
      <alignment horizontal="center" vertical="center"/>
    </xf>
    <xf numFmtId="0" fontId="12" fillId="0" borderId="30" xfId="15" applyFont="1" applyBorder="1" applyAlignment="1">
      <alignment horizontal="center" vertical="center"/>
    </xf>
    <xf numFmtId="0" fontId="12" fillId="0" borderId="32" xfId="15" quotePrefix="1" applyFont="1" applyBorder="1" applyAlignment="1">
      <alignment horizontal="center" vertical="center"/>
    </xf>
    <xf numFmtId="0" fontId="12" fillId="0" borderId="33" xfId="15" quotePrefix="1" applyFont="1" applyBorder="1" applyAlignment="1">
      <alignment horizontal="center" vertical="center"/>
    </xf>
    <xf numFmtId="0" fontId="12" fillId="0" borderId="31" xfId="15" applyFont="1" applyBorder="1" applyAlignment="1">
      <alignment horizontal="center" vertical="center"/>
    </xf>
    <xf numFmtId="0" fontId="12" fillId="0" borderId="34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152400</xdr:rowOff>
    </xdr:from>
    <xdr:to>
      <xdr:col>13</xdr:col>
      <xdr:colOff>322782</xdr:colOff>
      <xdr:row>36</xdr:row>
      <xdr:rowOff>75418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84FBEA5-CEBF-43C9-B0EF-74DEF0C70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361950"/>
          <a:ext cx="8542857" cy="62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0" zoomScale="85" zoomScaleNormal="85" workbookViewId="0">
      <selection activeCell="A7" sqref="A7:C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43" t="s">
        <v>1</v>
      </c>
      <c r="B2" s="143"/>
      <c r="C2" s="143"/>
      <c r="D2" s="143"/>
      <c r="E2" s="143"/>
      <c r="F2" s="143"/>
      <c r="G2" s="143"/>
      <c r="H2" s="2"/>
    </row>
    <row r="3" spans="1:9" ht="14.25" x14ac:dyDescent="0.2">
      <c r="A3" s="114"/>
      <c r="B3" s="114"/>
      <c r="C3" s="114"/>
      <c r="D3" s="114"/>
      <c r="E3" s="114"/>
      <c r="F3" s="114"/>
      <c r="G3" s="114"/>
      <c r="H3" s="114"/>
    </row>
    <row r="4" spans="1:9" ht="14.25" x14ac:dyDescent="0.2">
      <c r="A4" s="114"/>
      <c r="B4" s="114"/>
      <c r="C4" s="114"/>
      <c r="D4" s="114"/>
      <c r="E4" s="114"/>
      <c r="H4" s="114"/>
    </row>
    <row r="5" spans="1:9" ht="27" customHeight="1" x14ac:dyDescent="0.2">
      <c r="A5" s="115" t="s">
        <v>43</v>
      </c>
      <c r="B5" s="4"/>
      <c r="C5" s="5"/>
      <c r="D5" s="114"/>
      <c r="E5" s="114"/>
      <c r="F5" s="6" t="s">
        <v>33</v>
      </c>
      <c r="G5" s="7" t="s">
        <v>47</v>
      </c>
      <c r="H5" s="114"/>
    </row>
    <row r="6" spans="1:9" ht="27" customHeight="1" x14ac:dyDescent="0.2">
      <c r="A6" s="114"/>
      <c r="B6" s="114"/>
      <c r="C6" s="114"/>
      <c r="D6" s="114"/>
      <c r="E6" s="114"/>
      <c r="F6" s="8" t="s">
        <v>36</v>
      </c>
      <c r="G6" s="9" t="s">
        <v>48</v>
      </c>
      <c r="H6" s="114"/>
    </row>
    <row r="7" spans="1:9" ht="27" customHeight="1" x14ac:dyDescent="0.2">
      <c r="A7" s="146" t="s">
        <v>128</v>
      </c>
      <c r="B7" s="147"/>
      <c r="C7" s="148"/>
      <c r="D7" s="114"/>
      <c r="E7" s="10"/>
      <c r="F7" s="11" t="s">
        <v>37</v>
      </c>
      <c r="G7" s="9" t="s">
        <v>49</v>
      </c>
      <c r="H7" s="114"/>
    </row>
    <row r="8" spans="1:9" ht="27" customHeight="1" x14ac:dyDescent="0.2">
      <c r="A8" s="114"/>
      <c r="B8" s="114"/>
      <c r="C8" s="114"/>
      <c r="D8" s="114"/>
      <c r="E8" s="114"/>
      <c r="F8" s="8" t="s">
        <v>38</v>
      </c>
      <c r="G8" s="9" t="s">
        <v>50</v>
      </c>
      <c r="H8" s="114"/>
    </row>
    <row r="9" spans="1:9" ht="27" customHeight="1" x14ac:dyDescent="0.2">
      <c r="A9" s="146" t="s">
        <v>129</v>
      </c>
      <c r="B9" s="147"/>
      <c r="C9" s="148"/>
      <c r="D9" s="114"/>
      <c r="E9" s="114"/>
      <c r="F9" s="8" t="s">
        <v>39</v>
      </c>
      <c r="G9" s="9" t="s">
        <v>51</v>
      </c>
      <c r="H9" s="114"/>
    </row>
    <row r="10" spans="1:9" ht="27" customHeight="1" x14ac:dyDescent="0.2">
      <c r="A10" s="114"/>
      <c r="B10" s="114"/>
      <c r="C10" s="114"/>
      <c r="D10" s="114"/>
      <c r="E10" s="114"/>
      <c r="F10" s="12" t="s">
        <v>34</v>
      </c>
      <c r="G10" s="13" t="s">
        <v>52</v>
      </c>
      <c r="H10" s="114"/>
      <c r="I10" s="114"/>
    </row>
    <row r="11" spans="1:9" ht="27" customHeight="1" x14ac:dyDescent="0.2">
      <c r="A11" s="144"/>
      <c r="B11" s="145"/>
      <c r="C11" s="145"/>
      <c r="D11" s="114"/>
      <c r="E11" s="14"/>
      <c r="F11" s="15" t="s">
        <v>35</v>
      </c>
      <c r="G11" s="16" t="s">
        <v>53</v>
      </c>
      <c r="H11" s="14"/>
    </row>
    <row r="12" spans="1:9" ht="18.75" thickBot="1" x14ac:dyDescent="0.25">
      <c r="A12" s="17" t="s">
        <v>2</v>
      </c>
      <c r="B12" s="17" t="str">
        <f>NUMBERSTRING(F31,1)</f>
        <v>삼백이십일만오천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 x14ac:dyDescent="0.25">
      <c r="A13" s="114"/>
      <c r="B13" s="114"/>
      <c r="C13" s="114"/>
      <c r="D13" s="114"/>
      <c r="E13" s="114"/>
      <c r="F13" s="114"/>
      <c r="G13" s="114"/>
      <c r="H13" s="19"/>
    </row>
    <row r="14" spans="1:9" ht="33" customHeight="1" thickBot="1" x14ac:dyDescent="0.25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 x14ac:dyDescent="0.2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13</v>
      </c>
      <c r="C16" s="31"/>
      <c r="D16" s="32"/>
      <c r="E16" s="32"/>
      <c r="F16" s="33">
        <f>'내역서(표준단가)'!O10</f>
        <v>654731.51600000006</v>
      </c>
      <c r="G16" s="34"/>
    </row>
    <row r="17" spans="1:7" ht="33" customHeight="1" x14ac:dyDescent="0.2">
      <c r="A17" s="29"/>
      <c r="B17" s="30" t="s">
        <v>14</v>
      </c>
      <c r="C17" s="31"/>
      <c r="D17" s="32"/>
      <c r="E17" s="32"/>
      <c r="F17" s="33">
        <f>'내역서(표준단가)'!Q10</f>
        <v>2081574.5691259999</v>
      </c>
      <c r="G17" s="35"/>
    </row>
    <row r="18" spans="1:7" ht="33" customHeight="1" x14ac:dyDescent="0.2">
      <c r="A18" s="29"/>
      <c r="B18" s="30" t="s">
        <v>15</v>
      </c>
      <c r="C18" s="31"/>
      <c r="D18" s="32"/>
      <c r="E18" s="32"/>
      <c r="F18" s="33">
        <f>'내역서(표준단가)'!S10+'내역서(표준단가)'!U10</f>
        <v>0</v>
      </c>
      <c r="G18" s="35"/>
    </row>
    <row r="19" spans="1:7" ht="33" customHeight="1" x14ac:dyDescent="0.2">
      <c r="A19" s="29"/>
      <c r="B19" s="36" t="s">
        <v>16</v>
      </c>
      <c r="C19" s="36"/>
      <c r="D19" s="37"/>
      <c r="E19" s="37"/>
      <c r="F19" s="38">
        <f>F16+F17+F18</f>
        <v>2736306.085126</v>
      </c>
      <c r="G19" s="35"/>
    </row>
    <row r="20" spans="1:7" ht="33" customHeight="1" x14ac:dyDescent="0.2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93670.855610669998</v>
      </c>
      <c r="G21" s="35" t="s">
        <v>21</v>
      </c>
    </row>
    <row r="22" spans="1:7" ht="33" customHeight="1" x14ac:dyDescent="0.2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73791.818475516702</v>
      </c>
      <c r="G22" s="48" t="s">
        <v>23</v>
      </c>
    </row>
    <row r="23" spans="1:7" ht="33" customHeight="1" x14ac:dyDescent="0.2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9556.0404925794137</v>
      </c>
      <c r="G23" s="35" t="s">
        <v>23</v>
      </c>
    </row>
    <row r="24" spans="1:7" ht="33" customHeight="1" x14ac:dyDescent="0.2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21023.903148172598</v>
      </c>
      <c r="G24" s="35" t="s">
        <v>23</v>
      </c>
    </row>
    <row r="25" spans="1:7" ht="33" customHeight="1" x14ac:dyDescent="0.2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74104.054660885595</v>
      </c>
      <c r="G25" s="35" t="s">
        <v>23</v>
      </c>
    </row>
    <row r="26" spans="1:7" ht="33" customHeight="1" x14ac:dyDescent="0.2">
      <c r="A26" s="29"/>
      <c r="B26" s="42" t="s">
        <v>27</v>
      </c>
      <c r="C26" s="49" t="s">
        <v>109</v>
      </c>
      <c r="D26" s="30">
        <v>1</v>
      </c>
      <c r="E26" s="30" t="s">
        <v>20</v>
      </c>
      <c r="F26" s="43">
        <f>(F16+F17)*3.11%</f>
        <v>85099.119247418595</v>
      </c>
      <c r="G26" s="35" t="s">
        <v>21</v>
      </c>
    </row>
    <row r="27" spans="1:7" ht="33" customHeight="1" x14ac:dyDescent="0.2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121941.0180380621</v>
      </c>
      <c r="G27" s="35"/>
    </row>
    <row r="28" spans="1:7" ht="33" customHeight="1" x14ac:dyDescent="0.2">
      <c r="A28" s="29"/>
      <c r="B28" s="36" t="s">
        <v>28</v>
      </c>
      <c r="C28" s="50"/>
      <c r="D28" s="51"/>
      <c r="E28" s="37"/>
      <c r="F28" s="52">
        <f>F21+F22+F23+F24+F25+F26+F27</f>
        <v>479186.80967330496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3215492.8947993051</v>
      </c>
      <c r="G30" s="35"/>
    </row>
    <row r="31" spans="1:7" ht="33" customHeight="1" x14ac:dyDescent="0.2">
      <c r="A31" s="29"/>
      <c r="B31" s="36" t="s">
        <v>29</v>
      </c>
      <c r="C31" s="36"/>
      <c r="D31" s="37"/>
      <c r="E31" s="37"/>
      <c r="F31" s="58">
        <f>ROUNDDOWN(F30,-3)</f>
        <v>3215000</v>
      </c>
      <c r="G31" s="35"/>
    </row>
    <row r="32" spans="1:7" ht="33" customHeight="1" thickBot="1" x14ac:dyDescent="0.25">
      <c r="A32" s="59"/>
      <c r="B32" s="60" t="s">
        <v>30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0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22.625" style="141" bestFit="1" customWidth="1"/>
    <col min="2" max="5" width="4.625" style="141" hidden="1" customWidth="1"/>
    <col min="6" max="6" width="9" style="130" hidden="1" customWidth="1"/>
    <col min="7" max="9" width="12.625" style="130" hidden="1" customWidth="1"/>
    <col min="10" max="11" width="30.625" style="125" customWidth="1"/>
    <col min="12" max="12" width="6.25" style="130" bestFit="1" customWidth="1"/>
    <col min="13" max="13" width="8.25" style="130" customWidth="1"/>
    <col min="14" max="14" width="10.625" style="130" bestFit="1" customWidth="1"/>
    <col min="15" max="15" width="13.25" style="130" bestFit="1" customWidth="1"/>
    <col min="16" max="16" width="12" style="130" bestFit="1" customWidth="1"/>
    <col min="17" max="17" width="15.625" style="130" bestFit="1" customWidth="1"/>
    <col min="18" max="18" width="9" style="130" customWidth="1"/>
    <col min="19" max="19" width="8.75" style="130" bestFit="1" customWidth="1"/>
    <col min="20" max="20" width="10.5" style="130" customWidth="1"/>
    <col min="21" max="21" width="8.75" style="130" bestFit="1" customWidth="1"/>
    <col min="22" max="22" width="15.625" style="130" bestFit="1" customWidth="1"/>
    <col min="23" max="23" width="10.625" style="65" bestFit="1" customWidth="1"/>
    <col min="24" max="24" width="8.5" style="130" bestFit="1" customWidth="1"/>
    <col min="25" max="16384" width="9" style="130"/>
  </cols>
  <sheetData>
    <row r="1" spans="1:24" ht="19.899999999999999" customHeight="1" x14ac:dyDescent="0.3">
      <c r="A1" s="149"/>
      <c r="B1" s="149"/>
      <c r="C1" s="149"/>
      <c r="D1" s="149"/>
      <c r="E1" s="149"/>
      <c r="F1" s="149"/>
      <c r="G1" s="149"/>
      <c r="H1" s="149"/>
      <c r="I1" s="149"/>
      <c r="N1" s="65"/>
      <c r="O1" s="128" t="s">
        <v>81</v>
      </c>
      <c r="Q1" s="128" t="s">
        <v>81</v>
      </c>
      <c r="S1" s="128" t="s">
        <v>81</v>
      </c>
      <c r="U1" s="128" t="s">
        <v>81</v>
      </c>
    </row>
    <row r="2" spans="1:24" ht="19.899999999999999" customHeight="1" thickBot="1" x14ac:dyDescent="0.35">
      <c r="A2" s="149"/>
      <c r="B2" s="149"/>
      <c r="C2" s="149"/>
      <c r="D2" s="149"/>
      <c r="E2" s="149"/>
      <c r="F2" s="149"/>
      <c r="G2" s="149"/>
      <c r="H2" s="149"/>
      <c r="I2" s="149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 x14ac:dyDescent="0.3">
      <c r="A3" s="131"/>
      <c r="B3" s="132"/>
      <c r="C3" s="132"/>
      <c r="D3" s="132"/>
      <c r="E3" s="132"/>
      <c r="F3" s="132" t="s">
        <v>82</v>
      </c>
      <c r="G3" s="132"/>
      <c r="H3" s="132"/>
      <c r="I3" s="132"/>
      <c r="J3" s="160" t="s">
        <v>83</v>
      </c>
      <c r="K3" s="160"/>
      <c r="L3" s="158" t="s">
        <v>42</v>
      </c>
      <c r="M3" s="158" t="s">
        <v>0</v>
      </c>
      <c r="N3" s="154" t="s">
        <v>84</v>
      </c>
      <c r="O3" s="154"/>
      <c r="P3" s="154" t="s">
        <v>85</v>
      </c>
      <c r="Q3" s="154"/>
      <c r="R3" s="155" t="s">
        <v>86</v>
      </c>
      <c r="S3" s="155"/>
      <c r="T3" s="155" t="s">
        <v>87</v>
      </c>
      <c r="U3" s="155"/>
      <c r="V3" s="156" t="s">
        <v>88</v>
      </c>
      <c r="W3" s="152" t="s">
        <v>89</v>
      </c>
      <c r="X3" s="150" t="s">
        <v>40</v>
      </c>
    </row>
    <row r="4" spans="1:24" ht="19.899999999999999" customHeight="1" x14ac:dyDescent="0.3">
      <c r="A4" s="68" t="s">
        <v>90</v>
      </c>
      <c r="B4" s="129"/>
      <c r="C4" s="129"/>
      <c r="D4" s="129"/>
      <c r="E4" s="129"/>
      <c r="F4" s="69" t="s">
        <v>91</v>
      </c>
      <c r="G4" s="69" t="s">
        <v>92</v>
      </c>
      <c r="H4" s="69" t="s">
        <v>93</v>
      </c>
      <c r="I4" s="69" t="s">
        <v>94</v>
      </c>
      <c r="J4" s="126" t="s">
        <v>95</v>
      </c>
      <c r="K4" s="126" t="s">
        <v>96</v>
      </c>
      <c r="L4" s="159"/>
      <c r="M4" s="159"/>
      <c r="N4" s="70" t="s">
        <v>97</v>
      </c>
      <c r="O4" s="71" t="s">
        <v>98</v>
      </c>
      <c r="P4" s="70" t="s">
        <v>99</v>
      </c>
      <c r="Q4" s="71" t="s">
        <v>98</v>
      </c>
      <c r="R4" s="71" t="s">
        <v>100</v>
      </c>
      <c r="S4" s="71" t="s">
        <v>98</v>
      </c>
      <c r="T4" s="71" t="s">
        <v>100</v>
      </c>
      <c r="U4" s="71" t="s">
        <v>98</v>
      </c>
      <c r="V4" s="157"/>
      <c r="W4" s="153"/>
      <c r="X4" s="151"/>
    </row>
    <row r="5" spans="1:24" s="133" customFormat="1" ht="38.1" customHeight="1" x14ac:dyDescent="0.3">
      <c r="A5" s="72" t="str">
        <f t="shared" ref="A5" si="0">F5&amp;G5&amp;H5&amp;I5</f>
        <v>M020853710050101</v>
      </c>
      <c r="B5" s="82"/>
      <c r="C5" s="82"/>
      <c r="D5" s="82"/>
      <c r="E5" s="82"/>
      <c r="F5" s="81"/>
      <c r="G5" s="73"/>
      <c r="H5" s="73" t="s">
        <v>110</v>
      </c>
      <c r="I5" s="81"/>
      <c r="J5" s="124" t="s">
        <v>111</v>
      </c>
      <c r="K5" s="124" t="s">
        <v>124</v>
      </c>
      <c r="L5" s="111" t="s">
        <v>123</v>
      </c>
      <c r="M5" s="123">
        <v>11.144</v>
      </c>
      <c r="N5" s="142">
        <v>20900</v>
      </c>
      <c r="O5" s="119">
        <f t="shared" ref="O5" si="1">SUM(N5:N5)*M5*$O$2</f>
        <v>194479.516</v>
      </c>
      <c r="P5" s="118"/>
      <c r="Q5" s="119">
        <f t="shared" ref="Q5" si="2">(P5*M5)*$Q$2</f>
        <v>0</v>
      </c>
      <c r="R5" s="120"/>
      <c r="S5" s="119">
        <f t="shared" ref="S5" si="3">R5*M5*$S$2</f>
        <v>0</v>
      </c>
      <c r="T5" s="120"/>
      <c r="U5" s="119">
        <f t="shared" ref="U5" si="4">T5*M5*$U$2</f>
        <v>0</v>
      </c>
      <c r="V5" s="76">
        <f t="shared" ref="V5" si="5">SUM(O5+Q5)+S5+U5</f>
        <v>194479.516</v>
      </c>
      <c r="W5" s="110"/>
      <c r="X5" s="77"/>
    </row>
    <row r="6" spans="1:24" s="133" customFormat="1" ht="38.1" customHeight="1" x14ac:dyDescent="0.3">
      <c r="A6" s="72" t="str">
        <f t="shared" ref="A6" si="6">F6&amp;G6&amp;H6&amp;I6</f>
        <v>E00000803071260301</v>
      </c>
      <c r="B6" s="82"/>
      <c r="C6" s="82"/>
      <c r="D6" s="82"/>
      <c r="E6" s="82"/>
      <c r="F6" s="81"/>
      <c r="G6" s="73" t="s">
        <v>101</v>
      </c>
      <c r="H6" s="73"/>
      <c r="I6" s="81"/>
      <c r="J6" s="124" t="s">
        <v>103</v>
      </c>
      <c r="K6" s="124" t="s">
        <v>125</v>
      </c>
      <c r="L6" s="74" t="s">
        <v>102</v>
      </c>
      <c r="M6" s="123">
        <v>2.6520000000000001</v>
      </c>
      <c r="N6" s="121"/>
      <c r="O6" s="119">
        <f t="shared" ref="O6" si="7">SUM(N6:N6)*M6*$O$2</f>
        <v>0</v>
      </c>
      <c r="P6" s="118">
        <v>487076</v>
      </c>
      <c r="Q6" s="119">
        <f t="shared" ref="Q6" si="8">(P6*M6)*$Q$2</f>
        <v>1078590.83592</v>
      </c>
      <c r="R6" s="120"/>
      <c r="S6" s="119">
        <f t="shared" ref="S6" si="9">R6*M6*$S$2</f>
        <v>0</v>
      </c>
      <c r="T6" s="120"/>
      <c r="U6" s="119">
        <f t="shared" ref="U6" si="10">T6*M6*$U$2</f>
        <v>0</v>
      </c>
      <c r="V6" s="76">
        <f t="shared" ref="V6" si="11">SUM(O6+Q6)+S6+U6</f>
        <v>1078590.83592</v>
      </c>
      <c r="W6" s="110"/>
      <c r="X6" s="77"/>
    </row>
    <row r="7" spans="1:24" s="133" customFormat="1" ht="38.1" customHeight="1" x14ac:dyDescent="0.3">
      <c r="A7" s="72" t="str">
        <f t="shared" ref="A7:A8" si="12">F7&amp;G7&amp;H7&amp;I7</f>
        <v>E00000803071260301</v>
      </c>
      <c r="B7" s="82"/>
      <c r="C7" s="82"/>
      <c r="D7" s="82"/>
      <c r="E7" s="82"/>
      <c r="F7" s="81"/>
      <c r="G7" s="73" t="s">
        <v>101</v>
      </c>
      <c r="H7" s="73"/>
      <c r="I7" s="81"/>
      <c r="J7" s="124" t="s">
        <v>104</v>
      </c>
      <c r="K7" s="124" t="s">
        <v>126</v>
      </c>
      <c r="L7" s="74" t="s">
        <v>102</v>
      </c>
      <c r="M7" s="123">
        <v>1.7709999999999999</v>
      </c>
      <c r="N7" s="121"/>
      <c r="O7" s="119">
        <f t="shared" ref="O7:O9" si="13">SUM(N7:N7)*M7*$O$2</f>
        <v>0</v>
      </c>
      <c r="P7" s="118">
        <v>487076</v>
      </c>
      <c r="Q7" s="119">
        <f t="shared" ref="Q7:Q9" si="14">(P7*M7)*$Q$2</f>
        <v>720280.68265999993</v>
      </c>
      <c r="R7" s="120"/>
      <c r="S7" s="119">
        <f t="shared" ref="S7:S9" si="15">R7*M7*$S$2</f>
        <v>0</v>
      </c>
      <c r="T7" s="120"/>
      <c r="U7" s="119">
        <f t="shared" ref="U7:U9" si="16">T7*M7*$U$2</f>
        <v>0</v>
      </c>
      <c r="V7" s="76">
        <f t="shared" ref="V7:V9" si="17">SUM(O7+Q7)+S7+U7</f>
        <v>720280.68265999993</v>
      </c>
      <c r="W7" s="110"/>
      <c r="X7" s="77"/>
    </row>
    <row r="8" spans="1:24" s="133" customFormat="1" ht="38.1" customHeight="1" x14ac:dyDescent="0.3">
      <c r="A8" s="72" t="str">
        <f t="shared" si="12"/>
        <v>M020809012520101</v>
      </c>
      <c r="B8" s="82"/>
      <c r="C8" s="82"/>
      <c r="D8" s="82"/>
      <c r="E8" s="82"/>
      <c r="F8" s="81"/>
      <c r="G8" s="73"/>
      <c r="H8" s="73" t="s">
        <v>113</v>
      </c>
      <c r="I8" s="81"/>
      <c r="J8" s="124" t="s">
        <v>114</v>
      </c>
      <c r="K8" s="124" t="s">
        <v>115</v>
      </c>
      <c r="L8" s="111" t="s">
        <v>112</v>
      </c>
      <c r="M8" s="123">
        <v>42.4</v>
      </c>
      <c r="N8" s="122">
        <v>13000</v>
      </c>
      <c r="O8" s="119">
        <f t="shared" si="13"/>
        <v>460252</v>
      </c>
      <c r="P8" s="118"/>
      <c r="Q8" s="119">
        <f t="shared" si="14"/>
        <v>0</v>
      </c>
      <c r="R8" s="120"/>
      <c r="S8" s="119">
        <f t="shared" si="15"/>
        <v>0</v>
      </c>
      <c r="T8" s="120"/>
      <c r="U8" s="119">
        <f t="shared" si="16"/>
        <v>0</v>
      </c>
      <c r="V8" s="76">
        <f t="shared" si="17"/>
        <v>460252</v>
      </c>
      <c r="W8" s="110"/>
      <c r="X8" s="77"/>
    </row>
    <row r="9" spans="1:24" s="133" customFormat="1" ht="38.1" customHeight="1" x14ac:dyDescent="0.3">
      <c r="A9" s="72" t="str">
        <f t="shared" ref="A9" si="18">F9&amp;G9&amp;H9&amp;I9</f>
        <v>E00000803071260401</v>
      </c>
      <c r="B9" s="82"/>
      <c r="C9" s="82"/>
      <c r="D9" s="82"/>
      <c r="E9" s="82"/>
      <c r="F9" s="81"/>
      <c r="G9" s="73" t="s">
        <v>105</v>
      </c>
      <c r="H9" s="73"/>
      <c r="I9" s="81"/>
      <c r="J9" s="124" t="s">
        <v>106</v>
      </c>
      <c r="K9" s="124" t="s">
        <v>127</v>
      </c>
      <c r="L9" s="74" t="s">
        <v>102</v>
      </c>
      <c r="M9" s="123">
        <v>0.69510000000000005</v>
      </c>
      <c r="N9" s="134"/>
      <c r="O9" s="75">
        <f t="shared" si="13"/>
        <v>0</v>
      </c>
      <c r="P9" s="117">
        <v>487076</v>
      </c>
      <c r="Q9" s="75">
        <f t="shared" si="14"/>
        <v>282703.05054600001</v>
      </c>
      <c r="R9" s="76"/>
      <c r="S9" s="75">
        <f t="shared" si="15"/>
        <v>0</v>
      </c>
      <c r="T9" s="76"/>
      <c r="U9" s="75">
        <f t="shared" si="16"/>
        <v>0</v>
      </c>
      <c r="V9" s="76">
        <f t="shared" si="17"/>
        <v>282703.05054600001</v>
      </c>
      <c r="W9" s="110"/>
      <c r="X9" s="77"/>
    </row>
    <row r="10" spans="1:24" s="140" customFormat="1" ht="38.1" customHeight="1" x14ac:dyDescent="0.3">
      <c r="A10" s="135"/>
      <c r="B10" s="136"/>
      <c r="C10" s="136"/>
      <c r="D10" s="136"/>
      <c r="E10" s="136"/>
      <c r="F10" s="136"/>
      <c r="G10" s="136"/>
      <c r="H10" s="136"/>
      <c r="I10" s="136"/>
      <c r="J10" s="127"/>
      <c r="K10" s="127"/>
      <c r="L10" s="136"/>
      <c r="M10" s="136"/>
      <c r="N10" s="136"/>
      <c r="O10" s="137">
        <f>SUM(O5:O9)</f>
        <v>654731.51600000006</v>
      </c>
      <c r="P10" s="138"/>
      <c r="Q10" s="137">
        <f>SUM(Q5:Q9)</f>
        <v>2081574.5691259999</v>
      </c>
      <c r="R10" s="138"/>
      <c r="S10" s="137">
        <f>SUM(S5:S9)</f>
        <v>0</v>
      </c>
      <c r="T10" s="138"/>
      <c r="U10" s="137">
        <f>SUM(U5:U9)</f>
        <v>0</v>
      </c>
      <c r="V10" s="139">
        <f>SUM(V5:V9)</f>
        <v>2736306.0851259995</v>
      </c>
      <c r="W10" s="83"/>
      <c r="X10" s="13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5"/>
  <sheetViews>
    <sheetView zoomScaleNormal="100" workbookViewId="0">
      <selection activeCell="D14" sqref="D14"/>
    </sheetView>
  </sheetViews>
  <sheetFormatPr defaultColWidth="9" defaultRowHeight="14.25" x14ac:dyDescent="0.3"/>
  <cols>
    <col min="1" max="1" width="22.625" style="80" customWidth="1"/>
    <col min="2" max="2" width="27.625" style="80" customWidth="1"/>
    <col min="3" max="3" width="5.75" style="80" customWidth="1"/>
    <col min="4" max="4" width="7.875" style="80" bestFit="1" customWidth="1"/>
    <col min="5" max="8" width="20.625" style="80" customWidth="1"/>
    <col min="9" max="12" width="20.625" style="80" hidden="1" customWidth="1"/>
    <col min="13" max="14" width="20.625" style="80" customWidth="1"/>
    <col min="15" max="15" width="32.75" style="80" customWidth="1"/>
    <col min="16" max="16384" width="9" style="78"/>
  </cols>
  <sheetData>
    <row r="1" spans="1:15" ht="45.75" customHeight="1" x14ac:dyDescent="0.3">
      <c r="A1" s="172" t="s">
        <v>54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</row>
    <row r="2" spans="1:15" ht="26.1" customHeight="1" x14ac:dyDescent="0.3">
      <c r="A2" s="173" t="s">
        <v>55</v>
      </c>
      <c r="B2" s="173" t="s">
        <v>56</v>
      </c>
      <c r="C2" s="174" t="s">
        <v>42</v>
      </c>
      <c r="D2" s="174" t="s">
        <v>8</v>
      </c>
      <c r="E2" s="176" t="s">
        <v>57</v>
      </c>
      <c r="F2" s="173"/>
      <c r="G2" s="173" t="s">
        <v>58</v>
      </c>
      <c r="H2" s="173"/>
      <c r="I2" s="177" t="s">
        <v>59</v>
      </c>
      <c r="J2" s="178"/>
      <c r="K2" s="177" t="s">
        <v>60</v>
      </c>
      <c r="L2" s="178"/>
      <c r="M2" s="176" t="s">
        <v>61</v>
      </c>
      <c r="N2" s="173"/>
      <c r="O2" s="179" t="s">
        <v>62</v>
      </c>
    </row>
    <row r="3" spans="1:15" ht="26.1" customHeight="1" x14ac:dyDescent="0.3">
      <c r="A3" s="173"/>
      <c r="B3" s="173"/>
      <c r="C3" s="175"/>
      <c r="D3" s="175"/>
      <c r="E3" s="116" t="s">
        <v>63</v>
      </c>
      <c r="F3" s="116" t="s">
        <v>64</v>
      </c>
      <c r="G3" s="109" t="s">
        <v>63</v>
      </c>
      <c r="H3" s="116" t="s">
        <v>65</v>
      </c>
      <c r="I3" s="116"/>
      <c r="J3" s="116"/>
      <c r="K3" s="109" t="s">
        <v>63</v>
      </c>
      <c r="L3" s="116" t="s">
        <v>65</v>
      </c>
      <c r="M3" s="109" t="s">
        <v>63</v>
      </c>
      <c r="N3" s="116" t="s">
        <v>65</v>
      </c>
      <c r="O3" s="180"/>
    </row>
    <row r="4" spans="1:15" ht="26.1" customHeight="1" x14ac:dyDescent="0.3">
      <c r="A4" s="165" t="s">
        <v>130</v>
      </c>
      <c r="B4" s="166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</row>
    <row r="5" spans="1:15" ht="26.1" customHeight="1" x14ac:dyDescent="0.3">
      <c r="A5" s="169" t="s">
        <v>66</v>
      </c>
      <c r="B5" s="90" t="s">
        <v>67</v>
      </c>
      <c r="C5" s="91" t="s">
        <v>68</v>
      </c>
      <c r="D5" s="92">
        <v>40</v>
      </c>
      <c r="E5" s="112">
        <v>1057</v>
      </c>
      <c r="F5" s="112">
        <f t="shared" ref="F5:F12" si="0">D5*E5</f>
        <v>42280</v>
      </c>
      <c r="G5" s="112">
        <v>8839.9</v>
      </c>
      <c r="H5" s="112">
        <f t="shared" ref="H5:H12" si="1">D5*G5</f>
        <v>353596</v>
      </c>
      <c r="I5" s="112"/>
      <c r="J5" s="112"/>
      <c r="K5" s="112"/>
      <c r="L5" s="112"/>
      <c r="M5" s="112"/>
      <c r="N5" s="112">
        <f>F5+H5+J5+L5</f>
        <v>395876</v>
      </c>
      <c r="O5" s="171"/>
    </row>
    <row r="6" spans="1:15" ht="26.1" customHeight="1" x14ac:dyDescent="0.3">
      <c r="A6" s="170"/>
      <c r="B6" s="90" t="s">
        <v>69</v>
      </c>
      <c r="C6" s="91" t="s">
        <v>68</v>
      </c>
      <c r="D6" s="92">
        <v>24</v>
      </c>
      <c r="E6" s="112">
        <v>1057</v>
      </c>
      <c r="F6" s="112">
        <f t="shared" si="0"/>
        <v>25368</v>
      </c>
      <c r="G6" s="112">
        <v>11617.4</v>
      </c>
      <c r="H6" s="112">
        <f t="shared" si="1"/>
        <v>278817.59999999998</v>
      </c>
      <c r="I6" s="112"/>
      <c r="J6" s="112"/>
      <c r="K6" s="112"/>
      <c r="L6" s="112"/>
      <c r="M6" s="112"/>
      <c r="N6" s="112">
        <f t="shared" ref="N6:N12" si="2">F6+H6+J6+L6</f>
        <v>304185.59999999998</v>
      </c>
      <c r="O6" s="163"/>
    </row>
    <row r="7" spans="1:15" ht="26.1" customHeight="1" x14ac:dyDescent="0.3">
      <c r="A7" s="170"/>
      <c r="B7" s="90" t="s">
        <v>70</v>
      </c>
      <c r="C7" s="91" t="s">
        <v>68</v>
      </c>
      <c r="D7" s="92">
        <v>32</v>
      </c>
      <c r="E7" s="112">
        <v>1057</v>
      </c>
      <c r="F7" s="112">
        <f t="shared" si="0"/>
        <v>33824</v>
      </c>
      <c r="G7" s="112">
        <v>8839.9</v>
      </c>
      <c r="H7" s="112">
        <f t="shared" si="1"/>
        <v>282876.79999999999</v>
      </c>
      <c r="I7" s="112"/>
      <c r="J7" s="112"/>
      <c r="K7" s="112"/>
      <c r="L7" s="112"/>
      <c r="M7" s="112"/>
      <c r="N7" s="112">
        <f t="shared" si="2"/>
        <v>316700.79999999999</v>
      </c>
      <c r="O7" s="163"/>
    </row>
    <row r="8" spans="1:15" ht="26.1" customHeight="1" x14ac:dyDescent="0.3">
      <c r="A8" s="170"/>
      <c r="B8" s="90" t="s">
        <v>71</v>
      </c>
      <c r="C8" s="91" t="s">
        <v>68</v>
      </c>
      <c r="D8" s="92">
        <v>16</v>
      </c>
      <c r="E8" s="112">
        <v>1057</v>
      </c>
      <c r="F8" s="112">
        <f t="shared" si="0"/>
        <v>16912</v>
      </c>
      <c r="G8" s="112">
        <v>11617.4</v>
      </c>
      <c r="H8" s="112">
        <f t="shared" si="1"/>
        <v>185878.39999999999</v>
      </c>
      <c r="I8" s="112"/>
      <c r="J8" s="112"/>
      <c r="K8" s="112"/>
      <c r="L8" s="112"/>
      <c r="M8" s="112"/>
      <c r="N8" s="112">
        <f t="shared" si="2"/>
        <v>202790.39999999999</v>
      </c>
      <c r="O8" s="163"/>
    </row>
    <row r="9" spans="1:15" ht="26.1" customHeight="1" x14ac:dyDescent="0.3">
      <c r="A9" s="170"/>
      <c r="B9" s="90" t="s">
        <v>72</v>
      </c>
      <c r="C9" s="91" t="s">
        <v>68</v>
      </c>
      <c r="D9" s="92">
        <v>25</v>
      </c>
      <c r="E9" s="112">
        <v>1057</v>
      </c>
      <c r="F9" s="112">
        <f t="shared" si="0"/>
        <v>26425</v>
      </c>
      <c r="G9" s="112">
        <v>8839.9</v>
      </c>
      <c r="H9" s="112">
        <f t="shared" si="1"/>
        <v>220997.5</v>
      </c>
      <c r="I9" s="112"/>
      <c r="J9" s="112"/>
      <c r="K9" s="112"/>
      <c r="L9" s="112"/>
      <c r="M9" s="112"/>
      <c r="N9" s="112">
        <f t="shared" si="2"/>
        <v>247422.5</v>
      </c>
      <c r="O9" s="163"/>
    </row>
    <row r="10" spans="1:15" ht="26.1" customHeight="1" x14ac:dyDescent="0.3">
      <c r="A10" s="170"/>
      <c r="B10" s="90" t="s">
        <v>73</v>
      </c>
      <c r="C10" s="91" t="s">
        <v>68</v>
      </c>
      <c r="D10" s="92">
        <v>11</v>
      </c>
      <c r="E10" s="112">
        <v>1057</v>
      </c>
      <c r="F10" s="112">
        <f t="shared" si="0"/>
        <v>11627</v>
      </c>
      <c r="G10" s="112">
        <v>11617.4</v>
      </c>
      <c r="H10" s="112">
        <f t="shared" si="1"/>
        <v>127791.4</v>
      </c>
      <c r="I10" s="112"/>
      <c r="J10" s="112"/>
      <c r="K10" s="112"/>
      <c r="L10" s="112"/>
      <c r="M10" s="112"/>
      <c r="N10" s="112">
        <f t="shared" si="2"/>
        <v>139418.4</v>
      </c>
      <c r="O10" s="163"/>
    </row>
    <row r="11" spans="1:15" ht="26.1" customHeight="1" x14ac:dyDescent="0.3">
      <c r="A11" s="170"/>
      <c r="B11" s="90" t="s">
        <v>74</v>
      </c>
      <c r="C11" s="91" t="s">
        <v>68</v>
      </c>
      <c r="D11" s="92">
        <v>25</v>
      </c>
      <c r="E11" s="112">
        <v>1057</v>
      </c>
      <c r="F11" s="112">
        <f t="shared" si="0"/>
        <v>26425</v>
      </c>
      <c r="G11" s="112">
        <v>8839.9</v>
      </c>
      <c r="H11" s="112">
        <f t="shared" si="1"/>
        <v>220997.5</v>
      </c>
      <c r="I11" s="112"/>
      <c r="J11" s="112"/>
      <c r="K11" s="112"/>
      <c r="L11" s="112"/>
      <c r="M11" s="112"/>
      <c r="N11" s="112">
        <f t="shared" si="2"/>
        <v>247422.5</v>
      </c>
      <c r="O11" s="163"/>
    </row>
    <row r="12" spans="1:15" ht="26.1" customHeight="1" x14ac:dyDescent="0.3">
      <c r="A12" s="170"/>
      <c r="B12" s="90" t="s">
        <v>75</v>
      </c>
      <c r="C12" s="91" t="s">
        <v>68</v>
      </c>
      <c r="D12" s="92">
        <v>11</v>
      </c>
      <c r="E12" s="112">
        <v>1057</v>
      </c>
      <c r="F12" s="112">
        <f t="shared" si="0"/>
        <v>11627</v>
      </c>
      <c r="G12" s="112">
        <v>11617.4</v>
      </c>
      <c r="H12" s="112">
        <f t="shared" si="1"/>
        <v>127791.4</v>
      </c>
      <c r="I12" s="112"/>
      <c r="J12" s="112"/>
      <c r="K12" s="112"/>
      <c r="L12" s="112"/>
      <c r="M12" s="112"/>
      <c r="N12" s="112">
        <f t="shared" si="2"/>
        <v>139418.4</v>
      </c>
      <c r="O12" s="163"/>
    </row>
    <row r="13" spans="1:15" ht="26.1" customHeight="1" x14ac:dyDescent="0.3">
      <c r="A13" s="93" t="s">
        <v>76</v>
      </c>
      <c r="B13" s="94"/>
      <c r="C13" s="95"/>
      <c r="D13" s="96">
        <v>198</v>
      </c>
      <c r="E13" s="97"/>
      <c r="F13" s="97">
        <f>SUM(F5:F12)</f>
        <v>194488</v>
      </c>
      <c r="G13" s="97"/>
      <c r="H13" s="97">
        <f>SUM(H5:H12)</f>
        <v>1798746.5999999996</v>
      </c>
      <c r="I13" s="97"/>
      <c r="J13" s="97">
        <f>SUM(J5:J12)</f>
        <v>0</v>
      </c>
      <c r="K13" s="97"/>
      <c r="L13" s="97">
        <f>SUM(L5:L12)</f>
        <v>0</v>
      </c>
      <c r="M13" s="97"/>
      <c r="N13" s="97">
        <f>SUM(N5:N12)</f>
        <v>1993234.5999999996</v>
      </c>
      <c r="O13" s="97"/>
    </row>
    <row r="14" spans="1:15" ht="26.1" customHeight="1" x14ac:dyDescent="0.3">
      <c r="A14" s="161" t="s">
        <v>108</v>
      </c>
      <c r="B14" s="90" t="s">
        <v>77</v>
      </c>
      <c r="C14" s="91" t="s">
        <v>68</v>
      </c>
      <c r="D14" s="98">
        <v>22.2</v>
      </c>
      <c r="E14" s="112">
        <v>10855</v>
      </c>
      <c r="F14" s="113">
        <f>D14*E14</f>
        <v>240981</v>
      </c>
      <c r="G14" s="112">
        <v>6668.1</v>
      </c>
      <c r="H14" s="113">
        <f>D14*G14</f>
        <v>148031.82</v>
      </c>
      <c r="I14" s="113"/>
      <c r="J14" s="113"/>
      <c r="K14" s="112"/>
      <c r="L14" s="113"/>
      <c r="M14" s="112"/>
      <c r="N14" s="113">
        <f t="shared" ref="N14:N17" si="3">F14+H14+J14+L14</f>
        <v>389012.82</v>
      </c>
      <c r="O14" s="163"/>
    </row>
    <row r="15" spans="1:15" ht="26.1" customHeight="1" x14ac:dyDescent="0.3">
      <c r="A15" s="161"/>
      <c r="B15" s="90" t="s">
        <v>78</v>
      </c>
      <c r="C15" s="91" t="s">
        <v>68</v>
      </c>
      <c r="D15" s="99">
        <v>10.4</v>
      </c>
      <c r="E15" s="112">
        <v>10855</v>
      </c>
      <c r="F15" s="113">
        <f>D15*E15</f>
        <v>112892</v>
      </c>
      <c r="G15" s="112">
        <v>6668.1</v>
      </c>
      <c r="H15" s="113">
        <f>D15*G15</f>
        <v>69348.240000000005</v>
      </c>
      <c r="I15" s="113"/>
      <c r="J15" s="113"/>
      <c r="K15" s="112"/>
      <c r="L15" s="113"/>
      <c r="M15" s="112"/>
      <c r="N15" s="113">
        <f t="shared" si="3"/>
        <v>182240.24</v>
      </c>
      <c r="O15" s="163"/>
    </row>
    <row r="16" spans="1:15" ht="26.1" customHeight="1" x14ac:dyDescent="0.3">
      <c r="A16" s="161"/>
      <c r="B16" s="90" t="s">
        <v>79</v>
      </c>
      <c r="C16" s="91" t="s">
        <v>68</v>
      </c>
      <c r="D16" s="99">
        <v>5.2</v>
      </c>
      <c r="E16" s="112">
        <v>10855</v>
      </c>
      <c r="F16" s="113">
        <f>D16*E16</f>
        <v>56446</v>
      </c>
      <c r="G16" s="112">
        <v>6668.1</v>
      </c>
      <c r="H16" s="113">
        <f>D16*G16</f>
        <v>34674.120000000003</v>
      </c>
      <c r="I16" s="113"/>
      <c r="J16" s="113"/>
      <c r="K16" s="112"/>
      <c r="L16" s="113"/>
      <c r="M16" s="112"/>
      <c r="N16" s="113">
        <f t="shared" si="3"/>
        <v>91120.12</v>
      </c>
      <c r="O16" s="163"/>
    </row>
    <row r="17" spans="1:15" ht="26.1" customHeight="1" x14ac:dyDescent="0.3">
      <c r="A17" s="162"/>
      <c r="B17" s="90" t="s">
        <v>80</v>
      </c>
      <c r="C17" s="91" t="s">
        <v>68</v>
      </c>
      <c r="D17" s="99">
        <v>4.5999999999999996</v>
      </c>
      <c r="E17" s="112">
        <v>10855</v>
      </c>
      <c r="F17" s="113">
        <f>D17*E17</f>
        <v>49932.999999999993</v>
      </c>
      <c r="G17" s="112">
        <v>6668.1</v>
      </c>
      <c r="H17" s="113">
        <f>D17*G17</f>
        <v>30673.26</v>
      </c>
      <c r="I17" s="113"/>
      <c r="J17" s="113"/>
      <c r="K17" s="112"/>
      <c r="L17" s="113"/>
      <c r="M17" s="112"/>
      <c r="N17" s="113">
        <f t="shared" si="3"/>
        <v>80606.259999999995</v>
      </c>
      <c r="O17" s="164"/>
    </row>
    <row r="18" spans="1:15" ht="26.1" customHeight="1" x14ac:dyDescent="0.3">
      <c r="A18" s="100" t="s">
        <v>76</v>
      </c>
      <c r="B18" s="101"/>
      <c r="C18" s="102"/>
      <c r="D18" s="103">
        <f>SUM(D14:D17)</f>
        <v>42.400000000000006</v>
      </c>
      <c r="E18" s="104"/>
      <c r="F18" s="104">
        <f>SUM(F14:F17)</f>
        <v>460252</v>
      </c>
      <c r="G18" s="104"/>
      <c r="H18" s="104">
        <f>SUM(H14:H17)</f>
        <v>282727.44</v>
      </c>
      <c r="I18" s="104"/>
      <c r="J18" s="104">
        <f>SUM(J14:J17)</f>
        <v>0</v>
      </c>
      <c r="K18" s="104"/>
      <c r="L18" s="104">
        <f>SUM(L14:L17)</f>
        <v>0</v>
      </c>
      <c r="M18" s="104"/>
      <c r="N18" s="104">
        <f>SUM(N14:N17)</f>
        <v>742979.44000000006</v>
      </c>
      <c r="O18" s="104"/>
    </row>
    <row r="19" spans="1:15" ht="26.1" customHeight="1" x14ac:dyDescent="0.3">
      <c r="A19" s="100" t="s">
        <v>107</v>
      </c>
      <c r="B19" s="101"/>
      <c r="C19" s="105"/>
      <c r="D19" s="106"/>
      <c r="E19" s="107"/>
      <c r="F19" s="108">
        <f>F13+F18</f>
        <v>654740</v>
      </c>
      <c r="G19" s="108"/>
      <c r="H19" s="108">
        <f>H13+H18</f>
        <v>2081474.0399999996</v>
      </c>
      <c r="I19" s="107"/>
      <c r="J19" s="108">
        <f>J13+J18</f>
        <v>0</v>
      </c>
      <c r="K19" s="107"/>
      <c r="L19" s="108">
        <f>L13+L18</f>
        <v>0</v>
      </c>
      <c r="M19" s="107"/>
      <c r="N19" s="108">
        <f>N13+N18</f>
        <v>2736214.0399999996</v>
      </c>
      <c r="O19" s="107"/>
    </row>
    <row r="20" spans="1:15" ht="26.1" customHeight="1" x14ac:dyDescent="0.3"/>
    <row r="21" spans="1:15" ht="26.1" customHeight="1" x14ac:dyDescent="0.3">
      <c r="A21" s="167" t="s">
        <v>122</v>
      </c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84"/>
      <c r="N21" s="78"/>
      <c r="O21" s="78"/>
    </row>
    <row r="22" spans="1:15" ht="26.1" customHeight="1" x14ac:dyDescent="0.3">
      <c r="A22" s="168" t="s">
        <v>121</v>
      </c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84"/>
      <c r="N22" s="78"/>
      <c r="O22" s="78"/>
    </row>
    <row r="24" spans="1:15" x14ac:dyDescent="0.3">
      <c r="E24" s="84"/>
    </row>
    <row r="25" spans="1:15" x14ac:dyDescent="0.3">
      <c r="E25" s="84"/>
    </row>
  </sheetData>
  <mergeCells count="18"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14:A17"/>
    <mergeCell ref="O14:O17"/>
    <mergeCell ref="A4:B4"/>
    <mergeCell ref="A21:L21"/>
    <mergeCell ref="A22:L22"/>
    <mergeCell ref="A5:A12"/>
    <mergeCell ref="O5:O12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E2D6-BB76-4550-A961-AFBE16D1DD82}">
  <sheetPr codeName="Sheet4"/>
  <dimension ref="A1:F6"/>
  <sheetViews>
    <sheetView showGridLines="0" zoomScaleNormal="100" workbookViewId="0">
      <selection activeCell="D23" sqref="D23"/>
    </sheetView>
  </sheetViews>
  <sheetFormatPr defaultColWidth="9" defaultRowHeight="14.25" x14ac:dyDescent="0.3"/>
  <cols>
    <col min="1" max="1" width="25.125" style="89" customWidth="1"/>
    <col min="2" max="2" width="16.25" style="89" customWidth="1"/>
    <col min="3" max="3" width="22.375" style="89" customWidth="1"/>
    <col min="4" max="4" width="24.125" style="89" customWidth="1"/>
    <col min="5" max="5" width="13" style="89" customWidth="1"/>
    <col min="6" max="6" width="9" style="89" customWidth="1"/>
    <col min="7" max="16384" width="9" style="78"/>
  </cols>
  <sheetData>
    <row r="1" spans="1:6" ht="18" customHeight="1" x14ac:dyDescent="0.3">
      <c r="A1" s="85" t="s">
        <v>116</v>
      </c>
      <c r="B1" s="85" t="s">
        <v>117</v>
      </c>
      <c r="C1" s="85" t="s">
        <v>118</v>
      </c>
      <c r="D1" s="85" t="s">
        <v>119</v>
      </c>
      <c r="E1" s="85" t="s">
        <v>120</v>
      </c>
      <c r="F1" s="85" t="s">
        <v>0</v>
      </c>
    </row>
    <row r="2" spans="1:6" x14ac:dyDescent="0.3">
      <c r="A2" s="86" t="str">
        <f>'내역서(표준단가)'!A5</f>
        <v>M020853710050101</v>
      </c>
      <c r="B2" s="87">
        <f>'내역서(표준단가)'!F5</f>
        <v>0</v>
      </c>
      <c r="C2" s="87">
        <f>'내역서(표준단가)'!G5</f>
        <v>0</v>
      </c>
      <c r="D2" s="87" t="str">
        <f>'내역서(표준단가)'!H5</f>
        <v>M020853710050101</v>
      </c>
      <c r="E2" s="87">
        <f>'내역서(표준단가)'!I5</f>
        <v>0</v>
      </c>
      <c r="F2" s="88">
        <f>'내역서(표준단가)'!M5</f>
        <v>11.144</v>
      </c>
    </row>
    <row r="3" spans="1:6" x14ac:dyDescent="0.3">
      <c r="A3" s="86" t="str">
        <f>'내역서(표준단가)'!A6</f>
        <v>E00000803071260301</v>
      </c>
      <c r="B3" s="87">
        <f>'내역서(표준단가)'!F6</f>
        <v>0</v>
      </c>
      <c r="C3" s="87" t="str">
        <f>'내역서(표준단가)'!G6</f>
        <v>E00000803071260301</v>
      </c>
      <c r="D3" s="87">
        <f>'내역서(표준단가)'!H6</f>
        <v>0</v>
      </c>
      <c r="E3" s="87">
        <f>'내역서(표준단가)'!I6</f>
        <v>0</v>
      </c>
      <c r="F3" s="88">
        <f>'내역서(표준단가)'!M6</f>
        <v>2.6520000000000001</v>
      </c>
    </row>
    <row r="4" spans="1:6" x14ac:dyDescent="0.3">
      <c r="A4" s="86" t="str">
        <f>'내역서(표준단가)'!A7</f>
        <v>E00000803071260301</v>
      </c>
      <c r="B4" s="87">
        <f>'내역서(표준단가)'!F7</f>
        <v>0</v>
      </c>
      <c r="C4" s="87" t="str">
        <f>'내역서(표준단가)'!G7</f>
        <v>E00000803071260301</v>
      </c>
      <c r="D4" s="87">
        <f>'내역서(표준단가)'!H7</f>
        <v>0</v>
      </c>
      <c r="E4" s="87">
        <f>'내역서(표준단가)'!I7</f>
        <v>0</v>
      </c>
      <c r="F4" s="88">
        <f>'내역서(표준단가)'!M7</f>
        <v>1.7709999999999999</v>
      </c>
    </row>
    <row r="5" spans="1:6" x14ac:dyDescent="0.3">
      <c r="A5" s="86" t="str">
        <f>'내역서(표준단가)'!A8</f>
        <v>M020809012520101</v>
      </c>
      <c r="B5" s="87">
        <f>'내역서(표준단가)'!F8</f>
        <v>0</v>
      </c>
      <c r="C5" s="87">
        <f>'내역서(표준단가)'!G8</f>
        <v>0</v>
      </c>
      <c r="D5" s="87" t="str">
        <f>'내역서(표준단가)'!H8</f>
        <v>M020809012520101</v>
      </c>
      <c r="E5" s="87">
        <f>'내역서(표준단가)'!I8</f>
        <v>0</v>
      </c>
      <c r="F5" s="88">
        <f>'내역서(표준단가)'!M8</f>
        <v>42.4</v>
      </c>
    </row>
    <row r="6" spans="1:6" x14ac:dyDescent="0.3">
      <c r="A6" s="86" t="str">
        <f>'내역서(표준단가)'!A9</f>
        <v>E00000803071260401</v>
      </c>
      <c r="B6" s="87">
        <f>'내역서(표준단가)'!F9</f>
        <v>0</v>
      </c>
      <c r="C6" s="87" t="str">
        <f>'내역서(표준단가)'!G9</f>
        <v>E00000803071260401</v>
      </c>
      <c r="D6" s="87">
        <f>'내역서(표준단가)'!H9</f>
        <v>0</v>
      </c>
      <c r="E6" s="87">
        <f>'내역서(표준단가)'!I9</f>
        <v>0</v>
      </c>
      <c r="F6" s="88">
        <f>'내역서(표준단가)'!M9</f>
        <v>0.69510000000000005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1E73-A789-48BA-BA2B-93C99A59D794}">
  <sheetPr codeName="Sheet5"/>
  <dimension ref="A1"/>
  <sheetViews>
    <sheetView workbookViewId="0">
      <selection activeCell="R24" sqref="R24"/>
    </sheetView>
  </sheetViews>
  <sheetFormatPr defaultRowHeight="14.25" x14ac:dyDescent="0.3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초원 23평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2025-02-20T05:18:20Z</cp:lastPrinted>
  <dcterms:created xsi:type="dcterms:W3CDTF">2020-09-15T23:52:51Z</dcterms:created>
  <dcterms:modified xsi:type="dcterms:W3CDTF">2025-07-29T01:07:04Z</dcterms:modified>
</cp:coreProperties>
</file>
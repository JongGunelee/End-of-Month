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04\06 작업폴더\01 임차사택 수장공사 박찬의(CTO분석)\"/>
    </mc:Choice>
  </mc:AlternateContent>
  <xr:revisionPtr revIDLastSave="0" documentId="13_ncr:1_{E3D518E3-B21B-4C99-BF7C-F3701C58259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0" l="1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6" i="4" l="1"/>
  <c r="S6" i="4"/>
  <c r="Q6" i="4"/>
  <c r="O6" i="4"/>
  <c r="A6" i="4"/>
  <c r="A3" i="10" s="1"/>
  <c r="V6" i="4" l="1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F17" i="5" s="1"/>
  <c r="U8" i="4" l="1"/>
  <c r="O8" i="4"/>
  <c r="F16" i="5" s="1"/>
  <c r="F26" i="5" s="1"/>
  <c r="S8" i="4"/>
  <c r="F18" i="5" l="1"/>
  <c r="V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<sst xmlns="http://schemas.openxmlformats.org/spreadsheetml/2006/main" count="164" uniqueCount="124">
  <si>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</si>
  <si>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</si>
  <si>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</si>
  <si>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</si>
  <si>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</si>
  <si>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</si>
  <si>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</si>
  <si>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</si>
  <si>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</si>
  <si>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</si>
  <si>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</si>
  <si>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</si>
  <si>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</si>
  <si>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</si>
  <si>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</si>
  <si>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</si>
  <si>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</si>
  <si>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</si>
  <si>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</si>
  <si>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</si>
  <si>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</si>
  <si>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</si>
  <si>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</si>
  <si>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</si>
  <si>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</si>
  <si>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</si>
  <si>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</si>
  <si>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</si>
  <si>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</si>
  <si>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</si>
  <si>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</si>
  <si>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</si>
  <si>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</si>
  <si>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</si>
  <si>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</si>
  <si>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</si>
  <si>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</si>
  <si>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</si>
  <si>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</si>
  <si>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</si>
  <si>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</si>
  <si>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</si>
  <si>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</si>
  <si>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</si>
  <si>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</si>
  <si>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</si>
  <si>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</si>
  <si>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</si>
  <si>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</si>
  <si>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</si>
  <si>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</si>
  <si>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</si>
  <si>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</si>
  <si>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</si>
  <si>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</si>
  <si>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</si>
  <si>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</si>
  <si>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</si>
  <si>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</si>
  <si>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</si>
  <si>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</si>
  <si>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</si>
  <si>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</si>
  <si>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</si>
  <si>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</si>
  <si>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</si>
  <si>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</si>
  <si>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</si>
  <si>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</si>
  <si>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</si>
  <si>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</si>
  <si>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</si>
  <si>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</si>
  <si>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</si>
  <si>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</si>
  <si>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</si>
  <si>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</si>
  <si>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</si>
  <si>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</si>
  <si>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</si>
  <si>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</si>
  <si>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</si>
  <si>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</si>
  <si>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</si>
  <si>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</si>
  <si>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</si>
  <si>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</si>
  <si>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</si>
  <si>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</si>
  <si>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</si>
  <si>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</si>
  <si>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</si>
  <si>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</si>
  <si>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</si>
  <si>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</si>
  <si>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</si>
  <si>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</si>
  <si>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</si>
  <si>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</si>
  <si>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</si>
  <si>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</si>
  <si>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</si>
  <si>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</si>
  <si>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</si>
  <si>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</si>
  <si>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</si>
  <si>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</si>
  <si>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</si>
  <si>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</si>
  <si>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</si>
  <si>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</si>
  <si>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</si>
  <si>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</si>
  <si>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</si>
  <si>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</si>
  <si>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</si>
  <si>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</si>
  <si>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</si>
  <si>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</si>
  <si>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</si>
  <si>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 xml:space="preserve"> 공사명 : 임차사택 수장공사 박찬의 책임</t>
    <phoneticPr fontId="11" type="noConversion"/>
  </si>
  <si>
    <t xml:space="preserve"> 견적일 : 2025 년  08월  02일</t>
    <phoneticPr fontId="11" type="noConversion"/>
  </si>
  <si>
    <t>임차사택 수장공사 박찬의 책임</t>
    <phoneticPr fontId="5" type="noConversion"/>
  </si>
  <si>
    <t xml:space="preserve">   *외부 임차 사택공사와 관련하여, 견적서의 금액 \2,395,000원(내역서+부대비용)을 확인 후, 공사 하였기에 서명날인 합니다.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</si>
</sst>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12" fillId="0" borderId="0" xfId="13" applyNumberFormat="1" applyFont="1" applyBorder="1" applyAlignment="1">
      <alignment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39" t="s">
        <v>1</v>
      </c>
      <c r="B2" s="139"/>
      <c r="C2" s="139"/>
      <c r="D2" s="139"/>
      <c r="E2" s="139"/>
      <c r="F2" s="139"/>
      <c r="G2" s="139"/>
      <c r="H2" s="2"/>
    </row>
    <row r="3" spans="1:9" ht="14.25" x14ac:dyDescent="0.2">
      <c r="A3" s="113"/>
      <c r="B3" s="113"/>
      <c r="C3" s="113"/>
      <c r="D3" s="113"/>
      <c r="E3" s="113"/>
      <c r="F3" s="113"/>
      <c r="G3" s="113"/>
      <c r="H3" s="113"/>
    </row>
    <row r="4" spans="1:9" ht="14.25" x14ac:dyDescent="0.2">
      <c r="A4" s="113"/>
      <c r="B4" s="113"/>
      <c r="C4" s="113"/>
      <c r="D4" s="113"/>
      <c r="E4" s="113"/>
      <c r="H4" s="113"/>
    </row>
    <row r="5" spans="1:9" ht="27" customHeight="1" x14ac:dyDescent="0.2">
      <c r="A5" s="114" t="s">
        <v>43</v>
      </c>
      <c r="B5" s="4"/>
      <c r="C5" s="5"/>
      <c r="D5" s="113"/>
      <c r="E5" s="113"/>
      <c r="F5" s="6" t="s">
        <v>33</v>
      </c>
      <c r="G5" s="7" t="s">
        <v>47</v>
      </c>
      <c r="H5" s="113"/>
    </row>
    <row r="6" spans="1:9" ht="27" customHeight="1" x14ac:dyDescent="0.2">
      <c r="A6" s="113"/>
      <c r="B6" s="113"/>
      <c r="C6" s="113"/>
      <c r="D6" s="113"/>
      <c r="E6" s="113"/>
      <c r="F6" s="8" t="s">
        <v>36</v>
      </c>
      <c r="G6" s="9" t="s">
        <v>48</v>
      </c>
      <c r="H6" s="113"/>
    </row>
    <row r="7" spans="1:9" ht="27" customHeight="1" x14ac:dyDescent="0.2">
      <c r="A7" s="142" t="s">
        <v>120</v>
      </c>
      <c r="B7" s="143"/>
      <c r="C7" s="144"/>
      <c r="D7" s="113"/>
      <c r="E7" s="10"/>
      <c r="F7" s="11" t="s">
        <v>37</v>
      </c>
      <c r="G7" s="9" t="s">
        <v>49</v>
      </c>
      <c r="H7" s="113"/>
    </row>
    <row r="8" spans="1:9" ht="27" customHeight="1" x14ac:dyDescent="0.2">
      <c r="A8" s="113"/>
      <c r="B8" s="113"/>
      <c r="C8" s="113"/>
      <c r="D8" s="113"/>
      <c r="E8" s="113"/>
      <c r="F8" s="8" t="s">
        <v>38</v>
      </c>
      <c r="G8" s="9" t="s">
        <v>50</v>
      </c>
      <c r="H8" s="113"/>
    </row>
    <row r="9" spans="1:9" ht="27" customHeight="1" x14ac:dyDescent="0.2">
      <c r="A9" s="142" t="s">
        <v>121</v>
      </c>
      <c r="B9" s="143"/>
      <c r="C9" s="144"/>
      <c r="D9" s="113"/>
      <c r="E9" s="113"/>
      <c r="F9" s="8" t="s">
        <v>39</v>
      </c>
      <c r="G9" s="9" t="s">
        <v>51</v>
      </c>
      <c r="H9" s="113"/>
    </row>
    <row r="10" spans="1:9" ht="27" customHeight="1" x14ac:dyDescent="0.2">
      <c r="A10" s="113"/>
      <c r="B10" s="113"/>
      <c r="C10" s="113"/>
      <c r="D10" s="113"/>
      <c r="E10" s="113"/>
      <c r="F10" s="12" t="s">
        <v>34</v>
      </c>
      <c r="G10" s="13" t="s">
        <v>52</v>
      </c>
      <c r="H10" s="113"/>
      <c r="I10" s="113"/>
    </row>
    <row r="11" spans="1:9" ht="27" customHeight="1" x14ac:dyDescent="0.2">
      <c r="A11" s="140"/>
      <c r="B11" s="141"/>
      <c r="C11" s="141"/>
      <c r="D11" s="113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이백삼십구만오천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'내역서(표준단가)'!O8</f>
        <v>194479.516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'내역서(표준단가)'!Q8</f>
        <v>1798871.5185799999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1993351.03458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80949.218336099992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63769.995333660998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8258.2143957090993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18168.602337657998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64039.826061447995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107</v>
      </c>
      <c r="D26" s="30">
        <v>1</v>
      </c>
      <c r="E26" s="30" t="s">
        <v>20</v>
      </c>
      <c r="F26" s="43">
        <f>(F16+F17)*3.11%</f>
        <v>61993.217175437996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104802.52961100072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401981.60325101484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2395332.6378310146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2395000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Q14" sqref="Q14"/>
    </sheetView>
  </sheetViews>
  <sheetFormatPr defaultColWidth="9" defaultRowHeight="38.1" customHeight="1" x14ac:dyDescent="0.3"/>
  <cols>
    <col min="1" max="1" width="22.625" style="137" bestFit="1" customWidth="1"/>
    <col min="2" max="5" width="4.625" style="137" hidden="1" customWidth="1"/>
    <col min="6" max="6" width="9" style="127" hidden="1" customWidth="1"/>
    <col min="7" max="9" width="12.625" style="127" hidden="1" customWidth="1"/>
    <col min="10" max="11" width="30.625" style="122" customWidth="1"/>
    <col min="12" max="12" width="6.25" style="127" bestFit="1" customWidth="1"/>
    <col min="13" max="13" width="8.25" style="127" customWidth="1"/>
    <col min="14" max="14" width="10.625" style="127" bestFit="1" customWidth="1"/>
    <col min="15" max="15" width="13.25" style="127" bestFit="1" customWidth="1"/>
    <col min="16" max="16" width="12" style="127" bestFit="1" customWidth="1"/>
    <col min="17" max="17" width="15.625" style="127" bestFit="1" customWidth="1"/>
    <col min="18" max="18" width="9" style="127" customWidth="1"/>
    <col min="19" max="19" width="8.75" style="127" bestFit="1" customWidth="1"/>
    <col min="20" max="20" width="10.5" style="127" customWidth="1"/>
    <col min="21" max="21" width="8.75" style="127" bestFit="1" customWidth="1"/>
    <col min="22" max="22" width="15.625" style="127" bestFit="1" customWidth="1"/>
    <col min="23" max="23" width="10.625" style="65" bestFit="1" customWidth="1"/>
    <col min="24" max="24" width="8.5" style="127" bestFit="1" customWidth="1"/>
    <col min="25" max="16384" width="9" style="127"/>
  </cols>
  <sheetData>
    <row r="1" spans="1:24" ht="19.899999999999999" customHeight="1" x14ac:dyDescent="0.3">
      <c r="A1" s="145"/>
      <c r="B1" s="145"/>
      <c r="C1" s="145"/>
      <c r="D1" s="145"/>
      <c r="E1" s="145"/>
      <c r="F1" s="145"/>
      <c r="G1" s="145"/>
      <c r="H1" s="145"/>
      <c r="I1" s="145"/>
      <c r="N1" s="65"/>
      <c r="O1" s="125" t="s">
        <v>81</v>
      </c>
      <c r="Q1" s="125" t="s">
        <v>81</v>
      </c>
      <c r="S1" s="125" t="s">
        <v>81</v>
      </c>
      <c r="U1" s="125" t="s">
        <v>81</v>
      </c>
    </row>
    <row r="2" spans="1:24" ht="19.899999999999999" customHeight="1" thickBot="1" x14ac:dyDescent="0.35">
      <c r="A2" s="145"/>
      <c r="B2" s="145"/>
      <c r="C2" s="145"/>
      <c r="D2" s="145"/>
      <c r="E2" s="145"/>
      <c r="F2" s="145"/>
      <c r="G2" s="145"/>
      <c r="H2" s="145"/>
      <c r="I2" s="14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28"/>
      <c r="B3" s="129"/>
      <c r="C3" s="129"/>
      <c r="D3" s="129"/>
      <c r="E3" s="129"/>
      <c r="F3" s="129" t="s">
        <v>82</v>
      </c>
      <c r="G3" s="129"/>
      <c r="H3" s="129"/>
      <c r="I3" s="129"/>
      <c r="J3" s="156" t="s">
        <v>83</v>
      </c>
      <c r="K3" s="156"/>
      <c r="L3" s="154" t="s">
        <v>42</v>
      </c>
      <c r="M3" s="154" t="s">
        <v>0</v>
      </c>
      <c r="N3" s="150" t="s">
        <v>84</v>
      </c>
      <c r="O3" s="150"/>
      <c r="P3" s="150" t="s">
        <v>85</v>
      </c>
      <c r="Q3" s="150"/>
      <c r="R3" s="151" t="s">
        <v>86</v>
      </c>
      <c r="S3" s="151"/>
      <c r="T3" s="151" t="s">
        <v>87</v>
      </c>
      <c r="U3" s="151"/>
      <c r="V3" s="152" t="s">
        <v>88</v>
      </c>
      <c r="W3" s="148" t="s">
        <v>89</v>
      </c>
      <c r="X3" s="146" t="s">
        <v>40</v>
      </c>
    </row>
    <row r="4" spans="1:24" ht="19.899999999999999" customHeight="1" x14ac:dyDescent="0.3">
      <c r="A4" s="68" t="s">
        <v>90</v>
      </c>
      <c r="B4" s="126"/>
      <c r="C4" s="126"/>
      <c r="D4" s="126"/>
      <c r="E4" s="126"/>
      <c r="F4" s="69" t="s">
        <v>91</v>
      </c>
      <c r="G4" s="69" t="s">
        <v>92</v>
      </c>
      <c r="H4" s="69" t="s">
        <v>93</v>
      </c>
      <c r="I4" s="69" t="s">
        <v>94</v>
      </c>
      <c r="J4" s="123" t="s">
        <v>95</v>
      </c>
      <c r="K4" s="123" t="s">
        <v>96</v>
      </c>
      <c r="L4" s="155"/>
      <c r="M4" s="155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3"/>
      <c r="W4" s="149"/>
      <c r="X4" s="147"/>
    </row>
    <row r="5" spans="1:24" s="130" customFormat="1" ht="38.1" customHeight="1" x14ac:dyDescent="0.3">
      <c r="A5" s="72" t="str">
        <f t="shared" ref="A5" si="0">F5&amp;G5&amp;H5&amp;I5</f>
        <v>M020853710050101</v>
      </c>
      <c r="B5" s="81"/>
      <c r="C5" s="81"/>
      <c r="D5" s="81"/>
      <c r="E5" s="81"/>
      <c r="F5" s="80"/>
      <c r="G5" s="73"/>
      <c r="H5" s="73" t="s">
        <v>108</v>
      </c>
      <c r="I5" s="80"/>
      <c r="J5" s="121" t="s">
        <v>109</v>
      </c>
      <c r="K5" s="121" t="s">
        <v>117</v>
      </c>
      <c r="L5" s="110" t="s">
        <v>116</v>
      </c>
      <c r="M5" s="120">
        <v>11.144</v>
      </c>
      <c r="N5" s="138">
        <v>20900</v>
      </c>
      <c r="O5" s="117">
        <f t="shared" ref="O5" si="1">SUM(N5:N5)*M5*$O$2</f>
        <v>194479.516</v>
      </c>
      <c r="P5" s="116"/>
      <c r="Q5" s="117">
        <f t="shared" ref="Q5" si="2">(P5*M5)*$Q$2</f>
        <v>0</v>
      </c>
      <c r="R5" s="118"/>
      <c r="S5" s="117">
        <f t="shared" ref="S5" si="3">R5*M5*$S$2</f>
        <v>0</v>
      </c>
      <c r="T5" s="118"/>
      <c r="U5" s="117">
        <f t="shared" ref="U5" si="4">T5*M5*$U$2</f>
        <v>0</v>
      </c>
      <c r="V5" s="75">
        <f t="shared" ref="V5" si="5">SUM(O5+Q5)+S5+U5</f>
        <v>194479.516</v>
      </c>
      <c r="W5" s="109"/>
      <c r="X5" s="76"/>
    </row>
    <row r="6" spans="1:24" s="130" customFormat="1" ht="38.1" customHeight="1" x14ac:dyDescent="0.3">
      <c r="A6" s="72" t="str">
        <f t="shared" ref="A6" si="6">F6&amp;G6&amp;H6&amp;I6</f>
        <v>E00000803071260301</v>
      </c>
      <c r="B6" s="81"/>
      <c r="C6" s="81"/>
      <c r="D6" s="81"/>
      <c r="E6" s="81"/>
      <c r="F6" s="80"/>
      <c r="G6" s="73" t="s">
        <v>101</v>
      </c>
      <c r="H6" s="73"/>
      <c r="I6" s="80"/>
      <c r="J6" s="121" t="s">
        <v>103</v>
      </c>
      <c r="K6" s="121" t="s">
        <v>118</v>
      </c>
      <c r="L6" s="74" t="s">
        <v>102</v>
      </c>
      <c r="M6" s="120">
        <v>2.6520000000000001</v>
      </c>
      <c r="N6" s="119"/>
      <c r="O6" s="117">
        <f t="shared" ref="O6" si="7">SUM(N6:N6)*M6*$O$2</f>
        <v>0</v>
      </c>
      <c r="P6" s="116">
        <v>487076</v>
      </c>
      <c r="Q6" s="117">
        <f t="shared" ref="Q6" si="8">(P6*M6)*$Q$2</f>
        <v>1078590.83592</v>
      </c>
      <c r="R6" s="118"/>
      <c r="S6" s="117">
        <f t="shared" ref="S6" si="9">R6*M6*$S$2</f>
        <v>0</v>
      </c>
      <c r="T6" s="118"/>
      <c r="U6" s="117">
        <f t="shared" ref="U6" si="10">T6*M6*$U$2</f>
        <v>0</v>
      </c>
      <c r="V6" s="75">
        <f t="shared" ref="V6" si="11">SUM(O6+Q6)+S6+U6</f>
        <v>1078590.83592</v>
      </c>
      <c r="W6" s="109"/>
      <c r="X6" s="76"/>
    </row>
    <row r="7" spans="1:24" s="130" customFormat="1" ht="38.1" customHeight="1" x14ac:dyDescent="0.3">
      <c r="A7" s="72" t="str">
        <f t="shared" ref="A7" si="12">F7&amp;G7&amp;H7&amp;I7</f>
        <v>E00000803071260301</v>
      </c>
      <c r="B7" s="81"/>
      <c r="C7" s="81"/>
      <c r="D7" s="81"/>
      <c r="E7" s="81"/>
      <c r="F7" s="80"/>
      <c r="G7" s="73" t="s">
        <v>101</v>
      </c>
      <c r="H7" s="73"/>
      <c r="I7" s="80"/>
      <c r="J7" s="121" t="s">
        <v>104</v>
      </c>
      <c r="K7" s="121" t="s">
        <v>119</v>
      </c>
      <c r="L7" s="74" t="s">
        <v>102</v>
      </c>
      <c r="M7" s="120">
        <v>1.7709999999999999</v>
      </c>
      <c r="N7" s="119"/>
      <c r="O7" s="117">
        <f t="shared" ref="O7" si="13">SUM(N7:N7)*M7*$O$2</f>
        <v>0</v>
      </c>
      <c r="P7" s="116">
        <v>487076</v>
      </c>
      <c r="Q7" s="117">
        <f t="shared" ref="Q7" si="14">(P7*M7)*$Q$2</f>
        <v>720280.68265999993</v>
      </c>
      <c r="R7" s="118"/>
      <c r="S7" s="117">
        <f t="shared" ref="S7" si="15">R7*M7*$S$2</f>
        <v>0</v>
      </c>
      <c r="T7" s="118"/>
      <c r="U7" s="117">
        <f t="shared" ref="U7" si="16">T7*M7*$U$2</f>
        <v>0</v>
      </c>
      <c r="V7" s="75">
        <f t="shared" ref="V7" si="17">SUM(O7+Q7)+S7+U7</f>
        <v>720280.68265999993</v>
      </c>
      <c r="W7" s="109"/>
      <c r="X7" s="76"/>
    </row>
    <row r="8" spans="1:24" s="136" customFormat="1" ht="38.1" customHeight="1" x14ac:dyDescent="0.3">
      <c r="A8" s="131"/>
      <c r="B8" s="132"/>
      <c r="C8" s="132"/>
      <c r="D8" s="132"/>
      <c r="E8" s="132"/>
      <c r="F8" s="132"/>
      <c r="G8" s="132"/>
      <c r="H8" s="132"/>
      <c r="I8" s="132"/>
      <c r="J8" s="124"/>
      <c r="K8" s="124"/>
      <c r="L8" s="132"/>
      <c r="M8" s="132"/>
      <c r="N8" s="132"/>
      <c r="O8" s="133">
        <f>SUM(O5:O7)</f>
        <v>194479.516</v>
      </c>
      <c r="P8" s="134"/>
      <c r="Q8" s="133">
        <f>SUM(Q5:Q7)</f>
        <v>1798871.5185799999</v>
      </c>
      <c r="R8" s="134"/>
      <c r="S8" s="133">
        <f>SUM(S5:S7)</f>
        <v>0</v>
      </c>
      <c r="T8" s="134"/>
      <c r="U8" s="133">
        <f>SUM(U5:U7)</f>
        <v>0</v>
      </c>
      <c r="V8" s="135">
        <f>SUM(V5:V7)</f>
        <v>1993351.03458</v>
      </c>
      <c r="W8" s="82"/>
      <c r="X8" s="13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N23" sqref="N23"/>
    </sheetView>
  </sheetViews>
  <sheetFormatPr defaultColWidth="9" defaultRowHeight="14.25" x14ac:dyDescent="0.3"/>
  <cols>
    <col min="1" max="1" width="22.625" style="79" customWidth="1"/>
    <col min="2" max="2" width="27.625" style="79" customWidth="1"/>
    <col min="3" max="3" width="5.75" style="79" customWidth="1"/>
    <col min="4" max="4" width="6.75" style="79" customWidth="1"/>
    <col min="5" max="8" width="20.625" style="79" customWidth="1"/>
    <col min="9" max="12" width="20.625" style="79" hidden="1" customWidth="1"/>
    <col min="13" max="14" width="20.625" style="79" customWidth="1"/>
    <col min="15" max="15" width="32.75" style="79" customWidth="1"/>
    <col min="16" max="16384" width="9" style="77"/>
  </cols>
  <sheetData>
    <row r="1" spans="1:15" ht="45.75" customHeight="1" x14ac:dyDescent="0.3">
      <c r="A1" s="157" t="s">
        <v>54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ht="26.1" customHeight="1" x14ac:dyDescent="0.3">
      <c r="A2" s="158" t="s">
        <v>55</v>
      </c>
      <c r="B2" s="158" t="s">
        <v>56</v>
      </c>
      <c r="C2" s="159" t="s">
        <v>42</v>
      </c>
      <c r="D2" s="159" t="s">
        <v>8</v>
      </c>
      <c r="E2" s="161" t="s">
        <v>57</v>
      </c>
      <c r="F2" s="158"/>
      <c r="G2" s="158" t="s">
        <v>58</v>
      </c>
      <c r="H2" s="158"/>
      <c r="I2" s="162" t="s">
        <v>59</v>
      </c>
      <c r="J2" s="163"/>
      <c r="K2" s="162" t="s">
        <v>60</v>
      </c>
      <c r="L2" s="163"/>
      <c r="M2" s="161" t="s">
        <v>61</v>
      </c>
      <c r="N2" s="158"/>
      <c r="O2" s="164" t="s">
        <v>62</v>
      </c>
    </row>
    <row r="3" spans="1:15" ht="26.1" customHeight="1" x14ac:dyDescent="0.3">
      <c r="A3" s="158"/>
      <c r="B3" s="158"/>
      <c r="C3" s="160"/>
      <c r="D3" s="160"/>
      <c r="E3" s="115" t="s">
        <v>63</v>
      </c>
      <c r="F3" s="115" t="s">
        <v>64</v>
      </c>
      <c r="G3" s="108" t="s">
        <v>63</v>
      </c>
      <c r="H3" s="115" t="s">
        <v>65</v>
      </c>
      <c r="I3" s="115"/>
      <c r="J3" s="115"/>
      <c r="K3" s="108" t="s">
        <v>63</v>
      </c>
      <c r="L3" s="115" t="s">
        <v>65</v>
      </c>
      <c r="M3" s="108" t="s">
        <v>63</v>
      </c>
      <c r="N3" s="115" t="s">
        <v>65</v>
      </c>
      <c r="O3" s="165"/>
    </row>
    <row r="4" spans="1:15" ht="26.1" customHeight="1" x14ac:dyDescent="0.3">
      <c r="A4" s="170" t="s">
        <v>122</v>
      </c>
      <c r="B4" s="171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6.1" customHeight="1" x14ac:dyDescent="0.3">
      <c r="A5" s="174" t="s">
        <v>66</v>
      </c>
      <c r="B5" s="89" t="s">
        <v>67</v>
      </c>
      <c r="C5" s="90" t="s">
        <v>68</v>
      </c>
      <c r="D5" s="91">
        <v>40</v>
      </c>
      <c r="E5" s="111">
        <v>1057</v>
      </c>
      <c r="F5" s="111">
        <f t="shared" ref="F5:F12" si="0">D5*E5</f>
        <v>42280</v>
      </c>
      <c r="G5" s="111">
        <v>8839.9</v>
      </c>
      <c r="H5" s="111">
        <f t="shared" ref="H5:H12" si="1">D5*G5</f>
        <v>353596</v>
      </c>
      <c r="I5" s="111"/>
      <c r="J5" s="111"/>
      <c r="K5" s="111"/>
      <c r="L5" s="111"/>
      <c r="M5" s="111"/>
      <c r="N5" s="111">
        <f>F5+H5+J5+L5</f>
        <v>395876</v>
      </c>
      <c r="O5" s="176"/>
    </row>
    <row r="6" spans="1:15" ht="26.1" customHeight="1" x14ac:dyDescent="0.3">
      <c r="A6" s="175"/>
      <c r="B6" s="89" t="s">
        <v>69</v>
      </c>
      <c r="C6" s="90" t="s">
        <v>68</v>
      </c>
      <c r="D6" s="91">
        <v>24</v>
      </c>
      <c r="E6" s="111">
        <v>1057</v>
      </c>
      <c r="F6" s="111">
        <f t="shared" si="0"/>
        <v>25368</v>
      </c>
      <c r="G6" s="111">
        <v>11617.4</v>
      </c>
      <c r="H6" s="111">
        <f t="shared" si="1"/>
        <v>278817.59999999998</v>
      </c>
      <c r="I6" s="111"/>
      <c r="J6" s="111"/>
      <c r="K6" s="111"/>
      <c r="L6" s="111"/>
      <c r="M6" s="111"/>
      <c r="N6" s="111">
        <f t="shared" ref="N6:N12" si="2">F6+H6+J6+L6</f>
        <v>304185.59999999998</v>
      </c>
      <c r="O6" s="168"/>
    </row>
    <row r="7" spans="1:15" ht="26.1" customHeight="1" x14ac:dyDescent="0.3">
      <c r="A7" s="175"/>
      <c r="B7" s="89" t="s">
        <v>70</v>
      </c>
      <c r="C7" s="90" t="s">
        <v>68</v>
      </c>
      <c r="D7" s="91">
        <v>32</v>
      </c>
      <c r="E7" s="111">
        <v>1057</v>
      </c>
      <c r="F7" s="111">
        <f t="shared" si="0"/>
        <v>33824</v>
      </c>
      <c r="G7" s="111">
        <v>8839.9</v>
      </c>
      <c r="H7" s="111">
        <f t="shared" si="1"/>
        <v>282876.79999999999</v>
      </c>
      <c r="I7" s="111"/>
      <c r="J7" s="111"/>
      <c r="K7" s="111"/>
      <c r="L7" s="111"/>
      <c r="M7" s="111"/>
      <c r="N7" s="111">
        <f t="shared" si="2"/>
        <v>316700.79999999999</v>
      </c>
      <c r="O7" s="168"/>
    </row>
    <row r="8" spans="1:15" ht="26.1" customHeight="1" x14ac:dyDescent="0.3">
      <c r="A8" s="175"/>
      <c r="B8" s="89" t="s">
        <v>71</v>
      </c>
      <c r="C8" s="90" t="s">
        <v>68</v>
      </c>
      <c r="D8" s="91">
        <v>16</v>
      </c>
      <c r="E8" s="111">
        <v>1057</v>
      </c>
      <c r="F8" s="111">
        <f t="shared" si="0"/>
        <v>16912</v>
      </c>
      <c r="G8" s="111">
        <v>11617.4</v>
      </c>
      <c r="H8" s="111">
        <f t="shared" si="1"/>
        <v>185878.39999999999</v>
      </c>
      <c r="I8" s="111"/>
      <c r="J8" s="111"/>
      <c r="K8" s="111"/>
      <c r="L8" s="111"/>
      <c r="M8" s="111"/>
      <c r="N8" s="111">
        <f t="shared" si="2"/>
        <v>202790.39999999999</v>
      </c>
      <c r="O8" s="168"/>
    </row>
    <row r="9" spans="1:15" ht="26.1" customHeight="1" x14ac:dyDescent="0.3">
      <c r="A9" s="175"/>
      <c r="B9" s="89" t="s">
        <v>72</v>
      </c>
      <c r="C9" s="90" t="s">
        <v>68</v>
      </c>
      <c r="D9" s="91">
        <v>25</v>
      </c>
      <c r="E9" s="111">
        <v>1057</v>
      </c>
      <c r="F9" s="111">
        <f t="shared" si="0"/>
        <v>26425</v>
      </c>
      <c r="G9" s="111">
        <v>8839.9</v>
      </c>
      <c r="H9" s="111">
        <f t="shared" si="1"/>
        <v>220997.5</v>
      </c>
      <c r="I9" s="111"/>
      <c r="J9" s="111"/>
      <c r="K9" s="111"/>
      <c r="L9" s="111"/>
      <c r="M9" s="111"/>
      <c r="N9" s="111">
        <f t="shared" si="2"/>
        <v>247422.5</v>
      </c>
      <c r="O9" s="168"/>
    </row>
    <row r="10" spans="1:15" ht="26.1" customHeight="1" x14ac:dyDescent="0.3">
      <c r="A10" s="175"/>
      <c r="B10" s="89" t="s">
        <v>73</v>
      </c>
      <c r="C10" s="90" t="s">
        <v>68</v>
      </c>
      <c r="D10" s="91">
        <v>11</v>
      </c>
      <c r="E10" s="111">
        <v>1057</v>
      </c>
      <c r="F10" s="111">
        <f t="shared" si="0"/>
        <v>11627</v>
      </c>
      <c r="G10" s="111">
        <v>11617.4</v>
      </c>
      <c r="H10" s="111">
        <f t="shared" si="1"/>
        <v>127791.4</v>
      </c>
      <c r="I10" s="111"/>
      <c r="J10" s="111"/>
      <c r="K10" s="111"/>
      <c r="L10" s="111"/>
      <c r="M10" s="111"/>
      <c r="N10" s="111">
        <f t="shared" si="2"/>
        <v>139418.4</v>
      </c>
      <c r="O10" s="168"/>
    </row>
    <row r="11" spans="1:15" ht="26.1" customHeight="1" x14ac:dyDescent="0.3">
      <c r="A11" s="175"/>
      <c r="B11" s="89" t="s">
        <v>74</v>
      </c>
      <c r="C11" s="90" t="s">
        <v>68</v>
      </c>
      <c r="D11" s="91">
        <v>25</v>
      </c>
      <c r="E11" s="111">
        <v>1057</v>
      </c>
      <c r="F11" s="111">
        <f t="shared" si="0"/>
        <v>26425</v>
      </c>
      <c r="G11" s="111">
        <v>8839.9</v>
      </c>
      <c r="H11" s="111">
        <f t="shared" si="1"/>
        <v>220997.5</v>
      </c>
      <c r="I11" s="111"/>
      <c r="J11" s="111"/>
      <c r="K11" s="111"/>
      <c r="L11" s="111"/>
      <c r="M11" s="111"/>
      <c r="N11" s="111">
        <f t="shared" si="2"/>
        <v>247422.5</v>
      </c>
      <c r="O11" s="168"/>
    </row>
    <row r="12" spans="1:15" ht="26.1" customHeight="1" x14ac:dyDescent="0.3">
      <c r="A12" s="175"/>
      <c r="B12" s="89" t="s">
        <v>75</v>
      </c>
      <c r="C12" s="90" t="s">
        <v>68</v>
      </c>
      <c r="D12" s="91">
        <v>11</v>
      </c>
      <c r="E12" s="111">
        <v>1057</v>
      </c>
      <c r="F12" s="111">
        <f t="shared" si="0"/>
        <v>11627</v>
      </c>
      <c r="G12" s="111">
        <v>11617.4</v>
      </c>
      <c r="H12" s="111">
        <f t="shared" si="1"/>
        <v>127791.4</v>
      </c>
      <c r="I12" s="111"/>
      <c r="J12" s="111"/>
      <c r="K12" s="111"/>
      <c r="L12" s="111"/>
      <c r="M12" s="111"/>
      <c r="N12" s="111">
        <f t="shared" si="2"/>
        <v>139418.4</v>
      </c>
      <c r="O12" s="168"/>
    </row>
    <row r="13" spans="1:15" ht="26.1" customHeight="1" x14ac:dyDescent="0.3">
      <c r="A13" s="92" t="s">
        <v>76</v>
      </c>
      <c r="B13" s="93"/>
      <c r="C13" s="94"/>
      <c r="D13" s="95">
        <v>198</v>
      </c>
      <c r="E13" s="96"/>
      <c r="F13" s="96">
        <f>SUM(F5:F12)</f>
        <v>194488</v>
      </c>
      <c r="G13" s="96"/>
      <c r="H13" s="96">
        <f>SUM(H5:H12)</f>
        <v>1798746.5999999996</v>
      </c>
      <c r="I13" s="96"/>
      <c r="J13" s="96">
        <f>SUM(J5:J12)</f>
        <v>0</v>
      </c>
      <c r="K13" s="96"/>
      <c r="L13" s="96">
        <f>SUM(L5:L12)</f>
        <v>0</v>
      </c>
      <c r="M13" s="96"/>
      <c r="N13" s="96">
        <f>SUM(N5:N12)</f>
        <v>1993234.5999999996</v>
      </c>
      <c r="O13" s="96"/>
    </row>
    <row r="14" spans="1:15" ht="26.1" customHeight="1" x14ac:dyDescent="0.3">
      <c r="A14" s="166" t="s">
        <v>106</v>
      </c>
      <c r="B14" s="89" t="s">
        <v>77</v>
      </c>
      <c r="C14" s="90" t="s">
        <v>68</v>
      </c>
      <c r="D14" s="97">
        <v>22.2</v>
      </c>
      <c r="E14" s="111"/>
      <c r="F14" s="112"/>
      <c r="G14" s="111"/>
      <c r="H14" s="112"/>
      <c r="I14" s="112"/>
      <c r="J14" s="112"/>
      <c r="K14" s="111"/>
      <c r="L14" s="112"/>
      <c r="M14" s="111"/>
      <c r="N14" s="112"/>
      <c r="O14" s="168"/>
    </row>
    <row r="15" spans="1:15" ht="26.1" customHeight="1" x14ac:dyDescent="0.3">
      <c r="A15" s="166"/>
      <c r="B15" s="89" t="s">
        <v>78</v>
      </c>
      <c r="C15" s="90" t="s">
        <v>68</v>
      </c>
      <c r="D15" s="98">
        <v>10.4</v>
      </c>
      <c r="E15" s="111"/>
      <c r="F15" s="112"/>
      <c r="G15" s="111"/>
      <c r="H15" s="112"/>
      <c r="I15" s="112"/>
      <c r="J15" s="112"/>
      <c r="K15" s="111"/>
      <c r="L15" s="112"/>
      <c r="M15" s="111"/>
      <c r="N15" s="112"/>
      <c r="O15" s="168"/>
    </row>
    <row r="16" spans="1:15" ht="26.1" customHeight="1" x14ac:dyDescent="0.3">
      <c r="A16" s="166"/>
      <c r="B16" s="89" t="s">
        <v>79</v>
      </c>
      <c r="C16" s="90" t="s">
        <v>68</v>
      </c>
      <c r="D16" s="98">
        <v>5.2</v>
      </c>
      <c r="E16" s="111"/>
      <c r="F16" s="112"/>
      <c r="G16" s="111"/>
      <c r="H16" s="112"/>
      <c r="I16" s="112"/>
      <c r="J16" s="112"/>
      <c r="K16" s="111"/>
      <c r="L16" s="112"/>
      <c r="M16" s="111"/>
      <c r="N16" s="112"/>
      <c r="O16" s="168"/>
    </row>
    <row r="17" spans="1:15" ht="26.1" customHeight="1" x14ac:dyDescent="0.3">
      <c r="A17" s="167"/>
      <c r="B17" s="89" t="s">
        <v>80</v>
      </c>
      <c r="C17" s="90" t="s">
        <v>68</v>
      </c>
      <c r="D17" s="98">
        <v>4.5999999999999996</v>
      </c>
      <c r="E17" s="111"/>
      <c r="F17" s="112"/>
      <c r="G17" s="111"/>
      <c r="H17" s="112"/>
      <c r="I17" s="112"/>
      <c r="J17" s="112"/>
      <c r="K17" s="111"/>
      <c r="L17" s="112"/>
      <c r="M17" s="111"/>
      <c r="N17" s="112"/>
      <c r="O17" s="169"/>
    </row>
    <row r="18" spans="1:15" ht="26.1" customHeight="1" x14ac:dyDescent="0.3">
      <c r="A18" s="99" t="s">
        <v>76</v>
      </c>
      <c r="B18" s="100"/>
      <c r="C18" s="101"/>
      <c r="D18" s="102">
        <f>SUM(D14:D17)</f>
        <v>42.400000000000006</v>
      </c>
      <c r="E18" s="103"/>
      <c r="F18" s="103">
        <f>SUM(F14:F17)</f>
        <v>0</v>
      </c>
      <c r="G18" s="103"/>
      <c r="H18" s="103">
        <f>SUM(H14:H17)</f>
        <v>0</v>
      </c>
      <c r="I18" s="103"/>
      <c r="J18" s="103">
        <f>SUM(J14:J17)</f>
        <v>0</v>
      </c>
      <c r="K18" s="103"/>
      <c r="L18" s="103">
        <f>SUM(L14:L17)</f>
        <v>0</v>
      </c>
      <c r="M18" s="103"/>
      <c r="N18" s="103">
        <f>SUM(N14:N17)</f>
        <v>0</v>
      </c>
      <c r="O18" s="103"/>
    </row>
    <row r="19" spans="1:15" ht="26.1" customHeight="1" x14ac:dyDescent="0.3">
      <c r="A19" s="99" t="s">
        <v>105</v>
      </c>
      <c r="B19" s="100"/>
      <c r="C19" s="104"/>
      <c r="D19" s="105"/>
      <c r="E19" s="106"/>
      <c r="F19" s="107">
        <f>F13+F18</f>
        <v>194488</v>
      </c>
      <c r="G19" s="107"/>
      <c r="H19" s="107">
        <f>H13+H18</f>
        <v>1798746.5999999996</v>
      </c>
      <c r="I19" s="106"/>
      <c r="J19" s="107">
        <f>J13+J18</f>
        <v>0</v>
      </c>
      <c r="K19" s="106"/>
      <c r="L19" s="107">
        <f>L13+L18</f>
        <v>0</v>
      </c>
      <c r="M19" s="106"/>
      <c r="N19" s="107">
        <f>N13+N18</f>
        <v>1993234.5999999996</v>
      </c>
      <c r="O19" s="106"/>
    </row>
    <row r="20" spans="1:15" ht="26.1" customHeight="1" x14ac:dyDescent="0.3"/>
    <row r="21" spans="1:15" ht="26.1" customHeight="1" x14ac:dyDescent="0.3">
      <c r="A21" s="172" t="s">
        <v>123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83"/>
      <c r="N21" s="77"/>
      <c r="O21" s="77"/>
    </row>
    <row r="22" spans="1:15" ht="26.1" customHeight="1" x14ac:dyDescent="0.3">
      <c r="A22" s="173" t="s">
        <v>115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83"/>
      <c r="N22" s="77"/>
      <c r="O22" s="77"/>
    </row>
    <row r="24" spans="1:15" x14ac:dyDescent="0.3">
      <c r="E24" s="83"/>
    </row>
    <row r="25" spans="1:15" x14ac:dyDescent="0.3">
      <c r="E25" s="83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D21" sqref="D21"/>
    </sheetView>
  </sheetViews>
  <sheetFormatPr defaultColWidth="9" defaultRowHeight="14.25" x14ac:dyDescent="0.3"/>
  <cols>
    <col min="1" max="1" width="25.125" style="88" customWidth="1"/>
    <col min="2" max="2" width="16.25" style="88" customWidth="1"/>
    <col min="3" max="3" width="22.375" style="88" customWidth="1"/>
    <col min="4" max="4" width="24.125" style="88" customWidth="1"/>
    <col min="5" max="5" width="13" style="88" customWidth="1"/>
    <col min="6" max="6" width="9" style="88" customWidth="1"/>
    <col min="7" max="16384" width="9" style="77"/>
  </cols>
  <sheetData>
    <row r="1" spans="1:6" ht="18" customHeight="1" x14ac:dyDescent="0.3">
      <c r="A1" s="84" t="s">
        <v>110</v>
      </c>
      <c r="B1" s="84" t="s">
        <v>111</v>
      </c>
      <c r="C1" s="84" t="s">
        <v>112</v>
      </c>
      <c r="D1" s="84" t="s">
        <v>113</v>
      </c>
      <c r="E1" s="84" t="s">
        <v>114</v>
      </c>
      <c r="F1" s="84" t="s">
        <v>0</v>
      </c>
    </row>
    <row r="2" spans="1:6" x14ac:dyDescent="0.3">
      <c r="A2" s="85" t="str">
        <f>'내역서(표준단가)'!A5</f>
        <v>M020853710050101</v>
      </c>
      <c r="B2" s="86">
        <f>'내역서(표준단가)'!F5</f>
        <v>0</v>
      </c>
      <c r="C2" s="86">
        <f>'내역서(표준단가)'!G5</f>
        <v>0</v>
      </c>
      <c r="D2" s="86" t="str">
        <f>'내역서(표준단가)'!H5</f>
        <v>M020853710050101</v>
      </c>
      <c r="E2" s="86">
        <f>'내역서(표준단가)'!I5</f>
        <v>0</v>
      </c>
      <c r="F2" s="87">
        <f>'내역서(표준단가)'!M5</f>
        <v>11.144</v>
      </c>
    </row>
    <row r="3" spans="1:6" x14ac:dyDescent="0.3">
      <c r="A3" s="85" t="str">
        <f>'내역서(표준단가)'!A6</f>
        <v>E00000803071260301</v>
      </c>
      <c r="B3" s="86">
        <f>'내역서(표준단가)'!F6</f>
        <v>0</v>
      </c>
      <c r="C3" s="86" t="str">
        <f>'내역서(표준단가)'!G6</f>
        <v>E00000803071260301</v>
      </c>
      <c r="D3" s="86">
        <f>'내역서(표준단가)'!H6</f>
        <v>0</v>
      </c>
      <c r="E3" s="86">
        <f>'내역서(표준단가)'!I6</f>
        <v>0</v>
      </c>
      <c r="F3" s="87">
        <f>'내역서(표준단가)'!M6</f>
        <v>2.6520000000000001</v>
      </c>
    </row>
    <row r="4" spans="1:6" x14ac:dyDescent="0.3">
      <c r="A4" s="85" t="str">
        <f>'내역서(표준단가)'!A7</f>
        <v>E00000803071260301</v>
      </c>
      <c r="B4" s="86">
        <f>'내역서(표준단가)'!F7</f>
        <v>0</v>
      </c>
      <c r="C4" s="86" t="str">
        <f>'내역서(표준단가)'!G7</f>
        <v>E00000803071260301</v>
      </c>
      <c r="D4" s="86">
        <f>'내역서(표준단가)'!H7</f>
        <v>0</v>
      </c>
      <c r="E4" s="86">
        <f>'내역서(표준단가)'!I7</f>
        <v>0</v>
      </c>
      <c r="F4" s="87">
        <f>'내역서(표준단가)'!M7</f>
        <v>1.7709999999999999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7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2025-08-04T04:39:10Z</dcterms:modified>
</cp:coreProperties>
</file>
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E2474806-F9F8-4EF4-818E-5F1EAE0286B1}"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V10" i="4" s="1"/>
  <c r="A10" i="4"/>
  <c r="A7" i="1" s="1"/>
  <c r="J23" i="6" l="1"/>
  <c r="J26" i="6"/>
  <c r="J24" i="6"/>
  <c r="J25" i="6"/>
  <c r="J27" i="6" s="1"/>
  <c r="J22" i="6"/>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8" i="6" l="1"/>
  <c r="J20" i="6" s="1"/>
  <c r="V12" i="4"/>
  <c r="V8" i="4"/>
  <c r="V9" i="4"/>
  <c r="V6" i="4"/>
  <c r="V7" i="4"/>
  <c r="V11" i="4"/>
  <c r="U5" i="4"/>
  <c r="S5" i="4"/>
  <c r="Q5" i="4"/>
  <c r="O5" i="4"/>
  <c r="J30" i="6" l="1"/>
  <c r="V5" i="4"/>
  <c r="M32" i="6" l="1"/>
  <c r="B15" i="6" s="1"/>
  <c r="F2" i="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<sst xmlns="http://schemas.openxmlformats.org/spreadsheetml/2006/main" count="145" uniqueCount="121">
  <si>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</si>
  <si>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</si>
  <si>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</si>
  <si>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</si>
  <si>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</si>
  <si>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</si>
  <si>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</si>
  <si>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</si>
  <si>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</si>
  <si>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</si>
  <si>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</si>
  <si>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</si>
  <si>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</si>
  <si>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</si>
  <si>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</si>
  <si>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</si>
  <si>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</si>
  <si>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</si>
  <si>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</si>
  <si>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</si>
  <si>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</si>
  <si>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</si>
  <si>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</si>
  <si>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</si>
  <si>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</si>
  <si>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</si>
  <si>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</si>
  <si>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</si>
  <si>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</si>
  <si>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</si>
  <si>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</si>
  <si>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</si>
  <si>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</si>
  <si>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</si>
  <si>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</si>
  <si>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</si>
  <si>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</si>
  <si>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</si>
  <si>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</si>
  <si>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</si>
  <si>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</si>
  <si>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</si>
  <si>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</si>
  <si>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</si>
  <si>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</si>
  <si>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</si>
  <si>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</si>
  <si>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</si>
  <si>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</si>
  <si>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</si>
  <si>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</si>
  <si>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</si>
  <si>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</si>
  <si>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</si>
  <si>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</si>
  <si>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</si>
  <si>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</si>
  <si>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</si>
  <si>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</si>
  <si>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</si>
  <si>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</si>
  <si>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</si>
  <si>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</si>
  <si>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</si>
  <si>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</si>
  <si>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</si>
  <si>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</si>
  <si>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</si>
  <si>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</si>
  <si>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</si>
  <si>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</si>
  <si>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</si>
  <si>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</si>
  <si>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</si>
  <si>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</si>
  <si>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</si>
  <si>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</si>
  <si>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</si>
  <si>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</si>
  <si>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</si>
  <si>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</si>
  <si>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</si>
  <si>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</si>
  <si>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</si>
  <si>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</si>
  <si>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</si>
  <si>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</si>
  <si>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</si>
  <si>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</si>
  <si>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</si>
  <si>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</si>
  <si>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</si>
  <si>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</si>
  <si>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</si>
  <si>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</si>
  <si>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</si>
  <si>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</si>
  <si>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</si>
  <si>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</si>
  <si>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</si>
  <si>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</si>
  <si>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</si>
  <si>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</si>
  <si>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</si>
  <si>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</si>
  <si>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</si>
  <si>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</si>
  <si>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</si>
  <si>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</si>
  <si>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</si>
  <si>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</si>
  <si>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</si>
  <si>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</si>
  <si>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</si>
  <si>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</si>
  <si>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</si>
  <si>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</si>
  <si>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</si>
  <si>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</si>
  <si>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103-402 베란다 누수보수(전면)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</si>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</sst>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5">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0" borderId="2" xfId="1" applyNumberFormat="1" applyFont="1" applyFill="1" applyBorder="1" applyAlignment="1">
      <alignment horizontal="center" vertical="center"/>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610C0E65-89BD-4AC5-8394-A9BC8AF73AC5}"/>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0C5D7FC3-A549-438D-A4AD-01B7ADB91F75}"/>
    <cellStyle name="쉼표 [0] 3" xfId="14" xr:uid="{8F7BE219-40E1-4BBB-A9BD-02188B74B2A3}"/>
    <cellStyle name="쉼표 [0] 4" xfId="31" xr:uid="{175C5DF7-E573-4AF1-AA53-91E91007B528}"/>
    <cellStyle name="쉼표 [0] 5" xfId="33" xr:uid="{E307A22F-36E9-41F2-95C6-8DC998267A08}"/>
    <cellStyle name="통화 [0] 2 2" xfId="10" xr:uid="{00000000-0005-0000-0000-000007000000}"/>
    <cellStyle name="표준" xfId="0" builtinId="0"/>
    <cellStyle name="표준 10 10 2" xfId="3" xr:uid="{00000000-0005-0000-0000-000009000000}"/>
    <cellStyle name="표준 10 2" xfId="28" xr:uid="{B1F4E773-3FCC-406C-B3D6-1A18B7FB356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6C9F2D12-C5A8-4AC0-8CC7-6E1B324BEDCD}"/>
    <cellStyle name="표준_P456 공장 및 복지동 전면 유리창 청소건 라상혁님_1129(최종)" xfId="30" xr:uid="{F7757704-8B28-42C5-AD0E-7AB094F38B55}"/>
    <cellStyle name="표준_S&amp;D_MAIN VALVE_최빈_2" xfId="27" xr:uid="{EBFE4147-6E72-4CF6-BE5D-D818E27CB0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B079B78-D65E-43FA-9156-247AEC3CC09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C99E01-2D3C-4987-821A-D3D9958D4915}">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E2D8-982E-4AE5-882F-38E72D374A71}">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203"/>
      <c r="B1" s="204"/>
      <c r="C1" s="204"/>
      <c r="D1" s="204"/>
      <c r="E1" s="204"/>
      <c r="F1" s="204"/>
      <c r="G1" s="204"/>
      <c r="H1" s="204"/>
      <c r="I1" s="204"/>
      <c r="J1" s="204"/>
      <c r="K1" s="204"/>
      <c r="L1" s="204"/>
      <c r="M1" s="204"/>
      <c r="N1" s="204"/>
      <c r="O1" s="205"/>
    </row>
    <row r="2" spans="1:15" ht="9.75" customHeight="1" x14ac:dyDescent="0.3">
      <c r="A2" s="53"/>
      <c r="B2" s="54"/>
      <c r="C2" s="54"/>
      <c r="D2" s="54"/>
      <c r="E2" s="54"/>
      <c r="F2" s="54"/>
      <c r="G2" s="54"/>
      <c r="H2" s="54"/>
      <c r="I2" s="54"/>
      <c r="J2" s="54"/>
      <c r="K2" s="54"/>
      <c r="L2" s="54"/>
      <c r="M2" s="54"/>
      <c r="N2" s="54"/>
      <c r="O2" s="55"/>
    </row>
    <row r="3" spans="1:15" ht="45" x14ac:dyDescent="0.3">
      <c r="A3" s="206" t="s">
        <v>55</v>
      </c>
      <c r="B3" s="207"/>
      <c r="C3" s="207"/>
      <c r="D3" s="207"/>
      <c r="E3" s="207"/>
      <c r="F3" s="207"/>
      <c r="G3" s="207"/>
      <c r="H3" s="207"/>
      <c r="I3" s="207"/>
      <c r="J3" s="207"/>
      <c r="K3" s="207"/>
      <c r="L3" s="207"/>
      <c r="M3" s="207"/>
      <c r="N3" s="207"/>
      <c r="O3" s="208"/>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118"/>
      <c r="H5" s="118"/>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209" t="s">
        <v>57</v>
      </c>
      <c r="B7" s="210"/>
      <c r="C7" s="211"/>
      <c r="D7" s="119">
        <v>2026</v>
      </c>
      <c r="E7" s="69" t="s">
        <v>58</v>
      </c>
      <c r="F7" s="120">
        <v>1</v>
      </c>
      <c r="G7" s="69" t="s">
        <v>59</v>
      </c>
      <c r="H7" s="120">
        <v>17</v>
      </c>
      <c r="I7" s="69" t="s">
        <v>60</v>
      </c>
      <c r="J7" s="70"/>
      <c r="K7" s="212" t="s">
        <v>61</v>
      </c>
      <c r="L7" s="71" t="s">
        <v>62</v>
      </c>
      <c r="M7" s="71" t="s">
        <v>63</v>
      </c>
      <c r="N7" s="71" t="s">
        <v>64</v>
      </c>
      <c r="O7" s="72" t="s">
        <v>65</v>
      </c>
    </row>
    <row r="8" spans="1:15" ht="23.25" customHeight="1" x14ac:dyDescent="0.3">
      <c r="A8" s="215" t="s">
        <v>66</v>
      </c>
      <c r="B8" s="216"/>
      <c r="C8" s="217"/>
      <c r="D8" s="218" t="s">
        <v>67</v>
      </c>
      <c r="E8" s="219"/>
      <c r="F8" s="219"/>
      <c r="G8" s="220"/>
      <c r="H8" s="221" t="s">
        <v>68</v>
      </c>
      <c r="I8" s="219"/>
      <c r="J8" s="222"/>
      <c r="K8" s="213"/>
      <c r="L8" s="73" t="s">
        <v>69</v>
      </c>
      <c r="M8" s="73" t="s">
        <v>70</v>
      </c>
      <c r="N8" s="73" t="s">
        <v>71</v>
      </c>
      <c r="O8" s="74" t="s">
        <v>72</v>
      </c>
    </row>
    <row r="9" spans="1:15" ht="23.25" customHeight="1" x14ac:dyDescent="0.3">
      <c r="A9" s="215" t="s">
        <v>73</v>
      </c>
      <c r="B9" s="216"/>
      <c r="C9" s="217"/>
      <c r="D9" s="223" t="s">
        <v>74</v>
      </c>
      <c r="E9" s="224"/>
      <c r="F9" s="224"/>
      <c r="G9" s="224"/>
      <c r="H9" s="224"/>
      <c r="I9" s="224"/>
      <c r="J9" s="225"/>
      <c r="K9" s="213"/>
      <c r="L9" s="73" t="s">
        <v>75</v>
      </c>
      <c r="M9" s="226" t="s">
        <v>76</v>
      </c>
      <c r="N9" s="216"/>
      <c r="O9" s="217"/>
    </row>
    <row r="10" spans="1:15" ht="23.25" customHeight="1" thickBot="1" x14ac:dyDescent="0.35">
      <c r="A10" s="227" t="s">
        <v>77</v>
      </c>
      <c r="B10" s="228"/>
      <c r="C10" s="229"/>
      <c r="D10" s="230" t="s">
        <v>78</v>
      </c>
      <c r="E10" s="231"/>
      <c r="F10" s="231"/>
      <c r="G10" s="231"/>
      <c r="H10" s="231"/>
      <c r="I10" s="231"/>
      <c r="J10" s="232"/>
      <c r="K10" s="214"/>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202" t="s">
        <v>119</v>
      </c>
      <c r="C13" s="202"/>
      <c r="D13" s="202"/>
      <c r="E13" s="202"/>
      <c r="F13" s="202"/>
      <c r="G13" s="202"/>
      <c r="H13" s="202"/>
      <c r="I13" s="202"/>
      <c r="J13" s="202"/>
      <c r="K13" s="202"/>
      <c r="L13" s="202"/>
      <c r="M13" s="202"/>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85" t="str">
        <f>"견 적 금 액 : 一金"&amp;NUMBERSTRING(M32,1) &amp; "원정""(\"&amp; TEXT(M32,"#,###")&amp;"원) [VAT 별도]"</f>
        <v>견 적 금 액 : 一金팔십구만이천이백오십원정"(\892,250원) [VAT 별도]</v>
      </c>
      <c r="C15" s="185"/>
      <c r="D15" s="185"/>
      <c r="E15" s="185"/>
      <c r="F15" s="185"/>
      <c r="G15" s="185"/>
      <c r="H15" s="185"/>
      <c r="I15" s="185"/>
      <c r="J15" s="185"/>
      <c r="K15" s="185"/>
      <c r="L15" s="185"/>
      <c r="M15" s="185"/>
      <c r="N15" s="185"/>
      <c r="O15" s="186"/>
    </row>
    <row r="16" spans="1:15" ht="15" thickBot="1" x14ac:dyDescent="0.35">
      <c r="A16" s="81"/>
      <c r="B16" s="80"/>
      <c r="C16" s="80"/>
      <c r="D16" s="80"/>
      <c r="E16" s="80"/>
      <c r="F16" s="80"/>
      <c r="G16" s="80"/>
      <c r="H16" s="80"/>
      <c r="I16" s="63"/>
      <c r="J16" s="63"/>
      <c r="K16" s="187"/>
      <c r="L16" s="187"/>
      <c r="M16" s="187"/>
      <c r="N16" s="187"/>
      <c r="O16" s="188"/>
    </row>
    <row r="17" spans="1:17" ht="27.75" customHeight="1" thickBot="1" x14ac:dyDescent="0.35">
      <c r="A17" s="85" t="s">
        <v>84</v>
      </c>
      <c r="B17" s="195" t="s">
        <v>85</v>
      </c>
      <c r="C17" s="196"/>
      <c r="D17" s="196"/>
      <c r="E17" s="196"/>
      <c r="F17" s="196"/>
      <c r="G17" s="197"/>
      <c r="H17" s="86" t="s">
        <v>86</v>
      </c>
      <c r="I17" s="87" t="s">
        <v>87</v>
      </c>
      <c r="J17" s="198" t="s">
        <v>88</v>
      </c>
      <c r="K17" s="199"/>
      <c r="L17" s="199"/>
      <c r="M17" s="200"/>
      <c r="N17" s="195" t="s">
        <v>89</v>
      </c>
      <c r="O17" s="201"/>
    </row>
    <row r="18" spans="1:17" ht="28.5" customHeight="1" x14ac:dyDescent="0.3">
      <c r="A18" s="88">
        <v>1</v>
      </c>
      <c r="B18" s="189" t="s">
        <v>18</v>
      </c>
      <c r="C18" s="190"/>
      <c r="D18" s="190"/>
      <c r="E18" s="190"/>
      <c r="F18" s="190"/>
      <c r="G18" s="191"/>
      <c r="H18" s="121">
        <v>1</v>
      </c>
      <c r="I18" s="122" t="s">
        <v>6</v>
      </c>
      <c r="J18" s="192">
        <f>IFERROR(LOOKUP(2, 1/(TRIM('내역서(표준단가)'!O4:O100)&lt;&gt;""), '내역서(표준단가)'!O4:O100), "-")</f>
        <v>140588.95000000001</v>
      </c>
      <c r="K18" s="192"/>
      <c r="L18" s="192"/>
      <c r="M18" s="192"/>
      <c r="N18" s="193"/>
      <c r="O18" s="194"/>
    </row>
    <row r="19" spans="1:17" ht="28.5" customHeight="1" x14ac:dyDescent="0.3">
      <c r="A19" s="89">
        <v>2</v>
      </c>
      <c r="B19" s="169" t="s">
        <v>19</v>
      </c>
      <c r="C19" s="170"/>
      <c r="D19" s="170"/>
      <c r="E19" s="170"/>
      <c r="F19" s="170"/>
      <c r="G19" s="171"/>
      <c r="H19" s="123">
        <v>1</v>
      </c>
      <c r="I19" s="123" t="s">
        <v>6</v>
      </c>
      <c r="J19" s="172">
        <f>IFERROR(LOOKUP(2, 1/(TRIM('내역서(표준단가)'!Q4:Q100)&lt;&gt;""), '내역서(표준단가)'!Q4:Q100), "-")</f>
        <v>562013.30000000005</v>
      </c>
      <c r="K19" s="173"/>
      <c r="L19" s="173"/>
      <c r="M19" s="174"/>
      <c r="N19" s="175"/>
      <c r="O19" s="176"/>
    </row>
    <row r="20" spans="1:17" ht="28.5" customHeight="1" x14ac:dyDescent="0.3">
      <c r="A20" s="89">
        <v>3</v>
      </c>
      <c r="B20" s="177" t="s">
        <v>90</v>
      </c>
      <c r="C20" s="178"/>
      <c r="D20" s="178"/>
      <c r="E20" s="178"/>
      <c r="F20" s="178"/>
      <c r="G20" s="179"/>
      <c r="H20" s="90">
        <v>1</v>
      </c>
      <c r="I20" s="90" t="s">
        <v>6</v>
      </c>
      <c r="J20" s="180">
        <f>IFERROR(SUM(J21:M29),"-")</f>
        <v>95328.984377307497</v>
      </c>
      <c r="K20" s="181"/>
      <c r="L20" s="181"/>
      <c r="M20" s="182"/>
      <c r="N20" s="183"/>
      <c r="O20" s="184"/>
      <c r="P20" s="91"/>
    </row>
    <row r="21" spans="1:17" ht="28.5" customHeight="1" x14ac:dyDescent="0.3">
      <c r="A21" s="88"/>
      <c r="B21" s="92"/>
      <c r="C21" s="161" t="s">
        <v>91</v>
      </c>
      <c r="D21" s="162"/>
      <c r="E21" s="162"/>
      <c r="F21" s="162"/>
      <c r="G21" s="163"/>
      <c r="H21" s="124">
        <v>1</v>
      </c>
      <c r="I21" s="124" t="s">
        <v>6</v>
      </c>
      <c r="J21" s="164">
        <f>IFERROR(LOOKUP(2, 1/(TRIM('내역서(표준단가)'!S4:S100)&lt;&gt;""), '내역서(표준단가)'!S4:S100) + LOOKUP(2, 1/(TRIM('내역서(표준단가)'!U4:U100)&lt;&gt;""), '내역서(표준단가)'!U4:U100), "-")</f>
        <v>0</v>
      </c>
      <c r="K21" s="165"/>
      <c r="L21" s="165"/>
      <c r="M21" s="166"/>
      <c r="N21" s="167" t="s">
        <v>92</v>
      </c>
      <c r="O21" s="168"/>
    </row>
    <row r="22" spans="1:17" ht="28.5" customHeight="1" x14ac:dyDescent="0.3">
      <c r="A22" s="88"/>
      <c r="B22" s="92"/>
      <c r="C22" s="155" t="s">
        <v>93</v>
      </c>
      <c r="D22" s="156"/>
      <c r="E22" s="156"/>
      <c r="F22" s="156"/>
      <c r="G22" s="157"/>
      <c r="H22" s="93">
        <v>3.11</v>
      </c>
      <c r="I22" s="93" t="s">
        <v>94</v>
      </c>
      <c r="J22" s="158">
        <f>IFERROR((J18+J19)*H22%,"-")</f>
        <v>21850.929974999999</v>
      </c>
      <c r="K22" s="159"/>
      <c r="L22" s="159"/>
      <c r="M22" s="160"/>
      <c r="N22" s="151" t="s">
        <v>95</v>
      </c>
      <c r="O22" s="152"/>
    </row>
    <row r="23" spans="1:17" ht="28.5" customHeight="1" x14ac:dyDescent="0.3">
      <c r="A23" s="88"/>
      <c r="B23" s="92"/>
      <c r="C23" s="155" t="s">
        <v>96</v>
      </c>
      <c r="D23" s="156"/>
      <c r="E23" s="156"/>
      <c r="F23" s="156"/>
      <c r="G23" s="157"/>
      <c r="H23" s="93">
        <v>3.56</v>
      </c>
      <c r="I23" s="93" t="s">
        <v>97</v>
      </c>
      <c r="J23" s="158">
        <f>IFERROR(J19*H23%,"-")</f>
        <v>20007.673480000001</v>
      </c>
      <c r="K23" s="159"/>
      <c r="L23" s="159"/>
      <c r="M23" s="160"/>
      <c r="N23" s="151" t="s">
        <v>98</v>
      </c>
      <c r="O23" s="152"/>
    </row>
    <row r="24" spans="1:17" ht="28.5" customHeight="1" x14ac:dyDescent="0.3">
      <c r="A24" s="88"/>
      <c r="B24" s="92"/>
      <c r="C24" s="155" t="s">
        <v>99</v>
      </c>
      <c r="D24" s="156"/>
      <c r="E24" s="156"/>
      <c r="F24" s="156"/>
      <c r="G24" s="157"/>
      <c r="H24" s="93">
        <v>1.01</v>
      </c>
      <c r="I24" s="93" t="s">
        <v>97</v>
      </c>
      <c r="J24" s="158">
        <f>IFERROR(J19*H24%,"-")</f>
        <v>5676.3343300000006</v>
      </c>
      <c r="K24" s="159"/>
      <c r="L24" s="159"/>
      <c r="M24" s="160"/>
      <c r="N24" s="151" t="s">
        <v>100</v>
      </c>
      <c r="O24" s="152"/>
    </row>
    <row r="25" spans="1:17" ht="28.5" customHeight="1" x14ac:dyDescent="0.3">
      <c r="A25" s="88"/>
      <c r="B25" s="92"/>
      <c r="C25" s="155" t="s">
        <v>101</v>
      </c>
      <c r="D25" s="156"/>
      <c r="E25" s="156"/>
      <c r="F25" s="156"/>
      <c r="G25" s="157"/>
      <c r="H25" s="94">
        <v>3.5449999999999999</v>
      </c>
      <c r="I25" s="93" t="s">
        <v>97</v>
      </c>
      <c r="J25" s="158">
        <f>IFERROR(J19*H25%,"-")</f>
        <v>19923.371485000003</v>
      </c>
      <c r="K25" s="159"/>
      <c r="L25" s="159"/>
      <c r="M25" s="160"/>
      <c r="N25" s="151" t="s">
        <v>102</v>
      </c>
      <c r="O25" s="152"/>
      <c r="Q25" s="91"/>
    </row>
    <row r="26" spans="1:17" ht="28.5" customHeight="1" x14ac:dyDescent="0.3">
      <c r="A26" s="88"/>
      <c r="B26" s="92"/>
      <c r="C26" s="155" t="s">
        <v>103</v>
      </c>
      <c r="D26" s="156"/>
      <c r="E26" s="156"/>
      <c r="F26" s="156"/>
      <c r="G26" s="157"/>
      <c r="H26" s="93">
        <v>4.5</v>
      </c>
      <c r="I26" s="93" t="s">
        <v>97</v>
      </c>
      <c r="J26" s="158">
        <f>IFERROR(J19*H26%,"-")</f>
        <v>25290.5985</v>
      </c>
      <c r="K26" s="159"/>
      <c r="L26" s="159"/>
      <c r="M26" s="160"/>
      <c r="N26" s="151" t="s">
        <v>104</v>
      </c>
      <c r="O26" s="152"/>
      <c r="Q26" s="95"/>
    </row>
    <row r="27" spans="1:17" ht="28.5" customHeight="1" x14ac:dyDescent="0.3">
      <c r="A27" s="88"/>
      <c r="B27" s="92"/>
      <c r="C27" s="145" t="s">
        <v>105</v>
      </c>
      <c r="D27" s="146"/>
      <c r="E27" s="146"/>
      <c r="F27" s="146"/>
      <c r="G27" s="147"/>
      <c r="H27" s="96">
        <v>12.95</v>
      </c>
      <c r="I27" s="97" t="s">
        <v>97</v>
      </c>
      <c r="J27" s="148">
        <f>IFERROR($H$27*J25%,"-")</f>
        <v>2580.0766073075006</v>
      </c>
      <c r="K27" s="149"/>
      <c r="L27" s="149"/>
      <c r="M27" s="150"/>
      <c r="N27" s="151" t="s">
        <v>106</v>
      </c>
      <c r="O27" s="152"/>
    </row>
    <row r="28" spans="1:17" ht="28.5" customHeight="1" x14ac:dyDescent="0.3">
      <c r="A28" s="88"/>
      <c r="B28" s="92"/>
      <c r="C28" s="145" t="s">
        <v>107</v>
      </c>
      <c r="D28" s="146"/>
      <c r="E28" s="146"/>
      <c r="F28" s="146"/>
      <c r="G28" s="147"/>
      <c r="H28" s="96">
        <v>8.1000000000000003E-2</v>
      </c>
      <c r="I28" s="97" t="s">
        <v>97</v>
      </c>
      <c r="J28" s="148" t="str">
        <f>IFERROR(IF(SUM(J21:J27,J18:J19)&gt;=10000000,SUM(J21:J27,J18:J19)*H28%,"-"),"-")</f>
        <v>-</v>
      </c>
      <c r="K28" s="149"/>
      <c r="L28" s="149"/>
      <c r="M28" s="150"/>
      <c r="N28" s="153" t="s">
        <v>108</v>
      </c>
      <c r="O28" s="154"/>
    </row>
    <row r="29" spans="1:17" ht="28.5" customHeight="1" x14ac:dyDescent="0.3">
      <c r="A29" s="98"/>
      <c r="B29" s="99"/>
      <c r="C29" s="125" t="s">
        <v>109</v>
      </c>
      <c r="D29" s="126"/>
      <c r="E29" s="126"/>
      <c r="F29" s="126"/>
      <c r="G29" s="127"/>
      <c r="H29" s="100">
        <v>1</v>
      </c>
      <c r="I29" s="101" t="s">
        <v>110</v>
      </c>
      <c r="J29" s="128">
        <f>34*0</f>
        <v>0</v>
      </c>
      <c r="K29" s="129"/>
      <c r="L29" s="129"/>
      <c r="M29" s="130"/>
      <c r="N29" s="131" t="s">
        <v>111</v>
      </c>
      <c r="O29" s="132"/>
    </row>
    <row r="30" spans="1:17" ht="28.5" customHeight="1" x14ac:dyDescent="0.3">
      <c r="A30" s="98">
        <v>4</v>
      </c>
      <c r="B30" s="99"/>
      <c r="C30" s="125" t="s">
        <v>112</v>
      </c>
      <c r="D30" s="126"/>
      <c r="E30" s="126"/>
      <c r="F30" s="126"/>
      <c r="G30" s="127"/>
      <c r="H30" s="101">
        <v>5</v>
      </c>
      <c r="I30" s="102" t="s">
        <v>113</v>
      </c>
      <c r="J30" s="138">
        <f>IFERROR(IF(ISNUMBER(H30), SUM(J18:M20) * (H30 / 100), "-"), "-")</f>
        <v>39896.561718865378</v>
      </c>
      <c r="K30" s="139"/>
      <c r="L30" s="139"/>
      <c r="M30" s="140"/>
      <c r="N30" s="141" t="s">
        <v>114</v>
      </c>
      <c r="O30" s="142"/>
    </row>
    <row r="31" spans="1:17" ht="28.5" customHeight="1" thickBot="1" x14ac:dyDescent="0.35">
      <c r="A31" s="98">
        <v>5</v>
      </c>
      <c r="B31" s="99"/>
      <c r="C31" s="125" t="s">
        <v>115</v>
      </c>
      <c r="D31" s="126"/>
      <c r="E31" s="126"/>
      <c r="F31" s="126"/>
      <c r="G31" s="127"/>
      <c r="H31" s="101">
        <v>7.5</v>
      </c>
      <c r="I31" s="102" t="s">
        <v>97</v>
      </c>
      <c r="J31" s="128">
        <f>IFERROR(SUM(J18:M20, J30) * (H31 / 100), "-")+-8414</f>
        <v>54423.084707212962</v>
      </c>
      <c r="K31" s="129"/>
      <c r="L31" s="129"/>
      <c r="M31" s="130"/>
      <c r="N31" s="143" t="s">
        <v>116</v>
      </c>
      <c r="O31" s="144"/>
      <c r="Q31" s="103"/>
    </row>
    <row r="32" spans="1:17" ht="28.5" customHeight="1" thickBot="1" x14ac:dyDescent="0.35">
      <c r="A32" s="133" t="s">
        <v>117</v>
      </c>
      <c r="B32" s="134"/>
      <c r="C32" s="134"/>
      <c r="D32" s="134"/>
      <c r="E32" s="134"/>
      <c r="F32" s="134"/>
      <c r="G32" s="134"/>
      <c r="H32" s="134"/>
      <c r="I32" s="135"/>
      <c r="J32" s="104"/>
      <c r="K32" s="105"/>
      <c r="L32" s="105"/>
      <c r="M32" s="106">
        <f>IFERROR(ROUNDDOWN(SUM(J18:M20)+J30+J31,0),"-")</f>
        <v>892250</v>
      </c>
      <c r="N32" s="136"/>
      <c r="O32" s="137"/>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9" bestFit="1" customWidth="1"/>
    <col min="2" max="5" width="17.75" style="49" hidden="1" customWidth="1"/>
    <col min="6" max="9" width="17.75" style="40" hidden="1" customWidth="1"/>
    <col min="10" max="11" width="30.625" style="34" customWidth="1"/>
    <col min="12" max="12" width="11.375" style="40" bestFit="1" customWidth="1"/>
    <col min="13" max="13" width="7" style="40" bestFit="1" customWidth="1"/>
    <col min="14" max="14" width="10.875" style="40" bestFit="1" customWidth="1"/>
    <col min="15" max="15" width="13.5" style="40" bestFit="1" customWidth="1"/>
    <col min="16" max="16" width="9.25" style="40" bestFit="1" customWidth="1"/>
    <col min="17" max="17" width="13.5" style="40" bestFit="1" customWidth="1"/>
    <col min="18" max="18" width="6.125" style="40" customWidth="1"/>
    <col min="19" max="19" width="8.25" style="40" bestFit="1" customWidth="1"/>
    <col min="20" max="20" width="6.125" style="40" customWidth="1"/>
    <col min="21" max="21" width="8.25" style="40" bestFit="1" customWidth="1"/>
    <col min="22" max="22" width="16" style="40" bestFit="1" customWidth="1"/>
    <col min="23" max="23" width="10.75" style="2" bestFit="1" customWidth="1"/>
    <col min="24" max="24" width="9.125" style="40" bestFit="1" customWidth="1"/>
    <col min="25" max="16384" width="9" style="40"/>
  </cols>
  <sheetData>
    <row r="1" spans="1:24" ht="19.899999999999999" customHeight="1" x14ac:dyDescent="0.3">
      <c r="A1" s="233"/>
      <c r="B1" s="233"/>
      <c r="C1" s="233"/>
      <c r="D1" s="233"/>
      <c r="E1" s="233"/>
      <c r="F1" s="233"/>
      <c r="G1" s="233"/>
      <c r="H1" s="233"/>
      <c r="I1" s="233"/>
      <c r="N1" s="2"/>
      <c r="O1" s="39" t="s">
        <v>14</v>
      </c>
      <c r="Q1" s="39" t="s">
        <v>14</v>
      </c>
      <c r="S1" s="39" t="s">
        <v>14</v>
      </c>
      <c r="U1" s="39" t="s">
        <v>14</v>
      </c>
    </row>
    <row r="2" spans="1:24" ht="19.899999999999999" customHeight="1" thickBot="1" x14ac:dyDescent="0.35">
      <c r="A2" s="233"/>
      <c r="B2" s="233"/>
      <c r="C2" s="233"/>
      <c r="D2" s="233"/>
      <c r="E2" s="233"/>
      <c r="F2" s="233"/>
      <c r="G2" s="233"/>
      <c r="H2" s="233"/>
      <c r="I2" s="233"/>
      <c r="N2" s="3"/>
      <c r="O2" s="4">
        <v>0.83499999999999996</v>
      </c>
      <c r="Q2" s="4">
        <v>0.83499999999999996</v>
      </c>
      <c r="S2" s="4">
        <v>0.83499999999999996</v>
      </c>
      <c r="U2" s="4">
        <v>0.83499999999999996</v>
      </c>
    </row>
    <row r="3" spans="1:24" ht="19.899999999999999" customHeight="1" x14ac:dyDescent="0.3">
      <c r="A3" s="41"/>
      <c r="B3" s="41"/>
      <c r="C3" s="41"/>
      <c r="D3" s="41"/>
      <c r="E3" s="41"/>
      <c r="F3" s="41" t="s">
        <v>15</v>
      </c>
      <c r="G3" s="42"/>
      <c r="H3" s="42"/>
      <c r="I3" s="42"/>
      <c r="J3" s="244" t="s">
        <v>16</v>
      </c>
      <c r="K3" s="244"/>
      <c r="L3" s="242" t="s">
        <v>17</v>
      </c>
      <c r="M3" s="242" t="s">
        <v>5</v>
      </c>
      <c r="N3" s="238" t="s">
        <v>18</v>
      </c>
      <c r="O3" s="238"/>
      <c r="P3" s="238" t="s">
        <v>19</v>
      </c>
      <c r="Q3" s="238"/>
      <c r="R3" s="239" t="s">
        <v>20</v>
      </c>
      <c r="S3" s="239"/>
      <c r="T3" s="239" t="s">
        <v>21</v>
      </c>
      <c r="U3" s="239"/>
      <c r="V3" s="240" t="s">
        <v>22</v>
      </c>
      <c r="W3" s="236" t="s">
        <v>23</v>
      </c>
      <c r="X3" s="234" t="s">
        <v>7</v>
      </c>
    </row>
    <row r="4" spans="1:24" ht="19.899999999999999" customHeight="1" x14ac:dyDescent="0.3">
      <c r="A4" s="5" t="s">
        <v>24</v>
      </c>
      <c r="B4" s="6"/>
      <c r="C4" s="6"/>
      <c r="D4" s="6"/>
      <c r="E4" s="6"/>
      <c r="F4" s="7" t="s">
        <v>25</v>
      </c>
      <c r="G4" s="7" t="s">
        <v>26</v>
      </c>
      <c r="H4" s="7" t="s">
        <v>27</v>
      </c>
      <c r="I4" s="7" t="s">
        <v>28</v>
      </c>
      <c r="J4" s="35" t="s">
        <v>29</v>
      </c>
      <c r="K4" s="35" t="s">
        <v>30</v>
      </c>
      <c r="L4" s="243"/>
      <c r="M4" s="243"/>
      <c r="N4" s="8" t="s">
        <v>31</v>
      </c>
      <c r="O4" s="9" t="s">
        <v>32</v>
      </c>
      <c r="P4" s="8" t="s">
        <v>33</v>
      </c>
      <c r="Q4" s="9" t="s">
        <v>32</v>
      </c>
      <c r="R4" s="9" t="s">
        <v>34</v>
      </c>
      <c r="S4" s="9" t="s">
        <v>32</v>
      </c>
      <c r="T4" s="9" t="s">
        <v>34</v>
      </c>
      <c r="U4" s="9" t="s">
        <v>32</v>
      </c>
      <c r="V4" s="241"/>
      <c r="W4" s="237"/>
      <c r="X4" s="235"/>
    </row>
    <row r="5" spans="1:24" s="43" customFormat="1" ht="38.1" customHeight="1" x14ac:dyDescent="0.3">
      <c r="A5" s="10" t="str">
        <f t="shared" ref="A5" si="0">F5&amp;G5&amp;H5&amp;I5</f>
        <v>E00000801011510201</v>
      </c>
      <c r="B5" s="51"/>
      <c r="C5" s="51"/>
      <c r="D5" s="51"/>
      <c r="E5" s="51"/>
      <c r="F5" s="11"/>
      <c r="G5" s="23" t="s">
        <v>36</v>
      </c>
      <c r="H5" s="7"/>
      <c r="I5" s="7"/>
      <c r="J5" s="36" t="s">
        <v>37</v>
      </c>
      <c r="K5" s="36" t="s">
        <v>38</v>
      </c>
      <c r="L5" s="24" t="s">
        <v>39</v>
      </c>
      <c r="M5" s="32">
        <v>7</v>
      </c>
      <c r="N5" s="26"/>
      <c r="O5" s="27">
        <f t="shared" ref="O5" si="1">SUM(N5:N5)*M5*$O$2</f>
        <v>0</v>
      </c>
      <c r="P5" s="28">
        <v>21520</v>
      </c>
      <c r="Q5" s="27">
        <f t="shared" ref="Q5" si="2">(P5*M5)*$Q$2</f>
        <v>125784.4</v>
      </c>
      <c r="R5" s="29"/>
      <c r="S5" s="27">
        <f t="shared" ref="S5" si="3">R5*M5*$S$2</f>
        <v>0</v>
      </c>
      <c r="T5" s="29"/>
      <c r="U5" s="27">
        <f t="shared" ref="U5" si="4">T5*M5*$U$2</f>
        <v>0</v>
      </c>
      <c r="V5" s="13">
        <f t="shared" ref="V5" si="5">SUM(O5+Q5)+S5+U5</f>
        <v>125784.4</v>
      </c>
      <c r="W5" s="19"/>
      <c r="X5" s="20"/>
    </row>
    <row r="6" spans="1:24" s="43" customFormat="1" ht="38.1" customHeight="1" x14ac:dyDescent="0.3">
      <c r="A6" s="10" t="str">
        <f t="shared" ref="A6:A12" si="6">F6&amp;G6&amp;H6&amp;I6</f>
        <v>E00000803073010104</v>
      </c>
      <c r="B6" s="51"/>
      <c r="C6" s="51"/>
      <c r="D6" s="51"/>
      <c r="E6" s="51"/>
      <c r="F6" s="11"/>
      <c r="G6" s="23" t="s">
        <v>40</v>
      </c>
      <c r="H6" s="7"/>
      <c r="I6" s="7"/>
      <c r="J6" s="36" t="s">
        <v>41</v>
      </c>
      <c r="K6" s="36" t="s">
        <v>42</v>
      </c>
      <c r="L6" s="24" t="s">
        <v>43</v>
      </c>
      <c r="M6" s="32">
        <v>2</v>
      </c>
      <c r="N6" s="26"/>
      <c r="O6" s="27">
        <f t="shared" ref="O6:O12" si="7">SUM(N6:N6)*M6*$O$2</f>
        <v>0</v>
      </c>
      <c r="P6" s="28">
        <v>11316</v>
      </c>
      <c r="Q6" s="27">
        <f t="shared" ref="Q6:Q10" si="8">(P6*M6)*$Q$2</f>
        <v>18897.719999999998</v>
      </c>
      <c r="R6" s="29"/>
      <c r="S6" s="27">
        <f t="shared" ref="S6:S11" si="9">R6*M6*$S$2</f>
        <v>0</v>
      </c>
      <c r="T6" s="29"/>
      <c r="U6" s="27">
        <f t="shared" ref="U6:U11" si="10">T6*M6*$U$2</f>
        <v>0</v>
      </c>
      <c r="V6" s="13">
        <f t="shared" ref="V6:V11" si="11">SUM(O6+Q6)+S6+U6</f>
        <v>18897.719999999998</v>
      </c>
      <c r="W6" s="19"/>
      <c r="X6" s="20"/>
    </row>
    <row r="7" spans="1:24" s="43" customFormat="1" ht="38.1" customHeight="1" x14ac:dyDescent="0.3">
      <c r="A7" s="10" t="str">
        <f t="shared" si="6"/>
        <v>E00000803073021001</v>
      </c>
      <c r="B7" s="51"/>
      <c r="C7" s="51"/>
      <c r="D7" s="51"/>
      <c r="E7" s="51"/>
      <c r="F7" s="11"/>
      <c r="G7" s="23" t="s">
        <v>44</v>
      </c>
      <c r="H7" s="7"/>
      <c r="I7" s="7"/>
      <c r="J7" s="36" t="s">
        <v>45</v>
      </c>
      <c r="K7" s="36" t="s">
        <v>46</v>
      </c>
      <c r="L7" s="24" t="s">
        <v>43</v>
      </c>
      <c r="M7" s="32">
        <v>2</v>
      </c>
      <c r="N7" s="28">
        <v>985</v>
      </c>
      <c r="O7" s="27">
        <f t="shared" si="7"/>
        <v>1644.9499999999998</v>
      </c>
      <c r="P7" s="28">
        <v>32844</v>
      </c>
      <c r="Q7" s="27">
        <f t="shared" si="8"/>
        <v>54849.479999999996</v>
      </c>
      <c r="R7" s="29"/>
      <c r="S7" s="27">
        <f t="shared" si="9"/>
        <v>0</v>
      </c>
      <c r="T7" s="29"/>
      <c r="U7" s="27">
        <f t="shared" si="10"/>
        <v>0</v>
      </c>
      <c r="V7" s="13">
        <f t="shared" si="11"/>
        <v>56494.429999999993</v>
      </c>
      <c r="W7" s="19"/>
      <c r="X7" s="20"/>
    </row>
    <row r="8" spans="1:24" s="43" customFormat="1" ht="38.1" customHeight="1" x14ac:dyDescent="0.3">
      <c r="A8" s="10" t="str">
        <f t="shared" si="6"/>
        <v>E00000803073030101</v>
      </c>
      <c r="B8" s="51"/>
      <c r="C8" s="51"/>
      <c r="D8" s="51"/>
      <c r="E8" s="51"/>
      <c r="F8" s="11"/>
      <c r="G8" s="23" t="s">
        <v>47</v>
      </c>
      <c r="H8" s="7"/>
      <c r="I8" s="7"/>
      <c r="J8" s="36" t="s">
        <v>48</v>
      </c>
      <c r="K8" s="36"/>
      <c r="L8" s="24" t="s">
        <v>49</v>
      </c>
      <c r="M8" s="32">
        <v>8</v>
      </c>
      <c r="N8" s="26"/>
      <c r="O8" s="27">
        <f t="shared" si="7"/>
        <v>0</v>
      </c>
      <c r="P8" s="28">
        <v>5015</v>
      </c>
      <c r="Q8" s="27">
        <f t="shared" si="8"/>
        <v>33500.199999999997</v>
      </c>
      <c r="R8" s="29"/>
      <c r="S8" s="27">
        <f t="shared" si="9"/>
        <v>0</v>
      </c>
      <c r="T8" s="29"/>
      <c r="U8" s="27">
        <f t="shared" si="10"/>
        <v>0</v>
      </c>
      <c r="V8" s="13">
        <f t="shared" si="11"/>
        <v>33500.199999999997</v>
      </c>
      <c r="W8" s="19"/>
      <c r="X8" s="20"/>
    </row>
    <row r="9" spans="1:24" s="43" customFormat="1" ht="38.1" customHeight="1" x14ac:dyDescent="0.3">
      <c r="A9" s="10" t="str">
        <f t="shared" si="6"/>
        <v>M020251411760101</v>
      </c>
      <c r="B9" s="51"/>
      <c r="C9" s="51"/>
      <c r="D9" s="51"/>
      <c r="E9" s="51"/>
      <c r="F9" s="11"/>
      <c r="G9" s="7"/>
      <c r="H9" s="23" t="s">
        <v>50</v>
      </c>
      <c r="I9" s="7"/>
      <c r="J9" s="36" t="s">
        <v>12</v>
      </c>
      <c r="K9" s="36" t="s">
        <v>13</v>
      </c>
      <c r="L9" s="24" t="s">
        <v>51</v>
      </c>
      <c r="M9" s="32">
        <v>4</v>
      </c>
      <c r="N9" s="30">
        <v>5000</v>
      </c>
      <c r="O9" s="27">
        <f t="shared" si="7"/>
        <v>16700</v>
      </c>
      <c r="P9" s="31"/>
      <c r="Q9" s="27">
        <f t="shared" si="8"/>
        <v>0</v>
      </c>
      <c r="R9" s="29"/>
      <c r="S9" s="27">
        <f t="shared" si="9"/>
        <v>0</v>
      </c>
      <c r="T9" s="29"/>
      <c r="U9" s="27">
        <f t="shared" si="10"/>
        <v>0</v>
      </c>
      <c r="V9" s="13">
        <f t="shared" si="11"/>
        <v>16700</v>
      </c>
      <c r="W9" s="19"/>
      <c r="X9" s="20"/>
    </row>
    <row r="10" spans="1:24" s="43" customFormat="1" ht="38.1" customHeight="1" x14ac:dyDescent="0.3">
      <c r="A10" s="10" t="str">
        <f t="shared" ref="A10" si="12">F10&amp;G10&amp;H10&amp;I10</f>
        <v>M060302210060101</v>
      </c>
      <c r="B10" s="51"/>
      <c r="C10" s="51"/>
      <c r="D10" s="51"/>
      <c r="E10" s="51"/>
      <c r="F10" s="11"/>
      <c r="G10" s="7"/>
      <c r="H10" s="23" t="s">
        <v>52</v>
      </c>
      <c r="I10" s="7"/>
      <c r="J10" s="36" t="s">
        <v>53</v>
      </c>
      <c r="K10" s="36" t="s">
        <v>54</v>
      </c>
      <c r="L10" s="24" t="s">
        <v>35</v>
      </c>
      <c r="M10" s="33">
        <v>1</v>
      </c>
      <c r="N10" s="30">
        <v>146400</v>
      </c>
      <c r="O10" s="27">
        <f t="shared" ref="O10" si="13">SUM(N10:N10)*M10*$O$2</f>
        <v>122244</v>
      </c>
      <c r="P10" s="31"/>
      <c r="Q10" s="27">
        <f t="shared" si="8"/>
        <v>0</v>
      </c>
      <c r="R10" s="29"/>
      <c r="S10" s="27">
        <f t="shared" si="9"/>
        <v>0</v>
      </c>
      <c r="T10" s="29"/>
      <c r="U10" s="27">
        <f t="shared" si="10"/>
        <v>0</v>
      </c>
      <c r="V10" s="13">
        <f t="shared" si="11"/>
        <v>122244</v>
      </c>
      <c r="W10" s="19"/>
      <c r="X10" s="20"/>
    </row>
    <row r="11" spans="1:24" s="43" customFormat="1" ht="38.1" customHeight="1" x14ac:dyDescent="0.3">
      <c r="A11" s="10" t="str">
        <f t="shared" si="6"/>
        <v>L003</v>
      </c>
      <c r="B11" s="51"/>
      <c r="C11" s="51"/>
      <c r="D11" s="51"/>
      <c r="E11" s="51"/>
      <c r="F11" s="11"/>
      <c r="G11" s="7"/>
      <c r="H11" s="7"/>
      <c r="I11" s="11" t="s">
        <v>10</v>
      </c>
      <c r="J11" s="37" t="s">
        <v>11</v>
      </c>
      <c r="K11" s="37" t="s">
        <v>9</v>
      </c>
      <c r="L11" s="24" t="s">
        <v>8</v>
      </c>
      <c r="M11" s="32">
        <v>1</v>
      </c>
      <c r="N11" s="14"/>
      <c r="O11" s="12">
        <f t="shared" si="7"/>
        <v>0</v>
      </c>
      <c r="P11" s="21">
        <v>219321</v>
      </c>
      <c r="Q11" s="12">
        <f>M11*P11</f>
        <v>219321</v>
      </c>
      <c r="R11" s="13"/>
      <c r="S11" s="12">
        <f t="shared" si="9"/>
        <v>0</v>
      </c>
      <c r="T11" s="13"/>
      <c r="U11" s="12">
        <f t="shared" si="10"/>
        <v>0</v>
      </c>
      <c r="V11" s="13">
        <f t="shared" si="11"/>
        <v>219321</v>
      </c>
      <c r="W11" s="19"/>
      <c r="X11" s="20"/>
    </row>
    <row r="12" spans="1:24" s="43" customFormat="1" ht="38.1" customHeight="1" x14ac:dyDescent="0.3">
      <c r="A12" s="10" t="str">
        <f t="shared" si="6"/>
        <v>L003</v>
      </c>
      <c r="B12" s="51"/>
      <c r="C12" s="51"/>
      <c r="D12" s="51"/>
      <c r="E12" s="51"/>
      <c r="F12" s="11"/>
      <c r="G12" s="7"/>
      <c r="H12" s="7"/>
      <c r="I12" s="11" t="s">
        <v>10</v>
      </c>
      <c r="J12" s="37" t="s">
        <v>11</v>
      </c>
      <c r="K12" s="37" t="s">
        <v>9</v>
      </c>
      <c r="L12" s="24" t="s">
        <v>8</v>
      </c>
      <c r="M12" s="32">
        <v>0.5</v>
      </c>
      <c r="N12" s="14"/>
      <c r="O12" s="12">
        <f t="shared" si="7"/>
        <v>0</v>
      </c>
      <c r="P12" s="21">
        <v>219321</v>
      </c>
      <c r="Q12" s="12">
        <f>M12*P12</f>
        <v>109660.5</v>
      </c>
      <c r="R12" s="13"/>
      <c r="S12" s="12">
        <f t="shared" ref="S12" si="14">R12*M12*$S$2</f>
        <v>0</v>
      </c>
      <c r="T12" s="13"/>
      <c r="U12" s="12">
        <f t="shared" ref="U12" si="15">T12*M12*$U$2</f>
        <v>0</v>
      </c>
      <c r="V12" s="13">
        <f t="shared" ref="V12" si="16">SUM(O12+Q12)+S12+U12</f>
        <v>109660.5</v>
      </c>
      <c r="W12" s="19"/>
      <c r="X12" s="20"/>
    </row>
    <row r="13" spans="1:24" s="45" customFormat="1" ht="38.1" customHeight="1" x14ac:dyDescent="0.3">
      <c r="A13" s="44"/>
      <c r="B13" s="44"/>
      <c r="C13" s="44"/>
      <c r="D13" s="44"/>
      <c r="E13" s="44"/>
      <c r="J13" s="38"/>
      <c r="K13" s="38"/>
      <c r="O13" s="46">
        <f>SUM(O5:O12)</f>
        <v>140588.95000000001</v>
      </c>
      <c r="P13" s="47"/>
      <c r="Q13" s="46">
        <f>SUM(Q5:Q12)</f>
        <v>562013.30000000005</v>
      </c>
      <c r="R13" s="47"/>
      <c r="S13" s="46">
        <f>SUM(S5:S12)</f>
        <v>0</v>
      </c>
      <c r="T13" s="47"/>
      <c r="U13" s="46">
        <f>SUM(U5:U12)</f>
        <v>0</v>
      </c>
      <c r="V13" s="48">
        <f>SUM(V5:V12)</f>
        <v>702602.25</v>
      </c>
      <c r="W13" s="15"/>
    </row>
    <row r="17" spans="17:17" ht="38.1" customHeight="1" x14ac:dyDescent="0.3">
      <c r="Q17" s="50"/>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I30" sqref="I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7</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2</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2</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8</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4</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1</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2026-01-18T06:47:52Z</dcterms:modified>
</cp:coreProperties>
</file>
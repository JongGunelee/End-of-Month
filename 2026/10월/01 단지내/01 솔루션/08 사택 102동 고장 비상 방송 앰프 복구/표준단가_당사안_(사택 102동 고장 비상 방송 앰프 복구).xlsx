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11\06 작업폴더\01 사택 102동 고장 비상 방송 앰프 복구\"/>
    </mc:Choice>
  </mc:AlternateContent>
  <xr:revisionPtr revIDLastSave="0" documentId="13_ncr:1_{DE9DEA2B-D718-4D3A-B391-D8FB5D9C54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갑지" sheetId="5" r:id="rId1"/>
    <sheet name="내역서(표준단가)" sheetId="11" r:id="rId2"/>
    <sheet name="Upload" sheetId="12" r:id="rId3"/>
    <sheet name="Upload(시중가)-별도입력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1" l="1"/>
  <c r="M9" i="11" s="1"/>
  <c r="A7" i="11"/>
  <c r="F3" i="12"/>
  <c r="E3" i="12"/>
  <c r="D3" i="12"/>
  <c r="C3" i="12"/>
  <c r="B3" i="12"/>
  <c r="F2" i="12"/>
  <c r="E2" i="12"/>
  <c r="D2" i="12"/>
  <c r="C2" i="12"/>
  <c r="B2" i="12"/>
  <c r="K6" i="11"/>
  <c r="Q8" i="11"/>
  <c r="O8" i="11"/>
  <c r="M8" i="11"/>
  <c r="K8" i="11"/>
  <c r="A8" i="11"/>
  <c r="A3" i="12" s="1"/>
  <c r="Q6" i="11"/>
  <c r="O6" i="11"/>
  <c r="M6" i="11"/>
  <c r="A6" i="11"/>
  <c r="A2" i="12" s="1"/>
  <c r="Q9" i="11" l="1"/>
  <c r="K9" i="11"/>
  <c r="R6" i="11"/>
  <c r="O9" i="11"/>
  <c r="R8" i="11"/>
  <c r="R9" i="11" l="1"/>
  <c r="F16" i="5" l="1"/>
  <c r="F25" i="5" l="1"/>
  <c r="F24" i="5"/>
  <c r="F26" i="5" s="1"/>
  <c r="F23" i="5"/>
  <c r="F22" i="5"/>
  <c r="F15" i="5"/>
  <c r="F21" i="5" s="1"/>
  <c r="F27" i="5" l="1"/>
  <c r="F17" i="5"/>
  <c r="A1" i="11" l="1"/>
  <c r="A5" i="11"/>
  <c r="A10" i="11"/>
  <c r="F19" i="5" l="1"/>
  <c r="F28" i="5" l="1"/>
  <c r="F30" i="5" s="1"/>
  <c r="F31" i="5" s="1"/>
  <c r="B1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<sst xmlns="http://schemas.openxmlformats.org/spreadsheetml/2006/main" count="141" uniqueCount="117">
  <si>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</si>
  <si>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</si>
  <si>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</si>
  <si>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</si>
  <si>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</si>
  <si>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</si>
  <si>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</si>
  <si>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</si>
  <si>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</si>
  <si>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</si>
  <si>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</si>
  <si>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</si>
  <si>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</si>
  <si>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</si>
  <si>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</si>
  <si>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</si>
  <si>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</si>
  <si>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</si>
  <si>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</si>
  <si>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</si>
  <si>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</si>
  <si>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</si>
  <si>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</si>
  <si>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모든공사에 적용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</si>
  <si>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</si>
  <si>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</si>
  <si>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</si>
  <si>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</si>
  <si>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일반관리비/이윤</t>
    <phoneticPr fontId="24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</si>
  <si>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</si>
  <si>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</si>
  <si>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</si>
  <si>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</si>
  <si>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</si>
  <si>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</si>
  <si>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</si>
  <si>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</si>
  <si>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</si>
  <si>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</si>
  <si>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</si>
  <si>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</si>
  <si>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</si>
  <si>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</si>
  <si>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</si>
  <si>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</si>
  <si>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</si>
  <si>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</si>
  <si>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</si>
  <si>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</si>
  <si>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</si>
  <si>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</si>
  <si>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</si>
  <si>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</si>
  <si>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</si>
  <si>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5" type="noConversion"/>
  </si>
  <si>
    <t>식</t>
    <phoneticPr fontId="24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</si>
  <si>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</si>
  <si>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</si>
  <si>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</si>
  <si>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</si>
  <si>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</si>
  <si>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</si>
  <si>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</si>
  <si>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</si>
  <si>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</si>
  <si>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</si>
  <si>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</si>
  <si>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</si>
  <si>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</si>
  <si>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</si>
  <si>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</si>
  <si>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</si>
  <si>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</si>
  <si>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추가ITEM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</si>
  <si>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</si>
  <si>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</si>
  <si>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</si>
  <si>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</si>
  <si>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</si>
  <si>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</si>
  <si>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</si>
  <si>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</si>
  <si>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</si>
  <si>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합          계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</si>
  <si>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</si>
  <si>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</si>
  <si>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 노무비*4.75%</t>
    <phoneticPr fontId="24" type="noConversion"/>
  </si>
  <si>
    <t> 노무비*3.595%</t>
    <phoneticPr fontId="24" type="noConversion"/>
  </si>
  <si>
    <t>  고용보험료</t>
    <phoneticPr fontId="24" type="noConversion"/>
  </si>
  <si>
    <t> 노무비*1.01%</t>
    <phoneticPr fontId="24" type="noConversion"/>
  </si>
  <si>
    <t>  산재보험료</t>
    <phoneticPr fontId="24" type="noConversion"/>
  </si>
  <si>
    <t> 노무비*3.56%</t>
    <phoneticPr fontId="24" type="noConversion"/>
  </si>
  <si>
    <t> (재료비+노무비)*3.11%</t>
    <phoneticPr fontId="24" type="noConversion"/>
  </si>
  <si>
    <t> (노무비+간접공사비)*5%</t>
    <phoneticPr fontId="24" type="noConversion"/>
  </si>
  <si>
    <t>건설기계대여금</t>
    <phoneticPr fontId="15" type="noConversion"/>
  </si>
  <si>
    <t>안전보건관리비</t>
    <phoneticPr fontId="24" type="noConversion"/>
  </si>
  <si>
    <t> 국민건강 보험료</t>
    <phoneticPr fontId="24" type="noConversion"/>
  </si>
  <si>
    <t>  국민연금 보험료</t>
    <phoneticPr fontId="24" type="noConversion"/>
  </si>
  <si>
    <t>  노인장기요양 보험료</t>
    <phoneticPr fontId="24" type="noConversion"/>
  </si>
  <si>
    <t> 건강보험료*13.34%</t>
    <phoneticPr fontId="24" type="noConversion"/>
  </si>
  <si>
    <t>L002</t>
    <phoneticPr fontId="8" type="noConversion"/>
  </si>
  <si>
    <t>보통인부</t>
    <phoneticPr fontId="8" type="noConversion"/>
  </si>
  <si>
    <t>인</t>
    <phoneticPr fontId="8" type="noConversion"/>
  </si>
  <si>
    <t>식</t>
    <phoneticPr fontId="8" type="noConversion"/>
  </si>
  <si>
    <t>999990</t>
    <phoneticPr fontId="8" type="noConversion"/>
  </si>
  <si>
    <t>출장비 포함</t>
    <phoneticPr fontId="8" type="noConversion"/>
  </si>
  <si>
    <t>방송 장비 점검 및 Program 수정</t>
    <phoneticPr fontId="8" type="noConversion"/>
  </si>
  <si>
    <t>★ 수신기 프로그램 수정 및  MMI 키보드 교체</t>
    <phoneticPr fontId="8" type="noConversion"/>
  </si>
  <si>
    <t>★ 방송 장비 점검 및 Program 수정</t>
    <phoneticPr fontId="8" type="noConversion"/>
  </si>
  <si>
    <t xml:space="preserve"> 2026 년 09 월 07 일</t>
    <phoneticPr fontId="8" type="noConversion"/>
  </si>
  <si>
    <t>최소 인건비</t>
    <phoneticPr fontId="8" type="noConversion"/>
  </si>
  <si>
    <t>L080</t>
    <phoneticPr fontId="8" type="noConversion"/>
  </si>
  <si>
    <t>각층별 및 사이렌 및 조작 및 점검</t>
    <phoneticPr fontId="8" type="noConversion"/>
  </si>
  <si>
    <t>통신 내선공</t>
    <phoneticPr fontId="8" type="noConversion"/>
  </si>
  <si>
    <t>각층별 및 사이렌 및 조작 및 점검</t>
    <phoneticPr fontId="8" type="noConversion"/>
  </si>
  <si>
    <t>최소 인건비</t>
    <phoneticPr fontId="8" type="noConversion"/>
  </si>
  <si>
    <t>사택 102동 고장 비상 방송 앰프 복구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</si>
</sst>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₩&quot;* #,##0_);_(&quot;₩&quot;* \(#,##0\);_(&quot;₩&quot;* &quot;-&quot;_);_(@_)"/>
    <numFmt numFmtId="41" formatCode="_(* #,##0_);_(* \(#,##0\);_(* &quot;-&quot;_);_(@_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1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41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4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7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78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78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78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78" fontId="19" fillId="0" borderId="15" xfId="7" applyFont="1" applyFill="1" applyBorder="1" applyAlignment="1">
      <alignment horizontal="right" vertical="center"/>
    </xf>
    <xf numFmtId="176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41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41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78" fontId="26" fillId="5" borderId="15" xfId="7" applyFont="1" applyFill="1" applyBorder="1" applyAlignment="1">
      <alignment horizontal="right" vertical="center"/>
    </xf>
    <xf numFmtId="178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79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79" fontId="29" fillId="7" borderId="1" xfId="1" applyNumberFormat="1" applyFont="1" applyFill="1" applyBorder="1" applyAlignment="1">
      <alignment horizontal="center" vertical="center"/>
    </xf>
    <xf numFmtId="179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5" xfId="6" applyFont="1" applyBorder="1" applyAlignment="1">
      <alignment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49" fontId="7" fillId="2" borderId="33" xfId="0" applyNumberFormat="1" applyFont="1" applyFill="1" applyBorder="1" applyAlignment="1">
      <alignment horizontal="center" vertical="center" wrapText="1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41" fontId="37" fillId="0" borderId="3" xfId="1" applyFont="1" applyFill="1" applyBorder="1" applyAlignment="1">
      <alignment horizontal="center"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7" fillId="0" borderId="3" xfId="3" applyFont="1" applyBorder="1" applyAlignment="1">
      <alignment vertical="center" shrinkToFit="1"/>
    </xf>
    <xf numFmtId="49" fontId="39" fillId="5" borderId="3" xfId="0" applyNumberFormat="1" applyFont="1" applyFill="1" applyBorder="1" applyAlignment="1">
      <alignment horizontal="center" vertical="center" wrapText="1"/>
    </xf>
    <xf numFmtId="41" fontId="39" fillId="5" borderId="3" xfId="0" applyNumberFormat="1" applyFont="1" applyFill="1" applyBorder="1" applyAlignment="1">
      <alignment horizontal="center" vertical="center" wrapText="1"/>
    </xf>
    <xf numFmtId="41" fontId="39" fillId="6" borderId="3" xfId="1" applyFont="1" applyFill="1" applyBorder="1" applyAlignment="1">
      <alignment horizontal="center" vertical="center"/>
    </xf>
    <xf numFmtId="41" fontId="39" fillId="0" borderId="3" xfId="1" applyFont="1" applyFill="1" applyBorder="1" applyAlignment="1">
      <alignment horizontal="center" vertical="center"/>
    </xf>
    <xf numFmtId="9" fontId="38" fillId="0" borderId="4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40" fillId="7" borderId="3" xfId="0" applyFont="1" applyFill="1" applyBorder="1" applyAlignment="1">
      <alignment horizontal="center" vertical="center"/>
    </xf>
    <xf numFmtId="0" fontId="38" fillId="5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9" fontId="40" fillId="0" borderId="0" xfId="0" applyNumberFormat="1" applyFont="1" applyAlignment="1">
      <alignment horizontal="center" vertical="center"/>
    </xf>
    <xf numFmtId="9" fontId="37" fillId="3" borderId="0" xfId="2" applyFont="1" applyFill="1" applyAlignment="1">
      <alignment horizontal="center" vertical="center"/>
    </xf>
    <xf numFmtId="0" fontId="41" fillId="9" borderId="24" xfId="0" applyFont="1" applyFill="1" applyBorder="1">
      <alignment vertical="center"/>
    </xf>
    <xf numFmtId="0" fontId="41" fillId="9" borderId="21" xfId="0" applyFont="1" applyFill="1" applyBorder="1">
      <alignment vertical="center"/>
    </xf>
    <xf numFmtId="0" fontId="37" fillId="4" borderId="3" xfId="3" applyFont="1" applyFill="1" applyBorder="1" applyAlignment="1">
      <alignment horizontal="center" vertical="center"/>
    </xf>
    <xf numFmtId="41" fontId="37" fillId="4" borderId="3" xfId="16" applyFont="1" applyFill="1" applyBorder="1" applyAlignment="1">
      <alignment horizontal="center" vertical="center"/>
    </xf>
    <xf numFmtId="176" fontId="37" fillId="4" borderId="3" xfId="5" applyFont="1" applyFill="1" applyBorder="1" applyAlignment="1">
      <alignment horizontal="center" vertical="center"/>
    </xf>
    <xf numFmtId="41" fontId="37" fillId="6" borderId="3" xfId="1" applyFont="1" applyFill="1" applyBorder="1" applyAlignment="1">
      <alignment horizontal="center" vertical="center"/>
    </xf>
    <xf numFmtId="49" fontId="37" fillId="7" borderId="3" xfId="0" applyNumberFormat="1" applyFont="1" applyFill="1" applyBorder="1" applyAlignment="1">
      <alignment horizontal="center" vertical="center" wrapText="1"/>
    </xf>
    <xf numFmtId="49" fontId="37" fillId="5" borderId="3" xfId="0" applyNumberFormat="1" applyFont="1" applyFill="1" applyBorder="1" applyAlignment="1">
      <alignment horizontal="left" vertical="center" wrapText="1"/>
    </xf>
    <xf numFmtId="49" fontId="37" fillId="0" borderId="3" xfId="0" applyNumberFormat="1" applyFont="1" applyBorder="1" applyAlignment="1">
      <alignment horizontal="left" vertical="center" wrapText="1"/>
    </xf>
    <xf numFmtId="9" fontId="37" fillId="5" borderId="4" xfId="1" quotePrefix="1" applyNumberFormat="1" applyFont="1" applyFill="1" applyBorder="1" applyAlignment="1">
      <alignment horizontal="center" vertical="center"/>
    </xf>
    <xf numFmtId="0" fontId="37" fillId="5" borderId="23" xfId="0" applyFont="1" applyFill="1" applyBorder="1" applyAlignment="1">
      <alignment horizontal="center" vertical="center"/>
    </xf>
    <xf numFmtId="49" fontId="37" fillId="7" borderId="3" xfId="0" applyNumberFormat="1" applyFont="1" applyFill="1" applyBorder="1" applyAlignment="1">
      <alignment horizontal="center" vertical="center"/>
    </xf>
    <xf numFmtId="0" fontId="42" fillId="10" borderId="3" xfId="3" applyFont="1" applyFill="1" applyBorder="1" applyAlignment="1">
      <alignment horizontal="center" vertical="center" shrinkToFit="1"/>
    </xf>
    <xf numFmtId="0" fontId="43" fillId="9" borderId="24" xfId="0" applyFont="1" applyFill="1" applyBorder="1">
      <alignment vertical="center"/>
    </xf>
    <xf numFmtId="0" fontId="26" fillId="0" borderId="15" xfId="8" applyFont="1" applyBorder="1" applyAlignment="1">
      <alignment horizontal="center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horizontal="center" vertical="center"/>
    </xf>
    <xf numFmtId="176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1" fontId="37" fillId="5" borderId="3" xfId="1" applyFont="1" applyFill="1" applyBorder="1" applyAlignment="1">
      <alignment horizontal="center" vertical="center" wrapText="1"/>
    </xf>
    <xf numFmtId="41" fontId="44" fillId="0" borderId="34" xfId="0" applyNumberFormat="1" applyFont="1" applyBorder="1">
      <alignment vertical="center"/>
    </xf>
    <xf numFmtId="0" fontId="44" fillId="0" borderId="37" xfId="0" applyFont="1" applyBorder="1" applyAlignment="1">
      <alignment horizontal="center" vertical="center"/>
    </xf>
    <xf numFmtId="0" fontId="44" fillId="0" borderId="35" xfId="0" applyFont="1" applyBorder="1">
      <alignment vertical="center"/>
    </xf>
    <xf numFmtId="0" fontId="44" fillId="0" borderId="0" xfId="0" applyFont="1">
      <alignment vertical="center"/>
    </xf>
    <xf numFmtId="0" fontId="37" fillId="6" borderId="22" xfId="0" applyFont="1" applyFill="1" applyBorder="1" applyAlignment="1">
      <alignment horizontal="center" vertical="center"/>
    </xf>
    <xf numFmtId="49" fontId="37" fillId="5" borderId="3" xfId="0" applyNumberFormat="1" applyFont="1" applyFill="1" applyBorder="1" applyAlignment="1">
      <alignment horizontal="center" vertical="center" wrapText="1"/>
    </xf>
    <xf numFmtId="41" fontId="37" fillId="0" borderId="3" xfId="1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41" fontId="37" fillId="5" borderId="3" xfId="0" applyNumberFormat="1" applyFont="1" applyFill="1" applyBorder="1" applyAlignment="1">
      <alignment horizontal="center" vertical="center" wrapText="1"/>
    </xf>
    <xf numFmtId="0" fontId="37" fillId="7" borderId="38" xfId="0" applyFont="1" applyFill="1" applyBorder="1" applyAlignment="1">
      <alignment horizontal="center" vertical="center"/>
    </xf>
    <xf numFmtId="41" fontId="37" fillId="0" borderId="38" xfId="1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41" fontId="47" fillId="10" borderId="34" xfId="0" applyNumberFormat="1" applyFont="1" applyFill="1" applyBorder="1">
      <alignment vertical="center"/>
    </xf>
    <xf numFmtId="41" fontId="47" fillId="0" borderId="34" xfId="0" applyNumberFormat="1" applyFont="1" applyBorder="1">
      <alignment vertical="center"/>
    </xf>
    <xf numFmtId="0" fontId="48" fillId="5" borderId="23" xfId="0" applyFont="1" applyFill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41" fontId="47" fillId="0" borderId="39" xfId="0" applyNumberFormat="1" applyFont="1" applyBorder="1" applyAlignment="1">
      <alignment horizontal="center" vertical="center"/>
    </xf>
    <xf numFmtId="41" fontId="47" fillId="0" borderId="36" xfId="0" applyNumberFormat="1" applyFont="1" applyBorder="1" applyAlignment="1">
      <alignment horizontal="center" vertical="center"/>
    </xf>
    <xf numFmtId="41" fontId="37" fillId="4" borderId="21" xfId="16" applyFont="1" applyFill="1" applyBorder="1" applyAlignment="1">
      <alignment horizontal="center" vertical="center"/>
    </xf>
    <xf numFmtId="0" fontId="37" fillId="4" borderId="21" xfId="3" applyFont="1" applyFill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9" borderId="30" xfId="0" applyFont="1" applyFill="1" applyBorder="1" applyAlignment="1">
      <alignment horizontal="center" vertical="center"/>
    </xf>
    <xf numFmtId="0" fontId="43" fillId="9" borderId="4" xfId="0" applyFont="1" applyFill="1" applyBorder="1" applyAlignment="1">
      <alignment horizontal="center" vertical="center"/>
    </xf>
    <xf numFmtId="176" fontId="37" fillId="4" borderId="21" xfId="5" applyFont="1" applyFill="1" applyBorder="1" applyAlignment="1">
      <alignment horizontal="center" vertical="center"/>
    </xf>
    <xf numFmtId="0" fontId="40" fillId="4" borderId="21" xfId="0" applyFont="1" applyFill="1" applyBorder="1" applyAlignment="1">
      <alignment horizontal="center" vertical="center"/>
    </xf>
    <xf numFmtId="0" fontId="40" fillId="4" borderId="3" xfId="0" applyFont="1" applyFill="1" applyBorder="1" applyAlignment="1">
      <alignment horizontal="center" vertical="center"/>
    </xf>
    <xf numFmtId="0" fontId="37" fillId="4" borderId="3" xfId="3" applyFont="1" applyFill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5" xfId="30" xr:uid="{41963011-AF12-44F5-A65A-057CEBEECC47}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9" xfId="13" xr:uid="{00000000-0005-0000-0000-000005000000}"/>
    <cellStyle name="쉼표 [0] 2 2 29 2" xfId="23" xr:uid="{02EE568B-A183-4B0E-A384-CE444135A6A6}"/>
    <cellStyle name="쉼표 [0] 2 3" xfId="20" xr:uid="{86059317-9C1A-41A3-BB2C-CCC3F2C947C3}"/>
    <cellStyle name="쉼표 [0] 3" xfId="18" xr:uid="{AE4438CB-EC61-42DB-8C44-F0BC8096A524}"/>
    <cellStyle name="쉼표 [0] 3 2" xfId="26" xr:uid="{835CC124-E861-4950-8047-48A88A59D203}"/>
    <cellStyle name="쉼표 [0] 4" xfId="19" xr:uid="{D981F66D-7210-43DB-B4BB-C9CC62EE8FB3}"/>
    <cellStyle name="쉼표 [0] 4 2" xfId="27" xr:uid="{344A09CD-DD3D-4401-9739-AD886ED12627}"/>
    <cellStyle name="쉼표 [0] 5" xfId="28" xr:uid="{7ED955DD-1546-414A-B711-6F73E7BB39E2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표준" xfId="0" builtinId="0"/>
    <cellStyle name="표준 10 10 2" xfId="3" xr:uid="{00000000-0005-0000-0000-000009000000}"/>
    <cellStyle name="표준 10 31" xfId="11" xr:uid="{00000000-0005-0000-0000-00000A000000}"/>
    <cellStyle name="표준 15" xfId="29" xr:uid="{F2A1EFD4-E35E-4862-AADA-8DC56405886E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3" xfId="14" xr:uid="{00000000-0005-0000-0000-00000D000000}"/>
    <cellStyle name="표준 3 2" xfId="24" xr:uid="{1A7F0582-4B57-49D9-9474-A0CAB3A96714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7</xdr:row>
      <xdr:rowOff>200025</xdr:rowOff>
    </xdr:from>
    <xdr:to>
      <xdr:col>5</xdr:col>
      <xdr:colOff>3943350</xdr:colOff>
      <xdr:row>10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4</xdr:row>
      <xdr:rowOff>152401</xdr:rowOff>
    </xdr:from>
    <xdr:to>
      <xdr:col>6</xdr:col>
      <xdr:colOff>2706820</xdr:colOff>
      <xdr:row>6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828675</xdr:colOff>
      <xdr:row>2</xdr:row>
      <xdr:rowOff>200025</xdr:rowOff>
    </xdr:from>
    <xdr:to>
      <xdr:col>3</xdr:col>
      <xdr:colOff>1029657</xdr:colOff>
      <xdr:row>40</xdr:row>
      <xdr:rowOff>206375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7896B2-881A-1A30-377A-DB4D6CF8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638175"/>
          <a:ext cx="5687382" cy="79692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2</xdr:row>
      <xdr:rowOff>152400</xdr:rowOff>
    </xdr:from>
    <xdr:to>
      <xdr:col>10</xdr:col>
      <xdr:colOff>68265</xdr:colOff>
      <xdr:row>5</xdr:row>
      <xdr:rowOff>152541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342585-5E95-E3A2-0371-FF579D7C17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7730"/>
        <a:stretch>
          <a:fillRect/>
        </a:stretch>
      </xdr:blipFill>
      <xdr:spPr>
        <a:xfrm>
          <a:off x="95250" y="590550"/>
          <a:ext cx="11393490" cy="628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984B2E-0971-4240-9A46-84AA674AB752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showGridLines="0" view="pageBreakPreview" topLeftCell="A2" zoomScale="60" zoomScaleNormal="85" workbookViewId="0">
      <selection activeCell="B6" sqref="B6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7.5" style="3" customWidth="1"/>
    <col min="8" max="8" width="11.25" style="3" customWidth="1"/>
    <col min="9" max="9" width="9" style="3"/>
    <col min="10" max="16384" width="9" style="4"/>
  </cols>
  <sheetData>
    <row r="1" spans="1:9" ht="33">
      <c r="A1" s="141" t="s">
        <v>6</v>
      </c>
      <c r="B1" s="141"/>
      <c r="C1" s="141"/>
      <c r="D1" s="141"/>
      <c r="E1" s="141"/>
      <c r="F1" s="141"/>
      <c r="G1" s="141"/>
      <c r="H1" s="2"/>
    </row>
    <row r="2" spans="1:9" ht="14.25">
      <c r="A2" s="5"/>
      <c r="B2" s="5"/>
      <c r="C2" s="5"/>
      <c r="D2" s="5"/>
      <c r="E2" s="5"/>
      <c r="F2" s="5"/>
      <c r="G2" s="5"/>
      <c r="H2" s="5"/>
    </row>
    <row r="3" spans="1:9" ht="14.25">
      <c r="A3" s="5"/>
      <c r="B3" s="5"/>
      <c r="C3" s="5"/>
      <c r="D3" s="5"/>
      <c r="E3" s="5"/>
      <c r="H3" s="5"/>
    </row>
    <row r="4" spans="1:9" ht="27" customHeight="1">
      <c r="A4" s="55" t="s">
        <v>54</v>
      </c>
      <c r="B4" s="56"/>
      <c r="C4" s="57"/>
      <c r="D4" s="5"/>
      <c r="E4" s="5"/>
      <c r="F4" s="65" t="s">
        <v>29</v>
      </c>
      <c r="G4" s="70" t="s">
        <v>56</v>
      </c>
      <c r="H4" s="5"/>
    </row>
    <row r="5" spans="1:9" ht="27" customHeight="1">
      <c r="A5" s="5"/>
      <c r="B5" s="5"/>
      <c r="C5" s="5"/>
      <c r="D5" s="5"/>
      <c r="E5" s="5"/>
      <c r="F5" s="66" t="s">
        <v>32</v>
      </c>
      <c r="G5" s="71" t="s">
        <v>57</v>
      </c>
      <c r="H5" s="5"/>
    </row>
    <row r="6" spans="1:9" ht="27" customHeight="1">
      <c r="A6" s="55" t="s">
        <v>84</v>
      </c>
      <c r="B6" s="58" t="s">
        <v>116</v>
      </c>
      <c r="C6" s="59"/>
      <c r="D6" s="5"/>
      <c r="E6" s="60"/>
      <c r="F6" s="67" t="s">
        <v>33</v>
      </c>
      <c r="G6" s="71" t="s">
        <v>58</v>
      </c>
      <c r="H6" s="5"/>
    </row>
    <row r="7" spans="1:9" ht="27" customHeight="1">
      <c r="A7" s="5"/>
      <c r="B7" s="5"/>
      <c r="C7" s="5"/>
      <c r="D7" s="5"/>
      <c r="E7" s="5"/>
      <c r="F7" s="66" t="s">
        <v>34</v>
      </c>
      <c r="G7" s="71" t="s">
        <v>59</v>
      </c>
      <c r="H7" s="5"/>
    </row>
    <row r="8" spans="1:9" ht="27" customHeight="1">
      <c r="A8" s="55" t="s">
        <v>85</v>
      </c>
      <c r="B8" s="61" t="s">
        <v>109</v>
      </c>
      <c r="C8" s="62"/>
      <c r="D8" s="5"/>
      <c r="E8" s="5"/>
      <c r="F8" s="66" t="s">
        <v>35</v>
      </c>
      <c r="G8" s="71" t="s">
        <v>60</v>
      </c>
      <c r="H8" s="5"/>
    </row>
    <row r="9" spans="1:9" ht="27" customHeight="1">
      <c r="A9" s="5"/>
      <c r="B9" s="5"/>
      <c r="C9" s="5"/>
      <c r="D9" s="5"/>
      <c r="E9" s="5"/>
      <c r="F9" s="68" t="s">
        <v>30</v>
      </c>
      <c r="G9" s="72" t="s">
        <v>61</v>
      </c>
      <c r="H9" s="5"/>
      <c r="I9" s="5"/>
    </row>
    <row r="10" spans="1:9" ht="27" customHeight="1">
      <c r="A10" s="142"/>
      <c r="B10" s="143"/>
      <c r="C10" s="143"/>
      <c r="D10" s="5"/>
      <c r="E10" s="63"/>
      <c r="F10" s="69" t="s">
        <v>31</v>
      </c>
      <c r="G10" s="73" t="s">
        <v>62</v>
      </c>
      <c r="H10" s="63"/>
    </row>
    <row r="11" spans="1:9" ht="18.75" thickBot="1">
      <c r="A11" s="6" t="s">
        <v>7</v>
      </c>
      <c r="B11" s="6" t="str">
        <f>NUMBERSTRING(F31,1)</f>
        <v>일백사십오만육천</v>
      </c>
      <c r="C11" s="7"/>
      <c r="D11" s="8" t="s">
        <v>8</v>
      </c>
      <c r="E11" s="9" t="s">
        <v>9</v>
      </c>
      <c r="F11" s="9" t="s">
        <v>9</v>
      </c>
      <c r="G11" s="10"/>
      <c r="H11" s="11"/>
    </row>
    <row r="12" spans="1:9" ht="15.75" thickTop="1" thickBot="1">
      <c r="A12" s="5"/>
      <c r="B12" s="5"/>
      <c r="C12" s="5"/>
      <c r="D12" s="5"/>
      <c r="E12" s="5"/>
      <c r="F12" s="5"/>
      <c r="G12" s="5"/>
      <c r="H12" s="11"/>
    </row>
    <row r="13" spans="1:9" ht="33" customHeight="1" thickBot="1">
      <c r="A13" s="12" t="s">
        <v>10</v>
      </c>
      <c r="B13" s="13" t="s">
        <v>11</v>
      </c>
      <c r="C13" s="13" t="s">
        <v>12</v>
      </c>
      <c r="D13" s="13" t="s">
        <v>13</v>
      </c>
      <c r="E13" s="13" t="s">
        <v>14</v>
      </c>
      <c r="F13" s="13" t="s">
        <v>15</v>
      </c>
      <c r="G13" s="14" t="s">
        <v>16</v>
      </c>
      <c r="H13" s="11"/>
    </row>
    <row r="14" spans="1:9" ht="33" customHeight="1" thickTop="1">
      <c r="A14" s="15"/>
      <c r="B14" s="16" t="s">
        <v>17</v>
      </c>
      <c r="C14" s="17"/>
      <c r="D14" s="18"/>
      <c r="E14" s="18"/>
      <c r="F14" s="19"/>
      <c r="G14" s="20"/>
    </row>
    <row r="15" spans="1:9" ht="33" customHeight="1">
      <c r="A15" s="21"/>
      <c r="B15" s="22" t="s">
        <v>18</v>
      </c>
      <c r="C15" s="23"/>
      <c r="D15" s="24"/>
      <c r="E15" s="24"/>
      <c r="F15" s="25">
        <f>'내역서(표준단가)'!K9</f>
        <v>0</v>
      </c>
      <c r="G15" s="26"/>
    </row>
    <row r="16" spans="1:9" ht="33" customHeight="1">
      <c r="A16" s="21"/>
      <c r="B16" s="22" t="s">
        <v>19</v>
      </c>
      <c r="C16" s="23"/>
      <c r="D16" s="24"/>
      <c r="E16" s="24"/>
      <c r="F16" s="25">
        <f>'내역서(표준단가)'!M9</f>
        <v>454644</v>
      </c>
      <c r="G16" s="27"/>
      <c r="H16" s="4"/>
      <c r="I16" s="4"/>
    </row>
    <row r="17" spans="1:9" ht="33" customHeight="1">
      <c r="A17" s="21"/>
      <c r="B17" s="22" t="s">
        <v>20</v>
      </c>
      <c r="C17" s="23"/>
      <c r="D17" s="24"/>
      <c r="E17" s="24"/>
      <c r="F17" s="25">
        <f>'내역서(표준단가)'!O9+'내역서(표준단가)'!Q9</f>
        <v>900000</v>
      </c>
      <c r="G17" s="27"/>
      <c r="H17" s="4"/>
      <c r="I17" s="4"/>
    </row>
    <row r="18" spans="1:9" s="3" customFormat="1" ht="33" customHeight="1">
      <c r="A18" s="21"/>
      <c r="B18" s="22" t="s">
        <v>94</v>
      </c>
      <c r="C18" s="23"/>
      <c r="D18" s="24"/>
      <c r="E18" s="24"/>
      <c r="F18" s="25"/>
      <c r="G18" s="27"/>
    </row>
    <row r="19" spans="1:9" ht="33" customHeight="1">
      <c r="A19" s="21"/>
      <c r="B19" s="28" t="s">
        <v>21</v>
      </c>
      <c r="C19" s="28"/>
      <c r="D19" s="29"/>
      <c r="E19" s="29"/>
      <c r="F19" s="30">
        <f>F15+F16+F17</f>
        <v>1354644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104" t="s">
        <v>95</v>
      </c>
      <c r="C21" s="35" t="s">
        <v>92</v>
      </c>
      <c r="D21" s="22">
        <v>1</v>
      </c>
      <c r="E21" s="22" t="s">
        <v>55</v>
      </c>
      <c r="F21" s="34">
        <f>(F15+F16)*3.11%</f>
        <v>14139.428399999999</v>
      </c>
      <c r="G21" s="27" t="s">
        <v>23</v>
      </c>
      <c r="H21" s="4"/>
      <c r="I21" s="4"/>
    </row>
    <row r="22" spans="1:9" ht="33" customHeight="1">
      <c r="A22" s="21"/>
      <c r="B22" s="104" t="s">
        <v>90</v>
      </c>
      <c r="C22" s="32" t="s">
        <v>91</v>
      </c>
      <c r="D22" s="22">
        <v>1</v>
      </c>
      <c r="E22" s="22" t="s">
        <v>55</v>
      </c>
      <c r="F22" s="34">
        <f>F16*3.56%</f>
        <v>16185.3264</v>
      </c>
      <c r="G22" s="27" t="s">
        <v>23</v>
      </c>
      <c r="H22" s="4"/>
      <c r="I22" s="4"/>
    </row>
    <row r="23" spans="1:9" ht="33" customHeight="1">
      <c r="A23" s="21"/>
      <c r="B23" s="104" t="s">
        <v>88</v>
      </c>
      <c r="C23" s="32" t="s">
        <v>89</v>
      </c>
      <c r="D23" s="22">
        <v>1</v>
      </c>
      <c r="E23" s="22" t="s">
        <v>55</v>
      </c>
      <c r="F23" s="34">
        <f>F16*1.01%</f>
        <v>4591.9043999999994</v>
      </c>
      <c r="G23" s="27" t="s">
        <v>23</v>
      </c>
      <c r="H23" s="4"/>
      <c r="I23" s="4"/>
    </row>
    <row r="24" spans="1:9" ht="33" customHeight="1">
      <c r="A24" s="21"/>
      <c r="B24" s="105" t="s">
        <v>96</v>
      </c>
      <c r="C24" s="32" t="s">
        <v>87</v>
      </c>
      <c r="D24" s="106">
        <v>1</v>
      </c>
      <c r="E24" s="106" t="s">
        <v>55</v>
      </c>
      <c r="F24" s="107">
        <f>F16*3.595%</f>
        <v>16344.451800000001</v>
      </c>
      <c r="G24" s="108" t="s">
        <v>23</v>
      </c>
      <c r="H24" s="4"/>
      <c r="I24" s="4"/>
    </row>
    <row r="25" spans="1:9" ht="33" customHeight="1">
      <c r="A25" s="21"/>
      <c r="B25" s="104" t="s">
        <v>97</v>
      </c>
      <c r="C25" s="32" t="s">
        <v>86</v>
      </c>
      <c r="D25" s="22">
        <v>1</v>
      </c>
      <c r="E25" s="22" t="s">
        <v>55</v>
      </c>
      <c r="F25" s="34">
        <f>F16*4.75%</f>
        <v>21595.59</v>
      </c>
      <c r="G25" s="27" t="s">
        <v>23</v>
      </c>
      <c r="H25" s="4"/>
      <c r="I25" s="4"/>
    </row>
    <row r="26" spans="1:9" ht="33" customHeight="1">
      <c r="A26" s="21"/>
      <c r="B26" s="104" t="s">
        <v>98</v>
      </c>
      <c r="C26" s="32" t="s">
        <v>99</v>
      </c>
      <c r="D26" s="22">
        <v>1</v>
      </c>
      <c r="E26" s="22" t="s">
        <v>55</v>
      </c>
      <c r="F26" s="34">
        <f>F24*13.34%</f>
        <v>2180.3498701200001</v>
      </c>
      <c r="G26" s="27" t="s">
        <v>23</v>
      </c>
      <c r="H26" s="4"/>
      <c r="I26" s="4"/>
    </row>
    <row r="27" spans="1:9" ht="33" customHeight="1">
      <c r="A27" s="21"/>
      <c r="B27" s="104" t="s">
        <v>28</v>
      </c>
      <c r="C27" s="35" t="s">
        <v>93</v>
      </c>
      <c r="D27" s="22">
        <v>1</v>
      </c>
      <c r="E27" s="22" t="s">
        <v>55</v>
      </c>
      <c r="F27" s="34">
        <f>SUM(F16+F25+F24+F26+F23+F22+F21)*5%</f>
        <v>26484.052543506004</v>
      </c>
      <c r="G27" s="27"/>
      <c r="H27" s="4"/>
      <c r="I27" s="4"/>
    </row>
    <row r="28" spans="1:9" ht="33" customHeight="1">
      <c r="A28" s="21"/>
      <c r="B28" s="28" t="s">
        <v>24</v>
      </c>
      <c r="C28" s="36"/>
      <c r="D28" s="37"/>
      <c r="E28" s="29"/>
      <c r="F28" s="38">
        <f>F21+F22+F23+F24+F25+F26+F27</f>
        <v>101521.103413626</v>
      </c>
      <c r="G28" s="27"/>
      <c r="H28" s="4"/>
      <c r="I28" s="4"/>
    </row>
    <row r="29" spans="1:9" ht="33" customHeight="1">
      <c r="A29" s="21"/>
      <c r="B29" s="32"/>
      <c r="C29" s="39"/>
      <c r="D29" s="40"/>
      <c r="E29" s="24"/>
      <c r="F29" s="41"/>
      <c r="G29" s="27"/>
      <c r="H29" s="4"/>
      <c r="I29" s="4"/>
    </row>
    <row r="30" spans="1:9" ht="33" customHeight="1">
      <c r="A30" s="21"/>
      <c r="B30" s="42"/>
      <c r="C30" s="39"/>
      <c r="D30" s="40"/>
      <c r="E30" s="24"/>
      <c r="F30" s="43">
        <f>F19+F28+F29</f>
        <v>1456165.1034136261</v>
      </c>
      <c r="G30" s="27"/>
      <c r="H30" s="4"/>
      <c r="I30" s="4"/>
    </row>
    <row r="31" spans="1:9" ht="33" customHeight="1">
      <c r="A31" s="21"/>
      <c r="B31" s="28" t="s">
        <v>25</v>
      </c>
      <c r="C31" s="28"/>
      <c r="D31" s="29"/>
      <c r="E31" s="29"/>
      <c r="F31" s="44">
        <f>ROUNDDOWN(F30,-3)</f>
        <v>1456000</v>
      </c>
      <c r="G31" s="27"/>
      <c r="H31" s="4"/>
      <c r="I31" s="4"/>
    </row>
    <row r="32" spans="1:9" ht="33" customHeight="1" thickBot="1">
      <c r="A32" s="45"/>
      <c r="B32" s="46" t="s">
        <v>26</v>
      </c>
      <c r="C32" s="47"/>
      <c r="D32" s="47"/>
      <c r="E32" s="47"/>
      <c r="F32" s="48"/>
      <c r="G32" s="49"/>
      <c r="H32" s="4"/>
      <c r="I32" s="4"/>
    </row>
    <row r="33" spans="2:2" s="4" customFormat="1" ht="15.75">
      <c r="B33" s="50"/>
    </row>
    <row r="34" spans="2:2" s="4" customFormat="1" ht="15.75">
      <c r="B34" s="50"/>
    </row>
  </sheetData>
  <mergeCells count="2">
    <mergeCell ref="A1:G1"/>
    <mergeCell ref="A10:C10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sheetPr>
    <tabColor rgb="FFFFFF00"/>
  </sheetPr>
  <dimension ref="A1:U10"/>
  <sheetViews>
    <sheetView showGridLines="0" tabSelected="1" view="pageBreakPreview" zoomScaleNormal="85" zoomScaleSheetLayoutView="100" workbookViewId="0">
      <selection activeCell="F6" sqref="F6"/>
    </sheetView>
  </sheetViews>
  <sheetFormatPr defaultColWidth="9" defaultRowHeight="13.5"/>
  <cols>
    <col min="1" max="1" width="9.375" style="75" customWidth="1"/>
    <col min="2" max="2" width="14" style="75" hidden="1" customWidth="1"/>
    <col min="3" max="3" width="19.25" style="75" hidden="1" customWidth="1"/>
    <col min="4" max="4" width="17.375" style="75" hidden="1" customWidth="1"/>
    <col min="5" max="5" width="16.75" style="75" hidden="1" customWidth="1"/>
    <col min="6" max="6" width="39" style="75" customWidth="1"/>
    <col min="7" max="7" width="27.875" style="75" customWidth="1"/>
    <col min="8" max="8" width="5" style="75" bestFit="1" customWidth="1"/>
    <col min="9" max="9" width="7.125" style="75" bestFit="1" customWidth="1"/>
    <col min="10" max="10" width="10.25" style="75" bestFit="1" customWidth="1"/>
    <col min="11" max="11" width="15.625" style="75" customWidth="1"/>
    <col min="12" max="12" width="8.5" style="75" bestFit="1" customWidth="1"/>
    <col min="13" max="13" width="15.625" style="75" customWidth="1"/>
    <col min="14" max="15" width="15.625" style="75" hidden="1" customWidth="1"/>
    <col min="16" max="16" width="10" style="75" bestFit="1" customWidth="1"/>
    <col min="17" max="17" width="15.125" style="75" bestFit="1" customWidth="1"/>
    <col min="18" max="18" width="15.625" style="75" customWidth="1"/>
    <col min="19" max="19" width="11.75" style="76" bestFit="1" customWidth="1"/>
    <col min="20" max="20" width="11.75" style="75" customWidth="1"/>
    <col min="21" max="16384" width="9" style="75"/>
  </cols>
  <sheetData>
    <row r="1" spans="1:21" ht="20.100000000000001" customHeight="1">
      <c r="A1" s="86" t="str">
        <f>B1&amp;C1&amp;D1&amp;E1</f>
        <v/>
      </c>
      <c r="J1" s="76"/>
      <c r="K1" s="87" t="s">
        <v>63</v>
      </c>
      <c r="M1" s="87" t="s">
        <v>63</v>
      </c>
      <c r="O1" s="87" t="s">
        <v>63</v>
      </c>
      <c r="Q1" s="87" t="s">
        <v>63</v>
      </c>
    </row>
    <row r="2" spans="1:21" ht="20.100000000000001" customHeight="1" thickBot="1">
      <c r="A2" s="134"/>
      <c r="B2" s="134"/>
      <c r="C2" s="134"/>
      <c r="D2" s="134"/>
      <c r="E2" s="134"/>
      <c r="J2" s="88"/>
      <c r="K2" s="89">
        <v>0.9</v>
      </c>
      <c r="M2" s="89">
        <v>0.88</v>
      </c>
      <c r="O2" s="89">
        <v>1</v>
      </c>
      <c r="Q2" s="89">
        <v>1</v>
      </c>
    </row>
    <row r="3" spans="1:21" ht="22.5" customHeight="1">
      <c r="A3" s="90"/>
      <c r="B3" s="103" t="s">
        <v>64</v>
      </c>
      <c r="C3" s="91"/>
      <c r="D3" s="91"/>
      <c r="E3" s="91"/>
      <c r="F3" s="131" t="s">
        <v>65</v>
      </c>
      <c r="G3" s="131"/>
      <c r="H3" s="131" t="s">
        <v>41</v>
      </c>
      <c r="I3" s="131" t="s">
        <v>5</v>
      </c>
      <c r="J3" s="130" t="s">
        <v>66</v>
      </c>
      <c r="K3" s="130"/>
      <c r="L3" s="130" t="s">
        <v>67</v>
      </c>
      <c r="M3" s="130"/>
      <c r="N3" s="137" t="s">
        <v>68</v>
      </c>
      <c r="O3" s="137"/>
      <c r="P3" s="137" t="s">
        <v>69</v>
      </c>
      <c r="Q3" s="137"/>
      <c r="R3" s="138" t="s">
        <v>70</v>
      </c>
      <c r="S3" s="135" t="s">
        <v>71</v>
      </c>
      <c r="T3" s="132" t="s">
        <v>36</v>
      </c>
    </row>
    <row r="4" spans="1:21" ht="22.5" customHeight="1">
      <c r="A4" s="114" t="s">
        <v>72</v>
      </c>
      <c r="B4" s="85" t="s">
        <v>73</v>
      </c>
      <c r="C4" s="85" t="s">
        <v>74</v>
      </c>
      <c r="D4" s="85" t="s">
        <v>75</v>
      </c>
      <c r="E4" s="85" t="s">
        <v>76</v>
      </c>
      <c r="F4" s="92" t="s">
        <v>77</v>
      </c>
      <c r="G4" s="92" t="s">
        <v>78</v>
      </c>
      <c r="H4" s="140"/>
      <c r="I4" s="140"/>
      <c r="J4" s="93" t="s">
        <v>79</v>
      </c>
      <c r="K4" s="94" t="s">
        <v>80</v>
      </c>
      <c r="L4" s="93" t="s">
        <v>81</v>
      </c>
      <c r="M4" s="94" t="s">
        <v>80</v>
      </c>
      <c r="N4" s="94" t="s">
        <v>82</v>
      </c>
      <c r="O4" s="94" t="s">
        <v>80</v>
      </c>
      <c r="P4" s="94" t="s">
        <v>82</v>
      </c>
      <c r="Q4" s="94" t="s">
        <v>80</v>
      </c>
      <c r="R4" s="139"/>
      <c r="S4" s="136"/>
      <c r="T4" s="133"/>
    </row>
    <row r="5" spans="1:21" ht="22.5" customHeight="1">
      <c r="A5" s="114" t="str">
        <f t="shared" ref="A5" si="0">B5&amp;C5&amp;D5&amp;E5</f>
        <v/>
      </c>
      <c r="B5" s="77"/>
      <c r="C5" s="77"/>
      <c r="D5" s="77"/>
      <c r="E5" s="77"/>
      <c r="F5" s="102" t="s">
        <v>116</v>
      </c>
      <c r="G5" s="78"/>
      <c r="H5" s="79"/>
      <c r="I5" s="80"/>
      <c r="J5" s="74"/>
      <c r="K5" s="81"/>
      <c r="L5" s="74"/>
      <c r="M5" s="81"/>
      <c r="N5" s="74"/>
      <c r="O5" s="81"/>
      <c r="P5" s="74"/>
      <c r="Q5" s="81"/>
      <c r="R5" s="82"/>
      <c r="S5" s="83"/>
      <c r="T5" s="84"/>
    </row>
    <row r="6" spans="1:21" s="118" customFormat="1" ht="22.5" customHeight="1">
      <c r="A6" s="114" t="str">
        <f t="shared" ref="A6:A7" si="1">B6&amp;C6&amp;D6&amp;E6</f>
        <v>999990</v>
      </c>
      <c r="B6" s="96" t="s">
        <v>104</v>
      </c>
      <c r="C6" s="96"/>
      <c r="D6" s="101"/>
      <c r="E6" s="96"/>
      <c r="F6" s="97" t="s">
        <v>106</v>
      </c>
      <c r="G6" s="98" t="s">
        <v>105</v>
      </c>
      <c r="H6" s="115" t="s">
        <v>103</v>
      </c>
      <c r="I6" s="109">
        <v>1</v>
      </c>
      <c r="J6" s="74"/>
      <c r="K6" s="95">
        <f t="shared" ref="K6" si="2">ROUND(J6*K$2*I6,0)</f>
        <v>0</v>
      </c>
      <c r="L6" s="74"/>
      <c r="M6" s="95">
        <f t="shared" ref="M6" si="3">ROUND(L6*M$2*I6*S6,0)</f>
        <v>0</v>
      </c>
      <c r="N6" s="74"/>
      <c r="O6" s="95">
        <f t="shared" ref="O6" si="4">ROUND(N6*O$2*I6,0)</f>
        <v>0</v>
      </c>
      <c r="P6" s="74">
        <v>900000</v>
      </c>
      <c r="Q6" s="95">
        <f t="shared" ref="Q6" si="5">ROUND(P6*Q$2*I6,0)</f>
        <v>900000</v>
      </c>
      <c r="R6" s="74">
        <f t="shared" ref="R6" si="6">SUM(K6,M6,O6,Q6)</f>
        <v>900000</v>
      </c>
      <c r="S6" s="99">
        <v>1</v>
      </c>
      <c r="T6" s="100"/>
      <c r="U6" s="117"/>
    </row>
    <row r="7" spans="1:21" s="118" customFormat="1" ht="22.5" customHeight="1">
      <c r="A7" s="114" t="str">
        <f t="shared" si="1"/>
        <v>L080</v>
      </c>
      <c r="B7" s="96"/>
      <c r="C7" s="96"/>
      <c r="D7" s="101"/>
      <c r="E7" s="96" t="s">
        <v>111</v>
      </c>
      <c r="F7" s="97" t="s">
        <v>113</v>
      </c>
      <c r="G7" s="98" t="s">
        <v>114</v>
      </c>
      <c r="H7" s="115" t="s">
        <v>102</v>
      </c>
      <c r="I7" s="109">
        <v>1</v>
      </c>
      <c r="J7" s="74"/>
      <c r="K7" s="95"/>
      <c r="L7" s="74">
        <v>283607</v>
      </c>
      <c r="M7" s="95">
        <f>ROUND(L7*I7*S7,0)</f>
        <v>283607</v>
      </c>
      <c r="N7" s="74"/>
      <c r="O7" s="95"/>
      <c r="P7" s="74"/>
      <c r="Q7" s="95"/>
      <c r="R7" s="74"/>
      <c r="S7" s="99">
        <v>1</v>
      </c>
      <c r="T7" s="126" t="s">
        <v>115</v>
      </c>
      <c r="U7" s="117"/>
    </row>
    <row r="8" spans="1:21" s="118" customFormat="1" ht="22.5" customHeight="1" thickBot="1">
      <c r="A8" s="114" t="str">
        <f>B8&amp;C8&amp;D8&amp;E8</f>
        <v>L002</v>
      </c>
      <c r="B8" s="120"/>
      <c r="C8" s="120"/>
      <c r="D8" s="120"/>
      <c r="E8" s="120" t="s">
        <v>100</v>
      </c>
      <c r="F8" s="98" t="s">
        <v>101</v>
      </c>
      <c r="G8" s="98" t="s">
        <v>112</v>
      </c>
      <c r="H8" s="115" t="s">
        <v>102</v>
      </c>
      <c r="I8" s="119">
        <v>1</v>
      </c>
      <c r="J8" s="121"/>
      <c r="K8" s="95">
        <f>ROUND(J8*K$2*I8,0)</f>
        <v>0</v>
      </c>
      <c r="L8" s="116">
        <v>171037</v>
      </c>
      <c r="M8" s="95">
        <f>ROUND(L8*I8*S8,0)</f>
        <v>171037</v>
      </c>
      <c r="N8" s="74"/>
      <c r="O8" s="95">
        <f>ROUND(N8*O$2*I8,0)</f>
        <v>0</v>
      </c>
      <c r="P8" s="74"/>
      <c r="Q8" s="95">
        <f>ROUND(P8*Q$2*I8,0)</f>
        <v>0</v>
      </c>
      <c r="R8" s="116">
        <f>SUM(K8,M8,O8,Q8)</f>
        <v>171037</v>
      </c>
      <c r="S8" s="99">
        <v>1</v>
      </c>
      <c r="T8" s="127" t="s">
        <v>110</v>
      </c>
      <c r="U8" s="117"/>
    </row>
    <row r="9" spans="1:21" s="113" customFormat="1" ht="22.5" customHeight="1" thickBot="1">
      <c r="A9" s="128" t="s">
        <v>83</v>
      </c>
      <c r="B9" s="128"/>
      <c r="C9" s="128"/>
      <c r="D9" s="128"/>
      <c r="E9" s="128"/>
      <c r="F9" s="128"/>
      <c r="G9" s="128"/>
      <c r="H9" s="128"/>
      <c r="I9" s="129"/>
      <c r="J9" s="110"/>
      <c r="K9" s="110">
        <f>SUM(K6:K8)</f>
        <v>0</v>
      </c>
      <c r="L9" s="110"/>
      <c r="M9" s="124">
        <f>SUM(M6:M8)</f>
        <v>454644</v>
      </c>
      <c r="N9" s="110"/>
      <c r="O9" s="110">
        <f>SUM(O6:O8)</f>
        <v>0</v>
      </c>
      <c r="P9" s="110"/>
      <c r="Q9" s="124">
        <f>SUM(Q6:Q8)</f>
        <v>900000</v>
      </c>
      <c r="R9" s="125">
        <f>SUM(R6:R8)</f>
        <v>1071037</v>
      </c>
      <c r="S9" s="111"/>
      <c r="T9" s="112"/>
    </row>
    <row r="10" spans="1:21" ht="20.100000000000001" customHeight="1">
      <c r="A10" s="86" t="str">
        <f>B10&amp;C10&amp;D10&amp;E10</f>
        <v/>
      </c>
    </row>
  </sheetData>
  <mergeCells count="12">
    <mergeCell ref="A9:I9"/>
    <mergeCell ref="J3:K3"/>
    <mergeCell ref="F3:G3"/>
    <mergeCell ref="T3:T4"/>
    <mergeCell ref="A2:E2"/>
    <mergeCell ref="S3:S4"/>
    <mergeCell ref="L3:M3"/>
    <mergeCell ref="N3:O3"/>
    <mergeCell ref="P3:Q3"/>
    <mergeCell ref="R3:R4"/>
    <mergeCell ref="H3:H4"/>
    <mergeCell ref="I3:I4"/>
  </mergeCells>
  <phoneticPr fontId="8" type="noConversion"/>
  <pageMargins left="0.7" right="0.7" top="0.75" bottom="0.75" header="0.3" footer="0.3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3"/>
  <sheetViews>
    <sheetView showGridLines="0" zoomScaleNormal="100" workbookViewId="0">
      <selection activeCell="C11" sqref="C11"/>
    </sheetView>
  </sheetViews>
  <sheetFormatPr defaultRowHeight="16.5"/>
  <cols>
    <col min="1" max="1" width="25.125" style="51" customWidth="1"/>
    <col min="2" max="2" width="16.25" style="51" customWidth="1"/>
    <col min="3" max="3" width="22.375" style="51" customWidth="1"/>
    <col min="4" max="4" width="24.125" style="51" customWidth="1"/>
    <col min="5" max="5" width="13" style="51" customWidth="1"/>
    <col min="6" max="6" width="7.5" style="51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2" t="s">
        <v>27</v>
      </c>
    </row>
    <row r="2" spans="1:8">
      <c r="A2" s="53" t="str">
        <f>'내역서(표준단가)'!A6</f>
        <v>999990</v>
      </c>
      <c r="B2" s="54" t="str">
        <f>'내역서(표준단가)'!B6</f>
        <v>999990</v>
      </c>
      <c r="C2" s="54">
        <f>'내역서(표준단가)'!C6</f>
        <v>0</v>
      </c>
      <c r="D2" s="54">
        <f>'내역서(표준단가)'!D6</f>
        <v>0</v>
      </c>
      <c r="E2" s="54">
        <f>'내역서(표준단가)'!E6</f>
        <v>0</v>
      </c>
      <c r="F2" s="54">
        <f>'내역서(표준단가)'!I6</f>
        <v>1</v>
      </c>
    </row>
    <row r="3" spans="1:8">
      <c r="A3" s="53" t="str">
        <f>'내역서(표준단가)'!A8</f>
        <v>L002</v>
      </c>
      <c r="B3" s="54">
        <f>'내역서(표준단가)'!B8</f>
        <v>0</v>
      </c>
      <c r="C3" s="54">
        <f>'내역서(표준단가)'!C8</f>
        <v>0</v>
      </c>
      <c r="D3" s="54">
        <f>'내역서(표준단가)'!D8</f>
        <v>0</v>
      </c>
      <c r="E3" s="54" t="str">
        <f>'내역서(표준단가)'!E8</f>
        <v>L002</v>
      </c>
      <c r="F3" s="54">
        <f>'내역서(표준단가)'!I8</f>
        <v>1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>
      <selection activeCell="F13" sqref="F13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37</v>
      </c>
      <c r="B1" s="64" t="s">
        <v>38</v>
      </c>
      <c r="C1" s="64" t="s">
        <v>39</v>
      </c>
      <c r="D1" s="64" t="s">
        <v>40</v>
      </c>
      <c r="E1" s="64" t="s">
        <v>41</v>
      </c>
      <c r="F1" s="64" t="s">
        <v>5</v>
      </c>
      <c r="G1" s="64" t="s">
        <v>42</v>
      </c>
      <c r="H1" s="64" t="s">
        <v>43</v>
      </c>
      <c r="I1" s="64" t="s">
        <v>44</v>
      </c>
      <c r="J1" s="64" t="s">
        <v>45</v>
      </c>
      <c r="K1" s="64" t="s">
        <v>46</v>
      </c>
      <c r="L1" s="64" t="s">
        <v>47</v>
      </c>
      <c r="M1" s="64" t="s">
        <v>48</v>
      </c>
      <c r="N1" s="64" t="s">
        <v>49</v>
      </c>
      <c r="O1" s="64" t="s">
        <v>50</v>
      </c>
      <c r="P1" s="64" t="s">
        <v>51</v>
      </c>
      <c r="Q1" s="64" t="s">
        <v>52</v>
      </c>
      <c r="R1" s="64" t="s">
        <v>53</v>
      </c>
    </row>
    <row r="2" spans="1:18">
      <c r="B2" s="122" t="s">
        <v>108</v>
      </c>
      <c r="E2" s="122" t="s">
        <v>107</v>
      </c>
    </row>
    <row r="7" spans="1:18">
      <c r="N7" s="123"/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Upload(시중가)-별도입력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2026-09-11T01:33:33Z</cp:lastPrinted>
  <dcterms:created xsi:type="dcterms:W3CDTF">2020-09-15T23:52:51Z</dcterms:created>
  <dcterms:modified xsi:type="dcterms:W3CDTF">2026-09-11T06:37:44Z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
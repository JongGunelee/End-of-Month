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D33BCE31-5E20-41A2-B3BF-32F7000CB4A6}" xr6:coauthVersionLast="36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<sst xmlns="http://schemas.openxmlformats.org/spreadsheetml/2006/main" count="212" uniqueCount="152">
  <si>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</si>
  <si>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</si>
  <si>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</si>
  <si>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</si>
  <si>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</si>
  <si>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</si>
  <si>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</si>
  <si>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</si>
  <si>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</si>
  <si>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</si>
  <si>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</si>
  <si>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</si>
  <si>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</si>
  <si>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</si>
  <si>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</si>
  <si>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</si>
  <si>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</si>
  <si>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</si>
  <si>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</si>
  <si>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</si>
  <si>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</si>
  <si>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</si>
  <si>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</si>
  <si>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</si>
  <si>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</si>
  <si>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</si>
  <si>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</si>
  <si>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</si>
  <si>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</si>
  <si>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</si>
  <si>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</si>
  <si>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</si>
  <si>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</si>
  <si>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</si>
  <si>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</si>
  <si>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</si>
  <si>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</si>
  <si>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</si>
  <si>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</si>
  <si>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</si>
  <si>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</si>
  <si>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</si>
  <si>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</si>
  <si>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</si>
  <si>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</si>
  <si>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</si>
  <si>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</si>
  <si>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</si>
  <si>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</si>
  <si>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</si>
  <si>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</si>
  <si>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</si>
  <si>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</si>
  <si>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</si>
  <si>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</si>
  <si>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</si>
  <si>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</si>
  <si>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</si>
  <si>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</si>
  <si>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</si>
  <si>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</si>
  <si>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</si>
  <si>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</si>
  <si>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</si>
  <si>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</si>
  <si>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</si>
  <si>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</si>
  <si>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</si>
  <si>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</si>
  <si>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</si>
  <si>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</si>
  <si>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</si>
  <si>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</si>
  <si>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</si>
  <si>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</si>
  <si>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</si>
  <si>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</si>
  <si>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</si>
  <si>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</si>
  <si>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</si>
  <si>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</si>
  <si>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</si>
  <si>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</si>
  <si>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</si>
  <si>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</si>
  <si>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</si>
  <si>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</si>
  <si>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</si>
  <si>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</si>
  <si>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</si>
  <si>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</si>
  <si>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</si>
  <si>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</si>
  <si>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</si>
  <si>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</si>
  <si>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</si>
  <si>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</si>
  <si>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</si>
  <si>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</si>
  <si>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</si>
  <si>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</si>
  <si>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</si>
  <si>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</si>
  <si>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</si>
  <si>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</si>
  <si>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</si>
  <si>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</si>
  <si>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</si>
  <si>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</si>
  <si>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</si>
  <si>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</si>
  <si>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</si>
  <si>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</si>
  <si>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</si>
  <si>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</si>
  <si>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</si>
  <si>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</si>
  <si>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</si>
  <si>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</si>
  <si>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</si>
  <si>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</si>
  <si>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</si>
  <si>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</si>
  <si>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</si>
  <si>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</si>
  <si>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</si>
  <si>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</si>
  <si>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</si>
  <si>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</si>
  <si>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</si>
  <si>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</si>
  <si>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</si>
  <si>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</si>
  <si>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</si>
  <si>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</si>
  <si>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</si>
  <si>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</si>
  <si>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</si>
  <si>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</si>
  <si>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</si>
  <si>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</si>
  <si>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</si>
  <si>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</si>
  <si>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</si>
  <si>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</si>
  <si>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</si>
  <si>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</si>
  <si>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</si>
  <si>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</si>
  <si>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견적일 : 2026년  06월  08일</t>
    <phoneticPr fontId="5" type="noConversion"/>
  </si>
  <si>
    <t xml:space="preserve"> 공사명 : 사택 7-104 수장공사</t>
    <phoneticPr fontId="11" type="noConversion"/>
  </si>
  <si>
    <t>사택 7-104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</si>
</sst>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3.5">
      <c r="A3" s="113"/>
      <c r="B3" s="113"/>
      <c r="C3" s="113"/>
      <c r="D3" s="113"/>
      <c r="E3" s="113"/>
      <c r="F3" s="113"/>
      <c r="G3" s="113"/>
      <c r="H3" s="113"/>
    </row>
    <row r="4" spans="1:9" ht="13.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78" t="s">
        <v>150</v>
      </c>
      <c r="B7" s="179"/>
      <c r="C7" s="180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149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76"/>
      <c r="B11" s="177"/>
      <c r="C11" s="177"/>
      <c r="D11" s="113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삼백일십일만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577829.26850000001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2054917.8607899998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2632747.1292899996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145</v>
      </c>
      <c r="D21" s="169">
        <v>1</v>
      </c>
      <c r="E21" s="169" t="s">
        <v>24</v>
      </c>
      <c r="F21" s="170">
        <f>F17*4.75%</f>
        <v>97608.598387524995</v>
      </c>
      <c r="G21" s="35" t="s">
        <v>25</v>
      </c>
    </row>
    <row r="22" spans="1:7" ht="33" customHeight="1">
      <c r="A22" s="29"/>
      <c r="B22" s="171" t="s">
        <v>26</v>
      </c>
      <c r="C22" s="168" t="s">
        <v>146</v>
      </c>
      <c r="D22" s="172">
        <v>1</v>
      </c>
      <c r="E22" s="172" t="s">
        <v>24</v>
      </c>
      <c r="F22" s="173">
        <f>F17*3.595%</f>
        <v>73874.2970954005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9566.7214738543644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20754.670393978999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73155.075844123989</v>
      </c>
      <c r="G25" s="35" t="s">
        <v>27</v>
      </c>
    </row>
    <row r="26" spans="1:7" ht="33" customHeight="1">
      <c r="A26" s="29"/>
      <c r="B26" s="42" t="s">
        <v>31</v>
      </c>
      <c r="C26" s="45" t="s">
        <v>127</v>
      </c>
      <c r="D26" s="30">
        <v>1</v>
      </c>
      <c r="E26" s="30" t="s">
        <v>24</v>
      </c>
      <c r="F26" s="43">
        <f>(F16+F17)*3.11%</f>
        <v>81878.435720918991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120587.7829852901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477425.58190109197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3110172.7111910917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3110000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B18" sqref="B18"/>
    </sheetView>
  </sheetViews>
  <sheetFormatPr defaultColWidth="9" defaultRowHeight="38.1" customHeight="1"/>
  <cols>
    <col min="1" max="1" width="22.625" style="139" bestFit="1" customWidth="1"/>
    <col min="2" max="2" width="9" style="128" customWidth="1"/>
    <col min="3" max="5" width="12.625" style="128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1"/>
      <c r="B1" s="181"/>
      <c r="C1" s="181"/>
      <c r="D1" s="181"/>
      <c r="E1" s="181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1"/>
      <c r="B2" s="181"/>
      <c r="C2" s="181"/>
      <c r="D2" s="181"/>
      <c r="E2" s="18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2" t="s">
        <v>96</v>
      </c>
      <c r="G3" s="192"/>
      <c r="H3" s="190" t="s">
        <v>46</v>
      </c>
      <c r="I3" s="190" t="s">
        <v>5</v>
      </c>
      <c r="J3" s="186" t="s">
        <v>97</v>
      </c>
      <c r="K3" s="186"/>
      <c r="L3" s="186" t="s">
        <v>98</v>
      </c>
      <c r="M3" s="186"/>
      <c r="N3" s="187" t="s">
        <v>99</v>
      </c>
      <c r="O3" s="187"/>
      <c r="P3" s="187" t="s">
        <v>100</v>
      </c>
      <c r="Q3" s="187"/>
      <c r="R3" s="188" t="s">
        <v>101</v>
      </c>
      <c r="S3" s="184" t="s">
        <v>102</v>
      </c>
      <c r="T3" s="182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1"/>
      <c r="I4" s="191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9"/>
      <c r="S4" s="185"/>
      <c r="T4" s="183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128</v>
      </c>
      <c r="E5" s="95"/>
      <c r="F5" s="123" t="s">
        <v>129</v>
      </c>
      <c r="G5" s="141" t="s">
        <v>140</v>
      </c>
      <c r="H5" s="110" t="s">
        <v>136</v>
      </c>
      <c r="I5" s="140">
        <v>8.4789999999999992</v>
      </c>
      <c r="J5" s="157">
        <v>20900</v>
      </c>
      <c r="K5" s="119">
        <f t="shared" ref="K5" si="1">SUM(J5:J5)*I5*$K$2</f>
        <v>147971.26849999998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147971.26849999998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141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:A8" si="12">B7&amp;C7&amp;D7&amp;E7</f>
        <v>E00000803071260301</v>
      </c>
      <c r="B7" s="95"/>
      <c r="C7" s="70" t="s">
        <v>114</v>
      </c>
      <c r="D7" s="70"/>
      <c r="E7" s="95"/>
      <c r="F7" s="123" t="s">
        <v>117</v>
      </c>
      <c r="G7" s="141" t="s">
        <v>142</v>
      </c>
      <c r="H7" s="71" t="s">
        <v>115</v>
      </c>
      <c r="I7" s="140">
        <v>1.4</v>
      </c>
      <c r="J7" s="121"/>
      <c r="K7" s="119">
        <f t="shared" ref="K7:K9" si="13">SUM(J7:J7)*I7*$K$2</f>
        <v>0</v>
      </c>
      <c r="L7" s="159">
        <v>510462</v>
      </c>
      <c r="M7" s="119">
        <f t="shared" ref="M7:M10" si="14">(L7*I7)*$M$2</f>
        <v>596730.07799999986</v>
      </c>
      <c r="N7" s="120"/>
      <c r="O7" s="119">
        <f t="shared" ref="O7:O10" si="15">N7*I7*$O$2</f>
        <v>0</v>
      </c>
      <c r="P7" s="120"/>
      <c r="Q7" s="119">
        <f t="shared" ref="Q7:Q10" si="16">P7*I7*$Q$2</f>
        <v>0</v>
      </c>
      <c r="R7" s="73">
        <f t="shared" ref="R7:R10" si="17">SUM(K7+M7)+O7+Q7</f>
        <v>596730.07799999986</v>
      </c>
      <c r="S7" s="109"/>
      <c r="T7" s="74"/>
    </row>
    <row r="8" spans="1:20" s="131" customFormat="1" ht="38.1" customHeight="1">
      <c r="A8" s="69" t="str">
        <f t="shared" si="12"/>
        <v>M020809012520101</v>
      </c>
      <c r="B8" s="95"/>
      <c r="C8" s="70"/>
      <c r="D8" s="70" t="s">
        <v>131</v>
      </c>
      <c r="E8" s="95"/>
      <c r="F8" s="123" t="s">
        <v>132</v>
      </c>
      <c r="G8" s="123" t="s">
        <v>133</v>
      </c>
      <c r="H8" s="110" t="s">
        <v>130</v>
      </c>
      <c r="I8" s="122">
        <v>39.6</v>
      </c>
      <c r="J8" s="158">
        <v>13000</v>
      </c>
      <c r="K8" s="119">
        <f t="shared" si="13"/>
        <v>429858</v>
      </c>
      <c r="L8" s="118"/>
      <c r="M8" s="119">
        <f t="shared" si="14"/>
        <v>0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429858</v>
      </c>
      <c r="S8" s="109"/>
      <c r="T8" s="74"/>
    </row>
    <row r="9" spans="1:20" s="131" customFormat="1" ht="38.1" customHeight="1">
      <c r="A9" s="69" t="str">
        <f t="shared" ref="A9:A10" si="18">B9&amp;C9&amp;D9&amp;E9</f>
        <v>E00000803071260401</v>
      </c>
      <c r="B9" s="95"/>
      <c r="C9" s="70" t="s">
        <v>118</v>
      </c>
      <c r="D9" s="70"/>
      <c r="E9" s="95"/>
      <c r="F9" s="123" t="s">
        <v>119</v>
      </c>
      <c r="G9" s="123" t="s">
        <v>137</v>
      </c>
      <c r="H9" s="71" t="s">
        <v>115</v>
      </c>
      <c r="I9" s="122">
        <v>0.64900000000000002</v>
      </c>
      <c r="J9" s="121"/>
      <c r="K9" s="119">
        <f t="shared" si="13"/>
        <v>0</v>
      </c>
      <c r="L9" s="159">
        <v>510462</v>
      </c>
      <c r="M9" s="119">
        <f t="shared" si="14"/>
        <v>276627.01473</v>
      </c>
      <c r="N9" s="120"/>
      <c r="O9" s="119">
        <f t="shared" si="15"/>
        <v>0</v>
      </c>
      <c r="P9" s="120"/>
      <c r="Q9" s="119">
        <f t="shared" si="16"/>
        <v>0</v>
      </c>
      <c r="R9" s="73">
        <f t="shared" si="17"/>
        <v>276627.01473</v>
      </c>
      <c r="S9" s="109"/>
      <c r="T9" s="74"/>
    </row>
    <row r="10" spans="1:20" s="131" customFormat="1" ht="38.1" customHeight="1">
      <c r="A10" s="69" t="str">
        <f t="shared" si="18"/>
        <v>E00000801011510701</v>
      </c>
      <c r="B10" s="95"/>
      <c r="C10" s="70" t="s">
        <v>135</v>
      </c>
      <c r="D10" s="70"/>
      <c r="E10" s="95"/>
      <c r="F10" s="165" t="s">
        <v>143</v>
      </c>
      <c r="G10" s="71" t="s">
        <v>134</v>
      </c>
      <c r="H10" s="166" t="s">
        <v>144</v>
      </c>
      <c r="I10" s="122">
        <v>79</v>
      </c>
      <c r="J10" s="132"/>
      <c r="K10" s="72">
        <f t="shared" ref="K10" si="19">SUM(J10:J10)*I10*$K$2</f>
        <v>0</v>
      </c>
      <c r="L10" s="159">
        <v>5131</v>
      </c>
      <c r="M10" s="72">
        <f t="shared" si="14"/>
        <v>338466.41499999998</v>
      </c>
      <c r="N10" s="73"/>
      <c r="O10" s="72">
        <f t="shared" si="15"/>
        <v>0</v>
      </c>
      <c r="P10" s="73"/>
      <c r="Q10" s="72">
        <f t="shared" si="16"/>
        <v>0</v>
      </c>
      <c r="R10" s="73">
        <f t="shared" si="17"/>
        <v>338466.41499999998</v>
      </c>
      <c r="S10" s="109"/>
      <c r="T10" s="74"/>
    </row>
    <row r="11" spans="1:20" s="138" customFormat="1" ht="38.1" customHeight="1">
      <c r="A11" s="133"/>
      <c r="B11" s="134"/>
      <c r="C11" s="134"/>
      <c r="D11" s="134"/>
      <c r="E11" s="134"/>
      <c r="F11" s="126"/>
      <c r="G11" s="126"/>
      <c r="H11" s="134"/>
      <c r="I11" s="134"/>
      <c r="J11" s="134"/>
      <c r="K11" s="135">
        <f>SUM(K5:K10)</f>
        <v>577829.26850000001</v>
      </c>
      <c r="L11" s="136"/>
      <c r="M11" s="135">
        <f>SUM(M5:M10)</f>
        <v>2054917.8607899998</v>
      </c>
      <c r="N11" s="136"/>
      <c r="O11" s="135">
        <f>SUM(O5:O10)</f>
        <v>0</v>
      </c>
      <c r="P11" s="136"/>
      <c r="Q11" s="135">
        <f>SUM(Q5:Q10)</f>
        <v>0</v>
      </c>
      <c r="R11" s="137">
        <f>SUM(R5:R10)</f>
        <v>2632747.1292900001</v>
      </c>
      <c r="S11" s="103"/>
      <c r="T11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195" t="s">
        <v>57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7" ht="15" customHeight="1">
      <c r="A2" s="196" t="s">
        <v>58</v>
      </c>
      <c r="B2" s="197" t="s">
        <v>59</v>
      </c>
      <c r="C2" s="198" t="s">
        <v>46</v>
      </c>
      <c r="D2" s="198" t="s">
        <v>60</v>
      </c>
      <c r="E2" s="200" t="s">
        <v>61</v>
      </c>
      <c r="F2" s="197"/>
      <c r="G2" s="197" t="s">
        <v>62</v>
      </c>
      <c r="H2" s="197"/>
      <c r="I2" s="201" t="s">
        <v>63</v>
      </c>
      <c r="J2" s="202"/>
      <c r="K2" s="201" t="s">
        <v>64</v>
      </c>
      <c r="L2" s="202"/>
      <c r="M2" s="200" t="s">
        <v>65</v>
      </c>
      <c r="N2" s="197"/>
      <c r="O2" s="203" t="s">
        <v>66</v>
      </c>
    </row>
    <row r="3" spans="1:17" ht="15" customHeight="1">
      <c r="A3" s="196"/>
      <c r="B3" s="197"/>
      <c r="C3" s="199"/>
      <c r="D3" s="199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04"/>
    </row>
    <row r="4" spans="1:17" ht="15" customHeight="1">
      <c r="A4" s="193" t="s">
        <v>151</v>
      </c>
      <c r="B4" s="194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206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10" si="0">D5*E5</f>
        <v>49996.1</v>
      </c>
      <c r="G5" s="160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208"/>
      <c r="P5" s="75" t="s">
        <v>138</v>
      </c>
      <c r="Q5" s="149">
        <f>D5+D7+D9</f>
        <v>91</v>
      </c>
    </row>
    <row r="6" spans="1:17" ht="15" customHeight="1">
      <c r="A6" s="207"/>
      <c r="B6" s="142" t="s">
        <v>73</v>
      </c>
      <c r="C6" s="143" t="s">
        <v>72</v>
      </c>
      <c r="D6" s="150">
        <f>37-8.3</f>
        <v>28.7</v>
      </c>
      <c r="E6" s="160">
        <v>1057</v>
      </c>
      <c r="F6" s="80">
        <f t="shared" si="0"/>
        <v>30335.899999999998</v>
      </c>
      <c r="G6" s="160">
        <v>12178</v>
      </c>
      <c r="H6" s="80">
        <f t="shared" si="1"/>
        <v>349508.6</v>
      </c>
      <c r="I6" s="80"/>
      <c r="J6" s="80"/>
      <c r="K6" s="80"/>
      <c r="L6" s="80"/>
      <c r="M6" s="80"/>
      <c r="N6" s="80">
        <f t="shared" ref="N6:N10" si="2">F6+H6+J6+L6</f>
        <v>379844.5</v>
      </c>
      <c r="O6" s="209"/>
      <c r="P6" s="75" t="s">
        <v>139</v>
      </c>
      <c r="Q6" s="149">
        <f>D6+D8+D10</f>
        <v>48.6</v>
      </c>
    </row>
    <row r="7" spans="1:17" ht="15" customHeight="1">
      <c r="A7" s="207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si="2"/>
        <v>248784.30000000002</v>
      </c>
      <c r="O7" s="209"/>
    </row>
    <row r="8" spans="1:17" ht="15" customHeight="1">
      <c r="A8" s="207"/>
      <c r="B8" s="142" t="s">
        <v>75</v>
      </c>
      <c r="C8" s="143" t="s">
        <v>72</v>
      </c>
      <c r="D8" s="150">
        <f>12-0.2</f>
        <v>11.8</v>
      </c>
      <c r="E8" s="160">
        <v>1057</v>
      </c>
      <c r="F8" s="80">
        <f t="shared" si="0"/>
        <v>12472.6</v>
      </c>
      <c r="G8" s="160">
        <v>12178</v>
      </c>
      <c r="H8" s="80">
        <f t="shared" si="1"/>
        <v>143700.4</v>
      </c>
      <c r="I8" s="80"/>
      <c r="J8" s="80"/>
      <c r="K8" s="80"/>
      <c r="L8" s="80"/>
      <c r="M8" s="80"/>
      <c r="N8" s="80">
        <f t="shared" si="2"/>
        <v>156173</v>
      </c>
      <c r="O8" s="209"/>
    </row>
    <row r="9" spans="1:17" ht="15" customHeight="1">
      <c r="A9" s="207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209"/>
    </row>
    <row r="10" spans="1:17" ht="15" customHeight="1">
      <c r="A10" s="207"/>
      <c r="B10" s="142" t="s">
        <v>77</v>
      </c>
      <c r="C10" s="143" t="s">
        <v>72</v>
      </c>
      <c r="D10" s="150">
        <f>12-3.9</f>
        <v>8.1</v>
      </c>
      <c r="E10" s="160">
        <v>1057</v>
      </c>
      <c r="F10" s="80">
        <f t="shared" si="0"/>
        <v>8561.6999999999989</v>
      </c>
      <c r="G10" s="160">
        <v>12178</v>
      </c>
      <c r="H10" s="80">
        <f t="shared" si="1"/>
        <v>98641.8</v>
      </c>
      <c r="I10" s="80"/>
      <c r="J10" s="80"/>
      <c r="K10" s="80"/>
      <c r="L10" s="80"/>
      <c r="M10" s="80"/>
      <c r="N10" s="80">
        <f t="shared" si="2"/>
        <v>107203.5</v>
      </c>
      <c r="O10" s="209"/>
    </row>
    <row r="11" spans="1:17" ht="15" customHeight="1">
      <c r="A11" s="104" t="s">
        <v>78</v>
      </c>
      <c r="B11" s="105"/>
      <c r="C11" s="106"/>
      <c r="D11" s="151">
        <f>SUM(D5:D10)</f>
        <v>139.6</v>
      </c>
      <c r="E11" s="107"/>
      <c r="F11" s="107">
        <f>SUM(F5:F10)</f>
        <v>147557.20000000001</v>
      </c>
      <c r="G11" s="107"/>
      <c r="H11" s="107">
        <f>SUM(H5:H10)</f>
        <v>1435056.8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1582614</v>
      </c>
      <c r="O11" s="107"/>
    </row>
    <row r="12" spans="1:17" ht="15" customHeight="1">
      <c r="A12" s="210" t="s">
        <v>126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209"/>
    </row>
    <row r="13" spans="1:17" ht="15" customHeight="1">
      <c r="A13" s="210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209"/>
    </row>
    <row r="14" spans="1:17" ht="15" customHeight="1">
      <c r="A14" s="210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209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125</v>
      </c>
      <c r="B17" s="145" t="s">
        <v>122</v>
      </c>
      <c r="C17" s="145" t="s">
        <v>121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147</v>
      </c>
    </row>
    <row r="18" spans="1:15" ht="15" customHeight="1">
      <c r="A18" s="211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147</v>
      </c>
    </row>
    <row r="19" spans="1:15" ht="15" customHeight="1">
      <c r="A19" s="211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147</v>
      </c>
    </row>
    <row r="20" spans="1:15" ht="15" customHeight="1">
      <c r="A20" s="205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147</v>
      </c>
    </row>
    <row r="21" spans="1:15" ht="15" customHeight="1">
      <c r="A21" s="205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147</v>
      </c>
    </row>
    <row r="22" spans="1:15" ht="15" customHeight="1">
      <c r="A22" s="117" t="s">
        <v>123</v>
      </c>
      <c r="B22" s="116" t="s">
        <v>124</v>
      </c>
      <c r="C22" s="116" t="s">
        <v>121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147</v>
      </c>
    </row>
    <row r="23" spans="1:15" ht="15" customHeight="1">
      <c r="A23" s="205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147</v>
      </c>
    </row>
    <row r="24" spans="1:15" ht="15" customHeight="1">
      <c r="A24" s="205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147</v>
      </c>
    </row>
    <row r="25" spans="1:15" ht="15" customHeight="1">
      <c r="A25" s="205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148</v>
      </c>
    </row>
    <row r="26" spans="1:15" ht="15" customHeight="1">
      <c r="A26" s="205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148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120</v>
      </c>
      <c r="B30" s="81"/>
      <c r="C30" s="82"/>
      <c r="D30" s="90"/>
      <c r="E30" s="92"/>
      <c r="F30" s="93">
        <f>F11+F15+F27+F29</f>
        <v>578500.69999999995</v>
      </c>
      <c r="G30" s="93"/>
      <c r="H30" s="93">
        <f>H11+H15+H27+H29</f>
        <v>2050876.7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2629377.4</v>
      </c>
      <c r="O30" s="92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8.4789999999999992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E00000803071260301</v>
      </c>
      <c r="B4" s="100">
        <f>'내역서(표준단가)'!B7</f>
        <v>0</v>
      </c>
      <c r="C4" s="100" t="str">
        <f>'내역서(표준단가)'!C7</f>
        <v>E00000803071260301</v>
      </c>
      <c r="D4" s="100">
        <f>'내역서(표준단가)'!D7</f>
        <v>0</v>
      </c>
      <c r="E4" s="100">
        <f>'내역서(표준단가)'!E7</f>
        <v>0</v>
      </c>
      <c r="F4" s="108">
        <f>'내역서(표준단가)'!I7</f>
        <v>1.4</v>
      </c>
    </row>
    <row r="5" spans="1:6">
      <c r="A5" s="99" t="str">
        <f>'내역서(표준단가)'!A8</f>
        <v>M020809012520101</v>
      </c>
      <c r="B5" s="100">
        <f>'내역서(표준단가)'!B8</f>
        <v>0</v>
      </c>
      <c r="C5" s="100">
        <f>'내역서(표준단가)'!C8</f>
        <v>0</v>
      </c>
      <c r="D5" s="100" t="str">
        <f>'내역서(표준단가)'!D8</f>
        <v>M020809012520101</v>
      </c>
      <c r="E5" s="100">
        <f>'내역서(표준단가)'!E8</f>
        <v>0</v>
      </c>
      <c r="F5" s="108">
        <f>'내역서(표준단가)'!I8</f>
        <v>39.6</v>
      </c>
    </row>
    <row r="6" spans="1:6">
      <c r="A6" s="99" t="str">
        <f>'내역서(표준단가)'!A9</f>
        <v>E00000803071260401</v>
      </c>
      <c r="B6" s="100">
        <f>'내역서(표준단가)'!B9</f>
        <v>0</v>
      </c>
      <c r="C6" s="100" t="str">
        <f>'내역서(표준단가)'!C9</f>
        <v>E00000803071260401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0.64900000000000002</v>
      </c>
    </row>
    <row r="7" spans="1:6">
      <c r="A7" s="99" t="str">
        <f>'내역서(표준단가)'!A10</f>
        <v>E00000801011510701</v>
      </c>
      <c r="B7" s="100">
        <f>'내역서(표준단가)'!B10</f>
        <v>0</v>
      </c>
      <c r="C7" s="100" t="str">
        <f>'내역서(표준단가)'!C10</f>
        <v>E00000801011510701</v>
      </c>
      <c r="D7" s="100">
        <f>'내역서(표준단가)'!D10</f>
        <v>0</v>
      </c>
      <c r="E7" s="100">
        <f>'내역서(표준단가)'!E10</f>
        <v>0</v>
      </c>
      <c r="F7" s="108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2026-06-05T01:16:51Z</dcterms:modified>
</cp:coreProperties>
</file>
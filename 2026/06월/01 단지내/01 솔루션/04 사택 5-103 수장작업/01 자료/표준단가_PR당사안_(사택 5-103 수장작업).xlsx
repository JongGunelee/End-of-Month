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C9FB98FD-C1A4-42B3-AC24-93313998C97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5" i="9"/>
  <c r="N5" i="9" s="1"/>
  <c r="H5" i="9"/>
  <c r="F7" i="9"/>
  <c r="H7" i="9"/>
  <c r="F9" i="9"/>
  <c r="N9" i="9" s="1"/>
  <c r="H9" i="9"/>
  <c r="F11" i="9"/>
  <c r="N11" i="9" s="1"/>
  <c r="H11" i="9"/>
  <c r="J24" i="11" l="1"/>
  <c r="J23" i="11"/>
  <c r="J26" i="11"/>
  <c r="J25" i="11"/>
  <c r="J27" i="11" s="1"/>
  <c r="J22" i="11"/>
  <c r="N7" i="9"/>
  <c r="D13" i="9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17" i="4"/>
  <c r="O17" i="4"/>
  <c r="M17" i="4"/>
  <c r="K17" i="4"/>
  <c r="A17" i="4"/>
  <c r="A14" i="1" s="1"/>
  <c r="Q7" i="4"/>
  <c r="O7" i="4"/>
  <c r="M7" i="4"/>
  <c r="K7" i="4"/>
  <c r="A7" i="4"/>
  <c r="A4" i="1" s="1"/>
  <c r="Q6" i="4"/>
  <c r="O6" i="4"/>
  <c r="M6" i="4"/>
  <c r="K6" i="4"/>
  <c r="A6" i="4"/>
  <c r="A3" i="1" s="1"/>
  <c r="M32" i="11" l="1"/>
  <c r="B15" i="11" s="1"/>
  <c r="R17" i="4"/>
  <c r="R6" i="4"/>
  <c r="R7" i="4"/>
  <c r="A12" i="4" l="1"/>
  <c r="A9" i="1" s="1"/>
  <c r="F25" i="9"/>
  <c r="N25" i="9" s="1"/>
  <c r="F20" i="9"/>
  <c r="N20" i="9" s="1"/>
  <c r="K12" i="4"/>
  <c r="O12" i="4"/>
  <c r="Q12" i="4"/>
  <c r="K9" i="4"/>
  <c r="R9" i="4" s="1"/>
  <c r="A9" i="4"/>
  <c r="A6" i="1" s="1"/>
  <c r="R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33" i="9" l="1"/>
  <c r="N14" i="9"/>
  <c r="L33" i="9"/>
  <c r="N22" i="9"/>
  <c r="N29" i="9"/>
  <c r="N15" i="9"/>
  <c r="N17" i="9"/>
  <c r="F30" i="9"/>
  <c r="N27" i="9"/>
  <c r="H18" i="9"/>
  <c r="N23" i="9"/>
  <c r="N28" i="9"/>
  <c r="F13" i="9"/>
  <c r="N16" i="9"/>
  <c r="H30" i="9"/>
  <c r="H13" i="9"/>
  <c r="N26" i="9"/>
  <c r="N24" i="9"/>
  <c r="N21" i="9"/>
  <c r="N31" i="9"/>
  <c r="N32" i="9" s="1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M18" i="4" l="1"/>
  <c r="R8" i="4"/>
  <c r="R11" i="4"/>
  <c r="R14" i="4"/>
  <c r="R15" i="4"/>
  <c r="R10" i="4"/>
  <c r="R13" i="4"/>
  <c r="R16" i="4"/>
  <c r="Q18" i="4" l="1"/>
  <c r="K18" i="4"/>
  <c r="O18" i="4"/>
  <c r="R18" i="4" l="1"/>
</calcChain>
</file>

<file path=xl/sharedStrings.xml><?xml version="1.0" encoding="utf-8"?>
<sst xmlns="http://schemas.openxmlformats.org/spreadsheetml/2006/main" count="249" uniqueCount="183">
  <si>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</si>
  <si>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</si>
  <si>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</si>
  <si>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</si>
  <si>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</si>
  <si>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</si>
  <si>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</si>
  <si>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</si>
  <si>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</si>
  <si>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</si>
  <si>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</si>
  <si>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</si>
  <si>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</si>
  <si>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</si>
  <si>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</si>
  <si>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</si>
  <si>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</si>
  <si>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</si>
  <si>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</si>
  <si>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</si>
  <si>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</si>
  <si>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</si>
  <si>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</si>
  <si>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</si>
  <si>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</si>
  <si>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</si>
  <si>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</si>
  <si>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</si>
  <si>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</si>
  <si>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</si>
  <si>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</si>
  <si>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</si>
  <si>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</si>
  <si>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</si>
  <si>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</si>
  <si>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</si>
  <si>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</si>
  <si>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</si>
  <si>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</si>
  <si>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</si>
  <si>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</si>
  <si>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</si>
  <si>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</si>
  <si>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</si>
  <si>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</si>
  <si>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</si>
  <si>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</si>
  <si>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</si>
  <si>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</si>
  <si>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</si>
  <si>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</si>
  <si>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</si>
  <si>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</si>
  <si>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</si>
  <si>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</si>
  <si>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</si>
  <si>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</si>
  <si>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</si>
  <si>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</si>
  <si>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</si>
  <si>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</si>
  <si>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</si>
  <si>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</si>
  <si>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</si>
  <si>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</si>
  <si>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</si>
  <si>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</si>
  <si>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</si>
  <si>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</si>
  <si>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</si>
  <si>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</si>
  <si>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</si>
  <si>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</si>
  <si>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</si>
  <si>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</si>
  <si>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</si>
  <si>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</si>
  <si>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</si>
  <si>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</si>
  <si>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</si>
  <si>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</si>
  <si>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</si>
  <si>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</si>
  <si>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</si>
  <si>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</si>
  <si>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</si>
  <si>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</si>
  <si>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</si>
  <si>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</si>
  <si>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</si>
  <si>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</si>
  <si>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</si>
  <si>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</si>
  <si>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</si>
  <si>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</si>
  <si>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</si>
  <si>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</si>
  <si>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</si>
  <si>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</si>
  <si>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</si>
  <si>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</si>
  <si>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</si>
  <si>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</si>
  <si>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</si>
  <si>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</si>
  <si>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</si>
  <si>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</si>
  <si>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</si>
  <si>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전체면적</t>
    <phoneticPr fontId="6" type="noConversion"/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</si>
  <si>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</si>
  <si>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</si>
  <si>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</si>
  <si>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</si>
  <si>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입주청소</t>
  </si>
  <si>
    <t>(바닥면적 ㎡당)</t>
  </si>
  <si>
    <t>공사명 :사택 5-103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</si>
  <si>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소요량120/16.51=7.2683R/L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</si>
  <si>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</si>
  <si>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</si>
  <si>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</si>
  <si>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</si>
  <si>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</si>
  <si>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</si>
  <si>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</si>
  <si>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</si>
  <si>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</si>
  <si>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</si>
  <si>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</si>
  <si>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</si>
  <si>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</si>
  <si>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</si>
  <si>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</si>
  <si>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</si>
  <si>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</si>
  <si>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</si>
  <si>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</si>
  <si>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</si>
  <si>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</si>
  <si>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</si>
  <si>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</si>
  <si>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</si>
  <si>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</si>
  <si>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</si>
  <si>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</si>
  <si>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</si>
  <si>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</si>
  <si>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</si>
  <si>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</si>
  <si>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</si>
  <si>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</si>
  <si>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</si>
  <si>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</si>
  <si>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</si>
  <si>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</si>
  <si>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</si>
  <si>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</si>
  <si>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</si>
  <si>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</si>
  <si>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</si>
  <si>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</si>
  <si>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</si>
  <si>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</si>
  <si>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</si>
  <si>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</si>
  <si>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</si>
  <si>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</si>
  <si>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</si>
  <si>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</si>
  <si>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</si>
  <si>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</si>
  <si>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</si>
  <si>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</si>
  <si>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</si>
  <si>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</si>
  <si>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</si>
  <si>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</si>
  <si>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</si>
  <si>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</si>
  <si>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</si>
  <si>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</si>
  <si>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</si>
  <si>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5-103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</si>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</sst>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###,###,###,##0"/>
    <numFmt numFmtId="186" formatCode="#,##0.000_ "/>
    <numFmt numFmtId="187" formatCode="0.000_ "/>
    <numFmt numFmtId="188" formatCode="#,##0;\-#,##0;"/>
    <numFmt numFmtId="189" formatCode="0.000"/>
    <numFmt numFmtId="190" formatCode="0.0_);[Red]\(0.0\)"/>
    <numFmt numFmtId="191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5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8" fontId="14" fillId="5" borderId="2" xfId="0" applyNumberFormat="1" applyFont="1" applyFill="1" applyBorder="1" applyAlignment="1">
      <alignment horizontal="right" vertical="center" wrapText="1"/>
    </xf>
    <xf numFmtId="188" fontId="14" fillId="6" borderId="2" xfId="1" applyNumberFormat="1" applyFont="1" applyFill="1" applyBorder="1" applyAlignment="1">
      <alignment horizontal="right" vertical="center" wrapText="1"/>
    </xf>
    <xf numFmtId="188" fontId="14" fillId="0" borderId="2" xfId="1" applyNumberFormat="1" applyFont="1" applyFill="1" applyBorder="1" applyAlignment="1">
      <alignment horizontal="right" vertical="center" wrapText="1"/>
    </xf>
    <xf numFmtId="189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/>
    </xf>
    <xf numFmtId="190" fontId="19" fillId="10" borderId="11" xfId="11" applyNumberFormat="1" applyFont="1" applyFill="1" applyBorder="1" applyAlignment="1">
      <alignment horizontal="center" vertical="center"/>
    </xf>
    <xf numFmtId="190" fontId="20" fillId="11" borderId="11" xfId="11" applyNumberFormat="1" applyFont="1" applyFill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 wrapText="1"/>
    </xf>
    <xf numFmtId="190" fontId="19" fillId="5" borderId="11" xfId="11" applyNumberFormat="1" applyFont="1" applyFill="1" applyBorder="1" applyAlignment="1">
      <alignment horizontal="center" vertical="center" wrapText="1"/>
    </xf>
    <xf numFmtId="190" fontId="20" fillId="11" borderId="11" xfId="11" applyNumberFormat="1" applyFont="1" applyFill="1" applyBorder="1" applyAlignment="1">
      <alignment horizontal="center" vertical="center"/>
    </xf>
    <xf numFmtId="190" fontId="19" fillId="5" borderId="11" xfId="11" applyNumberFormat="1" applyFont="1" applyFill="1" applyBorder="1" applyAlignment="1">
      <alignment horizontal="center" vertical="center"/>
    </xf>
    <xf numFmtId="190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88" fontId="23" fillId="5" borderId="2" xfId="0" applyNumberFormat="1" applyFont="1" applyFill="1" applyBorder="1" applyAlignment="1">
      <alignment horizontal="right" vertical="center"/>
    </xf>
    <xf numFmtId="188" fontId="23" fillId="5" borderId="2" xfId="1" applyNumberFormat="1" applyFont="1" applyFill="1" applyBorder="1" applyAlignment="1">
      <alignment horizontal="right" vertical="center" wrapText="1"/>
    </xf>
    <xf numFmtId="188" fontId="23" fillId="5" borderId="2" xfId="0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76" fontId="24" fillId="5" borderId="2" xfId="1" applyFont="1" applyFill="1" applyBorder="1" applyAlignment="1">
      <alignment horizontal="right" vertical="center"/>
    </xf>
    <xf numFmtId="176" fontId="24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4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90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89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1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68CBD3F-4310-45C1-93DF-0AC513AFB8E6}"/>
    <cellStyle name="쉼표 [0] 2 84" xfId="24" xr:uid="{C4F89564-67D8-4C5B-9A07-75C2124C2D1C}"/>
    <cellStyle name="쉼표 [0] 3" xfId="14" xr:uid="{8F7BE219-40E1-4BBB-A9BD-02188B74B2A3}"/>
    <cellStyle name="쉼표 [0] 4" xfId="21" xr:uid="{2D91BF46-C34F-4BD9-B213-DFD18EBB421E}"/>
    <cellStyle name="쉼표 [0] 5" xfId="23" xr:uid="{D88E36B3-0F1A-4B88-A40A-5F274077280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5F91472-26B9-4D9F-A6CA-CB914D4973F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4E335CB-624E-435B-AB8F-483761E0454C}"/>
    <cellStyle name="표준_P456 공장 및 복지동 전면 유리창 청소건 라상혁님_1129(최종)" xfId="20" xr:uid="{59090D9E-E0A6-4E3A-8C7A-C14564C1D7EA}"/>
    <cellStyle name="표준_S&amp;D_MAIN VALVE_최빈_2" xfId="17" xr:uid="{67EF337A-24B8-411A-BC9C-457F241587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D970B1-E011-41D5-85A1-835B72ED65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E512-C230-449E-8C4B-1A69BC9470B5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>
      <c r="A3" s="259" t="s">
        <v>117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>
      <c r="A4" s="109" t="s">
        <v>118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>
      <c r="A5" s="114"/>
      <c r="B5" s="170" t="s">
        <v>182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>
      <c r="A7" s="262" t="s">
        <v>119</v>
      </c>
      <c r="B7" s="263"/>
      <c r="C7" s="264"/>
      <c r="D7" s="172">
        <v>2026</v>
      </c>
      <c r="E7" s="122" t="s">
        <v>120</v>
      </c>
      <c r="F7" s="173">
        <v>4</v>
      </c>
      <c r="G7" s="122" t="s">
        <v>121</v>
      </c>
      <c r="H7" s="173">
        <v>6</v>
      </c>
      <c r="I7" s="122" t="s">
        <v>122</v>
      </c>
      <c r="J7" s="123"/>
      <c r="K7" s="265" t="s">
        <v>123</v>
      </c>
      <c r="L7" s="124" t="s">
        <v>124</v>
      </c>
      <c r="M7" s="124" t="s">
        <v>125</v>
      </c>
      <c r="N7" s="124" t="s">
        <v>126</v>
      </c>
      <c r="O7" s="125" t="s">
        <v>127</v>
      </c>
    </row>
    <row r="8" spans="1:15" ht="23.25" customHeight="1">
      <c r="A8" s="268" t="s">
        <v>128</v>
      </c>
      <c r="B8" s="269"/>
      <c r="C8" s="270"/>
      <c r="D8" s="271" t="s">
        <v>129</v>
      </c>
      <c r="E8" s="272"/>
      <c r="F8" s="272"/>
      <c r="G8" s="273"/>
      <c r="H8" s="274" t="s">
        <v>130</v>
      </c>
      <c r="I8" s="272"/>
      <c r="J8" s="275"/>
      <c r="K8" s="266"/>
      <c r="L8" s="126" t="s">
        <v>131</v>
      </c>
      <c r="M8" s="126" t="s">
        <v>132</v>
      </c>
      <c r="N8" s="126" t="s">
        <v>133</v>
      </c>
      <c r="O8" s="127" t="s">
        <v>134</v>
      </c>
    </row>
    <row r="9" spans="1:15" ht="23.25" customHeight="1">
      <c r="A9" s="268" t="s">
        <v>135</v>
      </c>
      <c r="B9" s="269"/>
      <c r="C9" s="270"/>
      <c r="D9" s="276" t="s">
        <v>136</v>
      </c>
      <c r="E9" s="277"/>
      <c r="F9" s="277"/>
      <c r="G9" s="277"/>
      <c r="H9" s="277"/>
      <c r="I9" s="277"/>
      <c r="J9" s="278"/>
      <c r="K9" s="266"/>
      <c r="L9" s="126" t="s">
        <v>137</v>
      </c>
      <c r="M9" s="279" t="s">
        <v>138</v>
      </c>
      <c r="N9" s="269"/>
      <c r="O9" s="270"/>
    </row>
    <row r="10" spans="1:15" ht="23.25" customHeight="1" thickBot="1">
      <c r="A10" s="280" t="s">
        <v>139</v>
      </c>
      <c r="B10" s="281"/>
      <c r="C10" s="282"/>
      <c r="D10" s="283" t="s">
        <v>140</v>
      </c>
      <c r="E10" s="284"/>
      <c r="F10" s="284"/>
      <c r="G10" s="284"/>
      <c r="H10" s="284"/>
      <c r="I10" s="284"/>
      <c r="J10" s="285"/>
      <c r="K10" s="267"/>
      <c r="L10" s="128" t="s">
        <v>141</v>
      </c>
      <c r="M10" s="128" t="s">
        <v>142</v>
      </c>
      <c r="N10" s="128" t="s">
        <v>143</v>
      </c>
      <c r="O10" s="129" t="s">
        <v>144</v>
      </c>
    </row>
    <row r="11" spans="1:15" ht="21.75" customHeight="1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>
      <c r="A13" s="136"/>
      <c r="B13" s="255" t="s">
        <v>181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145</v>
      </c>
      <c r="O13" s="135"/>
    </row>
    <row r="14" spans="1:15" ht="9" customHeight="1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>
      <c r="A15" s="136"/>
      <c r="B15" s="238" t="str">
        <f>"견 적 금 액 : 一金"&amp;NUMBERSTRING(M32,1) &amp; "원정""(\"&amp; TEXT(M32,"#,###")&amp;"원) [VAT 별도]"</f>
        <v>견 적 금 액 : 一金사백삼십사만육천이백이십오원정"(\4,346,225원)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>
      <c r="A17" s="138" t="s">
        <v>146</v>
      </c>
      <c r="B17" s="248" t="s">
        <v>147</v>
      </c>
      <c r="C17" s="249"/>
      <c r="D17" s="249"/>
      <c r="E17" s="249"/>
      <c r="F17" s="249"/>
      <c r="G17" s="250"/>
      <c r="H17" s="139" t="s">
        <v>148</v>
      </c>
      <c r="I17" s="140" t="s">
        <v>149</v>
      </c>
      <c r="J17" s="251" t="s">
        <v>150</v>
      </c>
      <c r="K17" s="252"/>
      <c r="L17" s="252"/>
      <c r="M17" s="253"/>
      <c r="N17" s="248" t="s">
        <v>151</v>
      </c>
      <c r="O17" s="254"/>
    </row>
    <row r="18" spans="1:17" ht="28.5" customHeight="1">
      <c r="A18" s="141">
        <v>1</v>
      </c>
      <c r="B18" s="242" t="s">
        <v>53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1/(TRIM('내역서(표준단가)'!K4:K100)&lt;&gt;""), '내역서(표준단가)'!K4:K100), "-")</f>
        <v>729303.58744999999</v>
      </c>
      <c r="K18" s="245"/>
      <c r="L18" s="245"/>
      <c r="M18" s="245"/>
      <c r="N18" s="246"/>
      <c r="O18" s="247"/>
    </row>
    <row r="19" spans="1:17" ht="28.5" customHeight="1">
      <c r="A19" s="142">
        <v>2</v>
      </c>
      <c r="B19" s="222" t="s">
        <v>54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2690271.5650230004</v>
      </c>
      <c r="K19" s="226"/>
      <c r="L19" s="226"/>
      <c r="M19" s="227"/>
      <c r="N19" s="228"/>
      <c r="O19" s="229"/>
    </row>
    <row r="20" spans="1:17" ht="28.5" customHeight="1">
      <c r="A20" s="142">
        <v>3</v>
      </c>
      <c r="B20" s="230" t="s">
        <v>152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466505.74539163348</v>
      </c>
      <c r="K20" s="234"/>
      <c r="L20" s="234"/>
      <c r="M20" s="235"/>
      <c r="N20" s="236"/>
      <c r="O20" s="237"/>
      <c r="P20" s="144"/>
    </row>
    <row r="21" spans="1:17" ht="28.5" customHeight="1">
      <c r="A21" s="141"/>
      <c r="B21" s="145"/>
      <c r="C21" s="214" t="s">
        <v>153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154</v>
      </c>
      <c r="O21" s="221"/>
    </row>
    <row r="22" spans="1:17" ht="28.5" customHeight="1">
      <c r="A22" s="141"/>
      <c r="B22" s="145"/>
      <c r="C22" s="208" t="s">
        <v>155</v>
      </c>
      <c r="D22" s="209"/>
      <c r="E22" s="209"/>
      <c r="F22" s="209"/>
      <c r="G22" s="210"/>
      <c r="H22" s="146">
        <v>3.11</v>
      </c>
      <c r="I22" s="146" t="s">
        <v>156</v>
      </c>
      <c r="J22" s="211">
        <f>IFERROR((J18+J19)*H22%,"-")</f>
        <v>106348.78724191031</v>
      </c>
      <c r="K22" s="212"/>
      <c r="L22" s="212"/>
      <c r="M22" s="213"/>
      <c r="N22" s="204" t="s">
        <v>157</v>
      </c>
      <c r="O22" s="205"/>
    </row>
    <row r="23" spans="1:17" ht="28.5" customHeight="1">
      <c r="A23" s="141"/>
      <c r="B23" s="145"/>
      <c r="C23" s="208" t="s">
        <v>158</v>
      </c>
      <c r="D23" s="209"/>
      <c r="E23" s="209"/>
      <c r="F23" s="209"/>
      <c r="G23" s="210"/>
      <c r="H23" s="146">
        <v>3.56</v>
      </c>
      <c r="I23" s="146" t="s">
        <v>159</v>
      </c>
      <c r="J23" s="211">
        <f>IFERROR(J19*H23%,"-")</f>
        <v>95773.667714818817</v>
      </c>
      <c r="K23" s="212"/>
      <c r="L23" s="212"/>
      <c r="M23" s="213"/>
      <c r="N23" s="204" t="s">
        <v>160</v>
      </c>
      <c r="O23" s="205"/>
    </row>
    <row r="24" spans="1:17" ht="28.5" customHeight="1">
      <c r="A24" s="141"/>
      <c r="B24" s="145"/>
      <c r="C24" s="208" t="s">
        <v>161</v>
      </c>
      <c r="D24" s="209"/>
      <c r="E24" s="209"/>
      <c r="F24" s="209"/>
      <c r="G24" s="210"/>
      <c r="H24" s="146">
        <v>1.01</v>
      </c>
      <c r="I24" s="146" t="s">
        <v>159</v>
      </c>
      <c r="J24" s="211">
        <f>IFERROR(J19*H24%,"-")</f>
        <v>27171.742806732302</v>
      </c>
      <c r="K24" s="212"/>
      <c r="L24" s="212"/>
      <c r="M24" s="213"/>
      <c r="N24" s="204" t="s">
        <v>162</v>
      </c>
      <c r="O24" s="205"/>
    </row>
    <row r="25" spans="1:17" ht="28.5" customHeight="1">
      <c r="A25" s="141"/>
      <c r="B25" s="145"/>
      <c r="C25" s="208" t="s">
        <v>163</v>
      </c>
      <c r="D25" s="209"/>
      <c r="E25" s="209"/>
      <c r="F25" s="209"/>
      <c r="G25" s="210"/>
      <c r="H25" s="147">
        <v>3.5950000000000002</v>
      </c>
      <c r="I25" s="146" t="s">
        <v>159</v>
      </c>
      <c r="J25" s="211">
        <f>IFERROR(J19*H25%,"-")</f>
        <v>96715.262762576865</v>
      </c>
      <c r="K25" s="212"/>
      <c r="L25" s="212"/>
      <c r="M25" s="213"/>
      <c r="N25" s="204" t="s">
        <v>164</v>
      </c>
      <c r="O25" s="205"/>
      <c r="Q25" s="144"/>
    </row>
    <row r="26" spans="1:17" ht="28.5" customHeight="1">
      <c r="A26" s="141"/>
      <c r="B26" s="145"/>
      <c r="C26" s="208" t="s">
        <v>165</v>
      </c>
      <c r="D26" s="209"/>
      <c r="E26" s="209"/>
      <c r="F26" s="209"/>
      <c r="G26" s="210"/>
      <c r="H26" s="146">
        <v>4.75</v>
      </c>
      <c r="I26" s="146" t="s">
        <v>159</v>
      </c>
      <c r="J26" s="211">
        <f>IFERROR(J19*H26%,"-")</f>
        <v>127787.89933859251</v>
      </c>
      <c r="K26" s="212"/>
      <c r="L26" s="212"/>
      <c r="M26" s="213"/>
      <c r="N26" s="204" t="s">
        <v>166</v>
      </c>
      <c r="O26" s="205"/>
      <c r="Q26" s="148"/>
    </row>
    <row r="27" spans="1:17" ht="28.5" customHeight="1">
      <c r="A27" s="141"/>
      <c r="B27" s="145"/>
      <c r="C27" s="198" t="s">
        <v>167</v>
      </c>
      <c r="D27" s="199"/>
      <c r="E27" s="199"/>
      <c r="F27" s="199"/>
      <c r="G27" s="200"/>
      <c r="H27" s="149">
        <v>13.14</v>
      </c>
      <c r="I27" s="150" t="s">
        <v>159</v>
      </c>
      <c r="J27" s="201">
        <f>IFERROR($H$27*J25%,"-")</f>
        <v>12708.385527002602</v>
      </c>
      <c r="K27" s="202"/>
      <c r="L27" s="202"/>
      <c r="M27" s="203"/>
      <c r="N27" s="204" t="s">
        <v>168</v>
      </c>
      <c r="O27" s="205"/>
    </row>
    <row r="28" spans="1:17" ht="28.5" customHeight="1">
      <c r="A28" s="141"/>
      <c r="B28" s="145"/>
      <c r="C28" s="198" t="s">
        <v>169</v>
      </c>
      <c r="D28" s="199"/>
      <c r="E28" s="199"/>
      <c r="F28" s="199"/>
      <c r="G28" s="200"/>
      <c r="H28" s="149">
        <v>8.1000000000000003E-2</v>
      </c>
      <c r="I28" s="150" t="s">
        <v>159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170</v>
      </c>
      <c r="O28" s="207"/>
    </row>
    <row r="29" spans="1:17" ht="28.5" customHeight="1">
      <c r="A29" s="151"/>
      <c r="B29" s="152"/>
      <c r="C29" s="178" t="s">
        <v>171</v>
      </c>
      <c r="D29" s="179"/>
      <c r="E29" s="179"/>
      <c r="F29" s="179"/>
      <c r="G29" s="180"/>
      <c r="H29" s="153">
        <v>1</v>
      </c>
      <c r="I29" s="154" t="s">
        <v>172</v>
      </c>
      <c r="J29" s="181">
        <f>34*0</f>
        <v>0</v>
      </c>
      <c r="K29" s="182"/>
      <c r="L29" s="182"/>
      <c r="M29" s="183"/>
      <c r="N29" s="184" t="s">
        <v>173</v>
      </c>
      <c r="O29" s="185"/>
    </row>
    <row r="30" spans="1:17" ht="28.5" customHeight="1">
      <c r="A30" s="151">
        <v>4</v>
      </c>
      <c r="B30" s="152"/>
      <c r="C30" s="178" t="s">
        <v>174</v>
      </c>
      <c r="D30" s="179"/>
      <c r="E30" s="179"/>
      <c r="F30" s="179"/>
      <c r="G30" s="180"/>
      <c r="H30" s="154">
        <v>5</v>
      </c>
      <c r="I30" s="155" t="s">
        <v>175</v>
      </c>
      <c r="J30" s="191">
        <f>IFERROR(IF(ISNUMBER(H30), SUM(J18:M20) * (H30 / 100), "-"), "-")</f>
        <v>194304.04489323171</v>
      </c>
      <c r="K30" s="192"/>
      <c r="L30" s="192"/>
      <c r="M30" s="193"/>
      <c r="N30" s="194" t="s">
        <v>176</v>
      </c>
      <c r="O30" s="195"/>
    </row>
    <row r="31" spans="1:17" ht="28.5" customHeight="1" thickBot="1">
      <c r="A31" s="151">
        <v>5</v>
      </c>
      <c r="B31" s="152"/>
      <c r="C31" s="178" t="s">
        <v>177</v>
      </c>
      <c r="D31" s="179"/>
      <c r="E31" s="179"/>
      <c r="F31" s="179"/>
      <c r="G31" s="180"/>
      <c r="H31" s="154">
        <v>7.5</v>
      </c>
      <c r="I31" s="155" t="s">
        <v>159</v>
      </c>
      <c r="J31" s="181">
        <f>IFERROR(SUM(J18:M20, J30) * (H31 / 100), "-")+-40188</f>
        <v>265840.87070683989</v>
      </c>
      <c r="K31" s="182"/>
      <c r="L31" s="182"/>
      <c r="M31" s="183"/>
      <c r="N31" s="196" t="s">
        <v>178</v>
      </c>
      <c r="O31" s="197"/>
      <c r="Q31" s="156"/>
    </row>
    <row r="32" spans="1:17" ht="28.5" customHeight="1" thickBot="1">
      <c r="A32" s="186" t="s">
        <v>179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4346225</v>
      </c>
      <c r="N32" s="189"/>
      <c r="O32" s="190"/>
      <c r="P32" s="160"/>
    </row>
    <row r="33" spans="1:15">
      <c r="A33" s="161" t="s">
        <v>180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>
      <c r="M42" s="156"/>
    </row>
    <row r="43" spans="1:15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8"/>
  <sheetViews>
    <sheetView showGridLines="0" zoomScale="80" zoomScaleNormal="80" workbookViewId="0">
      <pane ySplit="4" topLeftCell="A5" activePane="bottomLeft" state="frozen"/>
      <selection pane="bottomLeft" activeCell="O20" sqref="O20"/>
    </sheetView>
  </sheetViews>
  <sheetFormatPr defaultColWidth="9" defaultRowHeight="38.1" customHeight="1"/>
  <cols>
    <col min="1" max="1" width="22.625" style="78" bestFit="1" customWidth="1"/>
    <col min="2" max="2" width="9" style="67" customWidth="1"/>
    <col min="3" max="5" width="12.625" style="67" customWidth="1"/>
    <col min="6" max="7" width="30.625" style="63" customWidth="1"/>
    <col min="8" max="8" width="12.375" style="67" bestFit="1" customWidth="1"/>
    <col min="9" max="9" width="7.625" style="67" bestFit="1" customWidth="1"/>
    <col min="10" max="10" width="10.625" style="67" bestFit="1" customWidth="1"/>
    <col min="11" max="11" width="13.25" style="67" bestFit="1" customWidth="1"/>
    <col min="12" max="12" width="12" style="67" bestFit="1" customWidth="1"/>
    <col min="13" max="13" width="15.625" style="67" bestFit="1" customWidth="1"/>
    <col min="14" max="14" width="9" style="67" customWidth="1"/>
    <col min="15" max="15" width="8.75" style="67" bestFit="1" customWidth="1"/>
    <col min="16" max="16" width="10.5" style="67" customWidth="1"/>
    <col min="17" max="17" width="8.75" style="67" bestFit="1" customWidth="1"/>
    <col min="18" max="18" width="15.625" style="67" bestFit="1" customWidth="1"/>
    <col min="19" max="19" width="15.5" style="2" bestFit="1" customWidth="1"/>
    <col min="20" max="20" width="8.5" style="67" bestFit="1" customWidth="1"/>
    <col min="21" max="16384" width="9" style="67"/>
  </cols>
  <sheetData>
    <row r="1" spans="1:20" ht="19.899999999999999" customHeight="1">
      <c r="A1" s="286"/>
      <c r="B1" s="286"/>
      <c r="C1" s="286"/>
      <c r="D1" s="286"/>
      <c r="E1" s="286"/>
      <c r="J1" s="2"/>
      <c r="K1" s="66" t="s">
        <v>50</v>
      </c>
      <c r="M1" s="66" t="s">
        <v>50</v>
      </c>
      <c r="O1" s="66" t="s">
        <v>50</v>
      </c>
      <c r="Q1" s="66" t="s">
        <v>50</v>
      </c>
    </row>
    <row r="2" spans="1:20" ht="19.899999999999999" customHeight="1" thickBot="1">
      <c r="A2" s="286"/>
      <c r="B2" s="286"/>
      <c r="C2" s="286"/>
      <c r="D2" s="286"/>
      <c r="E2" s="28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8"/>
      <c r="B3" s="69" t="s">
        <v>51</v>
      </c>
      <c r="C3" s="69"/>
      <c r="D3" s="69"/>
      <c r="E3" s="69"/>
      <c r="F3" s="297" t="s">
        <v>52</v>
      </c>
      <c r="G3" s="297"/>
      <c r="H3" s="295" t="s">
        <v>8</v>
      </c>
      <c r="I3" s="295" t="s">
        <v>5</v>
      </c>
      <c r="J3" s="291" t="s">
        <v>53</v>
      </c>
      <c r="K3" s="291"/>
      <c r="L3" s="291" t="s">
        <v>54</v>
      </c>
      <c r="M3" s="291"/>
      <c r="N3" s="292" t="s">
        <v>55</v>
      </c>
      <c r="O3" s="292"/>
      <c r="P3" s="292" t="s">
        <v>56</v>
      </c>
      <c r="Q3" s="292"/>
      <c r="R3" s="293" t="s">
        <v>57</v>
      </c>
      <c r="S3" s="289" t="s">
        <v>58</v>
      </c>
      <c r="T3" s="287" t="s">
        <v>7</v>
      </c>
    </row>
    <row r="4" spans="1:20" ht="19.899999999999999" customHeight="1">
      <c r="A4" s="5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4" t="s">
        <v>64</v>
      </c>
      <c r="G4" s="64" t="s">
        <v>65</v>
      </c>
      <c r="H4" s="296"/>
      <c r="I4" s="296"/>
      <c r="J4" s="7" t="s">
        <v>66</v>
      </c>
      <c r="K4" s="8" t="s">
        <v>67</v>
      </c>
      <c r="L4" s="7" t="s">
        <v>68</v>
      </c>
      <c r="M4" s="8" t="s">
        <v>67</v>
      </c>
      <c r="N4" s="8" t="s">
        <v>69</v>
      </c>
      <c r="O4" s="8" t="s">
        <v>67</v>
      </c>
      <c r="P4" s="8" t="s">
        <v>69</v>
      </c>
      <c r="Q4" s="8" t="s">
        <v>67</v>
      </c>
      <c r="R4" s="294"/>
      <c r="S4" s="290"/>
      <c r="T4" s="288"/>
    </row>
    <row r="5" spans="1:20" s="70" customFormat="1" ht="38.1" customHeight="1">
      <c r="A5" s="9" t="str">
        <f t="shared" ref="A5" si="0">B5&amp;C5&amp;D5&amp;E5</f>
        <v>M020853710050101</v>
      </c>
      <c r="B5" s="34"/>
      <c r="C5" s="10"/>
      <c r="D5" s="10" t="s">
        <v>106</v>
      </c>
      <c r="E5" s="34"/>
      <c r="F5" s="62" t="s">
        <v>107</v>
      </c>
      <c r="G5" s="62" t="s">
        <v>116</v>
      </c>
      <c r="H5" s="49" t="s">
        <v>110</v>
      </c>
      <c r="I5" s="61">
        <v>7.2683</v>
      </c>
      <c r="J5" s="89">
        <v>20900</v>
      </c>
      <c r="K5" s="59">
        <f t="shared" ref="K5" si="1">SUM(J5:J5)*I5*$K$2</f>
        <v>126842.73745</v>
      </c>
      <c r="L5" s="92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3">
        <f t="shared" ref="R5" si="5">SUM(K5+M5)+O5+Q5</f>
        <v>126842.73745</v>
      </c>
      <c r="S5" s="48"/>
      <c r="T5" s="14"/>
    </row>
    <row r="6" spans="1:20" s="70" customFormat="1" ht="38.1" customHeight="1">
      <c r="A6" s="9" t="str">
        <f t="shared" ref="A6" si="6">B6&amp;C6&amp;D6&amp;E6</f>
        <v>E00000803071260301</v>
      </c>
      <c r="B6" s="34"/>
      <c r="C6" s="10" t="s">
        <v>70</v>
      </c>
      <c r="D6" s="10"/>
      <c r="E6" s="34"/>
      <c r="F6" s="62" t="s">
        <v>72</v>
      </c>
      <c r="G6" s="62" t="s">
        <v>111</v>
      </c>
      <c r="H6" s="11" t="s">
        <v>71</v>
      </c>
      <c r="I6" s="61">
        <v>2.609</v>
      </c>
      <c r="J6" s="90"/>
      <c r="K6" s="59">
        <f t="shared" ref="K6" si="7">SUM(J6:J6)*I6*$K$2</f>
        <v>0</v>
      </c>
      <c r="L6" s="94">
        <v>510462</v>
      </c>
      <c r="M6" s="59">
        <f t="shared" ref="M6" si="8">(L6*I6)*$M$2</f>
        <v>1112049.12393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3">
        <f t="shared" ref="R6" si="11">SUM(K6+M6)+O6+Q6</f>
        <v>1112049.12393</v>
      </c>
      <c r="S6" s="48"/>
      <c r="T6" s="14"/>
    </row>
    <row r="7" spans="1:20" s="70" customFormat="1" ht="38.1" customHeight="1">
      <c r="A7" s="9" t="str">
        <f t="shared" ref="A7" si="12">B7&amp;C7&amp;D7&amp;E7</f>
        <v>M020809012520101</v>
      </c>
      <c r="B7" s="34"/>
      <c r="C7" s="10"/>
      <c r="D7" s="10" t="s">
        <v>102</v>
      </c>
      <c r="E7" s="34"/>
      <c r="F7" s="62" t="s">
        <v>103</v>
      </c>
      <c r="G7" s="62" t="s">
        <v>104</v>
      </c>
      <c r="H7" s="49" t="s">
        <v>105</v>
      </c>
      <c r="I7" s="61">
        <v>51.6</v>
      </c>
      <c r="J7" s="91">
        <v>13000</v>
      </c>
      <c r="K7" s="59">
        <f t="shared" ref="K7:K16" si="13">SUM(J7:J7)*I7*$K$2</f>
        <v>560118</v>
      </c>
      <c r="L7" s="92"/>
      <c r="M7" s="59">
        <f t="shared" ref="M7:M17" si="14">(L7*I7)*$M$2</f>
        <v>0</v>
      </c>
      <c r="N7" s="60"/>
      <c r="O7" s="59">
        <f t="shared" ref="O7:O17" si="15">N7*I7*$O$2</f>
        <v>0</v>
      </c>
      <c r="P7" s="60"/>
      <c r="Q7" s="59">
        <f t="shared" ref="Q7:Q17" si="16">P7*I7*$Q$2</f>
        <v>0</v>
      </c>
      <c r="R7" s="13">
        <f t="shared" ref="R7:R17" si="17">SUM(K7+M7)+O7+Q7</f>
        <v>560118</v>
      </c>
      <c r="S7" s="48"/>
      <c r="T7" s="14"/>
    </row>
    <row r="8" spans="1:20" s="70" customFormat="1" ht="38.1" customHeight="1">
      <c r="A8" s="9" t="str">
        <f t="shared" ref="A8:A17" si="18">B8&amp;C8&amp;D8&amp;E8</f>
        <v>E00000803071260401</v>
      </c>
      <c r="B8" s="34"/>
      <c r="C8" s="10" t="s">
        <v>73</v>
      </c>
      <c r="D8" s="10"/>
      <c r="E8" s="34"/>
      <c r="F8" s="62" t="s">
        <v>74</v>
      </c>
      <c r="G8" s="62" t="s">
        <v>112</v>
      </c>
      <c r="H8" s="11" t="s">
        <v>71</v>
      </c>
      <c r="I8" s="61">
        <v>0.84589999999999999</v>
      </c>
      <c r="J8" s="90"/>
      <c r="K8" s="59">
        <f t="shared" si="13"/>
        <v>0</v>
      </c>
      <c r="L8" s="94">
        <v>510462</v>
      </c>
      <c r="M8" s="59">
        <f t="shared" si="14"/>
        <v>360552.83784299996</v>
      </c>
      <c r="N8" s="60"/>
      <c r="O8" s="59">
        <f t="shared" si="15"/>
        <v>0</v>
      </c>
      <c r="P8" s="60"/>
      <c r="Q8" s="59">
        <f t="shared" si="16"/>
        <v>0</v>
      </c>
      <c r="R8" s="13">
        <f t="shared" si="17"/>
        <v>360552.83784299996</v>
      </c>
      <c r="S8" s="48"/>
      <c r="T8" s="14"/>
    </row>
    <row r="9" spans="1:20" s="70" customFormat="1" ht="38.1" customHeight="1">
      <c r="A9" s="9" t="str">
        <f t="shared" si="18"/>
        <v>M020412614110102</v>
      </c>
      <c r="B9" s="34"/>
      <c r="C9" s="10"/>
      <c r="D9" s="79" t="s">
        <v>99</v>
      </c>
      <c r="E9" s="34"/>
      <c r="F9" s="80" t="s">
        <v>98</v>
      </c>
      <c r="G9" s="80" t="s">
        <v>93</v>
      </c>
      <c r="H9" s="55" t="s">
        <v>92</v>
      </c>
      <c r="I9" s="61">
        <v>0.5</v>
      </c>
      <c r="J9" s="89">
        <v>65500</v>
      </c>
      <c r="K9" s="59">
        <f t="shared" si="13"/>
        <v>27346.25</v>
      </c>
      <c r="L9" s="58"/>
      <c r="M9" s="59"/>
      <c r="N9" s="60"/>
      <c r="O9" s="59"/>
      <c r="P9" s="60"/>
      <c r="Q9" s="59"/>
      <c r="R9" s="13">
        <f t="shared" si="17"/>
        <v>27346.25</v>
      </c>
      <c r="S9" s="48"/>
      <c r="T9" s="14"/>
    </row>
    <row r="10" spans="1:20" s="70" customFormat="1" ht="38.1" customHeight="1">
      <c r="A10" s="9" t="str">
        <f t="shared" si="18"/>
        <v>E00000803061120402</v>
      </c>
      <c r="B10" s="34"/>
      <c r="C10" s="10" t="s">
        <v>75</v>
      </c>
      <c r="D10" s="10"/>
      <c r="E10" s="34"/>
      <c r="F10" s="62" t="s">
        <v>76</v>
      </c>
      <c r="G10" s="62" t="s">
        <v>77</v>
      </c>
      <c r="H10" s="49" t="s">
        <v>90</v>
      </c>
      <c r="I10" s="61">
        <v>50</v>
      </c>
      <c r="J10" s="92"/>
      <c r="K10" s="59">
        <f t="shared" si="13"/>
        <v>0</v>
      </c>
      <c r="L10" s="95">
        <v>10752</v>
      </c>
      <c r="M10" s="59">
        <f t="shared" si="14"/>
        <v>448896</v>
      </c>
      <c r="N10" s="60"/>
      <c r="O10" s="59">
        <f t="shared" si="15"/>
        <v>0</v>
      </c>
      <c r="P10" s="60"/>
      <c r="Q10" s="59">
        <f t="shared" si="16"/>
        <v>0</v>
      </c>
      <c r="R10" s="13">
        <f t="shared" si="17"/>
        <v>448896</v>
      </c>
      <c r="S10" s="48"/>
      <c r="T10" s="14"/>
    </row>
    <row r="11" spans="1:20" s="70" customFormat="1" ht="38.1" customHeight="1">
      <c r="A11" s="9" t="str">
        <f t="shared" si="18"/>
        <v>E00000803061300201</v>
      </c>
      <c r="B11" s="34"/>
      <c r="C11" s="10" t="s">
        <v>79</v>
      </c>
      <c r="D11" s="10"/>
      <c r="E11" s="34"/>
      <c r="F11" s="62" t="s">
        <v>80</v>
      </c>
      <c r="G11" s="62" t="s">
        <v>81</v>
      </c>
      <c r="H11" s="49" t="s">
        <v>78</v>
      </c>
      <c r="I11" s="61">
        <v>50</v>
      </c>
      <c r="J11" s="92"/>
      <c r="K11" s="59">
        <f t="shared" si="13"/>
        <v>0</v>
      </c>
      <c r="L11" s="94">
        <v>6368</v>
      </c>
      <c r="M11" s="59">
        <f t="shared" si="14"/>
        <v>265864</v>
      </c>
      <c r="N11" s="60"/>
      <c r="O11" s="59">
        <f t="shared" si="15"/>
        <v>0</v>
      </c>
      <c r="P11" s="60"/>
      <c r="Q11" s="59">
        <f t="shared" si="16"/>
        <v>0</v>
      </c>
      <c r="R11" s="13">
        <f t="shared" si="17"/>
        <v>265864</v>
      </c>
      <c r="S11" s="48"/>
      <c r="T11" s="14"/>
    </row>
    <row r="12" spans="1:20" s="70" customFormat="1" ht="38.1" customHeight="1">
      <c r="A12" s="9" t="str">
        <f t="shared" si="18"/>
        <v>M020411810170101</v>
      </c>
      <c r="B12" s="34"/>
      <c r="C12" s="10"/>
      <c r="D12" s="79" t="s">
        <v>94</v>
      </c>
      <c r="E12" s="34"/>
      <c r="F12" s="80" t="s">
        <v>95</v>
      </c>
      <c r="G12" s="80" t="s">
        <v>96</v>
      </c>
      <c r="H12" s="55" t="s">
        <v>92</v>
      </c>
      <c r="I12" s="61">
        <v>0.2</v>
      </c>
      <c r="J12" s="93">
        <v>89800</v>
      </c>
      <c r="K12" s="59">
        <f t="shared" si="13"/>
        <v>14996.599999999999</v>
      </c>
      <c r="L12" s="92"/>
      <c r="M12" s="59"/>
      <c r="N12" s="60"/>
      <c r="O12" s="59">
        <f t="shared" si="15"/>
        <v>0</v>
      </c>
      <c r="P12" s="60"/>
      <c r="Q12" s="59">
        <f t="shared" si="16"/>
        <v>0</v>
      </c>
      <c r="R12" s="13">
        <f t="shared" si="17"/>
        <v>14996.599999999999</v>
      </c>
      <c r="S12" s="48"/>
      <c r="T12" s="14"/>
    </row>
    <row r="13" spans="1:20" s="70" customFormat="1" ht="38.1" customHeight="1">
      <c r="A13" s="9" t="str">
        <f t="shared" si="18"/>
        <v>E00000803061120802</v>
      </c>
      <c r="B13" s="34"/>
      <c r="C13" s="10" t="s">
        <v>82</v>
      </c>
      <c r="D13" s="10"/>
      <c r="E13" s="34"/>
      <c r="F13" s="62" t="s">
        <v>83</v>
      </c>
      <c r="G13" s="62" t="s">
        <v>84</v>
      </c>
      <c r="H13" s="49" t="s">
        <v>78</v>
      </c>
      <c r="I13" s="61">
        <v>14</v>
      </c>
      <c r="J13" s="71"/>
      <c r="K13" s="12">
        <f t="shared" si="13"/>
        <v>0</v>
      </c>
      <c r="L13" s="94">
        <v>2496</v>
      </c>
      <c r="M13" s="12">
        <f t="shared" si="14"/>
        <v>29178.239999999998</v>
      </c>
      <c r="N13" s="13"/>
      <c r="O13" s="12">
        <f t="shared" si="15"/>
        <v>0</v>
      </c>
      <c r="P13" s="13"/>
      <c r="Q13" s="12">
        <f t="shared" si="16"/>
        <v>0</v>
      </c>
      <c r="R13" s="13">
        <f t="shared" si="17"/>
        <v>29178.239999999998</v>
      </c>
      <c r="S13" s="48"/>
      <c r="T13" s="14"/>
    </row>
    <row r="14" spans="1:20" s="70" customFormat="1" ht="38.1" customHeight="1">
      <c r="A14" s="9" t="str">
        <f t="shared" si="18"/>
        <v>E00000803061300701</v>
      </c>
      <c r="B14" s="34"/>
      <c r="C14" s="10" t="s">
        <v>85</v>
      </c>
      <c r="D14" s="10"/>
      <c r="E14" s="34"/>
      <c r="F14" s="62" t="s">
        <v>86</v>
      </c>
      <c r="G14" s="62" t="s">
        <v>81</v>
      </c>
      <c r="H14" s="49" t="s">
        <v>78</v>
      </c>
      <c r="I14" s="61">
        <v>14</v>
      </c>
      <c r="J14" s="50"/>
      <c r="K14" s="12">
        <f t="shared" si="13"/>
        <v>0</v>
      </c>
      <c r="L14" s="94">
        <v>3871</v>
      </c>
      <c r="M14" s="12">
        <f t="shared" si="14"/>
        <v>45251.99</v>
      </c>
      <c r="N14" s="13"/>
      <c r="O14" s="12">
        <f t="shared" si="15"/>
        <v>0</v>
      </c>
      <c r="P14" s="13"/>
      <c r="Q14" s="12">
        <f t="shared" si="16"/>
        <v>0</v>
      </c>
      <c r="R14" s="13">
        <f t="shared" si="17"/>
        <v>45251.99</v>
      </c>
      <c r="S14" s="48"/>
      <c r="T14" s="14"/>
    </row>
    <row r="15" spans="1:20" s="70" customFormat="1" ht="38.1" customHeight="1">
      <c r="A15" s="9" t="str">
        <f t="shared" si="18"/>
        <v>E00000803061120802</v>
      </c>
      <c r="B15" s="34"/>
      <c r="C15" s="10" t="s">
        <v>82</v>
      </c>
      <c r="D15" s="10"/>
      <c r="E15" s="34"/>
      <c r="F15" s="62" t="s">
        <v>87</v>
      </c>
      <c r="G15" s="62" t="s">
        <v>84</v>
      </c>
      <c r="H15" s="49" t="s">
        <v>78</v>
      </c>
      <c r="I15" s="61">
        <v>1.85</v>
      </c>
      <c r="J15" s="71"/>
      <c r="K15" s="12">
        <f t="shared" si="13"/>
        <v>0</v>
      </c>
      <c r="L15" s="94">
        <v>2496</v>
      </c>
      <c r="M15" s="12">
        <f t="shared" si="14"/>
        <v>3855.6959999999999</v>
      </c>
      <c r="N15" s="13"/>
      <c r="O15" s="12">
        <f t="shared" si="15"/>
        <v>0</v>
      </c>
      <c r="P15" s="13"/>
      <c r="Q15" s="12">
        <f t="shared" si="16"/>
        <v>0</v>
      </c>
      <c r="R15" s="13">
        <f t="shared" si="17"/>
        <v>3855.6959999999999</v>
      </c>
      <c r="S15" s="48"/>
      <c r="T15" s="14"/>
    </row>
    <row r="16" spans="1:20" s="70" customFormat="1" ht="38.1" customHeight="1">
      <c r="A16" s="9" t="str">
        <f t="shared" si="18"/>
        <v>E00000803061300401</v>
      </c>
      <c r="B16" s="34"/>
      <c r="C16" s="10" t="s">
        <v>88</v>
      </c>
      <c r="D16" s="10"/>
      <c r="E16" s="34"/>
      <c r="F16" s="62" t="s">
        <v>89</v>
      </c>
      <c r="G16" s="62" t="s">
        <v>81</v>
      </c>
      <c r="H16" s="49" t="s">
        <v>78</v>
      </c>
      <c r="I16" s="61">
        <v>1.85</v>
      </c>
      <c r="J16" s="50"/>
      <c r="K16" s="12">
        <f t="shared" si="13"/>
        <v>0</v>
      </c>
      <c r="L16" s="94">
        <v>5851</v>
      </c>
      <c r="M16" s="12">
        <f t="shared" si="14"/>
        <v>9038.3322499999995</v>
      </c>
      <c r="N16" s="13"/>
      <c r="O16" s="12">
        <f t="shared" si="15"/>
        <v>0</v>
      </c>
      <c r="P16" s="13"/>
      <c r="Q16" s="12">
        <f t="shared" si="16"/>
        <v>0</v>
      </c>
      <c r="R16" s="13">
        <f t="shared" si="17"/>
        <v>9038.3322499999995</v>
      </c>
      <c r="S16" s="48"/>
      <c r="T16" s="14"/>
    </row>
    <row r="17" spans="1:20" s="70" customFormat="1" ht="38.1" customHeight="1">
      <c r="A17" s="9" t="str">
        <f t="shared" si="18"/>
        <v>E00000801011510701</v>
      </c>
      <c r="B17" s="34"/>
      <c r="C17" s="10" t="s">
        <v>109</v>
      </c>
      <c r="D17" s="10"/>
      <c r="E17" s="34"/>
      <c r="F17" s="96" t="s">
        <v>113</v>
      </c>
      <c r="G17" s="11" t="s">
        <v>108</v>
      </c>
      <c r="H17" s="97" t="s">
        <v>114</v>
      </c>
      <c r="I17" s="61">
        <v>97</v>
      </c>
      <c r="J17" s="71"/>
      <c r="K17" s="12">
        <f t="shared" ref="K17" si="19">SUM(J17:J17)*I17*$K$2</f>
        <v>0</v>
      </c>
      <c r="L17" s="94">
        <v>5131</v>
      </c>
      <c r="M17" s="12">
        <f t="shared" si="14"/>
        <v>415585.34499999997</v>
      </c>
      <c r="N17" s="13"/>
      <c r="O17" s="12">
        <f t="shared" si="15"/>
        <v>0</v>
      </c>
      <c r="P17" s="13"/>
      <c r="Q17" s="12">
        <f t="shared" si="16"/>
        <v>0</v>
      </c>
      <c r="R17" s="13">
        <f t="shared" si="17"/>
        <v>415585.34499999997</v>
      </c>
      <c r="S17" s="48"/>
      <c r="T17" s="14"/>
    </row>
    <row r="18" spans="1:20" s="77" customFormat="1" ht="38.1" customHeight="1">
      <c r="A18" s="72"/>
      <c r="B18" s="73"/>
      <c r="C18" s="73"/>
      <c r="D18" s="73"/>
      <c r="E18" s="73"/>
      <c r="F18" s="65"/>
      <c r="G18" s="65"/>
      <c r="H18" s="73"/>
      <c r="I18" s="73"/>
      <c r="J18" s="73"/>
      <c r="K18" s="74">
        <f>SUM(K5:K17)</f>
        <v>729303.58744999999</v>
      </c>
      <c r="L18" s="75"/>
      <c r="M18" s="74">
        <f>SUM(M5:M17)</f>
        <v>2690271.5650230004</v>
      </c>
      <c r="N18" s="75"/>
      <c r="O18" s="74">
        <f>SUM(O5:O17)</f>
        <v>0</v>
      </c>
      <c r="P18" s="75"/>
      <c r="Q18" s="74">
        <f>SUM(Q5:Q17)</f>
        <v>0</v>
      </c>
      <c r="R18" s="76">
        <f>SUM(R5:R17)</f>
        <v>3419575.1524729999</v>
      </c>
      <c r="S18" s="42"/>
      <c r="T18" s="7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M24" sqref="M2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.75" style="33" bestFit="1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25" style="15" customWidth="1"/>
    <col min="17" max="16384" width="9" style="15"/>
  </cols>
  <sheetData>
    <row r="1" spans="1:15" ht="27" customHeight="1">
      <c r="A1" s="300" t="s">
        <v>9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5" ht="15" customHeight="1">
      <c r="A2" s="301" t="s">
        <v>10</v>
      </c>
      <c r="B2" s="302" t="s">
        <v>11</v>
      </c>
      <c r="C2" s="303" t="s">
        <v>8</v>
      </c>
      <c r="D2" s="303" t="s">
        <v>12</v>
      </c>
      <c r="E2" s="305" t="s">
        <v>13</v>
      </c>
      <c r="F2" s="302"/>
      <c r="G2" s="302" t="s">
        <v>14</v>
      </c>
      <c r="H2" s="302"/>
      <c r="I2" s="306" t="s">
        <v>15</v>
      </c>
      <c r="J2" s="307"/>
      <c r="K2" s="306" t="s">
        <v>16</v>
      </c>
      <c r="L2" s="307"/>
      <c r="M2" s="305" t="s">
        <v>17</v>
      </c>
      <c r="N2" s="302"/>
      <c r="O2" s="308" t="s">
        <v>18</v>
      </c>
    </row>
    <row r="3" spans="1:15" ht="15" customHeight="1">
      <c r="A3" s="301"/>
      <c r="B3" s="302"/>
      <c r="C3" s="304"/>
      <c r="D3" s="304"/>
      <c r="E3" s="54" t="s">
        <v>19</v>
      </c>
      <c r="F3" s="54" t="s">
        <v>20</v>
      </c>
      <c r="G3" s="16" t="s">
        <v>19</v>
      </c>
      <c r="H3" s="54" t="s">
        <v>21</v>
      </c>
      <c r="I3" s="54"/>
      <c r="J3" s="54"/>
      <c r="K3" s="16" t="s">
        <v>19</v>
      </c>
      <c r="L3" s="54" t="s">
        <v>21</v>
      </c>
      <c r="M3" s="16" t="s">
        <v>19</v>
      </c>
      <c r="N3" s="54" t="s">
        <v>21</v>
      </c>
      <c r="O3" s="309"/>
    </row>
    <row r="4" spans="1:15" ht="15" customHeight="1">
      <c r="A4" s="298" t="s">
        <v>115</v>
      </c>
      <c r="B4" s="299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>
      <c r="A5" s="311" t="s">
        <v>22</v>
      </c>
      <c r="B5" s="18" t="s">
        <v>23</v>
      </c>
      <c r="C5" s="19" t="s">
        <v>24</v>
      </c>
      <c r="D5" s="81">
        <v>38</v>
      </c>
      <c r="E5" s="98">
        <v>1057</v>
      </c>
      <c r="F5" s="20">
        <f t="shared" ref="F5:F11" si="0">D5*E5</f>
        <v>40166</v>
      </c>
      <c r="G5" s="98">
        <v>9266</v>
      </c>
      <c r="H5" s="20">
        <f t="shared" ref="H5:H11" si="1">D5*G5</f>
        <v>352108</v>
      </c>
      <c r="I5" s="20"/>
      <c r="J5" s="20"/>
      <c r="K5" s="20"/>
      <c r="L5" s="20"/>
      <c r="M5" s="20"/>
      <c r="N5" s="20">
        <f>F5+H5+J5+L5</f>
        <v>392274</v>
      </c>
      <c r="O5" s="313" t="s">
        <v>100</v>
      </c>
    </row>
    <row r="6" spans="1:15" ht="15" customHeight="1">
      <c r="A6" s="312"/>
      <c r="B6" s="100" t="s">
        <v>25</v>
      </c>
      <c r="C6" s="101" t="s">
        <v>24</v>
      </c>
      <c r="D6" s="102"/>
      <c r="E6" s="103"/>
      <c r="F6" s="104"/>
      <c r="G6" s="103"/>
      <c r="H6" s="104"/>
      <c r="I6" s="104"/>
      <c r="J6" s="104"/>
      <c r="K6" s="104"/>
      <c r="L6" s="104"/>
      <c r="M6" s="104"/>
      <c r="N6" s="104"/>
      <c r="O6" s="314"/>
    </row>
    <row r="7" spans="1:15" ht="15" customHeight="1">
      <c r="A7" s="312"/>
      <c r="B7" s="18" t="s">
        <v>26</v>
      </c>
      <c r="C7" s="19" t="s">
        <v>24</v>
      </c>
      <c r="D7" s="81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14"/>
    </row>
    <row r="8" spans="1:15" ht="15" customHeight="1">
      <c r="A8" s="312"/>
      <c r="B8" s="100" t="s">
        <v>27</v>
      </c>
      <c r="C8" s="101" t="s">
        <v>24</v>
      </c>
      <c r="D8" s="102"/>
      <c r="E8" s="103"/>
      <c r="F8" s="104"/>
      <c r="G8" s="103"/>
      <c r="H8" s="104"/>
      <c r="I8" s="104"/>
      <c r="J8" s="104"/>
      <c r="K8" s="104"/>
      <c r="L8" s="104"/>
      <c r="M8" s="104"/>
      <c r="N8" s="104"/>
      <c r="O8" s="314"/>
    </row>
    <row r="9" spans="1:15" ht="15" customHeight="1">
      <c r="A9" s="312"/>
      <c r="B9" s="18" t="s">
        <v>28</v>
      </c>
      <c r="C9" s="19" t="s">
        <v>24</v>
      </c>
      <c r="D9" s="81">
        <v>25</v>
      </c>
      <c r="E9" s="98">
        <v>1057</v>
      </c>
      <c r="F9" s="20">
        <f t="shared" si="0"/>
        <v>26425</v>
      </c>
      <c r="G9" s="98">
        <v>9266</v>
      </c>
      <c r="H9" s="20">
        <f t="shared" si="1"/>
        <v>231650</v>
      </c>
      <c r="I9" s="20"/>
      <c r="J9" s="20"/>
      <c r="K9" s="20"/>
      <c r="L9" s="20"/>
      <c r="M9" s="20"/>
      <c r="N9" s="20">
        <f t="shared" si="2"/>
        <v>258075</v>
      </c>
      <c r="O9" s="314"/>
    </row>
    <row r="10" spans="1:15" ht="15" customHeight="1">
      <c r="A10" s="312"/>
      <c r="B10" s="100" t="s">
        <v>29</v>
      </c>
      <c r="C10" s="101" t="s">
        <v>24</v>
      </c>
      <c r="D10" s="102"/>
      <c r="E10" s="103"/>
      <c r="F10" s="104"/>
      <c r="G10" s="103"/>
      <c r="H10" s="104"/>
      <c r="I10" s="104"/>
      <c r="J10" s="104"/>
      <c r="K10" s="104"/>
      <c r="L10" s="104"/>
      <c r="M10" s="104"/>
      <c r="N10" s="104"/>
      <c r="O10" s="314"/>
    </row>
    <row r="11" spans="1:15" ht="15" customHeight="1">
      <c r="A11" s="312"/>
      <c r="B11" s="18" t="s">
        <v>30</v>
      </c>
      <c r="C11" s="19" t="s">
        <v>24</v>
      </c>
      <c r="D11" s="81">
        <v>25</v>
      </c>
      <c r="E11" s="98">
        <v>1057</v>
      </c>
      <c r="F11" s="20">
        <f t="shared" si="0"/>
        <v>26425</v>
      </c>
      <c r="G11" s="98">
        <v>9266</v>
      </c>
      <c r="H11" s="20">
        <f t="shared" si="1"/>
        <v>231650</v>
      </c>
      <c r="I11" s="20"/>
      <c r="J11" s="20"/>
      <c r="K11" s="20"/>
      <c r="L11" s="20"/>
      <c r="M11" s="20"/>
      <c r="N11" s="20">
        <f t="shared" si="2"/>
        <v>258075</v>
      </c>
      <c r="O11" s="314"/>
    </row>
    <row r="12" spans="1:15" ht="15" customHeight="1">
      <c r="A12" s="312"/>
      <c r="B12" s="100" t="s">
        <v>31</v>
      </c>
      <c r="C12" s="101" t="s">
        <v>24</v>
      </c>
      <c r="D12" s="102"/>
      <c r="E12" s="103"/>
      <c r="F12" s="104"/>
      <c r="G12" s="103"/>
      <c r="H12" s="104"/>
      <c r="I12" s="104"/>
      <c r="J12" s="104"/>
      <c r="K12" s="104"/>
      <c r="L12" s="104"/>
      <c r="M12" s="104"/>
      <c r="N12" s="104"/>
      <c r="O12" s="314"/>
    </row>
    <row r="13" spans="1:15" ht="15" customHeight="1">
      <c r="A13" s="43" t="s">
        <v>32</v>
      </c>
      <c r="B13" s="44"/>
      <c r="C13" s="45"/>
      <c r="D13" s="83">
        <f>SUM(D5:D12)</f>
        <v>120</v>
      </c>
      <c r="E13" s="46"/>
      <c r="F13" s="46">
        <f>SUM(F5:F12)</f>
        <v>126840</v>
      </c>
      <c r="G13" s="46"/>
      <c r="H13" s="46">
        <f>SUM(H5:H12)</f>
        <v>1111920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1238760</v>
      </c>
      <c r="O13" s="46"/>
    </row>
    <row r="14" spans="1:15" ht="15" customHeight="1">
      <c r="A14" s="315" t="s">
        <v>101</v>
      </c>
      <c r="B14" s="18" t="s">
        <v>33</v>
      </c>
      <c r="C14" s="19" t="s">
        <v>24</v>
      </c>
      <c r="D14" s="82">
        <v>26.1</v>
      </c>
      <c r="E14" s="98">
        <v>10855</v>
      </c>
      <c r="F14" s="51">
        <f>D14*E14</f>
        <v>283315.5</v>
      </c>
      <c r="G14" s="98">
        <v>6987</v>
      </c>
      <c r="H14" s="51">
        <f>D14*G14</f>
        <v>182360.7</v>
      </c>
      <c r="I14" s="51"/>
      <c r="J14" s="51"/>
      <c r="K14" s="20"/>
      <c r="L14" s="51"/>
      <c r="M14" s="20"/>
      <c r="N14" s="51">
        <f t="shared" ref="N14:N17" si="3">F14+H14+J14+L14</f>
        <v>465676.2</v>
      </c>
      <c r="O14" s="314"/>
    </row>
    <row r="15" spans="1:15" ht="15" customHeight="1">
      <c r="A15" s="315"/>
      <c r="B15" s="18" t="s">
        <v>34</v>
      </c>
      <c r="C15" s="19" t="s">
        <v>24</v>
      </c>
      <c r="D15" s="84">
        <v>10.9</v>
      </c>
      <c r="E15" s="98">
        <v>10855</v>
      </c>
      <c r="F15" s="51">
        <f>D15*E15</f>
        <v>118319.5</v>
      </c>
      <c r="G15" s="98">
        <v>6987</v>
      </c>
      <c r="H15" s="51">
        <f>D15*G15</f>
        <v>76158.3</v>
      </c>
      <c r="I15" s="51"/>
      <c r="J15" s="51"/>
      <c r="K15" s="20"/>
      <c r="L15" s="51"/>
      <c r="M15" s="20"/>
      <c r="N15" s="51">
        <f t="shared" si="3"/>
        <v>194477.8</v>
      </c>
      <c r="O15" s="314"/>
    </row>
    <row r="16" spans="1:15" ht="15" customHeight="1">
      <c r="A16" s="315"/>
      <c r="B16" s="18" t="s">
        <v>35</v>
      </c>
      <c r="C16" s="19" t="s">
        <v>24</v>
      </c>
      <c r="D16" s="84">
        <v>8.4</v>
      </c>
      <c r="E16" s="98">
        <v>10855</v>
      </c>
      <c r="F16" s="51">
        <f>D16*E16</f>
        <v>91182</v>
      </c>
      <c r="G16" s="98">
        <v>6987</v>
      </c>
      <c r="H16" s="51">
        <f>D16*G16</f>
        <v>58690.8</v>
      </c>
      <c r="I16" s="51"/>
      <c r="J16" s="51"/>
      <c r="K16" s="20"/>
      <c r="L16" s="51"/>
      <c r="M16" s="20"/>
      <c r="N16" s="51">
        <f t="shared" si="3"/>
        <v>149872.79999999999</v>
      </c>
      <c r="O16" s="314"/>
    </row>
    <row r="17" spans="1:15" ht="15" customHeight="1">
      <c r="A17" s="316"/>
      <c r="B17" s="18" t="s">
        <v>36</v>
      </c>
      <c r="C17" s="19" t="s">
        <v>24</v>
      </c>
      <c r="D17" s="84">
        <v>6.1</v>
      </c>
      <c r="E17" s="98">
        <v>10855</v>
      </c>
      <c r="F17" s="51">
        <f>D17*E17</f>
        <v>66215.5</v>
      </c>
      <c r="G17" s="98">
        <v>6987</v>
      </c>
      <c r="H17" s="51">
        <f>D17*G17</f>
        <v>42620.7</v>
      </c>
      <c r="I17" s="51"/>
      <c r="J17" s="51"/>
      <c r="K17" s="20"/>
      <c r="L17" s="51"/>
      <c r="M17" s="20"/>
      <c r="N17" s="51">
        <f t="shared" si="3"/>
        <v>108836.2</v>
      </c>
      <c r="O17" s="317"/>
    </row>
    <row r="18" spans="1:15" ht="15" customHeight="1">
      <c r="A18" s="35" t="s">
        <v>32</v>
      </c>
      <c r="B18" s="21"/>
      <c r="C18" s="24"/>
      <c r="D18" s="83">
        <f>SUM(D14:D17)</f>
        <v>51.5</v>
      </c>
      <c r="E18" s="23"/>
      <c r="F18" s="23">
        <f>SUM(F14:F17)</f>
        <v>559032.5</v>
      </c>
      <c r="G18" s="23"/>
      <c r="H18" s="23">
        <f>SUM(H14:H17)</f>
        <v>359830.5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918863</v>
      </c>
      <c r="O18" s="23"/>
    </row>
    <row r="19" spans="1:15" ht="15" customHeight="1">
      <c r="A19" s="40" t="s">
        <v>37</v>
      </c>
      <c r="B19" s="25"/>
      <c r="C19" s="26"/>
      <c r="D19" s="8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2" t="s">
        <v>97</v>
      </c>
      <c r="B20" s="56" t="s">
        <v>93</v>
      </c>
      <c r="C20" s="56" t="s">
        <v>92</v>
      </c>
      <c r="D20" s="85">
        <v>0.5</v>
      </c>
      <c r="E20" s="98">
        <v>54693</v>
      </c>
      <c r="F20" s="51">
        <f>D20*E20</f>
        <v>27346.5</v>
      </c>
      <c r="G20" s="20"/>
      <c r="H20" s="20"/>
      <c r="I20" s="20"/>
      <c r="J20" s="20"/>
      <c r="K20" s="20"/>
      <c r="L20" s="20"/>
      <c r="M20" s="20"/>
      <c r="N20" s="53">
        <f t="shared" ref="N20:N29" si="4">F20+H20+J20+L20</f>
        <v>27346.5</v>
      </c>
      <c r="O20" s="20"/>
    </row>
    <row r="21" spans="1:15" ht="15" customHeight="1">
      <c r="A21" s="310" t="s">
        <v>38</v>
      </c>
      <c r="B21" s="25" t="s">
        <v>39</v>
      </c>
      <c r="C21" s="26" t="s">
        <v>24</v>
      </c>
      <c r="D21" s="85">
        <v>25</v>
      </c>
      <c r="E21" s="53"/>
      <c r="F21" s="53">
        <f>D21*E21</f>
        <v>0</v>
      </c>
      <c r="G21" s="99">
        <v>8978</v>
      </c>
      <c r="H21" s="53">
        <f t="shared" ref="H21:H27" si="5">D21*G21</f>
        <v>224450</v>
      </c>
      <c r="I21" s="53"/>
      <c r="J21" s="53"/>
      <c r="K21" s="53"/>
      <c r="L21" s="53"/>
      <c r="M21" s="53"/>
      <c r="N21" s="53">
        <f t="shared" si="4"/>
        <v>224450</v>
      </c>
      <c r="O21" s="20"/>
    </row>
    <row r="22" spans="1:15" ht="15" customHeight="1">
      <c r="A22" s="310"/>
      <c r="B22" s="25" t="s">
        <v>40</v>
      </c>
      <c r="C22" s="26" t="s">
        <v>24</v>
      </c>
      <c r="D22" s="85">
        <v>25</v>
      </c>
      <c r="E22" s="53"/>
      <c r="F22" s="53">
        <f t="shared" ref="F22:F29" si="6">D22*E22</f>
        <v>0</v>
      </c>
      <c r="G22" s="99">
        <v>5317</v>
      </c>
      <c r="H22" s="53">
        <f t="shared" si="5"/>
        <v>132925</v>
      </c>
      <c r="I22" s="53"/>
      <c r="J22" s="53"/>
      <c r="K22" s="53"/>
      <c r="L22" s="53"/>
      <c r="M22" s="53"/>
      <c r="N22" s="53">
        <f t="shared" si="4"/>
        <v>132925</v>
      </c>
      <c r="O22" s="20"/>
    </row>
    <row r="23" spans="1:15" ht="15" customHeight="1">
      <c r="A23" s="310" t="s">
        <v>41</v>
      </c>
      <c r="B23" s="25" t="s">
        <v>39</v>
      </c>
      <c r="C23" s="26" t="s">
        <v>24</v>
      </c>
      <c r="D23" s="85">
        <v>25</v>
      </c>
      <c r="E23" s="53"/>
      <c r="F23" s="53">
        <f>D23*E23</f>
        <v>0</v>
      </c>
      <c r="G23" s="99">
        <v>8978</v>
      </c>
      <c r="H23" s="53">
        <f t="shared" si="5"/>
        <v>224450</v>
      </c>
      <c r="I23" s="53"/>
      <c r="J23" s="53"/>
      <c r="K23" s="53"/>
      <c r="L23" s="53"/>
      <c r="M23" s="53"/>
      <c r="N23" s="53">
        <f t="shared" si="4"/>
        <v>224450</v>
      </c>
      <c r="O23" s="20"/>
    </row>
    <row r="24" spans="1:15" ht="15" customHeight="1">
      <c r="A24" s="310"/>
      <c r="B24" s="25" t="s">
        <v>40</v>
      </c>
      <c r="C24" s="26" t="s">
        <v>24</v>
      </c>
      <c r="D24" s="85">
        <v>25</v>
      </c>
      <c r="E24" s="53"/>
      <c r="F24" s="53">
        <f t="shared" ref="F24:F27" si="7">D24*E24</f>
        <v>0</v>
      </c>
      <c r="G24" s="99">
        <v>5317</v>
      </c>
      <c r="H24" s="53">
        <f t="shared" si="5"/>
        <v>132925</v>
      </c>
      <c r="I24" s="53"/>
      <c r="J24" s="53"/>
      <c r="K24" s="53"/>
      <c r="L24" s="53"/>
      <c r="M24" s="53"/>
      <c r="N24" s="53">
        <f t="shared" si="4"/>
        <v>132925</v>
      </c>
      <c r="O24" s="20"/>
    </row>
    <row r="25" spans="1:15" ht="15" customHeight="1">
      <c r="A25" s="57" t="s">
        <v>95</v>
      </c>
      <c r="B25" s="56" t="s">
        <v>96</v>
      </c>
      <c r="C25" s="56" t="s">
        <v>92</v>
      </c>
      <c r="D25" s="85">
        <v>0.2</v>
      </c>
      <c r="E25" s="98">
        <v>74983</v>
      </c>
      <c r="F25" s="53">
        <f t="shared" si="7"/>
        <v>14996.6</v>
      </c>
      <c r="G25" s="20"/>
      <c r="H25" s="20"/>
      <c r="I25" s="20"/>
      <c r="J25" s="20"/>
      <c r="K25" s="20"/>
      <c r="L25" s="20"/>
      <c r="M25" s="20"/>
      <c r="N25" s="53">
        <f t="shared" si="4"/>
        <v>14996.6</v>
      </c>
      <c r="O25" s="20"/>
    </row>
    <row r="26" spans="1:15" ht="15" customHeight="1">
      <c r="A26" s="310" t="s">
        <v>42</v>
      </c>
      <c r="B26" s="25" t="s">
        <v>43</v>
      </c>
      <c r="C26" s="26" t="s">
        <v>24</v>
      </c>
      <c r="D26" s="85">
        <v>14</v>
      </c>
      <c r="E26" s="20"/>
      <c r="F26" s="20">
        <f t="shared" si="6"/>
        <v>0</v>
      </c>
      <c r="G26" s="98">
        <v>2084</v>
      </c>
      <c r="H26" s="20">
        <f t="shared" si="5"/>
        <v>29176</v>
      </c>
      <c r="I26" s="20"/>
      <c r="J26" s="20"/>
      <c r="K26" s="20"/>
      <c r="L26" s="51"/>
      <c r="M26" s="20"/>
      <c r="N26" s="51">
        <f t="shared" si="4"/>
        <v>29176</v>
      </c>
      <c r="O26" s="20"/>
    </row>
    <row r="27" spans="1:15" ht="15" customHeight="1">
      <c r="A27" s="310"/>
      <c r="B27" s="25" t="s">
        <v>44</v>
      </c>
      <c r="C27" s="26" t="s">
        <v>24</v>
      </c>
      <c r="D27" s="85">
        <v>14</v>
      </c>
      <c r="E27" s="20"/>
      <c r="F27" s="20">
        <f t="shared" si="7"/>
        <v>0</v>
      </c>
      <c r="G27" s="98">
        <v>3232</v>
      </c>
      <c r="H27" s="20">
        <f t="shared" si="5"/>
        <v>45248</v>
      </c>
      <c r="I27" s="20"/>
      <c r="J27" s="20"/>
      <c r="K27" s="20"/>
      <c r="L27" s="51"/>
      <c r="M27" s="20"/>
      <c r="N27" s="51">
        <f t="shared" si="4"/>
        <v>45248</v>
      </c>
      <c r="O27" s="20"/>
    </row>
    <row r="28" spans="1:15" ht="15" customHeight="1">
      <c r="A28" s="310" t="s">
        <v>45</v>
      </c>
      <c r="B28" s="25" t="s">
        <v>43</v>
      </c>
      <c r="C28" s="26" t="s">
        <v>24</v>
      </c>
      <c r="D28" s="85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1"/>
      <c r="M28" s="20"/>
      <c r="N28" s="51">
        <f t="shared" si="4"/>
        <v>4168</v>
      </c>
      <c r="O28" s="20"/>
    </row>
    <row r="29" spans="1:15" ht="15" customHeight="1">
      <c r="A29" s="310"/>
      <c r="B29" s="25" t="s">
        <v>46</v>
      </c>
      <c r="C29" s="26" t="s">
        <v>24</v>
      </c>
      <c r="D29" s="85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1"/>
      <c r="M29" s="20"/>
      <c r="N29" s="51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86"/>
      <c r="E30" s="23"/>
      <c r="F30" s="23">
        <f>SUM(F19:F29)</f>
        <v>42343.1</v>
      </c>
      <c r="G30" s="23"/>
      <c r="H30" s="23">
        <f>SUM(H19:H29)</f>
        <v>803114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845457.1</v>
      </c>
      <c r="O30" s="23"/>
    </row>
    <row r="31" spans="1:15" ht="15" customHeight="1">
      <c r="A31" s="41" t="s">
        <v>47</v>
      </c>
      <c r="B31" s="18" t="s">
        <v>48</v>
      </c>
      <c r="C31" s="19" t="s">
        <v>24</v>
      </c>
      <c r="D31" s="87">
        <v>97</v>
      </c>
      <c r="E31" s="51"/>
      <c r="F31" s="51"/>
      <c r="G31" s="98">
        <v>4284</v>
      </c>
      <c r="H31" s="51">
        <f>D31*G31</f>
        <v>415548</v>
      </c>
      <c r="I31" s="51"/>
      <c r="J31" s="51"/>
      <c r="K31" s="51"/>
      <c r="L31" s="51"/>
      <c r="M31" s="51"/>
      <c r="N31" s="51">
        <f>F31+H31+J31+L31</f>
        <v>415548</v>
      </c>
      <c r="O31" s="29" t="s">
        <v>49</v>
      </c>
    </row>
    <row r="32" spans="1:15" ht="15" customHeight="1">
      <c r="A32" s="36" t="s">
        <v>32</v>
      </c>
      <c r="B32" s="21"/>
      <c r="C32" s="22"/>
      <c r="D32" s="88"/>
      <c r="E32" s="30"/>
      <c r="F32" s="30"/>
      <c r="G32" s="30"/>
      <c r="H32" s="23">
        <f>SUM(H31:H31)</f>
        <v>415548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415548</v>
      </c>
      <c r="O32" s="30"/>
    </row>
    <row r="33" spans="1:15" ht="15" customHeight="1">
      <c r="A33" s="35" t="s">
        <v>91</v>
      </c>
      <c r="B33" s="21"/>
      <c r="C33" s="22"/>
      <c r="D33" s="88"/>
      <c r="E33" s="31"/>
      <c r="F33" s="32">
        <f>F13+F18+F30+F32</f>
        <v>728215.6</v>
      </c>
      <c r="G33" s="32"/>
      <c r="H33" s="32">
        <f>H13+H18+H30+H32</f>
        <v>2690412.5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3418628.1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H32" sqref="H3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7.2683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2.609</v>
      </c>
    </row>
    <row r="4" spans="1:6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51.6</v>
      </c>
    </row>
    <row r="5" spans="1:6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0.84589999999999999</v>
      </c>
    </row>
    <row r="6" spans="1:6">
      <c r="A6" s="38" t="str">
        <f>'내역서(표준단가)'!A9</f>
        <v>M020412614110102</v>
      </c>
      <c r="B6" s="39">
        <f>'내역서(표준단가)'!B9</f>
        <v>0</v>
      </c>
      <c r="C6" s="39">
        <f>'내역서(표준단가)'!C9</f>
        <v>0</v>
      </c>
      <c r="D6" s="39" t="str">
        <f>'내역서(표준단가)'!D9</f>
        <v>M020412614110102</v>
      </c>
      <c r="E6" s="39">
        <f>'내역서(표준단가)'!E9</f>
        <v>0</v>
      </c>
      <c r="F6" s="47">
        <f>'내역서(표준단가)'!I9</f>
        <v>0.5</v>
      </c>
    </row>
    <row r="7" spans="1:6">
      <c r="A7" s="38" t="str">
        <f>'내역서(표준단가)'!A10</f>
        <v>E00000803061120402</v>
      </c>
      <c r="B7" s="39">
        <f>'내역서(표준단가)'!B10</f>
        <v>0</v>
      </c>
      <c r="C7" s="39" t="str">
        <f>'내역서(표준단가)'!C10</f>
        <v>E00000803061120402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50</v>
      </c>
    </row>
    <row r="8" spans="1:6">
      <c r="A8" s="38" t="str">
        <f>'내역서(표준단가)'!A11</f>
        <v>E00000803061300201</v>
      </c>
      <c r="B8" s="39">
        <f>'내역서(표준단가)'!B11</f>
        <v>0</v>
      </c>
      <c r="C8" s="39" t="str">
        <f>'내역서(표준단가)'!C11</f>
        <v>E00000803061300201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50</v>
      </c>
    </row>
    <row r="9" spans="1:6">
      <c r="A9" s="38" t="str">
        <f>'내역서(표준단가)'!A12</f>
        <v>M020411810170101</v>
      </c>
      <c r="B9" s="39">
        <f>'내역서(표준단가)'!B12</f>
        <v>0</v>
      </c>
      <c r="C9" s="39">
        <f>'내역서(표준단가)'!C12</f>
        <v>0</v>
      </c>
      <c r="D9" s="39" t="str">
        <f>'내역서(표준단가)'!D12</f>
        <v>M020411810170101</v>
      </c>
      <c r="E9" s="39">
        <f>'내역서(표준단가)'!E12</f>
        <v>0</v>
      </c>
      <c r="F9" s="47">
        <f>'내역서(표준단가)'!I12</f>
        <v>0.2</v>
      </c>
    </row>
    <row r="10" spans="1:6">
      <c r="A10" s="38" t="str">
        <f>'내역서(표준단가)'!A13</f>
        <v>E00000803061120802</v>
      </c>
      <c r="B10" s="39">
        <f>'내역서(표준단가)'!B13</f>
        <v>0</v>
      </c>
      <c r="C10" s="39" t="str">
        <f>'내역서(표준단가)'!C13</f>
        <v>E00000803061120802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14</v>
      </c>
    </row>
    <row r="11" spans="1:6">
      <c r="A11" s="38" t="str">
        <f>'내역서(표준단가)'!A14</f>
        <v>E00000803061300701</v>
      </c>
      <c r="B11" s="39">
        <f>'내역서(표준단가)'!B14</f>
        <v>0</v>
      </c>
      <c r="C11" s="39" t="str">
        <f>'내역서(표준단가)'!C14</f>
        <v>E00000803061300701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14</v>
      </c>
    </row>
    <row r="12" spans="1:6">
      <c r="A12" s="38" t="str">
        <f>'내역서(표준단가)'!A15</f>
        <v>E00000803061120802</v>
      </c>
      <c r="B12" s="39">
        <f>'내역서(표준단가)'!B15</f>
        <v>0</v>
      </c>
      <c r="C12" s="39" t="str">
        <f>'내역서(표준단가)'!C15</f>
        <v>E00000803061120802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1.85</v>
      </c>
    </row>
    <row r="13" spans="1:6">
      <c r="A13" s="38" t="str">
        <f>'내역서(표준단가)'!A16</f>
        <v>E00000803061300401</v>
      </c>
      <c r="B13" s="39">
        <f>'내역서(표준단가)'!B16</f>
        <v>0</v>
      </c>
      <c r="C13" s="39" t="str">
        <f>'내역서(표준단가)'!C16</f>
        <v>E00000803061300401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1.85</v>
      </c>
    </row>
    <row r="14" spans="1:6">
      <c r="A14" s="38" t="str">
        <f>'내역서(표준단가)'!A17</f>
        <v>E00000801011510701</v>
      </c>
      <c r="B14" s="39">
        <f>'내역서(표준단가)'!B17</f>
        <v>0</v>
      </c>
      <c r="C14" s="39" t="str">
        <f>'내역서(표준단가)'!C17</f>
        <v>E00000801011510701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2026-04-06T01:34:31Z</dcterms:modified>
</cp:coreProperties>
</file>
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317\06 작업폴더\06 사택 어린이집 EHP 오버홀 세척\"/>
    </mc:Choice>
  </mc:AlternateContent>
  <xr:revisionPtr revIDLastSave="0" documentId="13_ncr:1_{CC0DEEE0-DC01-4437-8C1E-72229B8E654C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4" r:id="rId2"/>
    <sheet name="시중가" sheetId="6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8" i="4" l="1"/>
  <c r="A7" i="4"/>
  <c r="U6" i="4" l="1"/>
  <c r="S6" i="4"/>
  <c r="Q6" i="4"/>
  <c r="O6" i="4"/>
  <c r="U5" i="4"/>
  <c r="S5" i="4"/>
  <c r="Q5" i="4"/>
  <c r="O5" i="4"/>
  <c r="V5" i="4" l="1"/>
  <c r="V6" i="4"/>
  <c r="U7" i="4" l="1"/>
  <c r="S7" i="4"/>
  <c r="Q7" i="4"/>
  <c r="O7" i="4"/>
  <c r="V7" i="4" l="1"/>
  <c r="U8" i="4"/>
  <c r="Q8" i="4"/>
  <c r="S8" i="4" l="1"/>
  <c r="V8" i="4" l="1"/>
  <c r="F18" i="5" l="1"/>
  <c r="O8" i="4" l="1"/>
  <c r="F17" i="5" l="1"/>
  <c r="F16" i="5"/>
  <c r="F19" i="5" l="1"/>
  <c r="F28" i="5" l="1"/>
  <c r="F30" i="5" l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<sst xmlns="http://schemas.openxmlformats.org/spreadsheetml/2006/main" count="83" uniqueCount="63">
  <si>
    <t>견 적 서</t>
    <phoneticPr fontId="12" type="noConversion"/>
  </si>
  <si>
    <t xml:space="preserve">금액: </t>
    <phoneticPr fontId="12" type="noConversion"/>
  </si>
  <si>
    <t>원정</t>
    <phoneticPr fontId="14" type="noConversion"/>
  </si>
  <si>
    <t xml:space="preserve">  </t>
  </si>
  <si>
    <t>NO</t>
  </si>
  <si>
    <t>품명</t>
    <phoneticPr fontId="14" type="noConversion"/>
  </si>
  <si>
    <t>규격</t>
    <phoneticPr fontId="14" type="noConversion"/>
  </si>
  <si>
    <t>수량</t>
    <phoneticPr fontId="14" type="noConversion"/>
  </si>
  <si>
    <t>단위</t>
    <phoneticPr fontId="14" type="noConversion"/>
  </si>
  <si>
    <t>금액</t>
    <phoneticPr fontId="14" type="noConversion"/>
  </si>
  <si>
    <t>비고</t>
    <phoneticPr fontId="14" type="noConversion"/>
  </si>
  <si>
    <t>직접비</t>
    <phoneticPr fontId="12" type="noConversion"/>
  </si>
  <si>
    <t>재료비</t>
    <phoneticPr fontId="12" type="noConversion"/>
  </si>
  <si>
    <t>노무비</t>
    <phoneticPr fontId="14" type="noConversion"/>
  </si>
  <si>
    <t>기계/기타경비</t>
    <phoneticPr fontId="12" type="noConversion"/>
  </si>
  <si>
    <t>소계</t>
    <phoneticPr fontId="12" type="noConversion"/>
  </si>
  <si>
    <t>간접비</t>
    <phoneticPr fontId="12" type="noConversion"/>
  </si>
  <si>
    <t>  국민연금</t>
    <phoneticPr fontId="14" type="noConversion"/>
  </si>
  <si>
    <t> 노무비*4.5%</t>
    <phoneticPr fontId="14" type="noConversion"/>
  </si>
  <si>
    <t>식</t>
    <phoneticPr fontId="14" type="noConversion"/>
  </si>
  <si>
    <t>모든공사에 적용</t>
    <phoneticPr fontId="14" type="noConversion"/>
  </si>
  <si>
    <t>  건강보험료</t>
    <phoneticPr fontId="14" type="noConversion"/>
  </si>
  <si>
    <t>모든공사에 적용</t>
    <phoneticPr fontId="14" type="noConversion"/>
  </si>
  <si>
    <t>  장기요양보험료</t>
    <phoneticPr fontId="14" type="noConversion"/>
  </si>
  <si>
    <t>  고용보험료</t>
    <phoneticPr fontId="14" type="noConversion"/>
  </si>
  <si>
    <t>  산재보험료</t>
    <phoneticPr fontId="14" type="noConversion"/>
  </si>
  <si>
    <t xml:space="preserve">  산업안전보건관리비</t>
    <phoneticPr fontId="14" type="noConversion"/>
  </si>
  <si>
    <t>소계</t>
    <phoneticPr fontId="12" type="noConversion"/>
  </si>
  <si>
    <t>합계(단수조정)</t>
    <phoneticPr fontId="12" type="noConversion"/>
  </si>
  <si>
    <t>VAT별도</t>
    <phoneticPr fontId="14" type="noConversion"/>
  </si>
  <si>
    <t>일반관리비/이윤</t>
    <phoneticPr fontId="14" type="noConversion"/>
  </si>
  <si>
    <t> (노무비+간접공사비)*5%</t>
    <phoneticPr fontId="14" type="noConversion"/>
  </si>
  <si>
    <t>할증기준</t>
    <phoneticPr fontId="6" type="noConversion"/>
  </si>
  <si>
    <t> 노무비*1.01%</t>
    <phoneticPr fontId="14" type="noConversion"/>
  </si>
  <si>
    <t xml:space="preserve"> 수신인 : 주식회사 에스엔아이 코퍼레이션</t>
    <phoneticPr fontId="12" type="noConversion"/>
  </si>
  <si>
    <t> 노무비*3.545%</t>
    <phoneticPr fontId="14" type="noConversion"/>
  </si>
  <si>
    <t> 건강보험료*12.95%</t>
    <phoneticPr fontId="14" type="noConversion"/>
  </si>
  <si>
    <t> 노무비*3.56%</t>
    <phoneticPr fontId="14" type="noConversion"/>
  </si>
  <si>
    <r>
      <rPr>
        <b/>
        <sz val="10"/>
        <color rgb="FF000000"/>
        <rFont val="LG스마트체 Regular"/>
        <family val="3"/>
        <charset val="129"/>
      </rPr>
      <t>▼낙찰율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</si>
  <si>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  <phoneticPr fontId="6" type="noConversion"/>
  </si>
  <si>
    <r>
      <rPr>
        <b/>
        <sz val="10"/>
        <color rgb="FF000000"/>
        <rFont val="LG스마트체 Regular"/>
        <family val="3"/>
        <charset val="129"/>
      </rPr>
      <t>주요내역</t>
    </r>
    <phoneticPr fontId="6" type="noConversion"/>
  </si>
  <si>
    <r>
      <rPr>
        <b/>
        <sz val="10"/>
        <color rgb="FF000000"/>
        <rFont val="LG스마트체 Regular"/>
        <family val="3"/>
        <charset val="129"/>
      </rPr>
      <t>단위</t>
    </r>
  </si>
  <si>
    <r>
      <rPr>
        <b/>
        <sz val="10"/>
        <color rgb="FF000000"/>
        <rFont val="LG스마트체 Regular"/>
        <family val="3"/>
        <charset val="129"/>
      </rPr>
      <t>수량</t>
    </r>
  </si>
  <si>
    <r>
      <rPr>
        <b/>
        <sz val="10"/>
        <color rgb="FF000000"/>
        <rFont val="LG스마트체 Regular"/>
        <family val="3"/>
        <charset val="129"/>
      </rPr>
      <t>재료비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</si>
  <si>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노무비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</si>
  <si>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기계경비</t>
    </r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</si>
  <si>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</si>
  <si>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r>
      <rPr>
        <b/>
        <sz val="10"/>
        <color rgb="FF000000"/>
        <rFont val="LG스마트체 Regular"/>
        <family val="3"/>
        <charset val="129"/>
      </rPr>
      <t>합계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</si>
  <si>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  <phoneticPr fontId="6" type="noConversion"/>
  </si>
  <si>
    <r>
      <rPr>
        <b/>
        <sz val="10"/>
        <color rgb="FF000000"/>
        <rFont val="LG스마트체 Regular"/>
        <family val="3"/>
        <charset val="129"/>
      </rPr>
      <t>합계</t>
    </r>
    <phoneticPr fontId="6" type="noConversion"/>
  </si>
  <si>
    <r>
      <rPr>
        <b/>
        <sz val="10"/>
        <color rgb="FF000000"/>
        <rFont val="LG스마트체 Regular"/>
        <family val="3"/>
        <charset val="129"/>
      </rPr>
      <t>품목</t>
    </r>
    <phoneticPr fontId="6" type="noConversion"/>
  </si>
  <si>
    <r>
      <rPr>
        <b/>
        <sz val="10"/>
        <color rgb="FF000000"/>
        <rFont val="LG스마트체 Regular"/>
        <family val="3"/>
        <charset val="129"/>
      </rPr>
      <t>규격</t>
    </r>
    <phoneticPr fontId="6" type="noConversion"/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</si>
  <si>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  <phoneticPr fontId="6" type="noConversion"/>
  </si>
  <si>
    <r>
      <rPr>
        <b/>
        <sz val="10"/>
        <color rgb="FF000000"/>
        <rFont val="LG스마트체 Regular"/>
        <family val="3"/>
        <charset val="129"/>
      </rPr>
      <t>금액</t>
    </r>
  </si>
  <si>
    <r>
      <rPr>
        <b/>
        <sz val="10"/>
        <color rgb="FF000000"/>
        <rFont val="LG스마트체 Regular"/>
        <family val="3"/>
        <charset val="129"/>
      </rPr>
      <t>단가</t>
    </r>
    <phoneticPr fontId="8" type="noConversion"/>
  </si>
  <si>
    <r>
      <rPr>
        <b/>
        <sz val="10"/>
        <color rgb="FF000000"/>
        <rFont val="LG스마트체 Regular"/>
        <family val="3"/>
        <charset val="129"/>
      </rPr>
      <t>단가</t>
    </r>
  </si>
  <si>
    <t>2WAY</t>
    <phoneticPr fontId="6" type="noConversion"/>
  </si>
  <si>
    <t>4WAY</t>
    <phoneticPr fontId="6" type="noConversion"/>
  </si>
  <si>
    <t>HIM-C1</t>
    <phoneticPr fontId="6" type="noConversion"/>
  </si>
  <si>
    <t>SET</t>
    <phoneticPr fontId="6" type="noConversion"/>
  </si>
  <si>
    <t xml:space="preserve"> 공사명 : 사택 어린이집 EHP 오버홀 세척</t>
    <phoneticPr fontId="12" type="noConversion"/>
  </si>
  <si>
    <t> (재료비+노무비)*3.11%</t>
    <phoneticPr fontId="14" type="noConversion"/>
  </si>
  <si>
    <t xml:space="preserve"> 견적일 : 2025 년  3월  17일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</si>
</sst>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0.0%"/>
    <numFmt numFmtId="182" formatCode="_-* #,##0.0_-;\-* #,##0.0_-;_-* &quot;-&quot;_-;_-@_-"/>
    <numFmt numFmtId="183" formatCode="#,###,###,###"/>
    <numFmt numFmtId="184" formatCode="###,###,###,##0"/>
  </numFmts>
  <fonts count="35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sz val="10"/>
      <color rgb="FF000000"/>
      <name val="Malgun Gothic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LG스마트체 Regular"/>
      <family val="3"/>
      <charset val="129"/>
    </font>
    <font>
      <sz val="10"/>
      <color rgb="FF000000"/>
      <name val="돋움"/>
      <family val="3"/>
      <charset val="129"/>
    </font>
    <font>
      <sz val="10"/>
      <color rgb="FF000000"/>
      <name val="맑은 고딕"/>
      <family val="3"/>
      <charset val="129"/>
      <scheme val="minor"/>
    </font>
    <font>
      <sz val="9"/>
      <color rgb="FF000000"/>
      <name val="Arial"/>
      <family val="2"/>
    </font>
    <font>
      <sz val="9"/>
      <color rgb="FF000000"/>
      <name val="돋움"/>
      <family val="3"/>
      <charset val="129"/>
    </font>
    <font>
      <sz val="12"/>
      <color rgb="FF000000"/>
      <name val="Arial"/>
      <family val="2"/>
    </font>
    <font>
      <b/>
      <sz val="12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177" fontId="4" fillId="0" borderId="0" applyFont="0" applyFill="0" applyBorder="0" applyAlignment="0" applyProtection="0">
      <alignment vertical="center"/>
    </xf>
    <xf numFmtId="178" fontId="10" fillId="0" borderId="0" applyFont="0" applyFill="0" applyBorder="0" applyAlignment="0" applyProtection="0"/>
    <xf numFmtId="0" fontId="11" fillId="0" borderId="0"/>
    <xf numFmtId="180" fontId="11" fillId="0" borderId="0" applyFont="0" applyFill="0" applyBorder="0" applyAlignment="0" applyProtection="0"/>
    <xf numFmtId="0" fontId="4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18" fillId="0" borderId="0"/>
    <xf numFmtId="176" fontId="18" fillId="0" borderId="0" applyFont="0" applyFill="0" applyBorder="0" applyAlignment="0" applyProtection="0"/>
    <xf numFmtId="177" fontId="18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131">
    <xf numFmtId="0" fontId="0" fillId="0" borderId="0" xfId="0">
      <alignment vertical="center"/>
    </xf>
    <xf numFmtId="0" fontId="13" fillId="0" borderId="6" xfId="6" applyFont="1" applyBorder="1" applyAlignment="1">
      <alignment horizontal="right" vertical="center"/>
    </xf>
    <xf numFmtId="49" fontId="19" fillId="6" borderId="2" xfId="0" applyNumberFormat="1" applyFont="1" applyFill="1" applyBorder="1" applyAlignment="1">
      <alignment horizontal="center" vertical="center" wrapText="1"/>
    </xf>
    <xf numFmtId="49" fontId="5" fillId="4" borderId="2" xfId="0" applyNumberFormat="1" applyFont="1" applyFill="1" applyBorder="1" applyAlignment="1">
      <alignment horizontal="center" vertical="center" wrapText="1"/>
    </xf>
    <xf numFmtId="49" fontId="5" fillId="6" borderId="2" xfId="0" applyNumberFormat="1" applyFont="1" applyFill="1" applyBorder="1" applyAlignment="1">
      <alignment horizontal="center" vertical="center" wrapText="1"/>
    </xf>
    <xf numFmtId="184" fontId="5" fillId="4" borderId="2" xfId="0" applyNumberFormat="1" applyFont="1" applyFill="1" applyBorder="1" applyAlignment="1">
      <alignment horizontal="right" vertical="center" wrapText="1"/>
    </xf>
    <xf numFmtId="0" fontId="20" fillId="0" borderId="0" xfId="6" applyFont="1" applyAlignment="1">
      <alignment vertical="center"/>
    </xf>
    <xf numFmtId="0" fontId="21" fillId="0" borderId="0" xfId="3" applyFont="1"/>
    <xf numFmtId="0" fontId="22" fillId="0" borderId="0" xfId="3" applyFont="1"/>
    <xf numFmtId="0" fontId="23" fillId="0" borderId="0" xfId="6" applyFont="1" applyAlignment="1">
      <alignment vertical="center"/>
    </xf>
    <xf numFmtId="0" fontId="13" fillId="0" borderId="3" xfId="6" applyFont="1" applyBorder="1" applyAlignment="1">
      <alignment vertical="center"/>
    </xf>
    <xf numFmtId="0" fontId="23" fillId="0" borderId="4" xfId="6" applyFont="1" applyBorder="1" applyAlignment="1">
      <alignment horizontal="center" vertical="center"/>
    </xf>
    <xf numFmtId="0" fontId="13" fillId="0" borderId="5" xfId="6" applyFont="1" applyBorder="1" applyAlignment="1">
      <alignment horizontal="right" vertical="center"/>
    </xf>
    <xf numFmtId="0" fontId="13" fillId="4" borderId="24" xfId="6" applyFont="1" applyFill="1" applyBorder="1" applyAlignment="1">
      <alignment horizontal="center" vertical="center"/>
    </xf>
    <xf numFmtId="0" fontId="13" fillId="4" borderId="25" xfId="6" applyFont="1" applyFill="1" applyBorder="1" applyAlignment="1">
      <alignment vertical="center" shrinkToFit="1"/>
    </xf>
    <xf numFmtId="0" fontId="13" fillId="4" borderId="1" xfId="6" applyFont="1" applyFill="1" applyBorder="1" applyAlignment="1">
      <alignment horizontal="center" vertical="center"/>
    </xf>
    <xf numFmtId="0" fontId="13" fillId="4" borderId="26" xfId="6" applyFont="1" applyFill="1" applyBorder="1" applyAlignment="1">
      <alignment vertical="center" shrinkToFit="1"/>
    </xf>
    <xf numFmtId="0" fontId="24" fillId="0" borderId="0" xfId="6" applyFont="1" applyAlignment="1">
      <alignment vertical="center" shrinkToFit="1"/>
    </xf>
    <xf numFmtId="0" fontId="13" fillId="4" borderId="1" xfId="6" applyFont="1" applyFill="1" applyBorder="1" applyAlignment="1">
      <alignment horizontal="center" vertical="center" shrinkToFit="1"/>
    </xf>
    <xf numFmtId="0" fontId="13" fillId="0" borderId="1" xfId="6" applyFont="1" applyBorder="1" applyAlignment="1">
      <alignment horizontal="center" vertical="center"/>
    </xf>
    <xf numFmtId="0" fontId="13" fillId="0" borderId="26" xfId="6" applyFont="1" applyBorder="1" applyAlignment="1">
      <alignment vertical="center"/>
    </xf>
    <xf numFmtId="0" fontId="23" fillId="0" borderId="0" xfId="6" applyFont="1" applyAlignment="1">
      <alignment horizontal="center" vertical="center" shrinkToFit="1"/>
    </xf>
    <xf numFmtId="0" fontId="13" fillId="0" borderId="27" xfId="6" applyFont="1" applyBorder="1" applyAlignment="1">
      <alignment horizontal="center" vertical="center" shrinkToFit="1"/>
    </xf>
    <xf numFmtId="0" fontId="13" fillId="0" borderId="28" xfId="6" applyFont="1" applyBorder="1" applyAlignment="1">
      <alignment vertical="center" shrinkToFit="1"/>
    </xf>
    <xf numFmtId="0" fontId="24" fillId="0" borderId="6" xfId="6" applyFont="1" applyBorder="1" applyAlignment="1">
      <alignment vertical="center"/>
    </xf>
    <xf numFmtId="179" fontId="23" fillId="0" borderId="6" xfId="6" applyNumberFormat="1" applyFont="1" applyBorder="1" applyAlignment="1">
      <alignment vertical="center"/>
    </xf>
    <xf numFmtId="0" fontId="23" fillId="0" borderId="0" xfId="6" applyFont="1" applyAlignment="1">
      <alignment vertical="center" shrinkToFit="1"/>
    </xf>
    <xf numFmtId="0" fontId="13" fillId="0" borderId="7" xfId="6" applyFont="1" applyBorder="1" applyAlignment="1">
      <alignment horizontal="center" vertical="center"/>
    </xf>
    <xf numFmtId="0" fontId="13" fillId="0" borderId="8" xfId="6" applyFont="1" applyBorder="1" applyAlignment="1">
      <alignment horizontal="center" vertical="center"/>
    </xf>
    <xf numFmtId="0" fontId="13" fillId="0" borderId="9" xfId="6" applyFont="1" applyBorder="1" applyAlignment="1">
      <alignment horizontal="center" vertical="center"/>
    </xf>
    <xf numFmtId="0" fontId="25" fillId="0" borderId="10" xfId="6" applyFont="1" applyBorder="1" applyAlignment="1">
      <alignment horizontal="center" vertical="center"/>
    </xf>
    <xf numFmtId="0" fontId="13" fillId="0" borderId="11" xfId="6" applyFont="1" applyBorder="1" applyAlignment="1">
      <alignment vertical="center"/>
    </xf>
    <xf numFmtId="0" fontId="25" fillId="0" borderId="11" xfId="6" applyFont="1" applyBorder="1" applyAlignment="1">
      <alignment vertical="center"/>
    </xf>
    <xf numFmtId="1" fontId="25" fillId="0" borderId="11" xfId="6" applyNumberFormat="1" applyFont="1" applyBorder="1" applyAlignment="1">
      <alignment horizontal="center" vertical="center"/>
    </xf>
    <xf numFmtId="180" fontId="25" fillId="0" borderId="11" xfId="7" applyFont="1" applyBorder="1" applyAlignment="1">
      <alignment horizontal="right" vertical="center"/>
    </xf>
    <xf numFmtId="0" fontId="25" fillId="0" borderId="12" xfId="6" applyFont="1" applyBorder="1" applyAlignment="1">
      <alignment vertical="center"/>
    </xf>
    <xf numFmtId="0" fontId="25" fillId="0" borderId="13" xfId="6" applyFont="1" applyBorder="1" applyAlignment="1">
      <alignment horizontal="center" vertical="center"/>
    </xf>
    <xf numFmtId="0" fontId="25" fillId="0" borderId="14" xfId="6" applyFont="1" applyBorder="1" applyAlignment="1">
      <alignment horizontal="center" vertical="center"/>
    </xf>
    <xf numFmtId="0" fontId="25" fillId="0" borderId="14" xfId="3" applyFont="1" applyBorder="1" applyAlignment="1">
      <alignment horizontal="center" vertical="center"/>
    </xf>
    <xf numFmtId="1" fontId="25" fillId="0" borderId="14" xfId="6" applyNumberFormat="1" applyFont="1" applyBorder="1" applyAlignment="1">
      <alignment horizontal="center" vertical="center"/>
    </xf>
    <xf numFmtId="180" fontId="25" fillId="0" borderId="14" xfId="7" applyFont="1" applyBorder="1" applyAlignment="1">
      <alignment horizontal="right" vertical="center"/>
    </xf>
    <xf numFmtId="0" fontId="25" fillId="0" borderId="15" xfId="6" quotePrefix="1" applyFont="1" applyBorder="1" applyAlignment="1">
      <alignment vertical="center"/>
    </xf>
    <xf numFmtId="0" fontId="25" fillId="0" borderId="15" xfId="6" applyFont="1" applyBorder="1" applyAlignment="1">
      <alignment vertical="center"/>
    </xf>
    <xf numFmtId="0" fontId="13" fillId="7" borderId="14" xfId="6" applyFont="1" applyFill="1" applyBorder="1" applyAlignment="1">
      <alignment vertical="center"/>
    </xf>
    <xf numFmtId="1" fontId="13" fillId="7" borderId="14" xfId="6" applyNumberFormat="1" applyFont="1" applyFill="1" applyBorder="1" applyAlignment="1">
      <alignment horizontal="center" vertical="center"/>
    </xf>
    <xf numFmtId="180" fontId="13" fillId="7" borderId="14" xfId="7" applyFont="1" applyFill="1" applyBorder="1" applyAlignment="1">
      <alignment horizontal="right" vertical="center"/>
    </xf>
    <xf numFmtId="0" fontId="13" fillId="0" borderId="14" xfId="6" applyFont="1" applyBorder="1" applyAlignment="1">
      <alignment vertical="center"/>
    </xf>
    <xf numFmtId="0" fontId="25" fillId="0" borderId="14" xfId="6" applyFont="1" applyBorder="1" applyAlignment="1">
      <alignment vertical="center"/>
    </xf>
    <xf numFmtId="180" fontId="13" fillId="0" borderId="14" xfId="7" applyFont="1" applyFill="1" applyBorder="1" applyAlignment="1">
      <alignment horizontal="right" vertical="center"/>
    </xf>
    <xf numFmtId="0" fontId="25" fillId="0" borderId="14" xfId="8" applyFont="1" applyBorder="1" applyAlignment="1">
      <alignment horizontal="center" vertical="center"/>
    </xf>
    <xf numFmtId="178" fontId="25" fillId="0" borderId="14" xfId="5" applyFont="1" applyFill="1" applyBorder="1" applyAlignment="1">
      <alignment horizontal="right" vertical="center"/>
    </xf>
    <xf numFmtId="0" fontId="25" fillId="4" borderId="14" xfId="8" applyFont="1" applyFill="1" applyBorder="1" applyAlignment="1">
      <alignment horizontal="center" vertical="center"/>
    </xf>
    <xf numFmtId="0" fontId="25" fillId="4" borderId="14" xfId="6" applyFont="1" applyFill="1" applyBorder="1" applyAlignment="1">
      <alignment vertical="center"/>
    </xf>
    <xf numFmtId="0" fontId="25" fillId="4" borderId="14" xfId="6" applyFont="1" applyFill="1" applyBorder="1" applyAlignment="1">
      <alignment horizontal="center" vertical="center"/>
    </xf>
    <xf numFmtId="178" fontId="25" fillId="4" borderId="14" xfId="5" applyFont="1" applyFill="1" applyBorder="1" applyAlignment="1">
      <alignment horizontal="right" vertical="center"/>
    </xf>
    <xf numFmtId="0" fontId="25" fillId="4" borderId="15" xfId="6" applyFont="1" applyFill="1" applyBorder="1" applyAlignment="1">
      <alignment vertical="center"/>
    </xf>
    <xf numFmtId="0" fontId="25" fillId="0" borderId="14" xfId="3" applyFont="1" applyBorder="1" applyAlignment="1">
      <alignment horizontal="left" vertical="center"/>
    </xf>
    <xf numFmtId="9" fontId="13" fillId="7" borderId="14" xfId="3" applyNumberFormat="1" applyFont="1" applyFill="1" applyBorder="1" applyAlignment="1">
      <alignment horizontal="right" vertical="center"/>
    </xf>
    <xf numFmtId="1" fontId="13" fillId="7" borderId="14" xfId="9" applyNumberFormat="1" applyFont="1" applyFill="1" applyBorder="1" applyAlignment="1">
      <alignment horizontal="center" vertical="center"/>
    </xf>
    <xf numFmtId="177" fontId="13" fillId="7" borderId="14" xfId="7" applyNumberFormat="1" applyFont="1" applyFill="1" applyBorder="1" applyAlignment="1">
      <alignment horizontal="right" vertical="center"/>
    </xf>
    <xf numFmtId="9" fontId="25" fillId="0" borderId="14" xfId="3" applyNumberFormat="1" applyFont="1" applyBorder="1" applyAlignment="1">
      <alignment horizontal="right" vertical="center"/>
    </xf>
    <xf numFmtId="1" fontId="25" fillId="0" borderId="14" xfId="9" applyNumberFormat="1" applyFont="1" applyFill="1" applyBorder="1" applyAlignment="1">
      <alignment horizontal="center" vertical="center"/>
    </xf>
    <xf numFmtId="177" fontId="13" fillId="0" borderId="14" xfId="7" applyNumberFormat="1" applyFont="1" applyFill="1" applyBorder="1" applyAlignment="1">
      <alignment horizontal="right" vertical="center"/>
    </xf>
    <xf numFmtId="0" fontId="25" fillId="0" borderId="14" xfId="3" applyFont="1" applyBorder="1" applyAlignment="1">
      <alignment vertical="center"/>
    </xf>
    <xf numFmtId="180" fontId="25" fillId="4" borderId="14" xfId="7" applyFont="1" applyFill="1" applyBorder="1" applyAlignment="1">
      <alignment horizontal="right" vertical="center"/>
    </xf>
    <xf numFmtId="180" fontId="13" fillId="7" borderId="0" xfId="3" applyNumberFormat="1" applyFont="1" applyFill="1" applyAlignment="1">
      <alignment vertical="center"/>
    </xf>
    <xf numFmtId="0" fontId="13" fillId="0" borderId="16" xfId="6" applyFont="1" applyBorder="1" applyAlignment="1">
      <alignment horizontal="center" vertical="center" textRotation="255"/>
    </xf>
    <xf numFmtId="0" fontId="13" fillId="0" borderId="17" xfId="6" applyFont="1" applyBorder="1" applyAlignment="1">
      <alignment vertical="top"/>
    </xf>
    <xf numFmtId="0" fontId="25" fillId="0" borderId="18" xfId="6" applyFont="1" applyBorder="1" applyAlignment="1">
      <alignment vertical="center"/>
    </xf>
    <xf numFmtId="0" fontId="25" fillId="0" borderId="18" xfId="6" applyFont="1" applyBorder="1" applyAlignment="1">
      <alignment horizontal="right" vertical="center"/>
    </xf>
    <xf numFmtId="0" fontId="13" fillId="0" borderId="0" xfId="10" applyFont="1"/>
    <xf numFmtId="0" fontId="26" fillId="0" borderId="0" xfId="0" applyFont="1" applyAlignment="1">
      <alignment horizontal="center" vertical="center"/>
    </xf>
    <xf numFmtId="0" fontId="27" fillId="0" borderId="0" xfId="0" applyFont="1">
      <alignment vertical="center"/>
    </xf>
    <xf numFmtId="0" fontId="27" fillId="0" borderId="0" xfId="0" applyFont="1" applyAlignment="1">
      <alignment horizontal="center" vertical="center"/>
    </xf>
    <xf numFmtId="9" fontId="26" fillId="0" borderId="0" xfId="0" applyNumberFormat="1" applyFont="1" applyAlignment="1">
      <alignment horizontal="center" vertical="center"/>
    </xf>
    <xf numFmtId="181" fontId="26" fillId="2" borderId="0" xfId="2" applyNumberFormat="1" applyFont="1" applyFill="1" applyAlignment="1">
      <alignment horizontal="center" vertical="center"/>
    </xf>
    <xf numFmtId="0" fontId="26" fillId="8" borderId="23" xfId="0" applyFont="1" applyFill="1" applyBorder="1">
      <alignment vertical="center"/>
    </xf>
    <xf numFmtId="0" fontId="26" fillId="8" borderId="20" xfId="0" applyFont="1" applyFill="1" applyBorder="1">
      <alignment vertical="center"/>
    </xf>
    <xf numFmtId="0" fontId="26" fillId="3" borderId="21" xfId="0" applyFont="1" applyFill="1" applyBorder="1" applyAlignment="1">
      <alignment horizontal="center" vertical="center"/>
    </xf>
    <xf numFmtId="0" fontId="26" fillId="3" borderId="5" xfId="0" applyFont="1" applyFill="1" applyBorder="1" applyAlignment="1">
      <alignment horizontal="center" vertical="center"/>
    </xf>
    <xf numFmtId="0" fontId="26" fillId="6" borderId="2" xfId="0" applyFont="1" applyFill="1" applyBorder="1" applyAlignment="1">
      <alignment horizontal="center" vertical="center"/>
    </xf>
    <xf numFmtId="0" fontId="26" fillId="3" borderId="2" xfId="3" applyFont="1" applyFill="1" applyBorder="1" applyAlignment="1">
      <alignment horizontal="center" vertical="center"/>
    </xf>
    <xf numFmtId="177" fontId="26" fillId="3" borderId="2" xfId="4" applyFont="1" applyFill="1" applyBorder="1" applyAlignment="1">
      <alignment horizontal="center" vertical="center"/>
    </xf>
    <xf numFmtId="178" fontId="26" fillId="3" borderId="2" xfId="5" applyFont="1" applyFill="1" applyBorder="1" applyAlignment="1">
      <alignment horizontal="center" vertical="center"/>
    </xf>
    <xf numFmtId="0" fontId="27" fillId="5" borderId="21" xfId="0" applyFont="1" applyFill="1" applyBorder="1" applyAlignment="1">
      <alignment horizontal="center" vertical="center"/>
    </xf>
    <xf numFmtId="0" fontId="27" fillId="5" borderId="5" xfId="0" applyFont="1" applyFill="1" applyBorder="1" applyAlignment="1">
      <alignment horizontal="center" vertical="center"/>
    </xf>
    <xf numFmtId="0" fontId="27" fillId="6" borderId="2" xfId="0" applyFont="1" applyFill="1" applyBorder="1" applyAlignment="1">
      <alignment horizontal="center" vertical="center"/>
    </xf>
    <xf numFmtId="0" fontId="30" fillId="6" borderId="2" xfId="0" applyFont="1" applyFill="1" applyBorder="1" applyAlignment="1">
      <alignment horizontal="center" vertical="center"/>
    </xf>
    <xf numFmtId="49" fontId="19" fillId="4" borderId="2" xfId="0" applyNumberFormat="1" applyFont="1" applyFill="1" applyBorder="1" applyAlignment="1">
      <alignment horizontal="center" vertical="center" wrapText="1"/>
    </xf>
    <xf numFmtId="0" fontId="27" fillId="0" borderId="2" xfId="0" applyFont="1" applyBorder="1">
      <alignment vertical="center"/>
    </xf>
    <xf numFmtId="177" fontId="27" fillId="5" borderId="2" xfId="1" applyFont="1" applyFill="1" applyBorder="1" applyAlignment="1">
      <alignment horizontal="center" vertical="center" wrapText="1"/>
    </xf>
    <xf numFmtId="177" fontId="27" fillId="0" borderId="2" xfId="1" applyFont="1" applyFill="1" applyBorder="1" applyAlignment="1">
      <alignment horizontal="center" vertical="center" wrapText="1"/>
    </xf>
    <xf numFmtId="182" fontId="27" fillId="4" borderId="2" xfId="1" applyNumberFormat="1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0" xfId="0" applyFont="1">
      <alignment vertical="center"/>
    </xf>
    <xf numFmtId="49" fontId="27" fillId="6" borderId="2" xfId="0" applyNumberFormat="1" applyFont="1" applyFill="1" applyBorder="1" applyAlignment="1">
      <alignment horizontal="center" vertical="center" wrapText="1"/>
    </xf>
    <xf numFmtId="183" fontId="19" fillId="4" borderId="2" xfId="0" applyNumberFormat="1" applyFont="1" applyFill="1" applyBorder="1" applyAlignment="1">
      <alignment horizontal="right" vertical="center" wrapText="1"/>
    </xf>
    <xf numFmtId="182" fontId="31" fillId="0" borderId="2" xfId="1" applyNumberFormat="1" applyFont="1" applyFill="1" applyBorder="1" applyAlignment="1">
      <alignment horizontal="center" vertical="center"/>
    </xf>
    <xf numFmtId="0" fontId="31" fillId="0" borderId="2" xfId="3" applyFont="1" applyBorder="1" applyAlignment="1">
      <alignment horizontal="left" vertical="center" shrinkToFit="1"/>
    </xf>
    <xf numFmtId="0" fontId="32" fillId="0" borderId="2" xfId="3" applyFont="1" applyBorder="1" applyAlignment="1">
      <alignment horizontal="center" vertical="center"/>
    </xf>
    <xf numFmtId="9" fontId="31" fillId="0" borderId="2" xfId="0" applyNumberFormat="1" applyFont="1" applyBorder="1" applyAlignment="1">
      <alignment horizontal="center" vertical="center"/>
    </xf>
    <xf numFmtId="0" fontId="33" fillId="9" borderId="0" xfId="0" applyFont="1" applyFill="1">
      <alignment vertical="center"/>
    </xf>
    <xf numFmtId="0" fontId="33" fillId="0" borderId="0" xfId="0" applyFont="1">
      <alignment vertical="center"/>
    </xf>
    <xf numFmtId="177" fontId="34" fillId="9" borderId="0" xfId="0" applyNumberFormat="1" applyFont="1" applyFill="1">
      <alignment vertical="center"/>
    </xf>
    <xf numFmtId="0" fontId="34" fillId="0" borderId="0" xfId="0" applyFont="1">
      <alignment vertical="center"/>
    </xf>
    <xf numFmtId="177" fontId="34" fillId="0" borderId="0" xfId="0" applyNumberFormat="1" applyFont="1">
      <alignment vertical="center"/>
    </xf>
    <xf numFmtId="0" fontId="26" fillId="4" borderId="0" xfId="0" applyFont="1" applyFill="1">
      <alignment vertical="center"/>
    </xf>
    <xf numFmtId="177" fontId="27" fillId="0" borderId="0" xfId="0" applyNumberFormat="1" applyFont="1">
      <alignment vertical="center"/>
    </xf>
    <xf numFmtId="177" fontId="31" fillId="0" borderId="2" xfId="1" applyFont="1" applyBorder="1" applyAlignment="1">
      <alignment horizontal="center" vertical="center"/>
    </xf>
    <xf numFmtId="177" fontId="27" fillId="0" borderId="2" xfId="1" applyFont="1" applyBorder="1">
      <alignment vertical="center"/>
    </xf>
    <xf numFmtId="177" fontId="25" fillId="0" borderId="18" xfId="1" applyFont="1" applyBorder="1" applyAlignment="1">
      <alignment vertical="center"/>
    </xf>
    <xf numFmtId="177" fontId="33" fillId="0" borderId="0" xfId="1" applyFont="1" applyAlignment="1">
      <alignment horizontal="center" vertical="center"/>
    </xf>
    <xf numFmtId="177" fontId="25" fillId="0" borderId="15" xfId="1" applyFont="1" applyBorder="1" applyAlignment="1">
      <alignment vertical="center"/>
    </xf>
    <xf numFmtId="180" fontId="25" fillId="0" borderId="19" xfId="6" applyNumberFormat="1" applyFont="1" applyBorder="1" applyAlignment="1">
      <alignment vertical="center"/>
    </xf>
    <xf numFmtId="0" fontId="20" fillId="0" borderId="0" xfId="6" applyFont="1" applyAlignment="1">
      <alignment horizontal="center" vertical="center"/>
    </xf>
    <xf numFmtId="0" fontId="24" fillId="0" borderId="0" xfId="6" applyFont="1" applyAlignment="1">
      <alignment vertical="center"/>
    </xf>
    <xf numFmtId="0" fontId="23" fillId="0" borderId="0" xfId="6" applyFont="1" applyAlignment="1">
      <alignment vertical="center"/>
    </xf>
    <xf numFmtId="0" fontId="13" fillId="0" borderId="3" xfId="6" applyFont="1" applyBorder="1" applyAlignment="1">
      <alignment vertical="center"/>
    </xf>
    <xf numFmtId="0" fontId="13" fillId="0" borderId="4" xfId="6" applyFont="1" applyBorder="1" applyAlignment="1">
      <alignment vertical="center"/>
    </xf>
    <xf numFmtId="0" fontId="13" fillId="0" borderId="5" xfId="6" applyFont="1" applyBorder="1" applyAlignment="1">
      <alignment vertical="center"/>
    </xf>
    <xf numFmtId="0" fontId="26" fillId="0" borderId="0" xfId="0" applyFont="1" applyAlignment="1">
      <alignment horizontal="center" vertical="center"/>
    </xf>
    <xf numFmtId="0" fontId="29" fillId="0" borderId="30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6" fillId="8" borderId="29" xfId="0" applyFont="1" applyFill="1" applyBorder="1" applyAlignment="1">
      <alignment horizontal="center" vertical="center"/>
    </xf>
    <xf numFmtId="0" fontId="26" fillId="8" borderId="3" xfId="0" applyFont="1" applyFill="1" applyBorder="1" applyAlignment="1">
      <alignment horizontal="center" vertical="center"/>
    </xf>
    <xf numFmtId="177" fontId="26" fillId="3" borderId="20" xfId="4" applyFont="1" applyFill="1" applyBorder="1" applyAlignment="1">
      <alignment horizontal="center" vertical="center"/>
    </xf>
    <xf numFmtId="178" fontId="26" fillId="3" borderId="20" xfId="5" applyFont="1" applyFill="1" applyBorder="1" applyAlignment="1">
      <alignment horizontal="center" vertical="center"/>
    </xf>
    <xf numFmtId="0" fontId="26" fillId="3" borderId="20" xfId="0" applyFont="1" applyFill="1" applyBorder="1" applyAlignment="1">
      <alignment horizontal="center" vertical="center"/>
    </xf>
    <xf numFmtId="0" fontId="26" fillId="3" borderId="2" xfId="0" applyFont="1" applyFill="1" applyBorder="1" applyAlignment="1">
      <alignment horizontal="center" vertical="center"/>
    </xf>
    <xf numFmtId="0" fontId="26" fillId="3" borderId="20" xfId="3" applyFont="1" applyFill="1" applyBorder="1" applyAlignment="1">
      <alignment horizontal="center" vertical="center"/>
    </xf>
    <xf numFmtId="0" fontId="26" fillId="3" borderId="2" xfId="3" applyFont="1" applyFill="1" applyBorder="1" applyAlignment="1">
      <alignment horizontal="center"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400050</xdr:colOff>
      <xdr:row>49</xdr:row>
      <xdr:rowOff>66675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1C70300-0791-BC17-B1A3-651CD7867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258050" cy="10334625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16" zoomScale="85" zoomScaleNormal="85" workbookViewId="0">
      <selection activeCell="F30" sqref="F30"/>
    </sheetView>
  </sheetViews>
  <sheetFormatPr defaultColWidth="9" defaultRowHeight="13.5"/>
  <cols>
    <col min="1" max="1" width="9.875" style="7" customWidth="1"/>
    <col min="2" max="2" width="24.25" style="7" customWidth="1"/>
    <col min="3" max="3" width="27" style="7" customWidth="1"/>
    <col min="4" max="5" width="9" style="7"/>
    <col min="6" max="6" width="23.5" style="7" customWidth="1"/>
    <col min="7" max="7" width="44.75" style="7" customWidth="1"/>
    <col min="8" max="8" width="11.25" style="7" customWidth="1"/>
    <col min="9" max="9" width="9" style="7"/>
    <col min="10" max="16384" width="9" style="8"/>
  </cols>
  <sheetData>
    <row r="2" spans="1:9" ht="33">
      <c r="A2" s="114" t="s">
        <v>0</v>
      </c>
      <c r="B2" s="114"/>
      <c r="C2" s="114"/>
      <c r="D2" s="114"/>
      <c r="E2" s="114"/>
      <c r="F2" s="114"/>
      <c r="G2" s="114"/>
      <c r="H2" s="6"/>
    </row>
    <row r="3" spans="1:9" ht="14.25">
      <c r="A3" s="9"/>
      <c r="B3" s="9"/>
      <c r="C3" s="9"/>
      <c r="D3" s="9"/>
      <c r="E3" s="9"/>
      <c r="F3" s="9"/>
      <c r="G3" s="9"/>
      <c r="H3" s="9"/>
    </row>
    <row r="4" spans="1:9" ht="14.25">
      <c r="A4" s="9"/>
      <c r="B4" s="9"/>
      <c r="C4" s="9"/>
      <c r="D4" s="9"/>
      <c r="E4" s="9"/>
      <c r="H4" s="9"/>
    </row>
    <row r="5" spans="1:9" ht="27" customHeight="1">
      <c r="A5" s="10" t="s">
        <v>34</v>
      </c>
      <c r="B5" s="11"/>
      <c r="C5" s="12"/>
      <c r="D5" s="9"/>
      <c r="E5" s="9"/>
      <c r="F5" s="13"/>
      <c r="G5" s="14"/>
      <c r="H5" s="9"/>
    </row>
    <row r="6" spans="1:9" ht="27" customHeight="1">
      <c r="A6" s="9"/>
      <c r="B6" s="9"/>
      <c r="C6" s="9"/>
      <c r="D6" s="9"/>
      <c r="E6" s="9"/>
      <c r="F6" s="15"/>
      <c r="G6" s="16"/>
      <c r="H6" s="9"/>
    </row>
    <row r="7" spans="1:9" ht="27" customHeight="1">
      <c r="A7" s="117" t="s">
        <v>60</v>
      </c>
      <c r="B7" s="118"/>
      <c r="C7" s="119"/>
      <c r="D7" s="9"/>
      <c r="E7" s="17"/>
      <c r="F7" s="18"/>
      <c r="G7" s="16"/>
      <c r="H7" s="9"/>
    </row>
    <row r="8" spans="1:9" ht="27" customHeight="1">
      <c r="A8" s="9"/>
      <c r="B8" s="9"/>
      <c r="C8" s="9"/>
      <c r="D8" s="9"/>
      <c r="E8" s="9"/>
      <c r="F8" s="15"/>
      <c r="G8" s="16"/>
      <c r="H8" s="9"/>
    </row>
    <row r="9" spans="1:9" ht="27" customHeight="1">
      <c r="A9" s="117" t="s">
        <v>62</v>
      </c>
      <c r="B9" s="118"/>
      <c r="C9" s="119"/>
      <c r="D9" s="9"/>
      <c r="E9" s="9"/>
      <c r="F9" s="15"/>
      <c r="G9" s="16"/>
      <c r="H9" s="9"/>
    </row>
    <row r="10" spans="1:9" ht="27" customHeight="1">
      <c r="A10" s="9"/>
      <c r="B10" s="9"/>
      <c r="C10" s="9"/>
      <c r="D10" s="9"/>
      <c r="E10" s="9"/>
      <c r="F10" s="19"/>
      <c r="G10" s="20"/>
      <c r="H10" s="9"/>
      <c r="I10" s="9"/>
    </row>
    <row r="11" spans="1:9" ht="27" customHeight="1">
      <c r="A11" s="115"/>
      <c r="B11" s="116"/>
      <c r="C11" s="116"/>
      <c r="D11" s="9"/>
      <c r="E11" s="21"/>
      <c r="F11" s="22"/>
      <c r="G11" s="23"/>
      <c r="H11" s="21"/>
    </row>
    <row r="12" spans="1:9" ht="18.75" thickBot="1">
      <c r="A12" s="24" t="s">
        <v>1</v>
      </c>
      <c r="B12" s="24" t="str">
        <f>NUMBERSTRING(F31,1)</f>
        <v>일백구십구만</v>
      </c>
      <c r="C12" s="25"/>
      <c r="D12" s="1" t="s">
        <v>2</v>
      </c>
      <c r="E12" s="1" t="s">
        <v>3</v>
      </c>
      <c r="F12" s="1" t="s">
        <v>3</v>
      </c>
      <c r="G12" s="1"/>
      <c r="H12" s="26"/>
    </row>
    <row r="13" spans="1:9" ht="15.75" thickTop="1" thickBot="1">
      <c r="A13" s="9"/>
      <c r="B13" s="9"/>
      <c r="C13" s="9"/>
      <c r="D13" s="9"/>
      <c r="E13" s="9"/>
      <c r="F13" s="9"/>
      <c r="G13" s="9"/>
      <c r="H13" s="26"/>
    </row>
    <row r="14" spans="1:9" ht="33" customHeight="1" thickBot="1">
      <c r="A14" s="27" t="s">
        <v>4</v>
      </c>
      <c r="B14" s="28" t="s">
        <v>5</v>
      </c>
      <c r="C14" s="28" t="s">
        <v>6</v>
      </c>
      <c r="D14" s="28" t="s">
        <v>7</v>
      </c>
      <c r="E14" s="28" t="s">
        <v>8</v>
      </c>
      <c r="F14" s="28" t="s">
        <v>9</v>
      </c>
      <c r="G14" s="29" t="s">
        <v>10</v>
      </c>
      <c r="H14" s="26"/>
    </row>
    <row r="15" spans="1:9" ht="33" customHeight="1" thickTop="1">
      <c r="A15" s="30"/>
      <c r="B15" s="31" t="s">
        <v>11</v>
      </c>
      <c r="C15" s="32"/>
      <c r="D15" s="33"/>
      <c r="E15" s="33"/>
      <c r="F15" s="34"/>
      <c r="G15" s="35"/>
    </row>
    <row r="16" spans="1:9" ht="33" customHeight="1">
      <c r="A16" s="36"/>
      <c r="B16" s="37" t="s">
        <v>12</v>
      </c>
      <c r="C16" s="38"/>
      <c r="D16" s="39"/>
      <c r="E16" s="39"/>
      <c r="F16" s="40">
        <f>'내역서(표준단가)'!O8</f>
        <v>800000</v>
      </c>
      <c r="G16" s="41"/>
    </row>
    <row r="17" spans="1:9" ht="33" customHeight="1">
      <c r="A17" s="36"/>
      <c r="B17" s="37" t="s">
        <v>13</v>
      </c>
      <c r="C17" s="38"/>
      <c r="D17" s="39"/>
      <c r="E17" s="39"/>
      <c r="F17" s="40">
        <f>'내역서(표준단가)'!Q8</f>
        <v>1190000</v>
      </c>
      <c r="G17" s="42"/>
      <c r="H17" s="8"/>
      <c r="I17" s="8"/>
    </row>
    <row r="18" spans="1:9" ht="33" customHeight="1">
      <c r="A18" s="36"/>
      <c r="B18" s="37" t="s">
        <v>14</v>
      </c>
      <c r="C18" s="38"/>
      <c r="D18" s="39"/>
      <c r="E18" s="39"/>
      <c r="F18" s="40">
        <f>'내역서(표준단가)'!S8+'내역서(표준단가)'!U8</f>
        <v>0</v>
      </c>
      <c r="G18" s="42"/>
      <c r="H18" s="8"/>
      <c r="I18" s="8"/>
    </row>
    <row r="19" spans="1:9" ht="33" customHeight="1">
      <c r="A19" s="36"/>
      <c r="B19" s="43" t="s">
        <v>15</v>
      </c>
      <c r="C19" s="43"/>
      <c r="D19" s="44"/>
      <c r="E19" s="44"/>
      <c r="F19" s="45">
        <f>F16+F17+F18</f>
        <v>1990000</v>
      </c>
      <c r="G19" s="42"/>
      <c r="H19" s="8"/>
      <c r="I19" s="8"/>
    </row>
    <row r="20" spans="1:9" ht="33" customHeight="1">
      <c r="A20" s="36"/>
      <c r="B20" s="46" t="s">
        <v>16</v>
      </c>
      <c r="C20" s="47"/>
      <c r="D20" s="39"/>
      <c r="E20" s="39"/>
      <c r="F20" s="48"/>
      <c r="G20" s="42"/>
      <c r="H20" s="8"/>
      <c r="I20" s="8"/>
    </row>
    <row r="21" spans="1:9" ht="33" customHeight="1">
      <c r="A21" s="36"/>
      <c r="B21" s="49" t="s">
        <v>17</v>
      </c>
      <c r="C21" s="47" t="s">
        <v>18</v>
      </c>
      <c r="D21" s="37">
        <v>1</v>
      </c>
      <c r="E21" s="37" t="s">
        <v>19</v>
      </c>
      <c r="F21" s="50"/>
      <c r="G21" s="42" t="s">
        <v>20</v>
      </c>
      <c r="H21" s="8"/>
      <c r="I21" s="8"/>
    </row>
    <row r="22" spans="1:9" ht="33" customHeight="1">
      <c r="A22" s="36"/>
      <c r="B22" s="51" t="s">
        <v>21</v>
      </c>
      <c r="C22" s="52" t="s">
        <v>35</v>
      </c>
      <c r="D22" s="53">
        <v>1</v>
      </c>
      <c r="E22" s="53" t="s">
        <v>19</v>
      </c>
      <c r="F22" s="54"/>
      <c r="G22" s="55" t="s">
        <v>22</v>
      </c>
      <c r="H22" s="8"/>
      <c r="I22" s="8"/>
    </row>
    <row r="23" spans="1:9" ht="33" customHeight="1">
      <c r="A23" s="36"/>
      <c r="B23" s="49" t="s">
        <v>23</v>
      </c>
      <c r="C23" s="47" t="s">
        <v>36</v>
      </c>
      <c r="D23" s="37">
        <v>1</v>
      </c>
      <c r="E23" s="37" t="s">
        <v>19</v>
      </c>
      <c r="F23" s="50"/>
      <c r="G23" s="42" t="s">
        <v>22</v>
      </c>
      <c r="H23" s="8"/>
      <c r="I23" s="8"/>
    </row>
    <row r="24" spans="1:9" ht="33" customHeight="1">
      <c r="A24" s="36"/>
      <c r="B24" s="49" t="s">
        <v>24</v>
      </c>
      <c r="C24" s="47" t="s">
        <v>33</v>
      </c>
      <c r="D24" s="37">
        <v>1</v>
      </c>
      <c r="E24" s="37" t="s">
        <v>19</v>
      </c>
      <c r="F24" s="50"/>
      <c r="G24" s="42" t="s">
        <v>22</v>
      </c>
      <c r="H24" s="8"/>
      <c r="I24" s="8"/>
    </row>
    <row r="25" spans="1:9" ht="33" customHeight="1">
      <c r="A25" s="36"/>
      <c r="B25" s="49" t="s">
        <v>25</v>
      </c>
      <c r="C25" s="47" t="s">
        <v>37</v>
      </c>
      <c r="D25" s="37">
        <v>1</v>
      </c>
      <c r="E25" s="37" t="s">
        <v>19</v>
      </c>
      <c r="F25" s="50"/>
      <c r="G25" s="42" t="s">
        <v>22</v>
      </c>
      <c r="H25" s="8"/>
      <c r="I25" s="8"/>
    </row>
    <row r="26" spans="1:9" ht="33" customHeight="1">
      <c r="A26" s="36"/>
      <c r="B26" s="49" t="s">
        <v>26</v>
      </c>
      <c r="C26" s="56" t="s">
        <v>61</v>
      </c>
      <c r="D26" s="37">
        <v>1</v>
      </c>
      <c r="E26" s="37" t="s">
        <v>19</v>
      </c>
      <c r="F26" s="50"/>
      <c r="G26" s="42" t="s">
        <v>20</v>
      </c>
      <c r="H26" s="8"/>
      <c r="I26" s="8"/>
    </row>
    <row r="27" spans="1:9" ht="33" customHeight="1">
      <c r="A27" s="36"/>
      <c r="B27" s="49" t="s">
        <v>30</v>
      </c>
      <c r="C27" s="56" t="s">
        <v>31</v>
      </c>
      <c r="D27" s="37">
        <v>1</v>
      </c>
      <c r="E27" s="37" t="s">
        <v>19</v>
      </c>
      <c r="F27" s="50"/>
      <c r="G27" s="42"/>
      <c r="H27" s="8"/>
      <c r="I27" s="8"/>
    </row>
    <row r="28" spans="1:9" ht="33" customHeight="1">
      <c r="A28" s="36"/>
      <c r="B28" s="43" t="s">
        <v>27</v>
      </c>
      <c r="C28" s="57"/>
      <c r="D28" s="58"/>
      <c r="E28" s="44"/>
      <c r="F28" s="59">
        <f>F21+F22+F23+F24+F25+F26+F27</f>
        <v>0</v>
      </c>
      <c r="G28" s="42"/>
      <c r="H28" s="8"/>
      <c r="I28" s="8"/>
    </row>
    <row r="29" spans="1:9" ht="33" customHeight="1">
      <c r="A29" s="36"/>
      <c r="B29" s="47"/>
      <c r="C29" s="60"/>
      <c r="D29" s="61"/>
      <c r="E29" s="39"/>
      <c r="F29" s="62"/>
      <c r="G29" s="42"/>
      <c r="H29" s="8"/>
      <c r="I29" s="8"/>
    </row>
    <row r="30" spans="1:9" ht="33" customHeight="1">
      <c r="A30" s="36"/>
      <c r="B30" s="63"/>
      <c r="C30" s="60"/>
      <c r="D30" s="61"/>
      <c r="E30" s="39"/>
      <c r="F30" s="64">
        <f>F19+F28+F29</f>
        <v>1990000</v>
      </c>
      <c r="G30" s="42"/>
      <c r="H30" s="8"/>
      <c r="I30" s="8"/>
    </row>
    <row r="31" spans="1:9" ht="33" customHeight="1">
      <c r="A31" s="36"/>
      <c r="B31" s="43" t="s">
        <v>28</v>
      </c>
      <c r="C31" s="43"/>
      <c r="D31" s="44"/>
      <c r="E31" s="44"/>
      <c r="F31" s="65">
        <f>ROUNDDOWN(F30,1)</f>
        <v>1990000</v>
      </c>
      <c r="G31" s="112"/>
      <c r="H31" s="8"/>
      <c r="I31" s="8"/>
    </row>
    <row r="32" spans="1:9" ht="33" customHeight="1" thickBot="1">
      <c r="A32" s="66"/>
      <c r="B32" s="67" t="s">
        <v>29</v>
      </c>
      <c r="C32" s="110"/>
      <c r="D32" s="68"/>
      <c r="E32" s="68"/>
      <c r="F32" s="69"/>
      <c r="G32" s="113"/>
      <c r="H32" s="8"/>
      <c r="I32" s="8"/>
    </row>
    <row r="33" spans="2:2" s="8" customFormat="1" ht="15.75">
      <c r="B33" s="70"/>
    </row>
    <row r="34" spans="2:2" s="8" customFormat="1" ht="15.75">
      <c r="B34" s="70"/>
    </row>
  </sheetData>
  <mergeCells count="4">
    <mergeCell ref="A2:G2"/>
    <mergeCell ref="A11:C11"/>
    <mergeCell ref="A9:C9"/>
    <mergeCell ref="A7:C7"/>
  </mergeCells>
  <phoneticPr fontId="6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2"/>
  <sheetViews>
    <sheetView showGridLines="0" zoomScale="115" zoomScaleNormal="115" workbookViewId="0">
      <selection activeCell="W8" sqref="W8"/>
    </sheetView>
  </sheetViews>
  <sheetFormatPr defaultColWidth="9" defaultRowHeight="12.75"/>
  <cols>
    <col min="1" max="1" width="17.5" style="106" bestFit="1" customWidth="1"/>
    <col min="2" max="5" width="18.5" style="106" hidden="1" customWidth="1"/>
    <col min="6" max="6" width="60.25" style="72" hidden="1" customWidth="1"/>
    <col min="7" max="7" width="10.125" style="72" hidden="1" customWidth="1"/>
    <col min="8" max="8" width="16.625" style="72" hidden="1" customWidth="1"/>
    <col min="9" max="9" width="10.125" style="72" hidden="1" customWidth="1"/>
    <col min="10" max="10" width="8.375" style="72" customWidth="1"/>
    <col min="11" max="11" width="6" style="72" bestFit="1" customWidth="1"/>
    <col min="12" max="12" width="5.25" style="72" bestFit="1" customWidth="1"/>
    <col min="13" max="13" width="6.375" style="72" bestFit="1" customWidth="1"/>
    <col min="14" max="14" width="10.125" style="72" bestFit="1" customWidth="1"/>
    <col min="15" max="15" width="12" style="72" bestFit="1" customWidth="1"/>
    <col min="16" max="16" width="10.625" style="72" customWidth="1"/>
    <col min="17" max="17" width="12.25" style="72" bestFit="1" customWidth="1"/>
    <col min="18" max="18" width="6.375" style="72" hidden="1" customWidth="1"/>
    <col min="19" max="19" width="8.5" style="72" hidden="1" customWidth="1"/>
    <col min="20" max="20" width="6.375" style="72" hidden="1" customWidth="1"/>
    <col min="21" max="21" width="8.5" style="72" hidden="1" customWidth="1"/>
    <col min="22" max="22" width="12.25" style="72" bestFit="1" customWidth="1"/>
    <col min="23" max="23" width="18.375" style="73" bestFit="1" customWidth="1"/>
    <col min="24" max="24" width="8.5" style="72" bestFit="1" customWidth="1"/>
    <col min="25" max="16384" width="9" style="72"/>
  </cols>
  <sheetData>
    <row r="1" spans="1:24" ht="19.899999999999999" customHeight="1">
      <c r="A1" s="120"/>
      <c r="B1" s="120"/>
      <c r="C1" s="120"/>
      <c r="D1" s="120"/>
      <c r="E1" s="120"/>
      <c r="F1" s="120"/>
      <c r="G1" s="120"/>
      <c r="H1" s="120"/>
      <c r="I1" s="120"/>
      <c r="N1" s="73"/>
      <c r="O1" s="71" t="s">
        <v>38</v>
      </c>
      <c r="Q1" s="71" t="s">
        <v>38</v>
      </c>
      <c r="S1" s="71" t="s">
        <v>38</v>
      </c>
      <c r="U1" s="71" t="s">
        <v>38</v>
      </c>
    </row>
    <row r="2" spans="1:24" ht="19.899999999999999" customHeight="1" thickBot="1">
      <c r="A2" s="120"/>
      <c r="B2" s="120"/>
      <c r="C2" s="120"/>
      <c r="D2" s="120"/>
      <c r="E2" s="120"/>
      <c r="F2" s="120"/>
      <c r="G2" s="120"/>
      <c r="H2" s="120"/>
      <c r="I2" s="120"/>
      <c r="N2" s="74"/>
      <c r="O2" s="75">
        <v>1</v>
      </c>
      <c r="Q2" s="75">
        <v>1</v>
      </c>
      <c r="S2" s="75">
        <v>1</v>
      </c>
      <c r="U2" s="75">
        <v>1</v>
      </c>
    </row>
    <row r="3" spans="1:24" ht="19.899999999999999" customHeight="1">
      <c r="A3" s="76"/>
      <c r="B3" s="76"/>
      <c r="C3" s="76"/>
      <c r="D3" s="76"/>
      <c r="E3" s="76"/>
      <c r="F3" s="76" t="s">
        <v>39</v>
      </c>
      <c r="G3" s="77"/>
      <c r="H3" s="77"/>
      <c r="I3" s="77"/>
      <c r="J3" s="129" t="s">
        <v>40</v>
      </c>
      <c r="K3" s="129"/>
      <c r="L3" s="129" t="s">
        <v>41</v>
      </c>
      <c r="M3" s="129" t="s">
        <v>42</v>
      </c>
      <c r="N3" s="125" t="s">
        <v>43</v>
      </c>
      <c r="O3" s="125"/>
      <c r="P3" s="125" t="s">
        <v>44</v>
      </c>
      <c r="Q3" s="125"/>
      <c r="R3" s="126" t="s">
        <v>45</v>
      </c>
      <c r="S3" s="126"/>
      <c r="T3" s="126" t="s">
        <v>46</v>
      </c>
      <c r="U3" s="126"/>
      <c r="V3" s="127" t="s">
        <v>47</v>
      </c>
      <c r="W3" s="123" t="s">
        <v>48</v>
      </c>
      <c r="X3" s="121" t="s">
        <v>32</v>
      </c>
    </row>
    <row r="4" spans="1:24" ht="19.899999999999999" customHeight="1">
      <c r="A4" s="78" t="s">
        <v>49</v>
      </c>
      <c r="B4" s="79"/>
      <c r="C4" s="79"/>
      <c r="D4" s="79"/>
      <c r="E4" s="79"/>
      <c r="F4" s="80"/>
      <c r="G4" s="80"/>
      <c r="H4" s="80"/>
      <c r="I4" s="80"/>
      <c r="J4" s="81" t="s">
        <v>50</v>
      </c>
      <c r="K4" s="81" t="s">
        <v>51</v>
      </c>
      <c r="L4" s="130"/>
      <c r="M4" s="130"/>
      <c r="N4" s="82" t="s">
        <v>52</v>
      </c>
      <c r="O4" s="83" t="s">
        <v>53</v>
      </c>
      <c r="P4" s="82" t="s">
        <v>54</v>
      </c>
      <c r="Q4" s="83" t="s">
        <v>53</v>
      </c>
      <c r="R4" s="83" t="s">
        <v>55</v>
      </c>
      <c r="S4" s="83" t="s">
        <v>53</v>
      </c>
      <c r="T4" s="83" t="s">
        <v>55</v>
      </c>
      <c r="U4" s="83" t="s">
        <v>53</v>
      </c>
      <c r="V4" s="128"/>
      <c r="W4" s="124"/>
      <c r="X4" s="122"/>
    </row>
    <row r="5" spans="1:24" s="94" customFormat="1" ht="19.899999999999999" customHeight="1">
      <c r="A5" s="84">
        <v>999999</v>
      </c>
      <c r="B5" s="85"/>
      <c r="C5" s="85"/>
      <c r="D5" s="85"/>
      <c r="E5" s="85"/>
      <c r="F5" s="4"/>
      <c r="G5" s="86"/>
      <c r="H5" s="87"/>
      <c r="I5" s="2"/>
      <c r="J5" s="3" t="s">
        <v>58</v>
      </c>
      <c r="K5" s="3" t="s">
        <v>56</v>
      </c>
      <c r="L5" s="88" t="s">
        <v>59</v>
      </c>
      <c r="M5" s="108">
        <v>1</v>
      </c>
      <c r="N5" s="109">
        <v>40000</v>
      </c>
      <c r="O5" s="90">
        <f t="shared" ref="O5:O6" si="0">SUM(N5:N5)*M5*$O$2</f>
        <v>40000</v>
      </c>
      <c r="P5" s="5">
        <v>50000</v>
      </c>
      <c r="Q5" s="90">
        <f t="shared" ref="Q5:Q6" si="1">(P5*M5)*$Q$2</f>
        <v>50000</v>
      </c>
      <c r="R5" s="91"/>
      <c r="S5" s="90">
        <f t="shared" ref="S5:S6" si="2">R5*M5*$S$2</f>
        <v>0</v>
      </c>
      <c r="T5" s="91"/>
      <c r="U5" s="90">
        <f t="shared" ref="U5:U6" si="3">T5*M5*$U$2</f>
        <v>0</v>
      </c>
      <c r="V5" s="91">
        <f t="shared" ref="V5:V6" si="4">SUM(O5+Q5)+S5+U5</f>
        <v>90000</v>
      </c>
      <c r="W5" s="92"/>
      <c r="X5" s="93"/>
    </row>
    <row r="6" spans="1:24" s="94" customFormat="1" ht="19.899999999999999" customHeight="1">
      <c r="A6" s="84">
        <v>999999</v>
      </c>
      <c r="B6" s="85"/>
      <c r="C6" s="85"/>
      <c r="D6" s="85"/>
      <c r="E6" s="85"/>
      <c r="F6" s="4"/>
      <c r="G6" s="86"/>
      <c r="H6" s="87"/>
      <c r="I6" s="2"/>
      <c r="J6" s="3" t="s">
        <v>58</v>
      </c>
      <c r="K6" s="3" t="s">
        <v>57</v>
      </c>
      <c r="L6" s="88" t="s">
        <v>59</v>
      </c>
      <c r="M6" s="108">
        <v>19</v>
      </c>
      <c r="N6" s="109">
        <v>40000</v>
      </c>
      <c r="O6" s="90">
        <f t="shared" si="0"/>
        <v>760000</v>
      </c>
      <c r="P6" s="5">
        <v>60000</v>
      </c>
      <c r="Q6" s="90">
        <f t="shared" si="1"/>
        <v>1140000</v>
      </c>
      <c r="R6" s="91"/>
      <c r="S6" s="90">
        <f t="shared" si="2"/>
        <v>0</v>
      </c>
      <c r="T6" s="91"/>
      <c r="U6" s="90">
        <f t="shared" si="3"/>
        <v>0</v>
      </c>
      <c r="V6" s="91">
        <f t="shared" si="4"/>
        <v>1900000</v>
      </c>
      <c r="W6" s="92"/>
      <c r="X6" s="93"/>
    </row>
    <row r="7" spans="1:24" s="94" customFormat="1" ht="19.899999999999999" customHeight="1">
      <c r="A7" s="84" t="str">
        <f t="shared" ref="A7" si="5">F7&amp;G7&amp;H7&amp;I7</f>
        <v/>
      </c>
      <c r="B7" s="85"/>
      <c r="C7" s="85"/>
      <c r="D7" s="85"/>
      <c r="E7" s="85"/>
      <c r="F7" s="95"/>
      <c r="G7" s="86"/>
      <c r="H7" s="87"/>
      <c r="I7" s="2"/>
      <c r="J7" s="98"/>
      <c r="K7" s="98"/>
      <c r="L7" s="99"/>
      <c r="M7" s="97"/>
      <c r="N7" s="89"/>
      <c r="O7" s="90">
        <f t="shared" ref="O7" si="6">SUM(N7:N7)*M7*$O$2</f>
        <v>0</v>
      </c>
      <c r="P7" s="96"/>
      <c r="Q7" s="90">
        <f t="shared" ref="Q7" si="7">(P7*M7)*$Q$2</f>
        <v>0</v>
      </c>
      <c r="R7" s="91"/>
      <c r="S7" s="90">
        <f t="shared" ref="S7" si="8">R7*M7*$S$2</f>
        <v>0</v>
      </c>
      <c r="T7" s="91"/>
      <c r="U7" s="90">
        <f t="shared" ref="U7" si="9">T7*M7*$U$2</f>
        <v>0</v>
      </c>
      <c r="V7" s="91">
        <f t="shared" ref="V7" si="10">SUM(O7+Q7)+S7+U7</f>
        <v>0</v>
      </c>
      <c r="W7" s="100"/>
      <c r="X7" s="93"/>
    </row>
    <row r="8" spans="1:24" s="102" customFormat="1" ht="19.899999999999999" customHeight="1">
      <c r="A8" s="101"/>
      <c r="B8" s="101"/>
      <c r="C8" s="101"/>
      <c r="D8" s="101"/>
      <c r="E8" s="101"/>
      <c r="O8" s="103">
        <f>SUM(O5:O7)</f>
        <v>800000</v>
      </c>
      <c r="P8" s="104"/>
      <c r="Q8" s="103">
        <f>SUM(Q5:Q7)</f>
        <v>1190000</v>
      </c>
      <c r="R8" s="104"/>
      <c r="S8" s="103">
        <f>SUM(S5:S7)</f>
        <v>0</v>
      </c>
      <c r="T8" s="104"/>
      <c r="U8" s="103">
        <f>SUM(U5:U7)</f>
        <v>0</v>
      </c>
      <c r="V8" s="105">
        <f>SUM(V5:V7)</f>
        <v>1990000</v>
      </c>
      <c r="W8" s="111">
        <f>V8*1.075</f>
        <v>2139250</v>
      </c>
    </row>
    <row r="12" spans="1:24">
      <c r="Q12" s="107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CF11A-F0F4-4B06-8378-8C8D98F10DF6}">
  <dimension ref="A1"/>
  <sheetViews>
    <sheetView workbookViewId="0">
      <selection activeCell="C12" sqref="C12"/>
    </sheetView>
  </sheetViews>
  <sheetFormatPr defaultRowHeight="16.5"/>
  <sheetData/>
  <phoneticPr fontId="6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시중가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2025-03-17T04:06:01Z</dcterms:modified>
</cp:coreProperties>
</file>
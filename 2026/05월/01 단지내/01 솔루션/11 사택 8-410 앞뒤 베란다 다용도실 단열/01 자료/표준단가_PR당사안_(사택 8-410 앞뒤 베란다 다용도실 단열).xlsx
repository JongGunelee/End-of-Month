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0C24F2B1-D32B-46AA-81EC-8226DB5167D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K5" i="4"/>
  <c r="J22" i="6" l="1"/>
  <c r="J23" i="6"/>
  <c r="J26" i="6"/>
  <c r="J25" i="6"/>
  <c r="J27" i="6" s="1"/>
  <c r="J24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/>
  <c r="O5" i="4"/>
  <c r="M5" i="4"/>
  <c r="A5" i="4"/>
  <c r="A2" i="1" s="1"/>
  <c r="J28" i="6" l="1"/>
  <c r="J20" i="6" s="1"/>
  <c r="R5" i="4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J30" i="6" l="1"/>
  <c r="R7" i="4"/>
  <c r="R8" i="4"/>
  <c r="R9" i="4"/>
  <c r="R6" i="4"/>
  <c r="M32" i="6" l="1"/>
  <c r="B15" i="6" s="1"/>
  <c r="Q10" i="4"/>
  <c r="M10" i="4"/>
  <c r="O10" i="4" l="1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<sst xmlns="http://schemas.openxmlformats.org/spreadsheetml/2006/main" count="134" uniqueCount="113">
  <si>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</si>
  <si>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</si>
  <si>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</si>
  <si>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</si>
  <si>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</si>
  <si>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</si>
  <si>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</si>
  <si>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</si>
  <si>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</si>
  <si>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</si>
  <si>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</si>
  <si>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</si>
  <si>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</si>
  <si>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</si>
  <si>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</si>
  <si>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</si>
  <si>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</si>
  <si>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</si>
  <si>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</si>
  <si>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</si>
  <si>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</si>
  <si>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</si>
  <si>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</si>
  <si>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</si>
  <si>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</si>
  <si>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</si>
  <si>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</si>
  <si>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</si>
  <si>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</si>
  <si>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</si>
  <si>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</si>
  <si>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</si>
  <si>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</si>
  <si>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</si>
  <si>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</si>
  <si>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</si>
  <si>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</si>
  <si>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</si>
  <si>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</si>
  <si>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</si>
  <si>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</si>
  <si>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</si>
  <si>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</si>
  <si>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35㎡),시공총량40/일당35=1.1429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</si>
  <si>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</si>
  <si>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</si>
  <si>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L002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</si>
  <si>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</si>
  <si>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</si>
  <si>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</si>
  <si>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</si>
  <si>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</si>
  <si>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</si>
  <si>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</si>
  <si>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</si>
  <si>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</si>
  <si>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</si>
  <si>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</si>
  <si>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</si>
  <si>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</si>
  <si>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</si>
  <si>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</si>
  <si>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</si>
  <si>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</si>
  <si>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</si>
  <si>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</si>
  <si>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</si>
  <si>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</si>
  <si>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</si>
  <si>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</si>
  <si>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</si>
  <si>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</si>
  <si>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</si>
  <si>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</si>
  <si>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</si>
  <si>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</si>
  <si>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</si>
  <si>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</si>
  <si>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</si>
  <si>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</si>
  <si>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</si>
  <si>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</si>
  <si>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</si>
  <si>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</si>
  <si>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</si>
  <si>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</si>
  <si>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</si>
  <si>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</si>
  <si>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</si>
  <si>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</si>
  <si>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</si>
  <si>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</si>
  <si>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</si>
  <si>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</si>
  <si>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</si>
  <si>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</si>
  <si>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</si>
  <si>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</si>
  <si>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</si>
  <si>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</si>
  <si>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</si>
  <si>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</si>
  <si>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</si>
  <si>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</si>
  <si>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</si>
  <si>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</si>
  <si>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</si>
  <si>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</si>
  <si>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</si>
  <si>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</si>
  <si>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</si>
  <si>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8-410 앞뒤 베란다 다용도실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</si>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</sst>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0.00_ "/>
    <numFmt numFmtId="184" formatCode="#,##0;\-#,##0;"/>
    <numFmt numFmtId="185" formatCode="0.000"/>
    <numFmt numFmtId="186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83" fontId="19" fillId="0" borderId="1" xfId="1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4" fontId="19" fillId="11" borderId="2" xfId="29" applyNumberFormat="1" applyFont="1" applyFill="1" applyBorder="1" applyAlignment="1">
      <alignment horizontal="right" vertical="center"/>
    </xf>
    <xf numFmtId="184" fontId="19" fillId="6" borderId="2" xfId="1" applyNumberFormat="1" applyFont="1" applyFill="1" applyBorder="1" applyAlignment="1">
      <alignment horizontal="right" vertical="center" wrapText="1"/>
    </xf>
    <xf numFmtId="184" fontId="19" fillId="0" borderId="2" xfId="1" applyNumberFormat="1" applyFont="1" applyFill="1" applyBorder="1" applyAlignment="1">
      <alignment horizontal="right" vertical="center" wrapText="1"/>
    </xf>
    <xf numFmtId="184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5" fontId="19" fillId="11" borderId="2" xfId="30" applyNumberFormat="1" applyFont="1" applyFill="1" applyBorder="1" applyAlignment="1">
      <alignment horizontal="center" vertical="center"/>
    </xf>
    <xf numFmtId="185" fontId="19" fillId="5" borderId="2" xfId="1" applyNumberFormat="1" applyFont="1" applyFill="1" applyBorder="1" applyAlignment="1">
      <alignment horizontal="center" vertical="center"/>
    </xf>
    <xf numFmtId="185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25" fillId="11" borderId="2" xfId="30" applyNumberFormat="1" applyFont="1" applyFill="1" applyBorder="1" applyAlignment="1">
      <alignment horizontal="right" vertical="center"/>
    </xf>
    <xf numFmtId="182" fontId="25" fillId="11" borderId="2" xfId="29" applyNumberFormat="1" applyFont="1" applyFill="1" applyBorder="1" applyAlignment="1">
      <alignment vertical="center" wrapText="1"/>
    </xf>
    <xf numFmtId="176" fontId="25" fillId="11" borderId="2" xfId="30" applyFont="1" applyFill="1" applyBorder="1">
      <alignment vertical="center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5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6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8E968144-168D-46A3-8C39-996B71BDD19D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2AB5B3EC-1F46-494E-B64D-F6CF22AFF407}"/>
    <cellStyle name="쉼표 [0] 3" xfId="14" xr:uid="{8F7BE219-40E1-4BBB-A9BD-02188B74B2A3}"/>
    <cellStyle name="쉼표 [0] 4" xfId="27" xr:uid="{CC0B73B0-7462-4D01-B0C9-D11C17A5C7E0}"/>
    <cellStyle name="쉼표 [0] 5" xfId="35" xr:uid="{D0D373A8-BF2C-46D0-B1BB-9AF23F346907}"/>
    <cellStyle name="쉼표 [0] 5 2" xfId="37" xr:uid="{19129A45-3976-450C-AC9F-3310CA4C35AC}"/>
    <cellStyle name="쉼표 [0]_내역서(표준단가)_1" xfId="30" xr:uid="{D826A050-BD22-41DF-B264-4867D2373CB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9698FB7A-BD4D-418B-94E6-5193A7C3F0D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F696D6F0-803C-4BD2-BDED-B9C3D01DC695}"/>
    <cellStyle name="표준_P456 공장 및 복지동 전면 유리창 청소건 라상혁님_1129(최종)" xfId="34" xr:uid="{2CB1F0C4-B38E-48D4-8587-7A5BA7537FEE}"/>
    <cellStyle name="표준_S&amp;D_MAIN VALVE_최빈_2" xfId="31" xr:uid="{217F1951-BA2E-4104-9550-71FF61350A40}"/>
    <cellStyle name="표준_내역서(표준단가)" xfId="29" xr:uid="{357215B0-0350-4163-B1AD-82BE91256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5D278D-4173-4218-A630-7EE55F13C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1C74-C11A-47B7-B1F1-9D0048283D0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47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49</v>
      </c>
      <c r="B7" s="216"/>
      <c r="C7" s="217"/>
      <c r="D7" s="125">
        <v>2026</v>
      </c>
      <c r="E7" s="75" t="s">
        <v>50</v>
      </c>
      <c r="F7" s="126">
        <v>4</v>
      </c>
      <c r="G7" s="75" t="s">
        <v>51</v>
      </c>
      <c r="H7" s="126">
        <v>6</v>
      </c>
      <c r="I7" s="75" t="s">
        <v>52</v>
      </c>
      <c r="J7" s="76"/>
      <c r="K7" s="218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21" t="s">
        <v>58</v>
      </c>
      <c r="B8" s="222"/>
      <c r="C8" s="223"/>
      <c r="D8" s="224" t="s">
        <v>59</v>
      </c>
      <c r="E8" s="225"/>
      <c r="F8" s="225"/>
      <c r="G8" s="226"/>
      <c r="H8" s="227" t="s">
        <v>60</v>
      </c>
      <c r="I8" s="225"/>
      <c r="J8" s="228"/>
      <c r="K8" s="219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21" t="s">
        <v>65</v>
      </c>
      <c r="B9" s="222"/>
      <c r="C9" s="223"/>
      <c r="D9" s="229" t="s">
        <v>66</v>
      </c>
      <c r="E9" s="230"/>
      <c r="F9" s="230"/>
      <c r="G9" s="230"/>
      <c r="H9" s="230"/>
      <c r="I9" s="230"/>
      <c r="J9" s="231"/>
      <c r="K9" s="219"/>
      <c r="L9" s="79" t="s">
        <v>67</v>
      </c>
      <c r="M9" s="232" t="s">
        <v>68</v>
      </c>
      <c r="N9" s="222"/>
      <c r="O9" s="223"/>
    </row>
    <row r="10" spans="1:15" ht="23.25" customHeight="1" thickBot="1">
      <c r="A10" s="233" t="s">
        <v>69</v>
      </c>
      <c r="B10" s="234"/>
      <c r="C10" s="235"/>
      <c r="D10" s="236" t="s">
        <v>70</v>
      </c>
      <c r="E10" s="237"/>
      <c r="F10" s="237"/>
      <c r="G10" s="237"/>
      <c r="H10" s="237"/>
      <c r="I10" s="237"/>
      <c r="J10" s="238"/>
      <c r="K10" s="220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111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一金이백일십육만팔천이백칠십오원정"(\2,168,275원)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76</v>
      </c>
      <c r="B17" s="201" t="s">
        <v>77</v>
      </c>
      <c r="C17" s="202"/>
      <c r="D17" s="202"/>
      <c r="E17" s="202"/>
      <c r="F17" s="202"/>
      <c r="G17" s="203"/>
      <c r="H17" s="92" t="s">
        <v>78</v>
      </c>
      <c r="I17" s="93" t="s">
        <v>79</v>
      </c>
      <c r="J17" s="204" t="s">
        <v>80</v>
      </c>
      <c r="K17" s="205"/>
      <c r="L17" s="205"/>
      <c r="M17" s="206"/>
      <c r="N17" s="201" t="s">
        <v>81</v>
      </c>
      <c r="O17" s="207"/>
    </row>
    <row r="18" spans="1:17" ht="28.5" customHeight="1">
      <c r="A18" s="94">
        <v>1</v>
      </c>
      <c r="B18" s="195" t="s">
        <v>14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1/(TRIM('내역서(표준단가)'!K4:K100)&lt;&gt;""), '내역서(표준단가)'!K4:K100), "-")</f>
        <v>307280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15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1/(TRIM('내역서(표준단가)'!M4:M100)&lt;&gt;""), '내역서(표준단가)'!M4:M100), "-")</f>
        <v>1390112.0479285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82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238888.51667590821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83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1"/>
      <c r="L21" s="171"/>
      <c r="M21" s="172"/>
      <c r="N21" s="173" t="s">
        <v>84</v>
      </c>
      <c r="O21" s="174"/>
    </row>
    <row r="22" spans="1:17" ht="28.5" customHeight="1">
      <c r="A22" s="94"/>
      <c r="B22" s="98"/>
      <c r="C22" s="161" t="s">
        <v>85</v>
      </c>
      <c r="D22" s="162"/>
      <c r="E22" s="162"/>
      <c r="F22" s="162"/>
      <c r="G22" s="163"/>
      <c r="H22" s="99">
        <v>3.11</v>
      </c>
      <c r="I22" s="99" t="s">
        <v>86</v>
      </c>
      <c r="J22" s="164">
        <f>IFERROR((J18+J19)*H22%,"-")</f>
        <v>52788.892690576351</v>
      </c>
      <c r="K22" s="165"/>
      <c r="L22" s="165"/>
      <c r="M22" s="166"/>
      <c r="N22" s="157" t="s">
        <v>87</v>
      </c>
      <c r="O22" s="158"/>
    </row>
    <row r="23" spans="1:17" ht="28.5" customHeight="1">
      <c r="A23" s="94"/>
      <c r="B23" s="98"/>
      <c r="C23" s="161" t="s">
        <v>88</v>
      </c>
      <c r="D23" s="162"/>
      <c r="E23" s="162"/>
      <c r="F23" s="162"/>
      <c r="G23" s="163"/>
      <c r="H23" s="99">
        <v>3.56</v>
      </c>
      <c r="I23" s="99" t="s">
        <v>89</v>
      </c>
      <c r="J23" s="164">
        <f>IFERROR(J19*H23%,"-")</f>
        <v>49487.988906254599</v>
      </c>
      <c r="K23" s="165"/>
      <c r="L23" s="165"/>
      <c r="M23" s="166"/>
      <c r="N23" s="157" t="s">
        <v>90</v>
      </c>
      <c r="O23" s="158"/>
    </row>
    <row r="24" spans="1:17" ht="28.5" customHeight="1">
      <c r="A24" s="94"/>
      <c r="B24" s="98"/>
      <c r="C24" s="161" t="s">
        <v>91</v>
      </c>
      <c r="D24" s="162"/>
      <c r="E24" s="162"/>
      <c r="F24" s="162"/>
      <c r="G24" s="163"/>
      <c r="H24" s="99">
        <v>1.01</v>
      </c>
      <c r="I24" s="99" t="s">
        <v>89</v>
      </c>
      <c r="J24" s="164">
        <f>IFERROR(J19*H24%,"-")</f>
        <v>14040.131684077849</v>
      </c>
      <c r="K24" s="165"/>
      <c r="L24" s="165"/>
      <c r="M24" s="166"/>
      <c r="N24" s="157" t="s">
        <v>92</v>
      </c>
      <c r="O24" s="158"/>
    </row>
    <row r="25" spans="1:17" ht="28.5" customHeight="1">
      <c r="A25" s="94"/>
      <c r="B25" s="98"/>
      <c r="C25" s="161" t="s">
        <v>93</v>
      </c>
      <c r="D25" s="162"/>
      <c r="E25" s="162"/>
      <c r="F25" s="162"/>
      <c r="G25" s="163"/>
      <c r="H25" s="100">
        <v>3.5950000000000002</v>
      </c>
      <c r="I25" s="99" t="s">
        <v>89</v>
      </c>
      <c r="J25" s="164">
        <f>IFERROR(J19*H25%,"-")</f>
        <v>49974.52812302958</v>
      </c>
      <c r="K25" s="165"/>
      <c r="L25" s="165"/>
      <c r="M25" s="166"/>
      <c r="N25" s="157" t="s">
        <v>94</v>
      </c>
      <c r="O25" s="158"/>
      <c r="Q25" s="97"/>
    </row>
    <row r="26" spans="1:17" ht="28.5" customHeight="1">
      <c r="A26" s="94"/>
      <c r="B26" s="98"/>
      <c r="C26" s="161" t="s">
        <v>95</v>
      </c>
      <c r="D26" s="162"/>
      <c r="E26" s="162"/>
      <c r="F26" s="162"/>
      <c r="G26" s="163"/>
      <c r="H26" s="99">
        <v>4.75</v>
      </c>
      <c r="I26" s="99" t="s">
        <v>89</v>
      </c>
      <c r="J26" s="164">
        <f>IFERROR(J19*H26%,"-")</f>
        <v>66030.322276603751</v>
      </c>
      <c r="K26" s="165"/>
      <c r="L26" s="165"/>
      <c r="M26" s="166"/>
      <c r="N26" s="157" t="s">
        <v>96</v>
      </c>
      <c r="O26" s="158"/>
      <c r="Q26" s="101"/>
    </row>
    <row r="27" spans="1:17" ht="28.5" customHeight="1">
      <c r="A27" s="94"/>
      <c r="B27" s="98"/>
      <c r="C27" s="151" t="s">
        <v>97</v>
      </c>
      <c r="D27" s="152"/>
      <c r="E27" s="152"/>
      <c r="F27" s="152"/>
      <c r="G27" s="153"/>
      <c r="H27" s="102">
        <v>13.14</v>
      </c>
      <c r="I27" s="103" t="s">
        <v>89</v>
      </c>
      <c r="J27" s="154">
        <f>IFERROR($H$27*J25%,"-")</f>
        <v>6566.6529953660875</v>
      </c>
      <c r="K27" s="155"/>
      <c r="L27" s="155"/>
      <c r="M27" s="156"/>
      <c r="N27" s="157" t="s">
        <v>98</v>
      </c>
      <c r="O27" s="158"/>
    </row>
    <row r="28" spans="1:17" ht="28.5" customHeight="1">
      <c r="A28" s="94"/>
      <c r="B28" s="98"/>
      <c r="C28" s="151" t="s">
        <v>99</v>
      </c>
      <c r="D28" s="152"/>
      <c r="E28" s="152"/>
      <c r="F28" s="152"/>
      <c r="G28" s="153"/>
      <c r="H28" s="102">
        <v>8.1000000000000003E-2</v>
      </c>
      <c r="I28" s="103" t="s">
        <v>89</v>
      </c>
      <c r="J28" s="154" t="str">
        <f>IFERROR(IF(SUM(J21:J27,J18:J19)&gt;=10000000,SUM(J21:J27,J18:J19)*H28%,"-"),"-")</f>
        <v>-</v>
      </c>
      <c r="K28" s="155"/>
      <c r="L28" s="155"/>
      <c r="M28" s="156"/>
      <c r="N28" s="159" t="s">
        <v>100</v>
      </c>
      <c r="O28" s="160"/>
    </row>
    <row r="29" spans="1:17" ht="28.5" customHeight="1">
      <c r="A29" s="104"/>
      <c r="B29" s="105"/>
      <c r="C29" s="131" t="s">
        <v>101</v>
      </c>
      <c r="D29" s="132"/>
      <c r="E29" s="132"/>
      <c r="F29" s="132"/>
      <c r="G29" s="133"/>
      <c r="H29" s="106">
        <v>1</v>
      </c>
      <c r="I29" s="107" t="s">
        <v>102</v>
      </c>
      <c r="J29" s="134">
        <f>34*0</f>
        <v>0</v>
      </c>
      <c r="K29" s="135"/>
      <c r="L29" s="135"/>
      <c r="M29" s="136"/>
      <c r="N29" s="137" t="s">
        <v>103</v>
      </c>
      <c r="O29" s="138"/>
    </row>
    <row r="30" spans="1:17" ht="28.5" customHeight="1">
      <c r="A30" s="104">
        <v>4</v>
      </c>
      <c r="B30" s="105"/>
      <c r="C30" s="131" t="s">
        <v>104</v>
      </c>
      <c r="D30" s="132"/>
      <c r="E30" s="132"/>
      <c r="F30" s="132"/>
      <c r="G30" s="133"/>
      <c r="H30" s="107">
        <v>5</v>
      </c>
      <c r="I30" s="108" t="s">
        <v>105</v>
      </c>
      <c r="J30" s="144">
        <f>IFERROR(IF(ISNUMBER(H30), SUM(J18:M20) * (H30 / 100), "-"), "-")</f>
        <v>96814.028230220414</v>
      </c>
      <c r="K30" s="145"/>
      <c r="L30" s="145"/>
      <c r="M30" s="146"/>
      <c r="N30" s="147" t="s">
        <v>106</v>
      </c>
      <c r="O30" s="148"/>
    </row>
    <row r="31" spans="1:17" ht="28.5" customHeight="1" thickBot="1">
      <c r="A31" s="104">
        <v>5</v>
      </c>
      <c r="B31" s="105"/>
      <c r="C31" s="131" t="s">
        <v>107</v>
      </c>
      <c r="D31" s="132"/>
      <c r="E31" s="132"/>
      <c r="F31" s="132"/>
      <c r="G31" s="133"/>
      <c r="H31" s="107">
        <v>7.5</v>
      </c>
      <c r="I31" s="108" t="s">
        <v>89</v>
      </c>
      <c r="J31" s="134">
        <f>IFERROR(SUM(J18:M20, J30) * (H31 / 100), "-")+-17301</f>
        <v>135181.09446259713</v>
      </c>
      <c r="K31" s="135"/>
      <c r="L31" s="135"/>
      <c r="M31" s="136"/>
      <c r="N31" s="149" t="s">
        <v>108</v>
      </c>
      <c r="O31" s="150"/>
      <c r="Q31" s="109"/>
    </row>
    <row r="32" spans="1:17" ht="28.5" customHeight="1" thickBot="1">
      <c r="A32" s="139" t="s">
        <v>109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2168275</v>
      </c>
      <c r="N32" s="142"/>
      <c r="O32" s="143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/>
  <cols>
    <col min="1" max="1" width="22.625" style="53" bestFit="1" customWidth="1"/>
    <col min="2" max="5" width="17.625" style="44" hidden="1" customWidth="1"/>
    <col min="6" max="6" width="40.375" style="40" customWidth="1"/>
    <col min="7" max="7" width="30.625" style="40" customWidth="1"/>
    <col min="8" max="8" width="12" style="44" bestFit="1" customWidth="1"/>
    <col min="9" max="9" width="6.75" style="44" customWidth="1"/>
    <col min="10" max="10" width="10.25" style="44" bestFit="1" customWidth="1"/>
    <col min="11" max="11" width="13.25" style="44" bestFit="1" customWidth="1"/>
    <col min="12" max="12" width="9.5" style="44" customWidth="1"/>
    <col min="13" max="13" width="15.625" style="44" bestFit="1" customWidth="1"/>
    <col min="14" max="14" width="6.375" style="44" customWidth="1"/>
    <col min="15" max="15" width="8.75" style="44" bestFit="1" customWidth="1"/>
    <col min="16" max="16" width="6.375" style="44" customWidth="1"/>
    <col min="17" max="17" width="8.75" style="44" bestFit="1" customWidth="1"/>
    <col min="18" max="18" width="15.5" style="44" bestFit="1" customWidth="1"/>
    <col min="19" max="19" width="10.625" style="2" bestFit="1" customWidth="1"/>
    <col min="20" max="20" width="8.5" style="44" bestFit="1" customWidth="1"/>
    <col min="21" max="16384" width="9" style="44"/>
  </cols>
  <sheetData>
    <row r="1" spans="1:20" ht="19.899999999999999" customHeight="1">
      <c r="A1" s="239"/>
      <c r="B1" s="239"/>
      <c r="C1" s="239"/>
      <c r="D1" s="239"/>
      <c r="E1" s="239"/>
      <c r="J1" s="2"/>
      <c r="K1" s="43" t="s">
        <v>10</v>
      </c>
      <c r="M1" s="43" t="s">
        <v>10</v>
      </c>
      <c r="O1" s="43" t="s">
        <v>10</v>
      </c>
      <c r="Q1" s="43" t="s">
        <v>10</v>
      </c>
    </row>
    <row r="2" spans="1:20" ht="19.899999999999999" customHeight="1" thickBot="1">
      <c r="A2" s="239"/>
      <c r="B2" s="239"/>
      <c r="C2" s="239"/>
      <c r="D2" s="239"/>
      <c r="E2" s="23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5"/>
      <c r="B3" s="45" t="s">
        <v>11</v>
      </c>
      <c r="C3" s="46"/>
      <c r="D3" s="46"/>
      <c r="E3" s="46"/>
      <c r="F3" s="250" t="s">
        <v>12</v>
      </c>
      <c r="G3" s="250"/>
      <c r="H3" s="248" t="s">
        <v>13</v>
      </c>
      <c r="I3" s="248" t="s">
        <v>5</v>
      </c>
      <c r="J3" s="244" t="s">
        <v>14</v>
      </c>
      <c r="K3" s="244"/>
      <c r="L3" s="244" t="s">
        <v>15</v>
      </c>
      <c r="M3" s="244"/>
      <c r="N3" s="245" t="s">
        <v>16</v>
      </c>
      <c r="O3" s="245"/>
      <c r="P3" s="245" t="s">
        <v>17</v>
      </c>
      <c r="Q3" s="245"/>
      <c r="R3" s="246" t="s">
        <v>18</v>
      </c>
      <c r="S3" s="242" t="s">
        <v>19</v>
      </c>
      <c r="T3" s="240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1" t="s">
        <v>25</v>
      </c>
      <c r="G4" s="41" t="s">
        <v>26</v>
      </c>
      <c r="H4" s="249"/>
      <c r="I4" s="249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7"/>
      <c r="S4" s="243"/>
      <c r="T4" s="241"/>
    </row>
    <row r="5" spans="1:20" s="47" customFormat="1" ht="38.1" customHeight="1">
      <c r="A5" s="9" t="str">
        <f t="shared" ref="A5:A9" si="0">B5&amp;C5&amp;D5&amp;E5</f>
        <v>L002</v>
      </c>
      <c r="B5" s="21"/>
      <c r="C5" s="24"/>
      <c r="D5" s="22"/>
      <c r="E5" s="21" t="s">
        <v>46</v>
      </c>
      <c r="F5" s="26" t="s">
        <v>44</v>
      </c>
      <c r="G5" s="26" t="s">
        <v>45</v>
      </c>
      <c r="H5" s="34" t="s">
        <v>42</v>
      </c>
      <c r="I5" s="37">
        <v>1.7</v>
      </c>
      <c r="J5" s="30"/>
      <c r="K5" s="31">
        <f t="shared" ref="K5:K9" si="1">SUM(J5:J5)*I5*$K$2</f>
        <v>0</v>
      </c>
      <c r="L5" s="55">
        <v>171037</v>
      </c>
      <c r="M5" s="31">
        <f>I5*L5</f>
        <v>290762.89999999997</v>
      </c>
      <c r="N5" s="32"/>
      <c r="O5" s="31">
        <f t="shared" ref="O5:O9" si="2">N5*I5*$O$2</f>
        <v>0</v>
      </c>
      <c r="P5" s="32"/>
      <c r="Q5" s="31">
        <f t="shared" ref="Q5:Q9" si="3">P5*I5*$Q$2</f>
        <v>0</v>
      </c>
      <c r="R5" s="12">
        <f t="shared" ref="R5:R9" si="4">SUM(K5+M5)+O5+Q5</f>
        <v>290762.89999999997</v>
      </c>
      <c r="S5" s="13"/>
      <c r="T5" s="14"/>
    </row>
    <row r="6" spans="1:20" s="47" customFormat="1" ht="38.1" customHeight="1">
      <c r="A6" s="9" t="str">
        <f t="shared" si="0"/>
        <v>M020750510120102</v>
      </c>
      <c r="B6" s="21"/>
      <c r="C6" s="22"/>
      <c r="D6" s="24" t="s">
        <v>31</v>
      </c>
      <c r="E6" s="22"/>
      <c r="F6" s="26" t="s">
        <v>32</v>
      </c>
      <c r="G6" s="26" t="s">
        <v>33</v>
      </c>
      <c r="H6" s="34" t="s">
        <v>34</v>
      </c>
      <c r="I6" s="38">
        <v>20</v>
      </c>
      <c r="J6" s="55">
        <v>6400</v>
      </c>
      <c r="K6" s="31">
        <f t="shared" si="1"/>
        <v>106880</v>
      </c>
      <c r="L6" s="33"/>
      <c r="M6" s="31">
        <f t="shared" ref="M6:M8" si="5">(L6*I6)*$M$2</f>
        <v>0</v>
      </c>
      <c r="N6" s="32"/>
      <c r="O6" s="31">
        <f t="shared" si="2"/>
        <v>0</v>
      </c>
      <c r="P6" s="32"/>
      <c r="Q6" s="31">
        <f t="shared" si="3"/>
        <v>0</v>
      </c>
      <c r="R6" s="12">
        <f t="shared" si="4"/>
        <v>106880</v>
      </c>
      <c r="S6" s="13"/>
      <c r="T6" s="14"/>
    </row>
    <row r="7" spans="1:20" s="47" customFormat="1" ht="38.1" customHeight="1">
      <c r="A7" s="9" t="str">
        <f t="shared" si="0"/>
        <v>M020750510130104</v>
      </c>
      <c r="B7" s="21"/>
      <c r="C7" s="24"/>
      <c r="D7" s="24" t="s">
        <v>35</v>
      </c>
      <c r="E7" s="24"/>
      <c r="F7" s="26" t="s">
        <v>36</v>
      </c>
      <c r="G7" s="26" t="s">
        <v>37</v>
      </c>
      <c r="H7" s="34" t="s">
        <v>34</v>
      </c>
      <c r="I7" s="37">
        <v>20</v>
      </c>
      <c r="J7" s="55">
        <v>12000</v>
      </c>
      <c r="K7" s="31">
        <f t="shared" si="1"/>
        <v>200400</v>
      </c>
      <c r="L7" s="33"/>
      <c r="M7" s="31">
        <f t="shared" si="5"/>
        <v>0</v>
      </c>
      <c r="N7" s="32"/>
      <c r="O7" s="31">
        <f t="shared" si="2"/>
        <v>0</v>
      </c>
      <c r="P7" s="32"/>
      <c r="Q7" s="31">
        <f t="shared" si="3"/>
        <v>0</v>
      </c>
      <c r="R7" s="12">
        <f t="shared" si="4"/>
        <v>200400</v>
      </c>
      <c r="S7" s="13"/>
      <c r="T7" s="14"/>
    </row>
    <row r="8" spans="1:20" s="47" customFormat="1" ht="38.1" customHeight="1">
      <c r="A8" s="9" t="str">
        <f t="shared" si="0"/>
        <v>E00000803066470202</v>
      </c>
      <c r="B8" s="27"/>
      <c r="C8" s="24" t="s">
        <v>38</v>
      </c>
      <c r="D8" s="24"/>
      <c r="E8" s="27"/>
      <c r="F8" s="26" t="s">
        <v>39</v>
      </c>
      <c r="G8" s="26" t="s">
        <v>43</v>
      </c>
      <c r="H8" s="35" t="s">
        <v>40</v>
      </c>
      <c r="I8" s="37">
        <v>1.1429</v>
      </c>
      <c r="J8" s="28"/>
      <c r="K8" s="10">
        <f t="shared" si="1"/>
        <v>0</v>
      </c>
      <c r="L8" s="57">
        <v>681499</v>
      </c>
      <c r="M8" s="10">
        <f t="shared" si="5"/>
        <v>650369.14792849997</v>
      </c>
      <c r="N8" s="11"/>
      <c r="O8" s="10">
        <f t="shared" si="2"/>
        <v>0</v>
      </c>
      <c r="P8" s="11"/>
      <c r="Q8" s="10">
        <f t="shared" si="3"/>
        <v>0</v>
      </c>
      <c r="R8" s="12">
        <f t="shared" si="4"/>
        <v>650369.14792849997</v>
      </c>
      <c r="S8" s="13"/>
      <c r="T8" s="14"/>
    </row>
    <row r="9" spans="1:20" s="47" customFormat="1" ht="38.1" customHeight="1">
      <c r="A9" s="9" t="str">
        <f t="shared" si="0"/>
        <v>L003</v>
      </c>
      <c r="B9" s="21"/>
      <c r="C9" s="22"/>
      <c r="D9" s="22"/>
      <c r="E9" s="21" t="s">
        <v>8</v>
      </c>
      <c r="F9" s="25" t="s">
        <v>9</v>
      </c>
      <c r="G9" s="26" t="s">
        <v>41</v>
      </c>
      <c r="H9" s="36" t="s">
        <v>42</v>
      </c>
      <c r="I9" s="39">
        <v>2</v>
      </c>
      <c r="J9" s="23"/>
      <c r="K9" s="10">
        <f t="shared" si="1"/>
        <v>0</v>
      </c>
      <c r="L9" s="56">
        <v>224490</v>
      </c>
      <c r="M9" s="10">
        <f t="shared" ref="M9" si="6">I9*L9</f>
        <v>448980</v>
      </c>
      <c r="N9" s="11"/>
      <c r="O9" s="10">
        <f t="shared" si="2"/>
        <v>0</v>
      </c>
      <c r="P9" s="11"/>
      <c r="Q9" s="10">
        <f t="shared" si="3"/>
        <v>0</v>
      </c>
      <c r="R9" s="12">
        <f t="shared" si="4"/>
        <v>448980</v>
      </c>
      <c r="S9" s="19"/>
      <c r="T9" s="14"/>
    </row>
    <row r="10" spans="1:20" s="49" customFormat="1" ht="38.1" customHeight="1">
      <c r="A10" s="48"/>
      <c r="F10" s="42"/>
      <c r="G10" s="42"/>
      <c r="K10" s="50">
        <f>SUM(K5:K9)</f>
        <v>307280</v>
      </c>
      <c r="L10" s="51"/>
      <c r="M10" s="50">
        <f>SUM(M5:M9)</f>
        <v>1390112.0479285</v>
      </c>
      <c r="N10" s="51"/>
      <c r="O10" s="50">
        <f>SUM(O5:O9)</f>
        <v>0</v>
      </c>
      <c r="P10" s="51"/>
      <c r="Q10" s="50">
        <f>SUM(Q5:Q9)</f>
        <v>0</v>
      </c>
      <c r="R10" s="52">
        <f>SUM(R5:R9)</f>
        <v>1697392.0479285</v>
      </c>
      <c r="S10" s="15"/>
    </row>
    <row r="14" spans="1:20" ht="38.1" customHeight="1">
      <c r="M14" s="5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K27" sqref="K27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9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20">
        <f>'내역서(표준단가)'!I5</f>
        <v>1.7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20">
        <f>'내역서(표준단가)'!I6</f>
        <v>20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20">
        <f>'내역서(표준단가)'!I7</f>
        <v>20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20">
        <f>'내역서(표준단가)'!I8</f>
        <v>1.1429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20">
        <f>'내역서(표준단가)'!I9</f>
        <v>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2026-04-06T01:35:20Z</dcterms:modified>
</cp:coreProperties>
</file>
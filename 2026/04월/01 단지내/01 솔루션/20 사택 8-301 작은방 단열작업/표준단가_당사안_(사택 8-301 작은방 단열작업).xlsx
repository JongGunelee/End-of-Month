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13_ncr:1_{12B1998B-EA2D-4979-96D2-77973E7D301D}" xr6:coauthVersionLast="36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갑지" sheetId="5" r:id="rId1"/>
    <sheet name="내역서(표준단가)" sheetId="4" r:id="rId2"/>
    <sheet name="Upload" sheetId="1" r:id="rId3"/>
  </sheets>
  <definedNames>
    <definedName name="_xlnm.Print_Area">#REF!</definedName>
    <definedName name="_xlnm.Print_Titles">#REF!,#REF!</definedName>
  </definedNames>
  <calcPr calcId="191029"/>
</workbook>
</file>

<file path=xl/calcChain.xml><?xml version="1.0" encoding="utf-8"?>
<calcChain xmlns="http://schemas.openxmlformats.org/spreadsheetml/2006/main">
  <c r="F9" i="1" l="1"/>
  <c r="E9" i="1"/>
  <c r="D9" i="1"/>
  <c r="C9" i="1"/>
  <c r="B9" i="1"/>
  <c r="A9" i="1"/>
  <c r="F8" i="1"/>
  <c r="E8" i="1"/>
  <c r="D8" i="1"/>
  <c r="C8" i="1"/>
  <c r="B8" i="1"/>
  <c r="A8" i="1"/>
  <c r="F7" i="1"/>
  <c r="E7" i="1"/>
  <c r="D7" i="1"/>
  <c r="C7" i="1"/>
  <c r="B7" i="1"/>
  <c r="A7" i="1"/>
  <c r="F6" i="1"/>
  <c r="E6" i="1"/>
  <c r="D6" i="1"/>
  <c r="C6" i="1"/>
  <c r="B6" i="1"/>
  <c r="A6" i="1"/>
  <c r="F5" i="1"/>
  <c r="E5" i="1"/>
  <c r="D5" i="1"/>
  <c r="C5" i="1"/>
  <c r="B5" i="1"/>
  <c r="A5" i="1"/>
  <c r="F4" i="1"/>
  <c r="E4" i="1"/>
  <c r="D4" i="1"/>
  <c r="C4" i="1"/>
  <c r="B4" i="1"/>
  <c r="A4" i="1"/>
  <c r="F3" i="1"/>
  <c r="E3" i="1"/>
  <c r="D3" i="1"/>
  <c r="C3" i="1"/>
  <c r="B3" i="1"/>
  <c r="A3" i="1"/>
  <c r="Q11" i="4" l="1"/>
  <c r="O11" i="4"/>
  <c r="M11" i="4"/>
  <c r="K11" i="4"/>
  <c r="A11" i="4"/>
  <c r="Q10" i="4"/>
  <c r="O10" i="4"/>
  <c r="M10" i="4"/>
  <c r="K10" i="4"/>
  <c r="A10" i="4"/>
  <c r="R11" i="4" l="1"/>
  <c r="R10" i="4"/>
  <c r="Q6" i="4"/>
  <c r="O6" i="4"/>
  <c r="M6" i="4"/>
  <c r="K6" i="4"/>
  <c r="A6" i="4"/>
  <c r="R6" i="4" l="1"/>
  <c r="Q9" i="4"/>
  <c r="K9" i="4"/>
  <c r="A9" i="4"/>
  <c r="Q8" i="4"/>
  <c r="O8" i="4"/>
  <c r="M8" i="4"/>
  <c r="K8" i="4"/>
  <c r="A8" i="4"/>
  <c r="R9" i="4" l="1"/>
  <c r="R8" i="4"/>
  <c r="F2" i="1"/>
  <c r="E2" i="1"/>
  <c r="D2" i="1"/>
  <c r="C2" i="1"/>
  <c r="B2" i="1"/>
  <c r="Q12" i="4"/>
  <c r="O12" i="4"/>
  <c r="M12" i="4"/>
  <c r="K12" i="4"/>
  <c r="A12" i="4"/>
  <c r="Q7" i="4"/>
  <c r="O7" i="4"/>
  <c r="M7" i="4"/>
  <c r="K7" i="4"/>
  <c r="A7" i="4"/>
  <c r="Q5" i="4"/>
  <c r="O5" i="4"/>
  <c r="M5" i="4"/>
  <c r="K5" i="4"/>
  <c r="A5" i="4"/>
  <c r="A2" i="1" s="1"/>
  <c r="R12" i="4" l="1"/>
  <c r="R5" i="4"/>
  <c r="R7" i="4"/>
  <c r="Q13" i="4" l="1"/>
  <c r="M13" i="4"/>
  <c r="O13" i="4" l="1"/>
  <c r="R13" i="4" l="1"/>
  <c r="F18" i="5" l="1"/>
  <c r="K13" i="4" l="1"/>
  <c r="F17" i="5" l="1"/>
  <c r="F16" i="5"/>
  <c r="F26" i="5" l="1"/>
  <c r="F19" i="5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F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<sst xmlns="http://schemas.openxmlformats.org/spreadsheetml/2006/main" count="138" uniqueCount="116">
  <si>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</si>
  <si>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</si>
  <si>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</si>
  <si>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</si>
  <si>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</si>
  <si>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</si>
  <si>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6" type="noConversion"/>
  </si>
  <si>
    <t xml:space="preserve">금액: </t>
    <phoneticPr fontId="16" type="noConversion"/>
  </si>
  <si>
    <t>원정</t>
    <phoneticPr fontId="18" type="noConversion"/>
  </si>
  <si>
    <t xml:space="preserve">  </t>
  </si>
  <si>
    <t>NO</t>
  </si>
  <si>
    <t>품명</t>
    <phoneticPr fontId="18" type="noConversion"/>
  </si>
  <si>
    <t>규격</t>
    <phoneticPr fontId="18" type="noConversion"/>
  </si>
  <si>
    <t>수량</t>
    <phoneticPr fontId="18" type="noConversion"/>
  </si>
  <si>
    <t>단위</t>
    <phoneticPr fontId="18" type="noConversion"/>
  </si>
  <si>
    <t>금액</t>
    <phoneticPr fontId="18" type="noConversion"/>
  </si>
  <si>
    <t>비고</t>
    <phoneticPr fontId="18" type="noConversion"/>
  </si>
  <si>
    <t>직접비</t>
    <phoneticPr fontId="16" type="noConversion"/>
  </si>
  <si>
    <t>재료비</t>
    <phoneticPr fontId="16" type="noConversion"/>
  </si>
  <si>
    <t>노무비</t>
    <phoneticPr fontId="18" type="noConversion"/>
  </si>
  <si>
    <t>기계/기타경비</t>
    <phoneticPr fontId="16" type="noConversion"/>
  </si>
  <si>
    <t>소계</t>
    <phoneticPr fontId="16" type="noConversion"/>
  </si>
  <si>
    <t>간접비</t>
    <phoneticPr fontId="16" type="noConversion"/>
  </si>
  <si>
    <t>  국민연금</t>
    <phoneticPr fontId="18" type="noConversion"/>
  </si>
  <si>
    <t> 노무비*4.5%</t>
    <phoneticPr fontId="18" type="noConversion"/>
  </si>
  <si>
    <t>식</t>
    <phoneticPr fontId="18" type="noConversion"/>
  </si>
  <si>
    <t>모든공사에 적용</t>
    <phoneticPr fontId="18" type="noConversion"/>
  </si>
  <si>
    <t>  건강보험료</t>
    <phoneticPr fontId="18" type="noConversion"/>
  </si>
  <si>
    <t>모든공사에 적용</t>
    <phoneticPr fontId="18" type="noConversion"/>
  </si>
  <si>
    <t>  장기요양보험료</t>
    <phoneticPr fontId="18" type="noConversion"/>
  </si>
  <si>
    <t>  고용보험료</t>
    <phoneticPr fontId="18" type="noConversion"/>
  </si>
  <si>
    <t>  산재보험료</t>
    <phoneticPr fontId="18" type="noConversion"/>
  </si>
  <si>
    <t xml:space="preserve">  산업안전보건관리비</t>
    <phoneticPr fontId="18" type="noConversion"/>
  </si>
  <si>
    <t>소계</t>
    <phoneticPr fontId="16" type="noConversion"/>
  </si>
  <si>
    <t>합계(단수조정)</t>
    <phoneticPr fontId="16" type="noConversion"/>
  </si>
  <si>
    <t>VAT별도</t>
    <phoneticPr fontId="18" type="noConversion"/>
  </si>
  <si>
    <t>일반관리비/이윤</t>
    <phoneticPr fontId="18" type="noConversion"/>
  </si>
  <si>
    <t> (노무비+간접공사비)*5%</t>
    <phoneticPr fontId="18" type="noConversion"/>
  </si>
  <si>
    <t>등록번호</t>
    <phoneticPr fontId="12" type="noConversion"/>
  </si>
  <si>
    <t>종 목</t>
    <phoneticPr fontId="12" type="noConversion"/>
  </si>
  <si>
    <t>TEL, FAX</t>
    <phoneticPr fontId="12" type="noConversion"/>
  </si>
  <si>
    <t>상 호</t>
    <phoneticPr fontId="12" type="noConversion"/>
  </si>
  <si>
    <t>대표 이사</t>
    <phoneticPr fontId="12" type="noConversion"/>
  </si>
  <si>
    <t>사업장</t>
    <phoneticPr fontId="12" type="noConversion"/>
  </si>
  <si>
    <t>업 태</t>
    <phoneticPr fontId="12" type="noConversion"/>
  </si>
  <si>
    <t>할증기준</t>
    <phoneticPr fontId="10" type="noConversion"/>
  </si>
  <si>
    <t> 노무비*1.01%</t>
    <phoneticPr fontId="18" type="noConversion"/>
  </si>
  <si>
    <t xml:space="preserve"> 수신인 : 주식회사 에스엔아이 코퍼레이션</t>
    <phoneticPr fontId="16" type="noConversion"/>
  </si>
  <si>
    <t> 노무비*3.545%</t>
    <phoneticPr fontId="18" type="noConversion"/>
  </si>
  <si>
    <t> 건강보험료*12.95%</t>
    <phoneticPr fontId="18" type="noConversion"/>
  </si>
  <si>
    <t> 노무비*3.56%</t>
    <phoneticPr fontId="18" type="noConversion"/>
  </si>
  <si>
    <t>314-86-35718</t>
    <phoneticPr fontId="10" type="noConversion"/>
  </si>
  <si>
    <t>㈜일성건축</t>
    <phoneticPr fontId="10" type="noConversion"/>
  </si>
  <si>
    <t>상 석 희</t>
    <phoneticPr fontId="10" type="noConversion"/>
  </si>
  <si>
    <t>대전 서구 도마6길 107 (도마동)</t>
    <phoneticPr fontId="10" type="noConversion"/>
  </si>
  <si>
    <t>건설업</t>
    <phoneticPr fontId="10" type="noConversion"/>
  </si>
  <si>
    <t>실내건축,인테리어공사</t>
    <phoneticPr fontId="10" type="noConversion"/>
  </si>
  <si>
    <t>042)527-0995, 042)527-0996</t>
    <phoneticPr fontId="10" type="noConversion"/>
  </si>
  <si>
    <t>L003</t>
  </si>
  <si>
    <t>▼낙찰율</t>
    <phoneticPr fontId="12" type="noConversion"/>
  </si>
  <si>
    <t>▶ 표준 Code(표준단가/품셈/물정/노임) 순서별 입력(Upload 자동반영)</t>
    <phoneticPr fontId="10" type="noConversion"/>
  </si>
  <si>
    <t>주요내역</t>
    <phoneticPr fontId="10" type="noConversion"/>
  </si>
  <si>
    <t>단위</t>
  </si>
  <si>
    <t>재료비</t>
    <phoneticPr fontId="12" type="noConversion"/>
  </si>
  <si>
    <t>노무비</t>
    <phoneticPr fontId="12" type="noConversion"/>
  </si>
  <si>
    <t>기계경비</t>
  </si>
  <si>
    <t>기타경비(부자재비)</t>
  </si>
  <si>
    <t>합계</t>
    <phoneticPr fontId="12" type="noConversion"/>
  </si>
  <si>
    <t>노무비 할증</t>
    <phoneticPr fontId="10" type="noConversion"/>
  </si>
  <si>
    <t>합계</t>
    <phoneticPr fontId="10" type="noConversion"/>
  </si>
  <si>
    <t>표준단가 D</t>
    <phoneticPr fontId="10" type="noConversion"/>
  </si>
  <si>
    <t>표준품셈 E</t>
    <phoneticPr fontId="10" type="noConversion"/>
  </si>
  <si>
    <t>물가정보 M</t>
    <phoneticPr fontId="10" type="noConversion"/>
  </si>
  <si>
    <t>노임단가 L</t>
    <phoneticPr fontId="10" type="noConversion"/>
  </si>
  <si>
    <t>품목</t>
    <phoneticPr fontId="10" type="noConversion"/>
  </si>
  <si>
    <t>규격</t>
    <phoneticPr fontId="10" type="noConversion"/>
  </si>
  <si>
    <t>품셈/표단</t>
    <phoneticPr fontId="10" type="noConversion"/>
  </si>
  <si>
    <t>금액</t>
  </si>
  <si>
    <t>단가</t>
    <phoneticPr fontId="12" type="noConversion"/>
  </si>
  <si>
    <t>단가</t>
  </si>
  <si>
    <t> (재료비+노무비)*3.11%</t>
    <phoneticPr fontId="18" type="noConversion"/>
  </si>
  <si>
    <t>900 X 1800X40, 3호(비중0.020)</t>
  </si>
  <si>
    <t>매</t>
  </si>
  <si>
    <t>이보드, 1000*1000*33T, 대체</t>
    <phoneticPr fontId="10" type="noConversion"/>
  </si>
  <si>
    <t>석고판 설치(나사 고정)</t>
  </si>
  <si>
    <t>(일당)</t>
  </si>
  <si>
    <t>특별인부, 시중노임단가</t>
  </si>
  <si>
    <t>인</t>
  </si>
  <si>
    <t xml:space="preserve"> 공사명 : 사택 8-301 단열작업</t>
    <phoneticPr fontId="16" type="noConversion"/>
  </si>
  <si>
    <t xml:space="preserve"> 견적일 : 2026년  01월  26일</t>
    <phoneticPr fontId="16" type="noConversion"/>
  </si>
  <si>
    <t xml:space="preserve">2.1일차 가구이동+벽체철거 벽체 건조주후  </t>
    <phoneticPr fontId="10" type="noConversion"/>
  </si>
  <si>
    <t>3.2일차 단열작업 및 도배</t>
    <phoneticPr fontId="10" type="noConversion"/>
  </si>
  <si>
    <t>M020750510130104</t>
    <phoneticPr fontId="10" type="noConversion"/>
  </si>
  <si>
    <r>
      <t>1.외벽 3m*h:2.4⇒6t열반사 단열재+(이보드33t*2ply)   2.창측면1m*h:2.4</t>
    </r>
    <r>
      <rPr>
        <b/>
        <sz val="12"/>
        <color rgb="FF000000"/>
        <rFont val="맑은 고딕"/>
        <family val="3"/>
        <charset val="129"/>
      </rPr>
      <t>⇒</t>
    </r>
    <r>
      <rPr>
        <b/>
        <sz val="12"/>
        <color rgb="FF000000"/>
        <rFont val="LG스마트체 Regular"/>
        <family val="3"/>
        <charset val="129"/>
      </rPr>
      <t xml:space="preserve">6t+이보드13t    </t>
    </r>
    <phoneticPr fontId="10" type="noConversion"/>
  </si>
  <si>
    <t>M020750510120102</t>
    <phoneticPr fontId="10" type="noConversion"/>
  </si>
  <si>
    <t>900 X 1800X50, 3호(비중0.020)</t>
  </si>
  <si>
    <t>E00000803066520103</t>
  </si>
  <si>
    <t>M020806810430101</t>
  </si>
  <si>
    <t>산업폐기물처리비=내부창호폐기물 적용(1세대)</t>
    <phoneticPr fontId="10" type="noConversion"/>
  </si>
  <si>
    <t>STEEL CONCORE PANEL 기준, (소운반비별도), 적용</t>
    <phoneticPr fontId="10" type="noConversion"/>
  </si>
  <si>
    <t>TON</t>
  </si>
  <si>
    <t>M020750510130102</t>
    <phoneticPr fontId="10" type="noConversion"/>
  </si>
  <si>
    <r>
      <t xml:space="preserve">에너폴(이보드, 1000*1000*13T, 대체) </t>
    </r>
    <r>
      <rPr>
        <sz val="10"/>
        <color rgb="FFFF0000"/>
        <rFont val="LG스마트체 Regular"/>
        <family val="3"/>
        <charset val="129"/>
      </rPr>
      <t>창측면1m*h:2.4=2.4⇒6t+이보드13t</t>
    </r>
    <phoneticPr fontId="10" type="noConversion"/>
  </si>
  <si>
    <t>에너폴 3m*2.4=7.2m, 7.2*2ply=14.4</t>
    <phoneticPr fontId="10" type="noConversion"/>
  </si>
  <si>
    <t>바탕용(2겹) (시공량 : 30㎡),시공총량=26.4/일당30=0.88</t>
    <phoneticPr fontId="10" type="noConversion"/>
  </si>
  <si>
    <t xml:space="preserve">4.작은방 대형 침대 이동 및 재설치-보양 및 폐기물처리 </t>
    <phoneticPr fontId="10" type="noConversion"/>
  </si>
  <si>
    <r>
      <t>에너폴(태화론 TW-06, 6㎜×1M×50M단면-점착 대체)</t>
    </r>
    <r>
      <rPr>
        <sz val="10"/>
        <color rgb="FFFF0000"/>
        <rFont val="LG스마트체 Regular"/>
        <family val="3"/>
        <charset val="129"/>
      </rPr>
      <t xml:space="preserve"> 열반사 단열재 6t,</t>
    </r>
    <r>
      <rPr>
        <sz val="10"/>
        <color rgb="FF000000"/>
        <rFont val="LG스마트체 Regular"/>
        <family val="3"/>
        <charset val="129"/>
      </rPr>
      <t xml:space="preserve"> </t>
    </r>
    <r>
      <rPr>
        <sz val="10"/>
        <color rgb="FFFF0000"/>
        <rFont val="LG스마트체 Regular"/>
        <family val="3"/>
        <charset val="129"/>
      </rPr>
      <t>(외벽3m+창측면1m)*h:2.4=9.6</t>
    </r>
    <phoneticPr fontId="10" type="noConversion"/>
  </si>
  <si>
    <t>M020853710050101</t>
  </si>
  <si>
    <t>아이리스</t>
  </si>
  <si>
    <t>R/L</t>
  </si>
  <si>
    <t>E00000803071260301</t>
  </si>
  <si>
    <t>도배 교체(벽)</t>
    <phoneticPr fontId="10" type="noConversion"/>
  </si>
  <si>
    <r>
      <t>합지벽지 1R/L=93㎝(고정)×17.75m=16.51</t>
    </r>
    <r>
      <rPr>
        <sz val="10"/>
        <color rgb="FF000000"/>
        <rFont val="Segoe UI Symbol"/>
        <family val="3"/>
      </rPr>
      <t>㎡</t>
    </r>
    <r>
      <rPr>
        <sz val="10"/>
        <color rgb="FF000000"/>
        <rFont val="LG스마트체 Regular"/>
        <family val="3"/>
        <charset val="129"/>
      </rPr>
      <t>, 소요량10/16.51=0.6056R/L</t>
    </r>
    <phoneticPr fontId="10" type="noConversion"/>
  </si>
  <si>
    <t>일당 시공량-벽 46㎡, 적산정보 500p 참조,시공총량10/일당46=0.2173</t>
    <phoneticPr fontId="10" type="noConversion"/>
  </si>
  <si>
    <t>작업내용(벽 철거 후 단열작업위 도배 마감)</t>
    <phoneticPr fontId="10" type="noConversion"/>
  </si>
  <si>
    <t xml:space="preserve">철거 및 작은방 대형 침대 이동 및 재설치-보양 및 폐기물처리 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</si>
</sst>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76" formatCode="_(* #,##0_);_(* \(#,##0\);_(* &quot;-&quot;_);_(@_)"/>
    <numFmt numFmtId="177" formatCode="_(&quot;₩&quot;* #,##0_);_(&quot;₩&quot;* \(#,##0\);_(&quot;₩&quot;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#,###,###"/>
    <numFmt numFmtId="184" formatCode="#,##0;\-#,##0;"/>
    <numFmt numFmtId="185" formatCode="0.000"/>
    <numFmt numFmtId="186" formatCode="0.000_);[Red]\(0.000\)"/>
    <numFmt numFmtId="187" formatCode="#,##0.000_ "/>
    <numFmt numFmtId="189" formatCode="0.00_ "/>
  </numFmts>
  <fonts count="34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sz val="11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10"/>
      <color rgb="FFFF0000"/>
      <name val="LG스마트체 Regular"/>
      <family val="3"/>
      <charset val="129"/>
    </font>
    <font>
      <sz val="10"/>
      <color rgb="FF000000"/>
      <name val="Segoe UI Symbol"/>
      <family val="3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33">
    <xf numFmtId="0" fontId="0" fillId="0" borderId="0">
      <alignment vertical="center"/>
    </xf>
    <xf numFmtId="176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3" fillId="0" borderId="0"/>
    <xf numFmtId="176" fontId="9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9" fillId="0" borderId="0">
      <alignment vertical="center"/>
    </xf>
    <xf numFmtId="9" fontId="14" fillId="0" borderId="0" applyFont="0" applyFill="0" applyBorder="0" applyAlignment="0" applyProtection="0"/>
    <xf numFmtId="0" fontId="13" fillId="0" borderId="0"/>
    <xf numFmtId="0" fontId="22" fillId="0" borderId="0"/>
    <xf numFmtId="177" fontId="22" fillId="0" borderId="0" applyFont="0" applyFill="0" applyBorder="0" applyAlignment="0" applyProtection="0"/>
    <xf numFmtId="176" fontId="22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7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176" fontId="30" fillId="0" borderId="0">
      <alignment vertical="center"/>
    </xf>
  </cellStyleXfs>
  <cellXfs count="163">
    <xf numFmtId="0" fontId="0" fillId="0" borderId="0" xfId="0">
      <alignment vertical="center"/>
    </xf>
    <xf numFmtId="0" fontId="17" fillId="0" borderId="7" xfId="6" applyFont="1" applyBorder="1" applyAlignment="1">
      <alignment horizontal="right" vertical="center"/>
    </xf>
    <xf numFmtId="0" fontId="23" fillId="0" borderId="0" xfId="6" applyFont="1" applyAlignment="1">
      <alignment vertical="center"/>
    </xf>
    <xf numFmtId="0" fontId="24" fillId="0" borderId="0" xfId="3" applyFont="1"/>
    <xf numFmtId="0" fontId="25" fillId="0" borderId="5" xfId="6" applyFont="1" applyBorder="1" applyAlignment="1">
      <alignment horizontal="center" vertical="center"/>
    </xf>
    <xf numFmtId="0" fontId="17" fillId="0" borderId="6" xfId="6" applyFont="1" applyBorder="1" applyAlignment="1">
      <alignment horizontal="right" vertical="center"/>
    </xf>
    <xf numFmtId="0" fontId="17" fillId="5" borderId="25" xfId="6" applyFont="1" applyFill="1" applyBorder="1" applyAlignment="1">
      <alignment horizontal="center" vertical="center"/>
    </xf>
    <xf numFmtId="0" fontId="17" fillId="5" borderId="26" xfId="6" applyFont="1" applyFill="1" applyBorder="1" applyAlignment="1">
      <alignment vertical="center" shrinkToFit="1"/>
    </xf>
    <xf numFmtId="0" fontId="17" fillId="5" borderId="2" xfId="6" applyFont="1" applyFill="1" applyBorder="1" applyAlignment="1">
      <alignment horizontal="center" vertical="center"/>
    </xf>
    <xf numFmtId="0" fontId="17" fillId="5" borderId="27" xfId="6" applyFont="1" applyFill="1" applyBorder="1" applyAlignment="1">
      <alignment vertical="center" shrinkToFit="1"/>
    </xf>
    <xf numFmtId="0" fontId="26" fillId="0" borderId="0" xfId="6" applyFont="1" applyAlignment="1">
      <alignment vertical="center" shrinkToFit="1"/>
    </xf>
    <xf numFmtId="0" fontId="17" fillId="5" borderId="2" xfId="6" applyFont="1" applyFill="1" applyBorder="1" applyAlignment="1">
      <alignment horizontal="center" vertical="center" shrinkToFit="1"/>
    </xf>
    <xf numFmtId="0" fontId="17" fillId="0" borderId="2" xfId="6" applyFont="1" applyBorder="1" applyAlignment="1">
      <alignment horizontal="center" vertical="center"/>
    </xf>
    <xf numFmtId="0" fontId="17" fillId="0" borderId="27" xfId="6" applyFont="1" applyBorder="1" applyAlignment="1">
      <alignment vertical="center"/>
    </xf>
    <xf numFmtId="0" fontId="25" fillId="0" borderId="0" xfId="6" applyFont="1" applyAlignment="1">
      <alignment horizontal="center" vertical="center" shrinkToFit="1"/>
    </xf>
    <xf numFmtId="0" fontId="17" fillId="0" borderId="28" xfId="6" applyFont="1" applyBorder="1" applyAlignment="1">
      <alignment horizontal="center" vertical="center" shrinkToFit="1"/>
    </xf>
    <xf numFmtId="0" fontId="17" fillId="0" borderId="29" xfId="6" applyFont="1" applyBorder="1" applyAlignment="1">
      <alignment vertical="center" shrinkToFit="1"/>
    </xf>
    <xf numFmtId="0" fontId="26" fillId="0" borderId="7" xfId="6" applyFont="1" applyBorder="1" applyAlignment="1">
      <alignment vertical="center"/>
    </xf>
    <xf numFmtId="179" fontId="25" fillId="0" borderId="7" xfId="6" applyNumberFormat="1" applyFont="1" applyBorder="1" applyAlignment="1">
      <alignment vertical="center"/>
    </xf>
    <xf numFmtId="0" fontId="25" fillId="0" borderId="0" xfId="6" applyFont="1" applyAlignment="1">
      <alignment vertical="center" shrinkToFit="1"/>
    </xf>
    <xf numFmtId="0" fontId="17" fillId="0" borderId="8" xfId="6" applyFont="1" applyBorder="1" applyAlignment="1">
      <alignment horizontal="center" vertical="center"/>
    </xf>
    <xf numFmtId="0" fontId="17" fillId="0" borderId="9" xfId="6" applyFont="1" applyBorder="1" applyAlignment="1">
      <alignment horizontal="center" vertical="center"/>
    </xf>
    <xf numFmtId="0" fontId="17" fillId="0" borderId="10" xfId="6" applyFont="1" applyBorder="1" applyAlignment="1">
      <alignment horizontal="center" vertical="center"/>
    </xf>
    <xf numFmtId="0" fontId="27" fillId="0" borderId="11" xfId="6" applyFont="1" applyBorder="1" applyAlignment="1">
      <alignment horizontal="center" vertical="center"/>
    </xf>
    <xf numFmtId="0" fontId="17" fillId="0" borderId="12" xfId="6" applyFont="1" applyBorder="1" applyAlignment="1">
      <alignment vertical="center"/>
    </xf>
    <xf numFmtId="0" fontId="27" fillId="0" borderId="12" xfId="6" applyFont="1" applyBorder="1" applyAlignment="1">
      <alignment vertical="center"/>
    </xf>
    <xf numFmtId="1" fontId="27" fillId="0" borderId="12" xfId="6" applyNumberFormat="1" applyFont="1" applyBorder="1" applyAlignment="1">
      <alignment horizontal="center" vertical="center"/>
    </xf>
    <xf numFmtId="180" fontId="27" fillId="0" borderId="12" xfId="7" applyFont="1" applyBorder="1" applyAlignment="1">
      <alignment horizontal="right" vertical="center"/>
    </xf>
    <xf numFmtId="0" fontId="27" fillId="0" borderId="13" xfId="6" applyFont="1" applyBorder="1" applyAlignment="1">
      <alignment vertical="center"/>
    </xf>
    <xf numFmtId="0" fontId="27" fillId="0" borderId="14" xfId="6" applyFont="1" applyBorder="1" applyAlignment="1">
      <alignment horizontal="center" vertical="center"/>
    </xf>
    <xf numFmtId="0" fontId="27" fillId="0" borderId="15" xfId="6" applyFont="1" applyBorder="1" applyAlignment="1">
      <alignment horizontal="center" vertical="center"/>
    </xf>
    <xf numFmtId="0" fontId="27" fillId="0" borderId="15" xfId="3" applyFont="1" applyBorder="1" applyAlignment="1">
      <alignment horizontal="center" vertical="center"/>
    </xf>
    <xf numFmtId="1" fontId="27" fillId="0" borderId="15" xfId="6" applyNumberFormat="1" applyFont="1" applyBorder="1" applyAlignment="1">
      <alignment horizontal="center" vertical="center"/>
    </xf>
    <xf numFmtId="180" fontId="27" fillId="0" borderId="15" xfId="7" applyFont="1" applyBorder="1" applyAlignment="1">
      <alignment horizontal="right" vertical="center"/>
    </xf>
    <xf numFmtId="0" fontId="27" fillId="0" borderId="16" xfId="6" quotePrefix="1" applyFont="1" applyBorder="1" applyAlignment="1">
      <alignment vertical="center"/>
    </xf>
    <xf numFmtId="0" fontId="27" fillId="0" borderId="16" xfId="6" applyFont="1" applyBorder="1" applyAlignment="1">
      <alignment vertical="center"/>
    </xf>
    <xf numFmtId="0" fontId="17" fillId="8" borderId="15" xfId="6" applyFont="1" applyFill="1" applyBorder="1" applyAlignment="1">
      <alignment vertical="center"/>
    </xf>
    <xf numFmtId="1" fontId="17" fillId="8" borderId="15" xfId="6" applyNumberFormat="1" applyFont="1" applyFill="1" applyBorder="1" applyAlignment="1">
      <alignment horizontal="center" vertical="center"/>
    </xf>
    <xf numFmtId="180" fontId="17" fillId="8" borderId="15" xfId="7" applyFont="1" applyFill="1" applyBorder="1" applyAlignment="1">
      <alignment horizontal="right" vertical="center"/>
    </xf>
    <xf numFmtId="0" fontId="17" fillId="0" borderId="15" xfId="6" applyFont="1" applyBorder="1" applyAlignment="1">
      <alignment vertical="center"/>
    </xf>
    <xf numFmtId="0" fontId="27" fillId="0" borderId="15" xfId="6" applyFont="1" applyBorder="1" applyAlignment="1">
      <alignment vertical="center"/>
    </xf>
    <xf numFmtId="180" fontId="17" fillId="0" borderId="15" xfId="7" applyFont="1" applyFill="1" applyBorder="1" applyAlignment="1">
      <alignment horizontal="right" vertical="center"/>
    </xf>
    <xf numFmtId="0" fontId="27" fillId="0" borderId="15" xfId="8" applyFont="1" applyBorder="1" applyAlignment="1">
      <alignment horizontal="center" vertical="center"/>
    </xf>
    <xf numFmtId="178" fontId="27" fillId="0" borderId="15" xfId="5" applyFont="1" applyFill="1" applyBorder="1" applyAlignment="1">
      <alignment horizontal="right" vertical="center"/>
    </xf>
    <xf numFmtId="0" fontId="27" fillId="5" borderId="15" xfId="8" applyFont="1" applyFill="1" applyBorder="1" applyAlignment="1">
      <alignment horizontal="center" vertical="center"/>
    </xf>
    <xf numFmtId="0" fontId="27" fillId="5" borderId="15" xfId="6" applyFont="1" applyFill="1" applyBorder="1" applyAlignment="1">
      <alignment vertical="center"/>
    </xf>
    <xf numFmtId="0" fontId="27" fillId="5" borderId="15" xfId="6" applyFont="1" applyFill="1" applyBorder="1" applyAlignment="1">
      <alignment horizontal="center" vertical="center"/>
    </xf>
    <xf numFmtId="178" fontId="27" fillId="5" borderId="15" xfId="5" applyFont="1" applyFill="1" applyBorder="1" applyAlignment="1">
      <alignment horizontal="right" vertical="center"/>
    </xf>
    <xf numFmtId="0" fontId="27" fillId="5" borderId="16" xfId="6" applyFont="1" applyFill="1" applyBorder="1" applyAlignment="1">
      <alignment vertical="center"/>
    </xf>
    <xf numFmtId="0" fontId="27" fillId="0" borderId="15" xfId="3" applyFont="1" applyBorder="1" applyAlignment="1">
      <alignment horizontal="left" vertical="center"/>
    </xf>
    <xf numFmtId="9" fontId="17" fillId="8" borderId="15" xfId="3" applyNumberFormat="1" applyFont="1" applyFill="1" applyBorder="1" applyAlignment="1">
      <alignment horizontal="right" vertical="center"/>
    </xf>
    <xf numFmtId="1" fontId="17" fillId="8" borderId="15" xfId="9" applyNumberFormat="1" applyFont="1" applyFill="1" applyBorder="1" applyAlignment="1">
      <alignment horizontal="center" vertical="center"/>
    </xf>
    <xf numFmtId="176" fontId="17" fillId="8" borderId="15" xfId="7" applyNumberFormat="1" applyFont="1" applyFill="1" applyBorder="1" applyAlignment="1">
      <alignment horizontal="right" vertical="center"/>
    </xf>
    <xf numFmtId="9" fontId="27" fillId="0" borderId="15" xfId="3" applyNumberFormat="1" applyFont="1" applyBorder="1" applyAlignment="1">
      <alignment horizontal="right" vertical="center"/>
    </xf>
    <xf numFmtId="1" fontId="27" fillId="0" borderId="15" xfId="9" applyNumberFormat="1" applyFont="1" applyFill="1" applyBorder="1" applyAlignment="1">
      <alignment horizontal="center" vertical="center"/>
    </xf>
    <xf numFmtId="176" fontId="17" fillId="0" borderId="15" xfId="7" applyNumberFormat="1" applyFont="1" applyFill="1" applyBorder="1" applyAlignment="1">
      <alignment horizontal="right" vertical="center"/>
    </xf>
    <xf numFmtId="0" fontId="27" fillId="0" borderId="15" xfId="3" applyFont="1" applyBorder="1" applyAlignment="1">
      <alignment vertical="center"/>
    </xf>
    <xf numFmtId="180" fontId="27" fillId="5" borderId="15" xfId="7" applyFont="1" applyFill="1" applyBorder="1" applyAlignment="1">
      <alignment horizontal="right" vertical="center"/>
    </xf>
    <xf numFmtId="180" fontId="17" fillId="8" borderId="0" xfId="3" applyNumberFormat="1" applyFont="1" applyFill="1" applyAlignment="1">
      <alignment vertical="center"/>
    </xf>
    <xf numFmtId="0" fontId="17" fillId="0" borderId="17" xfId="6" applyFont="1" applyBorder="1" applyAlignment="1">
      <alignment horizontal="center" vertical="center" textRotation="255"/>
    </xf>
    <xf numFmtId="0" fontId="17" fillId="0" borderId="18" xfId="6" applyFont="1" applyBorder="1" applyAlignment="1">
      <alignment vertical="top"/>
    </xf>
    <xf numFmtId="0" fontId="27" fillId="0" borderId="19" xfId="6" applyFont="1" applyBorder="1" applyAlignment="1">
      <alignment vertical="center"/>
    </xf>
    <xf numFmtId="0" fontId="27" fillId="0" borderId="19" xfId="6" applyFont="1" applyBorder="1" applyAlignment="1">
      <alignment horizontal="right" vertical="center"/>
    </xf>
    <xf numFmtId="0" fontId="27" fillId="0" borderId="20" xfId="6" applyFont="1" applyBorder="1" applyAlignment="1">
      <alignment vertical="center"/>
    </xf>
    <xf numFmtId="0" fontId="17" fillId="0" borderId="0" xfId="10" applyFont="1"/>
    <xf numFmtId="181" fontId="25" fillId="0" borderId="0" xfId="1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9" fontId="28" fillId="0" borderId="0" xfId="0" applyNumberFormat="1" applyFont="1" applyAlignment="1">
      <alignment horizontal="center" vertical="center"/>
    </xf>
    <xf numFmtId="182" fontId="28" fillId="3" borderId="0" xfId="2" applyNumberFormat="1" applyFont="1" applyFill="1" applyAlignment="1">
      <alignment horizontal="center" vertical="center"/>
    </xf>
    <xf numFmtId="0" fontId="28" fillId="4" borderId="22" xfId="0" applyFont="1" applyFill="1" applyBorder="1" applyAlignment="1">
      <alignment horizontal="center" vertical="center"/>
    </xf>
    <xf numFmtId="0" fontId="28" fillId="7" borderId="3" xfId="0" applyFont="1" applyFill="1" applyBorder="1" applyAlignment="1">
      <alignment horizontal="center" vertical="center"/>
    </xf>
    <xf numFmtId="176" fontId="28" fillId="4" borderId="3" xfId="4" applyFont="1" applyFill="1" applyBorder="1" applyAlignment="1">
      <alignment horizontal="center" vertical="center"/>
    </xf>
    <xf numFmtId="178" fontId="28" fillId="4" borderId="3" xfId="5" applyFont="1" applyFill="1" applyBorder="1" applyAlignment="1">
      <alignment horizontal="center" vertical="center"/>
    </xf>
    <xf numFmtId="0" fontId="24" fillId="6" borderId="22" xfId="0" applyFont="1" applyFill="1" applyBorder="1" applyAlignment="1">
      <alignment horizontal="center" vertical="center"/>
    </xf>
    <xf numFmtId="176" fontId="24" fillId="6" borderId="3" xfId="1" applyFont="1" applyFill="1" applyBorder="1" applyAlignment="1">
      <alignment horizontal="center" vertical="center" wrapText="1"/>
    </xf>
    <xf numFmtId="176" fontId="24" fillId="0" borderId="3" xfId="1" applyFont="1" applyFill="1" applyBorder="1" applyAlignment="1">
      <alignment horizontal="center" vertical="center" wrapText="1"/>
    </xf>
    <xf numFmtId="176" fontId="24" fillId="5" borderId="3" xfId="1" applyFont="1" applyFill="1" applyBorder="1" applyAlignment="1">
      <alignment horizontal="center" vertical="center" wrapText="1"/>
    </xf>
    <xf numFmtId="9" fontId="29" fillId="0" borderId="3" xfId="0" applyNumberFormat="1" applyFont="1" applyBorder="1" applyAlignment="1">
      <alignment horizontal="center" vertical="center"/>
    </xf>
    <xf numFmtId="0" fontId="29" fillId="0" borderId="23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49" fontId="24" fillId="2" borderId="1" xfId="0" applyNumberFormat="1" applyFont="1" applyFill="1" applyBorder="1" applyAlignment="1">
      <alignment horizontal="center" vertical="center" wrapText="1"/>
    </xf>
    <xf numFmtId="181" fontId="24" fillId="7" borderId="1" xfId="1" applyNumberFormat="1" applyFont="1" applyFill="1" applyBorder="1" applyAlignment="1">
      <alignment horizontal="center" vertical="center"/>
    </xf>
    <xf numFmtId="181" fontId="24" fillId="0" borderId="1" xfId="1" applyNumberFormat="1" applyFont="1" applyBorder="1" applyAlignment="1">
      <alignment horizontal="center" vertical="center"/>
    </xf>
    <xf numFmtId="176" fontId="29" fillId="0" borderId="3" xfId="0" applyNumberFormat="1" applyFont="1" applyBorder="1" applyAlignment="1">
      <alignment horizontal="center" vertical="center"/>
    </xf>
    <xf numFmtId="49" fontId="24" fillId="11" borderId="3" xfId="31" applyNumberFormat="1" applyFont="1" applyFill="1" applyBorder="1" applyAlignment="1">
      <alignment horizontal="center" vertical="center" wrapText="1"/>
    </xf>
    <xf numFmtId="0" fontId="28" fillId="11" borderId="3" xfId="31" applyFont="1" applyFill="1" applyBorder="1" applyAlignment="1">
      <alignment horizontal="center" vertical="center"/>
    </xf>
    <xf numFmtId="0" fontId="24" fillId="12" borderId="3" xfId="31" applyFont="1" applyFill="1" applyBorder="1" applyAlignment="1">
      <alignment horizontal="center" vertical="center"/>
    </xf>
    <xf numFmtId="0" fontId="24" fillId="11" borderId="3" xfId="31" applyFont="1" applyFill="1" applyBorder="1" applyAlignment="1">
      <alignment horizontal="center" vertical="center"/>
    </xf>
    <xf numFmtId="183" fontId="24" fillId="12" borderId="3" xfId="31" applyNumberFormat="1" applyFont="1" applyFill="1" applyBorder="1" applyAlignment="1">
      <alignment vertical="center" wrapText="1"/>
    </xf>
    <xf numFmtId="0" fontId="25" fillId="0" borderId="0" xfId="6" applyFont="1" applyAlignment="1">
      <alignment vertical="center"/>
    </xf>
    <xf numFmtId="0" fontId="17" fillId="0" borderId="4" xfId="6" applyFont="1" applyBorder="1" applyAlignment="1">
      <alignment vertical="center"/>
    </xf>
    <xf numFmtId="49" fontId="24" fillId="0" borderId="3" xfId="0" applyNumberFormat="1" applyFont="1" applyBorder="1" applyAlignment="1">
      <alignment horizontal="center" vertical="center" wrapText="1"/>
    </xf>
    <xf numFmtId="49" fontId="24" fillId="0" borderId="3" xfId="31" applyNumberFormat="1" applyFont="1" applyBorder="1" applyAlignment="1">
      <alignment horizontal="center" vertical="center" wrapText="1"/>
    </xf>
    <xf numFmtId="0" fontId="25" fillId="0" borderId="0" xfId="0" applyFont="1">
      <alignment vertical="center"/>
    </xf>
    <xf numFmtId="184" fontId="24" fillId="6" borderId="3" xfId="1" applyNumberFormat="1" applyFont="1" applyFill="1" applyBorder="1" applyAlignment="1">
      <alignment horizontal="right" vertical="center" wrapText="1"/>
    </xf>
    <xf numFmtId="184" fontId="24" fillId="12" borderId="3" xfId="32" applyNumberFormat="1" applyFont="1" applyFill="1" applyBorder="1" applyAlignment="1">
      <alignment horizontal="right" vertical="center"/>
    </xf>
    <xf numFmtId="184" fontId="24" fillId="0" borderId="3" xfId="1" applyNumberFormat="1" applyFont="1" applyFill="1" applyBorder="1" applyAlignment="1">
      <alignment horizontal="right" vertical="center" wrapText="1"/>
    </xf>
    <xf numFmtId="184" fontId="24" fillId="12" borderId="3" xfId="31" applyNumberFormat="1" applyFont="1" applyFill="1" applyBorder="1" applyAlignment="1">
      <alignment horizontal="right" vertical="center" wrapText="1"/>
    </xf>
    <xf numFmtId="49" fontId="24" fillId="12" borderId="3" xfId="31" applyNumberFormat="1" applyFont="1" applyFill="1" applyBorder="1" applyAlignment="1">
      <alignment horizontal="center" vertical="center"/>
    </xf>
    <xf numFmtId="49" fontId="24" fillId="12" borderId="3" xfId="32" applyNumberFormat="1" applyFont="1" applyFill="1" applyBorder="1" applyAlignment="1">
      <alignment horizontal="center" vertical="center"/>
    </xf>
    <xf numFmtId="185" fontId="24" fillId="5" borderId="3" xfId="1" applyNumberFormat="1" applyFont="1" applyFill="1" applyBorder="1" applyAlignment="1">
      <alignment horizontal="center" vertical="center"/>
    </xf>
    <xf numFmtId="185" fontId="24" fillId="0" borderId="3" xfId="20" applyNumberFormat="1" applyFont="1" applyBorder="1" applyAlignment="1">
      <alignment horizontal="center" vertical="center"/>
    </xf>
    <xf numFmtId="0" fontId="24" fillId="0" borderId="0" xfId="0" applyFont="1" applyAlignment="1">
      <alignment vertical="center" wrapText="1"/>
    </xf>
    <xf numFmtId="0" fontId="28" fillId="4" borderId="3" xfId="3" applyFont="1" applyFill="1" applyBorder="1" applyAlignment="1">
      <alignment horizontal="center" vertical="center" wrapText="1"/>
    </xf>
    <xf numFmtId="0" fontId="27" fillId="0" borderId="0" xfId="0" applyFont="1" applyAlignment="1">
      <alignment vertical="center" wrapText="1"/>
    </xf>
    <xf numFmtId="0" fontId="28" fillId="0" borderId="0" xfId="0" applyFont="1" applyAlignment="1">
      <alignment horizontal="center" vertical="center"/>
    </xf>
    <xf numFmtId="0" fontId="24" fillId="0" borderId="0" xfId="0" applyFont="1">
      <alignment vertical="center"/>
    </xf>
    <xf numFmtId="0" fontId="28" fillId="9" borderId="24" xfId="0" applyFont="1" applyFill="1" applyBorder="1">
      <alignment vertical="center"/>
    </xf>
    <xf numFmtId="0" fontId="28" fillId="9" borderId="21" xfId="0" applyFont="1" applyFill="1" applyBorder="1">
      <alignment vertical="center"/>
    </xf>
    <xf numFmtId="0" fontId="29" fillId="0" borderId="0" xfId="0" applyFont="1">
      <alignment vertical="center"/>
    </xf>
    <xf numFmtId="0" fontId="27" fillId="10" borderId="0" xfId="0" applyFont="1" applyFill="1">
      <alignment vertical="center"/>
    </xf>
    <xf numFmtId="0" fontId="27" fillId="0" borderId="0" xfId="0" applyFont="1">
      <alignment vertical="center"/>
    </xf>
    <xf numFmtId="176" fontId="17" fillId="10" borderId="0" xfId="0" applyNumberFormat="1" applyFont="1" applyFill="1">
      <alignment vertical="center"/>
    </xf>
    <xf numFmtId="0" fontId="17" fillId="0" borderId="0" xfId="0" applyFont="1">
      <alignment vertical="center"/>
    </xf>
    <xf numFmtId="176" fontId="17" fillId="0" borderId="0" xfId="0" applyNumberFormat="1" applyFont="1">
      <alignment vertical="center"/>
    </xf>
    <xf numFmtId="0" fontId="28" fillId="5" borderId="0" xfId="0" applyFont="1" applyFill="1">
      <alignment vertical="center"/>
    </xf>
    <xf numFmtId="176" fontId="24" fillId="0" borderId="0" xfId="0" applyNumberFormat="1" applyFont="1">
      <alignment vertical="center"/>
    </xf>
    <xf numFmtId="49" fontId="24" fillId="7" borderId="3" xfId="0" applyNumberFormat="1" applyFont="1" applyFill="1" applyBorder="1" applyAlignment="1">
      <alignment horizontal="center" vertical="center" wrapText="1"/>
    </xf>
    <xf numFmtId="0" fontId="24" fillId="7" borderId="3" xfId="0" applyFont="1" applyFill="1" applyBorder="1" applyAlignment="1">
      <alignment horizontal="center" vertical="center"/>
    </xf>
    <xf numFmtId="49" fontId="24" fillId="5" borderId="3" xfId="0" applyNumberFormat="1" applyFont="1" applyFill="1" applyBorder="1" applyAlignment="1">
      <alignment horizontal="center" vertical="center"/>
    </xf>
    <xf numFmtId="184" fontId="24" fillId="5" borderId="3" xfId="1" applyNumberFormat="1" applyFont="1" applyFill="1" applyBorder="1" applyAlignment="1">
      <alignment horizontal="right" vertical="center"/>
    </xf>
    <xf numFmtId="184" fontId="24" fillId="5" borderId="3" xfId="0" applyNumberFormat="1" applyFont="1" applyFill="1" applyBorder="1" applyAlignment="1">
      <alignment horizontal="right" vertical="center" wrapText="1"/>
    </xf>
    <xf numFmtId="186" fontId="24" fillId="5" borderId="3" xfId="1" applyNumberFormat="1" applyFont="1" applyFill="1" applyBorder="1" applyAlignment="1">
      <alignment vertical="center"/>
    </xf>
    <xf numFmtId="0" fontId="24" fillId="0" borderId="23" xfId="0" applyFont="1" applyBorder="1">
      <alignment vertical="center"/>
    </xf>
    <xf numFmtId="49" fontId="24" fillId="7" borderId="3" xfId="0" applyNumberFormat="1" applyFont="1" applyFill="1" applyBorder="1" applyAlignment="1">
      <alignment horizontal="center" vertical="center"/>
    </xf>
    <xf numFmtId="0" fontId="29" fillId="7" borderId="3" xfId="0" applyFont="1" applyFill="1" applyBorder="1" applyAlignment="1">
      <alignment horizontal="center" vertical="center"/>
    </xf>
    <xf numFmtId="49" fontId="24" fillId="5" borderId="3" xfId="0" applyNumberFormat="1" applyFont="1" applyFill="1" applyBorder="1" applyAlignment="1">
      <alignment horizontal="center" vertical="center" wrapText="1"/>
    </xf>
    <xf numFmtId="184" fontId="24" fillId="5" borderId="3" xfId="1" applyNumberFormat="1" applyFont="1" applyFill="1" applyBorder="1" applyAlignment="1">
      <alignment horizontal="right" vertical="center" wrapText="1"/>
    </xf>
    <xf numFmtId="176" fontId="24" fillId="0" borderId="3" xfId="1" applyFont="1" applyFill="1" applyBorder="1" applyAlignment="1">
      <alignment vertical="center" wrapText="1"/>
    </xf>
    <xf numFmtId="184" fontId="24" fillId="5" borderId="3" xfId="0" applyNumberFormat="1" applyFont="1" applyFill="1" applyBorder="1" applyAlignment="1">
      <alignment horizontal="right" vertical="center"/>
    </xf>
    <xf numFmtId="49" fontId="28" fillId="7" borderId="3" xfId="0" applyNumberFormat="1" applyFont="1" applyFill="1" applyBorder="1" applyAlignment="1">
      <alignment vertical="center" wrapText="1"/>
    </xf>
    <xf numFmtId="0" fontId="24" fillId="7" borderId="3" xfId="0" applyFont="1" applyFill="1" applyBorder="1">
      <alignment vertical="center"/>
    </xf>
    <xf numFmtId="49" fontId="24" fillId="7" borderId="3" xfId="0" applyNumberFormat="1" applyFont="1" applyFill="1" applyBorder="1" applyAlignment="1">
      <alignment vertical="center" wrapText="1"/>
    </xf>
    <xf numFmtId="49" fontId="24" fillId="5" borderId="3" xfId="1" applyNumberFormat="1" applyFont="1" applyFill="1" applyBorder="1" applyAlignment="1">
      <alignment horizontal="center" vertical="center"/>
    </xf>
    <xf numFmtId="0" fontId="23" fillId="0" borderId="0" xfId="6" applyFont="1" applyAlignment="1">
      <alignment horizontal="center" vertical="center"/>
    </xf>
    <xf numFmtId="0" fontId="26" fillId="0" borderId="0" xfId="6" applyFont="1" applyAlignment="1">
      <alignment vertical="center"/>
    </xf>
    <xf numFmtId="0" fontId="25" fillId="0" borderId="0" xfId="6" applyFont="1" applyAlignment="1">
      <alignment vertical="center"/>
    </xf>
    <xf numFmtId="0" fontId="17" fillId="0" borderId="4" xfId="6" applyFont="1" applyBorder="1" applyAlignment="1">
      <alignment vertical="center"/>
    </xf>
    <xf numFmtId="0" fontId="17" fillId="0" borderId="5" xfId="6" applyFont="1" applyBorder="1" applyAlignment="1">
      <alignment vertical="center"/>
    </xf>
    <xf numFmtId="0" fontId="17" fillId="0" borderId="6" xfId="6" applyFont="1" applyBorder="1" applyAlignment="1">
      <alignment vertical="center"/>
    </xf>
    <xf numFmtId="0" fontId="17" fillId="0" borderId="4" xfId="6" applyFont="1" applyBorder="1" applyAlignment="1">
      <alignment vertical="center" wrapText="1"/>
    </xf>
    <xf numFmtId="0" fontId="17" fillId="0" borderId="5" xfId="6" applyFont="1" applyBorder="1" applyAlignment="1">
      <alignment vertical="center" wrapText="1"/>
    </xf>
    <xf numFmtId="0" fontId="17" fillId="0" borderId="6" xfId="6" applyFont="1" applyBorder="1" applyAlignment="1">
      <alignment vertical="center" wrapText="1"/>
    </xf>
    <xf numFmtId="0" fontId="17" fillId="0" borderId="0" xfId="0" applyFont="1" applyAlignment="1">
      <alignment vertical="center" wrapText="1"/>
    </xf>
    <xf numFmtId="0" fontId="28" fillId="0" borderId="0" xfId="0" applyFont="1" applyAlignment="1">
      <alignment horizontal="center" vertical="center"/>
    </xf>
    <xf numFmtId="0" fontId="24" fillId="0" borderId="31" xfId="0" applyFont="1" applyBorder="1" applyAlignment="1">
      <alignment horizontal="center" vertical="center"/>
    </xf>
    <xf numFmtId="0" fontId="24" fillId="0" borderId="32" xfId="0" applyFont="1" applyBorder="1" applyAlignment="1">
      <alignment horizontal="center" vertical="center"/>
    </xf>
    <xf numFmtId="0" fontId="28" fillId="0" borderId="30" xfId="0" applyFont="1" applyBorder="1" applyAlignment="1">
      <alignment horizontal="center" vertical="center"/>
    </xf>
    <xf numFmtId="0" fontId="28" fillId="9" borderId="4" xfId="0" applyFont="1" applyFill="1" applyBorder="1" applyAlignment="1">
      <alignment horizontal="center" vertical="center"/>
    </xf>
    <xf numFmtId="176" fontId="28" fillId="4" borderId="21" xfId="4" applyFont="1" applyFill="1" applyBorder="1" applyAlignment="1">
      <alignment horizontal="center" vertical="center"/>
    </xf>
    <xf numFmtId="178" fontId="28" fillId="4" borderId="21" xfId="5" applyFont="1" applyFill="1" applyBorder="1" applyAlignment="1">
      <alignment horizontal="center" vertical="center"/>
    </xf>
    <xf numFmtId="0" fontId="28" fillId="4" borderId="21" xfId="0" applyFont="1" applyFill="1" applyBorder="1" applyAlignment="1">
      <alignment horizontal="center" vertical="center"/>
    </xf>
    <xf numFmtId="0" fontId="28" fillId="4" borderId="3" xfId="0" applyFont="1" applyFill="1" applyBorder="1" applyAlignment="1">
      <alignment horizontal="center" vertical="center"/>
    </xf>
    <xf numFmtId="0" fontId="28" fillId="4" borderId="21" xfId="3" applyFont="1" applyFill="1" applyBorder="1" applyAlignment="1">
      <alignment horizontal="center" vertical="center"/>
    </xf>
    <xf numFmtId="0" fontId="28" fillId="4" borderId="3" xfId="3" applyFont="1" applyFill="1" applyBorder="1" applyAlignment="1">
      <alignment horizontal="center" vertical="center"/>
    </xf>
    <xf numFmtId="0" fontId="28" fillId="4" borderId="21" xfId="3" applyFont="1" applyFill="1" applyBorder="1" applyAlignment="1">
      <alignment horizontal="center" vertical="center" wrapText="1"/>
    </xf>
    <xf numFmtId="184" fontId="32" fillId="5" borderId="3" xfId="1" applyNumberFormat="1" applyFont="1" applyFill="1" applyBorder="1" applyAlignment="1">
      <alignment horizontal="right" vertical="center"/>
    </xf>
    <xf numFmtId="184" fontId="32" fillId="12" borderId="3" xfId="32" applyNumberFormat="1" applyFont="1" applyFill="1" applyBorder="1" applyAlignment="1">
      <alignment horizontal="right" vertical="center"/>
    </xf>
    <xf numFmtId="49" fontId="32" fillId="0" borderId="3" xfId="31" applyNumberFormat="1" applyFont="1" applyBorder="1" applyAlignment="1">
      <alignment horizontal="center" vertical="center" wrapText="1"/>
    </xf>
    <xf numFmtId="187" fontId="24" fillId="0" borderId="3" xfId="1" applyNumberFormat="1" applyFont="1" applyFill="1" applyBorder="1" applyAlignment="1">
      <alignment horizontal="center" vertical="center"/>
    </xf>
    <xf numFmtId="187" fontId="24" fillId="5" borderId="3" xfId="1" applyNumberFormat="1" applyFont="1" applyFill="1" applyBorder="1" applyAlignment="1">
      <alignment horizontal="center" vertical="center"/>
    </xf>
    <xf numFmtId="176" fontId="29" fillId="0" borderId="0" xfId="0" applyNumberFormat="1" applyFont="1">
      <alignment vertical="center"/>
    </xf>
    <xf numFmtId="189" fontId="24" fillId="0" borderId="1" xfId="1" applyNumberFormat="1" applyFont="1" applyBorder="1" applyAlignment="1">
      <alignment horizontal="center" vertical="center"/>
    </xf>
  </cellXfs>
  <cellStyles count="33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2 3" xfId="27" xr:uid="{84145116-34A3-4978-AA23-E773F15D72CE}"/>
    <cellStyle name="쉼표 [0] 2 4" xfId="20" xr:uid="{C58DB114-3DFC-48BF-B279-68E81CF1801D}"/>
    <cellStyle name="쉼표 [0] 2 4 2" xfId="23" xr:uid="{3070FDD1-D076-4267-9734-55DC834440C4}"/>
    <cellStyle name="쉼표 [0] 2 4 3" xfId="26" xr:uid="{466D6A9D-2A7A-4571-B4E2-02F547DF6FB9}"/>
    <cellStyle name="쉼표 [0] 3" xfId="16" xr:uid="{8F7BE219-40E1-4BBB-A9BD-02188B74B2A3}"/>
    <cellStyle name="쉼표 [0] 4" xfId="29" xr:uid="{CC0B73B0-7462-4D01-B0C9-D11C17A5C7E0}"/>
    <cellStyle name="쉼표 [0]_내역서(표준단가)_1" xfId="32" xr:uid="{36BDE060-8E41-4F46-818B-86B5A91C0340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4 2" xfId="30" xr:uid="{A898D59C-3907-4A75-B1F7-B14959F506CD}"/>
    <cellStyle name="표준 5" xfId="17" xr:uid="{B39ACF8E-5B1E-4331-957C-34579729CB23}"/>
    <cellStyle name="표준 7" xfId="19" xr:uid="{770BEF39-67CB-4F3D-B0A1-B9F2AC9B03D6}"/>
    <cellStyle name="표준 7 2" xfId="21" xr:uid="{BBDF599D-71D4-4FB2-A99A-2A9C80AF2F9D}"/>
    <cellStyle name="표준 7 2 2" xfId="24" xr:uid="{BCA625FF-3FCE-40BD-81AF-FBF4F681E961}"/>
    <cellStyle name="표준 7 3" xfId="22" xr:uid="{A72D0E51-CAF5-48A9-AF10-3C24C6DC4809}"/>
    <cellStyle name="표준 7 4" xfId="25" xr:uid="{E41D2D8C-4847-4DF4-B71B-D261D8C7B5A5}"/>
    <cellStyle name="표준 7 5" xfId="28" xr:uid="{45A185AB-D45B-4577-8C95-A6E8E02BCB48}"/>
    <cellStyle name="표준_내역서(표준단가)" xfId="31" xr:uid="{97E9092B-102F-4E83-B29B-AA4C625260A2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K9" sqref="K9"/>
    </sheetView>
  </sheetViews>
  <sheetFormatPr defaultColWidth="9" defaultRowHeight="1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.75">
      <c r="A2" s="134" t="s">
        <v>6</v>
      </c>
      <c r="B2" s="134"/>
      <c r="C2" s="134"/>
      <c r="D2" s="134"/>
      <c r="E2" s="134"/>
      <c r="F2" s="134"/>
      <c r="G2" s="134"/>
      <c r="H2" s="2"/>
    </row>
    <row r="3" spans="1:9" ht="13.5">
      <c r="A3" s="89"/>
      <c r="B3" s="89"/>
      <c r="C3" s="89"/>
      <c r="D3" s="89"/>
      <c r="E3" s="89"/>
      <c r="F3" s="89"/>
      <c r="G3" s="89"/>
      <c r="H3" s="89"/>
    </row>
    <row r="4" spans="1:9" ht="13.5">
      <c r="A4" s="89"/>
      <c r="B4" s="89"/>
      <c r="C4" s="89"/>
      <c r="D4" s="89"/>
      <c r="E4" s="89"/>
      <c r="H4" s="89"/>
    </row>
    <row r="5" spans="1:9" ht="27" customHeight="1">
      <c r="A5" s="90" t="s">
        <v>47</v>
      </c>
      <c r="B5" s="4"/>
      <c r="C5" s="5"/>
      <c r="D5" s="89"/>
      <c r="E5" s="89"/>
      <c r="F5" s="6" t="s">
        <v>38</v>
      </c>
      <c r="G5" s="7" t="s">
        <v>51</v>
      </c>
      <c r="H5" s="89"/>
    </row>
    <row r="6" spans="1:9" ht="27" customHeight="1">
      <c r="A6" s="89"/>
      <c r="B6" s="89"/>
      <c r="C6" s="89"/>
      <c r="D6" s="89"/>
      <c r="E6" s="89"/>
      <c r="F6" s="8" t="s">
        <v>41</v>
      </c>
      <c r="G6" s="9" t="s">
        <v>52</v>
      </c>
      <c r="H6" s="89"/>
    </row>
    <row r="7" spans="1:9" ht="27" customHeight="1">
      <c r="A7" s="140" t="s">
        <v>88</v>
      </c>
      <c r="B7" s="141"/>
      <c r="C7" s="142"/>
      <c r="D7" s="89"/>
      <c r="E7" s="10"/>
      <c r="F7" s="11" t="s">
        <v>42</v>
      </c>
      <c r="G7" s="9" t="s">
        <v>53</v>
      </c>
      <c r="H7" s="89"/>
    </row>
    <row r="8" spans="1:9" ht="27" customHeight="1">
      <c r="A8" s="89"/>
      <c r="B8" s="89"/>
      <c r="C8" s="89"/>
      <c r="D8" s="89"/>
      <c r="E8" s="89"/>
      <c r="F8" s="8" t="s">
        <v>43</v>
      </c>
      <c r="G8" s="9" t="s">
        <v>54</v>
      </c>
      <c r="H8" s="89"/>
    </row>
    <row r="9" spans="1:9" ht="27" customHeight="1">
      <c r="A9" s="137" t="s">
        <v>89</v>
      </c>
      <c r="B9" s="138"/>
      <c r="C9" s="139"/>
      <c r="D9" s="89"/>
      <c r="E9" s="89"/>
      <c r="F9" s="8" t="s">
        <v>44</v>
      </c>
      <c r="G9" s="9" t="s">
        <v>55</v>
      </c>
      <c r="H9" s="89"/>
    </row>
    <row r="10" spans="1:9" ht="27" customHeight="1">
      <c r="A10" s="89"/>
      <c r="B10" s="89"/>
      <c r="C10" s="89"/>
      <c r="D10" s="89"/>
      <c r="E10" s="89"/>
      <c r="F10" s="12" t="s">
        <v>39</v>
      </c>
      <c r="G10" s="13" t="s">
        <v>56</v>
      </c>
      <c r="H10" s="89"/>
      <c r="I10" s="89"/>
    </row>
    <row r="11" spans="1:9" ht="27" customHeight="1">
      <c r="A11" s="135"/>
      <c r="B11" s="136"/>
      <c r="C11" s="136"/>
      <c r="D11" s="89"/>
      <c r="E11" s="14"/>
      <c r="F11" s="15" t="s">
        <v>40</v>
      </c>
      <c r="G11" s="16" t="s">
        <v>57</v>
      </c>
      <c r="H11" s="14"/>
    </row>
    <row r="12" spans="1:9" ht="19.5" thickBot="1">
      <c r="A12" s="17" t="s">
        <v>7</v>
      </c>
      <c r="B12" s="17" t="str">
        <f>NUMBERSTRING(F31,1)</f>
        <v>일백사십오만구천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" thickTop="1" thickBot="1">
      <c r="A13" s="89"/>
      <c r="B13" s="89"/>
      <c r="C13" s="89"/>
      <c r="D13" s="89"/>
      <c r="E13" s="89"/>
      <c r="F13" s="89"/>
      <c r="G13" s="89"/>
      <c r="H13" s="19"/>
    </row>
    <row r="14" spans="1:9" ht="33" customHeight="1" thickBot="1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18</v>
      </c>
      <c r="C16" s="31"/>
      <c r="D16" s="32"/>
      <c r="E16" s="32"/>
      <c r="F16" s="33">
        <f>'내역서(표준단가)'!K13</f>
        <v>353586.62839999999</v>
      </c>
      <c r="G16" s="34"/>
    </row>
    <row r="17" spans="1:7" ht="33" customHeight="1">
      <c r="A17" s="29"/>
      <c r="B17" s="30" t="s">
        <v>19</v>
      </c>
      <c r="C17" s="31"/>
      <c r="D17" s="32"/>
      <c r="E17" s="32"/>
      <c r="F17" s="33">
        <f>'내역서(표준단가)'!M13</f>
        <v>896905.15915799991</v>
      </c>
      <c r="G17" s="35"/>
    </row>
    <row r="18" spans="1:7" ht="33" customHeight="1">
      <c r="A18" s="29"/>
      <c r="B18" s="30" t="s">
        <v>20</v>
      </c>
      <c r="C18" s="31"/>
      <c r="D18" s="32"/>
      <c r="E18" s="32"/>
      <c r="F18" s="33">
        <f>'내역서(표준단가)'!O13+'내역서(표준단가)'!Q13</f>
        <v>0</v>
      </c>
      <c r="G18" s="35"/>
    </row>
    <row r="19" spans="1:7" ht="33" customHeight="1">
      <c r="A19" s="29"/>
      <c r="B19" s="36" t="s">
        <v>21</v>
      </c>
      <c r="C19" s="36"/>
      <c r="D19" s="37"/>
      <c r="E19" s="37"/>
      <c r="F19" s="38">
        <f>F16+F17+F18</f>
        <v>1250491.7875579998</v>
      </c>
      <c r="G19" s="35"/>
    </row>
    <row r="20" spans="1:7" ht="33" customHeight="1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40360.732162109991</v>
      </c>
      <c r="G21" s="35" t="s">
        <v>26</v>
      </c>
    </row>
    <row r="22" spans="1:7" ht="33" customHeight="1">
      <c r="A22" s="29"/>
      <c r="B22" s="44" t="s">
        <v>27</v>
      </c>
      <c r="C22" s="45" t="s">
        <v>48</v>
      </c>
      <c r="D22" s="46">
        <v>1</v>
      </c>
      <c r="E22" s="46" t="s">
        <v>25</v>
      </c>
      <c r="F22" s="47">
        <f>F17*3.545%</f>
        <v>31795.2878921511</v>
      </c>
      <c r="G22" s="48" t="s">
        <v>28</v>
      </c>
    </row>
    <row r="23" spans="1:7" ht="33" customHeight="1">
      <c r="A23" s="29"/>
      <c r="B23" s="42" t="s">
        <v>29</v>
      </c>
      <c r="C23" s="40" t="s">
        <v>49</v>
      </c>
      <c r="D23" s="30">
        <v>1</v>
      </c>
      <c r="E23" s="30" t="s">
        <v>25</v>
      </c>
      <c r="F23" s="43">
        <f>F22*12.95%</f>
        <v>4117.4897820335673</v>
      </c>
      <c r="G23" s="35" t="s">
        <v>28</v>
      </c>
    </row>
    <row r="24" spans="1:7" ht="33" customHeight="1">
      <c r="A24" s="29"/>
      <c r="B24" s="42" t="s">
        <v>30</v>
      </c>
      <c r="C24" s="40" t="s">
        <v>46</v>
      </c>
      <c r="D24" s="30">
        <v>1</v>
      </c>
      <c r="E24" s="30" t="s">
        <v>25</v>
      </c>
      <c r="F24" s="43">
        <f>F17*1.01%</f>
        <v>9058.7421074957983</v>
      </c>
      <c r="G24" s="35" t="s">
        <v>28</v>
      </c>
    </row>
    <row r="25" spans="1:7" ht="33" customHeight="1">
      <c r="A25" s="29"/>
      <c r="B25" s="42" t="s">
        <v>31</v>
      </c>
      <c r="C25" s="40" t="s">
        <v>50</v>
      </c>
      <c r="D25" s="30">
        <v>1</v>
      </c>
      <c r="E25" s="30" t="s">
        <v>25</v>
      </c>
      <c r="F25" s="43">
        <f>F17*3.56%</f>
        <v>31929.823666024797</v>
      </c>
      <c r="G25" s="35" t="s">
        <v>28</v>
      </c>
    </row>
    <row r="26" spans="1:7" ht="33" customHeight="1">
      <c r="A26" s="29"/>
      <c r="B26" s="42" t="s">
        <v>32</v>
      </c>
      <c r="C26" s="49" t="s">
        <v>80</v>
      </c>
      <c r="D26" s="30">
        <v>1</v>
      </c>
      <c r="E26" s="30" t="s">
        <v>25</v>
      </c>
      <c r="F26" s="43">
        <f>(F16+F17)*3.11%</f>
        <v>38890.294593053797</v>
      </c>
      <c r="G26" s="35" t="s">
        <v>26</v>
      </c>
    </row>
    <row r="27" spans="1:7" ht="33" customHeight="1">
      <c r="A27" s="29"/>
      <c r="B27" s="42" t="s">
        <v>36</v>
      </c>
      <c r="C27" s="49" t="s">
        <v>37</v>
      </c>
      <c r="D27" s="30">
        <v>1</v>
      </c>
      <c r="E27" s="30" t="s">
        <v>25</v>
      </c>
      <c r="F27" s="43">
        <f>SUM(F17+F21+F22+F23+F24+F25+F26)*5%</f>
        <v>52652.876468043454</v>
      </c>
      <c r="G27" s="35"/>
    </row>
    <row r="28" spans="1:7" ht="33" customHeight="1">
      <c r="A28" s="29"/>
      <c r="B28" s="36" t="s">
        <v>33</v>
      </c>
      <c r="C28" s="50"/>
      <c r="D28" s="51"/>
      <c r="E28" s="37"/>
      <c r="F28" s="52">
        <f>F21+F22+F23+F24+F25+F26+F27</f>
        <v>208805.24667091249</v>
      </c>
      <c r="G28" s="35"/>
    </row>
    <row r="29" spans="1:7" ht="33" customHeight="1">
      <c r="A29" s="29"/>
      <c r="B29" s="40"/>
      <c r="C29" s="53"/>
      <c r="D29" s="54"/>
      <c r="E29" s="32"/>
      <c r="F29" s="55"/>
      <c r="G29" s="35"/>
    </row>
    <row r="30" spans="1:7" ht="33" customHeight="1">
      <c r="A30" s="29"/>
      <c r="B30" s="56"/>
      <c r="C30" s="53"/>
      <c r="D30" s="54"/>
      <c r="E30" s="32"/>
      <c r="F30" s="57">
        <f>F19+F28+F29</f>
        <v>1459297.0342289123</v>
      </c>
      <c r="G30" s="35"/>
    </row>
    <row r="31" spans="1:7" ht="33" customHeight="1">
      <c r="A31" s="29"/>
      <c r="B31" s="36" t="s">
        <v>34</v>
      </c>
      <c r="C31" s="36"/>
      <c r="D31" s="37"/>
      <c r="E31" s="37"/>
      <c r="F31" s="58">
        <f>ROUNDDOWN(F30,-3)</f>
        <v>1459000</v>
      </c>
      <c r="G31" s="35"/>
    </row>
    <row r="32" spans="1:7" ht="33" customHeight="1" thickBot="1">
      <c r="A32" s="59"/>
      <c r="B32" s="60" t="s">
        <v>35</v>
      </c>
      <c r="C32" s="61"/>
      <c r="D32" s="61"/>
      <c r="E32" s="61"/>
      <c r="F32" s="62"/>
      <c r="G32" s="63"/>
    </row>
    <row r="33" spans="2:2" ht="14.25">
      <c r="B33" s="64"/>
    </row>
    <row r="34" spans="2:2" ht="14.25">
      <c r="B34" s="64"/>
    </row>
  </sheetData>
  <mergeCells count="4">
    <mergeCell ref="A2:G2"/>
    <mergeCell ref="A11:C11"/>
    <mergeCell ref="A9:C9"/>
    <mergeCell ref="A7:C7"/>
  </mergeCells>
  <phoneticPr fontId="10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U18"/>
  <sheetViews>
    <sheetView showGridLines="0" zoomScale="90" zoomScaleNormal="90" workbookViewId="0">
      <pane ySplit="4" topLeftCell="A5" activePane="bottomLeft" state="frozen"/>
      <selection pane="bottomLeft" activeCell="B3" sqref="B1:E1048576"/>
    </sheetView>
  </sheetViews>
  <sheetFormatPr defaultColWidth="9" defaultRowHeight="38.1" customHeight="1"/>
  <cols>
    <col min="1" max="1" width="22.625" style="115" bestFit="1" customWidth="1"/>
    <col min="2" max="5" width="17.625" style="106" hidden="1" customWidth="1"/>
    <col min="6" max="6" width="42.625" style="102" customWidth="1"/>
    <col min="7" max="7" width="30.625" style="102" customWidth="1"/>
    <col min="8" max="8" width="12" style="106" bestFit="1" customWidth="1"/>
    <col min="9" max="9" width="8.625" style="106" customWidth="1"/>
    <col min="10" max="10" width="10.25" style="106" bestFit="1" customWidth="1"/>
    <col min="11" max="11" width="13.25" style="106" bestFit="1" customWidth="1"/>
    <col min="12" max="12" width="9.875" style="106" customWidth="1"/>
    <col min="13" max="13" width="13.25" style="106" bestFit="1" customWidth="1"/>
    <col min="14" max="14" width="6.375" style="106" customWidth="1"/>
    <col min="15" max="15" width="8.75" style="106" bestFit="1" customWidth="1"/>
    <col min="16" max="16" width="6.375" style="106" customWidth="1"/>
    <col min="17" max="17" width="8.75" style="106" bestFit="1" customWidth="1"/>
    <col min="18" max="18" width="14.75" style="106" customWidth="1"/>
    <col min="19" max="19" width="10.625" style="66" bestFit="1" customWidth="1"/>
    <col min="20" max="20" width="8.5" style="106" bestFit="1" customWidth="1"/>
    <col min="21" max="16384" width="9" style="106"/>
  </cols>
  <sheetData>
    <row r="1" spans="1:21" ht="19.899999999999999" customHeight="1">
      <c r="A1" s="144"/>
      <c r="B1" s="144"/>
      <c r="C1" s="144"/>
      <c r="D1" s="144"/>
      <c r="E1" s="144"/>
      <c r="J1" s="66"/>
      <c r="K1" s="105" t="s">
        <v>59</v>
      </c>
      <c r="M1" s="105" t="s">
        <v>59</v>
      </c>
      <c r="O1" s="105" t="s">
        <v>59</v>
      </c>
      <c r="Q1" s="105" t="s">
        <v>59</v>
      </c>
    </row>
    <row r="2" spans="1:21" ht="19.899999999999999" customHeight="1" thickBot="1">
      <c r="A2" s="144"/>
      <c r="B2" s="144"/>
      <c r="C2" s="144"/>
      <c r="D2" s="144"/>
      <c r="E2" s="144"/>
      <c r="J2" s="67"/>
      <c r="K2" s="68">
        <v>0.83499999999999996</v>
      </c>
      <c r="M2" s="68">
        <v>0.83499999999999996</v>
      </c>
      <c r="O2" s="68">
        <v>0.83499999999999996</v>
      </c>
      <c r="Q2" s="68">
        <v>0.83499999999999996</v>
      </c>
    </row>
    <row r="3" spans="1:21" ht="19.899999999999999" customHeight="1">
      <c r="A3" s="107"/>
      <c r="B3" s="107" t="s">
        <v>60</v>
      </c>
      <c r="C3" s="108"/>
      <c r="D3" s="108"/>
      <c r="E3" s="108"/>
      <c r="F3" s="155" t="s">
        <v>61</v>
      </c>
      <c r="G3" s="155"/>
      <c r="H3" s="153" t="s">
        <v>62</v>
      </c>
      <c r="I3" s="153" t="s">
        <v>5</v>
      </c>
      <c r="J3" s="149" t="s">
        <v>63</v>
      </c>
      <c r="K3" s="149"/>
      <c r="L3" s="149" t="s">
        <v>64</v>
      </c>
      <c r="M3" s="149"/>
      <c r="N3" s="150" t="s">
        <v>65</v>
      </c>
      <c r="O3" s="150"/>
      <c r="P3" s="150" t="s">
        <v>66</v>
      </c>
      <c r="Q3" s="150"/>
      <c r="R3" s="151" t="s">
        <v>67</v>
      </c>
      <c r="S3" s="147" t="s">
        <v>68</v>
      </c>
      <c r="T3" s="145" t="s">
        <v>45</v>
      </c>
    </row>
    <row r="4" spans="1:21" ht="19.899999999999999" customHeight="1">
      <c r="A4" s="69" t="s">
        <v>69</v>
      </c>
      <c r="B4" s="70" t="s">
        <v>70</v>
      </c>
      <c r="C4" s="70" t="s">
        <v>71</v>
      </c>
      <c r="D4" s="70" t="s">
        <v>72</v>
      </c>
      <c r="E4" s="70" t="s">
        <v>73</v>
      </c>
      <c r="F4" s="103" t="s">
        <v>74</v>
      </c>
      <c r="G4" s="103" t="s">
        <v>75</v>
      </c>
      <c r="H4" s="154"/>
      <c r="I4" s="154"/>
      <c r="J4" s="71" t="s">
        <v>76</v>
      </c>
      <c r="K4" s="72" t="s">
        <v>77</v>
      </c>
      <c r="L4" s="71" t="s">
        <v>78</v>
      </c>
      <c r="M4" s="72" t="s">
        <v>77</v>
      </c>
      <c r="N4" s="72" t="s">
        <v>79</v>
      </c>
      <c r="O4" s="72" t="s">
        <v>77</v>
      </c>
      <c r="P4" s="72" t="s">
        <v>79</v>
      </c>
      <c r="Q4" s="72" t="s">
        <v>77</v>
      </c>
      <c r="R4" s="152"/>
      <c r="S4" s="148"/>
      <c r="T4" s="146"/>
    </row>
    <row r="5" spans="1:21" s="109" customFormat="1" ht="38.1" customHeight="1">
      <c r="A5" s="73" t="str">
        <f t="shared" ref="A5:A12" si="0">B5&amp;C5&amp;D5&amp;E5</f>
        <v>M020750510120102</v>
      </c>
      <c r="B5" s="84"/>
      <c r="C5" s="85"/>
      <c r="D5" s="87" t="s">
        <v>94</v>
      </c>
      <c r="E5" s="85"/>
      <c r="F5" s="92" t="s">
        <v>106</v>
      </c>
      <c r="G5" s="92" t="s">
        <v>81</v>
      </c>
      <c r="H5" s="98" t="s">
        <v>82</v>
      </c>
      <c r="I5" s="100">
        <v>10</v>
      </c>
      <c r="J5" s="95">
        <v>6400</v>
      </c>
      <c r="K5" s="94">
        <f t="shared" ref="K5:K12" si="1">SUM(J5:J5)*I5*$K$2</f>
        <v>53440</v>
      </c>
      <c r="L5" s="97"/>
      <c r="M5" s="94">
        <f t="shared" ref="M5:M7" si="2">(L5*I5)*$M$2</f>
        <v>0</v>
      </c>
      <c r="N5" s="96"/>
      <c r="O5" s="94">
        <f t="shared" ref="O5:O12" si="3">N5*I5*$O$2</f>
        <v>0</v>
      </c>
      <c r="P5" s="96"/>
      <c r="Q5" s="94">
        <f t="shared" ref="Q5:Q12" si="4">P5*I5*$Q$2</f>
        <v>0</v>
      </c>
      <c r="R5" s="76">
        <f t="shared" ref="R5:R12" si="5">SUM(K5+M5)+O5+Q5</f>
        <v>53440</v>
      </c>
      <c r="S5" s="77"/>
      <c r="T5" s="78"/>
    </row>
    <row r="6" spans="1:21" s="109" customFormat="1" ht="38.1" customHeight="1">
      <c r="A6" s="73" t="str">
        <f t="shared" si="0"/>
        <v>M020750510130102</v>
      </c>
      <c r="B6" s="117"/>
      <c r="C6" s="70"/>
      <c r="D6" s="118" t="s">
        <v>101</v>
      </c>
      <c r="E6" s="70"/>
      <c r="F6" s="91" t="s">
        <v>102</v>
      </c>
      <c r="G6" s="91" t="s">
        <v>95</v>
      </c>
      <c r="H6" s="119" t="s">
        <v>82</v>
      </c>
      <c r="I6" s="100">
        <v>3</v>
      </c>
      <c r="J6" s="156">
        <v>8000</v>
      </c>
      <c r="K6" s="94">
        <f t="shared" si="1"/>
        <v>20040</v>
      </c>
      <c r="L6" s="121"/>
      <c r="M6" s="94">
        <f t="shared" si="2"/>
        <v>0</v>
      </c>
      <c r="N6" s="96"/>
      <c r="O6" s="94">
        <f t="shared" si="3"/>
        <v>0</v>
      </c>
      <c r="P6" s="96"/>
      <c r="Q6" s="94">
        <f t="shared" si="4"/>
        <v>0</v>
      </c>
      <c r="R6" s="76">
        <f t="shared" si="5"/>
        <v>20040</v>
      </c>
      <c r="S6" s="122"/>
      <c r="T6" s="78"/>
    </row>
    <row r="7" spans="1:21" s="109" customFormat="1" ht="38.1" customHeight="1">
      <c r="A7" s="73" t="str">
        <f t="shared" si="0"/>
        <v>M020750510130104</v>
      </c>
      <c r="B7" s="84"/>
      <c r="C7" s="87"/>
      <c r="D7" s="87" t="s">
        <v>92</v>
      </c>
      <c r="E7" s="87"/>
      <c r="F7" s="158" t="s">
        <v>103</v>
      </c>
      <c r="G7" s="92" t="s">
        <v>83</v>
      </c>
      <c r="H7" s="98" t="s">
        <v>82</v>
      </c>
      <c r="I7" s="100">
        <v>14.4</v>
      </c>
      <c r="J7" s="157">
        <v>12000</v>
      </c>
      <c r="K7" s="94">
        <f t="shared" si="1"/>
        <v>144288</v>
      </c>
      <c r="L7" s="97"/>
      <c r="M7" s="94">
        <f t="shared" si="2"/>
        <v>0</v>
      </c>
      <c r="N7" s="96"/>
      <c r="O7" s="94">
        <f t="shared" si="3"/>
        <v>0</v>
      </c>
      <c r="P7" s="96"/>
      <c r="Q7" s="94">
        <f t="shared" si="4"/>
        <v>0</v>
      </c>
      <c r="R7" s="76">
        <f t="shared" si="5"/>
        <v>144288</v>
      </c>
      <c r="S7" s="77"/>
      <c r="T7" s="78"/>
    </row>
    <row r="8" spans="1:21" s="109" customFormat="1" ht="38.1" customHeight="1">
      <c r="A8" s="73" t="str">
        <f t="shared" ref="A8:A11" si="6">B8&amp;C8&amp;D8&amp;E8</f>
        <v>E00000803066520103</v>
      </c>
      <c r="B8" s="124"/>
      <c r="C8" s="125" t="s">
        <v>96</v>
      </c>
      <c r="D8" s="118"/>
      <c r="E8" s="124"/>
      <c r="F8" s="91" t="s">
        <v>84</v>
      </c>
      <c r="G8" s="91" t="s">
        <v>104</v>
      </c>
      <c r="H8" s="126" t="s">
        <v>85</v>
      </c>
      <c r="I8" s="100">
        <v>0.88</v>
      </c>
      <c r="J8" s="127"/>
      <c r="K8" s="94">
        <f t="shared" ref="K8:K11" si="7">SUM(J8:J8)*I8*$K$2</f>
        <v>0</v>
      </c>
      <c r="L8" s="120">
        <v>652621</v>
      </c>
      <c r="M8" s="94">
        <f t="shared" ref="M8" si="8">(L8*I8)*$M$2</f>
        <v>479545.91079999995</v>
      </c>
      <c r="N8" s="96"/>
      <c r="O8" s="94">
        <f t="shared" ref="O8" si="9">N8*I8*$O$2</f>
        <v>0</v>
      </c>
      <c r="P8" s="96"/>
      <c r="Q8" s="94">
        <f t="shared" ref="Q8:Q11" si="10">P8*I8*$Q$2</f>
        <v>0</v>
      </c>
      <c r="R8" s="128">
        <f t="shared" ref="R8:R11" si="11">SUM(K8+M8)+O8+Q8</f>
        <v>479545.91079999995</v>
      </c>
      <c r="S8" s="122"/>
      <c r="T8" s="123"/>
    </row>
    <row r="9" spans="1:21" s="109" customFormat="1" ht="38.1" customHeight="1">
      <c r="A9" s="73" t="str">
        <f t="shared" si="6"/>
        <v>M020806810430101</v>
      </c>
      <c r="B9" s="130"/>
      <c r="C9" s="131"/>
      <c r="D9" s="118" t="s">
        <v>97</v>
      </c>
      <c r="E9" s="132"/>
      <c r="F9" s="91" t="s">
        <v>98</v>
      </c>
      <c r="G9" s="91" t="s">
        <v>99</v>
      </c>
      <c r="H9" s="133" t="s">
        <v>100</v>
      </c>
      <c r="I9" s="100">
        <v>1</v>
      </c>
      <c r="J9" s="127">
        <v>150000</v>
      </c>
      <c r="K9" s="94">
        <f t="shared" si="7"/>
        <v>125250</v>
      </c>
      <c r="L9" s="121"/>
      <c r="M9" s="94"/>
      <c r="N9" s="96"/>
      <c r="O9" s="94"/>
      <c r="P9" s="127"/>
      <c r="Q9" s="94">
        <f t="shared" si="10"/>
        <v>0</v>
      </c>
      <c r="R9" s="128">
        <f t="shared" si="11"/>
        <v>125250</v>
      </c>
      <c r="S9" s="122"/>
      <c r="T9" s="123"/>
    </row>
    <row r="10" spans="1:21" s="109" customFormat="1" ht="38.1" customHeight="1">
      <c r="A10" s="73" t="str">
        <f t="shared" si="6"/>
        <v>M020853710050101</v>
      </c>
      <c r="B10" s="124"/>
      <c r="C10" s="118"/>
      <c r="D10" s="118" t="s">
        <v>107</v>
      </c>
      <c r="E10" s="124"/>
      <c r="F10" s="91" t="s">
        <v>108</v>
      </c>
      <c r="G10" s="91" t="s">
        <v>112</v>
      </c>
      <c r="H10" s="119" t="s">
        <v>109</v>
      </c>
      <c r="I10" s="100">
        <v>0.60560000000000003</v>
      </c>
      <c r="J10" s="120">
        <v>20900</v>
      </c>
      <c r="K10" s="94">
        <f t="shared" si="7"/>
        <v>10568.6284</v>
      </c>
      <c r="L10" s="121"/>
      <c r="M10" s="94">
        <f t="shared" ref="M10:M11" si="12">(L10*I10)*$M$2</f>
        <v>0</v>
      </c>
      <c r="N10" s="96"/>
      <c r="O10" s="94">
        <f t="shared" ref="O10:O11" si="13">N10*I10*$O$2</f>
        <v>0</v>
      </c>
      <c r="P10" s="96"/>
      <c r="Q10" s="94">
        <f t="shared" si="10"/>
        <v>0</v>
      </c>
      <c r="R10" s="75">
        <f t="shared" si="11"/>
        <v>10568.6284</v>
      </c>
      <c r="S10" s="159"/>
      <c r="T10" s="78"/>
    </row>
    <row r="11" spans="1:21" s="109" customFormat="1" ht="38.1" customHeight="1">
      <c r="A11" s="73" t="str">
        <f t="shared" si="6"/>
        <v>E00000803071260301</v>
      </c>
      <c r="B11" s="124"/>
      <c r="C11" s="118" t="s">
        <v>110</v>
      </c>
      <c r="D11" s="118"/>
      <c r="E11" s="124"/>
      <c r="F11" s="91" t="s">
        <v>111</v>
      </c>
      <c r="G11" s="91" t="s">
        <v>113</v>
      </c>
      <c r="H11" s="126" t="s">
        <v>85</v>
      </c>
      <c r="I11" s="100">
        <v>0.21729999999999999</v>
      </c>
      <c r="J11" s="129"/>
      <c r="K11" s="94">
        <f t="shared" si="7"/>
        <v>0</v>
      </c>
      <c r="L11" s="121">
        <v>487076</v>
      </c>
      <c r="M11" s="94">
        <f t="shared" si="12"/>
        <v>88377.748357999997</v>
      </c>
      <c r="N11" s="96"/>
      <c r="O11" s="94">
        <f t="shared" si="13"/>
        <v>0</v>
      </c>
      <c r="P11" s="96"/>
      <c r="Q11" s="94">
        <f t="shared" si="10"/>
        <v>0</v>
      </c>
      <c r="R11" s="75">
        <f t="shared" si="11"/>
        <v>88377.748357999997</v>
      </c>
      <c r="S11" s="160"/>
      <c r="T11" s="78"/>
      <c r="U11" s="161"/>
    </row>
    <row r="12" spans="1:21" s="109" customFormat="1" ht="38.1" customHeight="1">
      <c r="A12" s="73" t="str">
        <f t="shared" si="0"/>
        <v>L003</v>
      </c>
      <c r="B12" s="84"/>
      <c r="C12" s="85"/>
      <c r="D12" s="85"/>
      <c r="E12" s="84" t="s">
        <v>58</v>
      </c>
      <c r="F12" s="91" t="s">
        <v>115</v>
      </c>
      <c r="G12" s="92" t="s">
        <v>86</v>
      </c>
      <c r="H12" s="99" t="s">
        <v>87</v>
      </c>
      <c r="I12" s="101">
        <v>1.5</v>
      </c>
      <c r="J12" s="86"/>
      <c r="K12" s="74">
        <f t="shared" si="1"/>
        <v>0</v>
      </c>
      <c r="L12" s="88">
        <v>219321</v>
      </c>
      <c r="M12" s="74">
        <f t="shared" ref="M12" si="14">I12*L12</f>
        <v>328981.5</v>
      </c>
      <c r="N12" s="75"/>
      <c r="O12" s="74">
        <f t="shared" si="3"/>
        <v>0</v>
      </c>
      <c r="P12" s="75"/>
      <c r="Q12" s="74">
        <f t="shared" si="4"/>
        <v>0</v>
      </c>
      <c r="R12" s="76">
        <f t="shared" si="5"/>
        <v>328981.5</v>
      </c>
      <c r="S12" s="83"/>
      <c r="T12" s="78"/>
    </row>
    <row r="13" spans="1:21" s="111" customFormat="1" ht="38.1" customHeight="1">
      <c r="A13" s="110"/>
      <c r="F13" s="104"/>
      <c r="G13" s="104"/>
      <c r="K13" s="112">
        <f>SUM(K5:K12)</f>
        <v>353586.62839999999</v>
      </c>
      <c r="L13" s="113"/>
      <c r="M13" s="112">
        <f>SUM(M5:M12)</f>
        <v>896905.15915799991</v>
      </c>
      <c r="N13" s="113"/>
      <c r="O13" s="112">
        <f>SUM(O5:O12)</f>
        <v>0</v>
      </c>
      <c r="P13" s="113"/>
      <c r="Q13" s="112">
        <f>SUM(Q5:Q12)</f>
        <v>0</v>
      </c>
      <c r="R13" s="114">
        <f>SUM(R5:R12)</f>
        <v>1250491.7875580001</v>
      </c>
      <c r="S13" s="79"/>
    </row>
    <row r="14" spans="1:21" ht="38.1" customHeight="1">
      <c r="F14" s="143" t="s">
        <v>114</v>
      </c>
      <c r="G14" s="143"/>
      <c r="H14" s="143"/>
      <c r="I14" s="143"/>
    </row>
    <row r="15" spans="1:21" ht="38.1" customHeight="1">
      <c r="F15" s="143" t="s">
        <v>93</v>
      </c>
      <c r="G15" s="143"/>
      <c r="H15" s="143"/>
      <c r="I15" s="143"/>
    </row>
    <row r="16" spans="1:21" ht="38.1" customHeight="1">
      <c r="F16" s="143" t="s">
        <v>90</v>
      </c>
      <c r="G16" s="143"/>
      <c r="H16" s="143"/>
      <c r="I16" s="143"/>
    </row>
    <row r="17" spans="6:13" ht="38.1" customHeight="1">
      <c r="F17" s="143" t="s">
        <v>91</v>
      </c>
      <c r="G17" s="143"/>
      <c r="H17" s="143"/>
      <c r="I17" s="143"/>
      <c r="M17" s="116"/>
    </row>
    <row r="18" spans="6:13" ht="38.1" customHeight="1">
      <c r="F18" s="143" t="s">
        <v>105</v>
      </c>
      <c r="G18" s="143"/>
      <c r="H18" s="143"/>
      <c r="I18" s="143"/>
    </row>
  </sheetData>
  <mergeCells count="17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  <mergeCell ref="F14:I14"/>
    <mergeCell ref="F15:I15"/>
    <mergeCell ref="F16:I16"/>
    <mergeCell ref="F17:I17"/>
    <mergeCell ref="F18:I18"/>
  </mergeCells>
  <phoneticPr fontId="10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F9"/>
  <sheetViews>
    <sheetView showGridLines="0" zoomScaleNormal="100" workbookViewId="0">
      <selection activeCell="M30" sqref="M30"/>
    </sheetView>
  </sheetViews>
  <sheetFormatPr defaultColWidth="9" defaultRowHeight="13.5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7.5" style="65" customWidth="1"/>
    <col min="7" max="16384" width="9" style="93"/>
  </cols>
  <sheetData>
    <row r="1" spans="1:6" ht="18" customHeight="1">
      <c r="A1" s="80" t="s">
        <v>0</v>
      </c>
      <c r="B1" s="80" t="s">
        <v>1</v>
      </c>
      <c r="C1" s="80" t="s">
        <v>2</v>
      </c>
      <c r="D1" s="80" t="s">
        <v>3</v>
      </c>
      <c r="E1" s="80" t="s">
        <v>4</v>
      </c>
      <c r="F1" s="80" t="s">
        <v>5</v>
      </c>
    </row>
    <row r="2" spans="1:6">
      <c r="A2" s="81" t="str">
        <f>'내역서(표준단가)'!A5</f>
        <v>M020750510120102</v>
      </c>
      <c r="B2" s="82">
        <f>'내역서(표준단가)'!B5</f>
        <v>0</v>
      </c>
      <c r="C2" s="82">
        <f>'내역서(표준단가)'!C5</f>
        <v>0</v>
      </c>
      <c r="D2" s="82" t="str">
        <f>'내역서(표준단가)'!D5</f>
        <v>M020750510120102</v>
      </c>
      <c r="E2" s="82">
        <f>'내역서(표준단가)'!E5</f>
        <v>0</v>
      </c>
      <c r="F2" s="162">
        <f>'내역서(표준단가)'!I5</f>
        <v>10</v>
      </c>
    </row>
    <row r="3" spans="1:6">
      <c r="A3" s="81" t="str">
        <f>'내역서(표준단가)'!A6</f>
        <v>M020750510130102</v>
      </c>
      <c r="B3" s="82">
        <f>'내역서(표준단가)'!B6</f>
        <v>0</v>
      </c>
      <c r="C3" s="82">
        <f>'내역서(표준단가)'!C6</f>
        <v>0</v>
      </c>
      <c r="D3" s="82" t="str">
        <f>'내역서(표준단가)'!D6</f>
        <v>M020750510130102</v>
      </c>
      <c r="E3" s="82">
        <f>'내역서(표준단가)'!E6</f>
        <v>0</v>
      </c>
      <c r="F3" s="162">
        <f>'내역서(표준단가)'!I6</f>
        <v>3</v>
      </c>
    </row>
    <row r="4" spans="1:6">
      <c r="A4" s="81" t="str">
        <f>'내역서(표준단가)'!A7</f>
        <v>M020750510130104</v>
      </c>
      <c r="B4" s="82">
        <f>'내역서(표준단가)'!B7</f>
        <v>0</v>
      </c>
      <c r="C4" s="82">
        <f>'내역서(표준단가)'!C7</f>
        <v>0</v>
      </c>
      <c r="D4" s="82" t="str">
        <f>'내역서(표준단가)'!D7</f>
        <v>M020750510130104</v>
      </c>
      <c r="E4" s="82">
        <f>'내역서(표준단가)'!E7</f>
        <v>0</v>
      </c>
      <c r="F4" s="162">
        <f>'내역서(표준단가)'!I7</f>
        <v>14.4</v>
      </c>
    </row>
    <row r="5" spans="1:6">
      <c r="A5" s="81" t="str">
        <f>'내역서(표준단가)'!A8</f>
        <v>E00000803066520103</v>
      </c>
      <c r="B5" s="82">
        <f>'내역서(표준단가)'!B8</f>
        <v>0</v>
      </c>
      <c r="C5" s="82" t="str">
        <f>'내역서(표준단가)'!C8</f>
        <v>E00000803066520103</v>
      </c>
      <c r="D5" s="82">
        <f>'내역서(표준단가)'!D8</f>
        <v>0</v>
      </c>
      <c r="E5" s="82">
        <f>'내역서(표준단가)'!E8</f>
        <v>0</v>
      </c>
      <c r="F5" s="162">
        <f>'내역서(표준단가)'!I8</f>
        <v>0.88</v>
      </c>
    </row>
    <row r="6" spans="1:6">
      <c r="A6" s="81" t="str">
        <f>'내역서(표준단가)'!A9</f>
        <v>M020806810430101</v>
      </c>
      <c r="B6" s="82">
        <f>'내역서(표준단가)'!B9</f>
        <v>0</v>
      </c>
      <c r="C6" s="82">
        <f>'내역서(표준단가)'!C9</f>
        <v>0</v>
      </c>
      <c r="D6" s="82" t="str">
        <f>'내역서(표준단가)'!D9</f>
        <v>M020806810430101</v>
      </c>
      <c r="E6" s="82">
        <f>'내역서(표준단가)'!E9</f>
        <v>0</v>
      </c>
      <c r="F6" s="162">
        <f>'내역서(표준단가)'!I9</f>
        <v>1</v>
      </c>
    </row>
    <row r="7" spans="1:6">
      <c r="A7" s="81" t="str">
        <f>'내역서(표준단가)'!A10</f>
        <v>M020853710050101</v>
      </c>
      <c r="B7" s="82">
        <f>'내역서(표준단가)'!B10</f>
        <v>0</v>
      </c>
      <c r="C7" s="82">
        <f>'내역서(표준단가)'!C10</f>
        <v>0</v>
      </c>
      <c r="D7" s="82" t="str">
        <f>'내역서(표준단가)'!D10</f>
        <v>M020853710050101</v>
      </c>
      <c r="E7" s="82">
        <f>'내역서(표준단가)'!E10</f>
        <v>0</v>
      </c>
      <c r="F7" s="162">
        <f>'내역서(표준단가)'!I10</f>
        <v>0.60560000000000003</v>
      </c>
    </row>
    <row r="8" spans="1:6">
      <c r="A8" s="81" t="str">
        <f>'내역서(표준단가)'!A11</f>
        <v>E00000803071260301</v>
      </c>
      <c r="B8" s="82">
        <f>'내역서(표준단가)'!B11</f>
        <v>0</v>
      </c>
      <c r="C8" s="82" t="str">
        <f>'내역서(표준단가)'!C11</f>
        <v>E00000803071260301</v>
      </c>
      <c r="D8" s="82">
        <f>'내역서(표준단가)'!D11</f>
        <v>0</v>
      </c>
      <c r="E8" s="82">
        <f>'내역서(표준단가)'!E11</f>
        <v>0</v>
      </c>
      <c r="F8" s="162">
        <f>'내역서(표준단가)'!I11</f>
        <v>0.21729999999999999</v>
      </c>
    </row>
    <row r="9" spans="1:6">
      <c r="A9" s="81" t="str">
        <f>'내역서(표준단가)'!A12</f>
        <v>L003</v>
      </c>
      <c r="B9" s="82">
        <f>'내역서(표준단가)'!B12</f>
        <v>0</v>
      </c>
      <c r="C9" s="82">
        <f>'내역서(표준단가)'!C12</f>
        <v>0</v>
      </c>
      <c r="D9" s="82">
        <f>'내역서(표준단가)'!D12</f>
        <v>0</v>
      </c>
      <c r="E9" s="82" t="str">
        <f>'내역서(표준단가)'!E12</f>
        <v>L003</v>
      </c>
      <c r="F9" s="162">
        <f>'내역서(표준단가)'!I12</f>
        <v>1.5</v>
      </c>
    </row>
  </sheetData>
  <phoneticPr fontId="10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갑지</vt:lpstr>
      <vt:lpstr>내역서(표준단가)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2024-01-06T06:05:11Z</cp:lastPrinted>
  <dcterms:created xsi:type="dcterms:W3CDTF">2020-09-15T23:52:51Z</dcterms:created>
  <dcterms:modified xsi:type="dcterms:W3CDTF">2026-01-26T03:14:11Z</dcterms:modified>
</cp:coreProperties>
</file>
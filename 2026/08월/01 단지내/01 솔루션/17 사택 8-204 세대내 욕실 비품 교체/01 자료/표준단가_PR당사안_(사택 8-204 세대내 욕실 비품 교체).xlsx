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BCA4B8EB-1765-4DBE-8330-F06F19834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A8" i="4"/>
  <c r="A5" i="1" s="1"/>
  <c r="A7" i="4"/>
  <c r="A4" i="1" s="1"/>
  <c r="A6" i="4"/>
  <c r="A3" i="1" s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A5" i="4"/>
  <c r="A2" i="1" s="1"/>
  <c r="M8" i="4"/>
  <c r="M7" i="4"/>
  <c r="Q8" i="4"/>
  <c r="O8" i="4"/>
  <c r="K8" i="4"/>
  <c r="Q7" i="4"/>
  <c r="O7" i="4"/>
  <c r="K7" i="4"/>
  <c r="Q6" i="4"/>
  <c r="O6" i="4"/>
  <c r="M6" i="4"/>
  <c r="K6" i="4"/>
  <c r="Q5" i="4"/>
  <c r="O5" i="4"/>
  <c r="M5" i="4"/>
  <c r="K5" i="4"/>
  <c r="J22" i="6" l="1"/>
  <c r="J24" i="6"/>
  <c r="J23" i="6"/>
  <c r="J25" i="6"/>
  <c r="J27" i="6" s="1"/>
  <c r="J26" i="6"/>
  <c r="R5" i="4"/>
  <c r="R6" i="4"/>
  <c r="R8" i="4"/>
  <c r="R7" i="4"/>
  <c r="J28" i="6" l="1"/>
  <c r="J20" i="6"/>
  <c r="J30" i="6"/>
  <c r="Q9" i="4"/>
  <c r="O9" i="4"/>
  <c r="M9" i="4"/>
  <c r="K9" i="4"/>
  <c r="M32" i="6" l="1"/>
  <c r="B15" i="6" s="1"/>
  <c r="K10" i="4"/>
  <c r="M10" i="4"/>
  <c r="R9" i="4"/>
  <c r="R10" i="4" l="1"/>
  <c r="Q10" i="4"/>
  <c r="O10" i="4"/>
</calcChain>
</file>

<file path=xl/sharedStrings.xml><?xml version="1.0" encoding="utf-8"?>
<sst xmlns="http://schemas.openxmlformats.org/spreadsheetml/2006/main" count="134" uniqueCount="114">
  <si>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</si>
  <si>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</si>
  <si>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</si>
  <si>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</si>
  <si>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</si>
  <si>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</si>
  <si>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</si>
  <si>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</si>
  <si>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</si>
  <si>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</si>
  <si>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</si>
  <si>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</si>
  <si>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</si>
  <si>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</si>
  <si>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</si>
  <si>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</si>
  <si>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</si>
  <si>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</si>
  <si>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</si>
  <si>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</si>
  <si>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</si>
  <si>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</si>
  <si>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</si>
  <si>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</si>
  <si>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</si>
  <si>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</si>
  <si>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</si>
  <si>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</si>
  <si>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</si>
  <si>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  <phoneticPr fontId="6" type="noConversion"/>
  </si>
  <si>
    <t>작업내용</t>
    <phoneticPr fontId="6" type="noConversion"/>
  </si>
  <si>
    <t>개</t>
  </si>
  <si>
    <r>
      <rPr>
        <sz val="10"/>
        <color indexed="8"/>
        <rFont val="Malgun Gothic"/>
        <family val="3"/>
        <charset val="129"/>
      </rPr>
      <t>개</t>
    </r>
  </si>
  <si>
    <t>M025501312640101</t>
  </si>
  <si>
    <t>KAC-20, (유리)</t>
  </si>
  <si>
    <t>M020491510060101</t>
  </si>
  <si>
    <t>방문경첩/목문경첩</t>
  </si>
  <si>
    <t>H03-033, 방문경첩 830-4035 블랙/화이트 3개입</t>
  </si>
  <si>
    <t>인</t>
    <phoneticPr fontId="6" type="noConversion"/>
  </si>
  <si>
    <t>2.화장실 도어 경첩 교체</t>
    <phoneticPr fontId="6" type="noConversion"/>
  </si>
  <si>
    <r>
      <t>코너선반</t>
    </r>
    <r>
      <rPr>
        <sz val="9"/>
        <color rgb="FFFF0000"/>
        <rFont val="Malgun Gothic"/>
        <family val="3"/>
        <charset val="129"/>
      </rPr>
      <t>(화장경 적용)</t>
    </r>
    <phoneticPr fontId="6" type="noConversion"/>
  </si>
  <si>
    <t>3.베란다 샷시 손잡이 파손 교체 1개소</t>
    <phoneticPr fontId="6" type="noConversion"/>
  </si>
  <si>
    <t>L030</t>
    <phoneticPr fontId="6" type="noConversion"/>
  </si>
  <si>
    <r>
      <t xml:space="preserve">화장경 및 경첩, 샤시 손잡이 교체(손잡이포함) 내장공, </t>
    </r>
    <r>
      <rPr>
        <sz val="10"/>
        <color rgb="FFFF0000"/>
        <rFont val="Malgun Gothic"/>
        <family val="3"/>
        <charset val="129"/>
      </rPr>
      <t>최소 인건비 적용</t>
    </r>
    <phoneticPr fontId="6" type="noConversion"/>
  </si>
  <si>
    <r>
      <t xml:space="preserve">화장경 및 경첩, 샤시 손잡이 교체(손잡이포함) 특별인부, </t>
    </r>
    <r>
      <rPr>
        <sz val="10"/>
        <color rgb="FFFF0000"/>
        <rFont val="Malgun Gothic"/>
        <family val="3"/>
        <charset val="129"/>
      </rPr>
      <t>최소 인건비 적용</t>
    </r>
    <phoneticPr fontId="6" type="noConversion"/>
  </si>
  <si>
    <t>내장공, 시중노임단가</t>
    <phoneticPr fontId="6" type="noConversion"/>
  </si>
  <si>
    <t>특별인부, 시중노임단가</t>
    <phoneticPr fontId="6" type="noConversion"/>
  </si>
  <si>
    <t>1.욕실 화장경 교체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</si>
  <si>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</si>
  <si>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</si>
  <si>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</si>
  <si>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</si>
  <si>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</si>
  <si>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</si>
  <si>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</si>
  <si>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</si>
  <si>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</si>
  <si>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</si>
  <si>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</si>
  <si>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</si>
  <si>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</si>
  <si>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</si>
  <si>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</si>
  <si>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</si>
  <si>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</si>
  <si>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</si>
  <si>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</si>
  <si>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</si>
  <si>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</si>
  <si>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</si>
  <si>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</si>
  <si>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</si>
  <si>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</si>
  <si>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</si>
  <si>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</si>
  <si>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</si>
  <si>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</si>
  <si>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</si>
  <si>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</si>
  <si>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</si>
  <si>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</si>
  <si>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</si>
  <si>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</si>
  <si>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</si>
  <si>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</si>
  <si>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</si>
  <si>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</si>
  <si>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</si>
  <si>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</si>
  <si>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</si>
  <si>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</si>
  <si>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</si>
  <si>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</si>
  <si>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</si>
  <si>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</si>
  <si>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</si>
  <si>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</si>
  <si>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</si>
  <si>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</si>
  <si>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</si>
  <si>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</si>
  <si>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</si>
  <si>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</si>
  <si>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</si>
  <si>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</si>
  <si>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</si>
  <si>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</si>
  <si>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</si>
  <si>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</si>
  <si>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</si>
  <si>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</si>
  <si>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</si>
  <si>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대전 업무지원팀 / 김규환님 귀하</t>
  </si>
  <si>
    <t>사택 8-204 세대내 욕실 비품 교체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</si>
</sst>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#,##0.000_ "/>
    <numFmt numFmtId="184" formatCode="0.000_ "/>
    <numFmt numFmtId="185" formatCode="#,##0;\-#,##0;"/>
    <numFmt numFmtId="186" formatCode="0.000"/>
    <numFmt numFmtId="187" formatCode="&quot;공사명:&quot;\ @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000000"/>
      <name val="Arial"/>
      <family val="2"/>
    </font>
    <font>
      <sz val="9"/>
      <color rgb="FF000000"/>
      <name val="Malgun Gothic"/>
      <family val="3"/>
      <charset val="129"/>
    </font>
    <font>
      <b/>
      <sz val="16"/>
      <color rgb="FF000000"/>
      <name val="굴림"/>
      <family val="3"/>
      <charset val="129"/>
    </font>
    <font>
      <sz val="16"/>
      <color rgb="FF000000"/>
      <name val="Arial"/>
      <family val="2"/>
    </font>
    <font>
      <sz val="10"/>
      <color indexed="8"/>
      <name val="Arial Narrow"/>
      <family val="2"/>
    </font>
    <font>
      <sz val="10"/>
      <color indexed="8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181" fontId="17" fillId="3" borderId="0" xfId="2" applyNumberFormat="1" applyFont="1" applyFill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4" borderId="2" xfId="4" applyFont="1" applyFill="1" applyBorder="1" applyAlignment="1">
      <alignment horizontal="center" vertical="center"/>
    </xf>
    <xf numFmtId="179" fontId="17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84" fontId="14" fillId="0" borderId="1" xfId="1" applyNumberFormat="1" applyFont="1" applyBorder="1" applyAlignment="1">
      <alignment horizontal="center" vertical="center"/>
    </xf>
    <xf numFmtId="183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2" fontId="14" fillId="5" borderId="2" xfId="0" applyNumberFormat="1" applyFont="1" applyFill="1" applyBorder="1" applyAlignment="1">
      <alignment horizontal="right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185" fontId="14" fillId="5" borderId="2" xfId="0" applyNumberFormat="1" applyFont="1" applyFill="1" applyBorder="1" applyAlignment="1">
      <alignment horizontal="right" vertical="center" wrapText="1"/>
    </xf>
    <xf numFmtId="185" fontId="14" fillId="6" borderId="2" xfId="1" applyNumberFormat="1" applyFont="1" applyFill="1" applyBorder="1" applyAlignment="1">
      <alignment horizontal="right" vertical="center" wrapText="1"/>
    </xf>
    <xf numFmtId="185" fontId="14" fillId="0" borderId="2" xfId="1" applyNumberFormat="1" applyFont="1" applyFill="1" applyBorder="1" applyAlignment="1">
      <alignment horizontal="right" vertical="center" wrapText="1"/>
    </xf>
    <xf numFmtId="186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7" fillId="4" borderId="2" xfId="3" applyFont="1" applyFill="1" applyBorder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7" fillId="8" borderId="9" xfId="0" applyFont="1" applyFill="1" applyBorder="1">
      <alignment vertical="center"/>
    </xf>
    <xf numFmtId="0" fontId="17" fillId="8" borderId="6" xfId="0" applyFont="1" applyFill="1" applyBorder="1">
      <alignment vertical="center"/>
    </xf>
    <xf numFmtId="0" fontId="18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6" fillId="9" borderId="0" xfId="0" applyFont="1" applyFill="1">
      <alignment vertical="center"/>
    </xf>
    <xf numFmtId="0" fontId="16" fillId="5" borderId="0" xfId="0" applyFont="1" applyFill="1">
      <alignment vertical="center"/>
    </xf>
    <xf numFmtId="176" fontId="11" fillId="9" borderId="0" xfId="0" applyNumberFormat="1" applyFont="1" applyFill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16" fillId="0" borderId="0" xfId="0" applyFont="1">
      <alignment vertical="center"/>
    </xf>
    <xf numFmtId="0" fontId="17" fillId="5" borderId="0" xfId="0" applyFont="1" applyFill="1">
      <alignment vertical="center"/>
    </xf>
    <xf numFmtId="176" fontId="21" fillId="5" borderId="2" xfId="1" applyFont="1" applyFill="1" applyBorder="1" applyAlignment="1">
      <alignment horizontal="right" vertical="center"/>
    </xf>
    <xf numFmtId="176" fontId="20" fillId="5" borderId="2" xfId="1" applyFont="1" applyFill="1" applyBorder="1" applyAlignment="1">
      <alignment horizontal="center" vertical="center" wrapText="1"/>
    </xf>
    <xf numFmtId="49" fontId="23" fillId="5" borderId="2" xfId="0" applyNumberFormat="1" applyFont="1" applyFill="1" applyBorder="1" applyAlignment="1">
      <alignment horizontal="center" vertical="center" wrapText="1"/>
    </xf>
    <xf numFmtId="49" fontId="24" fillId="5" borderId="2" xfId="0" applyNumberFormat="1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5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0" fontId="33" fillId="0" borderId="0" xfId="18" applyFont="1">
      <alignment vertical="center"/>
    </xf>
    <xf numFmtId="0" fontId="32" fillId="0" borderId="14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15" xfId="17" applyFont="1" applyBorder="1" applyAlignment="1">
      <alignment horizontal="center" vertical="center"/>
    </xf>
    <xf numFmtId="0" fontId="35" fillId="0" borderId="14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15" xfId="17" applyFont="1" applyBorder="1" applyAlignment="1">
      <alignment vertical="center"/>
    </xf>
    <xf numFmtId="0" fontId="38" fillId="0" borderId="14" xfId="17" applyFont="1" applyBorder="1" applyAlignment="1">
      <alignment horizontal="left" vertical="center" indent="2"/>
    </xf>
    <xf numFmtId="0" fontId="33" fillId="0" borderId="16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15" xfId="17" applyFont="1" applyBorder="1" applyAlignment="1">
      <alignment horizontal="right" vertical="center"/>
    </xf>
    <xf numFmtId="0" fontId="38" fillId="0" borderId="14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15" xfId="17" applyFont="1" applyBorder="1" applyAlignment="1">
      <alignment vertical="center"/>
    </xf>
    <xf numFmtId="0" fontId="33" fillId="0" borderId="18" xfId="17" applyFont="1" applyBorder="1" applyAlignment="1">
      <alignment horizontal="center" vertical="center"/>
    </xf>
    <xf numFmtId="0" fontId="33" fillId="0" borderId="19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10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33" fillId="0" borderId="29" xfId="17" applyFont="1" applyBorder="1" applyAlignment="1">
      <alignment horizontal="center" vertical="center"/>
    </xf>
    <xf numFmtId="0" fontId="33" fillId="0" borderId="14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14" xfId="17" applyFont="1" applyBorder="1" applyAlignment="1">
      <alignment vertical="center"/>
    </xf>
    <xf numFmtId="0" fontId="33" fillId="0" borderId="15" xfId="17" applyFont="1" applyBorder="1" applyAlignment="1">
      <alignment vertical="center"/>
    </xf>
    <xf numFmtId="0" fontId="38" fillId="0" borderId="14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2" borderId="30" xfId="17" applyFont="1" applyFill="1" applyBorder="1" applyAlignment="1">
      <alignment horizontal="center" vertical="center"/>
    </xf>
    <xf numFmtId="0" fontId="43" fillId="12" borderId="31" xfId="17" applyFont="1" applyFill="1" applyBorder="1" applyAlignment="1">
      <alignment horizontal="center" vertical="center"/>
    </xf>
    <xf numFmtId="3" fontId="43" fillId="12" borderId="31" xfId="17" applyNumberFormat="1" applyFont="1" applyFill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/>
    </xf>
    <xf numFmtId="0" fontId="33" fillId="0" borderId="39" xfId="17" applyFont="1" applyBorder="1" applyAlignment="1">
      <alignment horizontal="center" vertical="center"/>
    </xf>
    <xf numFmtId="0" fontId="33" fillId="0" borderId="45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49" xfId="20" applyFont="1" applyBorder="1" applyAlignment="1">
      <alignment horizontal="left" vertical="center" wrapText="1" indent="1"/>
    </xf>
    <xf numFmtId="0" fontId="37" fillId="0" borderId="54" xfId="20" applyFont="1" applyBorder="1" applyAlignment="1">
      <alignment horizontal="center" vertical="center"/>
    </xf>
    <xf numFmtId="186" fontId="37" fillId="0" borderId="54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56" xfId="20" applyNumberFormat="1" applyFont="1" applyBorder="1" applyAlignment="1">
      <alignment horizontal="center" vertical="center"/>
    </xf>
    <xf numFmtId="0" fontId="37" fillId="0" borderId="59" xfId="20" applyFont="1" applyBorder="1" applyAlignment="1">
      <alignment horizontal="center" vertical="center"/>
    </xf>
    <xf numFmtId="0" fontId="33" fillId="0" borderId="61" xfId="17" applyFont="1" applyBorder="1" applyAlignment="1">
      <alignment horizontal="center" vertical="center"/>
    </xf>
    <xf numFmtId="0" fontId="33" fillId="0" borderId="62" xfId="20" applyFont="1" applyBorder="1" applyAlignment="1">
      <alignment horizontal="left" vertical="center" wrapText="1" indent="1"/>
    </xf>
    <xf numFmtId="1" fontId="37" fillId="0" borderId="63" xfId="20" applyNumberFormat="1" applyFont="1" applyBorder="1" applyAlignment="1">
      <alignment horizontal="center" vertical="center"/>
    </xf>
    <xf numFmtId="0" fontId="37" fillId="0" borderId="63" xfId="20" applyFont="1" applyBorder="1" applyAlignment="1">
      <alignment horizontal="center" vertical="center"/>
    </xf>
    <xf numFmtId="0" fontId="37" fillId="0" borderId="67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3" borderId="32" xfId="17" applyNumberFormat="1" applyFont="1" applyFill="1" applyBorder="1" applyAlignment="1">
      <alignment horizontal="right" vertical="center"/>
    </xf>
    <xf numFmtId="0" fontId="47" fillId="13" borderId="32" xfId="17" applyFont="1" applyFill="1" applyBorder="1" applyAlignment="1">
      <alignment horizontal="right" vertical="center"/>
    </xf>
    <xf numFmtId="176" fontId="47" fillId="13" borderId="69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14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15" xfId="17" applyNumberFormat="1" applyFont="1" applyBorder="1" applyAlignment="1">
      <alignment vertical="center"/>
    </xf>
    <xf numFmtId="49" fontId="33" fillId="0" borderId="14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15" xfId="20" applyFont="1" applyBorder="1" applyAlignment="1">
      <alignment horizontal="left" vertical="center"/>
    </xf>
    <xf numFmtId="49" fontId="33" fillId="0" borderId="71" xfId="17" applyNumberFormat="1" applyFont="1" applyBorder="1" applyAlignment="1">
      <alignment vertical="center"/>
    </xf>
    <xf numFmtId="49" fontId="33" fillId="0" borderId="72" xfId="17" applyNumberFormat="1" applyFont="1" applyBorder="1" applyAlignment="1">
      <alignment vertical="center"/>
    </xf>
    <xf numFmtId="49" fontId="33" fillId="0" borderId="73" xfId="17" applyNumberFormat="1" applyFont="1" applyBorder="1" applyAlignment="1">
      <alignment vertical="center"/>
    </xf>
    <xf numFmtId="0" fontId="38" fillId="0" borderId="16" xfId="17" applyFont="1" applyBorder="1" applyAlignment="1">
      <alignment vertical="center"/>
    </xf>
    <xf numFmtId="0" fontId="33" fillId="0" borderId="17" xfId="17" applyFont="1" applyBorder="1" applyAlignment="1">
      <alignment horizontal="right" vertical="center"/>
    </xf>
    <xf numFmtId="0" fontId="33" fillId="0" borderId="36" xfId="20" applyFont="1" applyBorder="1" applyAlignment="1">
      <alignment horizontal="center" vertical="center"/>
    </xf>
    <xf numFmtId="0" fontId="33" fillId="0" borderId="38" xfId="20" applyFont="1" applyBorder="1" applyAlignment="1">
      <alignment horizontal="center" vertical="center"/>
    </xf>
    <xf numFmtId="0" fontId="33" fillId="0" borderId="43" xfId="20" applyFont="1" applyBorder="1" applyAlignment="1">
      <alignment horizontal="center" vertical="center"/>
    </xf>
    <xf numFmtId="0" fontId="37" fillId="0" borderId="50" xfId="20" applyFont="1" applyBorder="1" applyAlignment="1">
      <alignment horizontal="center" vertical="center"/>
    </xf>
    <xf numFmtId="187" fontId="42" fillId="11" borderId="0" xfId="17" applyNumberFormat="1" applyFont="1" applyFill="1" applyAlignment="1">
      <alignment horizontal="left" vertical="center"/>
    </xf>
    <xf numFmtId="0" fontId="32" fillId="0" borderId="11" xfId="17" applyFont="1" applyBorder="1" applyAlignment="1">
      <alignment horizontal="center" vertical="center"/>
    </xf>
    <xf numFmtId="0" fontId="32" fillId="0" borderId="12" xfId="17" applyFont="1" applyBorder="1" applyAlignment="1">
      <alignment horizontal="center" vertical="center"/>
    </xf>
    <xf numFmtId="0" fontId="32" fillId="0" borderId="13" xfId="17" applyFont="1" applyBorder="1" applyAlignment="1">
      <alignment horizontal="center" vertical="center"/>
    </xf>
    <xf numFmtId="0" fontId="34" fillId="0" borderId="14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15" xfId="17" applyFont="1" applyBorder="1" applyAlignment="1" applyProtection="1">
      <alignment horizontal="center" vertical="center"/>
      <protection locked="0"/>
    </xf>
    <xf numFmtId="0" fontId="33" fillId="10" borderId="17" xfId="17" applyFont="1" applyFill="1" applyBorder="1" applyAlignment="1">
      <alignment horizontal="center" vertical="center"/>
    </xf>
    <xf numFmtId="0" fontId="33" fillId="10" borderId="18" xfId="17" applyFont="1" applyFill="1" applyBorder="1" applyAlignment="1">
      <alignment horizontal="center" vertical="center"/>
    </xf>
    <xf numFmtId="0" fontId="33" fillId="10" borderId="19" xfId="17" applyFont="1" applyFill="1" applyBorder="1" applyAlignment="1">
      <alignment horizontal="center" vertical="center"/>
    </xf>
    <xf numFmtId="0" fontId="33" fillId="0" borderId="20" xfId="17" applyFont="1" applyBorder="1" applyAlignment="1">
      <alignment horizontal="center" vertical="center" wrapText="1"/>
    </xf>
    <xf numFmtId="0" fontId="33" fillId="0" borderId="23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3" fillId="0" borderId="21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22" xfId="17" applyFont="1" applyBorder="1" applyAlignment="1">
      <alignment horizontal="center" vertical="center"/>
    </xf>
    <xf numFmtId="0" fontId="40" fillId="0" borderId="21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22" xfId="17" applyFont="1" applyBorder="1" applyAlignment="1">
      <alignment horizontal="center" vertical="center"/>
    </xf>
    <xf numFmtId="0" fontId="33" fillId="0" borderId="21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22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24" xfId="17" applyFont="1" applyBorder="1" applyAlignment="1">
      <alignment horizontal="center" vertical="center"/>
    </xf>
    <xf numFmtId="0" fontId="33" fillId="0" borderId="25" xfId="17" applyFont="1" applyBorder="1" applyAlignment="1">
      <alignment horizontal="center" vertical="center"/>
    </xf>
    <xf numFmtId="0" fontId="33" fillId="0" borderId="26" xfId="17" applyFont="1" applyBorder="1" applyAlignment="1">
      <alignment horizontal="center" vertical="center"/>
    </xf>
    <xf numFmtId="0" fontId="33" fillId="0" borderId="24" xfId="17" applyFont="1" applyBorder="1" applyAlignment="1">
      <alignment horizontal="left" vertical="center" indent="1"/>
    </xf>
    <xf numFmtId="0" fontId="33" fillId="0" borderId="25" xfId="17" applyFont="1" applyBorder="1" applyAlignment="1">
      <alignment horizontal="left" vertical="center" indent="1"/>
    </xf>
    <xf numFmtId="0" fontId="33" fillId="0" borderId="26" xfId="17" applyFont="1" applyBorder="1" applyAlignment="1">
      <alignment horizontal="left" vertical="center" indent="1"/>
    </xf>
    <xf numFmtId="0" fontId="44" fillId="11" borderId="0" xfId="19" applyFont="1" applyFill="1" applyAlignment="1">
      <alignment horizontal="left" vertical="center"/>
    </xf>
    <xf numFmtId="0" fontId="44" fillId="11" borderId="15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15" xfId="17" applyFont="1" applyBorder="1" applyAlignment="1">
      <alignment horizontal="right" vertical="center"/>
    </xf>
    <xf numFmtId="0" fontId="33" fillId="0" borderId="36" xfId="20" applyFont="1" applyBorder="1" applyAlignment="1">
      <alignment horizontal="center" vertical="center" wrapText="1"/>
    </xf>
    <xf numFmtId="0" fontId="33" fillId="0" borderId="18" xfId="20" applyFont="1" applyBorder="1" applyAlignment="1">
      <alignment horizontal="center" vertical="center" wrapText="1"/>
    </xf>
    <xf numFmtId="0" fontId="33" fillId="0" borderId="37" xfId="20" applyFont="1" applyBorder="1" applyAlignment="1">
      <alignment horizontal="center" vertical="center" wrapText="1"/>
    </xf>
    <xf numFmtId="176" fontId="33" fillId="0" borderId="38" xfId="21" applyFont="1" applyFill="1" applyBorder="1" applyAlignment="1">
      <alignment horizontal="right" vertical="center"/>
    </xf>
    <xf numFmtId="176" fontId="33" fillId="0" borderId="36" xfId="20" applyNumberFormat="1" applyFont="1" applyBorder="1" applyAlignment="1">
      <alignment horizontal="left" vertical="center"/>
    </xf>
    <xf numFmtId="176" fontId="33" fillId="0" borderId="19" xfId="20" applyNumberFormat="1" applyFont="1" applyBorder="1" applyAlignment="1">
      <alignment horizontal="left" vertical="center"/>
    </xf>
    <xf numFmtId="0" fontId="43" fillId="12" borderId="31" xfId="17" applyFont="1" applyFill="1" applyBorder="1" applyAlignment="1">
      <alignment horizontal="center" vertical="center"/>
    </xf>
    <xf numFmtId="0" fontId="43" fillId="12" borderId="32" xfId="17" applyFont="1" applyFill="1" applyBorder="1" applyAlignment="1">
      <alignment horizontal="center" vertical="center"/>
    </xf>
    <xf numFmtId="0" fontId="43" fillId="12" borderId="33" xfId="17" applyFont="1" applyFill="1" applyBorder="1" applyAlignment="1">
      <alignment horizontal="center" vertical="center"/>
    </xf>
    <xf numFmtId="3" fontId="43" fillId="12" borderId="31" xfId="17" applyNumberFormat="1" applyFont="1" applyFill="1" applyBorder="1" applyAlignment="1">
      <alignment horizontal="center" vertical="center"/>
    </xf>
    <xf numFmtId="3" fontId="43" fillId="12" borderId="32" xfId="17" applyNumberFormat="1" applyFont="1" applyFill="1" applyBorder="1" applyAlignment="1">
      <alignment horizontal="center" vertical="center"/>
    </xf>
    <xf numFmtId="3" fontId="43" fillId="12" borderId="33" xfId="17" applyNumberFormat="1" applyFont="1" applyFill="1" applyBorder="1" applyAlignment="1">
      <alignment horizontal="center" vertical="center"/>
    </xf>
    <xf numFmtId="0" fontId="43" fillId="12" borderId="34" xfId="17" applyFont="1" applyFill="1" applyBorder="1" applyAlignment="1">
      <alignment horizontal="center" vertical="center"/>
    </xf>
    <xf numFmtId="0" fontId="33" fillId="0" borderId="40" xfId="20" applyFont="1" applyBorder="1" applyAlignment="1">
      <alignment horizontal="center" vertical="center" wrapText="1"/>
    </xf>
    <xf numFmtId="0" fontId="33" fillId="0" borderId="41" xfId="20" applyFont="1" applyBorder="1" applyAlignment="1">
      <alignment horizontal="center" vertical="center" wrapText="1"/>
    </xf>
    <xf numFmtId="0" fontId="33" fillId="0" borderId="42" xfId="20" applyFont="1" applyBorder="1" applyAlignment="1">
      <alignment horizontal="center" vertical="center" wrapText="1"/>
    </xf>
    <xf numFmtId="176" fontId="33" fillId="0" borderId="40" xfId="21" applyFont="1" applyFill="1" applyBorder="1" applyAlignment="1">
      <alignment horizontal="right" vertical="center"/>
    </xf>
    <xf numFmtId="176" fontId="33" fillId="0" borderId="41" xfId="21" applyFont="1" applyFill="1" applyBorder="1" applyAlignment="1">
      <alignment horizontal="right" vertical="center"/>
    </xf>
    <xf numFmtId="176" fontId="33" fillId="0" borderId="42" xfId="21" applyFont="1" applyFill="1" applyBorder="1" applyAlignment="1">
      <alignment horizontal="right" vertical="center"/>
    </xf>
    <xf numFmtId="176" fontId="33" fillId="0" borderId="40" xfId="22" applyFont="1" applyBorder="1" applyAlignment="1">
      <alignment horizontal="left" vertical="center"/>
    </xf>
    <xf numFmtId="176" fontId="33" fillId="0" borderId="44" xfId="22" applyFont="1" applyBorder="1" applyAlignment="1">
      <alignment horizontal="left" vertical="center"/>
    </xf>
    <xf numFmtId="176" fontId="33" fillId="0" borderId="45" xfId="21" applyFont="1" applyBorder="1" applyAlignment="1">
      <alignment horizontal="center" vertical="center"/>
    </xf>
    <xf numFmtId="176" fontId="33" fillId="0" borderId="46" xfId="21" applyFont="1" applyBorder="1" applyAlignment="1">
      <alignment horizontal="center" vertical="center"/>
    </xf>
    <xf numFmtId="176" fontId="33" fillId="0" borderId="47" xfId="21" applyFont="1" applyBorder="1" applyAlignment="1">
      <alignment horizontal="center" vertical="center"/>
    </xf>
    <xf numFmtId="176" fontId="33" fillId="0" borderId="45" xfId="22" applyFont="1" applyBorder="1" applyAlignment="1">
      <alignment horizontal="left" vertical="center"/>
    </xf>
    <xf numFmtId="176" fontId="33" fillId="0" borderId="48" xfId="22" applyFont="1" applyBorder="1" applyAlignment="1">
      <alignment horizontal="left" vertical="center"/>
    </xf>
    <xf numFmtId="0" fontId="37" fillId="0" borderId="50" xfId="20" applyFont="1" applyBorder="1" applyAlignment="1">
      <alignment horizontal="left" vertical="center" wrapText="1" indent="1"/>
    </xf>
    <xf numFmtId="0" fontId="37" fillId="0" borderId="51" xfId="20" applyFont="1" applyBorder="1" applyAlignment="1">
      <alignment horizontal="left" vertical="center" wrapText="1" indent="1"/>
    </xf>
    <xf numFmtId="0" fontId="37" fillId="0" borderId="52" xfId="20" applyFont="1" applyBorder="1" applyAlignment="1">
      <alignment horizontal="left" vertical="center" wrapText="1" indent="1"/>
    </xf>
    <xf numFmtId="176" fontId="33" fillId="0" borderId="50" xfId="21" applyFont="1" applyFill="1" applyBorder="1" applyAlignment="1">
      <alignment horizontal="right" vertical="center"/>
    </xf>
    <xf numFmtId="176" fontId="33" fillId="0" borderId="51" xfId="21" applyFont="1" applyFill="1" applyBorder="1" applyAlignment="1">
      <alignment horizontal="right" vertical="center"/>
    </xf>
    <xf numFmtId="176" fontId="33" fillId="0" borderId="52" xfId="21" applyFont="1" applyFill="1" applyBorder="1" applyAlignment="1">
      <alignment horizontal="right" vertical="center"/>
    </xf>
    <xf numFmtId="176" fontId="33" fillId="0" borderId="50" xfId="22" applyFont="1" applyBorder="1" applyAlignment="1">
      <alignment horizontal="left" vertical="center"/>
    </xf>
    <xf numFmtId="176" fontId="33" fillId="0" borderId="53" xfId="22" applyFont="1" applyBorder="1" applyAlignment="1">
      <alignment horizontal="left" vertical="center"/>
    </xf>
    <xf numFmtId="0" fontId="37" fillId="0" borderId="54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55" xfId="20" applyFont="1" applyBorder="1" applyAlignment="1">
      <alignment horizontal="left" vertical="center" wrapText="1" indent="1"/>
    </xf>
    <xf numFmtId="176" fontId="33" fillId="0" borderId="54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55" xfId="21" applyFont="1" applyFill="1" applyBorder="1" applyAlignment="1">
      <alignment horizontal="right" vertical="center"/>
    </xf>
    <xf numFmtId="176" fontId="33" fillId="0" borderId="54" xfId="22" applyFont="1" applyFill="1" applyBorder="1" applyAlignment="1">
      <alignment horizontal="left" vertical="center"/>
    </xf>
    <xf numFmtId="176" fontId="33" fillId="0" borderId="22" xfId="22" applyFont="1" applyFill="1" applyBorder="1" applyAlignment="1">
      <alignment horizontal="left" vertical="center"/>
    </xf>
    <xf numFmtId="0" fontId="37" fillId="0" borderId="56" xfId="20" applyFont="1" applyBorder="1" applyAlignment="1">
      <alignment horizontal="left" vertical="center" wrapText="1" indent="1"/>
    </xf>
    <xf numFmtId="0" fontId="37" fillId="0" borderId="57" xfId="20" applyFont="1" applyBorder="1" applyAlignment="1">
      <alignment horizontal="left" vertical="center" wrapText="1" indent="1"/>
    </xf>
    <xf numFmtId="0" fontId="37" fillId="0" borderId="58" xfId="20" applyFont="1" applyBorder="1" applyAlignment="1">
      <alignment horizontal="left" vertical="center" wrapText="1" inden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Fill="1" applyBorder="1" applyAlignment="1">
      <alignment horizontal="left" vertical="center"/>
    </xf>
    <xf numFmtId="176" fontId="33" fillId="0" borderId="60" xfId="22" applyFont="1" applyFill="1" applyBorder="1" applyAlignment="1">
      <alignment horizontal="left" vertical="center"/>
    </xf>
    <xf numFmtId="0" fontId="37" fillId="0" borderId="63" xfId="20" applyFont="1" applyBorder="1" applyAlignment="1">
      <alignment horizontal="left" vertical="center" wrapText="1" indent="1"/>
    </xf>
    <xf numFmtId="0" fontId="37" fillId="0" borderId="64" xfId="20" applyFont="1" applyBorder="1" applyAlignment="1">
      <alignment horizontal="left" vertical="center" wrapText="1" indent="1"/>
    </xf>
    <xf numFmtId="0" fontId="37" fillId="0" borderId="65" xfId="20" applyFont="1" applyBorder="1" applyAlignment="1">
      <alignment horizontal="left" vertical="center" wrapText="1" indent="1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5" xfId="21" applyFont="1" applyFill="1" applyBorder="1" applyAlignment="1">
      <alignment horizontal="right" vertical="center"/>
    </xf>
    <xf numFmtId="176" fontId="33" fillId="0" borderId="63" xfId="22" applyFont="1" applyFill="1" applyBorder="1" applyAlignment="1">
      <alignment horizontal="left" vertical="center"/>
    </xf>
    <xf numFmtId="176" fontId="33" fillId="0" borderId="66" xfId="22" applyFont="1" applyFill="1" applyBorder="1" applyAlignment="1">
      <alignment horizontal="left" vertical="center"/>
    </xf>
    <xf numFmtId="0" fontId="47" fillId="13" borderId="68" xfId="17" applyFont="1" applyFill="1" applyBorder="1" applyAlignment="1">
      <alignment horizontal="center" vertical="center"/>
    </xf>
    <xf numFmtId="0" fontId="47" fillId="13" borderId="32" xfId="17" applyFont="1" applyFill="1" applyBorder="1" applyAlignment="1">
      <alignment horizontal="center" vertical="center"/>
    </xf>
    <xf numFmtId="0" fontId="47" fillId="13" borderId="69" xfId="17" applyFont="1" applyFill="1" applyBorder="1" applyAlignment="1">
      <alignment horizontal="center" vertical="center"/>
    </xf>
    <xf numFmtId="9" fontId="47" fillId="13" borderId="70" xfId="2" applyFont="1" applyFill="1" applyBorder="1" applyAlignment="1">
      <alignment horizontal="center" vertical="center"/>
    </xf>
    <xf numFmtId="9" fontId="47" fillId="13" borderId="34" xfId="2" applyFont="1" applyFill="1" applyBorder="1" applyAlignment="1">
      <alignment horizontal="center" vertical="center"/>
    </xf>
    <xf numFmtId="176" fontId="33" fillId="0" borderId="45" xfId="21" applyFont="1" applyFill="1" applyBorder="1" applyAlignment="1">
      <alignment horizontal="right" vertical="center"/>
    </xf>
    <xf numFmtId="176" fontId="33" fillId="0" borderId="46" xfId="21" applyFont="1" applyFill="1" applyBorder="1" applyAlignment="1">
      <alignment horizontal="right" vertical="center"/>
    </xf>
    <xf numFmtId="176" fontId="33" fillId="0" borderId="47" xfId="21" applyFont="1" applyFill="1" applyBorder="1" applyAlignment="1">
      <alignment horizontal="right" vertical="center"/>
    </xf>
    <xf numFmtId="176" fontId="33" fillId="0" borderId="45" xfId="22" applyFont="1" applyFill="1" applyBorder="1" applyAlignment="1">
      <alignment horizontal="left" vertical="center"/>
    </xf>
    <xf numFmtId="176" fontId="33" fillId="0" borderId="48" xfId="22" applyFont="1" applyFill="1" applyBorder="1" applyAlignment="1">
      <alignment horizontal="left" vertical="center"/>
    </xf>
    <xf numFmtId="176" fontId="46" fillId="0" borderId="63" xfId="22" applyFont="1" applyBorder="1" applyAlignment="1">
      <alignment horizontal="left" vertical="center"/>
    </xf>
    <xf numFmtId="176" fontId="46" fillId="0" borderId="66" xfId="22" applyFont="1" applyBorder="1" applyAlignment="1">
      <alignment horizontal="left" vertical="center"/>
    </xf>
    <xf numFmtId="0" fontId="2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176" fontId="17" fillId="4" borderId="6" xfId="4" applyFont="1" applyFill="1" applyBorder="1" applyAlignment="1">
      <alignment horizontal="center" vertical="center"/>
    </xf>
    <xf numFmtId="179" fontId="17" fillId="4" borderId="6" xfId="5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6" xfId="3" applyFont="1" applyFill="1" applyBorder="1" applyAlignment="1">
      <alignment horizontal="center" vertical="center"/>
    </xf>
    <xf numFmtId="0" fontId="17" fillId="4" borderId="2" xfId="3" applyFont="1" applyFill="1" applyBorder="1" applyAlignment="1">
      <alignment horizontal="center" vertical="center"/>
    </xf>
    <xf numFmtId="0" fontId="17" fillId="4" borderId="6" xfId="3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649B6C2A-60E4-47B6-9994-F2916672D867}"/>
    <cellStyle name="쉼표 [0] 2 84" xfId="24" xr:uid="{1ECC659C-A06B-49EC-A9AE-FC588E951094}"/>
    <cellStyle name="쉼표 [0] 3" xfId="14" xr:uid="{8F7BE219-40E1-4BBB-A9BD-02188B74B2A3}"/>
    <cellStyle name="쉼표 [0] 4" xfId="21" xr:uid="{546A1BF6-0D75-4DBE-BD64-74351D6ACCC3}"/>
    <cellStyle name="쉼표 [0] 5" xfId="23" xr:uid="{FFA4547F-8A10-418A-BE26-4281AAD1B7D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58D3716-27A4-4A85-BA1A-F7672686F27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8AB47E6-9F15-41E1-BE70-66A77D432C74}"/>
    <cellStyle name="표준_P456 공장 및 복지동 전면 유리창 청소건 라상혁님_1129(최종)" xfId="20" xr:uid="{EF207D9C-B4DB-4941-8DF9-6286B0BE59C8}"/>
    <cellStyle name="표준_S&amp;D_MAIN VALVE_최빈_2" xfId="17" xr:uid="{DFD92C00-D2A1-4FBA-BA0F-E3DA7FD8FF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7B359C-7317-4939-B31B-D4C19CEE9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8C08-CF55-470F-9D3C-B88CBA25956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B14" sqref="B14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131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134" t="s">
        <v>48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6"/>
    </row>
    <row r="4" spans="1:15" ht="16.5" customHeight="1">
      <c r="A4" s="63" t="s">
        <v>49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112</v>
      </c>
      <c r="C5" s="124"/>
      <c r="D5" s="124"/>
      <c r="E5" s="124"/>
      <c r="F5" s="124"/>
      <c r="G5" s="69"/>
      <c r="H5" s="69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137" t="s">
        <v>50</v>
      </c>
      <c r="B7" s="138"/>
      <c r="C7" s="139"/>
      <c r="D7" s="125">
        <v>2026</v>
      </c>
      <c r="E7" s="76" t="s">
        <v>51</v>
      </c>
      <c r="F7" s="76">
        <v>7</v>
      </c>
      <c r="G7" s="76" t="s">
        <v>52</v>
      </c>
      <c r="H7" s="76">
        <v>2</v>
      </c>
      <c r="I7" s="76" t="s">
        <v>53</v>
      </c>
      <c r="J7" s="77"/>
      <c r="K7" s="140" t="s">
        <v>54</v>
      </c>
      <c r="L7" s="78" t="s">
        <v>55</v>
      </c>
      <c r="M7" s="78" t="s">
        <v>56</v>
      </c>
      <c r="N7" s="78" t="s">
        <v>57</v>
      </c>
      <c r="O7" s="79" t="s">
        <v>58</v>
      </c>
    </row>
    <row r="8" spans="1:15" ht="23.25" customHeight="1">
      <c r="A8" s="143" t="s">
        <v>59</v>
      </c>
      <c r="B8" s="144"/>
      <c r="C8" s="145"/>
      <c r="D8" s="146" t="s">
        <v>60</v>
      </c>
      <c r="E8" s="147"/>
      <c r="F8" s="147"/>
      <c r="G8" s="148"/>
      <c r="H8" s="149" t="s">
        <v>61</v>
      </c>
      <c r="I8" s="147"/>
      <c r="J8" s="150"/>
      <c r="K8" s="141"/>
      <c r="L8" s="80" t="s">
        <v>62</v>
      </c>
      <c r="M8" s="80" t="s">
        <v>63</v>
      </c>
      <c r="N8" s="80" t="s">
        <v>64</v>
      </c>
      <c r="O8" s="81" t="s">
        <v>65</v>
      </c>
    </row>
    <row r="9" spans="1:15" ht="23.25" customHeight="1">
      <c r="A9" s="143" t="s">
        <v>66</v>
      </c>
      <c r="B9" s="144"/>
      <c r="C9" s="145"/>
      <c r="D9" s="151" t="s">
        <v>67</v>
      </c>
      <c r="E9" s="152"/>
      <c r="F9" s="152"/>
      <c r="G9" s="152"/>
      <c r="H9" s="152"/>
      <c r="I9" s="152"/>
      <c r="J9" s="153"/>
      <c r="K9" s="141"/>
      <c r="L9" s="80" t="s">
        <v>68</v>
      </c>
      <c r="M9" s="154" t="s">
        <v>69</v>
      </c>
      <c r="N9" s="144"/>
      <c r="O9" s="145"/>
    </row>
    <row r="10" spans="1:15" ht="23.25" customHeight="1" thickBot="1">
      <c r="A10" s="155" t="s">
        <v>70</v>
      </c>
      <c r="B10" s="156"/>
      <c r="C10" s="157"/>
      <c r="D10" s="158" t="s">
        <v>71</v>
      </c>
      <c r="E10" s="159"/>
      <c r="F10" s="159"/>
      <c r="G10" s="159"/>
      <c r="H10" s="159"/>
      <c r="I10" s="159"/>
      <c r="J10" s="160"/>
      <c r="K10" s="142"/>
      <c r="L10" s="82" t="s">
        <v>72</v>
      </c>
      <c r="M10" s="82" t="s">
        <v>73</v>
      </c>
      <c r="N10" s="82" t="s">
        <v>74</v>
      </c>
      <c r="O10" s="83" t="s">
        <v>75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130" t="s">
        <v>113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91" t="s">
        <v>76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61" t="str">
        <f>"견 적 금 액 : 一金"&amp;NUMBERSTRING(M32,1) &amp; "원정""(\"&amp; TEXT(M32,"#,###")&amp;"원) [VAT 별도]"</f>
        <v>견 적 금 액 : 一金육십육만사천삼백오십원정"(\664,350원) [VAT 별도]</v>
      </c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2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63"/>
      <c r="L16" s="163"/>
      <c r="M16" s="163"/>
      <c r="N16" s="163"/>
      <c r="O16" s="164"/>
    </row>
    <row r="17" spans="1:17" ht="27.75" customHeight="1" thickBot="1">
      <c r="A17" s="92" t="s">
        <v>77</v>
      </c>
      <c r="B17" s="171" t="s">
        <v>78</v>
      </c>
      <c r="C17" s="172"/>
      <c r="D17" s="172"/>
      <c r="E17" s="172"/>
      <c r="F17" s="172"/>
      <c r="G17" s="173"/>
      <c r="H17" s="93" t="s">
        <v>79</v>
      </c>
      <c r="I17" s="94" t="s">
        <v>80</v>
      </c>
      <c r="J17" s="174" t="s">
        <v>81</v>
      </c>
      <c r="K17" s="175"/>
      <c r="L17" s="175"/>
      <c r="M17" s="176"/>
      <c r="N17" s="171" t="s">
        <v>82</v>
      </c>
      <c r="O17" s="177"/>
    </row>
    <row r="18" spans="1:17" ht="28.5" customHeight="1">
      <c r="A18" s="95">
        <v>1</v>
      </c>
      <c r="B18" s="165" t="s">
        <v>12</v>
      </c>
      <c r="C18" s="166"/>
      <c r="D18" s="166"/>
      <c r="E18" s="166"/>
      <c r="F18" s="166"/>
      <c r="G18" s="167"/>
      <c r="H18" s="126">
        <v>1</v>
      </c>
      <c r="I18" s="127" t="s">
        <v>6</v>
      </c>
      <c r="J18" s="168">
        <f>IFERROR(LOOKUP(2, 1/(TRIM('내역서(표준단가)'!K4:K100)&lt;&gt;""), '내역서(표준단가)'!K4:K100), "-")</f>
        <v>31897</v>
      </c>
      <c r="K18" s="168"/>
      <c r="L18" s="168"/>
      <c r="M18" s="168"/>
      <c r="N18" s="169"/>
      <c r="O18" s="170"/>
    </row>
    <row r="19" spans="1:17" ht="28.5" customHeight="1">
      <c r="A19" s="96">
        <v>2</v>
      </c>
      <c r="B19" s="178" t="s">
        <v>13</v>
      </c>
      <c r="C19" s="179"/>
      <c r="D19" s="179"/>
      <c r="E19" s="179"/>
      <c r="F19" s="179"/>
      <c r="G19" s="180"/>
      <c r="H19" s="128">
        <v>1</v>
      </c>
      <c r="I19" s="128" t="s">
        <v>6</v>
      </c>
      <c r="J19" s="181">
        <f>IFERROR(LOOKUP(2, 1/(TRIM('내역서(표준단가)'!M4:M100)&lt;&gt;""), '내역서(표준단가)'!M4:M100), "-")</f>
        <v>479721</v>
      </c>
      <c r="K19" s="182"/>
      <c r="L19" s="182"/>
      <c r="M19" s="183"/>
      <c r="N19" s="184"/>
      <c r="O19" s="185"/>
    </row>
    <row r="20" spans="1:17" ht="28.5" customHeight="1">
      <c r="A20" s="96">
        <v>3</v>
      </c>
      <c r="B20" s="178" t="s">
        <v>83</v>
      </c>
      <c r="C20" s="179"/>
      <c r="D20" s="179"/>
      <c r="E20" s="179"/>
      <c r="F20" s="179"/>
      <c r="G20" s="180"/>
      <c r="H20" s="97">
        <v>1</v>
      </c>
      <c r="I20" s="97" t="s">
        <v>6</v>
      </c>
      <c r="J20" s="186">
        <f>IFERROR(SUM(J21:M29),"-")</f>
        <v>80133.407401429999</v>
      </c>
      <c r="K20" s="187"/>
      <c r="L20" s="187"/>
      <c r="M20" s="188"/>
      <c r="N20" s="189"/>
      <c r="O20" s="190"/>
      <c r="P20" s="98"/>
    </row>
    <row r="21" spans="1:17" ht="28.5" customHeight="1">
      <c r="A21" s="95"/>
      <c r="B21" s="99"/>
      <c r="C21" s="191" t="s">
        <v>84</v>
      </c>
      <c r="D21" s="192"/>
      <c r="E21" s="192"/>
      <c r="F21" s="192"/>
      <c r="G21" s="193"/>
      <c r="H21" s="129">
        <v>1</v>
      </c>
      <c r="I21" s="129" t="s">
        <v>6</v>
      </c>
      <c r="J21" s="194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95"/>
      <c r="L21" s="195"/>
      <c r="M21" s="196"/>
      <c r="N21" s="197" t="s">
        <v>85</v>
      </c>
      <c r="O21" s="198"/>
    </row>
    <row r="22" spans="1:17" ht="28.5" customHeight="1">
      <c r="A22" s="95"/>
      <c r="B22" s="99"/>
      <c r="C22" s="199" t="s">
        <v>86</v>
      </c>
      <c r="D22" s="200"/>
      <c r="E22" s="200"/>
      <c r="F22" s="200"/>
      <c r="G22" s="201"/>
      <c r="H22" s="100">
        <v>3.11</v>
      </c>
      <c r="I22" s="100" t="s">
        <v>87</v>
      </c>
      <c r="J22" s="202">
        <f>IFERROR((J18+J19)*H22%,"-")</f>
        <v>15911.319799999999</v>
      </c>
      <c r="K22" s="203"/>
      <c r="L22" s="203"/>
      <c r="M22" s="204"/>
      <c r="N22" s="205" t="s">
        <v>88</v>
      </c>
      <c r="O22" s="206"/>
    </row>
    <row r="23" spans="1:17" ht="28.5" customHeight="1">
      <c r="A23" s="95"/>
      <c r="B23" s="99"/>
      <c r="C23" s="199" t="s">
        <v>89</v>
      </c>
      <c r="D23" s="200"/>
      <c r="E23" s="200"/>
      <c r="F23" s="200"/>
      <c r="G23" s="201"/>
      <c r="H23" s="100">
        <v>3.56</v>
      </c>
      <c r="I23" s="100" t="s">
        <v>90</v>
      </c>
      <c r="J23" s="202">
        <f>IFERROR(J19*H23%,"-")</f>
        <v>17078.067599999998</v>
      </c>
      <c r="K23" s="203"/>
      <c r="L23" s="203"/>
      <c r="M23" s="204"/>
      <c r="N23" s="205" t="s">
        <v>91</v>
      </c>
      <c r="O23" s="206"/>
    </row>
    <row r="24" spans="1:17" ht="28.5" customHeight="1">
      <c r="A24" s="95"/>
      <c r="B24" s="99"/>
      <c r="C24" s="199" t="s">
        <v>92</v>
      </c>
      <c r="D24" s="200"/>
      <c r="E24" s="200"/>
      <c r="F24" s="200"/>
      <c r="G24" s="201"/>
      <c r="H24" s="100">
        <v>1.01</v>
      </c>
      <c r="I24" s="100" t="s">
        <v>90</v>
      </c>
      <c r="J24" s="202">
        <f>IFERROR(J19*H24%,"-")</f>
        <v>4845.1821</v>
      </c>
      <c r="K24" s="203"/>
      <c r="L24" s="203"/>
      <c r="M24" s="204"/>
      <c r="N24" s="205" t="s">
        <v>93</v>
      </c>
      <c r="O24" s="206"/>
    </row>
    <row r="25" spans="1:17" ht="28.5" customHeight="1">
      <c r="A25" s="95"/>
      <c r="B25" s="99"/>
      <c r="C25" s="199" t="s">
        <v>94</v>
      </c>
      <c r="D25" s="200"/>
      <c r="E25" s="200"/>
      <c r="F25" s="200"/>
      <c r="G25" s="201"/>
      <c r="H25" s="101">
        <v>3.5950000000000002</v>
      </c>
      <c r="I25" s="100" t="s">
        <v>90</v>
      </c>
      <c r="J25" s="202">
        <f>IFERROR(J19*H25%,"-")</f>
        <v>17245.969950000002</v>
      </c>
      <c r="K25" s="203"/>
      <c r="L25" s="203"/>
      <c r="M25" s="204"/>
      <c r="N25" s="205" t="s">
        <v>95</v>
      </c>
      <c r="O25" s="206"/>
      <c r="Q25" s="98"/>
    </row>
    <row r="26" spans="1:17" ht="28.5" customHeight="1">
      <c r="A26" s="95"/>
      <c r="B26" s="99"/>
      <c r="C26" s="199" t="s">
        <v>96</v>
      </c>
      <c r="D26" s="200"/>
      <c r="E26" s="200"/>
      <c r="F26" s="200"/>
      <c r="G26" s="201"/>
      <c r="H26" s="100">
        <v>4.75</v>
      </c>
      <c r="I26" s="100" t="s">
        <v>90</v>
      </c>
      <c r="J26" s="202">
        <f>IFERROR(J19*H26%,"-")</f>
        <v>22786.747500000001</v>
      </c>
      <c r="K26" s="203"/>
      <c r="L26" s="203"/>
      <c r="M26" s="204"/>
      <c r="N26" s="205" t="s">
        <v>97</v>
      </c>
      <c r="O26" s="206"/>
      <c r="Q26" s="102"/>
    </row>
    <row r="27" spans="1:17" ht="28.5" customHeight="1">
      <c r="A27" s="95"/>
      <c r="B27" s="99"/>
      <c r="C27" s="207" t="s">
        <v>98</v>
      </c>
      <c r="D27" s="208"/>
      <c r="E27" s="208"/>
      <c r="F27" s="208"/>
      <c r="G27" s="209"/>
      <c r="H27" s="103">
        <v>13.14</v>
      </c>
      <c r="I27" s="104" t="s">
        <v>90</v>
      </c>
      <c r="J27" s="210">
        <f>IFERROR($H$27*J25%,"-")</f>
        <v>2266.1204514300007</v>
      </c>
      <c r="K27" s="211"/>
      <c r="L27" s="211"/>
      <c r="M27" s="212"/>
      <c r="N27" s="205" t="s">
        <v>99</v>
      </c>
      <c r="O27" s="206"/>
    </row>
    <row r="28" spans="1:17" ht="28.5" customHeight="1">
      <c r="A28" s="95"/>
      <c r="B28" s="99"/>
      <c r="C28" s="207" t="s">
        <v>100</v>
      </c>
      <c r="D28" s="208"/>
      <c r="E28" s="208"/>
      <c r="F28" s="208"/>
      <c r="G28" s="209"/>
      <c r="H28" s="103">
        <v>8.1000000000000003E-2</v>
      </c>
      <c r="I28" s="104" t="s">
        <v>90</v>
      </c>
      <c r="J28" s="210" t="str">
        <f>IFERROR(IF(SUM(J21:J27,J18:J19)&gt;=10000000,SUM(J21:J27,J18:J19)*H28%,"-"),"-")</f>
        <v>-</v>
      </c>
      <c r="K28" s="211"/>
      <c r="L28" s="211"/>
      <c r="M28" s="212"/>
      <c r="N28" s="213" t="s">
        <v>101</v>
      </c>
      <c r="O28" s="214"/>
    </row>
    <row r="29" spans="1:17" ht="28.5" customHeight="1">
      <c r="A29" s="105"/>
      <c r="B29" s="106"/>
      <c r="C29" s="215" t="s">
        <v>102</v>
      </c>
      <c r="D29" s="216"/>
      <c r="E29" s="216"/>
      <c r="F29" s="216"/>
      <c r="G29" s="217"/>
      <c r="H29" s="107">
        <v>1</v>
      </c>
      <c r="I29" s="108" t="s">
        <v>103</v>
      </c>
      <c r="J29" s="218">
        <f>34*0</f>
        <v>0</v>
      </c>
      <c r="K29" s="219"/>
      <c r="L29" s="219"/>
      <c r="M29" s="220"/>
      <c r="N29" s="221" t="s">
        <v>104</v>
      </c>
      <c r="O29" s="222"/>
    </row>
    <row r="30" spans="1:17" ht="28.5" customHeight="1">
      <c r="A30" s="105">
        <v>4</v>
      </c>
      <c r="B30" s="106"/>
      <c r="C30" s="215" t="s">
        <v>105</v>
      </c>
      <c r="D30" s="216"/>
      <c r="E30" s="216"/>
      <c r="F30" s="216"/>
      <c r="G30" s="217"/>
      <c r="H30" s="108">
        <v>5</v>
      </c>
      <c r="I30" s="109" t="s">
        <v>106</v>
      </c>
      <c r="J30" s="228">
        <f>IFERROR(IF(ISNUMBER(H30), SUM(J18:M20) * (H30 / 100), "-"), "-")</f>
        <v>29587.570370071498</v>
      </c>
      <c r="K30" s="229"/>
      <c r="L30" s="229"/>
      <c r="M30" s="230"/>
      <c r="N30" s="231" t="s">
        <v>107</v>
      </c>
      <c r="O30" s="232"/>
    </row>
    <row r="31" spans="1:17" ht="28.5" customHeight="1" thickBot="1">
      <c r="A31" s="105">
        <v>5</v>
      </c>
      <c r="B31" s="106"/>
      <c r="C31" s="215" t="s">
        <v>108</v>
      </c>
      <c r="D31" s="216"/>
      <c r="E31" s="216"/>
      <c r="F31" s="216"/>
      <c r="G31" s="217"/>
      <c r="H31" s="108">
        <v>7.5</v>
      </c>
      <c r="I31" s="109" t="s">
        <v>90</v>
      </c>
      <c r="J31" s="218">
        <f>IFERROR(SUM(J18:M20, J30) * (H31 / 100), "-")+-3589</f>
        <v>43011.423332862607</v>
      </c>
      <c r="K31" s="219"/>
      <c r="L31" s="219"/>
      <c r="M31" s="220"/>
      <c r="N31" s="233" t="s">
        <v>109</v>
      </c>
      <c r="O31" s="234"/>
      <c r="Q31" s="110"/>
    </row>
    <row r="32" spans="1:17" ht="28.5" customHeight="1" thickBot="1">
      <c r="A32" s="223" t="s">
        <v>110</v>
      </c>
      <c r="B32" s="224"/>
      <c r="C32" s="224"/>
      <c r="D32" s="224"/>
      <c r="E32" s="224"/>
      <c r="F32" s="224"/>
      <c r="G32" s="224"/>
      <c r="H32" s="224"/>
      <c r="I32" s="225"/>
      <c r="J32" s="111"/>
      <c r="K32" s="112"/>
      <c r="L32" s="112"/>
      <c r="M32" s="113">
        <f>IFERROR(ROUNDDOWN(SUM(J18:M20)+J30+J31,0),"-")</f>
        <v>664350</v>
      </c>
      <c r="N32" s="226"/>
      <c r="O32" s="227"/>
      <c r="P32" s="114"/>
    </row>
    <row r="33" spans="1:15">
      <c r="A33" s="115" t="s">
        <v>111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90" zoomScaleNormal="90" workbookViewId="0">
      <pane ySplit="4" topLeftCell="A5" activePane="bottomLeft" state="frozen"/>
      <selection pane="bottomLeft" activeCell="K13" sqref="K13"/>
    </sheetView>
  </sheetViews>
  <sheetFormatPr defaultColWidth="9" defaultRowHeight="38.1" customHeight="1"/>
  <cols>
    <col min="1" max="1" width="20.5" style="45" bestFit="1" customWidth="1"/>
    <col min="2" max="2" width="9" style="34" customWidth="1"/>
    <col min="3" max="5" width="12.625" style="34" customWidth="1"/>
    <col min="6" max="7" width="30.625" style="30" customWidth="1"/>
    <col min="8" max="8" width="12.25" style="34" bestFit="1" customWidth="1"/>
    <col min="9" max="9" width="8.25" style="34" customWidth="1"/>
    <col min="10" max="10" width="10.625" style="34" bestFit="1" customWidth="1"/>
    <col min="11" max="11" width="12.75" style="34" bestFit="1" customWidth="1"/>
    <col min="12" max="12" width="12" style="34" bestFit="1" customWidth="1"/>
    <col min="13" max="13" width="15" style="34" bestFit="1" customWidth="1"/>
    <col min="14" max="14" width="9" style="34" customWidth="1"/>
    <col min="15" max="15" width="8.375" style="34" bestFit="1" customWidth="1"/>
    <col min="16" max="16" width="10.5" style="34" customWidth="1"/>
    <col min="17" max="17" width="8.375" style="34" bestFit="1" customWidth="1"/>
    <col min="18" max="18" width="15.625" style="34" bestFit="1" customWidth="1"/>
    <col min="19" max="19" width="10.625" style="2" bestFit="1" customWidth="1"/>
    <col min="20" max="20" width="8.5" style="34" bestFit="1" customWidth="1"/>
    <col min="21" max="16384" width="9" style="34"/>
  </cols>
  <sheetData>
    <row r="1" spans="1:20" ht="19.899999999999999" customHeight="1">
      <c r="A1" s="236"/>
      <c r="B1" s="236"/>
      <c r="C1" s="236"/>
      <c r="D1" s="236"/>
      <c r="E1" s="236"/>
      <c r="J1" s="2"/>
      <c r="K1" s="33" t="s">
        <v>9</v>
      </c>
      <c r="M1" s="33" t="s">
        <v>9</v>
      </c>
      <c r="O1" s="33" t="s">
        <v>9</v>
      </c>
      <c r="Q1" s="33" t="s">
        <v>9</v>
      </c>
    </row>
    <row r="2" spans="1:20" ht="19.899999999999999" customHeight="1" thickBot="1">
      <c r="A2" s="236"/>
      <c r="B2" s="236"/>
      <c r="C2" s="236"/>
      <c r="D2" s="236"/>
      <c r="E2" s="23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35"/>
      <c r="B3" s="36" t="s">
        <v>10</v>
      </c>
      <c r="C3" s="36"/>
      <c r="D3" s="36"/>
      <c r="E3" s="36"/>
      <c r="F3" s="247" t="s">
        <v>11</v>
      </c>
      <c r="G3" s="247"/>
      <c r="H3" s="245" t="s">
        <v>8</v>
      </c>
      <c r="I3" s="245" t="s">
        <v>5</v>
      </c>
      <c r="J3" s="241" t="s">
        <v>12</v>
      </c>
      <c r="K3" s="241"/>
      <c r="L3" s="241" t="s">
        <v>13</v>
      </c>
      <c r="M3" s="241"/>
      <c r="N3" s="242" t="s">
        <v>14</v>
      </c>
      <c r="O3" s="242"/>
      <c r="P3" s="242" t="s">
        <v>15</v>
      </c>
      <c r="Q3" s="242"/>
      <c r="R3" s="243" t="s">
        <v>16</v>
      </c>
      <c r="S3" s="239" t="s">
        <v>17</v>
      </c>
      <c r="T3" s="237" t="s">
        <v>7</v>
      </c>
    </row>
    <row r="4" spans="1:20" ht="19.899999999999999" customHeight="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31" t="s">
        <v>23</v>
      </c>
      <c r="G4" s="31" t="s">
        <v>24</v>
      </c>
      <c r="H4" s="246"/>
      <c r="I4" s="246"/>
      <c r="J4" s="7" t="s">
        <v>25</v>
      </c>
      <c r="K4" s="8" t="s">
        <v>26</v>
      </c>
      <c r="L4" s="7" t="s">
        <v>27</v>
      </c>
      <c r="M4" s="8" t="s">
        <v>26</v>
      </c>
      <c r="N4" s="8" t="s">
        <v>28</v>
      </c>
      <c r="O4" s="8" t="s">
        <v>26</v>
      </c>
      <c r="P4" s="8" t="s">
        <v>28</v>
      </c>
      <c r="Q4" s="8" t="s">
        <v>26</v>
      </c>
      <c r="R4" s="244"/>
      <c r="S4" s="240"/>
      <c r="T4" s="238"/>
    </row>
    <row r="5" spans="1:20" s="37" customFormat="1" ht="38.1" customHeight="1">
      <c r="A5" s="9" t="str">
        <f t="shared" ref="A5:A8" si="0">B5&amp;C5&amp;D5&amp;E5</f>
        <v>M025501312640101</v>
      </c>
      <c r="B5" s="15"/>
      <c r="C5" s="10"/>
      <c r="D5" s="56" t="s">
        <v>33</v>
      </c>
      <c r="E5" s="15"/>
      <c r="F5" s="57" t="s">
        <v>40</v>
      </c>
      <c r="G5" s="57" t="s">
        <v>34</v>
      </c>
      <c r="H5" s="55" t="s">
        <v>32</v>
      </c>
      <c r="I5" s="28">
        <v>1</v>
      </c>
      <c r="J5" s="58">
        <v>33000</v>
      </c>
      <c r="K5" s="11">
        <f t="shared" ref="K5" si="1">SUM(J5:J5)*I5*$K$2</f>
        <v>27555</v>
      </c>
      <c r="L5" s="46"/>
      <c r="M5" s="11">
        <f t="shared" ref="M5:M6" si="2">(L5*I5)*$M$2</f>
        <v>0</v>
      </c>
      <c r="N5" s="12"/>
      <c r="O5" s="11">
        <f t="shared" ref="O5:O8" si="3">N5*I5*$O$2</f>
        <v>0</v>
      </c>
      <c r="P5" s="12"/>
      <c r="Q5" s="11">
        <f t="shared" ref="Q5:Q8" si="4">P5*I5*$Q$2</f>
        <v>0</v>
      </c>
      <c r="R5" s="12">
        <f t="shared" ref="R5:R8" si="5">SUM(K5+M5)+O5+Q5</f>
        <v>27555</v>
      </c>
      <c r="S5" s="21"/>
      <c r="T5" s="13"/>
    </row>
    <row r="6" spans="1:20" s="37" customFormat="1" ht="38.1" customHeight="1">
      <c r="A6" s="9" t="str">
        <f t="shared" si="0"/>
        <v>M020491510060101</v>
      </c>
      <c r="B6" s="15"/>
      <c r="C6" s="10"/>
      <c r="D6" s="56" t="s">
        <v>35</v>
      </c>
      <c r="E6" s="15"/>
      <c r="F6" s="57" t="s">
        <v>36</v>
      </c>
      <c r="G6" s="57" t="s">
        <v>37</v>
      </c>
      <c r="H6" s="57" t="s">
        <v>31</v>
      </c>
      <c r="I6" s="28">
        <v>1</v>
      </c>
      <c r="J6" s="58">
        <v>5200</v>
      </c>
      <c r="K6" s="11">
        <f t="shared" ref="K6" si="6">SUM(J6:J6)*I6*$K$2</f>
        <v>4342</v>
      </c>
      <c r="L6" s="46"/>
      <c r="M6" s="11">
        <f t="shared" si="2"/>
        <v>0</v>
      </c>
      <c r="N6" s="12"/>
      <c r="O6" s="11">
        <f t="shared" si="3"/>
        <v>0</v>
      </c>
      <c r="P6" s="12"/>
      <c r="Q6" s="11">
        <f t="shared" si="4"/>
        <v>0</v>
      </c>
      <c r="R6" s="12">
        <f t="shared" si="5"/>
        <v>4342</v>
      </c>
      <c r="S6" s="21"/>
      <c r="T6" s="13"/>
    </row>
    <row r="7" spans="1:20" s="37" customFormat="1" ht="38.1" customHeight="1">
      <c r="A7" s="9" t="str">
        <f t="shared" si="0"/>
        <v>L030</v>
      </c>
      <c r="B7" s="15"/>
      <c r="C7" s="10"/>
      <c r="D7" s="51"/>
      <c r="E7" s="52" t="s">
        <v>42</v>
      </c>
      <c r="F7" s="48" t="s">
        <v>43</v>
      </c>
      <c r="G7" s="49" t="s">
        <v>45</v>
      </c>
      <c r="H7" s="24" t="s">
        <v>38</v>
      </c>
      <c r="I7" s="28">
        <v>1</v>
      </c>
      <c r="J7" s="47"/>
      <c r="K7" s="26">
        <f t="shared" ref="K7:K8" si="7">SUM(J7:J7)*I7*$K$2</f>
        <v>0</v>
      </c>
      <c r="L7" s="25">
        <v>255231</v>
      </c>
      <c r="M7" s="26">
        <f>I7*L7</f>
        <v>255231</v>
      </c>
      <c r="N7" s="27"/>
      <c r="O7" s="26">
        <f t="shared" si="3"/>
        <v>0</v>
      </c>
      <c r="P7" s="27"/>
      <c r="Q7" s="26">
        <f t="shared" si="4"/>
        <v>0</v>
      </c>
      <c r="R7" s="12">
        <f t="shared" si="5"/>
        <v>255231</v>
      </c>
      <c r="S7" s="21"/>
      <c r="T7" s="13"/>
    </row>
    <row r="8" spans="1:20" s="37" customFormat="1" ht="38.1" customHeight="1">
      <c r="A8" s="9" t="str">
        <f t="shared" si="0"/>
        <v>L003</v>
      </c>
      <c r="B8" s="15"/>
      <c r="C8" s="10"/>
      <c r="D8" s="50"/>
      <c r="E8" s="52" t="s">
        <v>29</v>
      </c>
      <c r="F8" s="48" t="s">
        <v>44</v>
      </c>
      <c r="G8" s="49" t="s">
        <v>46</v>
      </c>
      <c r="H8" s="22" t="s">
        <v>38</v>
      </c>
      <c r="I8" s="28">
        <v>1</v>
      </c>
      <c r="J8" s="38"/>
      <c r="K8" s="11">
        <f t="shared" si="7"/>
        <v>0</v>
      </c>
      <c r="L8" s="25">
        <v>224490</v>
      </c>
      <c r="M8" s="26">
        <f>I8*L8</f>
        <v>224490</v>
      </c>
      <c r="N8" s="12"/>
      <c r="O8" s="11">
        <f t="shared" si="3"/>
        <v>0</v>
      </c>
      <c r="P8" s="12"/>
      <c r="Q8" s="11">
        <f t="shared" si="4"/>
        <v>0</v>
      </c>
      <c r="R8" s="12">
        <f t="shared" si="5"/>
        <v>224490</v>
      </c>
      <c r="S8" s="21"/>
      <c r="T8" s="13"/>
    </row>
    <row r="9" spans="1:20" s="37" customFormat="1" ht="38.1" customHeight="1">
      <c r="A9" s="9"/>
      <c r="B9" s="15"/>
      <c r="C9" s="10"/>
      <c r="D9" s="10"/>
      <c r="E9" s="15"/>
      <c r="F9" s="29"/>
      <c r="G9" s="29"/>
      <c r="H9" s="22"/>
      <c r="I9" s="28"/>
      <c r="J9" s="23"/>
      <c r="K9" s="11">
        <f t="shared" ref="K9" si="8">SUM(J9:J9)*I9*$K$2</f>
        <v>0</v>
      </c>
      <c r="L9" s="46"/>
      <c r="M9" s="11">
        <f t="shared" ref="M9" si="9">(L9*I9)*$M$2</f>
        <v>0</v>
      </c>
      <c r="N9" s="12"/>
      <c r="O9" s="11">
        <f t="shared" ref="O9" si="10">N9*I9*$O$2</f>
        <v>0</v>
      </c>
      <c r="P9" s="12"/>
      <c r="Q9" s="11">
        <f t="shared" ref="Q9" si="11">P9*I9*$Q$2</f>
        <v>0</v>
      </c>
      <c r="R9" s="12">
        <f t="shared" ref="R9" si="12">SUM(K9+M9)+O9+Q9</f>
        <v>0</v>
      </c>
      <c r="S9" s="21"/>
      <c r="T9" s="13"/>
    </row>
    <row r="10" spans="1:20" s="44" customFormat="1" ht="38.1" customHeight="1">
      <c r="A10" s="39"/>
      <c r="B10" s="40"/>
      <c r="C10" s="40"/>
      <c r="D10" s="40"/>
      <c r="E10" s="40"/>
      <c r="F10" s="32"/>
      <c r="G10" s="32"/>
      <c r="H10" s="40"/>
      <c r="I10" s="40"/>
      <c r="J10" s="40"/>
      <c r="K10" s="41">
        <f>SUM(K5:K9)</f>
        <v>31897</v>
      </c>
      <c r="L10" s="42"/>
      <c r="M10" s="41">
        <f>SUM(M5:M9)</f>
        <v>479721</v>
      </c>
      <c r="N10" s="42"/>
      <c r="O10" s="41">
        <f>SUM(O5:O9)</f>
        <v>0</v>
      </c>
      <c r="P10" s="42"/>
      <c r="Q10" s="41">
        <f>SUM(Q5:Q9)</f>
        <v>0</v>
      </c>
      <c r="R10" s="43">
        <f>SUM(R5:R9)</f>
        <v>511618</v>
      </c>
      <c r="S10" s="19"/>
      <c r="T10" s="40"/>
    </row>
    <row r="11" spans="1:20" ht="38.1" customHeight="1">
      <c r="F11" s="53" t="s">
        <v>30</v>
      </c>
      <c r="G11" s="54"/>
    </row>
    <row r="12" spans="1:20" ht="38.1" customHeight="1">
      <c r="F12" s="235" t="s">
        <v>47</v>
      </c>
      <c r="G12" s="235"/>
    </row>
    <row r="13" spans="1:20" ht="38.1" customHeight="1">
      <c r="F13" s="235" t="s">
        <v>39</v>
      </c>
      <c r="G13" s="235"/>
    </row>
    <row r="14" spans="1:20" ht="38.1" customHeight="1">
      <c r="F14" s="235" t="s">
        <v>41</v>
      </c>
      <c r="G14" s="235"/>
    </row>
  </sheetData>
  <mergeCells count="15">
    <mergeCell ref="F12:G12"/>
    <mergeCell ref="F13:G13"/>
    <mergeCell ref="F14:G14"/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E28" sqref="E2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M025501312640101</v>
      </c>
      <c r="B2" s="18">
        <f>'내역서(표준단가)'!B5</f>
        <v>0</v>
      </c>
      <c r="C2" s="18">
        <f>'내역서(표준단가)'!C5</f>
        <v>0</v>
      </c>
      <c r="D2" s="18" t="str">
        <f>'내역서(표준단가)'!D5</f>
        <v>M025501312640101</v>
      </c>
      <c r="E2" s="18">
        <f>'내역서(표준단가)'!E5</f>
        <v>0</v>
      </c>
      <c r="F2" s="20">
        <f>'내역서(표준단가)'!I5</f>
        <v>1</v>
      </c>
    </row>
    <row r="3" spans="1:6">
      <c r="A3" s="17" t="str">
        <f>'내역서(표준단가)'!A6</f>
        <v>M020491510060101</v>
      </c>
      <c r="B3" s="18">
        <f>'내역서(표준단가)'!B6</f>
        <v>0</v>
      </c>
      <c r="C3" s="18">
        <f>'내역서(표준단가)'!C6</f>
        <v>0</v>
      </c>
      <c r="D3" s="18" t="str">
        <f>'내역서(표준단가)'!D6</f>
        <v>M020491510060101</v>
      </c>
      <c r="E3" s="18">
        <f>'내역서(표준단가)'!E6</f>
        <v>0</v>
      </c>
      <c r="F3" s="20">
        <f>'내역서(표준단가)'!I6</f>
        <v>1</v>
      </c>
    </row>
    <row r="4" spans="1:6">
      <c r="A4" s="17" t="str">
        <f>'내역서(표준단가)'!A7</f>
        <v>L030</v>
      </c>
      <c r="B4" s="18">
        <f>'내역서(표준단가)'!B7</f>
        <v>0</v>
      </c>
      <c r="C4" s="18">
        <f>'내역서(표준단가)'!C7</f>
        <v>0</v>
      </c>
      <c r="D4" s="18">
        <f>'내역서(표준단가)'!D7</f>
        <v>0</v>
      </c>
      <c r="E4" s="18" t="str">
        <f>'내역서(표준단가)'!E7</f>
        <v>L030</v>
      </c>
      <c r="F4" s="20">
        <f>'내역서(표준단가)'!I7</f>
        <v>1</v>
      </c>
    </row>
    <row r="5" spans="1:6">
      <c r="A5" s="17" t="str">
        <f>'내역서(표준단가)'!A8</f>
        <v>L003</v>
      </c>
      <c r="B5" s="18">
        <f>'내역서(표준단가)'!B8</f>
        <v>0</v>
      </c>
      <c r="C5" s="18">
        <f>'내역서(표준단가)'!C8</f>
        <v>0</v>
      </c>
      <c r="D5" s="18">
        <f>'내역서(표준단가)'!D8</f>
        <v>0</v>
      </c>
      <c r="E5" s="18" t="str">
        <f>'내역서(표준단가)'!E8</f>
        <v>L003</v>
      </c>
      <c r="F5" s="20">
        <f>'내역서(표준단가)'!I8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2026-07-02T03:42:55Z</dcterms:modified>
</cp:coreProperties>
</file>
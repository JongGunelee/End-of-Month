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28\06 작업폴더\02 사택 5-403 씽크대 상하부장 문짝교체\"/>
    </mc:Choice>
  </mc:AlternateContent>
  <xr:revisionPtr revIDLastSave="0" documentId="13_ncr:1_{9A62A6FB-2405-42D2-8354-02C443538368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V6" i="4" l="1"/>
  <c r="V5" i="4"/>
  <c r="U7" i="4"/>
  <c r="Q7" i="4"/>
  <c r="S7" i="4" l="1"/>
  <c r="V7" i="4" l="1"/>
  <c r="F18" i="5" l="1"/>
  <c r="O7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<sst xmlns="http://schemas.openxmlformats.org/spreadsheetml/2006/main" count="130" uniqueCount="108">
  <si>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</si>
  <si>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</si>
  <si>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</si>
  <si>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</si>
  <si>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</si>
  <si>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</si>
  <si>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</si>
  <si>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</si>
  <si>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</si>
  <si>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</si>
  <si>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</si>
  <si>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</si>
  <si>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</si>
  <si>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</si>
  <si>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</si>
  <si>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</si>
  <si>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</si>
  <si>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</si>
  <si>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</si>
  <si>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</si>
  <si>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</si>
  <si>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</si>
  <si>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</si>
  <si>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</si>
  <si>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</si>
  <si>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</si>
  <si>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</si>
  <si>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</si>
  <si>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</si>
  <si>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</si>
  <si>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</si>
  <si>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</si>
  <si>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</si>
  <si>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</si>
  <si>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</si>
  <si>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</si>
  <si>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</si>
  <si>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</si>
  <si>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</si>
  <si>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</si>
  <si>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</si>
  <si>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</si>
  <si>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</si>
  <si>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</si>
  <si>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</si>
  <si>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</si>
  <si>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</si>
  <si>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</si>
  <si>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</si>
  <si>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</si>
  <si>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</si>
  <si>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</si>
  <si>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</si>
  <si>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</si>
  <si>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</si>
  <si>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</si>
  <si>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</si>
  <si>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</si>
  <si>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</si>
  <si>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</si>
  <si>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</si>
  <si>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</si>
  <si>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</si>
  <si>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</si>
  <si>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</si>
  <si>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</si>
  <si>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</si>
  <si>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</si>
  <si>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</si>
  <si>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</si>
  <si>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</si>
  <si>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</si>
  <si>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</si>
  <si>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</si>
  <si>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</si>
  <si>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</si>
  <si>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</si>
  <si>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</si>
  <si>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</si>
  <si>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</si>
  <si>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</si>
  <si>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</si>
  <si>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</si>
  <si>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</si>
  <si>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</si>
  <si>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</si>
  <si>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</si>
  <si>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</si>
  <si>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</si>
  <si>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</si>
  <si>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</si>
  <si>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</si>
  <si>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</si>
  <si>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</si>
  <si>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</si>
  <si>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</si>
  <si>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</si>
  <si>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</si>
  <si>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</si>
  <si>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</si>
  <si>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5동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</si>
  <si>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</si>
  <si>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</si>
  <si>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</si>
  <si>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</si>
  <si>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</si>
  <si>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5-403 씽크대 상하부장 문짝교체</t>
    <phoneticPr fontId="12" type="noConversion"/>
  </si>
  <si>
    <t xml:space="preserve"> 견적일 : 2025년  10월  15일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</si>
</sst>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7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_5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295275</xdr:colOff>
      <xdr:row>5</xdr:row>
      <xdr:rowOff>190499</xdr:rowOff>
    </xdr:from>
    <xdr:to>
      <xdr:col>4</xdr:col>
      <xdr:colOff>371475</xdr:colOff>
      <xdr:row>39</xdr:row>
      <xdr:rowOff>78203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720619-B5A3-467D-9D53-2DCEF9A9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38249"/>
          <a:ext cx="4257675" cy="605037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5</xdr:row>
      <xdr:rowOff>161924</xdr:rowOff>
    </xdr:from>
    <xdr:to>
      <xdr:col>9</xdr:col>
      <xdr:colOff>725260</xdr:colOff>
      <xdr:row>39</xdr:row>
      <xdr:rowOff>57149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D613865-2319-4AB4-BEDB-60BF37DE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1209674"/>
          <a:ext cx="4306660" cy="604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5</xdr:row>
      <xdr:rowOff>161925</xdr:rowOff>
    </xdr:from>
    <xdr:to>
      <xdr:col>14</xdr:col>
      <xdr:colOff>929496</xdr:colOff>
      <xdr:row>39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03C0AA-E9E1-4D15-9BB8-BC1D120D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5" y="1209675"/>
          <a:ext cx="4272771" cy="601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20" sqref="L20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19" t="s">
        <v>6</v>
      </c>
      <c r="B2" s="119"/>
      <c r="C2" s="119"/>
      <c r="D2" s="119"/>
      <c r="E2" s="119"/>
      <c r="F2" s="119"/>
      <c r="G2" s="119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2" t="s">
        <v>106</v>
      </c>
      <c r="B7" s="123"/>
      <c r="C7" s="124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2" t="s">
        <v>107</v>
      </c>
      <c r="B9" s="123"/>
      <c r="C9" s="124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0"/>
      <c r="B11" s="121"/>
      <c r="C11" s="121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일백구만삼천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800000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1019321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105</v>
      </c>
      <c r="D26" s="30">
        <v>1</v>
      </c>
      <c r="E26" s="30" t="s">
        <v>25</v>
      </c>
      <c r="F26" s="43">
        <f>(F16+F17)*3.11%</f>
        <v>31700.883099999999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13984.804030688751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74359.88464446376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1093680.8846444637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1093000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115" bestFit="1" customWidth="1"/>
    <col min="2" max="5" width="18.5" style="115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5"/>
      <c r="B1" s="125"/>
      <c r="C1" s="125"/>
      <c r="D1" s="125"/>
      <c r="E1" s="125"/>
      <c r="F1" s="125"/>
      <c r="G1" s="125"/>
      <c r="H1" s="125"/>
      <c r="I1" s="125"/>
      <c r="N1" s="67"/>
      <c r="O1" s="109" t="s">
        <v>80</v>
      </c>
      <c r="Q1" s="109" t="s">
        <v>80</v>
      </c>
      <c r="S1" s="109" t="s">
        <v>80</v>
      </c>
      <c r="U1" s="109" t="s">
        <v>80</v>
      </c>
    </row>
    <row r="2" spans="1:24" ht="19.899999999999999" customHeight="1" thickBot="1" x14ac:dyDescent="0.35">
      <c r="A2" s="125"/>
      <c r="B2" s="125"/>
      <c r="C2" s="125"/>
      <c r="D2" s="125"/>
      <c r="E2" s="125"/>
      <c r="F2" s="125"/>
      <c r="G2" s="125"/>
      <c r="H2" s="125"/>
      <c r="I2" s="125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81</v>
      </c>
      <c r="G3" s="111"/>
      <c r="H3" s="111"/>
      <c r="I3" s="111"/>
      <c r="J3" s="136" t="s">
        <v>82</v>
      </c>
      <c r="K3" s="136"/>
      <c r="L3" s="134" t="s">
        <v>51</v>
      </c>
      <c r="M3" s="134" t="s">
        <v>5</v>
      </c>
      <c r="N3" s="130" t="s">
        <v>83</v>
      </c>
      <c r="O3" s="130"/>
      <c r="P3" s="130" t="s">
        <v>84</v>
      </c>
      <c r="Q3" s="130"/>
      <c r="R3" s="131" t="s">
        <v>85</v>
      </c>
      <c r="S3" s="131"/>
      <c r="T3" s="131" t="s">
        <v>86</v>
      </c>
      <c r="U3" s="131"/>
      <c r="V3" s="132" t="s">
        <v>87</v>
      </c>
      <c r="W3" s="128" t="s">
        <v>88</v>
      </c>
      <c r="X3" s="126" t="s">
        <v>45</v>
      </c>
    </row>
    <row r="4" spans="1:24" ht="19.899999999999999" customHeight="1" x14ac:dyDescent="0.3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7" t="s">
        <v>94</v>
      </c>
      <c r="K4" s="107" t="s">
        <v>95</v>
      </c>
      <c r="L4" s="135"/>
      <c r="M4" s="135"/>
      <c r="N4" s="73" t="s">
        <v>96</v>
      </c>
      <c r="O4" s="74" t="s">
        <v>97</v>
      </c>
      <c r="P4" s="73" t="s">
        <v>98</v>
      </c>
      <c r="Q4" s="74" t="s">
        <v>97</v>
      </c>
      <c r="R4" s="74" t="s">
        <v>99</v>
      </c>
      <c r="S4" s="74" t="s">
        <v>97</v>
      </c>
      <c r="T4" s="74" t="s">
        <v>99</v>
      </c>
      <c r="U4" s="74" t="s">
        <v>97</v>
      </c>
      <c r="V4" s="133"/>
      <c r="W4" s="129"/>
      <c r="X4" s="127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101</v>
      </c>
      <c r="J5" s="94" t="s">
        <v>102</v>
      </c>
      <c r="K5" s="95" t="s">
        <v>103</v>
      </c>
      <c r="L5" s="78" t="s">
        <v>104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81"/>
      <c r="I6" s="77"/>
      <c r="J6" s="95" t="s">
        <v>100</v>
      </c>
      <c r="K6" s="95" t="s">
        <v>75</v>
      </c>
      <c r="L6" s="78" t="s">
        <v>76</v>
      </c>
      <c r="M6" s="105">
        <v>1</v>
      </c>
      <c r="N6" s="102">
        <v>800000</v>
      </c>
      <c r="O6" s="103">
        <f>M6*N6</f>
        <v>800000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800000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7">
        <f>SUM(O5:O6)</f>
        <v>800000</v>
      </c>
      <c r="Q7" s="117">
        <f>SUM(Q5:Q6)</f>
        <v>219321</v>
      </c>
      <c r="S7" s="117">
        <f>SUM(S5:S6)</f>
        <v>0</v>
      </c>
      <c r="U7" s="117">
        <f>SUM(U5:U6)</f>
        <v>0</v>
      </c>
      <c r="V7" s="118">
        <f>SUM(V5:V6)</f>
        <v>1019321</v>
      </c>
      <c r="W7" s="83"/>
    </row>
    <row r="11" spans="1:24" ht="38.1" customHeight="1" x14ac:dyDescent="0.3">
      <c r="Q11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P30" sqref="P30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D16" sqref="D16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77</v>
      </c>
      <c r="C2" s="67" t="s">
        <v>100</v>
      </c>
      <c r="D2" s="67" t="s">
        <v>78</v>
      </c>
      <c r="E2" s="67" t="s">
        <v>79</v>
      </c>
      <c r="F2" s="87">
        <v>1</v>
      </c>
      <c r="G2" s="90">
        <v>800000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N29" sqref="N29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2025-10-28T02:35:39Z</dcterms:modified>
</cp:coreProperties>
</file>
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09 기숙사 A동 401-6호외 4세대 도배\"/>
    </mc:Choice>
  </mc:AlternateContent>
  <xr:revisionPtr revIDLastSave="0" documentId="13_ncr:1_{6D40C283-0974-4576-B16F-98A95BEFB157}" xr6:coauthVersionLast="47" xr6:coauthVersionMax="47" xr10:uidLastSave="{00000000-0000-0000-0000-000000000000}"/>
  <bookViews>
    <workbookView xWindow="14355" yWindow="0" windowWidth="14490" windowHeight="15525" firstSheet="3" activeTab="4" xr2:uid="{00000000-000D-0000-FFFF-FFFF00000000}"/>
  </bookViews>
  <sheets>
    <sheet name="갑지" sheetId="1" r:id="rId1"/>
    <sheet name="내역서(표준단가)" sheetId="2" r:id="rId2"/>
    <sheet name="상세내역" sheetId="3" r:id="rId3"/>
    <sheet name="시중가 근거서류" sheetId="4" r:id="rId4"/>
    <sheet name="Upload" sheetId="5" r:id="rId5"/>
    <sheet name="Upload-rs" sheetId="6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F14" i="3"/>
  <c r="H12" i="3"/>
  <c r="F12" i="3"/>
  <c r="H10" i="3"/>
  <c r="F10" i="3"/>
  <c r="N10" i="3" s="1"/>
  <c r="H8" i="3"/>
  <c r="F8" i="3"/>
  <c r="H6" i="3"/>
  <c r="F6" i="3"/>
  <c r="N6" i="3" l="1"/>
  <c r="H16" i="3"/>
  <c r="F16" i="3"/>
  <c r="N8" i="3"/>
  <c r="N14" i="3"/>
  <c r="N12" i="3"/>
  <c r="F2" i="6"/>
  <c r="E2" i="6"/>
  <c r="D2" i="6"/>
  <c r="C2" i="6"/>
  <c r="B2" i="6"/>
  <c r="L16" i="3"/>
  <c r="J16" i="3"/>
  <c r="U7" i="2"/>
  <c r="S7" i="2"/>
  <c r="Q7" i="2"/>
  <c r="O7" i="2"/>
  <c r="A7" i="2"/>
  <c r="U6" i="2"/>
  <c r="S6" i="2"/>
  <c r="Q6" i="2"/>
  <c r="O6" i="2"/>
  <c r="J6" i="2"/>
  <c r="A6" i="2"/>
  <c r="U5" i="2"/>
  <c r="S5" i="2"/>
  <c r="Q5" i="2"/>
  <c r="O5" i="2"/>
  <c r="A5" i="2"/>
  <c r="A2" i="6" s="1"/>
  <c r="N16" i="3" l="1"/>
  <c r="U8" i="2"/>
  <c r="V7" i="2"/>
  <c r="S8" i="2"/>
  <c r="V6" i="2"/>
  <c r="O8" i="2"/>
  <c r="F16" i="1" s="1"/>
  <c r="Q8" i="2"/>
  <c r="F17" i="1" s="1"/>
  <c r="F25" i="1" s="1"/>
  <c r="V5" i="2"/>
  <c r="F26" i="1" l="1"/>
  <c r="F22" i="1"/>
  <c r="F23" i="1" s="1"/>
  <c r="F21" i="1"/>
  <c r="F24" i="1"/>
  <c r="F18" i="1"/>
  <c r="F19" i="1" s="1"/>
  <c r="V8" i="2"/>
  <c r="F27" i="1" l="1"/>
  <c r="F28" i="1" s="1"/>
  <c r="F30" i="1"/>
  <c r="F31" i="1" s="1"/>
  <c r="B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<sst xmlns="http://schemas.openxmlformats.org/spreadsheetml/2006/main" count="179" uniqueCount="122">
  <si>
    <t>▶ 표준 Code(표준단가/품셈/물정/노임) 순서별 입력(Upload 자동반영)</t>
  </si>
  <si>
    <t>비고</t>
  </si>
  <si>
    <t>간접비</t>
  </si>
  <si>
    <t>건설업</t>
  </si>
  <si>
    <t>구분</t>
  </si>
  <si>
    <t>단위</t>
  </si>
  <si>
    <t>수량</t>
  </si>
  <si>
    <t>합 계</t>
  </si>
  <si>
    <t>업 태</t>
  </si>
  <si>
    <t>재료비</t>
  </si>
  <si>
    <t>노무비</t>
  </si>
  <si>
    <t>종 목</t>
  </si>
  <si>
    <t>직접비</t>
  </si>
  <si>
    <t>품목</t>
  </si>
  <si>
    <t>사업장</t>
  </si>
  <si>
    <t>㎡</t>
  </si>
  <si>
    <t>NO</t>
  </si>
  <si>
    <t>식</t>
  </si>
  <si>
    <t>상 호</t>
  </si>
  <si>
    <t>품명</t>
  </si>
  <si>
    <t>규격</t>
  </si>
  <si>
    <t>금액</t>
  </si>
  <si>
    <t>원정</t>
  </si>
  <si>
    <t>코드</t>
  </si>
  <si>
    <t>소계</t>
  </si>
  <si>
    <t xml:space="preserve">  </t>
  </si>
  <si>
    <t>단가</t>
  </si>
  <si>
    <t>벽면</t>
  </si>
  <si>
    <t>도배</t>
  </si>
  <si>
    <t>합계</t>
  </si>
  <si>
    <t xml:space="preserve"> 수신인 : 주식회사 에스엔아이 코퍼레이션</t>
  </si>
  <si>
    <t>■ 벽지 자재비 근거서류(999999)</t>
  </si>
  <si>
    <t>대전 서구 도마6길 107 (도마동)</t>
  </si>
  <si>
    <t xml:space="preserve">  산업안전보건관리비</t>
  </si>
  <si>
    <t>일반관리비/이윤</t>
  </si>
  <si>
    <t> 노무비*4.5%</t>
  </si>
  <si>
    <t>합계(단수조정)</t>
  </si>
  <si>
    <t>  장기요양보험료</t>
  </si>
  <si>
    <t>모든공사에 적용</t>
  </si>
  <si>
    <t> 노무비*1.01%</t>
  </si>
  <si>
    <t>TEL, FAX</t>
  </si>
  <si>
    <t> 노무비*3.545%</t>
  </si>
  <si>
    <t>실내건축,인테리어공사</t>
  </si>
  <si>
    <t xml:space="preserve"> 내   역   서</t>
  </si>
  <si>
    <t>품        명</t>
  </si>
  <si>
    <t>규      격</t>
  </si>
  <si>
    <t> 노무비*3.56%</t>
  </si>
  <si>
    <t xml:space="preserve"> 기타경비(부자재비)</t>
  </si>
  <si>
    <t>벽지(LG 휘앙세)</t>
  </si>
  <si>
    <t>합판·석고보드면</t>
  </si>
  <si>
    <t>노   무   비</t>
  </si>
  <si>
    <t>기타경비(부자재비)</t>
  </si>
  <si>
    <t> (재료비+노무비)*2.93%</t>
  </si>
  <si>
    <t>합지벽지, 23년 11월 물가자료</t>
  </si>
  <si>
    <t>합지벽지(LG하우시스 휘앙세)</t>
  </si>
  <si>
    <t>042)527-0995, 042)527-0996</t>
  </si>
  <si>
    <t>LX하우시스, 휘앙세 93*17.75, M2당</t>
  </si>
  <si>
    <t>견 적 서</t>
  </si>
  <si>
    <t>기계/기타경비</t>
  </si>
  <si>
    <t xml:space="preserve">금액: </t>
  </si>
  <si>
    <t>  국민연금</t>
  </si>
  <si>
    <t>  건강보험료</t>
  </si>
  <si>
    <t>  산재보험료</t>
  </si>
  <si>
    <t>표준내역코드</t>
  </si>
  <si>
    <t>  고용보험료</t>
  </si>
  <si>
    <t>VAT별도</t>
  </si>
  <si>
    <t>대표 이사</t>
  </si>
  <si>
    <t>등록번호</t>
  </si>
  <si>
    <t>재료비단가</t>
  </si>
  <si>
    <t>할증기준</t>
  </si>
  <si>
    <t>세부공종</t>
  </si>
  <si>
    <t>재료비소계</t>
  </si>
  <si>
    <t>표준단가</t>
  </si>
  <si>
    <t>표준품셈</t>
  </si>
  <si>
    <t>물가정보</t>
  </si>
  <si>
    <t>노임단가</t>
  </si>
  <si>
    <t>노무비소계</t>
  </si>
  <si>
    <t>단가(m2)</t>
  </si>
  <si>
    <t>적용기준</t>
  </si>
  <si>
    <t>비  고</t>
  </si>
  <si>
    <t>재료비할증율</t>
  </si>
  <si>
    <t>금    액</t>
  </si>
  <si>
    <t>노무비할증율</t>
  </si>
  <si>
    <t>기계경비단가</t>
  </si>
  <si>
    <t>기타경비소계</t>
  </si>
  <si>
    <t>D02642</t>
  </si>
  <si>
    <t>▼낙찰율</t>
  </si>
  <si>
    <t>상 석 희</t>
  </si>
  <si>
    <t>기계경비소계</t>
  </si>
  <si>
    <t>합  계</t>
  </si>
  <si>
    <t>㈜일성건축</t>
  </si>
  <si>
    <t>할증코드</t>
  </si>
  <si>
    <t xml:space="preserve"> 기계경비</t>
  </si>
  <si>
    <t>노무비단가</t>
  </si>
  <si>
    <t>기타경비단가</t>
  </si>
  <si>
    <t>할증내용</t>
  </si>
  <si>
    <t>금     액</t>
  </si>
  <si>
    <t>단   가</t>
  </si>
  <si>
    <t>장폭합지</t>
  </si>
  <si>
    <t>영선,건축</t>
  </si>
  <si>
    <t>노무비 할증</t>
  </si>
  <si>
    <t>품셈/표단</t>
  </si>
  <si>
    <t>기계경비</t>
  </si>
  <si>
    <t>물가정보 M</t>
  </si>
  <si>
    <t>노임단가 L</t>
  </si>
  <si>
    <t>주요내역</t>
  </si>
  <si>
    <t>표준단가 D</t>
  </si>
  <si>
    <t>표준품셈 E</t>
  </si>
  <si>
    <t> (노무비+간접공사비)*5%</t>
  </si>
  <si>
    <t> 건강보험료*12.95%</t>
  </si>
  <si>
    <t>물가자료 2023.11</t>
  </si>
  <si>
    <t>제 1호표  도배바름(천장)</t>
  </si>
  <si>
    <t>314-86-35718</t>
  </si>
  <si>
    <t xml:space="preserve">재    료   비   </t>
  </si>
  <si>
    <t xml:space="preserve"> 견적일 : 2025년  01월  15일</t>
    <phoneticPr fontId="21" type="noConversion"/>
  </si>
  <si>
    <t>1.A401-6</t>
    <phoneticPr fontId="21" type="noConversion"/>
  </si>
  <si>
    <t>2.A503-4</t>
    <phoneticPr fontId="21" type="noConversion"/>
  </si>
  <si>
    <t>3.A504-2</t>
    <phoneticPr fontId="21" type="noConversion"/>
  </si>
  <si>
    <t>4.A703-4</t>
    <phoneticPr fontId="21" type="noConversion"/>
  </si>
  <si>
    <t>5.B702-1</t>
    <phoneticPr fontId="21" type="noConversion"/>
  </si>
  <si>
    <t xml:space="preserve"> 공사명 : 기숙사 A동 401-6호 도배보수외 4세대</t>
    <phoneticPr fontId="21" type="noConversion"/>
  </si>
  <si>
    <t>기숙사 A동 401-6호 도배보수외 4세대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</si>
</sst>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1" formatCode="_-* #,##0_-;\-* #,##0_-;_-* &quot;-&quot;_-;_-@_-"/>
    <numFmt numFmtId="176" formatCode="_(* #,##0_);_(* \(#,##0\);_(* &quot;-&quot;_);_(@_)"/>
    <numFmt numFmtId="177" formatCode="_ * #,##0_ ;_ * \-#,##0_ ;_ * &quot;-&quot;_ ;_ @_ "/>
    <numFmt numFmtId="178" formatCode="###,#00,000"/>
    <numFmt numFmtId="179" formatCode="_-* #,##0_-;&quot;₩&quot;\!\-* #,##0_-;_-* &quot;-&quot;_-;_-@_-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</numFmts>
  <fonts count="22" x14ac:knownFonts="1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F5F5F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double">
        <color rgb="FFBFBFBF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>
      <alignment vertical="center"/>
    </xf>
    <xf numFmtId="9" fontId="20" fillId="0" borderId="0">
      <alignment vertical="center"/>
    </xf>
    <xf numFmtId="41" fontId="20" fillId="0" borderId="0">
      <alignment vertical="center"/>
    </xf>
    <xf numFmtId="0" fontId="1" fillId="0" borderId="0"/>
    <xf numFmtId="176" fontId="20" fillId="0" borderId="0">
      <alignment vertical="center"/>
    </xf>
    <xf numFmtId="177" fontId="2" fillId="0" borderId="0"/>
    <xf numFmtId="0" fontId="3" fillId="0" borderId="0"/>
    <xf numFmtId="179" fontId="3" fillId="0" borderId="0"/>
    <xf numFmtId="0" fontId="20" fillId="0" borderId="0">
      <alignment vertical="center"/>
    </xf>
    <xf numFmtId="9" fontId="2" fillId="0" borderId="0"/>
    <xf numFmtId="0" fontId="1" fillId="0" borderId="0"/>
    <xf numFmtId="176" fontId="4" fillId="0" borderId="0">
      <alignment vertical="center"/>
    </xf>
    <xf numFmtId="0" fontId="20" fillId="0" borderId="0">
      <alignment vertical="center"/>
    </xf>
    <xf numFmtId="176" fontId="20" fillId="0" borderId="0">
      <alignment vertical="center"/>
    </xf>
    <xf numFmtId="0" fontId="20" fillId="0" borderId="0">
      <alignment vertical="center"/>
    </xf>
    <xf numFmtId="176" fontId="20" fillId="0" borderId="0">
      <alignment vertical="center"/>
    </xf>
  </cellStyleXfs>
  <cellXfs count="173">
    <xf numFmtId="0" fontId="0" fillId="0" borderId="0" xfId="0">
      <alignment vertical="center"/>
    </xf>
    <xf numFmtId="0" fontId="5" fillId="0" borderId="1" xfId="6" applyFont="1" applyBorder="1" applyAlignment="1">
      <alignment horizontal="right" vertical="center"/>
    </xf>
    <xf numFmtId="0" fontId="6" fillId="0" borderId="0" xfId="6" applyFont="1" applyAlignment="1">
      <alignment vertical="center"/>
    </xf>
    <xf numFmtId="0" fontId="7" fillId="0" borderId="0" xfId="3" applyFont="1"/>
    <xf numFmtId="0" fontId="8" fillId="0" borderId="0" xfId="3" applyFont="1"/>
    <xf numFmtId="0" fontId="9" fillId="0" borderId="0" xfId="6" applyFont="1" applyAlignment="1">
      <alignment vertical="center"/>
    </xf>
    <xf numFmtId="0" fontId="5" fillId="0" borderId="2" xfId="6" applyFont="1" applyBorder="1" applyAlignment="1">
      <alignment vertical="center"/>
    </xf>
    <xf numFmtId="0" fontId="9" fillId="0" borderId="3" xfId="6" applyFont="1" applyBorder="1" applyAlignment="1">
      <alignment horizontal="center" vertical="center"/>
    </xf>
    <xf numFmtId="0" fontId="5" fillId="0" borderId="4" xfId="6" applyFont="1" applyBorder="1" applyAlignment="1">
      <alignment horizontal="right" vertical="center"/>
    </xf>
    <xf numFmtId="0" fontId="5" fillId="2" borderId="5" xfId="6" applyFont="1" applyFill="1" applyBorder="1" applyAlignment="1">
      <alignment horizontal="center" vertical="center"/>
    </xf>
    <xf numFmtId="0" fontId="5" fillId="2" borderId="6" xfId="6" applyFont="1" applyFill="1" applyBorder="1" applyAlignment="1">
      <alignment vertical="center" shrinkToFit="1"/>
    </xf>
    <xf numFmtId="0" fontId="5" fillId="2" borderId="7" xfId="6" applyFont="1" applyFill="1" applyBorder="1" applyAlignment="1">
      <alignment horizontal="center" vertical="center"/>
    </xf>
    <xf numFmtId="0" fontId="5" fillId="2" borderId="8" xfId="6" applyFont="1" applyFill="1" applyBorder="1" applyAlignment="1">
      <alignment vertical="center" shrinkToFit="1"/>
    </xf>
    <xf numFmtId="0" fontId="10" fillId="0" borderId="0" xfId="6" applyFont="1" applyAlignment="1">
      <alignment vertical="center" shrinkToFit="1"/>
    </xf>
    <xf numFmtId="0" fontId="5" fillId="2" borderId="7" xfId="6" applyFont="1" applyFill="1" applyBorder="1" applyAlignment="1">
      <alignment horizontal="center" vertical="center" shrinkToFit="1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vertical="center"/>
    </xf>
    <xf numFmtId="0" fontId="9" fillId="0" borderId="0" xfId="6" applyFont="1" applyAlignment="1">
      <alignment horizontal="center" vertical="center" shrinkToFit="1"/>
    </xf>
    <xf numFmtId="0" fontId="5" fillId="0" borderId="9" xfId="6" applyFont="1" applyBorder="1" applyAlignment="1">
      <alignment horizontal="center" vertical="center" shrinkToFit="1"/>
    </xf>
    <xf numFmtId="0" fontId="5" fillId="0" borderId="10" xfId="6" applyFont="1" applyBorder="1" applyAlignment="1">
      <alignment vertical="center" shrinkToFit="1"/>
    </xf>
    <xf numFmtId="0" fontId="10" fillId="0" borderId="1" xfId="6" applyFont="1" applyBorder="1" applyAlignment="1">
      <alignment vertical="center"/>
    </xf>
    <xf numFmtId="178" fontId="9" fillId="0" borderId="1" xfId="6" applyNumberFormat="1" applyFont="1" applyBorder="1" applyAlignment="1">
      <alignment vertical="center"/>
    </xf>
    <xf numFmtId="0" fontId="9" fillId="0" borderId="0" xfId="6" applyFont="1" applyAlignment="1">
      <alignment vertical="center" shrinkToFit="1"/>
    </xf>
    <xf numFmtId="0" fontId="5" fillId="0" borderId="11" xfId="6" applyFont="1" applyBorder="1" applyAlignment="1">
      <alignment horizontal="center" vertical="center"/>
    </xf>
    <xf numFmtId="0" fontId="5" fillId="0" borderId="12" xfId="6" applyFont="1" applyBorder="1" applyAlignment="1">
      <alignment horizontal="center" vertical="center"/>
    </xf>
    <xf numFmtId="0" fontId="5" fillId="0" borderId="13" xfId="6" applyFont="1" applyBorder="1" applyAlignment="1">
      <alignment horizontal="center" vertical="center"/>
    </xf>
    <xf numFmtId="0" fontId="11" fillId="0" borderId="14" xfId="6" applyFont="1" applyBorder="1" applyAlignment="1">
      <alignment horizontal="center" vertical="center"/>
    </xf>
    <xf numFmtId="0" fontId="5" fillId="0" borderId="15" xfId="6" applyFont="1" applyBorder="1" applyAlignment="1">
      <alignment vertical="center"/>
    </xf>
    <xf numFmtId="0" fontId="11" fillId="0" borderId="15" xfId="6" applyFont="1" applyBorder="1" applyAlignment="1">
      <alignment vertical="center"/>
    </xf>
    <xf numFmtId="1" fontId="11" fillId="0" borderId="15" xfId="6" applyNumberFormat="1" applyFont="1" applyBorder="1" applyAlignment="1">
      <alignment horizontal="center" vertical="center"/>
    </xf>
    <xf numFmtId="179" fontId="11" fillId="0" borderId="15" xfId="7" applyFont="1" applyBorder="1" applyAlignment="1">
      <alignment horizontal="right" vertical="center"/>
    </xf>
    <xf numFmtId="0" fontId="11" fillId="0" borderId="16" xfId="6" applyFont="1" applyBorder="1" applyAlignment="1">
      <alignment vertical="center"/>
    </xf>
    <xf numFmtId="0" fontId="11" fillId="0" borderId="17" xfId="6" applyFont="1" applyBorder="1" applyAlignment="1">
      <alignment horizontal="center" vertical="center"/>
    </xf>
    <xf numFmtId="0" fontId="11" fillId="0" borderId="18" xfId="6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/>
    </xf>
    <xf numFmtId="1" fontId="11" fillId="0" borderId="18" xfId="6" applyNumberFormat="1" applyFont="1" applyBorder="1" applyAlignment="1">
      <alignment horizontal="center" vertical="center"/>
    </xf>
    <xf numFmtId="179" fontId="11" fillId="0" borderId="18" xfId="7" applyFont="1" applyBorder="1" applyAlignment="1">
      <alignment horizontal="right" vertical="center"/>
    </xf>
    <xf numFmtId="0" fontId="11" fillId="0" borderId="19" xfId="6" quotePrefix="1" applyFont="1" applyBorder="1" applyAlignment="1">
      <alignment vertical="center"/>
    </xf>
    <xf numFmtId="0" fontId="11" fillId="0" borderId="19" xfId="6" applyFont="1" applyBorder="1" applyAlignment="1">
      <alignment vertical="center"/>
    </xf>
    <xf numFmtId="0" fontId="5" fillId="3" borderId="18" xfId="6" applyFont="1" applyFill="1" applyBorder="1" applyAlignment="1">
      <alignment vertical="center"/>
    </xf>
    <xf numFmtId="1" fontId="5" fillId="3" borderId="18" xfId="6" applyNumberFormat="1" applyFont="1" applyFill="1" applyBorder="1" applyAlignment="1">
      <alignment horizontal="center" vertical="center"/>
    </xf>
    <xf numFmtId="179" fontId="5" fillId="3" borderId="18" xfId="7" applyFont="1" applyFill="1" applyBorder="1" applyAlignment="1">
      <alignment horizontal="right" vertical="center"/>
    </xf>
    <xf numFmtId="0" fontId="5" fillId="0" borderId="18" xfId="6" applyFont="1" applyBorder="1" applyAlignment="1">
      <alignment vertical="center"/>
    </xf>
    <xf numFmtId="0" fontId="11" fillId="0" borderId="18" xfId="6" applyFont="1" applyBorder="1" applyAlignment="1">
      <alignment vertical="center"/>
    </xf>
    <xf numFmtId="179" fontId="5" fillId="0" borderId="18" xfId="7" applyFont="1" applyBorder="1" applyAlignment="1">
      <alignment horizontal="right" vertical="center"/>
    </xf>
    <xf numFmtId="0" fontId="11" fillId="0" borderId="18" xfId="8" applyFont="1" applyBorder="1" applyAlignment="1">
      <alignment horizontal="center" vertical="center"/>
    </xf>
    <xf numFmtId="177" fontId="11" fillId="0" borderId="18" xfId="5" applyFont="1" applyBorder="1" applyAlignment="1">
      <alignment horizontal="right" vertical="center"/>
    </xf>
    <xf numFmtId="0" fontId="11" fillId="2" borderId="18" xfId="8" applyFont="1" applyFill="1" applyBorder="1" applyAlignment="1">
      <alignment horizontal="center" vertical="center"/>
    </xf>
    <xf numFmtId="0" fontId="11" fillId="2" borderId="18" xfId="6" applyFont="1" applyFill="1" applyBorder="1" applyAlignment="1">
      <alignment vertical="center"/>
    </xf>
    <xf numFmtId="0" fontId="11" fillId="2" borderId="18" xfId="6" applyFont="1" applyFill="1" applyBorder="1" applyAlignment="1">
      <alignment horizontal="center" vertical="center"/>
    </xf>
    <xf numFmtId="177" fontId="11" fillId="2" borderId="18" xfId="5" applyFont="1" applyFill="1" applyBorder="1" applyAlignment="1">
      <alignment horizontal="right" vertical="center"/>
    </xf>
    <xf numFmtId="0" fontId="11" fillId="2" borderId="19" xfId="6" applyFont="1" applyFill="1" applyBorder="1" applyAlignment="1">
      <alignment vertical="center"/>
    </xf>
    <xf numFmtId="0" fontId="11" fillId="0" borderId="18" xfId="3" applyFont="1" applyBorder="1" applyAlignment="1">
      <alignment horizontal="left" vertical="center"/>
    </xf>
    <xf numFmtId="9" fontId="5" fillId="3" borderId="18" xfId="3" applyNumberFormat="1" applyFont="1" applyFill="1" applyBorder="1" applyAlignment="1">
      <alignment horizontal="right" vertical="center"/>
    </xf>
    <xf numFmtId="1" fontId="5" fillId="3" borderId="18" xfId="9" applyNumberFormat="1" applyFont="1" applyFill="1" applyBorder="1" applyAlignment="1">
      <alignment horizontal="center" vertical="center"/>
    </xf>
    <xf numFmtId="176" fontId="5" fillId="3" borderId="18" xfId="7" applyNumberFormat="1" applyFont="1" applyFill="1" applyBorder="1" applyAlignment="1">
      <alignment horizontal="right" vertical="center"/>
    </xf>
    <xf numFmtId="9" fontId="11" fillId="0" borderId="18" xfId="3" applyNumberFormat="1" applyFont="1" applyBorder="1" applyAlignment="1">
      <alignment horizontal="right" vertical="center"/>
    </xf>
    <xf numFmtId="1" fontId="11" fillId="0" borderId="18" xfId="9" applyNumberFormat="1" applyFont="1" applyBorder="1" applyAlignment="1">
      <alignment horizontal="center" vertical="center"/>
    </xf>
    <xf numFmtId="176" fontId="5" fillId="0" borderId="18" xfId="7" applyNumberFormat="1" applyFont="1" applyBorder="1" applyAlignment="1">
      <alignment horizontal="right" vertical="center"/>
    </xf>
    <xf numFmtId="0" fontId="11" fillId="0" borderId="18" xfId="3" applyFont="1" applyBorder="1" applyAlignment="1">
      <alignment vertical="center"/>
    </xf>
    <xf numFmtId="179" fontId="11" fillId="2" borderId="18" xfId="7" applyFont="1" applyFill="1" applyBorder="1" applyAlignment="1">
      <alignment horizontal="right" vertical="center"/>
    </xf>
    <xf numFmtId="179" fontId="5" fillId="3" borderId="0" xfId="3" applyNumberFormat="1" applyFont="1" applyFill="1" applyAlignment="1">
      <alignment vertical="center"/>
    </xf>
    <xf numFmtId="0" fontId="5" fillId="0" borderId="20" xfId="6" applyFont="1" applyBorder="1" applyAlignment="1">
      <alignment horizontal="center" vertical="center" textRotation="255"/>
    </xf>
    <xf numFmtId="0" fontId="5" fillId="0" borderId="21" xfId="6" applyFont="1" applyBorder="1" applyAlignment="1">
      <alignment vertical="top"/>
    </xf>
    <xf numFmtId="0" fontId="11" fillId="0" borderId="22" xfId="6" applyFont="1" applyBorder="1" applyAlignment="1">
      <alignment vertical="center"/>
    </xf>
    <xf numFmtId="0" fontId="11" fillId="0" borderId="22" xfId="6" applyFont="1" applyBorder="1" applyAlignment="1">
      <alignment horizontal="right" vertical="center"/>
    </xf>
    <xf numFmtId="0" fontId="11" fillId="0" borderId="23" xfId="6" applyFont="1" applyBorder="1" applyAlignment="1">
      <alignment vertical="center"/>
    </xf>
    <xf numFmtId="0" fontId="5" fillId="0" borderId="0" xfId="10" applyFont="1"/>
    <xf numFmtId="0" fontId="0" fillId="0" borderId="0" xfId="14" applyFont="1">
      <alignment vertical="center"/>
    </xf>
    <xf numFmtId="0" fontId="12" fillId="0" borderId="0" xfId="14" applyFont="1">
      <alignment vertical="center"/>
    </xf>
    <xf numFmtId="0" fontId="0" fillId="0" borderId="0" xfId="14" applyFont="1" applyAlignment="1">
      <alignment horizontal="center" vertical="center"/>
    </xf>
    <xf numFmtId="176" fontId="13" fillId="4" borderId="5" xfId="15" applyFont="1" applyFill="1" applyBorder="1" applyAlignment="1">
      <alignment horizontal="center" vertical="center"/>
    </xf>
    <xf numFmtId="176" fontId="13" fillId="4" borderId="24" xfId="15" applyFont="1" applyFill="1" applyBorder="1" applyAlignment="1">
      <alignment horizontal="center" vertical="center"/>
    </xf>
    <xf numFmtId="176" fontId="13" fillId="4" borderId="6" xfId="15" applyFont="1" applyFill="1" applyBorder="1" applyAlignment="1">
      <alignment horizontal="center" vertical="center"/>
    </xf>
    <xf numFmtId="0" fontId="8" fillId="5" borderId="9" xfId="15" applyNumberFormat="1" applyFont="1" applyFill="1" applyBorder="1" applyAlignment="1">
      <alignment horizontal="center" vertical="center"/>
    </xf>
    <xf numFmtId="176" fontId="8" fillId="0" borderId="25" xfId="15" applyFont="1" applyBorder="1" applyAlignment="1">
      <alignment horizontal="center" vertical="center" shrinkToFit="1"/>
    </xf>
    <xf numFmtId="176" fontId="14" fillId="0" borderId="25" xfId="15" applyFont="1" applyBorder="1" applyAlignment="1">
      <alignment horizontal="center" vertical="center"/>
    </xf>
    <xf numFmtId="0" fontId="14" fillId="5" borderId="10" xfId="14" applyFont="1" applyFill="1" applyBorder="1">
      <alignment vertical="center"/>
    </xf>
    <xf numFmtId="0" fontId="8" fillId="0" borderId="0" xfId="0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181" fontId="15" fillId="6" borderId="0" xfId="1" applyNumberFormat="1" applyFont="1" applyFill="1" applyAlignment="1">
      <alignment horizontal="center" vertical="center"/>
    </xf>
    <xf numFmtId="0" fontId="15" fillId="7" borderId="26" xfId="0" applyFont="1" applyFill="1" applyBorder="1">
      <alignment vertical="center"/>
    </xf>
    <xf numFmtId="0" fontId="15" fillId="7" borderId="27" xfId="0" applyFont="1" applyFill="1" applyBorder="1">
      <alignment vertical="center"/>
    </xf>
    <xf numFmtId="0" fontId="15" fillId="8" borderId="28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8" borderId="29" xfId="3" applyFont="1" applyFill="1" applyBorder="1" applyAlignment="1">
      <alignment horizontal="center" vertical="center"/>
    </xf>
    <xf numFmtId="176" fontId="15" fillId="8" borderId="29" xfId="4" applyFont="1" applyFill="1" applyBorder="1" applyAlignment="1">
      <alignment horizontal="center" vertical="center"/>
    </xf>
    <xf numFmtId="177" fontId="15" fillId="8" borderId="29" xfId="5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9" borderId="29" xfId="0" applyFont="1" applyFill="1" applyBorder="1" applyAlignment="1">
      <alignment horizontal="center" vertical="center"/>
    </xf>
    <xf numFmtId="49" fontId="7" fillId="9" borderId="29" xfId="0" applyNumberFormat="1" applyFont="1" applyFill="1" applyBorder="1" applyAlignment="1">
      <alignment horizontal="center" vertical="center" wrapText="1"/>
    </xf>
    <xf numFmtId="49" fontId="7" fillId="2" borderId="29" xfId="0" applyNumberFormat="1" applyFont="1" applyFill="1" applyBorder="1" applyAlignment="1">
      <alignment horizontal="center" vertical="center" wrapText="1"/>
    </xf>
    <xf numFmtId="182" fontId="16" fillId="0" borderId="29" xfId="2" applyNumberFormat="1" applyFont="1" applyBorder="1" applyAlignment="1">
      <alignment horizontal="center" vertical="center"/>
    </xf>
    <xf numFmtId="0" fontId="7" fillId="0" borderId="29" xfId="0" applyFont="1" applyBorder="1">
      <alignment vertical="center"/>
    </xf>
    <xf numFmtId="176" fontId="7" fillId="4" borderId="29" xfId="2" applyNumberFormat="1" applyFont="1" applyFill="1" applyBorder="1" applyAlignment="1">
      <alignment horizontal="center" vertical="center" wrapText="1"/>
    </xf>
    <xf numFmtId="176" fontId="7" fillId="0" borderId="29" xfId="2" applyNumberFormat="1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/>
    </xf>
    <xf numFmtId="0" fontId="16" fillId="0" borderId="0" xfId="0" applyFont="1">
      <alignment vertical="center"/>
    </xf>
    <xf numFmtId="183" fontId="7" fillId="2" borderId="29" xfId="0" applyNumberFormat="1" applyFont="1" applyFill="1" applyBorder="1" applyAlignment="1">
      <alignment horizontal="right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9" fontId="16" fillId="0" borderId="29" xfId="0" applyNumberFormat="1" applyFont="1" applyBorder="1" applyAlignment="1">
      <alignment horizontal="center" vertical="center"/>
    </xf>
    <xf numFmtId="0" fontId="11" fillId="5" borderId="0" xfId="0" applyFont="1" applyFill="1">
      <alignment vertical="center"/>
    </xf>
    <xf numFmtId="0" fontId="11" fillId="0" borderId="0" xfId="0" applyFont="1">
      <alignment vertical="center"/>
    </xf>
    <xf numFmtId="176" fontId="5" fillId="5" borderId="0" xfId="0" applyNumberFormat="1" applyFont="1" applyFill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5" fillId="2" borderId="0" xfId="0" applyFont="1" applyFill="1">
      <alignment vertical="center"/>
    </xf>
    <xf numFmtId="176" fontId="7" fillId="0" borderId="0" xfId="0" applyNumberFormat="1" applyFont="1">
      <alignment vertical="center"/>
    </xf>
    <xf numFmtId="0" fontId="9" fillId="0" borderId="0" xfId="0" applyFont="1">
      <alignment vertical="center"/>
    </xf>
    <xf numFmtId="0" fontId="9" fillId="0" borderId="0" xfId="12" applyFont="1">
      <alignment vertical="center"/>
    </xf>
    <xf numFmtId="182" fontId="7" fillId="0" borderId="29" xfId="2" applyNumberFormat="1" applyFont="1" applyBorder="1" applyAlignment="1">
      <alignment horizontal="center" vertical="center"/>
    </xf>
    <xf numFmtId="188" fontId="7" fillId="2" borderId="29" xfId="0" applyNumberFormat="1" applyFont="1" applyFill="1" applyBorder="1" applyAlignment="1">
      <alignment horizontal="right" vertical="center" wrapText="1"/>
    </xf>
    <xf numFmtId="0" fontId="7" fillId="0" borderId="29" xfId="3" applyFont="1" applyBorder="1" applyAlignment="1">
      <alignment horizontal="left" vertical="center" shrinkToFit="1"/>
    </xf>
    <xf numFmtId="0" fontId="7" fillId="0" borderId="29" xfId="3" applyFont="1" applyBorder="1" applyAlignment="1">
      <alignment horizontal="center" vertical="center"/>
    </xf>
    <xf numFmtId="182" fontId="7" fillId="0" borderId="0" xfId="2" applyNumberFormat="1" applyFont="1" applyAlignment="1">
      <alignment horizontal="center" vertical="center"/>
    </xf>
    <xf numFmtId="176" fontId="7" fillId="0" borderId="0" xfId="2" applyNumberFormat="1" applyFont="1">
      <alignment vertical="center"/>
    </xf>
    <xf numFmtId="49" fontId="7" fillId="10" borderId="31" xfId="0" applyNumberFormat="1" applyFont="1" applyFill="1" applyBorder="1" applyAlignment="1">
      <alignment horizontal="center" vertical="center" wrapText="1"/>
    </xf>
    <xf numFmtId="49" fontId="7" fillId="10" borderId="32" xfId="0" applyNumberFormat="1" applyFont="1" applyFill="1" applyBorder="1" applyAlignment="1">
      <alignment horizontal="center" vertical="center" wrapText="1"/>
    </xf>
    <xf numFmtId="180" fontId="7" fillId="9" borderId="31" xfId="2" applyNumberFormat="1" applyFont="1" applyFill="1" applyBorder="1" applyAlignment="1">
      <alignment horizontal="center" vertical="center"/>
    </xf>
    <xf numFmtId="180" fontId="7" fillId="0" borderId="31" xfId="2" applyNumberFormat="1" applyFont="1" applyBorder="1" applyAlignment="1">
      <alignment horizontal="center" vertical="center"/>
    </xf>
    <xf numFmtId="0" fontId="5" fillId="0" borderId="33" xfId="12" quotePrefix="1" applyFont="1" applyBorder="1" applyAlignment="1">
      <alignment horizontal="center" vertical="center"/>
    </xf>
    <xf numFmtId="184" fontId="5" fillId="0" borderId="33" xfId="12" quotePrefix="1" applyNumberFormat="1" applyFont="1" applyBorder="1" applyAlignment="1">
      <alignment horizontal="center" vertical="center"/>
    </xf>
    <xf numFmtId="176" fontId="11" fillId="0" borderId="33" xfId="11" applyFont="1" applyBorder="1">
      <alignment vertical="center"/>
    </xf>
    <xf numFmtId="186" fontId="11" fillId="0" borderId="33" xfId="11" applyNumberFormat="1" applyFont="1" applyBorder="1" applyAlignment="1">
      <alignment horizontal="center" vertical="center"/>
    </xf>
    <xf numFmtId="176" fontId="11" fillId="0" borderId="33" xfId="11" applyFont="1" applyBorder="1" applyAlignment="1">
      <alignment horizontal="center" vertical="center"/>
    </xf>
    <xf numFmtId="187" fontId="11" fillId="0" borderId="33" xfId="11" applyNumberFormat="1" applyFont="1" applyBorder="1" applyAlignment="1">
      <alignment horizontal="center" vertical="center"/>
    </xf>
    <xf numFmtId="184" fontId="11" fillId="2" borderId="33" xfId="11" applyNumberFormat="1" applyFont="1" applyFill="1" applyBorder="1" applyAlignment="1">
      <alignment horizontal="right" vertical="center" wrapText="1"/>
    </xf>
    <xf numFmtId="184" fontId="11" fillId="0" borderId="33" xfId="11" applyNumberFormat="1" applyFont="1" applyBorder="1" applyAlignment="1">
      <alignment horizontal="right" vertical="center" wrapText="1"/>
    </xf>
    <xf numFmtId="0" fontId="5" fillId="5" borderId="33" xfId="11" applyNumberFormat="1" applyFont="1" applyFill="1" applyBorder="1" applyAlignment="1">
      <alignment horizontal="center" vertical="center"/>
    </xf>
    <xf numFmtId="186" fontId="5" fillId="5" borderId="33" xfId="11" applyNumberFormat="1" applyFont="1" applyFill="1" applyBorder="1" applyAlignment="1">
      <alignment horizontal="center" vertical="center"/>
    </xf>
    <xf numFmtId="176" fontId="5" fillId="5" borderId="33" xfId="11" applyFont="1" applyFill="1" applyBorder="1" applyAlignment="1">
      <alignment horizontal="center" vertical="center"/>
    </xf>
    <xf numFmtId="187" fontId="5" fillId="5" borderId="33" xfId="11" applyNumberFormat="1" applyFont="1" applyFill="1" applyBorder="1" applyAlignment="1">
      <alignment horizontal="center" vertical="center"/>
    </xf>
    <xf numFmtId="184" fontId="5" fillId="5" borderId="33" xfId="11" applyNumberFormat="1" applyFont="1" applyFill="1" applyBorder="1" applyAlignment="1">
      <alignment vertical="center" wrapText="1"/>
    </xf>
    <xf numFmtId="185" fontId="5" fillId="0" borderId="33" xfId="11" applyNumberFormat="1" applyFont="1" applyBorder="1">
      <alignment vertical="center"/>
    </xf>
    <xf numFmtId="0" fontId="11" fillId="0" borderId="33" xfId="11" applyNumberFormat="1" applyFont="1" applyBorder="1">
      <alignment vertical="center"/>
    </xf>
    <xf numFmtId="184" fontId="11" fillId="0" borderId="33" xfId="11" applyNumberFormat="1" applyFont="1" applyBorder="1" applyAlignment="1">
      <alignment horizontal="center" vertical="center" wrapText="1"/>
    </xf>
    <xf numFmtId="0" fontId="6" fillId="0" borderId="0" xfId="6" applyFont="1" applyAlignment="1">
      <alignment horizontal="center" vertical="center"/>
    </xf>
    <xf numFmtId="0" fontId="10" fillId="0" borderId="0" xfId="6" applyFont="1" applyAlignment="1">
      <alignment vertical="center"/>
    </xf>
    <xf numFmtId="0" fontId="9" fillId="0" borderId="0" xfId="6" applyFont="1" applyAlignment="1">
      <alignment vertical="center"/>
    </xf>
    <xf numFmtId="0" fontId="5" fillId="0" borderId="2" xfId="6" applyFont="1" applyBorder="1" applyAlignment="1">
      <alignment vertical="center"/>
    </xf>
    <xf numFmtId="0" fontId="5" fillId="0" borderId="3" xfId="6" applyFont="1" applyBorder="1" applyAlignment="1">
      <alignment vertical="center"/>
    </xf>
    <xf numFmtId="0" fontId="5" fillId="0" borderId="4" xfId="6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76" fontId="15" fillId="8" borderId="27" xfId="4" applyFont="1" applyFill="1" applyBorder="1" applyAlignment="1">
      <alignment horizontal="center" vertical="center"/>
    </xf>
    <xf numFmtId="177" fontId="15" fillId="8" borderId="27" xfId="5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0" fontId="15" fillId="8" borderId="29" xfId="0" applyFont="1" applyFill="1" applyBorder="1" applyAlignment="1">
      <alignment horizontal="center" vertical="center"/>
    </xf>
    <xf numFmtId="0" fontId="15" fillId="8" borderId="27" xfId="3" applyFont="1" applyFill="1" applyBorder="1" applyAlignment="1">
      <alignment horizontal="center" vertical="center"/>
    </xf>
    <xf numFmtId="0" fontId="15" fillId="8" borderId="29" xfId="3" applyFont="1" applyFill="1" applyBorder="1" applyAlignment="1">
      <alignment horizontal="center" vertical="center"/>
    </xf>
    <xf numFmtId="185" fontId="5" fillId="0" borderId="38" xfId="11" applyNumberFormat="1" applyFont="1" applyBorder="1">
      <alignment vertical="center"/>
    </xf>
    <xf numFmtId="185" fontId="5" fillId="0" borderId="39" xfId="11" applyNumberFormat="1" applyFont="1" applyBorder="1">
      <alignment vertical="center"/>
    </xf>
    <xf numFmtId="0" fontId="15" fillId="0" borderId="40" xfId="12" applyFont="1" applyBorder="1" applyAlignment="1">
      <alignment horizontal="center" vertical="center"/>
    </xf>
    <xf numFmtId="0" fontId="10" fillId="0" borderId="40" xfId="12" applyFont="1" applyBorder="1" applyAlignment="1">
      <alignment horizontal="center" vertical="center"/>
    </xf>
    <xf numFmtId="0" fontId="5" fillId="0" borderId="33" xfId="12" quotePrefix="1" applyFont="1" applyBorder="1" applyAlignment="1">
      <alignment horizontal="center" vertical="center"/>
    </xf>
    <xf numFmtId="0" fontId="5" fillId="0" borderId="34" xfId="12" quotePrefix="1" applyFont="1" applyBorder="1" applyAlignment="1">
      <alignment horizontal="center" vertical="center"/>
    </xf>
    <xf numFmtId="0" fontId="5" fillId="0" borderId="41" xfId="12" quotePrefix="1" applyFont="1" applyBorder="1" applyAlignment="1">
      <alignment horizontal="center" vertical="center"/>
    </xf>
    <xf numFmtId="0" fontId="5" fillId="0" borderId="33" xfId="12" applyFont="1" applyBorder="1" applyAlignment="1">
      <alignment horizontal="center" vertical="center"/>
    </xf>
    <xf numFmtId="0" fontId="5" fillId="0" borderId="38" xfId="12" quotePrefix="1" applyFont="1" applyBorder="1" applyAlignment="1">
      <alignment horizontal="center" vertical="center"/>
    </xf>
    <xf numFmtId="0" fontId="5" fillId="0" borderId="39" xfId="12" quotePrefix="1" applyFont="1" applyBorder="1" applyAlignment="1">
      <alignment horizontal="center" vertical="center"/>
    </xf>
    <xf numFmtId="0" fontId="5" fillId="0" borderId="34" xfId="12" applyFont="1" applyBorder="1" applyAlignment="1">
      <alignment horizontal="center" vertical="center"/>
    </xf>
    <xf numFmtId="0" fontId="5" fillId="0" borderId="41" xfId="12" applyFont="1" applyBorder="1" applyAlignment="1">
      <alignment horizontal="center" vertical="center"/>
    </xf>
    <xf numFmtId="0" fontId="12" fillId="0" borderId="40" xfId="14" applyFont="1" applyBorder="1">
      <alignment vertical="center"/>
    </xf>
  </cellXfs>
  <cellStyles count="16">
    <cellStyle name="백분율" xfId="1" builtinId="5"/>
    <cellStyle name="백분율 2 64" xfId="9" xr:uid="{00000000-0005-0000-0000-000009000000}"/>
    <cellStyle name="쉼표 [0]" xfId="2" builtinId="6"/>
    <cellStyle name="쉼표 [0] 17" xfId="5" xr:uid="{00000000-0005-0000-0000-000005000000}"/>
    <cellStyle name="쉼표 [0] 2" xfId="4" xr:uid="{00000000-0005-0000-0000-000004000000}"/>
    <cellStyle name="쉼표 [0] 2 2" xfId="15" xr:uid="{00000000-0005-0000-0000-00000F000000}"/>
    <cellStyle name="쉼표 [0] 2 2 29" xfId="11" xr:uid="{00000000-0005-0000-0000-00000B000000}"/>
    <cellStyle name="쉼표 [0] 3" xfId="13" xr:uid="{00000000-0005-0000-0000-00000D000000}"/>
    <cellStyle name="쉼표 [0]_봉강빌딩신축공사" xfId="7" xr:uid="{00000000-0005-0000-0000-000007000000}"/>
    <cellStyle name="표준" xfId="0" builtinId="0"/>
    <cellStyle name="표준 10 10 2" xfId="3" xr:uid="{00000000-0005-0000-0000-000003000000}"/>
    <cellStyle name="표준 2" xfId="8" xr:uid="{00000000-0005-0000-0000-000008000000}"/>
    <cellStyle name="표준 2 10 5" xfId="10" xr:uid="{00000000-0005-0000-0000-00000A000000}"/>
    <cellStyle name="표준 4" xfId="12" xr:uid="{00000000-0005-0000-0000-00000C000000}"/>
    <cellStyle name="표준 5" xfId="14" xr:uid="{00000000-0005-0000-0000-00000E000000}"/>
    <cellStyle name="표준_봉강빌딩신축공사" xfId="6" xr:uid="{00000000-0005-0000-0000-000006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762000</xdr:colOff>
      <xdr:row>5</xdr:row>
      <xdr:rowOff>219075</xdr:rowOff>
    </xdr:from>
    <xdr:to>
      <xdr:col>6</xdr:col>
      <xdr:colOff>1447800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</a:blip>
        <a:srcRect l="6000" t="6520" b="16890"/>
        <a:stretch>
          <a:fillRect/>
        </a:stretch>
      </xdr:blipFill>
      <xdr:spPr>
        <a:xfrm>
          <a:off x="8583706" y="1490382"/>
          <a:ext cx="683558" cy="66114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57150</xdr:rowOff>
    </xdr:from>
    <xdr:to>
      <xdr:col>8</xdr:col>
      <xdr:colOff>19050</xdr:colOff>
      <xdr:row>17</xdr:row>
      <xdr:rowOff>9525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Rot="1"/>
        </xdr:cNvSpPr>
      </xdr:nvSpPr>
      <xdr:spPr>
        <a:xfrm>
          <a:off x="0" y="1524000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r>
            <a:rPr sz="1100" b="1">
              <a:solidFill>
                <a:srgbClr val="000000"/>
              </a:solidFill>
              <a:latin typeface="LG스마트체 Regular"/>
              <a:ea typeface="LG스마트체 Regular"/>
            </a:rPr>
            <a:t>&lt;첨부_23년 11월 물가자료 벽지  자재비 근거서류&gt;</a:t>
          </a:r>
        </a:p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0</xdr:col>
      <xdr:colOff>304800</xdr:colOff>
      <xdr:row>8</xdr:row>
      <xdr:rowOff>200025</xdr:rowOff>
    </xdr:from>
    <xdr:to>
      <xdr:col>7</xdr:col>
      <xdr:colOff>419100</xdr:colOff>
      <xdr:row>16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04800" y="1876425"/>
          <a:ext cx="5381625" cy="1514475"/>
        </a:xfrm>
        <a:prstGeom prst="rect">
          <a:avLst/>
        </a:prstGeom>
      </xdr:spPr>
    </xdr:pic>
    <xdr:clientData/>
  </xdr:twoCellAnchor>
  <xdr:twoCellAnchor>
    <xdr:from>
      <xdr:col>0</xdr:col>
      <xdr:colOff>342899</xdr:colOff>
      <xdr:row>13</xdr:row>
      <xdr:rowOff>28575</xdr:rowOff>
    </xdr:from>
    <xdr:to>
      <xdr:col>7</xdr:col>
      <xdr:colOff>371475</xdr:colOff>
      <xdr:row>14</xdr:row>
      <xdr:rowOff>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 flipH="1" flipV="1">
          <a:off x="342900" y="2752725"/>
          <a:ext cx="5295900" cy="180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5" zoomScale="85" zoomScaleNormal="85" zoomScaleSheetLayoutView="7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43" t="s">
        <v>57</v>
      </c>
      <c r="B2" s="143"/>
      <c r="C2" s="143"/>
      <c r="D2" s="143"/>
      <c r="E2" s="143"/>
      <c r="F2" s="143"/>
      <c r="G2" s="143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30</v>
      </c>
      <c r="B5" s="7"/>
      <c r="C5" s="8"/>
      <c r="D5" s="5"/>
      <c r="E5" s="5"/>
      <c r="F5" s="9" t="s">
        <v>67</v>
      </c>
      <c r="G5" s="10" t="s">
        <v>112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18</v>
      </c>
      <c r="G6" s="12" t="s">
        <v>90</v>
      </c>
      <c r="H6" s="5"/>
    </row>
    <row r="7" spans="1:9" ht="27" customHeight="1" x14ac:dyDescent="0.25">
      <c r="A7" s="146" t="s">
        <v>120</v>
      </c>
      <c r="B7" s="147"/>
      <c r="C7" s="148"/>
      <c r="D7" s="5"/>
      <c r="E7" s="13"/>
      <c r="F7" s="14" t="s">
        <v>66</v>
      </c>
      <c r="G7" s="12" t="s">
        <v>87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14</v>
      </c>
      <c r="G8" s="12" t="s">
        <v>32</v>
      </c>
      <c r="H8" s="5"/>
    </row>
    <row r="9" spans="1:9" ht="27" customHeight="1" x14ac:dyDescent="0.25">
      <c r="A9" s="146" t="s">
        <v>114</v>
      </c>
      <c r="B9" s="147"/>
      <c r="C9" s="148"/>
      <c r="D9" s="5"/>
      <c r="E9" s="5"/>
      <c r="F9" s="11" t="s">
        <v>8</v>
      </c>
      <c r="G9" s="12" t="s">
        <v>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11</v>
      </c>
      <c r="G10" s="16" t="s">
        <v>42</v>
      </c>
      <c r="H10" s="5"/>
      <c r="I10" s="5"/>
    </row>
    <row r="11" spans="1:9" ht="27" customHeight="1" x14ac:dyDescent="0.25">
      <c r="A11" s="144"/>
      <c r="B11" s="145"/>
      <c r="C11" s="145"/>
      <c r="D11" s="5"/>
      <c r="E11" s="17"/>
      <c r="F11" s="18" t="s">
        <v>40</v>
      </c>
      <c r="G11" s="19" t="s">
        <v>55</v>
      </c>
      <c r="H11" s="17"/>
    </row>
    <row r="12" spans="1:9" ht="18" x14ac:dyDescent="0.25">
      <c r="A12" s="20" t="s">
        <v>59</v>
      </c>
      <c r="B12" s="20" t="str">
        <f>NUMBERSTRING(F31,1)</f>
        <v>일백오십사만사천</v>
      </c>
      <c r="C12" s="21"/>
      <c r="D12" s="1" t="s">
        <v>22</v>
      </c>
      <c r="E12" s="1" t="s">
        <v>25</v>
      </c>
      <c r="F12" s="1" t="s">
        <v>25</v>
      </c>
      <c r="G12" s="1"/>
      <c r="H12" s="22"/>
    </row>
    <row r="13" spans="1:9" ht="14.25" x14ac:dyDescent="0.25">
      <c r="A13" s="5"/>
      <c r="B13" s="5"/>
      <c r="C13" s="5"/>
      <c r="D13" s="5"/>
      <c r="E13" s="5"/>
      <c r="F13" s="5"/>
      <c r="G13" s="5"/>
      <c r="H13" s="22"/>
    </row>
    <row r="14" spans="1:9" ht="33" customHeight="1" x14ac:dyDescent="0.25">
      <c r="A14" s="23" t="s">
        <v>16</v>
      </c>
      <c r="B14" s="24" t="s">
        <v>19</v>
      </c>
      <c r="C14" s="24" t="s">
        <v>20</v>
      </c>
      <c r="D14" s="24" t="s">
        <v>6</v>
      </c>
      <c r="E14" s="24" t="s">
        <v>5</v>
      </c>
      <c r="F14" s="24" t="s">
        <v>21</v>
      </c>
      <c r="G14" s="25" t="s">
        <v>1</v>
      </c>
      <c r="H14" s="22"/>
    </row>
    <row r="15" spans="1:9" ht="33" customHeight="1" x14ac:dyDescent="0.25">
      <c r="A15" s="26"/>
      <c r="B15" s="27" t="s">
        <v>12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9</v>
      </c>
      <c r="C16" s="34"/>
      <c r="D16" s="35"/>
      <c r="E16" s="35"/>
      <c r="F16" s="36">
        <f>'내역서(표준단가)'!O8</f>
        <v>168252.5</v>
      </c>
      <c r="G16" s="37"/>
    </row>
    <row r="17" spans="1:9" ht="33" customHeight="1" x14ac:dyDescent="0.25">
      <c r="A17" s="32"/>
      <c r="B17" s="33" t="s">
        <v>10</v>
      </c>
      <c r="C17" s="34"/>
      <c r="D17" s="35"/>
      <c r="E17" s="35"/>
      <c r="F17" s="36">
        <f>'내역서(표준단가)'!Q8</f>
        <v>1125738.6499999999</v>
      </c>
      <c r="G17" s="38"/>
      <c r="H17" s="4"/>
      <c r="I17" s="4"/>
    </row>
    <row r="18" spans="1:9" ht="33" customHeight="1" x14ac:dyDescent="0.25">
      <c r="A18" s="32"/>
      <c r="B18" s="33" t="s">
        <v>58</v>
      </c>
      <c r="C18" s="34"/>
      <c r="D18" s="35"/>
      <c r="E18" s="35"/>
      <c r="F18" s="36">
        <f>'내역서(표준단가)'!S8+'내역서(표준단가)'!U8</f>
        <v>0</v>
      </c>
      <c r="G18" s="38"/>
      <c r="H18" s="4"/>
      <c r="I18" s="4"/>
    </row>
    <row r="19" spans="1:9" ht="33" customHeight="1" x14ac:dyDescent="0.25">
      <c r="A19" s="32"/>
      <c r="B19" s="39" t="s">
        <v>24</v>
      </c>
      <c r="C19" s="39"/>
      <c r="D19" s="40"/>
      <c r="E19" s="40"/>
      <c r="F19" s="41">
        <f>F16+F17+F18</f>
        <v>1293991.1499999999</v>
      </c>
      <c r="G19" s="38"/>
      <c r="H19" s="4"/>
      <c r="I19" s="4"/>
    </row>
    <row r="20" spans="1:9" ht="33" customHeight="1" x14ac:dyDescent="0.25">
      <c r="A20" s="32"/>
      <c r="B20" s="42" t="s">
        <v>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60</v>
      </c>
      <c r="C21" s="43" t="s">
        <v>35</v>
      </c>
      <c r="D21" s="33">
        <v>1</v>
      </c>
      <c r="E21" s="33" t="s">
        <v>17</v>
      </c>
      <c r="F21" s="46">
        <f>F17*4.5%</f>
        <v>50658.239249999991</v>
      </c>
      <c r="G21" s="38" t="s">
        <v>38</v>
      </c>
      <c r="H21" s="4"/>
      <c r="I21" s="4"/>
    </row>
    <row r="22" spans="1:9" ht="33" customHeight="1" x14ac:dyDescent="0.25">
      <c r="A22" s="32"/>
      <c r="B22" s="47" t="s">
        <v>61</v>
      </c>
      <c r="C22" s="48" t="s">
        <v>41</v>
      </c>
      <c r="D22" s="49">
        <v>1</v>
      </c>
      <c r="E22" s="49" t="s">
        <v>17</v>
      </c>
      <c r="F22" s="50">
        <f>F17*3.545%</f>
        <v>39907.435142499999</v>
      </c>
      <c r="G22" s="51" t="s">
        <v>38</v>
      </c>
      <c r="H22" s="4"/>
      <c r="I22" s="4"/>
    </row>
    <row r="23" spans="1:9" ht="33" customHeight="1" x14ac:dyDescent="0.25">
      <c r="A23" s="32"/>
      <c r="B23" s="45" t="s">
        <v>37</v>
      </c>
      <c r="C23" s="43" t="s">
        <v>109</v>
      </c>
      <c r="D23" s="33">
        <v>1</v>
      </c>
      <c r="E23" s="33" t="s">
        <v>17</v>
      </c>
      <c r="F23" s="46">
        <f>F22*12.95%</f>
        <v>5168.0128509537499</v>
      </c>
      <c r="G23" s="38" t="s">
        <v>38</v>
      </c>
      <c r="H23" s="4"/>
      <c r="I23" s="4"/>
    </row>
    <row r="24" spans="1:9" ht="33" customHeight="1" x14ac:dyDescent="0.25">
      <c r="A24" s="32"/>
      <c r="B24" s="45" t="s">
        <v>64</v>
      </c>
      <c r="C24" s="43" t="s">
        <v>39</v>
      </c>
      <c r="D24" s="33">
        <v>1</v>
      </c>
      <c r="E24" s="33" t="s">
        <v>17</v>
      </c>
      <c r="F24" s="46">
        <f>F17*1.01%</f>
        <v>11369.960364999999</v>
      </c>
      <c r="G24" s="38" t="s">
        <v>38</v>
      </c>
      <c r="H24" s="4"/>
      <c r="I24" s="4"/>
    </row>
    <row r="25" spans="1:9" ht="33" customHeight="1" x14ac:dyDescent="0.25">
      <c r="A25" s="32"/>
      <c r="B25" s="45" t="s">
        <v>62</v>
      </c>
      <c r="C25" s="43" t="s">
        <v>46</v>
      </c>
      <c r="D25" s="33">
        <v>1</v>
      </c>
      <c r="E25" s="33" t="s">
        <v>17</v>
      </c>
      <c r="F25" s="46">
        <f>F17*3.56%</f>
        <v>40076.295939999996</v>
      </c>
      <c r="G25" s="38" t="s">
        <v>38</v>
      </c>
      <c r="H25" s="4"/>
      <c r="I25" s="4"/>
    </row>
    <row r="26" spans="1:9" ht="33" customHeight="1" x14ac:dyDescent="0.25">
      <c r="A26" s="32"/>
      <c r="B26" s="45" t="s">
        <v>33</v>
      </c>
      <c r="C26" s="52" t="s">
        <v>52</v>
      </c>
      <c r="D26" s="33">
        <v>1</v>
      </c>
      <c r="E26" s="33" t="s">
        <v>17</v>
      </c>
      <c r="F26" s="46">
        <f>(F16+F17)*2.93%</f>
        <v>37913.940695000005</v>
      </c>
      <c r="G26" s="38" t="s">
        <v>38</v>
      </c>
      <c r="H26" s="4"/>
      <c r="I26" s="4"/>
    </row>
    <row r="27" spans="1:9" ht="33" customHeight="1" x14ac:dyDescent="0.25">
      <c r="A27" s="32"/>
      <c r="B27" s="45" t="s">
        <v>34</v>
      </c>
      <c r="C27" s="52" t="s">
        <v>108</v>
      </c>
      <c r="D27" s="33">
        <v>1</v>
      </c>
      <c r="E27" s="33" t="s">
        <v>17</v>
      </c>
      <c r="F27" s="46">
        <f>SUM(F17+F21+F22+F23+F24+F25+F26)*5%</f>
        <v>65541.6267121727</v>
      </c>
      <c r="G27" s="38"/>
      <c r="H27" s="4"/>
      <c r="I27" s="4"/>
    </row>
    <row r="28" spans="1:9" ht="33" customHeight="1" x14ac:dyDescent="0.25">
      <c r="A28" s="32"/>
      <c r="B28" s="39" t="s">
        <v>24</v>
      </c>
      <c r="C28" s="53"/>
      <c r="D28" s="54"/>
      <c r="E28" s="40"/>
      <c r="F28" s="55">
        <f>F21+F22+F23+F24+F25+F26+F27</f>
        <v>250635.51095562644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1544626.6609556263</v>
      </c>
      <c r="G30" s="38"/>
      <c r="H30" s="4"/>
      <c r="I30" s="4"/>
    </row>
    <row r="31" spans="1:9" ht="33" customHeight="1" x14ac:dyDescent="0.25">
      <c r="A31" s="32"/>
      <c r="B31" s="39" t="s">
        <v>36</v>
      </c>
      <c r="C31" s="39"/>
      <c r="D31" s="40"/>
      <c r="E31" s="40"/>
      <c r="F31" s="61">
        <f>ROUNDDOWN(F30,-3)</f>
        <v>1544000</v>
      </c>
      <c r="G31" s="38"/>
      <c r="H31" s="4"/>
      <c r="I31" s="4"/>
    </row>
    <row r="32" spans="1:9" ht="33" customHeight="1" x14ac:dyDescent="0.25">
      <c r="A32" s="62"/>
      <c r="B32" s="63" t="s">
        <v>65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21" type="noConversion"/>
  <pageMargins left="0.31486111879348755" right="0.19680555164813995" top="0.94486111402511597" bottom="0.55111110210418701" header="0.31486111879348755" footer="0.31486111879348755"/>
  <pageSetup paperSize="9" scale="6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topLeftCell="A2" zoomScale="80" zoomScaleNormal="80" zoomScaleSheetLayoutView="75" workbookViewId="0">
      <selection activeCell="J13" sqref="J13"/>
    </sheetView>
  </sheetViews>
  <sheetFormatPr defaultColWidth="9" defaultRowHeight="12.75" x14ac:dyDescent="0.3"/>
  <cols>
    <col min="1" max="1" width="19.375" style="113" bestFit="1" customWidth="1"/>
    <col min="2" max="5" width="18.5" style="113" hidden="1" customWidth="1"/>
    <col min="6" max="6" width="21" style="81" hidden="1" customWidth="1"/>
    <col min="7" max="7" width="19.25" style="81" hidden="1" customWidth="1"/>
    <col min="8" max="8" width="16.625" style="81" hidden="1" customWidth="1"/>
    <col min="9" max="9" width="10.125" style="81" hidden="1" customWidth="1"/>
    <col min="10" max="10" width="31.875" style="81" bestFit="1" customWidth="1"/>
    <col min="11" max="11" width="25.125" style="81" bestFit="1" customWidth="1"/>
    <col min="12" max="12" width="8" style="81" bestFit="1" customWidth="1"/>
    <col min="13" max="13" width="8.25" style="81" customWidth="1"/>
    <col min="14" max="14" width="10.25" style="81" bestFit="1" customWidth="1"/>
    <col min="15" max="15" width="13.125" style="81" bestFit="1" customWidth="1"/>
    <col min="16" max="16" width="10.25" style="81" bestFit="1" customWidth="1"/>
    <col min="17" max="17" width="15.5" style="81" bestFit="1" customWidth="1"/>
    <col min="18" max="18" width="6.375" style="81" hidden="1" customWidth="1"/>
    <col min="19" max="19" width="8.5" style="81" hidden="1" customWidth="1"/>
    <col min="20" max="20" width="6.375" style="81" hidden="1" customWidth="1"/>
    <col min="21" max="21" width="8.5" style="81" hidden="1" customWidth="1"/>
    <col min="22" max="22" width="15.5" style="81" bestFit="1" customWidth="1"/>
    <col min="23" max="23" width="10.625" style="82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149"/>
      <c r="B1" s="149"/>
      <c r="C1" s="149"/>
      <c r="D1" s="149"/>
      <c r="E1" s="149"/>
      <c r="F1" s="149"/>
      <c r="G1" s="149"/>
      <c r="H1" s="149"/>
      <c r="I1" s="149"/>
      <c r="N1" s="82"/>
      <c r="O1" s="80" t="s">
        <v>86</v>
      </c>
      <c r="Q1" s="80" t="s">
        <v>86</v>
      </c>
      <c r="S1" s="80" t="s">
        <v>86</v>
      </c>
      <c r="U1" s="80" t="s">
        <v>86</v>
      </c>
    </row>
    <row r="2" spans="1:24" ht="19.899999999999999" customHeight="1" x14ac:dyDescent="0.3">
      <c r="A2" s="149"/>
      <c r="B2" s="149"/>
      <c r="C2" s="149"/>
      <c r="D2" s="149"/>
      <c r="E2" s="149"/>
      <c r="F2" s="149"/>
      <c r="G2" s="149"/>
      <c r="H2" s="149"/>
      <c r="I2" s="149"/>
      <c r="N2" s="83"/>
      <c r="O2" s="84">
        <v>0.83499999999999996</v>
      </c>
      <c r="Q2" s="84">
        <v>0.83499999999999996</v>
      </c>
      <c r="S2" s="84">
        <v>0.83499999999999996</v>
      </c>
      <c r="U2" s="84">
        <v>0.83499999999999996</v>
      </c>
    </row>
    <row r="3" spans="1:24" ht="19.899999999999999" customHeight="1" x14ac:dyDescent="0.3">
      <c r="A3" s="85"/>
      <c r="B3" s="85"/>
      <c r="C3" s="85"/>
      <c r="D3" s="85"/>
      <c r="E3" s="85"/>
      <c r="F3" s="85" t="s">
        <v>0</v>
      </c>
      <c r="G3" s="86"/>
      <c r="H3" s="86"/>
      <c r="I3" s="86"/>
      <c r="J3" s="158" t="s">
        <v>105</v>
      </c>
      <c r="K3" s="158"/>
      <c r="L3" s="158" t="s">
        <v>5</v>
      </c>
      <c r="M3" s="158" t="s">
        <v>6</v>
      </c>
      <c r="N3" s="154" t="s">
        <v>9</v>
      </c>
      <c r="O3" s="154"/>
      <c r="P3" s="154" t="s">
        <v>10</v>
      </c>
      <c r="Q3" s="154"/>
      <c r="R3" s="155" t="s">
        <v>102</v>
      </c>
      <c r="S3" s="155"/>
      <c r="T3" s="155" t="s">
        <v>51</v>
      </c>
      <c r="U3" s="155"/>
      <c r="V3" s="156" t="s">
        <v>29</v>
      </c>
      <c r="W3" s="152" t="s">
        <v>100</v>
      </c>
      <c r="X3" s="150" t="s">
        <v>69</v>
      </c>
    </row>
    <row r="4" spans="1:24" ht="19.899999999999999" customHeight="1" x14ac:dyDescent="0.3">
      <c r="A4" s="87" t="s">
        <v>29</v>
      </c>
      <c r="B4" s="88"/>
      <c r="C4" s="88"/>
      <c r="D4" s="88"/>
      <c r="E4" s="88"/>
      <c r="F4" s="89" t="s">
        <v>106</v>
      </c>
      <c r="G4" s="89" t="s">
        <v>107</v>
      </c>
      <c r="H4" s="89" t="s">
        <v>103</v>
      </c>
      <c r="I4" s="89" t="s">
        <v>104</v>
      </c>
      <c r="J4" s="90" t="s">
        <v>13</v>
      </c>
      <c r="K4" s="90" t="s">
        <v>20</v>
      </c>
      <c r="L4" s="159"/>
      <c r="M4" s="159"/>
      <c r="N4" s="91" t="s">
        <v>101</v>
      </c>
      <c r="O4" s="92" t="s">
        <v>21</v>
      </c>
      <c r="P4" s="91" t="s">
        <v>26</v>
      </c>
      <c r="Q4" s="92" t="s">
        <v>21</v>
      </c>
      <c r="R4" s="92" t="s">
        <v>26</v>
      </c>
      <c r="S4" s="92" t="s">
        <v>21</v>
      </c>
      <c r="T4" s="92" t="s">
        <v>26</v>
      </c>
      <c r="U4" s="92" t="s">
        <v>21</v>
      </c>
      <c r="V4" s="157"/>
      <c r="W4" s="153"/>
      <c r="X4" s="151"/>
    </row>
    <row r="5" spans="1:24" s="103" customFormat="1" ht="19.899999999999999" customHeight="1" x14ac:dyDescent="0.3">
      <c r="A5" s="93" t="str">
        <f t="shared" ref="A5:A7" si="0">F5&amp;G5&amp;H5&amp;I5</f>
        <v>D02642</v>
      </c>
      <c r="B5" s="94"/>
      <c r="C5" s="94"/>
      <c r="D5" s="94"/>
      <c r="E5" s="94"/>
      <c r="F5" s="96" t="s">
        <v>85</v>
      </c>
      <c r="G5" s="95"/>
      <c r="H5" s="95"/>
      <c r="I5" s="96"/>
      <c r="J5" s="97" t="s">
        <v>111</v>
      </c>
      <c r="K5" s="97" t="s">
        <v>49</v>
      </c>
      <c r="L5" s="97" t="s">
        <v>15</v>
      </c>
      <c r="M5" s="117">
        <v>155</v>
      </c>
      <c r="N5" s="99"/>
      <c r="O5" s="100">
        <f t="shared" ref="O5" si="1">SUM(N5:N5)*M5*$O$2</f>
        <v>0</v>
      </c>
      <c r="P5" s="118">
        <v>8698</v>
      </c>
      <c r="Q5" s="100">
        <f t="shared" ref="Q5" si="2">(P5*M5)*$Q$2</f>
        <v>1125738.6499999999</v>
      </c>
      <c r="R5" s="101"/>
      <c r="S5" s="100">
        <f t="shared" ref="S5" si="3">R5*M5*$S$2</f>
        <v>0</v>
      </c>
      <c r="T5" s="101"/>
      <c r="U5" s="100">
        <f t="shared" ref="U5" si="4">T5*M5*$U$2</f>
        <v>0</v>
      </c>
      <c r="V5" s="101">
        <f t="shared" ref="V5" si="5">SUM(O5+Q5)+S5+U5</f>
        <v>1125738.6499999999</v>
      </c>
      <c r="W5" s="98"/>
      <c r="X5" s="102"/>
    </row>
    <row r="6" spans="1:24" s="103" customFormat="1" ht="19.899999999999999" customHeight="1" x14ac:dyDescent="0.3">
      <c r="A6" s="93" t="str">
        <f>F6&amp;G6&amp;H6&amp;I6</f>
        <v/>
      </c>
      <c r="B6" s="94"/>
      <c r="C6" s="94"/>
      <c r="D6" s="94"/>
      <c r="E6" s="94"/>
      <c r="F6" s="96"/>
      <c r="G6" s="95"/>
      <c r="H6" s="95"/>
      <c r="I6" s="96"/>
      <c r="J6" s="105" t="str">
        <f>"시중가_"&amp;K6&amp;")"</f>
        <v>시중가_합지벽지(LG하우시스 휘앙세))</v>
      </c>
      <c r="K6" s="97" t="s">
        <v>54</v>
      </c>
      <c r="L6" s="97" t="s">
        <v>15</v>
      </c>
      <c r="M6" s="117">
        <v>155</v>
      </c>
      <c r="N6" s="99">
        <v>1300</v>
      </c>
      <c r="O6" s="100">
        <f t="shared" ref="O6" si="6">SUM(N6:N6)*M6*$O$2</f>
        <v>168252.5</v>
      </c>
      <c r="P6" s="104"/>
      <c r="Q6" s="100">
        <f>(P6*M6)*$Q$2</f>
        <v>0</v>
      </c>
      <c r="R6" s="101"/>
      <c r="S6" s="100">
        <f t="shared" ref="S6" si="7">R6*M6*$S$2</f>
        <v>0</v>
      </c>
      <c r="T6" s="101"/>
      <c r="U6" s="100">
        <f t="shared" ref="U6" si="8">T6*M6*$U$2</f>
        <v>0</v>
      </c>
      <c r="V6" s="101">
        <f t="shared" ref="V6" si="9">SUM(O6+Q6)+S6+U6</f>
        <v>168252.5</v>
      </c>
      <c r="W6" s="98"/>
      <c r="X6" s="102"/>
    </row>
    <row r="7" spans="1:24" s="103" customFormat="1" ht="19.899999999999999" customHeight="1" x14ac:dyDescent="0.3">
      <c r="A7" s="93" t="str">
        <f t="shared" si="0"/>
        <v/>
      </c>
      <c r="B7" s="94"/>
      <c r="C7" s="94"/>
      <c r="D7" s="94"/>
      <c r="E7" s="94"/>
      <c r="F7" s="96"/>
      <c r="G7" s="95"/>
      <c r="H7" s="95"/>
      <c r="I7" s="96"/>
      <c r="J7" s="119"/>
      <c r="K7" s="119"/>
      <c r="L7" s="120"/>
      <c r="M7" s="117"/>
      <c r="N7" s="99"/>
      <c r="O7" s="100">
        <f>SUM(N7:N7)*M7*$O$2</f>
        <v>0</v>
      </c>
      <c r="P7" s="104"/>
      <c r="Q7" s="100">
        <f>(P7*M7)*$Q$2</f>
        <v>0</v>
      </c>
      <c r="R7" s="101"/>
      <c r="S7" s="100">
        <f>R7*M7*$S$2</f>
        <v>0</v>
      </c>
      <c r="T7" s="101"/>
      <c r="U7" s="100">
        <f>T7*M7*$U$2</f>
        <v>0</v>
      </c>
      <c r="V7" s="101">
        <f>SUM(O7+Q7)+S7+U7</f>
        <v>0</v>
      </c>
      <c r="W7" s="106"/>
      <c r="X7" s="102"/>
    </row>
    <row r="8" spans="1:24" s="108" customFormat="1" ht="19.899999999999999" customHeight="1" x14ac:dyDescent="0.3">
      <c r="A8" s="107"/>
      <c r="B8" s="107"/>
      <c r="C8" s="107"/>
      <c r="D8" s="107"/>
      <c r="E8" s="107"/>
      <c r="O8" s="109">
        <f>SUM(O5:O7)</f>
        <v>168252.5</v>
      </c>
      <c r="P8" s="110"/>
      <c r="Q8" s="109">
        <f>SUM(Q5:Q7)</f>
        <v>1125738.6499999999</v>
      </c>
      <c r="R8" s="110"/>
      <c r="S8" s="109">
        <f>SUM(S5:S7)</f>
        <v>0</v>
      </c>
      <c r="T8" s="110"/>
      <c r="U8" s="109">
        <f>SUM(U5:U7)</f>
        <v>0</v>
      </c>
      <c r="V8" s="111">
        <f>SUM(V5:V7)</f>
        <v>1293991.1499999999</v>
      </c>
      <c r="W8" s="112"/>
    </row>
    <row r="12" spans="1:24" x14ac:dyDescent="0.3">
      <c r="Q12" s="11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21" type="noConversion"/>
  <pageMargins left="0.69999998807907104" right="0.69999998807907104" top="0.75" bottom="0.75" header="0.30000001192092896" footer="0.30000001192092896"/>
  <pageSetup paperSize="9" scale="36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16"/>
  <sheetViews>
    <sheetView topLeftCell="A3" zoomScale="80" zoomScaleNormal="80" zoomScaleSheetLayoutView="75" workbookViewId="0">
      <selection activeCell="E27" sqref="E27"/>
    </sheetView>
  </sheetViews>
  <sheetFormatPr defaultColWidth="9" defaultRowHeight="14.25" x14ac:dyDescent="0.3"/>
  <cols>
    <col min="1" max="1" width="22.625" style="116" customWidth="1"/>
    <col min="2" max="2" width="31.125" style="116" customWidth="1"/>
    <col min="3" max="3" width="5.75" style="116" customWidth="1"/>
    <col min="4" max="4" width="5.375" style="116" customWidth="1"/>
    <col min="5" max="8" width="20.625" style="116" customWidth="1"/>
    <col min="9" max="12" width="20.625" style="116" hidden="1" customWidth="1"/>
    <col min="13" max="14" width="20.625" style="116" customWidth="1"/>
    <col min="15" max="15" width="32.75" style="116" customWidth="1"/>
    <col min="16" max="16384" width="9" style="115"/>
  </cols>
  <sheetData>
    <row r="1" spans="1:15" ht="27" customHeight="1" x14ac:dyDescent="0.3">
      <c r="A1" s="162" t="s">
        <v>43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15" ht="30" customHeight="1" x14ac:dyDescent="0.3">
      <c r="A2" s="164" t="s">
        <v>44</v>
      </c>
      <c r="B2" s="164" t="s">
        <v>45</v>
      </c>
      <c r="C2" s="165" t="s">
        <v>5</v>
      </c>
      <c r="D2" s="165" t="s">
        <v>6</v>
      </c>
      <c r="E2" s="167" t="s">
        <v>113</v>
      </c>
      <c r="F2" s="164"/>
      <c r="G2" s="164" t="s">
        <v>50</v>
      </c>
      <c r="H2" s="164"/>
      <c r="I2" s="168" t="s">
        <v>92</v>
      </c>
      <c r="J2" s="169"/>
      <c r="K2" s="168" t="s">
        <v>47</v>
      </c>
      <c r="L2" s="169"/>
      <c r="M2" s="167" t="s">
        <v>89</v>
      </c>
      <c r="N2" s="164"/>
      <c r="O2" s="170" t="s">
        <v>79</v>
      </c>
    </row>
    <row r="3" spans="1:15" ht="30" customHeight="1" x14ac:dyDescent="0.3">
      <c r="A3" s="164"/>
      <c r="B3" s="164"/>
      <c r="C3" s="166"/>
      <c r="D3" s="166"/>
      <c r="E3" s="127" t="s">
        <v>97</v>
      </c>
      <c r="F3" s="127" t="s">
        <v>96</v>
      </c>
      <c r="G3" s="128" t="s">
        <v>97</v>
      </c>
      <c r="H3" s="127" t="s">
        <v>81</v>
      </c>
      <c r="I3" s="127"/>
      <c r="J3" s="127"/>
      <c r="K3" s="128" t="s">
        <v>97</v>
      </c>
      <c r="L3" s="127" t="s">
        <v>81</v>
      </c>
      <c r="M3" s="128" t="s">
        <v>97</v>
      </c>
      <c r="N3" s="127" t="s">
        <v>81</v>
      </c>
      <c r="O3" s="171"/>
    </row>
    <row r="4" spans="1:15" ht="30" customHeight="1" x14ac:dyDescent="0.3">
      <c r="A4" s="160" t="s">
        <v>121</v>
      </c>
      <c r="B4" s="161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</row>
    <row r="5" spans="1:15" ht="30" customHeight="1" x14ac:dyDescent="0.3">
      <c r="A5" s="140" t="s">
        <v>115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</row>
    <row r="6" spans="1:15" ht="30" customHeight="1" x14ac:dyDescent="0.3">
      <c r="A6" s="141" t="s">
        <v>28</v>
      </c>
      <c r="B6" s="130" t="s">
        <v>27</v>
      </c>
      <c r="C6" s="131" t="s">
        <v>15</v>
      </c>
      <c r="D6" s="132">
        <v>31</v>
      </c>
      <c r="E6" s="133">
        <v>1086</v>
      </c>
      <c r="F6" s="134">
        <f>D6*E6</f>
        <v>33666</v>
      </c>
      <c r="G6" s="134">
        <v>7263</v>
      </c>
      <c r="H6" s="133">
        <f>D6*G6</f>
        <v>225153</v>
      </c>
      <c r="I6" s="133"/>
      <c r="J6" s="133"/>
      <c r="K6" s="134"/>
      <c r="L6" s="134"/>
      <c r="M6" s="134"/>
      <c r="N6" s="134">
        <f>F6+H6+J6+L6</f>
        <v>258819</v>
      </c>
      <c r="O6" s="142"/>
    </row>
    <row r="7" spans="1:15" ht="30" customHeight="1" x14ac:dyDescent="0.3">
      <c r="A7" s="140" t="s">
        <v>116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</row>
    <row r="8" spans="1:15" ht="30" customHeight="1" x14ac:dyDescent="0.3">
      <c r="A8" s="141" t="s">
        <v>28</v>
      </c>
      <c r="B8" s="130" t="s">
        <v>27</v>
      </c>
      <c r="C8" s="131" t="s">
        <v>15</v>
      </c>
      <c r="D8" s="132">
        <v>31</v>
      </c>
      <c r="E8" s="133">
        <v>1086</v>
      </c>
      <c r="F8" s="134">
        <f>D8*E8</f>
        <v>33666</v>
      </c>
      <c r="G8" s="134">
        <v>7263</v>
      </c>
      <c r="H8" s="133">
        <f>D8*G8</f>
        <v>225153</v>
      </c>
      <c r="I8" s="133"/>
      <c r="J8" s="133"/>
      <c r="K8" s="134"/>
      <c r="L8" s="134"/>
      <c r="M8" s="134"/>
      <c r="N8" s="134">
        <f>F8+H8+J8+L8</f>
        <v>258819</v>
      </c>
      <c r="O8" s="142"/>
    </row>
    <row r="9" spans="1:15" ht="30" customHeight="1" x14ac:dyDescent="0.3">
      <c r="A9" s="140" t="s">
        <v>117</v>
      </c>
      <c r="B9" s="140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</row>
    <row r="10" spans="1:15" ht="30" customHeight="1" x14ac:dyDescent="0.3">
      <c r="A10" s="141" t="s">
        <v>28</v>
      </c>
      <c r="B10" s="130" t="s">
        <v>27</v>
      </c>
      <c r="C10" s="131" t="s">
        <v>15</v>
      </c>
      <c r="D10" s="132">
        <v>31</v>
      </c>
      <c r="E10" s="133">
        <v>1086</v>
      </c>
      <c r="F10" s="134">
        <f>D10*E10</f>
        <v>33666</v>
      </c>
      <c r="G10" s="134">
        <v>7263</v>
      </c>
      <c r="H10" s="133">
        <f>D10*G10</f>
        <v>225153</v>
      </c>
      <c r="I10" s="133"/>
      <c r="J10" s="133"/>
      <c r="K10" s="134"/>
      <c r="L10" s="134"/>
      <c r="M10" s="134"/>
      <c r="N10" s="134">
        <f>F10+H10+J10+L10</f>
        <v>258819</v>
      </c>
      <c r="O10" s="142"/>
    </row>
    <row r="11" spans="1:15" ht="30" customHeight="1" x14ac:dyDescent="0.3">
      <c r="A11" s="140" t="s">
        <v>118</v>
      </c>
      <c r="B11" s="140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</row>
    <row r="12" spans="1:15" ht="30" customHeight="1" x14ac:dyDescent="0.3">
      <c r="A12" s="141" t="s">
        <v>28</v>
      </c>
      <c r="B12" s="130" t="s">
        <v>27</v>
      </c>
      <c r="C12" s="131" t="s">
        <v>15</v>
      </c>
      <c r="D12" s="132">
        <v>31</v>
      </c>
      <c r="E12" s="133">
        <v>1086</v>
      </c>
      <c r="F12" s="134">
        <f>D12*E12</f>
        <v>33666</v>
      </c>
      <c r="G12" s="134">
        <v>7263</v>
      </c>
      <c r="H12" s="133">
        <f>D12*G12</f>
        <v>225153</v>
      </c>
      <c r="I12" s="133"/>
      <c r="J12" s="133"/>
      <c r="K12" s="134"/>
      <c r="L12" s="134"/>
      <c r="M12" s="134"/>
      <c r="N12" s="134">
        <f>F12+H12+J12+L12</f>
        <v>258819</v>
      </c>
      <c r="O12" s="142"/>
    </row>
    <row r="13" spans="1:15" ht="30" customHeight="1" x14ac:dyDescent="0.3">
      <c r="A13" s="140" t="s">
        <v>119</v>
      </c>
      <c r="B13" s="140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</row>
    <row r="14" spans="1:15" ht="30" customHeight="1" x14ac:dyDescent="0.3">
      <c r="A14" s="141" t="s">
        <v>28</v>
      </c>
      <c r="B14" s="130" t="s">
        <v>27</v>
      </c>
      <c r="C14" s="131" t="s">
        <v>15</v>
      </c>
      <c r="D14" s="132">
        <v>31</v>
      </c>
      <c r="E14" s="133">
        <v>1086</v>
      </c>
      <c r="F14" s="134">
        <f>D14*E14</f>
        <v>33666</v>
      </c>
      <c r="G14" s="134">
        <v>7263</v>
      </c>
      <c r="H14" s="133">
        <f>D14*G14</f>
        <v>225153</v>
      </c>
      <c r="I14" s="133"/>
      <c r="J14" s="133"/>
      <c r="K14" s="134"/>
      <c r="L14" s="134"/>
      <c r="M14" s="134"/>
      <c r="N14" s="134">
        <f>F14+H14+J14+L14</f>
        <v>258819</v>
      </c>
      <c r="O14" s="142"/>
    </row>
    <row r="15" spans="1:15" ht="30" customHeight="1" x14ac:dyDescent="0.3">
      <c r="A15" s="140"/>
      <c r="B15" s="140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</row>
    <row r="16" spans="1:15" ht="30" customHeight="1" x14ac:dyDescent="0.3">
      <c r="A16" s="135" t="s">
        <v>7</v>
      </c>
      <c r="B16" s="136"/>
      <c r="C16" s="137"/>
      <c r="D16" s="138"/>
      <c r="E16" s="139"/>
      <c r="F16" s="139">
        <f>SUM(F6:F15)</f>
        <v>168330</v>
      </c>
      <c r="G16" s="139"/>
      <c r="H16" s="139">
        <f>SUM(H6:H15)</f>
        <v>1125765</v>
      </c>
      <c r="I16" s="139"/>
      <c r="J16" s="139" t="e">
        <f>#REF!+#REF!+#REF!+#REF!+#REF!+#REF!</f>
        <v>#REF!</v>
      </c>
      <c r="K16" s="139"/>
      <c r="L16" s="139" t="e">
        <f>#REF!+#REF!+#REF!+#REF!+#REF!+#REF!</f>
        <v>#REF!</v>
      </c>
      <c r="M16" s="139"/>
      <c r="N16" s="139">
        <f>SUM(N6:N15)</f>
        <v>1294095</v>
      </c>
      <c r="O16" s="139"/>
    </row>
  </sheetData>
  <mergeCells count="1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21" type="noConversion"/>
  <pageMargins left="0.69999998807907104" right="0.69999998807907104" top="0.75" bottom="0.75" header="0.30000001192092896" footer="0.30000001192092896"/>
  <pageSetup paperSize="9" scale="54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P4"/>
  <sheetViews>
    <sheetView zoomScaleNormal="100" zoomScaleSheetLayoutView="75" workbookViewId="0">
      <selection activeCell="H24" sqref="H24"/>
    </sheetView>
  </sheetViews>
  <sheetFormatPr defaultColWidth="9" defaultRowHeight="16.5" x14ac:dyDescent="0.3"/>
  <cols>
    <col min="5" max="5" width="15.125" customWidth="1"/>
  </cols>
  <sheetData>
    <row r="2" spans="1:16" s="68" customFormat="1" x14ac:dyDescent="0.3">
      <c r="A2" s="172" t="s">
        <v>31</v>
      </c>
      <c r="B2" s="172"/>
      <c r="G2" s="69"/>
      <c r="L2" s="69"/>
      <c r="N2" s="69"/>
      <c r="O2" s="70"/>
      <c r="P2" s="70"/>
    </row>
    <row r="3" spans="1:16" s="68" customFormat="1" x14ac:dyDescent="0.3">
      <c r="A3" s="71" t="s">
        <v>23</v>
      </c>
      <c r="B3" s="72" t="s">
        <v>13</v>
      </c>
      <c r="C3" s="72" t="s">
        <v>20</v>
      </c>
      <c r="D3" s="72" t="s">
        <v>77</v>
      </c>
      <c r="E3" s="73" t="s">
        <v>78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48</v>
      </c>
      <c r="C4" s="75" t="s">
        <v>98</v>
      </c>
      <c r="D4" s="76">
        <v>1300</v>
      </c>
      <c r="E4" s="77" t="s">
        <v>110</v>
      </c>
      <c r="G4" s="69"/>
      <c r="L4" s="69"/>
      <c r="N4" s="69"/>
      <c r="O4" s="70"/>
      <c r="P4" s="70"/>
    </row>
  </sheetData>
  <mergeCells count="1">
    <mergeCell ref="A2:B2"/>
  </mergeCells>
  <phoneticPr fontId="21" type="noConversion"/>
  <pageMargins left="0.69999998807907104" right="0.69999998807907104" top="0.75" bottom="0.75" header="0.30000001192092896" footer="0.30000001192092896"/>
  <pageSetup paperSize="9" orientation="landscape" horizontalDpi="4294967293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R4"/>
  <sheetViews>
    <sheetView tabSelected="1" zoomScaleNormal="100" zoomScaleSheetLayoutView="75" workbookViewId="0">
      <selection activeCell="G19" sqref="G18:G19"/>
    </sheetView>
  </sheetViews>
  <sheetFormatPr defaultColWidth="9" defaultRowHeight="16.5" x14ac:dyDescent="0.3"/>
  <cols>
    <col min="1" max="1" width="11.125" customWidth="1"/>
    <col min="2" max="2" width="13.375" customWidth="1"/>
    <col min="3" max="3" width="38.75" customWidth="1"/>
    <col min="4" max="4" width="28.75" customWidth="1"/>
    <col min="5" max="5" width="5" customWidth="1"/>
    <col min="6" max="6" width="7.37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 x14ac:dyDescent="0.3">
      <c r="A1" s="123" t="s">
        <v>63</v>
      </c>
      <c r="B1" s="124" t="s">
        <v>70</v>
      </c>
      <c r="C1" s="124" t="s">
        <v>19</v>
      </c>
      <c r="D1" s="124" t="s">
        <v>20</v>
      </c>
      <c r="E1" s="124" t="s">
        <v>5</v>
      </c>
      <c r="F1" s="124" t="s">
        <v>6</v>
      </c>
      <c r="G1" s="124" t="s">
        <v>68</v>
      </c>
      <c r="H1" s="124" t="s">
        <v>71</v>
      </c>
      <c r="I1" s="124" t="s">
        <v>93</v>
      </c>
      <c r="J1" s="124" t="s">
        <v>76</v>
      </c>
      <c r="K1" s="124" t="s">
        <v>83</v>
      </c>
      <c r="L1" s="124" t="s">
        <v>88</v>
      </c>
      <c r="M1" s="124" t="s">
        <v>94</v>
      </c>
      <c r="N1" s="124" t="s">
        <v>84</v>
      </c>
      <c r="O1" s="124" t="s">
        <v>91</v>
      </c>
      <c r="P1" s="124" t="s">
        <v>80</v>
      </c>
      <c r="Q1" s="124" t="s">
        <v>82</v>
      </c>
      <c r="R1" s="124" t="s">
        <v>95</v>
      </c>
    </row>
    <row r="2" spans="1:18" x14ac:dyDescent="0.3">
      <c r="A2" s="82">
        <v>999999</v>
      </c>
      <c r="B2" s="81" t="s">
        <v>99</v>
      </c>
      <c r="C2" s="82" t="s">
        <v>53</v>
      </c>
      <c r="D2" s="82" t="s">
        <v>56</v>
      </c>
      <c r="E2" s="82" t="s">
        <v>15</v>
      </c>
      <c r="F2" s="121">
        <v>155</v>
      </c>
      <c r="G2" s="122">
        <v>1086</v>
      </c>
      <c r="H2" s="122"/>
      <c r="I2" s="122"/>
      <c r="J2" s="81"/>
      <c r="K2" s="81"/>
      <c r="L2" s="81"/>
      <c r="M2" s="81"/>
      <c r="N2" s="81"/>
      <c r="O2" s="81"/>
      <c r="P2" s="81"/>
      <c r="Q2" s="81"/>
      <c r="R2" s="81"/>
    </row>
    <row r="3" spans="1:18" x14ac:dyDescent="0.3">
      <c r="D3" s="78"/>
    </row>
    <row r="4" spans="1:18" x14ac:dyDescent="0.3">
      <c r="D4" s="78"/>
    </row>
  </sheetData>
  <phoneticPr fontId="21" type="noConversion"/>
  <pageMargins left="0.69999998807907104" right="0.69999998807907104" top="0.75" bottom="0.75" header="0.30000001192092896" footer="0.30000001192092896"/>
  <pageSetup paperSize="9" scale="4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2"/>
  <sheetViews>
    <sheetView showGridLines="0" zoomScaleNormal="100" zoomScaleSheetLayoutView="75" workbookViewId="0">
      <selection activeCell="A3" sqref="A3:XFD3"/>
    </sheetView>
  </sheetViews>
  <sheetFormatPr defaultColWidth="9" defaultRowHeight="16.5" x14ac:dyDescent="0.3"/>
  <cols>
    <col min="1" max="1" width="25.125" style="79" customWidth="1"/>
    <col min="2" max="2" width="16.25" style="79" customWidth="1"/>
    <col min="3" max="3" width="22.375" style="79" customWidth="1"/>
    <col min="4" max="4" width="24.125" style="79" customWidth="1"/>
    <col min="5" max="5" width="13" style="79" customWidth="1"/>
    <col min="6" max="6" width="7.5" style="79" customWidth="1"/>
  </cols>
  <sheetData>
    <row r="1" spans="1:6" ht="18" customHeight="1" x14ac:dyDescent="0.3">
      <c r="A1" s="123" t="s">
        <v>4</v>
      </c>
      <c r="B1" s="123" t="s">
        <v>72</v>
      </c>
      <c r="C1" s="123" t="s">
        <v>73</v>
      </c>
      <c r="D1" s="123" t="s">
        <v>74</v>
      </c>
      <c r="E1" s="123" t="s">
        <v>75</v>
      </c>
      <c r="F1" s="123" t="s">
        <v>6</v>
      </c>
    </row>
    <row r="2" spans="1:6" x14ac:dyDescent="0.3">
      <c r="A2" s="125" t="str">
        <f>'내역서(표준단가)'!A5</f>
        <v>D02642</v>
      </c>
      <c r="B2" s="126" t="str">
        <f>'내역서(표준단가)'!F5</f>
        <v>D02642</v>
      </c>
      <c r="C2" s="126">
        <f>'내역서(표준단가)'!G5</f>
        <v>0</v>
      </c>
      <c r="D2" s="126">
        <f>'내역서(표준단가)'!H5</f>
        <v>0</v>
      </c>
      <c r="E2" s="126">
        <f>'내역서(표준단가)'!I5</f>
        <v>0</v>
      </c>
      <c r="F2" s="126">
        <f>'내역서(표준단가)'!M5</f>
        <v>155</v>
      </c>
    </row>
  </sheetData>
  <phoneticPr fontId="21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</cp:revision>
  <cp:lastPrinted>2024-11-19T07:06:46Z</cp:lastPrinted>
  <dcterms:created xsi:type="dcterms:W3CDTF">2020-09-15T23:52:51Z</dcterms:created>
  <dcterms:modified xsi:type="dcterms:W3CDTF">2025-01-21T21:28:02Z</dcterms:modified>
  <cp:version>1100.0100.01</cp:version>
</cp:coreProperties>
</file>
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9월\01 솔루션\00000\25 사택 2-408 씽크대 상하부장 문짝교체\"/>
    </mc:Choice>
  </mc:AlternateContent>
  <xr:revisionPtr revIDLastSave="0" documentId="13_ncr:1_{99F73726-D66C-4394-9917-89CF64A2BED3}" xr6:coauthVersionLast="47" xr6:coauthVersionMax="47" xr10:uidLastSave="{00000000-0000-0000-0000-000000000000}"/>
  <bookViews>
    <workbookView xWindow="19470" yWindow="0" windowWidth="9375" windowHeight="16245" firstSheet="3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_ps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<sst xmlns="http://schemas.openxmlformats.org/spreadsheetml/2006/main" count="130" uniqueCount="109">
  <si>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</si>
  <si>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</si>
  <si>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</si>
  <si>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</si>
  <si>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</si>
  <si>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</si>
  <si>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</si>
  <si>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</si>
  <si>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</si>
  <si>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</si>
  <si>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</si>
  <si>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</si>
  <si>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</si>
  <si>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</si>
  <si>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</si>
  <si>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</si>
  <si>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</si>
  <si>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</si>
  <si>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</si>
  <si>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</si>
  <si>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</si>
  <si>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</si>
  <si>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</si>
  <si>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</si>
  <si>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</si>
  <si>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</si>
  <si>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</si>
  <si>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</si>
  <si>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</si>
  <si>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</si>
  <si>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</si>
  <si>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</si>
  <si>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</si>
  <si>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</si>
  <si>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</si>
  <si>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</si>
  <si>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</si>
  <si>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</si>
  <si>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</si>
  <si>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</si>
  <si>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</si>
  <si>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</si>
  <si>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</si>
  <si>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</si>
  <si>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</si>
  <si>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</si>
  <si>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</si>
  <si>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</si>
  <si>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</si>
  <si>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</si>
  <si>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</si>
  <si>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</si>
  <si>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</si>
  <si>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</si>
  <si>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</si>
  <si>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</si>
  <si>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</si>
  <si>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</si>
  <si>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</si>
  <si>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</si>
  <si>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</si>
  <si>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</si>
  <si>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</si>
  <si>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</si>
  <si>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</si>
  <si>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</si>
  <si>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</si>
  <si>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</si>
  <si>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</si>
  <si>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</si>
  <si>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</si>
  <si>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</si>
  <si>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</si>
  <si>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</si>
  <si>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</si>
  <si>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</si>
  <si>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</si>
  <si>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</si>
  <si>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</si>
  <si>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</si>
  <si>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</si>
  <si>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</si>
  <si>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</si>
  <si>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</si>
  <si>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</si>
  <si>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</si>
  <si>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</si>
  <si>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</si>
  <si>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</si>
  <si>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</si>
  <si>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</si>
  <si>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</si>
  <si>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</si>
  <si>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</si>
  <si>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</si>
  <si>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</si>
  <si>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</si>
  <si>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</si>
  <si>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</si>
  <si>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</si>
  <si>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</si>
  <si>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</si>
  <si>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</si>
  <si>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</si>
  <si>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</si>
  <si>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</si>
  <si>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</si>
  <si>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견적일 : 2025년  08월  05일</t>
    <phoneticPr fontId="12" type="noConversion"/>
  </si>
  <si>
    <t xml:space="preserve"> 공사명 : 사택 2-408 씽크대 상하부장 문짝교체(하부 측판 1개 포함)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</si>
</sst>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13" fillId="0" borderId="4" xfId="6" applyFont="1" applyBorder="1" applyAlignment="1">
      <alignment vertical="center" wrapText="1"/>
    </xf>
    <xf numFmtId="0" fontId="13" fillId="0" borderId="5" xfId="6" applyFont="1" applyBorder="1" applyAlignment="1">
      <alignment vertical="center" wrapText="1"/>
    </xf>
    <xf numFmtId="0" fontId="13" fillId="0" borderId="6" xfId="6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D16" sqref="D16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6" t="s">
        <v>108</v>
      </c>
      <c r="B7" s="127"/>
      <c r="C7" s="128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3" t="s">
        <v>107</v>
      </c>
      <c r="B9" s="124"/>
      <c r="C9" s="125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1"/>
      <c r="B11" s="122"/>
      <c r="C11" s="122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1069321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106</v>
      </c>
      <c r="D26" s="30">
        <v>1</v>
      </c>
      <c r="E26" s="30" t="s">
        <v>25</v>
      </c>
      <c r="F26" s="43">
        <f>(F16+F17)*3.11%</f>
        <v>33255.883099999999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14062.554030688751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75992.63464446376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1145313.6346444637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1145000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J11" sqref="J11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9"/>
      <c r="B1" s="129"/>
      <c r="C1" s="129"/>
      <c r="D1" s="129"/>
      <c r="E1" s="129"/>
      <c r="F1" s="129"/>
      <c r="G1" s="129"/>
      <c r="H1" s="129"/>
      <c r="I1" s="129"/>
      <c r="N1" s="67"/>
      <c r="O1" s="109" t="s">
        <v>82</v>
      </c>
      <c r="Q1" s="109" t="s">
        <v>82</v>
      </c>
      <c r="S1" s="109" t="s">
        <v>82</v>
      </c>
      <c r="U1" s="109" t="s">
        <v>82</v>
      </c>
    </row>
    <row r="2" spans="1:24" ht="19.899999999999999" customHeight="1" thickBot="1" x14ac:dyDescent="0.35">
      <c r="A2" s="129"/>
      <c r="B2" s="129"/>
      <c r="C2" s="129"/>
      <c r="D2" s="129"/>
      <c r="E2" s="129"/>
      <c r="F2" s="129"/>
      <c r="G2" s="129"/>
      <c r="H2" s="129"/>
      <c r="I2" s="129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83</v>
      </c>
      <c r="G3" s="111"/>
      <c r="H3" s="111"/>
      <c r="I3" s="111"/>
      <c r="J3" s="140" t="s">
        <v>84</v>
      </c>
      <c r="K3" s="140"/>
      <c r="L3" s="138" t="s">
        <v>51</v>
      </c>
      <c r="M3" s="138" t="s">
        <v>5</v>
      </c>
      <c r="N3" s="134" t="s">
        <v>85</v>
      </c>
      <c r="O3" s="134"/>
      <c r="P3" s="134" t="s">
        <v>86</v>
      </c>
      <c r="Q3" s="134"/>
      <c r="R3" s="135" t="s">
        <v>87</v>
      </c>
      <c r="S3" s="135"/>
      <c r="T3" s="135" t="s">
        <v>88</v>
      </c>
      <c r="U3" s="135"/>
      <c r="V3" s="136" t="s">
        <v>89</v>
      </c>
      <c r="W3" s="132" t="s">
        <v>90</v>
      </c>
      <c r="X3" s="130" t="s">
        <v>45</v>
      </c>
    </row>
    <row r="4" spans="1:24" ht="19.899999999999999" customHeight="1" x14ac:dyDescent="0.3">
      <c r="A4" s="70" t="s">
        <v>91</v>
      </c>
      <c r="B4" s="71"/>
      <c r="C4" s="71"/>
      <c r="D4" s="71"/>
      <c r="E4" s="71"/>
      <c r="F4" s="72" t="s">
        <v>92</v>
      </c>
      <c r="G4" s="72" t="s">
        <v>93</v>
      </c>
      <c r="H4" s="72" t="s">
        <v>94</v>
      </c>
      <c r="I4" s="72" t="s">
        <v>95</v>
      </c>
      <c r="J4" s="107" t="s">
        <v>96</v>
      </c>
      <c r="K4" s="107" t="s">
        <v>97</v>
      </c>
      <c r="L4" s="139"/>
      <c r="M4" s="139"/>
      <c r="N4" s="73" t="s">
        <v>98</v>
      </c>
      <c r="O4" s="74" t="s">
        <v>99</v>
      </c>
      <c r="P4" s="73" t="s">
        <v>100</v>
      </c>
      <c r="Q4" s="74" t="s">
        <v>99</v>
      </c>
      <c r="R4" s="74" t="s">
        <v>101</v>
      </c>
      <c r="S4" s="74" t="s">
        <v>99</v>
      </c>
      <c r="T4" s="74" t="s">
        <v>101</v>
      </c>
      <c r="U4" s="74" t="s">
        <v>99</v>
      </c>
      <c r="V4" s="137"/>
      <c r="W4" s="133"/>
      <c r="X4" s="131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102</v>
      </c>
      <c r="J5" s="94" t="s">
        <v>103</v>
      </c>
      <c r="K5" s="95" t="s">
        <v>104</v>
      </c>
      <c r="L5" s="78" t="s">
        <v>105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75</v>
      </c>
      <c r="K6" s="95" t="s">
        <v>76</v>
      </c>
      <c r="L6" s="78" t="s">
        <v>77</v>
      </c>
      <c r="M6" s="105">
        <v>1</v>
      </c>
      <c r="N6" s="102">
        <v>850000</v>
      </c>
      <c r="O6" s="103">
        <f>M6*N6</f>
        <v>850000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850000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850000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1069321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H9" sqref="H9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78</v>
      </c>
      <c r="C2" s="67" t="s">
        <v>79</v>
      </c>
      <c r="D2" s="67" t="s">
        <v>80</v>
      </c>
      <c r="E2" s="67" t="s">
        <v>81</v>
      </c>
      <c r="F2" s="87">
        <v>1</v>
      </c>
      <c r="G2" s="90">
        <v>850000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Upload_ps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2025-09-02T03:32:47Z</dcterms:modified>
</cp:coreProperties>
</file>
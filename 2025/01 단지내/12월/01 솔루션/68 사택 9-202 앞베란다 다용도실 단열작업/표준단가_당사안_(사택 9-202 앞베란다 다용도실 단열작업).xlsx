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0955C6CF-9FD7-44D5-AC80-E52BC6E0AE42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A2" i="1" s="1"/>
  <c r="V5" i="4" l="1"/>
  <c r="V9" i="4"/>
  <c r="V6" i="4"/>
  <c r="V7" i="4"/>
  <c r="V8" i="4"/>
  <c r="U10" i="4" l="1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<sst xmlns="http://schemas.openxmlformats.org/spreadsheetml/2006/main" count="121" uniqueCount="101">
  <si>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</si>
  <si>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</si>
  <si>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</si>
  <si>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</si>
  <si>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</si>
  <si>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</si>
  <si>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</si>
  <si>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</si>
  <si>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</si>
  <si>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</si>
  <si>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</si>
  <si>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</si>
  <si>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</si>
  <si>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</si>
  <si>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</si>
  <si>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</si>
  <si>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</si>
  <si>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</si>
  <si>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</si>
  <si>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</si>
  <si>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</si>
  <si>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</si>
  <si>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</si>
  <si>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</si>
  <si>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</si>
  <si>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</si>
  <si>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</si>
  <si>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</si>
  <si>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</si>
  <si>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</si>
  <si>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</si>
  <si>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</si>
  <si>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</si>
  <si>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</si>
  <si>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</si>
  <si>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</si>
  <si>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</si>
  <si>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</si>
  <si>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</si>
  <si>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</si>
  <si>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</si>
  <si>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</si>
  <si>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</si>
  <si>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</si>
  <si>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</si>
  <si>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</si>
  <si>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</si>
  <si>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</si>
  <si>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</si>
  <si>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</si>
  <si>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</si>
  <si>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</si>
  <si>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</si>
  <si>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</si>
  <si>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</si>
  <si>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</si>
  <si>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</si>
  <si>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</si>
  <si>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</si>
  <si>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</si>
  <si>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</si>
  <si>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</si>
  <si>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</si>
  <si>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</si>
  <si>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</si>
  <si>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</si>
  <si>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</si>
  <si>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</si>
  <si>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</si>
  <si>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</si>
  <si>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</si>
  <si>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</si>
  <si>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</si>
  <si>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</si>
  <si>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</si>
  <si>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</si>
  <si>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</si>
  <si>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</si>
  <si>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</si>
  <si>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</si>
  <si>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</si>
  <si>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</si>
  <si>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E00000801011510201</t>
  </si>
  <si>
    <t>건출물 현장정리 및 자재 및 폐기물 반입 반출</t>
    <phoneticPr fontId="10" type="noConversion"/>
  </si>
  <si>
    <t>철근콘크리트조·철골·철근콘크리트조</t>
  </si>
  <si>
    <t>(연면적 ㎡ 당)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</si>
  <si>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</si>
  <si>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</si>
  <si>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</si>
  <si>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</si>
  <si>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</si>
  <si>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</si>
  <si>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</si>
  <si>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</si>
  <si>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</si>
  <si>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</si>
  <si>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</si>
  <si>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</si>
  <si>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0" type="noConversion"/>
  </si>
  <si>
    <t xml:space="preserve"> 공사명 : 사택 9-202 앞베란다 다용도실 1개소 단열작업(열반사6t+이보드 23t)</t>
    <phoneticPr fontId="16" type="noConversion"/>
  </si>
  <si>
    <t xml:space="preserve"> 견적일 : 2025년  11월  04일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</si>
</sst>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176" fontId="30" fillId="0" borderId="0">
      <alignment vertical="center"/>
    </xf>
  </cellStyleXfs>
  <cellXfs count="14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6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6" fontId="24" fillId="6" borderId="3" xfId="1" applyFont="1" applyFill="1" applyBorder="1" applyAlignment="1">
      <alignment horizontal="center" vertical="center" wrapText="1"/>
    </xf>
    <xf numFmtId="176" fontId="24" fillId="0" borderId="3" xfId="1" applyFont="1" applyFill="1" applyBorder="1" applyAlignment="1">
      <alignment horizontal="center" vertical="center" wrapText="1"/>
    </xf>
    <xf numFmtId="176" fontId="24" fillId="5" borderId="3" xfId="1" applyFont="1" applyFill="1" applyBorder="1" applyAlignment="1">
      <alignment horizontal="center" vertical="center" wrapText="1"/>
    </xf>
    <xf numFmtId="9" fontId="29" fillId="0" borderId="3" xfId="0" applyNumberFormat="1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76" fontId="29" fillId="0" borderId="3" xfId="0" applyNumberFormat="1" applyFont="1" applyBorder="1" applyAlignment="1">
      <alignment horizontal="center" vertical="center"/>
    </xf>
    <xf numFmtId="49" fontId="24" fillId="11" borderId="3" xfId="31" applyNumberFormat="1" applyFont="1" applyFill="1" applyBorder="1" applyAlignment="1">
      <alignment horizontal="center" vertical="center" wrapText="1"/>
    </xf>
    <xf numFmtId="0" fontId="28" fillId="11" borderId="3" xfId="31" applyFont="1" applyFill="1" applyBorder="1" applyAlignment="1">
      <alignment horizontal="center" vertical="center"/>
    </xf>
    <xf numFmtId="0" fontId="24" fillId="12" borderId="3" xfId="31" applyFont="1" applyFill="1" applyBorder="1" applyAlignment="1">
      <alignment horizontal="center" vertical="center"/>
    </xf>
    <xf numFmtId="0" fontId="24" fillId="11" borderId="3" xfId="31" applyFont="1" applyFill="1" applyBorder="1" applyAlignment="1">
      <alignment horizontal="center" vertical="center"/>
    </xf>
    <xf numFmtId="183" fontId="24" fillId="12" borderId="3" xfId="31" applyNumberFormat="1" applyFont="1" applyFill="1" applyBorder="1" applyAlignment="1">
      <alignment vertical="center" wrapText="1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1" applyNumberFormat="1" applyFont="1" applyBorder="1" applyAlignment="1">
      <alignment horizontal="center" vertical="center" wrapText="1"/>
    </xf>
    <xf numFmtId="49" fontId="24" fillId="11" borderId="3" xfId="31" applyNumberFormat="1" applyFont="1" applyFill="1" applyBorder="1" applyAlignment="1">
      <alignment horizontal="center" vertical="center"/>
    </xf>
    <xf numFmtId="176" fontId="24" fillId="12" borderId="3" xfId="32" applyFont="1" applyFill="1" applyBorder="1" applyAlignment="1">
      <alignment vertical="center" wrapText="1"/>
    </xf>
    <xf numFmtId="176" fontId="24" fillId="12" borderId="3" xfId="32" applyFont="1" applyFill="1" applyBorder="1">
      <alignment vertical="center"/>
    </xf>
    <xf numFmtId="0" fontId="25" fillId="0" borderId="0" xfId="0" applyFont="1">
      <alignment vertical="center"/>
    </xf>
    <xf numFmtId="184" fontId="24" fillId="12" borderId="3" xfId="31" applyNumberFormat="1" applyFont="1" applyFill="1" applyBorder="1" applyAlignment="1">
      <alignment horizontal="right" vertical="center"/>
    </xf>
    <xf numFmtId="184" fontId="24" fillId="6" borderId="3" xfId="1" applyNumberFormat="1" applyFont="1" applyFill="1" applyBorder="1" applyAlignment="1">
      <alignment horizontal="right" vertical="center" wrapText="1"/>
    </xf>
    <xf numFmtId="184" fontId="24" fillId="12" borderId="3" xfId="32" applyNumberFormat="1" applyFont="1" applyFill="1" applyBorder="1" applyAlignment="1">
      <alignment horizontal="right" vertical="center"/>
    </xf>
    <xf numFmtId="184" fontId="24" fillId="0" borderId="3" xfId="1" applyNumberFormat="1" applyFont="1" applyFill="1" applyBorder="1" applyAlignment="1">
      <alignment horizontal="right" vertical="center" wrapText="1"/>
    </xf>
    <xf numFmtId="184" fontId="24" fillId="12" borderId="3" xfId="31" applyNumberFormat="1" applyFont="1" applyFill="1" applyBorder="1" applyAlignment="1">
      <alignment horizontal="right" vertical="center" wrapText="1"/>
    </xf>
    <xf numFmtId="49" fontId="24" fillId="12" borderId="3" xfId="31" applyNumberFormat="1" applyFont="1" applyFill="1" applyBorder="1" applyAlignment="1">
      <alignment horizontal="center" vertical="center"/>
    </xf>
    <xf numFmtId="49" fontId="24" fillId="12" borderId="3" xfId="31" applyNumberFormat="1" applyFont="1" applyFill="1" applyBorder="1" applyAlignment="1">
      <alignment horizontal="center" vertical="center" wrapText="1"/>
    </xf>
    <xf numFmtId="49" fontId="24" fillId="12" borderId="3" xfId="32" applyNumberFormat="1" applyFont="1" applyFill="1" applyBorder="1" applyAlignment="1">
      <alignment horizontal="center" vertical="center"/>
    </xf>
    <xf numFmtId="185" fontId="24" fillId="5" borderId="3" xfId="1" applyNumberFormat="1" applyFont="1" applyFill="1" applyBorder="1" applyAlignment="1">
      <alignment horizontal="center" vertical="center"/>
    </xf>
    <xf numFmtId="185" fontId="24" fillId="5" borderId="3" xfId="20" applyNumberFormat="1" applyFont="1" applyFill="1" applyBorder="1" applyAlignment="1">
      <alignment horizontal="center" vertical="center"/>
    </xf>
    <xf numFmtId="185" fontId="24" fillId="0" borderId="3" xfId="20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6" fontId="24" fillId="0" borderId="0" xfId="0" applyNumberFormat="1" applyFo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6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9" sqref="A9:C9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25" t="s">
        <v>6</v>
      </c>
      <c r="B2" s="125"/>
      <c r="C2" s="125"/>
      <c r="D2" s="125"/>
      <c r="E2" s="125"/>
      <c r="F2" s="125"/>
      <c r="G2" s="125"/>
      <c r="H2" s="2"/>
    </row>
    <row r="3" spans="1:9" ht="13.5">
      <c r="A3" s="90"/>
      <c r="B3" s="90"/>
      <c r="C3" s="90"/>
      <c r="D3" s="90"/>
      <c r="E3" s="90"/>
      <c r="F3" s="90"/>
      <c r="G3" s="90"/>
      <c r="H3" s="90"/>
    </row>
    <row r="4" spans="1:9" ht="13.5">
      <c r="A4" s="90"/>
      <c r="B4" s="90"/>
      <c r="C4" s="90"/>
      <c r="D4" s="90"/>
      <c r="E4" s="90"/>
      <c r="H4" s="90"/>
    </row>
    <row r="5" spans="1:9" ht="27" customHeight="1">
      <c r="A5" s="91" t="s">
        <v>47</v>
      </c>
      <c r="B5" s="4"/>
      <c r="C5" s="5"/>
      <c r="D5" s="90"/>
      <c r="E5" s="90"/>
      <c r="F5" s="6" t="s">
        <v>38</v>
      </c>
      <c r="G5" s="7" t="s">
        <v>51</v>
      </c>
      <c r="H5" s="90"/>
    </row>
    <row r="6" spans="1:9" ht="27" customHeight="1">
      <c r="A6" s="90"/>
      <c r="B6" s="90"/>
      <c r="C6" s="90"/>
      <c r="D6" s="90"/>
      <c r="E6" s="90"/>
      <c r="F6" s="8" t="s">
        <v>41</v>
      </c>
      <c r="G6" s="9" t="s">
        <v>52</v>
      </c>
      <c r="H6" s="90"/>
    </row>
    <row r="7" spans="1:9" ht="27" customHeight="1">
      <c r="A7" s="131" t="s">
        <v>99</v>
      </c>
      <c r="B7" s="132"/>
      <c r="C7" s="133"/>
      <c r="D7" s="90"/>
      <c r="E7" s="10"/>
      <c r="F7" s="11" t="s">
        <v>42</v>
      </c>
      <c r="G7" s="9" t="s">
        <v>53</v>
      </c>
      <c r="H7" s="90"/>
    </row>
    <row r="8" spans="1:9" ht="27" customHeight="1">
      <c r="A8" s="90"/>
      <c r="B8" s="90"/>
      <c r="C8" s="90"/>
      <c r="D8" s="90"/>
      <c r="E8" s="90"/>
      <c r="F8" s="8" t="s">
        <v>43</v>
      </c>
      <c r="G8" s="9" t="s">
        <v>54</v>
      </c>
      <c r="H8" s="90"/>
    </row>
    <row r="9" spans="1:9" ht="27" customHeight="1">
      <c r="A9" s="128" t="s">
        <v>100</v>
      </c>
      <c r="B9" s="129"/>
      <c r="C9" s="130"/>
      <c r="D9" s="90"/>
      <c r="E9" s="90"/>
      <c r="F9" s="8" t="s">
        <v>44</v>
      </c>
      <c r="G9" s="9" t="s">
        <v>55</v>
      </c>
      <c r="H9" s="90"/>
    </row>
    <row r="10" spans="1:9" ht="27" customHeight="1">
      <c r="A10" s="90"/>
      <c r="B10" s="90"/>
      <c r="C10" s="90"/>
      <c r="D10" s="90"/>
      <c r="E10" s="90"/>
      <c r="F10" s="12" t="s">
        <v>39</v>
      </c>
      <c r="G10" s="13" t="s">
        <v>56</v>
      </c>
      <c r="H10" s="90"/>
      <c r="I10" s="90"/>
    </row>
    <row r="11" spans="1:9" ht="27" customHeight="1">
      <c r="A11" s="126"/>
      <c r="B11" s="127"/>
      <c r="C11" s="127"/>
      <c r="D11" s="90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구십팔만일천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90"/>
      <c r="B13" s="90"/>
      <c r="C13" s="90"/>
      <c r="D13" s="90"/>
      <c r="E13" s="90"/>
      <c r="F13" s="90"/>
      <c r="G13" s="90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'내역서(표준단가)'!O10</f>
        <v>153640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'내역서(표준단가)'!Q10</f>
        <v>674506.97275249998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828146.97275249998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30352.813773862497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23911.272184076126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3096.5097478378584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6812.5204248002492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24012.448229989001</v>
      </c>
      <c r="G25" s="35" t="s">
        <v>28</v>
      </c>
    </row>
    <row r="26" spans="1:7" ht="33" customHeight="1">
      <c r="A26" s="29"/>
      <c r="B26" s="42" t="s">
        <v>32</v>
      </c>
      <c r="C26" s="49" t="s">
        <v>81</v>
      </c>
      <c r="D26" s="30">
        <v>1</v>
      </c>
      <c r="E26" s="30" t="s">
        <v>25</v>
      </c>
      <c r="F26" s="43">
        <f>(F16+F17)*3.11%</f>
        <v>25755.370852602748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39422.395398283435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153363.33061145194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981510.30336395185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981000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22" bestFit="1" customWidth="1"/>
    <col min="2" max="5" width="17.625" style="122" hidden="1" customWidth="1"/>
    <col min="6" max="9" width="17.625" style="113" hidden="1" customWidth="1"/>
    <col min="10" max="10" width="42.625" style="109" customWidth="1"/>
    <col min="11" max="11" width="30.625" style="109" customWidth="1"/>
    <col min="12" max="12" width="12" style="113" bestFit="1" customWidth="1"/>
    <col min="13" max="13" width="6.625" style="113" customWidth="1"/>
    <col min="14" max="14" width="10.25" style="113" bestFit="1" customWidth="1"/>
    <col min="15" max="15" width="13.25" style="113" bestFit="1" customWidth="1"/>
    <col min="16" max="16" width="9.875" style="113" customWidth="1"/>
    <col min="17" max="17" width="13.25" style="113" bestFit="1" customWidth="1"/>
    <col min="18" max="18" width="6.375" style="113" customWidth="1"/>
    <col min="19" max="19" width="8.75" style="113" bestFit="1" customWidth="1"/>
    <col min="20" max="20" width="6.375" style="113" customWidth="1"/>
    <col min="21" max="21" width="8.75" style="113" bestFit="1" customWidth="1"/>
    <col min="22" max="22" width="14.75" style="113" customWidth="1"/>
    <col min="23" max="23" width="10.625" style="66" bestFit="1" customWidth="1"/>
    <col min="24" max="24" width="8.5" style="113" bestFit="1" customWidth="1"/>
    <col min="25" max="16384" width="9" style="113"/>
  </cols>
  <sheetData>
    <row r="1" spans="1:24" ht="19.899999999999999" customHeight="1">
      <c r="A1" s="134"/>
      <c r="B1" s="134"/>
      <c r="C1" s="134"/>
      <c r="D1" s="134"/>
      <c r="E1" s="134"/>
      <c r="F1" s="134"/>
      <c r="G1" s="134"/>
      <c r="H1" s="134"/>
      <c r="I1" s="134"/>
      <c r="N1" s="66"/>
      <c r="O1" s="112" t="s">
        <v>60</v>
      </c>
      <c r="Q1" s="112" t="s">
        <v>60</v>
      </c>
      <c r="S1" s="112" t="s">
        <v>60</v>
      </c>
      <c r="U1" s="112" t="s">
        <v>60</v>
      </c>
    </row>
    <row r="2" spans="1:24" ht="19.899999999999999" customHeight="1" thickBot="1">
      <c r="A2" s="134"/>
      <c r="B2" s="134"/>
      <c r="C2" s="134"/>
      <c r="D2" s="134"/>
      <c r="E2" s="134"/>
      <c r="F2" s="134"/>
      <c r="G2" s="134"/>
      <c r="H2" s="134"/>
      <c r="I2" s="13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14"/>
      <c r="B3" s="114"/>
      <c r="C3" s="114"/>
      <c r="D3" s="114"/>
      <c r="E3" s="114"/>
      <c r="F3" s="114" t="s">
        <v>61</v>
      </c>
      <c r="G3" s="115"/>
      <c r="H3" s="115"/>
      <c r="I3" s="115"/>
      <c r="J3" s="145" t="s">
        <v>62</v>
      </c>
      <c r="K3" s="145"/>
      <c r="L3" s="143" t="s">
        <v>63</v>
      </c>
      <c r="M3" s="143" t="s">
        <v>5</v>
      </c>
      <c r="N3" s="139" t="s">
        <v>64</v>
      </c>
      <c r="O3" s="139"/>
      <c r="P3" s="139" t="s">
        <v>65</v>
      </c>
      <c r="Q3" s="139"/>
      <c r="R3" s="140" t="s">
        <v>66</v>
      </c>
      <c r="S3" s="140"/>
      <c r="T3" s="140" t="s">
        <v>67</v>
      </c>
      <c r="U3" s="140"/>
      <c r="V3" s="141" t="s">
        <v>68</v>
      </c>
      <c r="W3" s="137" t="s">
        <v>69</v>
      </c>
      <c r="X3" s="135" t="s">
        <v>45</v>
      </c>
    </row>
    <row r="4" spans="1:24" ht="19.899999999999999" customHeight="1">
      <c r="A4" s="69" t="s">
        <v>70</v>
      </c>
      <c r="B4" s="70"/>
      <c r="C4" s="70"/>
      <c r="D4" s="70"/>
      <c r="E4" s="70"/>
      <c r="F4" s="71" t="s">
        <v>71</v>
      </c>
      <c r="G4" s="71" t="s">
        <v>72</v>
      </c>
      <c r="H4" s="71" t="s">
        <v>73</v>
      </c>
      <c r="I4" s="71" t="s">
        <v>74</v>
      </c>
      <c r="J4" s="110" t="s">
        <v>75</v>
      </c>
      <c r="K4" s="110" t="s">
        <v>76</v>
      </c>
      <c r="L4" s="144"/>
      <c r="M4" s="144"/>
      <c r="N4" s="72" t="s">
        <v>77</v>
      </c>
      <c r="O4" s="73" t="s">
        <v>78</v>
      </c>
      <c r="P4" s="72" t="s">
        <v>79</v>
      </c>
      <c r="Q4" s="73" t="s">
        <v>78</v>
      </c>
      <c r="R4" s="73" t="s">
        <v>80</v>
      </c>
      <c r="S4" s="73" t="s">
        <v>78</v>
      </c>
      <c r="T4" s="73" t="s">
        <v>80</v>
      </c>
      <c r="U4" s="73" t="s">
        <v>78</v>
      </c>
      <c r="V4" s="142"/>
      <c r="W4" s="138"/>
      <c r="X4" s="136"/>
    </row>
    <row r="5" spans="1:24" s="116" customFormat="1" ht="38.1" customHeight="1">
      <c r="A5" s="74" t="str">
        <f t="shared" ref="A5:A9" si="0">F5&amp;G5&amp;H5&amp;I5</f>
        <v>E00000801011510201</v>
      </c>
      <c r="B5" s="124"/>
      <c r="C5" s="124"/>
      <c r="D5" s="124"/>
      <c r="E5" s="124"/>
      <c r="F5" s="85"/>
      <c r="G5" s="88" t="s">
        <v>82</v>
      </c>
      <c r="H5" s="86"/>
      <c r="I5" s="86"/>
      <c r="J5" s="93" t="s">
        <v>83</v>
      </c>
      <c r="K5" s="93" t="s">
        <v>84</v>
      </c>
      <c r="L5" s="103" t="s">
        <v>85</v>
      </c>
      <c r="M5" s="106">
        <v>8</v>
      </c>
      <c r="N5" s="98"/>
      <c r="O5" s="99">
        <f t="shared" ref="O5:O9" si="1">SUM(N5:N5)*M5*$O$2</f>
        <v>0</v>
      </c>
      <c r="P5" s="100">
        <v>21520</v>
      </c>
      <c r="Q5" s="99">
        <f t="shared" ref="Q5:Q8" si="2">(P5*M5)*$Q$2</f>
        <v>143753.60000000001</v>
      </c>
      <c r="R5" s="101"/>
      <c r="S5" s="99">
        <f t="shared" ref="S5:S9" si="3">R5*M5*$S$2</f>
        <v>0</v>
      </c>
      <c r="T5" s="101"/>
      <c r="U5" s="99">
        <f t="shared" ref="U5:U9" si="4">T5*M5*$U$2</f>
        <v>0</v>
      </c>
      <c r="V5" s="77">
        <f t="shared" ref="V5:V9" si="5">SUM(O5+Q5)+S5+U5</f>
        <v>143753.60000000001</v>
      </c>
      <c r="W5" s="78"/>
      <c r="X5" s="79"/>
    </row>
    <row r="6" spans="1:24" s="116" customFormat="1" ht="38.1" customHeight="1">
      <c r="A6" s="74" t="str">
        <f t="shared" si="0"/>
        <v>M020750510120102</v>
      </c>
      <c r="B6" s="124"/>
      <c r="C6" s="124"/>
      <c r="D6" s="124"/>
      <c r="E6" s="124"/>
      <c r="F6" s="85"/>
      <c r="G6" s="86"/>
      <c r="H6" s="88" t="s">
        <v>86</v>
      </c>
      <c r="I6" s="86"/>
      <c r="J6" s="93" t="s">
        <v>87</v>
      </c>
      <c r="K6" s="93" t="s">
        <v>88</v>
      </c>
      <c r="L6" s="103" t="s">
        <v>89</v>
      </c>
      <c r="M6" s="106">
        <v>10</v>
      </c>
      <c r="N6" s="100">
        <v>6400</v>
      </c>
      <c r="O6" s="99">
        <f t="shared" si="1"/>
        <v>53440</v>
      </c>
      <c r="P6" s="102"/>
      <c r="Q6" s="99">
        <f t="shared" si="2"/>
        <v>0</v>
      </c>
      <c r="R6" s="101"/>
      <c r="S6" s="99">
        <f t="shared" si="3"/>
        <v>0</v>
      </c>
      <c r="T6" s="101"/>
      <c r="U6" s="99">
        <f t="shared" si="4"/>
        <v>0</v>
      </c>
      <c r="V6" s="77">
        <f t="shared" si="5"/>
        <v>53440</v>
      </c>
      <c r="W6" s="78"/>
      <c r="X6" s="79"/>
    </row>
    <row r="7" spans="1:24" s="116" customFormat="1" ht="38.1" customHeight="1">
      <c r="A7" s="74" t="str">
        <f t="shared" si="0"/>
        <v>M020750510130104</v>
      </c>
      <c r="B7" s="124"/>
      <c r="C7" s="124"/>
      <c r="D7" s="124"/>
      <c r="E7" s="124"/>
      <c r="F7" s="85"/>
      <c r="G7" s="88"/>
      <c r="H7" s="88" t="s">
        <v>90</v>
      </c>
      <c r="I7" s="88"/>
      <c r="J7" s="93" t="s">
        <v>91</v>
      </c>
      <c r="K7" s="93" t="s">
        <v>92</v>
      </c>
      <c r="L7" s="103" t="s">
        <v>89</v>
      </c>
      <c r="M7" s="106">
        <v>10</v>
      </c>
      <c r="N7" s="100">
        <v>12000</v>
      </c>
      <c r="O7" s="99">
        <f t="shared" si="1"/>
        <v>100200</v>
      </c>
      <c r="P7" s="102"/>
      <c r="Q7" s="99">
        <f t="shared" si="2"/>
        <v>0</v>
      </c>
      <c r="R7" s="101"/>
      <c r="S7" s="99">
        <f t="shared" si="3"/>
        <v>0</v>
      </c>
      <c r="T7" s="101"/>
      <c r="U7" s="99">
        <f t="shared" si="4"/>
        <v>0</v>
      </c>
      <c r="V7" s="77">
        <f t="shared" si="5"/>
        <v>100200</v>
      </c>
      <c r="W7" s="78"/>
      <c r="X7" s="79"/>
    </row>
    <row r="8" spans="1:24" s="116" customFormat="1" ht="38.1" customHeight="1">
      <c r="A8" s="74" t="str">
        <f t="shared" si="0"/>
        <v>E00000803066470202</v>
      </c>
      <c r="B8" s="124"/>
      <c r="C8" s="124"/>
      <c r="D8" s="124"/>
      <c r="E8" s="124"/>
      <c r="F8" s="94"/>
      <c r="G8" s="88" t="s">
        <v>93</v>
      </c>
      <c r="H8" s="88"/>
      <c r="I8" s="94"/>
      <c r="J8" s="93" t="s">
        <v>94</v>
      </c>
      <c r="K8" s="93" t="s">
        <v>98</v>
      </c>
      <c r="L8" s="104" t="s">
        <v>95</v>
      </c>
      <c r="M8" s="107">
        <v>0.57150000000000001</v>
      </c>
      <c r="N8" s="95"/>
      <c r="O8" s="75">
        <f t="shared" si="1"/>
        <v>0</v>
      </c>
      <c r="P8" s="96">
        <v>652621</v>
      </c>
      <c r="Q8" s="75">
        <f t="shared" si="2"/>
        <v>311432.37275249994</v>
      </c>
      <c r="R8" s="76"/>
      <c r="S8" s="75">
        <f t="shared" si="3"/>
        <v>0</v>
      </c>
      <c r="T8" s="76"/>
      <c r="U8" s="75">
        <f t="shared" si="4"/>
        <v>0</v>
      </c>
      <c r="V8" s="77">
        <f t="shared" si="5"/>
        <v>311432.37275249994</v>
      </c>
      <c r="W8" s="78"/>
      <c r="X8" s="79"/>
    </row>
    <row r="9" spans="1:24" s="116" customFormat="1" ht="38.1" customHeight="1">
      <c r="A9" s="74" t="str">
        <f t="shared" si="0"/>
        <v>L003</v>
      </c>
      <c r="B9" s="124"/>
      <c r="C9" s="124"/>
      <c r="D9" s="124"/>
      <c r="E9" s="124"/>
      <c r="F9" s="85"/>
      <c r="G9" s="86"/>
      <c r="H9" s="86"/>
      <c r="I9" s="85" t="s">
        <v>58</v>
      </c>
      <c r="J9" s="92" t="s">
        <v>59</v>
      </c>
      <c r="K9" s="93" t="s">
        <v>96</v>
      </c>
      <c r="L9" s="105" t="s">
        <v>97</v>
      </c>
      <c r="M9" s="108">
        <v>1</v>
      </c>
      <c r="N9" s="87"/>
      <c r="O9" s="75">
        <f t="shared" si="1"/>
        <v>0</v>
      </c>
      <c r="P9" s="89">
        <v>219321</v>
      </c>
      <c r="Q9" s="75">
        <f t="shared" ref="Q9" si="6">M9*P9</f>
        <v>219321</v>
      </c>
      <c r="R9" s="76"/>
      <c r="S9" s="75">
        <f t="shared" si="3"/>
        <v>0</v>
      </c>
      <c r="T9" s="76"/>
      <c r="U9" s="75">
        <f t="shared" si="4"/>
        <v>0</v>
      </c>
      <c r="V9" s="77">
        <f t="shared" si="5"/>
        <v>219321</v>
      </c>
      <c r="W9" s="84"/>
      <c r="X9" s="79"/>
    </row>
    <row r="10" spans="1:24" s="118" customFormat="1" ht="38.1" customHeight="1">
      <c r="A10" s="117"/>
      <c r="B10" s="117"/>
      <c r="C10" s="117"/>
      <c r="D10" s="117"/>
      <c r="E10" s="117"/>
      <c r="J10" s="111"/>
      <c r="K10" s="111"/>
      <c r="O10" s="119">
        <f>SUM(O5:O9)</f>
        <v>153640</v>
      </c>
      <c r="P10" s="120"/>
      <c r="Q10" s="119">
        <f>SUM(Q5:Q9)</f>
        <v>674506.97275249998</v>
      </c>
      <c r="R10" s="120"/>
      <c r="S10" s="119">
        <f>SUM(S5:S9)</f>
        <v>0</v>
      </c>
      <c r="T10" s="120"/>
      <c r="U10" s="119">
        <f>SUM(U5:U9)</f>
        <v>0</v>
      </c>
      <c r="V10" s="121">
        <f>SUM(V5:V9)</f>
        <v>828146.97275249986</v>
      </c>
      <c r="W10" s="80"/>
    </row>
    <row r="14" spans="1:24" ht="38.1" customHeight="1">
      <c r="Q14" s="12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D23" sqref="D23:D24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7"/>
  </cols>
  <sheetData>
    <row r="1" spans="1:6" ht="18" customHeight="1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</row>
    <row r="2" spans="1:6">
      <c r="A2" s="82" t="str">
        <f>'내역서(표준단가)'!A5</f>
        <v>E00000801011510201</v>
      </c>
      <c r="B2" s="83">
        <f>'내역서(표준단가)'!F5</f>
        <v>0</v>
      </c>
      <c r="C2" s="83" t="str">
        <f>'내역서(표준단가)'!G5</f>
        <v>E00000801011510201</v>
      </c>
      <c r="D2" s="83">
        <f>'내역서(표준단가)'!H5</f>
        <v>0</v>
      </c>
      <c r="E2" s="83">
        <f>'내역서(표준단가)'!I5</f>
        <v>0</v>
      </c>
      <c r="F2" s="83">
        <f>'내역서(표준단가)'!M5</f>
        <v>8</v>
      </c>
    </row>
    <row r="3" spans="1:6">
      <c r="A3" s="82" t="str">
        <f>'내역서(표준단가)'!A6</f>
        <v>M020750510120102</v>
      </c>
      <c r="B3" s="83">
        <f>'내역서(표준단가)'!F6</f>
        <v>0</v>
      </c>
      <c r="C3" s="83">
        <f>'내역서(표준단가)'!G6</f>
        <v>0</v>
      </c>
      <c r="D3" s="83" t="str">
        <f>'내역서(표준단가)'!H6</f>
        <v>M020750510120102</v>
      </c>
      <c r="E3" s="83">
        <f>'내역서(표준단가)'!I6</f>
        <v>0</v>
      </c>
      <c r="F3" s="83">
        <f>'내역서(표준단가)'!M6</f>
        <v>10</v>
      </c>
    </row>
    <row r="4" spans="1:6">
      <c r="A4" s="82" t="str">
        <f>'내역서(표준단가)'!A7</f>
        <v>M020750510130104</v>
      </c>
      <c r="B4" s="83">
        <f>'내역서(표준단가)'!F7</f>
        <v>0</v>
      </c>
      <c r="C4" s="83">
        <f>'내역서(표준단가)'!G7</f>
        <v>0</v>
      </c>
      <c r="D4" s="83" t="str">
        <f>'내역서(표준단가)'!H7</f>
        <v>M020750510130104</v>
      </c>
      <c r="E4" s="83">
        <f>'내역서(표준단가)'!I7</f>
        <v>0</v>
      </c>
      <c r="F4" s="83">
        <f>'내역서(표준단가)'!M7</f>
        <v>10</v>
      </c>
    </row>
    <row r="5" spans="1:6">
      <c r="A5" s="82" t="str">
        <f>'내역서(표준단가)'!A8</f>
        <v>E00000803066470202</v>
      </c>
      <c r="B5" s="83">
        <f>'내역서(표준단가)'!F8</f>
        <v>0</v>
      </c>
      <c r="C5" s="83" t="str">
        <f>'내역서(표준단가)'!G8</f>
        <v>E00000803066470202</v>
      </c>
      <c r="D5" s="83">
        <f>'내역서(표준단가)'!H8</f>
        <v>0</v>
      </c>
      <c r="E5" s="83">
        <f>'내역서(표준단가)'!I8</f>
        <v>0</v>
      </c>
      <c r="F5" s="83">
        <f>'내역서(표준단가)'!M8</f>
        <v>0.57150000000000001</v>
      </c>
    </row>
    <row r="6" spans="1:6">
      <c r="A6" s="82" t="str">
        <f>'내역서(표준단가)'!A9</f>
        <v>L003</v>
      </c>
      <c r="B6" s="83">
        <f>'내역서(표준단가)'!F9</f>
        <v>0</v>
      </c>
      <c r="C6" s="83">
        <f>'내역서(표준단가)'!G9</f>
        <v>0</v>
      </c>
      <c r="D6" s="83">
        <f>'내역서(표준단가)'!H9</f>
        <v>0</v>
      </c>
      <c r="E6" s="83" t="str">
        <f>'내역서(표준단가)'!I9</f>
        <v>L003</v>
      </c>
      <c r="F6" s="83">
        <f>'내역서(표준단가)'!M9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2025-11-03T01:21:14Z</dcterms:modified>
</cp:coreProperties>
</file>
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3 금일작업\00 대기중\01 일성\솔루션\기숙사 3동 측면 출입구 계단 측면 보수\"/>
    </mc:Choice>
  </mc:AlternateContent>
  <xr:revisionPtr revIDLastSave="0" documentId="13_ncr:1_{2D613AF5-2B3A-488D-821B-5B09A8581789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1" r:id="rId1"/>
    <sheet name="내역서(표준단가)" sheetId="2" r:id="rId2"/>
    <sheet name="시중가 근거서류" sheetId="4" r:id="rId3"/>
    <sheet name="Upload(시중가)" sheetId="5" r:id="rId4"/>
    <sheet name="Upload" sheetId="3" r:id="rId5"/>
  </sheets>
  <definedNames>
    <definedName name="_xlnm.Print_Area" localSheetId="3">#REF!</definedName>
    <definedName name="_xlnm.Print_Area" localSheetId="2">#REF!</definedName>
    <definedName name="_xlnm.Print_Area">#REF!</definedName>
    <definedName name="_xlnm.Print_Titles" localSheetId="3">#REF!,#REF!</definedName>
    <definedName name="_xlnm.Print_Titles" localSheetId="2">#REF!,#REF!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F2" i="3" l="1"/>
  <c r="E2" i="3"/>
  <c r="D2" i="3"/>
  <c r="C2" i="3"/>
  <c r="B2" i="3"/>
  <c r="Q8" i="2"/>
  <c r="O8" i="2"/>
  <c r="M8" i="2"/>
  <c r="K8" i="2"/>
  <c r="A8" i="2"/>
  <c r="A5" i="3" s="1"/>
  <c r="Q7" i="2"/>
  <c r="O7" i="2"/>
  <c r="M7" i="2"/>
  <c r="K7" i="2"/>
  <c r="A7" i="2"/>
  <c r="A4" i="3" s="1"/>
  <c r="Q6" i="2"/>
  <c r="O6" i="2"/>
  <c r="M6" i="2"/>
  <c r="K6" i="2"/>
  <c r="A6" i="2"/>
  <c r="A3" i="3" s="1"/>
  <c r="Q5" i="2"/>
  <c r="O5" i="2"/>
  <c r="M5" i="2"/>
  <c r="K5" i="2"/>
  <c r="A5" i="2"/>
  <c r="A2" i="3" s="1"/>
  <c r="A9" i="2"/>
  <c r="A6" i="3" s="1"/>
  <c r="K9" i="2"/>
  <c r="M9" i="2"/>
  <c r="O9" i="2"/>
  <c r="Q9" i="2"/>
  <c r="R5" i="2" l="1"/>
  <c r="R7" i="2"/>
  <c r="R6" i="2"/>
  <c r="R8" i="2"/>
  <c r="R9" i="2"/>
  <c r="K10" i="2"/>
  <c r="Q10" i="2" l="1"/>
  <c r="O10" i="2"/>
  <c r="M10" i="2"/>
  <c r="Q11" i="2" l="1"/>
  <c r="M11" i="2"/>
  <c r="R10" i="2"/>
  <c r="O11" i="2"/>
  <c r="K11" i="2"/>
  <c r="F18" i="1" l="1"/>
  <c r="R11" i="2"/>
  <c r="F16" i="1"/>
  <c r="F17" i="1"/>
  <c r="F21" i="1" l="1"/>
  <c r="F25" i="1"/>
  <c r="F24" i="1"/>
  <c r="F22" i="1"/>
  <c r="F23" i="1" s="1"/>
  <c r="F26" i="1"/>
  <c r="F19" i="1"/>
  <c r="F27" i="1" l="1"/>
  <c r="F28" i="1" s="1"/>
  <c r="F30" i="1" s="1"/>
  <c r="F31" i="1" s="1"/>
  <c r="B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<sst xmlns="http://schemas.openxmlformats.org/spreadsheetml/2006/main" count="147" uniqueCount="111">
  <si>
    <t>산업폐기물처리비=폐타일외</t>
  </si>
  <si>
    <t>314-86-35718</t>
  </si>
  <si>
    <t>M020806810430101</t>
  </si>
  <si>
    <t>M010550114050101</t>
  </si>
  <si>
    <t>STEEL CONCORE PANEL 기준, (소운반비별도), 적용</t>
  </si>
  <si>
    <t>TEL, FAX</t>
  </si>
  <si>
    <t>모든공사에 적용</t>
  </si>
  <si>
    <t>합계(단수조정)</t>
  </si>
  <si>
    <t>실내건축,인테리어공사</t>
  </si>
  <si>
    <t>기타경비(부자재비)</t>
  </si>
  <si>
    <t>REMIFLOW</t>
  </si>
  <si>
    <t>비고</t>
  </si>
  <si>
    <t>품명</t>
  </si>
  <si>
    <t>단위</t>
  </si>
  <si>
    <t>금액</t>
  </si>
  <si>
    <t>수량</t>
  </si>
  <si>
    <t>구분</t>
  </si>
  <si>
    <t>규격</t>
  </si>
  <si>
    <t>원정</t>
  </si>
  <si>
    <t xml:space="preserve">  </t>
  </si>
  <si>
    <t>NO</t>
  </si>
  <si>
    <t>직접비</t>
  </si>
  <si>
    <t>노무비</t>
  </si>
  <si>
    <t>상 호</t>
  </si>
  <si>
    <t>업 태</t>
  </si>
  <si>
    <t>TON</t>
  </si>
  <si>
    <t>재료비</t>
  </si>
  <si>
    <t>합계</t>
  </si>
  <si>
    <t>건설업</t>
  </si>
  <si>
    <t>간접비</t>
  </si>
  <si>
    <t>단가</t>
  </si>
  <si>
    <t>품목</t>
  </si>
  <si>
    <t>종 목</t>
  </si>
  <si>
    <t>사업장</t>
  </si>
  <si>
    <t>소계</t>
  </si>
  <si>
    <t>포</t>
  </si>
  <si>
    <t>▶ 표준 Code(표준단가/품셈/물정/노임) 순서별 입력(Upload 자동반영)</t>
  </si>
  <si>
    <t>REMIFLOW FS100, 일반 바닥미장용</t>
  </si>
  <si>
    <t>042)527-0995, 042)527-0996</t>
  </si>
  <si>
    <t>▼낙찰율</t>
  </si>
  <si>
    <t>표준단가</t>
  </si>
  <si>
    <t xml:space="preserve">금액: </t>
  </si>
  <si>
    <t>VAT별도</t>
  </si>
  <si>
    <t>물가정보</t>
  </si>
  <si>
    <t>대표 이사</t>
  </si>
  <si>
    <t>할증기준</t>
  </si>
  <si>
    <t>표준품셈</t>
  </si>
  <si>
    <t>노임단가</t>
  </si>
  <si>
    <t>등록번호</t>
  </si>
  <si>
    <t>견 적 서</t>
  </si>
  <si>
    <t>기계/기타경비</t>
  </si>
  <si>
    <t>상 석 희</t>
  </si>
  <si>
    <t>㈜일성건축</t>
  </si>
  <si>
    <t>품셈/표단</t>
  </si>
  <si>
    <t>물가정보 M</t>
  </si>
  <si>
    <t>노임단가 L</t>
  </si>
  <si>
    <t>40㎏/포</t>
  </si>
  <si>
    <t>표준품셈 E</t>
  </si>
  <si>
    <t>주요내역</t>
  </si>
  <si>
    <t>기계경비</t>
  </si>
  <si>
    <t>노무비 할증</t>
  </si>
  <si>
    <t>표준단가 D</t>
  </si>
  <si>
    <t xml:space="preserve"> 수신인 : 주식회사 에스엔아이 코퍼레이션</t>
  </si>
  <si>
    <t>대전 서구 도마6길 107 (도마동)</t>
  </si>
  <si>
    <t>  국민연금</t>
    <phoneticPr fontId="22" type="noConversion"/>
  </si>
  <si>
    <t> 노무비*4.75%</t>
    <phoneticPr fontId="22" type="noConversion"/>
  </si>
  <si>
    <t>식</t>
    <phoneticPr fontId="22" type="noConversion"/>
  </si>
  <si>
    <t>  건강보험료</t>
    <phoneticPr fontId="22" type="noConversion"/>
  </si>
  <si>
    <t> 노무비*3.595%</t>
    <phoneticPr fontId="22" type="noConversion"/>
  </si>
  <si>
    <t>  장기요양보험료</t>
    <phoneticPr fontId="22" type="noConversion"/>
  </si>
  <si>
    <t> 건강보험료*13.14%</t>
    <phoneticPr fontId="22" type="noConversion"/>
  </si>
  <si>
    <t>  고용보험료</t>
    <phoneticPr fontId="22" type="noConversion"/>
  </si>
  <si>
    <t> 노무비*1.01%</t>
    <phoneticPr fontId="22" type="noConversion"/>
  </si>
  <si>
    <t>  산재보험료</t>
    <phoneticPr fontId="22" type="noConversion"/>
  </si>
  <si>
    <t> 노무비*3.56%</t>
    <phoneticPr fontId="22" type="noConversion"/>
  </si>
  <si>
    <t xml:space="preserve">  산업안전보건관리비</t>
    <phoneticPr fontId="22" type="noConversion"/>
  </si>
  <si>
    <t> (재료비+노무비)*3.11%</t>
    <phoneticPr fontId="22" type="noConversion"/>
  </si>
  <si>
    <t>일반관리비/이윤</t>
    <phoneticPr fontId="22" type="noConversion"/>
  </si>
  <si>
    <t> (노무비+간접공사비)*5%</t>
    <phoneticPr fontId="22" type="noConversion"/>
  </si>
  <si>
    <t>M010550710010102</t>
  </si>
  <si>
    <t>보통포틀랜드시멘트</t>
  </si>
  <si>
    <t>40㎏ 入</t>
  </si>
  <si>
    <t>M020412917710102</t>
  </si>
  <si>
    <t>UB-500</t>
  </si>
  <si>
    <t>㎏</t>
  </si>
  <si>
    <t>M020412917340101</t>
  </si>
  <si>
    <t>순&amp;수 올커버</t>
  </si>
  <si>
    <t>다용도 수성페인트(철재,목재,콘크리트 등)</t>
  </si>
  <si>
    <t>ℓ</t>
  </si>
  <si>
    <t>표준내역코드</t>
  </si>
  <si>
    <t>세부공종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</si>
  <si>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</si>
  <si>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</si>
  <si>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</si>
  <si>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</si>
  <si>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</si>
  <si>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</si>
  <si>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</si>
  <si>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</si>
  <si>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</si>
  <si>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</si>
  <si>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</si>
  <si>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</si>
  <si>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 건축</t>
    <phoneticPr fontId="35" type="noConversion"/>
  </si>
  <si>
    <t>■ 계단 화강석 보수 전문업체 견적서(999999)</t>
    <phoneticPr fontId="28" type="noConversion"/>
  </si>
  <si>
    <t>기숙사 3동 화강석 계단 보수</t>
    <phoneticPr fontId="22" type="noConversion"/>
  </si>
  <si>
    <t>노무비 및 재료비 포함, 전문업체 견적서 참조</t>
    <phoneticPr fontId="22" type="noConversion"/>
  </si>
  <si>
    <t>set</t>
    <phoneticPr fontId="22" type="noConversion"/>
  </si>
  <si>
    <r>
      <t>1액형 탄성우레탄 바인더</t>
    </r>
    <r>
      <rPr>
        <sz val="9"/>
        <color rgb="FFFF0000"/>
        <rFont val="Malgun Gothic"/>
        <family val="3"/>
        <charset val="129"/>
      </rPr>
      <t>(만능바인더 적용)</t>
    </r>
    <phoneticPr fontId="22" type="noConversion"/>
  </si>
  <si>
    <t xml:space="preserve"> 견적일 : 2026년  05월  28일</t>
    <phoneticPr fontId="22" type="noConversion"/>
  </si>
  <si>
    <t xml:space="preserve"> 공사명 : 기숙사 3동 측면 출입구 계단 측면 보완 작업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</si>
</sst>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76" formatCode="_(* #,##0_);_(* \(#,##0\);_(* &quot;-&quot;_);_(@_)"/>
    <numFmt numFmtId="177" formatCode="_ * #,##0_ ;_ * \-#,##0_ ;_ * &quot;-&quot;_ ;_ @_ "/>
    <numFmt numFmtId="178" formatCode="###,#00,000"/>
    <numFmt numFmtId="179" formatCode="_-* #,##0_-;&quot;₩&quot;\!\-* #,##0_-;_-* &quot;-&quot;_-;_-@_-"/>
    <numFmt numFmtId="180" formatCode="#"/>
    <numFmt numFmtId="181" formatCode="0.0%"/>
    <numFmt numFmtId="182" formatCode="###,###,###,##0"/>
    <numFmt numFmtId="183" formatCode="0.000"/>
    <numFmt numFmtId="184" formatCode="_(* #,##0.000_);_(* \(#,##0.000\);_(* &quot;-&quot;_);_(@_)"/>
    <numFmt numFmtId="185" formatCode="#,##0_ "/>
  </numFmts>
  <fonts count="37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b/>
      <sz val="16"/>
      <color rgb="FFFF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LG스마트체 Regular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LG스마트체 Regular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rgb="FFFF0000"/>
      <name val="Malgun Gothic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5F5F5"/>
      </patternFill>
    </fill>
  </fills>
  <borders count="36">
    <border>
      <left/>
      <right/>
      <top/>
      <bottom/>
      <diagonal/>
    </border>
    <border>
      <left/>
      <right/>
      <top/>
      <bottom style="double">
        <color rgb="FFBFBFB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15">
    <xf numFmtId="0" fontId="0" fillId="0" borderId="0">
      <alignment vertical="center"/>
    </xf>
    <xf numFmtId="9" fontId="21" fillId="0" borderId="0">
      <alignment vertical="center"/>
    </xf>
    <xf numFmtId="0" fontId="2" fillId="0" borderId="0"/>
    <xf numFmtId="176" fontId="21" fillId="0" borderId="0">
      <alignment vertical="center"/>
    </xf>
    <xf numFmtId="177" fontId="3" fillId="0" borderId="0"/>
    <xf numFmtId="0" fontId="4" fillId="0" borderId="0"/>
    <xf numFmtId="179" fontId="4" fillId="0" borderId="0"/>
    <xf numFmtId="0" fontId="21" fillId="0" borderId="0">
      <alignment vertical="center"/>
    </xf>
    <xf numFmtId="9" fontId="3" fillId="0" borderId="0"/>
    <xf numFmtId="0" fontId="2" fillId="0" borderId="0"/>
    <xf numFmtId="176" fontId="2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4" fillId="0" borderId="0">
      <alignment vertical="center"/>
    </xf>
  </cellStyleXfs>
  <cellXfs count="165">
    <xf numFmtId="0" fontId="0" fillId="0" borderId="0" xfId="0" applyNumberFormat="1">
      <alignment vertical="center"/>
    </xf>
    <xf numFmtId="0" fontId="5" fillId="0" borderId="1" xfId="5" applyNumberFormat="1" applyFont="1" applyBorder="1" applyAlignment="1">
      <alignment horizontal="right" vertical="center"/>
    </xf>
    <xf numFmtId="0" fontId="6" fillId="0" borderId="0" xfId="5" applyNumberFormat="1" applyFont="1" applyAlignment="1">
      <alignment vertical="center"/>
    </xf>
    <xf numFmtId="0" fontId="7" fillId="0" borderId="0" xfId="2" applyNumberFormat="1" applyFont="1"/>
    <xf numFmtId="0" fontId="8" fillId="0" borderId="2" xfId="5" applyNumberFormat="1" applyFont="1" applyBorder="1" applyAlignment="1">
      <alignment horizontal="center" vertical="center"/>
    </xf>
    <xf numFmtId="0" fontId="5" fillId="0" borderId="3" xfId="5" applyNumberFormat="1" applyFont="1" applyBorder="1" applyAlignment="1">
      <alignment horizontal="right" vertical="center"/>
    </xf>
    <xf numFmtId="0" fontId="5" fillId="2" borderId="4" xfId="5" applyNumberFormat="1" applyFont="1" applyFill="1" applyBorder="1" applyAlignment="1">
      <alignment horizontal="center" vertical="center"/>
    </xf>
    <xf numFmtId="0" fontId="5" fillId="2" borderId="5" xfId="5" applyNumberFormat="1" applyFont="1" applyFill="1" applyBorder="1" applyAlignment="1">
      <alignment vertical="center" shrinkToFit="1"/>
    </xf>
    <xf numFmtId="0" fontId="5" fillId="2" borderId="6" xfId="5" applyNumberFormat="1" applyFont="1" applyFill="1" applyBorder="1" applyAlignment="1">
      <alignment horizontal="center" vertical="center"/>
    </xf>
    <xf numFmtId="0" fontId="5" fillId="2" borderId="7" xfId="5" applyNumberFormat="1" applyFont="1" applyFill="1" applyBorder="1" applyAlignment="1">
      <alignment vertical="center" shrinkToFit="1"/>
    </xf>
    <xf numFmtId="0" fontId="9" fillId="0" borderId="0" xfId="5" applyNumberFormat="1" applyFont="1" applyAlignment="1">
      <alignment vertical="center" shrinkToFit="1"/>
    </xf>
    <xf numFmtId="0" fontId="5" fillId="2" borderId="6" xfId="5" applyNumberFormat="1" applyFont="1" applyFill="1" applyBorder="1" applyAlignment="1">
      <alignment horizontal="center" vertical="center" shrinkToFit="1"/>
    </xf>
    <xf numFmtId="0" fontId="5" fillId="0" borderId="6" xfId="5" applyNumberFormat="1" applyFont="1" applyBorder="1" applyAlignment="1">
      <alignment horizontal="center" vertical="center"/>
    </xf>
    <xf numFmtId="0" fontId="5" fillId="0" borderId="7" xfId="5" applyNumberFormat="1" applyFont="1" applyBorder="1" applyAlignment="1">
      <alignment vertical="center"/>
    </xf>
    <xf numFmtId="0" fontId="8" fillId="0" borderId="0" xfId="5" applyNumberFormat="1" applyFont="1" applyAlignment="1">
      <alignment horizontal="center" vertical="center" shrinkToFit="1"/>
    </xf>
    <xf numFmtId="0" fontId="5" fillId="0" borderId="8" xfId="5" applyNumberFormat="1" applyFont="1" applyBorder="1" applyAlignment="1">
      <alignment horizontal="center" vertical="center" shrinkToFit="1"/>
    </xf>
    <xf numFmtId="0" fontId="5" fillId="0" borderId="9" xfId="5" applyNumberFormat="1" applyFont="1" applyBorder="1" applyAlignment="1">
      <alignment vertical="center" shrinkToFit="1"/>
    </xf>
    <xf numFmtId="0" fontId="9" fillId="0" borderId="1" xfId="5" applyNumberFormat="1" applyFont="1" applyBorder="1" applyAlignment="1">
      <alignment vertical="center"/>
    </xf>
    <xf numFmtId="178" fontId="8" fillId="0" borderId="1" xfId="5" applyNumberFormat="1" applyFont="1" applyBorder="1" applyAlignment="1">
      <alignment vertical="center"/>
    </xf>
    <xf numFmtId="0" fontId="8" fillId="0" borderId="0" xfId="5" applyNumberFormat="1" applyFont="1" applyAlignment="1">
      <alignment vertical="center" shrinkToFit="1"/>
    </xf>
    <xf numFmtId="0" fontId="5" fillId="0" borderId="10" xfId="5" applyNumberFormat="1" applyFont="1" applyBorder="1" applyAlignment="1">
      <alignment horizontal="center" vertical="center"/>
    </xf>
    <xf numFmtId="0" fontId="5" fillId="0" borderId="11" xfId="5" applyNumberFormat="1" applyFont="1" applyBorder="1" applyAlignment="1">
      <alignment horizontal="center" vertical="center"/>
    </xf>
    <xf numFmtId="0" fontId="5" fillId="0" borderId="12" xfId="5" applyNumberFormat="1" applyFont="1" applyBorder="1" applyAlignment="1">
      <alignment horizontal="center" vertical="center"/>
    </xf>
    <xf numFmtId="0" fontId="10" fillId="0" borderId="13" xfId="5" applyNumberFormat="1" applyFont="1" applyBorder="1" applyAlignment="1">
      <alignment horizontal="center" vertical="center"/>
    </xf>
    <xf numFmtId="0" fontId="5" fillId="0" borderId="14" xfId="5" applyNumberFormat="1" applyFont="1" applyBorder="1" applyAlignment="1">
      <alignment vertical="center"/>
    </xf>
    <xf numFmtId="0" fontId="10" fillId="0" borderId="14" xfId="5" applyNumberFormat="1" applyFont="1" applyBorder="1" applyAlignment="1">
      <alignment vertical="center"/>
    </xf>
    <xf numFmtId="1" fontId="10" fillId="0" borderId="14" xfId="5" applyNumberFormat="1" applyFont="1" applyBorder="1" applyAlignment="1">
      <alignment horizontal="center" vertical="center"/>
    </xf>
    <xf numFmtId="179" fontId="10" fillId="0" borderId="14" xfId="6" applyNumberFormat="1" applyFont="1" applyBorder="1" applyAlignment="1">
      <alignment horizontal="right" vertical="center"/>
    </xf>
    <xf numFmtId="0" fontId="10" fillId="0" borderId="15" xfId="5" applyNumberFormat="1" applyFont="1" applyBorder="1" applyAlignment="1">
      <alignment vertical="center"/>
    </xf>
    <xf numFmtId="0" fontId="10" fillId="0" borderId="16" xfId="5" applyNumberFormat="1" applyFont="1" applyBorder="1" applyAlignment="1">
      <alignment horizontal="center" vertical="center"/>
    </xf>
    <xf numFmtId="0" fontId="10" fillId="0" borderId="17" xfId="5" applyNumberFormat="1" applyFont="1" applyBorder="1" applyAlignment="1">
      <alignment horizontal="center" vertical="center"/>
    </xf>
    <xf numFmtId="0" fontId="10" fillId="0" borderId="17" xfId="2" applyNumberFormat="1" applyFont="1" applyBorder="1" applyAlignment="1">
      <alignment horizontal="center" vertical="center"/>
    </xf>
    <xf numFmtId="1" fontId="10" fillId="0" borderId="17" xfId="5" applyNumberFormat="1" applyFont="1" applyBorder="1" applyAlignment="1">
      <alignment horizontal="center" vertical="center"/>
    </xf>
    <xf numFmtId="179" fontId="10" fillId="0" borderId="17" xfId="6" applyNumberFormat="1" applyFont="1" applyBorder="1" applyAlignment="1">
      <alignment horizontal="right" vertical="center"/>
    </xf>
    <xf numFmtId="0" fontId="10" fillId="0" borderId="18" xfId="5" quotePrefix="1" applyNumberFormat="1" applyFont="1" applyBorder="1" applyAlignment="1">
      <alignment vertical="center"/>
    </xf>
    <xf numFmtId="0" fontId="10" fillId="0" borderId="18" xfId="5" applyNumberFormat="1" applyFont="1" applyBorder="1" applyAlignment="1">
      <alignment vertical="center"/>
    </xf>
    <xf numFmtId="0" fontId="5" fillId="3" borderId="17" xfId="5" applyNumberFormat="1" applyFont="1" applyFill="1" applyBorder="1" applyAlignment="1">
      <alignment vertical="center"/>
    </xf>
    <xf numFmtId="1" fontId="5" fillId="3" borderId="17" xfId="5" applyNumberFormat="1" applyFont="1" applyFill="1" applyBorder="1" applyAlignment="1">
      <alignment horizontal="center" vertical="center"/>
    </xf>
    <xf numFmtId="179" fontId="5" fillId="3" borderId="17" xfId="6" applyNumberFormat="1" applyFont="1" applyFill="1" applyBorder="1" applyAlignment="1">
      <alignment horizontal="right" vertical="center"/>
    </xf>
    <xf numFmtId="0" fontId="5" fillId="0" borderId="17" xfId="5" applyNumberFormat="1" applyFont="1" applyBorder="1" applyAlignment="1">
      <alignment vertical="center"/>
    </xf>
    <xf numFmtId="0" fontId="10" fillId="0" borderId="17" xfId="5" applyNumberFormat="1" applyFont="1" applyBorder="1" applyAlignment="1">
      <alignment vertical="center"/>
    </xf>
    <xf numFmtId="179" fontId="5" fillId="0" borderId="17" xfId="6" applyNumberFormat="1" applyFont="1" applyFill="1" applyBorder="1" applyAlignment="1">
      <alignment horizontal="right" vertical="center"/>
    </xf>
    <xf numFmtId="0" fontId="10" fillId="2" borderId="18" xfId="5" applyNumberFormat="1" applyFont="1" applyFill="1" applyBorder="1" applyAlignment="1">
      <alignment vertical="center"/>
    </xf>
    <xf numFmtId="9" fontId="5" fillId="3" borderId="17" xfId="2" applyNumberFormat="1" applyFont="1" applyFill="1" applyBorder="1" applyAlignment="1">
      <alignment horizontal="right" vertical="center"/>
    </xf>
    <xf numFmtId="1" fontId="5" fillId="3" borderId="17" xfId="8" applyNumberFormat="1" applyFont="1" applyFill="1" applyBorder="1" applyAlignment="1">
      <alignment horizontal="center" vertical="center"/>
    </xf>
    <xf numFmtId="176" fontId="5" fillId="3" borderId="17" xfId="6" applyNumberFormat="1" applyFont="1" applyFill="1" applyBorder="1" applyAlignment="1">
      <alignment horizontal="right" vertical="center"/>
    </xf>
    <xf numFmtId="9" fontId="10" fillId="0" borderId="17" xfId="2" applyNumberFormat="1" applyFont="1" applyBorder="1" applyAlignment="1">
      <alignment horizontal="right" vertical="center"/>
    </xf>
    <xf numFmtId="1" fontId="10" fillId="0" borderId="17" xfId="8" applyNumberFormat="1" applyFont="1" applyFill="1" applyBorder="1" applyAlignment="1">
      <alignment horizontal="center" vertical="center"/>
    </xf>
    <xf numFmtId="176" fontId="5" fillId="0" borderId="17" xfId="6" applyNumberFormat="1" applyFont="1" applyFill="1" applyBorder="1" applyAlignment="1">
      <alignment horizontal="right" vertical="center"/>
    </xf>
    <xf numFmtId="0" fontId="10" fillId="0" borderId="17" xfId="2" applyNumberFormat="1" applyFont="1" applyBorder="1" applyAlignment="1">
      <alignment vertical="center"/>
    </xf>
    <xf numFmtId="179" fontId="10" fillId="2" borderId="17" xfId="6" applyNumberFormat="1" applyFont="1" applyFill="1" applyBorder="1" applyAlignment="1">
      <alignment horizontal="right" vertical="center"/>
    </xf>
    <xf numFmtId="179" fontId="5" fillId="3" borderId="0" xfId="2" applyNumberFormat="1" applyFont="1" applyFill="1" applyAlignment="1">
      <alignment vertical="center"/>
    </xf>
    <xf numFmtId="0" fontId="5" fillId="0" borderId="19" xfId="5" applyNumberFormat="1" applyFont="1" applyBorder="1" applyAlignment="1">
      <alignment horizontal="center" vertical="center" textRotation="255"/>
    </xf>
    <xf numFmtId="0" fontId="5" fillId="0" borderId="20" xfId="5" applyNumberFormat="1" applyFont="1" applyBorder="1" applyAlignment="1">
      <alignment vertical="top"/>
    </xf>
    <xf numFmtId="0" fontId="10" fillId="0" borderId="21" xfId="5" applyNumberFormat="1" applyFont="1" applyBorder="1" applyAlignment="1">
      <alignment vertical="center"/>
    </xf>
    <xf numFmtId="0" fontId="10" fillId="0" borderId="21" xfId="5" applyNumberFormat="1" applyFont="1" applyBorder="1" applyAlignment="1">
      <alignment horizontal="right" vertical="center"/>
    </xf>
    <xf numFmtId="0" fontId="10" fillId="0" borderId="22" xfId="5" applyNumberFormat="1" applyFont="1" applyBorder="1" applyAlignment="1">
      <alignment vertical="center"/>
    </xf>
    <xf numFmtId="0" fontId="5" fillId="0" borderId="0" xfId="9" applyNumberFormat="1" applyFont="1"/>
    <xf numFmtId="180" fontId="8" fillId="0" borderId="0" xfId="1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181" fontId="11" fillId="4" borderId="0" xfId="1" applyNumberFormat="1" applyFont="1" applyFill="1" applyAlignment="1">
      <alignment horizontal="center" vertical="center"/>
    </xf>
    <xf numFmtId="0" fontId="11" fillId="5" borderId="23" xfId="0" applyNumberFormat="1" applyFont="1" applyFill="1" applyBorder="1" applyAlignment="1">
      <alignment horizontal="center" vertical="center"/>
    </xf>
    <xf numFmtId="0" fontId="11" fillId="6" borderId="24" xfId="0" applyNumberFormat="1" applyFont="1" applyFill="1" applyBorder="1" applyAlignment="1">
      <alignment horizontal="center" vertical="center"/>
    </xf>
    <xf numFmtId="176" fontId="11" fillId="5" borderId="24" xfId="3" applyNumberFormat="1" applyFont="1" applyFill="1" applyBorder="1" applyAlignment="1">
      <alignment horizontal="center" vertical="center"/>
    </xf>
    <xf numFmtId="177" fontId="11" fillId="5" borderId="24" xfId="4" applyNumberFormat="1" applyFont="1" applyFill="1" applyBorder="1" applyAlignment="1">
      <alignment horizontal="center" vertical="center"/>
    </xf>
    <xf numFmtId="0" fontId="7" fillId="7" borderId="23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49" fontId="7" fillId="8" borderId="25" xfId="0" applyNumberFormat="1" applyFont="1" applyFill="1" applyBorder="1" applyAlignment="1">
      <alignment horizontal="center" vertical="center" wrapText="1"/>
    </xf>
    <xf numFmtId="180" fontId="7" fillId="6" borderId="25" xfId="10" applyNumberFormat="1" applyFont="1" applyFill="1" applyBorder="1" applyAlignment="1">
      <alignment horizontal="center" vertical="center"/>
    </xf>
    <xf numFmtId="180" fontId="7" fillId="0" borderId="25" xfId="10" applyNumberFormat="1" applyFont="1" applyBorder="1" applyAlignment="1">
      <alignment horizontal="center" vertical="center"/>
    </xf>
    <xf numFmtId="182" fontId="7" fillId="2" borderId="24" xfId="0" applyNumberFormat="1" applyFont="1" applyFill="1" applyBorder="1" applyAlignment="1">
      <alignment vertical="center" wrapText="1"/>
    </xf>
    <xf numFmtId="176" fontId="7" fillId="7" borderId="24" xfId="10" applyNumberFormat="1" applyFont="1" applyFill="1" applyBorder="1" applyAlignment="1">
      <alignment vertical="center" wrapText="1"/>
    </xf>
    <xf numFmtId="9" fontId="7" fillId="0" borderId="24" xfId="0" applyNumberFormat="1" applyFont="1" applyBorder="1">
      <alignment vertical="center"/>
    </xf>
    <xf numFmtId="0" fontId="7" fillId="0" borderId="26" xfId="0" applyNumberFormat="1" applyFont="1" applyBorder="1">
      <alignment vertical="center"/>
    </xf>
    <xf numFmtId="49" fontId="11" fillId="6" borderId="24" xfId="0" applyNumberFormat="1" applyFont="1" applyFill="1" applyBorder="1" applyAlignment="1">
      <alignment vertical="center" wrapText="1"/>
    </xf>
    <xf numFmtId="0" fontId="7" fillId="6" borderId="24" xfId="0" applyNumberFormat="1" applyFont="1" applyFill="1" applyBorder="1">
      <alignment vertical="center"/>
    </xf>
    <xf numFmtId="0" fontId="8" fillId="0" borderId="0" xfId="5" applyNumberFormat="1" applyFont="1" applyAlignment="1">
      <alignment vertical="center"/>
    </xf>
    <xf numFmtId="0" fontId="5" fillId="0" borderId="27" xfId="5" applyNumberFormat="1" applyFont="1" applyBorder="1" applyAlignment="1">
      <alignment vertical="center"/>
    </xf>
    <xf numFmtId="49" fontId="12" fillId="6" borderId="24" xfId="0" applyNumberFormat="1" applyFont="1" applyFill="1" applyBorder="1" applyAlignment="1">
      <alignment horizontal="center" vertical="center" wrapText="1"/>
    </xf>
    <xf numFmtId="0" fontId="8" fillId="0" borderId="0" xfId="0" applyNumberFormat="1" applyFont="1">
      <alignment vertical="center"/>
    </xf>
    <xf numFmtId="49" fontId="7" fillId="2" borderId="24" xfId="10" applyNumberFormat="1" applyFont="1" applyFill="1" applyBorder="1" applyAlignment="1">
      <alignment horizontal="center" vertical="center"/>
    </xf>
    <xf numFmtId="183" fontId="7" fillId="2" borderId="24" xfId="10" applyNumberFormat="1" applyFont="1" applyFill="1" applyBorder="1" applyAlignment="1">
      <alignment horizontal="center" vertical="center"/>
    </xf>
    <xf numFmtId="49" fontId="7" fillId="0" borderId="24" xfId="2" applyNumberFormat="1" applyFont="1" applyBorder="1" applyAlignment="1">
      <alignment horizontal="center" vertical="center" wrapText="1" shrinkToFit="1"/>
    </xf>
    <xf numFmtId="0" fontId="7" fillId="0" borderId="0" xfId="0" applyNumberFormat="1" applyFont="1" applyAlignment="1">
      <alignment vertical="center" wrapText="1"/>
    </xf>
    <xf numFmtId="0" fontId="11" fillId="5" borderId="24" xfId="2" applyNumberFormat="1" applyFont="1" applyFill="1" applyBorder="1" applyAlignment="1">
      <alignment horizontal="center" vertical="center" wrapText="1"/>
    </xf>
    <xf numFmtId="49" fontId="7" fillId="0" borderId="24" xfId="10" applyNumberFormat="1" applyFont="1" applyFill="1" applyBorder="1" applyAlignment="1">
      <alignment horizontal="center" vertical="center" wrapText="1"/>
    </xf>
    <xf numFmtId="0" fontId="10" fillId="0" borderId="0" xfId="0" applyNumberFormat="1" applyFont="1" applyAlignment="1">
      <alignment vertical="center" wrapText="1"/>
    </xf>
    <xf numFmtId="0" fontId="11" fillId="0" borderId="0" xfId="0" applyNumberFormat="1" applyFont="1" applyAlignment="1">
      <alignment horizontal="center" vertical="center"/>
    </xf>
    <xf numFmtId="0" fontId="7" fillId="0" borderId="0" xfId="0" applyNumberFormat="1" applyFont="1">
      <alignment vertical="center"/>
    </xf>
    <xf numFmtId="0" fontId="11" fillId="9" borderId="28" xfId="0" applyNumberFormat="1" applyFont="1" applyFill="1" applyBorder="1">
      <alignment vertical="center"/>
    </xf>
    <xf numFmtId="0" fontId="11" fillId="9" borderId="29" xfId="0" applyNumberFormat="1" applyFont="1" applyFill="1" applyBorder="1">
      <alignment vertical="center"/>
    </xf>
    <xf numFmtId="0" fontId="12" fillId="0" borderId="0" xfId="0" applyNumberFormat="1" applyFont="1">
      <alignment vertical="center"/>
    </xf>
    <xf numFmtId="0" fontId="10" fillId="10" borderId="0" xfId="0" applyNumberFormat="1" applyFont="1" applyFill="1">
      <alignment vertical="center"/>
    </xf>
    <xf numFmtId="0" fontId="10" fillId="0" borderId="0" xfId="0" applyNumberFormat="1" applyFont="1">
      <alignment vertical="center"/>
    </xf>
    <xf numFmtId="176" fontId="5" fillId="10" borderId="0" xfId="0" applyNumberFormat="1" applyFont="1" applyFill="1">
      <alignment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11" fillId="2" borderId="0" xfId="0" applyNumberFormat="1" applyFont="1" applyFill="1">
      <alignment vertical="center"/>
    </xf>
    <xf numFmtId="49" fontId="7" fillId="6" borderId="24" xfId="0" applyNumberFormat="1" applyFont="1" applyFill="1" applyBorder="1" applyAlignment="1">
      <alignment horizontal="center" vertical="center" wrapText="1"/>
    </xf>
    <xf numFmtId="0" fontId="7" fillId="7" borderId="23" xfId="0" applyNumberFormat="1" applyFont="1" applyFill="1" applyBorder="1" applyAlignment="1">
      <alignment horizontal="center" vertical="center" wrapText="1"/>
    </xf>
    <xf numFmtId="176" fontId="14" fillId="2" borderId="24" xfId="10" applyNumberFormat="1" applyFont="1" applyFill="1" applyBorder="1" applyAlignment="1">
      <alignment vertical="center" wrapText="1"/>
    </xf>
    <xf numFmtId="0" fontId="15" fillId="0" borderId="0" xfId="0" applyNumberFormat="1" applyFont="1">
      <alignment vertical="center"/>
    </xf>
    <xf numFmtId="176" fontId="7" fillId="0" borderId="24" xfId="10" applyNumberFormat="1" applyFont="1" applyFill="1" applyBorder="1" applyAlignment="1">
      <alignment vertical="center" wrapText="1"/>
    </xf>
    <xf numFmtId="0" fontId="23" fillId="0" borderId="33" xfId="7" applyFont="1" applyBorder="1" applyAlignment="1">
      <alignment horizontal="center" vertical="center"/>
    </xf>
    <xf numFmtId="0" fontId="24" fillId="0" borderId="33" xfId="5" applyFont="1" applyBorder="1" applyAlignment="1">
      <alignment vertical="center"/>
    </xf>
    <xf numFmtId="0" fontId="23" fillId="0" borderId="33" xfId="5" applyFont="1" applyBorder="1" applyAlignment="1">
      <alignment horizontal="center" vertical="center"/>
    </xf>
    <xf numFmtId="177" fontId="24" fillId="0" borderId="33" xfId="4" applyFont="1" applyFill="1" applyBorder="1" applyAlignment="1">
      <alignment horizontal="right" vertical="center"/>
    </xf>
    <xf numFmtId="0" fontId="23" fillId="11" borderId="33" xfId="7" applyFont="1" applyFill="1" applyBorder="1" applyAlignment="1">
      <alignment horizontal="center" vertical="center"/>
    </xf>
    <xf numFmtId="0" fontId="23" fillId="11" borderId="33" xfId="5" applyFont="1" applyFill="1" applyBorder="1" applyAlignment="1">
      <alignment horizontal="center" vertical="center"/>
    </xf>
    <xf numFmtId="177" fontId="24" fillId="11" borderId="33" xfId="4" applyFont="1" applyFill="1" applyBorder="1" applyAlignment="1">
      <alignment horizontal="right" vertical="center"/>
    </xf>
    <xf numFmtId="0" fontId="23" fillId="0" borderId="33" xfId="5" applyFont="1" applyBorder="1" applyAlignment="1">
      <alignment vertical="center"/>
    </xf>
    <xf numFmtId="177" fontId="23" fillId="0" borderId="33" xfId="4" applyFont="1" applyFill="1" applyBorder="1" applyAlignment="1">
      <alignment horizontal="right" vertical="center"/>
    </xf>
    <xf numFmtId="0" fontId="23" fillId="0" borderId="33" xfId="2" applyFont="1" applyBorder="1" applyAlignment="1">
      <alignment horizontal="left" vertical="center"/>
    </xf>
    <xf numFmtId="0" fontId="16" fillId="0" borderId="0" xfId="0" applyNumberFormat="1" applyFont="1" applyAlignment="1">
      <alignment vertical="center" wrapText="1"/>
    </xf>
    <xf numFmtId="176" fontId="29" fillId="11" borderId="24" xfId="10" applyFont="1" applyFill="1" applyBorder="1" applyAlignment="1">
      <alignment horizontal="center" vertical="center"/>
    </xf>
    <xf numFmtId="176" fontId="26" fillId="11" borderId="24" xfId="10" applyFont="1" applyFill="1" applyBorder="1" applyAlignment="1">
      <alignment horizontal="center" vertical="center"/>
    </xf>
    <xf numFmtId="176" fontId="27" fillId="11" borderId="24" xfId="10" applyFont="1" applyFill="1" applyBorder="1" applyAlignment="1">
      <alignment horizontal="center" vertical="center"/>
    </xf>
    <xf numFmtId="49" fontId="13" fillId="11" borderId="24" xfId="0" applyNumberFormat="1" applyFont="1" applyFill="1" applyBorder="1" applyAlignment="1">
      <alignment horizontal="center" vertical="center" wrapText="1"/>
    </xf>
    <xf numFmtId="183" fontId="7" fillId="11" borderId="24" xfId="10" applyNumberFormat="1" applyFont="1" applyFill="1" applyBorder="1" applyAlignment="1">
      <alignment horizontal="center" vertical="center" wrapText="1"/>
    </xf>
    <xf numFmtId="49" fontId="7" fillId="11" borderId="24" xfId="0" applyNumberFormat="1" applyFont="1" applyFill="1" applyBorder="1" applyAlignment="1">
      <alignment horizontal="center" vertical="center" wrapText="1"/>
    </xf>
    <xf numFmtId="49" fontId="7" fillId="11" borderId="24" xfId="10" applyNumberFormat="1" applyFont="1" applyFill="1" applyBorder="1" applyAlignment="1">
      <alignment horizontal="center" vertical="center" wrapText="1"/>
    </xf>
    <xf numFmtId="0" fontId="25" fillId="12" borderId="24" xfId="0" applyFont="1" applyFill="1" applyBorder="1" applyAlignment="1">
      <alignment horizontal="center" vertical="center"/>
    </xf>
    <xf numFmtId="0" fontId="14" fillId="12" borderId="24" xfId="0" applyNumberFormat="1" applyFont="1" applyFill="1" applyBorder="1" applyAlignment="1">
      <alignment horizontal="center" vertical="center" wrapText="1"/>
    </xf>
    <xf numFmtId="0" fontId="27" fillId="12" borderId="24" xfId="0" applyNumberFormat="1" applyFont="1" applyFill="1" applyBorder="1" applyAlignment="1">
      <alignment horizontal="center" vertical="center"/>
    </xf>
    <xf numFmtId="0" fontId="26" fillId="12" borderId="24" xfId="0" applyNumberFormat="1" applyFont="1" applyFill="1" applyBorder="1" applyAlignment="1">
      <alignment horizontal="center" vertical="center"/>
    </xf>
    <xf numFmtId="0" fontId="30" fillId="0" borderId="0" xfId="0" applyNumberFormat="1" applyFont="1" applyAlignment="1">
      <alignment vertical="center" wrapText="1"/>
    </xf>
    <xf numFmtId="0" fontId="32" fillId="0" borderId="0" xfId="11" applyFont="1">
      <alignment vertical="center"/>
    </xf>
    <xf numFmtId="0" fontId="31" fillId="0" borderId="0" xfId="11" applyFont="1">
      <alignment vertical="center"/>
    </xf>
    <xf numFmtId="0" fontId="32" fillId="0" borderId="0" xfId="11" applyFont="1" applyAlignment="1">
      <alignment horizontal="center" vertical="center"/>
    </xf>
    <xf numFmtId="0" fontId="8" fillId="0" borderId="0" xfId="13" applyFont="1">
      <alignment vertical="center"/>
    </xf>
    <xf numFmtId="0" fontId="33" fillId="0" borderId="0" xfId="13" applyFont="1">
      <alignment vertical="center"/>
    </xf>
    <xf numFmtId="0" fontId="8" fillId="0" borderId="0" xfId="13" applyFont="1" applyAlignment="1">
      <alignment horizontal="center" vertical="center"/>
    </xf>
    <xf numFmtId="49" fontId="7" fillId="13" borderId="25" xfId="14" applyNumberFormat="1" applyFont="1" applyFill="1" applyBorder="1" applyAlignment="1">
      <alignment horizontal="center" vertical="center" wrapText="1"/>
    </xf>
    <xf numFmtId="49" fontId="7" fillId="13" borderId="34" xfId="14" applyNumberFormat="1" applyFont="1" applyFill="1" applyBorder="1" applyAlignment="1">
      <alignment horizontal="center" vertical="center" wrapText="1"/>
    </xf>
    <xf numFmtId="49" fontId="7" fillId="13" borderId="35" xfId="14" applyNumberFormat="1" applyFont="1" applyFill="1" applyBorder="1" applyAlignment="1">
      <alignment horizontal="center" vertical="center" wrapText="1"/>
    </xf>
    <xf numFmtId="0" fontId="8" fillId="0" borderId="0" xfId="14" applyFont="1">
      <alignment vertical="center"/>
    </xf>
    <xf numFmtId="0" fontId="7" fillId="0" borderId="0" xfId="14" applyFont="1" applyAlignment="1">
      <alignment horizontal="center" vertical="center"/>
    </xf>
    <xf numFmtId="185" fontId="7" fillId="0" borderId="0" xfId="14" applyNumberFormat="1" applyFont="1">
      <alignment vertical="center"/>
    </xf>
    <xf numFmtId="0" fontId="7" fillId="0" borderId="0" xfId="14" applyFont="1">
      <alignment vertical="center"/>
    </xf>
    <xf numFmtId="0" fontId="31" fillId="0" borderId="0" xfId="11" applyFont="1" applyBorder="1">
      <alignment vertical="center"/>
    </xf>
    <xf numFmtId="0" fontId="8" fillId="0" borderId="0" xfId="13" applyFont="1" applyBorder="1">
      <alignment vertical="center"/>
    </xf>
    <xf numFmtId="0" fontId="27" fillId="11" borderId="24" xfId="0" applyFont="1" applyFill="1" applyBorder="1" applyAlignment="1">
      <alignment horizontal="center" vertical="center"/>
    </xf>
    <xf numFmtId="184" fontId="14" fillId="11" borderId="24" xfId="10" applyNumberFormat="1" applyFont="1" applyFill="1" applyBorder="1" applyAlignment="1">
      <alignment vertical="center" wrapText="1"/>
    </xf>
    <xf numFmtId="49" fontId="15" fillId="11" borderId="24" xfId="2" applyNumberFormat="1" applyFont="1" applyFill="1" applyBorder="1" applyAlignment="1">
      <alignment horizontal="center" vertical="center" wrapText="1" shrinkToFit="1"/>
    </xf>
    <xf numFmtId="49" fontId="15" fillId="11" borderId="24" xfId="10" applyNumberFormat="1" applyFont="1" applyFill="1" applyBorder="1" applyAlignment="1">
      <alignment horizontal="center" vertical="center" wrapText="1"/>
    </xf>
    <xf numFmtId="0" fontId="6" fillId="0" borderId="0" xfId="5" applyNumberFormat="1" applyFont="1" applyAlignment="1">
      <alignment horizontal="center" vertical="center"/>
    </xf>
    <xf numFmtId="0" fontId="9" fillId="0" borderId="0" xfId="5" applyNumberFormat="1" applyFont="1" applyAlignment="1">
      <alignment vertical="center"/>
    </xf>
    <xf numFmtId="0" fontId="8" fillId="0" borderId="0" xfId="5" applyNumberFormat="1" applyFont="1" applyAlignment="1">
      <alignment vertical="center"/>
    </xf>
    <xf numFmtId="0" fontId="5" fillId="0" borderId="27" xfId="5" applyNumberFormat="1" applyFont="1" applyBorder="1" applyAlignment="1">
      <alignment vertical="center"/>
    </xf>
    <xf numFmtId="0" fontId="5" fillId="0" borderId="2" xfId="5" applyNumberFormat="1" applyFont="1" applyBorder="1" applyAlignment="1">
      <alignment vertical="center"/>
    </xf>
    <xf numFmtId="0" fontId="5" fillId="0" borderId="3" xfId="5" applyNumberFormat="1" applyFont="1" applyBorder="1" applyAlignment="1">
      <alignment vertical="center"/>
    </xf>
    <xf numFmtId="0" fontId="17" fillId="0" borderId="0" xfId="0" applyNumberFormat="1" applyFont="1" applyAlignment="1">
      <alignment vertical="center" wrapText="1"/>
    </xf>
    <xf numFmtId="0" fontId="11" fillId="0" borderId="0" xfId="0" applyNumberFormat="1" applyFont="1" applyAlignment="1">
      <alignment horizontal="center" vertical="center"/>
    </xf>
    <xf numFmtId="0" fontId="7" fillId="0" borderId="30" xfId="0" applyNumberFormat="1" applyFont="1" applyBorder="1" applyAlignment="1">
      <alignment horizontal="center" vertical="center"/>
    </xf>
    <xf numFmtId="0" fontId="7" fillId="0" borderId="31" xfId="0" applyNumberFormat="1" applyFont="1" applyBorder="1" applyAlignment="1">
      <alignment horizontal="center" vertical="center"/>
    </xf>
    <xf numFmtId="0" fontId="11" fillId="0" borderId="32" xfId="0" applyNumberFormat="1" applyFont="1" applyBorder="1" applyAlignment="1">
      <alignment horizontal="center" vertical="center"/>
    </xf>
    <xf numFmtId="0" fontId="11" fillId="9" borderId="27" xfId="0" applyNumberFormat="1" applyFont="1" applyFill="1" applyBorder="1" applyAlignment="1">
      <alignment horizontal="center" vertical="center"/>
    </xf>
    <xf numFmtId="176" fontId="11" fillId="5" borderId="29" xfId="3" applyNumberFormat="1" applyFont="1" applyFill="1" applyBorder="1" applyAlignment="1">
      <alignment horizontal="center" vertical="center"/>
    </xf>
    <xf numFmtId="177" fontId="11" fillId="5" borderId="29" xfId="4" applyNumberFormat="1" applyFont="1" applyFill="1" applyBorder="1" applyAlignment="1">
      <alignment horizontal="center" vertical="center"/>
    </xf>
    <xf numFmtId="0" fontId="11" fillId="5" borderId="29" xfId="0" applyNumberFormat="1" applyFont="1" applyFill="1" applyBorder="1" applyAlignment="1">
      <alignment horizontal="center" vertical="center"/>
    </xf>
    <xf numFmtId="0" fontId="11" fillId="5" borderId="24" xfId="0" applyNumberFormat="1" applyFont="1" applyFill="1" applyBorder="1" applyAlignment="1">
      <alignment horizontal="center" vertical="center"/>
    </xf>
    <xf numFmtId="0" fontId="11" fillId="5" borderId="29" xfId="2" applyNumberFormat="1" applyFont="1" applyFill="1" applyBorder="1" applyAlignment="1">
      <alignment horizontal="center" vertical="center"/>
    </xf>
    <xf numFmtId="0" fontId="11" fillId="5" borderId="24" xfId="2" applyNumberFormat="1" applyFont="1" applyFill="1" applyBorder="1" applyAlignment="1">
      <alignment horizontal="center" vertical="center"/>
    </xf>
    <xf numFmtId="0" fontId="11" fillId="5" borderId="29" xfId="2" applyNumberFormat="1" applyFont="1" applyFill="1" applyBorder="1" applyAlignment="1">
      <alignment horizontal="center" vertical="center" wrapText="1"/>
    </xf>
  </cellXfs>
  <cellStyles count="15">
    <cellStyle name="백분율" xfId="1" builtinId="5"/>
    <cellStyle name="백분율 2 64" xfId="8" xr:uid="{00000000-0005-0000-0000-000009000000}"/>
    <cellStyle name="쉼표 [0]" xfId="10" builtinId="6"/>
    <cellStyle name="쉼표 [0] 17" xfId="4" xr:uid="{00000000-0005-0000-0000-000005000000}"/>
    <cellStyle name="쉼표 [0] 2" xfId="3" xr:uid="{00000000-0005-0000-0000-000004000000}"/>
    <cellStyle name="쉼표 [0] 2 4 3" xfId="12" xr:uid="{399A6032-41CE-4256-8C1D-1912EF4C0F00}"/>
    <cellStyle name="쉼표 [0]_봉강빌딩신축공사" xfId="6" xr:uid="{00000000-0005-0000-0000-000007000000}"/>
    <cellStyle name="표준" xfId="0" builtinId="0"/>
    <cellStyle name="표준 10 10 2" xfId="2" xr:uid="{00000000-0005-0000-0000-000003000000}"/>
    <cellStyle name="표준 2" xfId="7" xr:uid="{00000000-0005-0000-0000-000008000000}"/>
    <cellStyle name="표준 2 10 5" xfId="9" xr:uid="{00000000-0005-0000-0000-00000A000000}"/>
    <cellStyle name="표준 3" xfId="14" xr:uid="{C9A02BBA-0145-4D48-9A08-F33454F12BD5}"/>
    <cellStyle name="표준 5 2 2" xfId="13" xr:uid="{3A970BFD-4482-4308-9D5A-F8909E37DA90}"/>
    <cellStyle name="표준 7 4" xfId="11" xr:uid="{1788C69D-BF1E-4C4B-81E0-6C9F192CBAB0}"/>
    <cellStyle name="표준_봉강빌딩신축공사" xfId="5" xr:uid="{00000000-0005-0000-0000-000006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4</xdr:row>
      <xdr:rowOff>304800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2577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47625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347382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95250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0341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152400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59441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762000</xdr:colOff>
      <xdr:row>5</xdr:row>
      <xdr:rowOff>219075</xdr:rowOff>
    </xdr:from>
    <xdr:to>
      <xdr:col>6</xdr:col>
      <xdr:colOff>1447800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</a:blip>
        <a:srcRect l="6000" t="6520" b="16890"/>
        <a:stretch>
          <a:fillRect/>
        </a:stretch>
      </xdr:blipFill>
      <xdr:spPr>
        <a:xfrm>
          <a:off x="8583706" y="1479176"/>
          <a:ext cx="683558" cy="66114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142875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4823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2028825</xdr:colOff>
      <xdr:row>4</xdr:row>
      <xdr:rowOff>47625</xdr:rowOff>
    </xdr:from>
    <xdr:to>
      <xdr:col>6</xdr:col>
      <xdr:colOff>2028825</xdr:colOff>
      <xdr:row>5</xdr:row>
      <xdr:rowOff>133350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 l="51320" t="20200" r="30370" b="53200"/>
        <a:stretch>
          <a:fillRect/>
        </a:stretch>
      </xdr:blipFill>
      <xdr:spPr>
        <a:xfrm>
          <a:off x="9849971" y="952500"/>
          <a:ext cx="0" cy="437029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5</xdr:col>
      <xdr:colOff>1781175</xdr:colOff>
      <xdr:row>8</xdr:row>
      <xdr:rowOff>200025</xdr:rowOff>
    </xdr:from>
    <xdr:to>
      <xdr:col>5</xdr:col>
      <xdr:colOff>1781175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810500" y="2498911"/>
          <a:ext cx="0" cy="907676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2</xdr:row>
      <xdr:rowOff>28576</xdr:rowOff>
    </xdr:from>
    <xdr:to>
      <xdr:col>8</xdr:col>
      <xdr:colOff>381000</xdr:colOff>
      <xdr:row>26</xdr:row>
      <xdr:rowOff>104776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80BDBEF-E0BD-456D-B9B0-CBCEA2BD0F00}"/>
            </a:ext>
          </a:extLst>
        </xdr:cNvPr>
        <xdr:cNvSpPr/>
      </xdr:nvSpPr>
      <xdr:spPr>
        <a:xfrm>
          <a:off x="28576" y="581026"/>
          <a:ext cx="8029574" cy="41910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652460</xdr:colOff>
      <xdr:row>2</xdr:row>
      <xdr:rowOff>104773</xdr:rowOff>
    </xdr:from>
    <xdr:to>
      <xdr:col>8</xdr:col>
      <xdr:colOff>228599</xdr:colOff>
      <xdr:row>46</xdr:row>
      <xdr:rowOff>32769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92608A6-A826-4104-946E-0456BB16AA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232" t="14999" r="37642" b="18007"/>
        <a:stretch>
          <a:fillRect/>
        </a:stretch>
      </xdr:blipFill>
      <xdr:spPr>
        <a:xfrm>
          <a:off x="1528760" y="666748"/>
          <a:ext cx="6376989" cy="7890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zoomScaleSheetLayoutView="75" workbookViewId="0">
      <selection activeCell="A8" sqref="A8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46" t="s">
        <v>49</v>
      </c>
      <c r="B2" s="146"/>
      <c r="C2" s="146"/>
      <c r="D2" s="146"/>
      <c r="E2" s="146"/>
      <c r="F2" s="146"/>
      <c r="G2" s="146"/>
      <c r="H2" s="2"/>
    </row>
    <row r="3" spans="1:9" ht="14.25">
      <c r="A3" s="77"/>
      <c r="B3" s="77"/>
      <c r="C3" s="77"/>
      <c r="D3" s="77"/>
      <c r="E3" s="77"/>
      <c r="F3" s="77"/>
      <c r="G3" s="77"/>
      <c r="H3" s="77"/>
    </row>
    <row r="4" spans="1:9" ht="14.25">
      <c r="A4" s="77"/>
      <c r="B4" s="77"/>
      <c r="C4" s="77"/>
      <c r="D4" s="77"/>
      <c r="E4" s="77"/>
      <c r="H4" s="77"/>
    </row>
    <row r="5" spans="1:9" ht="27" customHeight="1">
      <c r="A5" s="78" t="s">
        <v>62</v>
      </c>
      <c r="B5" s="4"/>
      <c r="C5" s="5"/>
      <c r="D5" s="77"/>
      <c r="E5" s="77"/>
      <c r="F5" s="6" t="s">
        <v>48</v>
      </c>
      <c r="G5" s="7" t="s">
        <v>1</v>
      </c>
      <c r="H5" s="77"/>
    </row>
    <row r="6" spans="1:9" ht="27" customHeight="1">
      <c r="A6" s="77"/>
      <c r="B6" s="77"/>
      <c r="C6" s="77"/>
      <c r="D6" s="77"/>
      <c r="E6" s="77"/>
      <c r="F6" s="8" t="s">
        <v>23</v>
      </c>
      <c r="G6" s="9" t="s">
        <v>52</v>
      </c>
      <c r="H6" s="77"/>
    </row>
    <row r="7" spans="1:9" ht="27" customHeight="1">
      <c r="A7" s="149" t="s">
        <v>110</v>
      </c>
      <c r="B7" s="150"/>
      <c r="C7" s="151"/>
      <c r="D7" s="77"/>
      <c r="E7" s="10"/>
      <c r="F7" s="11" t="s">
        <v>44</v>
      </c>
      <c r="G7" s="9" t="s">
        <v>51</v>
      </c>
      <c r="H7" s="77"/>
    </row>
    <row r="8" spans="1:9" ht="27" customHeight="1">
      <c r="A8" s="77"/>
      <c r="B8" s="77"/>
      <c r="C8" s="77"/>
      <c r="D8" s="77"/>
      <c r="E8" s="77"/>
      <c r="F8" s="8" t="s">
        <v>33</v>
      </c>
      <c r="G8" s="9" t="s">
        <v>63</v>
      </c>
      <c r="H8" s="77"/>
    </row>
    <row r="9" spans="1:9" ht="27" customHeight="1">
      <c r="A9" s="149" t="s">
        <v>109</v>
      </c>
      <c r="B9" s="150"/>
      <c r="C9" s="151"/>
      <c r="D9" s="77"/>
      <c r="E9" s="77"/>
      <c r="F9" s="8" t="s">
        <v>24</v>
      </c>
      <c r="G9" s="9" t="s">
        <v>28</v>
      </c>
      <c r="H9" s="77"/>
    </row>
    <row r="10" spans="1:9" ht="27" customHeight="1">
      <c r="A10" s="77"/>
      <c r="B10" s="77"/>
      <c r="C10" s="77"/>
      <c r="D10" s="77"/>
      <c r="E10" s="77"/>
      <c r="F10" s="12" t="s">
        <v>32</v>
      </c>
      <c r="G10" s="13" t="s">
        <v>8</v>
      </c>
      <c r="H10" s="77"/>
      <c r="I10" s="77"/>
    </row>
    <row r="11" spans="1:9" ht="27" customHeight="1">
      <c r="A11" s="147"/>
      <c r="B11" s="148"/>
      <c r="C11" s="148"/>
      <c r="D11" s="77"/>
      <c r="E11" s="14"/>
      <c r="F11" s="15" t="s">
        <v>5</v>
      </c>
      <c r="G11" s="16" t="s">
        <v>38</v>
      </c>
      <c r="H11" s="14"/>
    </row>
    <row r="12" spans="1:9" ht="18">
      <c r="A12" s="17" t="s">
        <v>41</v>
      </c>
      <c r="B12" s="17" t="str">
        <f>NUMBERSTRING(F31,1)</f>
        <v>일백육십일만구천</v>
      </c>
      <c r="C12" s="18"/>
      <c r="D12" s="1" t="s">
        <v>18</v>
      </c>
      <c r="E12" s="1" t="s">
        <v>19</v>
      </c>
      <c r="F12" s="1" t="s">
        <v>19</v>
      </c>
      <c r="G12" s="1"/>
      <c r="H12" s="19"/>
    </row>
    <row r="13" spans="1:9" ht="14.25">
      <c r="A13" s="77"/>
      <c r="B13" s="77"/>
      <c r="C13" s="77"/>
      <c r="D13" s="77"/>
      <c r="E13" s="77"/>
      <c r="F13" s="77"/>
      <c r="G13" s="77"/>
      <c r="H13" s="19"/>
    </row>
    <row r="14" spans="1:9" ht="33" customHeight="1">
      <c r="A14" s="20" t="s">
        <v>20</v>
      </c>
      <c r="B14" s="21" t="s">
        <v>12</v>
      </c>
      <c r="C14" s="21" t="s">
        <v>17</v>
      </c>
      <c r="D14" s="21" t="s">
        <v>15</v>
      </c>
      <c r="E14" s="21" t="s">
        <v>13</v>
      </c>
      <c r="F14" s="21" t="s">
        <v>14</v>
      </c>
      <c r="G14" s="22" t="s">
        <v>11</v>
      </c>
      <c r="H14" s="19"/>
    </row>
    <row r="15" spans="1:9" ht="33" customHeight="1">
      <c r="A15" s="23"/>
      <c r="B15" s="24" t="s">
        <v>21</v>
      </c>
      <c r="C15" s="25"/>
      <c r="D15" s="26"/>
      <c r="E15" s="26"/>
      <c r="F15" s="27"/>
      <c r="G15" s="28"/>
    </row>
    <row r="16" spans="1:9" ht="33" customHeight="1">
      <c r="A16" s="29"/>
      <c r="B16" s="30" t="s">
        <v>26</v>
      </c>
      <c r="C16" s="31"/>
      <c r="D16" s="32"/>
      <c r="E16" s="32"/>
      <c r="F16" s="33">
        <f>'내역서(표준단가)'!K11</f>
        <v>1568652.5</v>
      </c>
      <c r="G16" s="34"/>
    </row>
    <row r="17" spans="1:7" ht="33" customHeight="1">
      <c r="A17" s="29"/>
      <c r="B17" s="30" t="s">
        <v>22</v>
      </c>
      <c r="C17" s="31"/>
      <c r="D17" s="32"/>
      <c r="E17" s="32"/>
      <c r="F17" s="33">
        <f>'내역서(표준단가)'!M11</f>
        <v>0</v>
      </c>
      <c r="G17" s="35"/>
    </row>
    <row r="18" spans="1:7" ht="33" customHeight="1">
      <c r="A18" s="29"/>
      <c r="B18" s="30" t="s">
        <v>50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34</v>
      </c>
      <c r="C19" s="36"/>
      <c r="D19" s="37"/>
      <c r="E19" s="37"/>
      <c r="F19" s="38">
        <f>F16+F17+F18</f>
        <v>1568652.5</v>
      </c>
      <c r="G19" s="35"/>
    </row>
    <row r="20" spans="1:7" ht="33" customHeight="1">
      <c r="A20" s="29"/>
      <c r="B20" s="39" t="s">
        <v>29</v>
      </c>
      <c r="C20" s="40"/>
      <c r="D20" s="32"/>
      <c r="E20" s="32"/>
      <c r="F20" s="41"/>
      <c r="G20" s="35"/>
    </row>
    <row r="21" spans="1:7" ht="33" customHeight="1">
      <c r="A21" s="29"/>
      <c r="B21" s="104" t="s">
        <v>64</v>
      </c>
      <c r="C21" s="105" t="s">
        <v>65</v>
      </c>
      <c r="D21" s="106">
        <v>1</v>
      </c>
      <c r="E21" s="106" t="s">
        <v>66</v>
      </c>
      <c r="F21" s="107">
        <f>F17*4.75%</f>
        <v>0</v>
      </c>
      <c r="G21" s="35" t="s">
        <v>6</v>
      </c>
    </row>
    <row r="22" spans="1:7" ht="33" customHeight="1">
      <c r="A22" s="29"/>
      <c r="B22" s="108" t="s">
        <v>67</v>
      </c>
      <c r="C22" s="105" t="s">
        <v>68</v>
      </c>
      <c r="D22" s="109">
        <v>1</v>
      </c>
      <c r="E22" s="109" t="s">
        <v>66</v>
      </c>
      <c r="F22" s="110">
        <f>F17*3.595%</f>
        <v>0</v>
      </c>
      <c r="G22" s="42" t="s">
        <v>6</v>
      </c>
    </row>
    <row r="23" spans="1:7" ht="33" customHeight="1">
      <c r="A23" s="29"/>
      <c r="B23" s="104" t="s">
        <v>69</v>
      </c>
      <c r="C23" s="111" t="s">
        <v>70</v>
      </c>
      <c r="D23" s="106">
        <v>1</v>
      </c>
      <c r="E23" s="106" t="s">
        <v>66</v>
      </c>
      <c r="F23" s="112">
        <f>F22*13.14%</f>
        <v>0</v>
      </c>
      <c r="G23" s="35" t="s">
        <v>6</v>
      </c>
    </row>
    <row r="24" spans="1:7" ht="33" customHeight="1">
      <c r="A24" s="29"/>
      <c r="B24" s="104" t="s">
        <v>71</v>
      </c>
      <c r="C24" s="111" t="s">
        <v>72</v>
      </c>
      <c r="D24" s="106">
        <v>1</v>
      </c>
      <c r="E24" s="106" t="s">
        <v>66</v>
      </c>
      <c r="F24" s="112">
        <f>F17*1.01%</f>
        <v>0</v>
      </c>
      <c r="G24" s="35" t="s">
        <v>6</v>
      </c>
    </row>
    <row r="25" spans="1:7" ht="33" customHeight="1">
      <c r="A25" s="29"/>
      <c r="B25" s="104" t="s">
        <v>73</v>
      </c>
      <c r="C25" s="111" t="s">
        <v>74</v>
      </c>
      <c r="D25" s="106">
        <v>1</v>
      </c>
      <c r="E25" s="106" t="s">
        <v>66</v>
      </c>
      <c r="F25" s="112">
        <f>F17*3.56%</f>
        <v>0</v>
      </c>
      <c r="G25" s="35" t="s">
        <v>6</v>
      </c>
    </row>
    <row r="26" spans="1:7" ht="33" customHeight="1">
      <c r="A26" s="29"/>
      <c r="B26" s="104" t="s">
        <v>75</v>
      </c>
      <c r="C26" s="113" t="s">
        <v>76</v>
      </c>
      <c r="D26" s="106">
        <v>1</v>
      </c>
      <c r="E26" s="106" t="s">
        <v>66</v>
      </c>
      <c r="F26" s="112">
        <f>(F16+F17)*3.11%</f>
        <v>48785.092749999996</v>
      </c>
      <c r="G26" s="35" t="s">
        <v>6</v>
      </c>
    </row>
    <row r="27" spans="1:7" ht="33" customHeight="1">
      <c r="A27" s="29"/>
      <c r="B27" s="104" t="s">
        <v>77</v>
      </c>
      <c r="C27" s="113" t="s">
        <v>78</v>
      </c>
      <c r="D27" s="106">
        <v>1</v>
      </c>
      <c r="E27" s="106" t="s">
        <v>66</v>
      </c>
      <c r="F27" s="112">
        <f>SUM(F17+F21+F22+F23+F24+F25+F26)*5%</f>
        <v>2439.2546374999997</v>
      </c>
      <c r="G27" s="35"/>
    </row>
    <row r="28" spans="1:7" ht="33" customHeight="1">
      <c r="A28" s="29"/>
      <c r="B28" s="36" t="s">
        <v>34</v>
      </c>
      <c r="C28" s="43"/>
      <c r="D28" s="44"/>
      <c r="E28" s="37"/>
      <c r="F28" s="45">
        <f>F21+F22+F23+F24+F25+F26+F27</f>
        <v>51224.347387499998</v>
      </c>
      <c r="G28" s="35"/>
    </row>
    <row r="29" spans="1:7" ht="33" customHeight="1">
      <c r="A29" s="29"/>
      <c r="B29" s="40"/>
      <c r="C29" s="46"/>
      <c r="D29" s="47"/>
      <c r="E29" s="32"/>
      <c r="F29" s="48"/>
      <c r="G29" s="35"/>
    </row>
    <row r="30" spans="1:7" ht="33" customHeight="1">
      <c r="A30" s="29"/>
      <c r="B30" s="49"/>
      <c r="C30" s="46"/>
      <c r="D30" s="47"/>
      <c r="E30" s="32"/>
      <c r="F30" s="50">
        <f>F19+F28+F29</f>
        <v>1619876.8473875001</v>
      </c>
      <c r="G30" s="35"/>
    </row>
    <row r="31" spans="1:7" ht="33" customHeight="1">
      <c r="A31" s="29"/>
      <c r="B31" s="36" t="s">
        <v>7</v>
      </c>
      <c r="C31" s="36"/>
      <c r="D31" s="37"/>
      <c r="E31" s="37"/>
      <c r="F31" s="51">
        <f>ROUNDDOWN(F30,-3)</f>
        <v>1619000</v>
      </c>
      <c r="G31" s="35"/>
    </row>
    <row r="32" spans="1:7" ht="33" customHeight="1">
      <c r="A32" s="52"/>
      <c r="B32" s="53" t="s">
        <v>42</v>
      </c>
      <c r="C32" s="54"/>
      <c r="D32" s="54"/>
      <c r="E32" s="54"/>
      <c r="F32" s="55"/>
      <c r="G32" s="56"/>
    </row>
    <row r="33" spans="2:2" ht="15.75">
      <c r="B33" s="57"/>
    </row>
    <row r="34" spans="2:2" ht="15.75">
      <c r="B34" s="57"/>
    </row>
  </sheetData>
  <mergeCells count="4">
    <mergeCell ref="A2:G2"/>
    <mergeCell ref="A11:C11"/>
    <mergeCell ref="A9:C9"/>
    <mergeCell ref="A7:C7"/>
  </mergeCells>
  <phoneticPr fontId="22" type="noConversion"/>
  <pageMargins left="0.31486111879348755" right="0.19680555164813995" top="0.94486111402511597" bottom="0.55111110210418701" header="0.31486111879348755" footer="0.31486111879348755"/>
  <pageSetup paperSize="9" scale="6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23"/>
  <sheetViews>
    <sheetView showGridLines="0" zoomScale="90" zoomScaleNormal="90" zoomScaleSheetLayoutView="75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98" bestFit="1" customWidth="1"/>
    <col min="2" max="5" width="18.625" style="89" hidden="1" customWidth="1"/>
    <col min="6" max="6" width="34.875" style="84" customWidth="1"/>
    <col min="7" max="7" width="40.125" style="84" customWidth="1"/>
    <col min="8" max="8" width="12" style="89" bestFit="1" customWidth="1"/>
    <col min="9" max="9" width="8.125" style="89" bestFit="1" customWidth="1"/>
    <col min="10" max="10" width="10.5" style="89" bestFit="1" customWidth="1"/>
    <col min="11" max="11" width="15.625" style="89" bestFit="1" customWidth="1"/>
    <col min="12" max="12" width="11.625" style="89" hidden="1" customWidth="1"/>
    <col min="13" max="13" width="16.75" style="89" hidden="1" customWidth="1"/>
    <col min="14" max="14" width="11.5" style="89" hidden="1" customWidth="1"/>
    <col min="15" max="15" width="8.75" style="89" hidden="1" customWidth="1"/>
    <col min="16" max="16" width="9.625" style="89" hidden="1" customWidth="1"/>
    <col min="17" max="17" width="13.25" style="89" hidden="1" customWidth="1"/>
    <col min="18" max="18" width="16.75" style="89" bestFit="1" customWidth="1"/>
    <col min="19" max="19" width="10.75" style="59" bestFit="1" customWidth="1"/>
    <col min="20" max="20" width="9.125" style="89" bestFit="1" customWidth="1"/>
    <col min="21" max="16384" width="9" style="89"/>
  </cols>
  <sheetData>
    <row r="1" spans="1:20" ht="19.899999999999999" customHeight="1">
      <c r="A1" s="153"/>
      <c r="B1" s="153"/>
      <c r="C1" s="153"/>
      <c r="D1" s="153"/>
      <c r="E1" s="153"/>
      <c r="J1" s="59"/>
      <c r="K1" s="88" t="s">
        <v>39</v>
      </c>
      <c r="M1" s="88" t="s">
        <v>39</v>
      </c>
      <c r="O1" s="88" t="s">
        <v>39</v>
      </c>
      <c r="Q1" s="88" t="s">
        <v>39</v>
      </c>
    </row>
    <row r="2" spans="1:20" ht="19.899999999999999" customHeight="1" thickBot="1">
      <c r="A2" s="153"/>
      <c r="B2" s="153"/>
      <c r="C2" s="153"/>
      <c r="D2" s="153"/>
      <c r="E2" s="153"/>
      <c r="J2" s="60"/>
      <c r="K2" s="61">
        <v>0.83499999999999996</v>
      </c>
      <c r="M2" s="61">
        <v>0.83499999999999996</v>
      </c>
      <c r="O2" s="61">
        <v>0.83499999999999996</v>
      </c>
      <c r="Q2" s="61">
        <v>0.83499999999999996</v>
      </c>
    </row>
    <row r="3" spans="1:20" ht="19.899999999999999" customHeight="1">
      <c r="A3" s="90"/>
      <c r="B3" s="90" t="s">
        <v>36</v>
      </c>
      <c r="C3" s="91"/>
      <c r="D3" s="91"/>
      <c r="E3" s="91"/>
      <c r="F3" s="164" t="s">
        <v>58</v>
      </c>
      <c r="G3" s="164"/>
      <c r="H3" s="162" t="s">
        <v>13</v>
      </c>
      <c r="I3" s="162" t="s">
        <v>15</v>
      </c>
      <c r="J3" s="158" t="s">
        <v>26</v>
      </c>
      <c r="K3" s="158"/>
      <c r="L3" s="158" t="s">
        <v>22</v>
      </c>
      <c r="M3" s="158"/>
      <c r="N3" s="159" t="s">
        <v>59</v>
      </c>
      <c r="O3" s="159"/>
      <c r="P3" s="159" t="s">
        <v>9</v>
      </c>
      <c r="Q3" s="159"/>
      <c r="R3" s="160" t="s">
        <v>27</v>
      </c>
      <c r="S3" s="156" t="s">
        <v>60</v>
      </c>
      <c r="T3" s="154" t="s">
        <v>45</v>
      </c>
    </row>
    <row r="4" spans="1:20" ht="19.899999999999999" customHeight="1">
      <c r="A4" s="62" t="s">
        <v>27</v>
      </c>
      <c r="B4" s="63" t="s">
        <v>61</v>
      </c>
      <c r="C4" s="63" t="s">
        <v>57</v>
      </c>
      <c r="D4" s="63" t="s">
        <v>54</v>
      </c>
      <c r="E4" s="63" t="s">
        <v>55</v>
      </c>
      <c r="F4" s="85" t="s">
        <v>31</v>
      </c>
      <c r="G4" s="85" t="s">
        <v>17</v>
      </c>
      <c r="H4" s="163"/>
      <c r="I4" s="163"/>
      <c r="J4" s="64" t="s">
        <v>53</v>
      </c>
      <c r="K4" s="65" t="s">
        <v>14</v>
      </c>
      <c r="L4" s="64" t="s">
        <v>30</v>
      </c>
      <c r="M4" s="65" t="s">
        <v>14</v>
      </c>
      <c r="N4" s="65" t="s">
        <v>30</v>
      </c>
      <c r="O4" s="65" t="s">
        <v>14</v>
      </c>
      <c r="P4" s="65" t="s">
        <v>30</v>
      </c>
      <c r="Q4" s="65" t="s">
        <v>14</v>
      </c>
      <c r="R4" s="161"/>
      <c r="S4" s="157"/>
      <c r="T4" s="155"/>
    </row>
    <row r="5" spans="1:20" s="92" customFormat="1" ht="24" customHeight="1">
      <c r="A5" s="100" t="str">
        <f t="shared" ref="A5:A8" si="0">B5&amp;C5&amp;D5&amp;E5</f>
        <v>M010550114050101</v>
      </c>
      <c r="B5" s="75"/>
      <c r="C5" s="123"/>
      <c r="D5" s="124" t="s">
        <v>3</v>
      </c>
      <c r="E5" s="99"/>
      <c r="F5" s="118" t="s">
        <v>10</v>
      </c>
      <c r="G5" s="118" t="s">
        <v>37</v>
      </c>
      <c r="H5" s="118" t="s">
        <v>56</v>
      </c>
      <c r="I5" s="119">
        <v>30</v>
      </c>
      <c r="J5" s="117">
        <v>6500</v>
      </c>
      <c r="K5" s="72">
        <f t="shared" ref="K5:K8" si="1">SUM(J5:J5)*I5*$K$2</f>
        <v>162825</v>
      </c>
      <c r="L5" s="101"/>
      <c r="M5" s="72">
        <f t="shared" ref="M5:M8" si="2">I5*L5*$M$2</f>
        <v>0</v>
      </c>
      <c r="N5" s="103"/>
      <c r="O5" s="72">
        <f t="shared" ref="O5:O8" si="3">N5*I5*$O$2</f>
        <v>0</v>
      </c>
      <c r="P5" s="103"/>
      <c r="Q5" s="72">
        <f t="shared" ref="Q5:Q8" si="4">P5*I5*$Q$2</f>
        <v>0</v>
      </c>
      <c r="R5" s="103">
        <f t="shared" ref="R5:R8" si="5">SUM(K5+M5)+O5+Q5</f>
        <v>162825</v>
      </c>
      <c r="S5" s="73"/>
      <c r="T5" s="74"/>
    </row>
    <row r="6" spans="1:20" s="92" customFormat="1" ht="24" customHeight="1">
      <c r="A6" s="100" t="str">
        <f t="shared" si="0"/>
        <v>M010550710010102</v>
      </c>
      <c r="B6" s="75"/>
      <c r="C6" s="123"/>
      <c r="D6" s="124" t="s">
        <v>79</v>
      </c>
      <c r="E6" s="99"/>
      <c r="F6" s="142" t="s">
        <v>80</v>
      </c>
      <c r="G6" s="142" t="s">
        <v>81</v>
      </c>
      <c r="H6" s="142" t="s">
        <v>35</v>
      </c>
      <c r="I6" s="119">
        <v>5</v>
      </c>
      <c r="J6" s="117">
        <v>7300</v>
      </c>
      <c r="K6" s="72">
        <f t="shared" si="1"/>
        <v>30477.5</v>
      </c>
      <c r="L6" s="101"/>
      <c r="M6" s="72">
        <f t="shared" si="2"/>
        <v>0</v>
      </c>
      <c r="N6" s="103"/>
      <c r="O6" s="72">
        <f t="shared" si="3"/>
        <v>0</v>
      </c>
      <c r="P6" s="103"/>
      <c r="Q6" s="72">
        <f t="shared" si="4"/>
        <v>0</v>
      </c>
      <c r="R6" s="103">
        <f t="shared" si="5"/>
        <v>30477.5</v>
      </c>
      <c r="S6" s="73"/>
      <c r="T6" s="74"/>
    </row>
    <row r="7" spans="1:20" s="92" customFormat="1" ht="24" customHeight="1">
      <c r="A7" s="100" t="str">
        <f t="shared" si="0"/>
        <v>M020412917710102</v>
      </c>
      <c r="B7" s="75"/>
      <c r="C7" s="122"/>
      <c r="D7" s="124" t="s">
        <v>82</v>
      </c>
      <c r="E7" s="99"/>
      <c r="F7" s="142" t="s">
        <v>108</v>
      </c>
      <c r="G7" s="142" t="s">
        <v>83</v>
      </c>
      <c r="H7" s="142" t="s">
        <v>84</v>
      </c>
      <c r="I7" s="143">
        <v>2</v>
      </c>
      <c r="J7" s="117">
        <v>15000</v>
      </c>
      <c r="K7" s="72">
        <f t="shared" si="1"/>
        <v>25050</v>
      </c>
      <c r="L7" s="115"/>
      <c r="M7" s="72">
        <f t="shared" si="2"/>
        <v>0</v>
      </c>
      <c r="N7" s="103"/>
      <c r="O7" s="72">
        <f t="shared" si="3"/>
        <v>0</v>
      </c>
      <c r="P7" s="103"/>
      <c r="Q7" s="72">
        <f t="shared" si="4"/>
        <v>0</v>
      </c>
      <c r="R7" s="103">
        <f t="shared" si="5"/>
        <v>25050</v>
      </c>
      <c r="S7" s="73"/>
      <c r="T7" s="74"/>
    </row>
    <row r="8" spans="1:20" s="92" customFormat="1" ht="24" customHeight="1">
      <c r="A8" s="100" t="str">
        <f t="shared" si="0"/>
        <v>M020412917340101</v>
      </c>
      <c r="B8" s="75"/>
      <c r="C8" s="122"/>
      <c r="D8" s="124" t="s">
        <v>85</v>
      </c>
      <c r="E8" s="99"/>
      <c r="F8" s="142" t="s">
        <v>86</v>
      </c>
      <c r="G8" s="142" t="s">
        <v>87</v>
      </c>
      <c r="H8" s="142" t="s">
        <v>88</v>
      </c>
      <c r="I8" s="143">
        <v>2</v>
      </c>
      <c r="J8" s="117">
        <v>15000</v>
      </c>
      <c r="K8" s="72">
        <f t="shared" si="1"/>
        <v>25050</v>
      </c>
      <c r="L8" s="115"/>
      <c r="M8" s="72">
        <f t="shared" si="2"/>
        <v>0</v>
      </c>
      <c r="N8" s="103"/>
      <c r="O8" s="72">
        <f t="shared" si="3"/>
        <v>0</v>
      </c>
      <c r="P8" s="103"/>
      <c r="Q8" s="72">
        <f t="shared" si="4"/>
        <v>0</v>
      </c>
      <c r="R8" s="103">
        <f t="shared" si="5"/>
        <v>25050</v>
      </c>
      <c r="S8" s="73"/>
      <c r="T8" s="74"/>
    </row>
    <row r="9" spans="1:20" s="92" customFormat="1" ht="24" customHeight="1">
      <c r="A9" s="100" t="str">
        <f t="shared" ref="A9" si="6">B9&amp;C9&amp;D9&amp;E9</f>
        <v>M020806810430101</v>
      </c>
      <c r="B9" s="75"/>
      <c r="C9" s="123"/>
      <c r="D9" s="125" t="s">
        <v>2</v>
      </c>
      <c r="E9" s="99"/>
      <c r="F9" s="120" t="s">
        <v>0</v>
      </c>
      <c r="G9" s="120" t="s">
        <v>4</v>
      </c>
      <c r="H9" s="121" t="s">
        <v>25</v>
      </c>
      <c r="I9" s="119">
        <v>1</v>
      </c>
      <c r="J9" s="116">
        <v>150000</v>
      </c>
      <c r="K9" s="72">
        <f t="shared" ref="K9" si="7">SUM(J9:J9)*I9*$K$2</f>
        <v>125250</v>
      </c>
      <c r="L9" s="101"/>
      <c r="M9" s="72">
        <f t="shared" ref="M9" si="8">I9*L9*$M$2</f>
        <v>0</v>
      </c>
      <c r="N9" s="103"/>
      <c r="O9" s="72">
        <f t="shared" ref="O9" si="9">N9*I9*$O$2</f>
        <v>0</v>
      </c>
      <c r="P9" s="103"/>
      <c r="Q9" s="72">
        <f t="shared" ref="Q9" si="10">P9*I9*$Q$2</f>
        <v>0</v>
      </c>
      <c r="R9" s="103">
        <f t="shared" ref="R9" si="11">SUM(K9+M9)+O9+Q9</f>
        <v>125250</v>
      </c>
      <c r="S9" s="73"/>
      <c r="T9" s="74"/>
    </row>
    <row r="10" spans="1:20" s="92" customFormat="1" ht="24" customHeight="1">
      <c r="A10" s="66">
        <v>999999</v>
      </c>
      <c r="B10" s="75"/>
      <c r="C10" s="76"/>
      <c r="D10" s="76"/>
      <c r="E10" s="79"/>
      <c r="F10" s="144" t="s">
        <v>105</v>
      </c>
      <c r="G10" s="145" t="s">
        <v>106</v>
      </c>
      <c r="H10" s="81" t="s">
        <v>107</v>
      </c>
      <c r="I10" s="82">
        <v>1</v>
      </c>
      <c r="J10" s="116">
        <v>1200000</v>
      </c>
      <c r="K10" s="72">
        <f>I10*J10</f>
        <v>1200000</v>
      </c>
      <c r="L10" s="71"/>
      <c r="M10" s="72">
        <f t="shared" ref="M10" si="12">I10*L10</f>
        <v>0</v>
      </c>
      <c r="N10" s="103"/>
      <c r="O10" s="72">
        <f t="shared" ref="O10" si="13">N10*I10*$O$2</f>
        <v>0</v>
      </c>
      <c r="P10" s="103"/>
      <c r="Q10" s="72">
        <f t="shared" ref="Q10" si="14">P10*I10*$Q$2</f>
        <v>0</v>
      </c>
      <c r="R10" s="103">
        <f t="shared" ref="R10" si="15">SUM(K10+M10)+O10+Q10</f>
        <v>1200000</v>
      </c>
      <c r="S10" s="73"/>
      <c r="T10" s="74"/>
    </row>
    <row r="11" spans="1:20" s="94" customFormat="1" ht="38.1" customHeight="1">
      <c r="A11" s="93"/>
      <c r="F11" s="87"/>
      <c r="G11" s="87"/>
      <c r="K11" s="95">
        <f>SUM(K5:K10)</f>
        <v>1568652.5</v>
      </c>
      <c r="L11" s="96"/>
      <c r="M11" s="95">
        <f>SUM(M5:M10)</f>
        <v>0</v>
      </c>
      <c r="N11" s="96"/>
      <c r="O11" s="95">
        <f>SUM(O5:O10)</f>
        <v>0</v>
      </c>
      <c r="P11" s="96"/>
      <c r="Q11" s="95">
        <f>SUM(Q5:Q10)</f>
        <v>0</v>
      </c>
      <c r="R11" s="97">
        <f>SUM(R5:R10)</f>
        <v>1568652.5</v>
      </c>
      <c r="S11" s="67"/>
    </row>
    <row r="12" spans="1:20" ht="38.1" customHeight="1">
      <c r="G12" s="152"/>
      <c r="H12" s="152"/>
      <c r="I12" s="152"/>
      <c r="J12" s="152"/>
    </row>
    <row r="13" spans="1:20" ht="37.5" customHeight="1">
      <c r="G13" s="152"/>
      <c r="H13" s="152"/>
      <c r="I13" s="152"/>
      <c r="J13" s="152"/>
    </row>
    <row r="14" spans="1:20" ht="38.1" customHeight="1">
      <c r="G14" s="152"/>
      <c r="H14" s="152"/>
      <c r="I14" s="152"/>
      <c r="J14" s="152"/>
    </row>
    <row r="15" spans="1:20" ht="38.1" customHeight="1">
      <c r="G15" s="126"/>
      <c r="H15" s="114"/>
      <c r="I15" s="114"/>
      <c r="J15" s="114"/>
      <c r="K15" s="102"/>
    </row>
    <row r="16" spans="1:20" ht="38.1" customHeight="1">
      <c r="G16" s="114"/>
      <c r="H16" s="114"/>
      <c r="I16" s="114"/>
      <c r="J16" s="114"/>
      <c r="K16" s="102"/>
    </row>
    <row r="17" spans="7:11" ht="38.1" customHeight="1">
      <c r="G17" s="114"/>
      <c r="H17" s="114"/>
      <c r="I17" s="114"/>
      <c r="J17" s="114"/>
      <c r="K17" s="102"/>
    </row>
    <row r="18" spans="7:11" ht="38.1" customHeight="1">
      <c r="G18" s="114"/>
      <c r="H18" s="114"/>
      <c r="I18" s="114"/>
      <c r="J18" s="114"/>
      <c r="K18" s="102"/>
    </row>
    <row r="19" spans="7:11" ht="38.1" customHeight="1">
      <c r="G19" s="114"/>
      <c r="H19" s="114"/>
      <c r="I19" s="114"/>
      <c r="J19" s="114"/>
      <c r="K19" s="102"/>
    </row>
    <row r="20" spans="7:11" ht="38.1" customHeight="1">
      <c r="G20" s="114"/>
      <c r="H20" s="114"/>
      <c r="I20" s="114"/>
      <c r="J20" s="114"/>
      <c r="K20" s="102"/>
    </row>
    <row r="21" spans="7:11" ht="38.1" customHeight="1">
      <c r="G21" s="114"/>
      <c r="H21" s="114"/>
      <c r="I21" s="114"/>
      <c r="J21" s="114"/>
      <c r="K21" s="102"/>
    </row>
    <row r="22" spans="7:11" ht="38.1" customHeight="1">
      <c r="G22" s="114"/>
      <c r="H22" s="114"/>
      <c r="I22" s="114"/>
      <c r="J22" s="114"/>
      <c r="K22" s="102"/>
    </row>
    <row r="23" spans="7:11" ht="38.1" customHeight="1">
      <c r="G23" s="114"/>
      <c r="H23" s="114"/>
      <c r="I23" s="114"/>
      <c r="J23" s="114"/>
      <c r="K23" s="102"/>
    </row>
  </sheetData>
  <mergeCells count="15">
    <mergeCell ref="G12:J12"/>
    <mergeCell ref="G13:J13"/>
    <mergeCell ref="G14:J14"/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22" type="noConversion"/>
  <pageMargins left="0.69999998807907104" right="0.69999998807907104" top="0.75" bottom="0.75" header="0.30000001192092896" footer="0.30000001192092896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9280-6F8A-4744-AC2D-AADBFE9789A4}">
  <sheetPr>
    <pageSetUpPr fitToPage="1"/>
  </sheetPr>
  <dimension ref="A2:P4"/>
  <sheetViews>
    <sheetView zoomScaleNormal="100" zoomScaleSheetLayoutView="85" workbookViewId="0">
      <selection activeCell="J26" sqref="J26"/>
    </sheetView>
  </sheetViews>
  <sheetFormatPr defaultColWidth="9" defaultRowHeight="14.25"/>
  <cols>
    <col min="1" max="1" width="11.5" style="130" bestFit="1" customWidth="1"/>
    <col min="2" max="2" width="17.875" style="130" customWidth="1"/>
    <col min="3" max="3" width="14.625" style="130" customWidth="1"/>
    <col min="4" max="4" width="10.875" style="130" customWidth="1"/>
    <col min="5" max="5" width="12" style="130" customWidth="1"/>
    <col min="6" max="6" width="10.625" style="130" customWidth="1"/>
    <col min="7" max="7" width="13.625" style="131" customWidth="1"/>
    <col min="8" max="8" width="9.625" style="130" customWidth="1"/>
    <col min="9" max="9" width="13.625" style="130" customWidth="1"/>
    <col min="10" max="10" width="12.75" style="130" customWidth="1"/>
    <col min="11" max="11" width="9.25" style="130" customWidth="1"/>
    <col min="12" max="12" width="13.625" style="131" customWidth="1"/>
    <col min="13" max="13" width="9.625" style="130" customWidth="1"/>
    <col min="14" max="14" width="13.625" style="131" customWidth="1"/>
    <col min="15" max="15" width="19.75" style="132" bestFit="1" customWidth="1"/>
    <col min="16" max="16" width="12.25" style="132" bestFit="1" customWidth="1"/>
    <col min="17" max="16384" width="9" style="130"/>
  </cols>
  <sheetData>
    <row r="2" spans="1:16" s="127" customFormat="1" ht="30" customHeight="1">
      <c r="A2" s="140" t="s">
        <v>104</v>
      </c>
      <c r="B2" s="140"/>
      <c r="G2" s="128"/>
      <c r="L2" s="128"/>
      <c r="N2" s="128"/>
      <c r="O2" s="129"/>
      <c r="P2" s="129"/>
    </row>
    <row r="3" spans="1:16">
      <c r="A3" s="141"/>
      <c r="B3" s="141"/>
    </row>
    <row r="4" spans="1:16">
      <c r="A4" s="141"/>
      <c r="B4" s="141"/>
    </row>
  </sheetData>
  <phoneticPr fontId="22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76CA-6361-4E66-99A4-665DF90FEBF8}">
  <sheetPr>
    <pageSetUpPr fitToPage="1"/>
  </sheetPr>
  <dimension ref="A1:R2"/>
  <sheetViews>
    <sheetView topLeftCell="B1" zoomScale="110" zoomScaleNormal="110" workbookViewId="0">
      <selection activeCell="J33" sqref="J33"/>
    </sheetView>
  </sheetViews>
  <sheetFormatPr defaultColWidth="9" defaultRowHeight="14.25"/>
  <cols>
    <col min="1" max="1" width="11.125" style="136" customWidth="1"/>
    <col min="2" max="2" width="13.375" style="136" customWidth="1"/>
    <col min="3" max="3" width="28.625" style="136" customWidth="1"/>
    <col min="4" max="4" width="28.75" style="136" customWidth="1"/>
    <col min="5" max="5" width="5" style="136" customWidth="1"/>
    <col min="6" max="6" width="6.25" style="136" customWidth="1"/>
    <col min="7" max="7" width="10" style="136" customWidth="1"/>
    <col min="8" max="8" width="11.875" style="136" customWidth="1"/>
    <col min="9" max="9" width="10" style="136" customWidth="1"/>
    <col min="10" max="10" width="11.875" style="136" customWidth="1"/>
    <col min="11" max="11" width="10" style="136" customWidth="1"/>
    <col min="12" max="12" width="11.875" style="136" customWidth="1"/>
    <col min="13" max="13" width="10" style="136" customWidth="1"/>
    <col min="14" max="14" width="11.875" style="136" customWidth="1"/>
    <col min="15" max="15" width="9.125" style="136" customWidth="1"/>
    <col min="16" max="16" width="11.5" style="136" customWidth="1"/>
    <col min="17" max="17" width="11.75" style="136" customWidth="1"/>
    <col min="18" max="18" width="17.875" style="136" customWidth="1"/>
    <col min="19" max="16384" width="9" style="136"/>
  </cols>
  <sheetData>
    <row r="1" spans="1:18" ht="18" customHeight="1">
      <c r="A1" s="133" t="s">
        <v>89</v>
      </c>
      <c r="B1" s="134" t="s">
        <v>90</v>
      </c>
      <c r="C1" s="135" t="s">
        <v>12</v>
      </c>
      <c r="D1" s="135" t="s">
        <v>17</v>
      </c>
      <c r="E1" s="135" t="s">
        <v>13</v>
      </c>
      <c r="F1" s="135" t="s">
        <v>15</v>
      </c>
      <c r="G1" s="134" t="s">
        <v>91</v>
      </c>
      <c r="H1" s="134" t="s">
        <v>92</v>
      </c>
      <c r="I1" s="134" t="s">
        <v>93</v>
      </c>
      <c r="J1" s="134" t="s">
        <v>94</v>
      </c>
      <c r="K1" s="134" t="s">
        <v>95</v>
      </c>
      <c r="L1" s="134" t="s">
        <v>96</v>
      </c>
      <c r="M1" s="134" t="s">
        <v>97</v>
      </c>
      <c r="N1" s="134" t="s">
        <v>98</v>
      </c>
      <c r="O1" s="134" t="s">
        <v>99</v>
      </c>
      <c r="P1" s="134" t="s">
        <v>100</v>
      </c>
      <c r="Q1" s="134" t="s">
        <v>101</v>
      </c>
      <c r="R1" s="134" t="s">
        <v>102</v>
      </c>
    </row>
    <row r="2" spans="1:18" ht="25.5">
      <c r="A2" s="137">
        <v>999999</v>
      </c>
      <c r="B2" s="137" t="s">
        <v>103</v>
      </c>
      <c r="C2" s="83" t="s">
        <v>105</v>
      </c>
      <c r="D2" s="86" t="s">
        <v>106</v>
      </c>
      <c r="E2" s="81" t="s">
        <v>107</v>
      </c>
      <c r="F2" s="82">
        <v>1</v>
      </c>
      <c r="G2" s="138">
        <v>1200000</v>
      </c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</row>
  </sheetData>
  <phoneticPr fontId="22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6"/>
  <sheetViews>
    <sheetView showGridLines="0" zoomScaleNormal="100" zoomScaleSheetLayoutView="75" workbookViewId="0">
      <selection activeCell="M23" sqref="M23"/>
    </sheetView>
  </sheetViews>
  <sheetFormatPr defaultColWidth="9" defaultRowHeight="14.25"/>
  <cols>
    <col min="1" max="1" width="25.125" style="58" customWidth="1"/>
    <col min="2" max="2" width="16.25" style="58" customWidth="1"/>
    <col min="3" max="3" width="22.375" style="58" customWidth="1"/>
    <col min="4" max="4" width="24.125" style="58" customWidth="1"/>
    <col min="5" max="5" width="13" style="58" customWidth="1"/>
    <col min="6" max="6" width="7.5" style="58" customWidth="1"/>
    <col min="7" max="16384" width="9" style="80"/>
  </cols>
  <sheetData>
    <row r="1" spans="1:6" ht="18" customHeight="1">
      <c r="A1" s="68" t="s">
        <v>16</v>
      </c>
      <c r="B1" s="68" t="s">
        <v>40</v>
      </c>
      <c r="C1" s="68" t="s">
        <v>46</v>
      </c>
      <c r="D1" s="68" t="s">
        <v>43</v>
      </c>
      <c r="E1" s="68" t="s">
        <v>47</v>
      </c>
      <c r="F1" s="68" t="s">
        <v>15</v>
      </c>
    </row>
    <row r="2" spans="1:6">
      <c r="A2" s="69" t="str">
        <f>'내역서(표준단가)'!A5</f>
        <v>M010550114050101</v>
      </c>
      <c r="B2" s="70">
        <f>'내역서(표준단가)'!B5</f>
        <v>0</v>
      </c>
      <c r="C2" s="70">
        <f>'내역서(표준단가)'!C5</f>
        <v>0</v>
      </c>
      <c r="D2" s="70" t="str">
        <f>'내역서(표준단가)'!D5</f>
        <v>M010550114050101</v>
      </c>
      <c r="E2" s="70">
        <f>'내역서(표준단가)'!E5</f>
        <v>0</v>
      </c>
      <c r="F2" s="70">
        <f>'내역서(표준단가)'!I5</f>
        <v>30</v>
      </c>
    </row>
    <row r="3" spans="1:6">
      <c r="A3" s="69" t="str">
        <f>'내역서(표준단가)'!A6</f>
        <v>M010550710010102</v>
      </c>
      <c r="B3" s="70">
        <f>'내역서(표준단가)'!B6</f>
        <v>0</v>
      </c>
      <c r="C3" s="70">
        <f>'내역서(표준단가)'!C6</f>
        <v>0</v>
      </c>
      <c r="D3" s="70" t="str">
        <f>'내역서(표준단가)'!D6</f>
        <v>M010550710010102</v>
      </c>
      <c r="E3" s="70">
        <f>'내역서(표준단가)'!E6</f>
        <v>0</v>
      </c>
      <c r="F3" s="70">
        <f>'내역서(표준단가)'!I6</f>
        <v>5</v>
      </c>
    </row>
    <row r="4" spans="1:6">
      <c r="A4" s="69" t="str">
        <f>'내역서(표준단가)'!A7</f>
        <v>M020412917710102</v>
      </c>
      <c r="B4" s="70">
        <f>'내역서(표준단가)'!B7</f>
        <v>0</v>
      </c>
      <c r="C4" s="70">
        <f>'내역서(표준단가)'!C7</f>
        <v>0</v>
      </c>
      <c r="D4" s="70" t="str">
        <f>'내역서(표준단가)'!D7</f>
        <v>M020412917710102</v>
      </c>
      <c r="E4" s="70">
        <f>'내역서(표준단가)'!E7</f>
        <v>0</v>
      </c>
      <c r="F4" s="70">
        <f>'내역서(표준단가)'!I7</f>
        <v>2</v>
      </c>
    </row>
    <row r="5" spans="1:6">
      <c r="A5" s="69" t="str">
        <f>'내역서(표준단가)'!A8</f>
        <v>M020412917340101</v>
      </c>
      <c r="B5" s="70">
        <f>'내역서(표준단가)'!B8</f>
        <v>0</v>
      </c>
      <c r="C5" s="70">
        <f>'내역서(표준단가)'!C8</f>
        <v>0</v>
      </c>
      <c r="D5" s="70" t="str">
        <f>'내역서(표준단가)'!D8</f>
        <v>M020412917340101</v>
      </c>
      <c r="E5" s="70">
        <f>'내역서(표준단가)'!E8</f>
        <v>0</v>
      </c>
      <c r="F5" s="70">
        <f>'내역서(표준단가)'!I8</f>
        <v>2</v>
      </c>
    </row>
    <row r="6" spans="1:6">
      <c r="A6" s="69" t="str">
        <f>'내역서(표준단가)'!A9</f>
        <v>M020806810430101</v>
      </c>
      <c r="B6" s="70">
        <f>'내역서(표준단가)'!B9</f>
        <v>0</v>
      </c>
      <c r="C6" s="70">
        <f>'내역서(표준단가)'!C9</f>
        <v>0</v>
      </c>
      <c r="D6" s="70" t="str">
        <f>'내역서(표준단가)'!D9</f>
        <v>M020806810430101</v>
      </c>
      <c r="E6" s="70">
        <f>'내역서(표준단가)'!E9</f>
        <v>0</v>
      </c>
      <c r="F6" s="70">
        <f>'내역서(표준단가)'!I9</f>
        <v>1</v>
      </c>
    </row>
  </sheetData>
  <phoneticPr fontId="22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1</cp:revision>
  <cp:lastPrinted>2024-01-06T06:05:11Z</cp:lastPrinted>
  <dcterms:created xsi:type="dcterms:W3CDTF">2020-09-15T23:52:51Z</dcterms:created>
  <dcterms:modified xsi:type="dcterms:W3CDTF">2026-05-28T02:35:16Z</dcterms:modified>
  <cp:version>1100.0100.01</cp:version>
</cp:coreProperties>
</file>
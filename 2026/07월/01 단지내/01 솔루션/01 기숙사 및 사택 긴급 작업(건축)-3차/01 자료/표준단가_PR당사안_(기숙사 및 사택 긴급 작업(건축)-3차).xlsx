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현재_통합_문서"/>
  <mc:AlternateContent xmlns:mc="http://schemas.openxmlformats.org/markup-compatibility/2006">
    <mc:Choice Requires="x15">
      <x15ac:absPath xmlns:x15ac="http://schemas.microsoft.com/office/spreadsheetml/2010/11/ac" url="D:\02 기숙사 및 사택\02 견적작업\02 견적서\01 솔루션\260423\06 작업폴더\01 기숙사 및 사택 긴급 작업(건축)-3차\01 자료\"/>
    </mc:Choice>
  </mc:AlternateContent>
  <xr:revisionPtr revIDLastSave="0" documentId="13_ncr:1_{E545A7C0-8520-4302-971D-205B1378FAEB}" xr6:coauthVersionLast="47" xr6:coauthVersionMax="47" xr10:uidLastSave="{00000000-0000-0000-0000-000000000000}"/>
  <bookViews>
    <workbookView xWindow="780" yWindow="675" windowWidth="14490" windowHeight="15525" xr2:uid="{00000000-000D-0000-FFFF-FFFF00000000}"/>
  </bookViews>
  <sheets>
    <sheet name="PR당사안" sheetId="20" r:id="rId1"/>
    <sheet name="내역서(표준단가)" sheetId="18" r:id="rId2"/>
    <sheet name="사택 관리소 접수(변환_관리소 서명 확인)" sheetId="16" r:id="rId3"/>
    <sheet name="시중가 근거서류 " sheetId="17"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1" i="20" l="1"/>
  <c r="J19" i="20" a="1"/>
  <c r="J19" i="20" s="1"/>
  <c r="J18" i="20" a="1"/>
  <c r="J18" i="20" s="1"/>
  <c r="J29" i="20"/>
  <c r="I43" i="16"/>
  <c r="J22" i="20" l="1"/>
  <c r="J24" i="20"/>
  <c r="J23" i="20"/>
  <c r="J26" i="20"/>
  <c r="J25" i="20"/>
  <c r="J27" i="20" s="1"/>
  <c r="S14" i="18"/>
  <c r="Q14" i="18"/>
  <c r="O14" i="18"/>
  <c r="M14" i="18"/>
  <c r="A14" i="18"/>
  <c r="J28" i="20" l="1"/>
  <c r="J20" i="20" s="1"/>
  <c r="T14" i="18"/>
  <c r="M13" i="18"/>
  <c r="M12" i="18"/>
  <c r="M11" i="18"/>
  <c r="M10" i="18"/>
  <c r="M9" i="18"/>
  <c r="M8" i="18"/>
  <c r="S13" i="18"/>
  <c r="Q13" i="18"/>
  <c r="O13" i="18"/>
  <c r="S12" i="18"/>
  <c r="Q12" i="18"/>
  <c r="O12" i="18"/>
  <c r="A13" i="18"/>
  <c r="A12" i="18"/>
  <c r="A11" i="18"/>
  <c r="A10" i="18"/>
  <c r="A9" i="18"/>
  <c r="A8" i="18"/>
  <c r="A7" i="18"/>
  <c r="A6" i="18"/>
  <c r="J30" i="20" l="1"/>
  <c r="T12" i="18"/>
  <c r="T13" i="18"/>
  <c r="O5" i="18"/>
  <c r="M32" i="20" l="1"/>
  <c r="B15" i="20" s="1"/>
  <c r="O6" i="18"/>
  <c r="T6" i="18" s="1"/>
  <c r="V36" i="16" l="1"/>
  <c r="V39" i="16" s="1"/>
  <c r="U36" i="16"/>
  <c r="U39" i="16" s="1"/>
  <c r="T36" i="16"/>
  <c r="T39" i="16" s="1"/>
  <c r="S36" i="16"/>
  <c r="S39" i="16" s="1"/>
  <c r="R36" i="16"/>
  <c r="R39" i="16" s="1"/>
  <c r="Q36" i="16"/>
  <c r="Q39" i="16" s="1"/>
  <c r="P36" i="16"/>
  <c r="P39" i="16" s="1"/>
  <c r="O36" i="16"/>
  <c r="O39" i="16" s="1"/>
  <c r="D36" i="16"/>
  <c r="D39" i="16" s="1"/>
  <c r="I35" i="16"/>
  <c r="J35" i="16" s="1"/>
  <c r="I34" i="16"/>
  <c r="J34" i="16" s="1"/>
  <c r="I33" i="16"/>
  <c r="J33" i="16" s="1"/>
  <c r="I32" i="16"/>
  <c r="J32" i="16" s="1"/>
  <c r="I31" i="16"/>
  <c r="J31" i="16" s="1"/>
  <c r="I30" i="16"/>
  <c r="J30" i="16" s="1"/>
  <c r="I29" i="16"/>
  <c r="J29" i="16" s="1"/>
  <c r="I28" i="16"/>
  <c r="J28" i="16" s="1"/>
  <c r="I22" i="16"/>
  <c r="J22" i="16" s="1"/>
  <c r="I27" i="16"/>
  <c r="J27" i="16" s="1"/>
  <c r="I26" i="16"/>
  <c r="J26" i="16" s="1"/>
  <c r="I25" i="16"/>
  <c r="J25" i="16" s="1"/>
  <c r="I24" i="16"/>
  <c r="J24" i="16" s="1"/>
  <c r="I23" i="16"/>
  <c r="J23" i="16" s="1"/>
  <c r="I21" i="16"/>
  <c r="J21" i="16" s="1"/>
  <c r="I20" i="16"/>
  <c r="J20" i="16" s="1"/>
  <c r="I19" i="16"/>
  <c r="J19" i="16" s="1"/>
  <c r="I18" i="16"/>
  <c r="J18" i="16" s="1"/>
  <c r="I17" i="16"/>
  <c r="J17" i="16" s="1"/>
  <c r="I16" i="16"/>
  <c r="J16" i="16" s="1"/>
  <c r="I15" i="16"/>
  <c r="J15" i="16" s="1"/>
  <c r="I14" i="16"/>
  <c r="J14" i="16" s="1"/>
  <c r="I13" i="16"/>
  <c r="J13" i="16" s="1"/>
  <c r="I6" i="16"/>
  <c r="J6" i="16" s="1"/>
  <c r="I5" i="16"/>
  <c r="J5" i="16" s="1"/>
  <c r="I11" i="16"/>
  <c r="J11" i="16" s="1"/>
  <c r="I7" i="16"/>
  <c r="J7" i="16" s="1"/>
  <c r="I42" i="16" l="1"/>
  <c r="O11" i="18"/>
  <c r="Q11" i="18"/>
  <c r="S11" i="18"/>
  <c r="M16" i="18"/>
  <c r="S16" i="18"/>
  <c r="Q16" i="18"/>
  <c r="O16" i="18"/>
  <c r="M15" i="18"/>
  <c r="S10" i="18"/>
  <c r="Q10" i="18"/>
  <c r="O10" i="18"/>
  <c r="S9" i="18"/>
  <c r="S8" i="18"/>
  <c r="S7" i="18"/>
  <c r="Q7" i="18"/>
  <c r="S5" i="18"/>
  <c r="Q5" i="18"/>
  <c r="M5" i="18"/>
  <c r="A5" i="18"/>
  <c r="T15" i="18" l="1"/>
  <c r="T11" i="18"/>
  <c r="S17" i="18"/>
  <c r="T16" i="18"/>
  <c r="T10" i="18"/>
  <c r="Q17" i="18"/>
  <c r="T5" i="18"/>
  <c r="M7" i="18"/>
  <c r="Q9" i="18"/>
  <c r="O9" i="18"/>
  <c r="O7" i="18"/>
  <c r="O8" i="18"/>
  <c r="Q8" i="18"/>
  <c r="M17" i="18" l="1"/>
  <c r="O17" i="18"/>
  <c r="T7" i="18"/>
  <c r="T9" i="18"/>
  <c r="T8" i="18"/>
  <c r="T17" i="18" l="1"/>
  <c r="I12" i="16"/>
  <c r="I10" i="16"/>
  <c r="J10" i="16" s="1"/>
  <c r="I9" i="16"/>
  <c r="J9" i="16" s="1"/>
  <c r="I8" i="16"/>
  <c r="J8" i="16" l="1"/>
  <c r="I36" i="16"/>
  <c r="J12" i="16"/>
  <c r="J36" i="1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H3" authorId="0" shapeId="0" xr:uid="{20D95A3B-DFDE-4490-A05D-C07AC7271986}">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<sst xmlns="http://schemas.openxmlformats.org/spreadsheetml/2006/main" count="404" uniqueCount="273">
  <si>
    <t>수량</t>
  </si>
  <si>
    <t>식</t>
    <phoneticPr fontId="16" type="noConversion"/>
  </si>
  <si>
    <t>단위</t>
  </si>
  <si>
    <t>▼낙찰율</t>
    <phoneticPr fontId="12" type="noConversion"/>
  </si>
  <si>
    <t>▶ 표준 Code(표준단가/품셈/물정/노임) 순서별 입력(Upload 자동반영)</t>
    <phoneticPr fontId="10" type="noConversion"/>
  </si>
  <si>
    <t>주요내역</t>
    <phoneticPr fontId="10" type="noConversion"/>
  </si>
  <si>
    <t>재료비</t>
    <phoneticPr fontId="12" type="noConversion"/>
  </si>
  <si>
    <t>노무비</t>
    <phoneticPr fontId="12" type="noConversion"/>
  </si>
  <si>
    <t>기계경비</t>
  </si>
  <si>
    <t>기타경비(부자재비)</t>
  </si>
  <si>
    <t>합계</t>
    <phoneticPr fontId="12" type="noConversion"/>
  </si>
  <si>
    <t>노무비 할증</t>
    <phoneticPr fontId="10" type="noConversion"/>
  </si>
  <si>
    <t>합계</t>
    <phoneticPr fontId="10" type="noConversion"/>
  </si>
  <si>
    <t>표준단가 D</t>
    <phoneticPr fontId="10" type="noConversion"/>
  </si>
  <si>
    <t>표준품셈 E</t>
    <phoneticPr fontId="10" type="noConversion"/>
  </si>
  <si>
    <t>물가정보 M</t>
    <phoneticPr fontId="10" type="noConversion"/>
  </si>
  <si>
    <t>노임단가 L</t>
    <phoneticPr fontId="10" type="noConversion"/>
  </si>
  <si>
    <t>품목</t>
    <phoneticPr fontId="10" type="noConversion"/>
  </si>
  <si>
    <t>규격</t>
    <phoneticPr fontId="10" type="noConversion"/>
  </si>
  <si>
    <t>품셈/표단</t>
    <phoneticPr fontId="10" type="noConversion"/>
  </si>
  <si>
    <t>금액</t>
  </si>
  <si>
    <t>단가</t>
    <phoneticPr fontId="12" type="noConversion"/>
  </si>
  <si>
    <t>단가</t>
  </si>
  <si>
    <t>시작</t>
    <phoneticPr fontId="12" type="noConversion"/>
  </si>
  <si>
    <t>종료</t>
    <phoneticPr fontId="12" type="noConversion"/>
  </si>
  <si>
    <t>건물동</t>
    <phoneticPr fontId="12" type="noConversion"/>
  </si>
  <si>
    <t>호실</t>
    <phoneticPr fontId="12" type="noConversion"/>
  </si>
  <si>
    <t>작업지시</t>
    <phoneticPr fontId="12" type="noConversion"/>
  </si>
  <si>
    <t>보수 내용</t>
    <phoneticPr fontId="12" type="noConversion"/>
  </si>
  <si>
    <t xml:space="preserve"> </t>
    <phoneticPr fontId="10" type="noConversion"/>
  </si>
  <si>
    <t>건수</t>
    <phoneticPr fontId="12" type="noConversion"/>
  </si>
  <si>
    <t>업체명</t>
    <phoneticPr fontId="12" type="noConversion"/>
  </si>
  <si>
    <t>일자</t>
    <phoneticPr fontId="12" type="noConversion"/>
  </si>
  <si>
    <t>시간</t>
    <phoneticPr fontId="12" type="noConversion"/>
  </si>
  <si>
    <t>(종료-시간)</t>
    <phoneticPr fontId="12" type="noConversion"/>
  </si>
  <si>
    <t>(인원*작업시간)</t>
    <phoneticPr fontId="12" type="noConversion"/>
  </si>
  <si>
    <t>비고</t>
    <phoneticPr fontId="10" type="noConversion"/>
  </si>
  <si>
    <t>근로자 
(직접 서명)</t>
    <phoneticPr fontId="12" type="noConversion"/>
  </si>
  <si>
    <t>자재 내역</t>
    <phoneticPr fontId="10" type="noConversion"/>
  </si>
  <si>
    <t>특별인부
(시공사 입력)</t>
    <phoneticPr fontId="10" type="noConversion"/>
  </si>
  <si>
    <t>작업시간(인당)</t>
    <phoneticPr fontId="10" type="noConversion"/>
  </si>
  <si>
    <t>전체 시간</t>
    <phoneticPr fontId="10" type="noConversion"/>
  </si>
  <si>
    <t>방충망
(개)</t>
    <phoneticPr fontId="10" type="noConversion"/>
  </si>
  <si>
    <t>코킹재
(개)</t>
    <phoneticPr fontId="10" type="noConversion"/>
  </si>
  <si>
    <t>걸레받이
(m)</t>
    <phoneticPr fontId="10" type="noConversion"/>
  </si>
  <si>
    <t>블라인드
개소당 (5㎡)</t>
    <phoneticPr fontId="10" type="noConversion"/>
  </si>
  <si>
    <t>일성건축</t>
    <phoneticPr fontId="10" type="noConversion"/>
  </si>
  <si>
    <t>남해원</t>
    <phoneticPr fontId="10" type="noConversion"/>
  </si>
  <si>
    <t>L003</t>
  </si>
  <si>
    <t>M/D</t>
    <phoneticPr fontId="10" type="noConversion"/>
  </si>
  <si>
    <t>㎡</t>
  </si>
  <si>
    <t>다우실 1000</t>
  </si>
  <si>
    <t>270㎖</t>
  </si>
  <si>
    <t>걸레받이</t>
  </si>
  <si>
    <t>m</t>
  </si>
  <si>
    <t>열반사 단열재 (m2)</t>
    <phoneticPr fontId="10" type="noConversion"/>
  </si>
  <si>
    <t>석고보드 12.5t(매)</t>
    <phoneticPr fontId="10" type="noConversion"/>
  </si>
  <si>
    <t xml:space="preserve">2
103
</t>
    <phoneticPr fontId="10" type="noConversion"/>
  </si>
  <si>
    <t>이보드 13t(m2)</t>
    <phoneticPr fontId="10" type="noConversion"/>
  </si>
  <si>
    <t xml:space="preserve">첨부 1 </t>
    <phoneticPr fontId="10" type="noConversion"/>
  </si>
  <si>
    <t>첨부 4</t>
    <phoneticPr fontId="10" type="noConversion"/>
  </si>
  <si>
    <t>첨부 2</t>
    <phoneticPr fontId="10" type="noConversion"/>
  </si>
  <si>
    <t>첨부 3</t>
    <phoneticPr fontId="10" type="noConversion"/>
  </si>
  <si>
    <t>첨부 5</t>
    <phoneticPr fontId="10" type="noConversion"/>
  </si>
  <si>
    <t>특별인부</t>
    <phoneticPr fontId="10" type="noConversion"/>
  </si>
  <si>
    <t>방충망 AL</t>
  </si>
  <si>
    <t>씽크대 문짝 교체</t>
    <phoneticPr fontId="10" type="noConversion"/>
  </si>
  <si>
    <t>L/S</t>
    <phoneticPr fontId="10" type="noConversion"/>
  </si>
  <si>
    <t>총 계</t>
    <phoneticPr fontId="10" type="noConversion"/>
  </si>
  <si>
    <t>첨부 6</t>
    <phoneticPr fontId="10" type="noConversion"/>
  </si>
  <si>
    <t>첨부 7</t>
    <phoneticPr fontId="10" type="noConversion"/>
  </si>
  <si>
    <t>첨부 8</t>
    <phoneticPr fontId="10" type="noConversion"/>
  </si>
  <si>
    <t>첨부 9</t>
    <phoneticPr fontId="10" type="noConversion"/>
  </si>
  <si>
    <t>첨부 10</t>
    <phoneticPr fontId="10" type="noConversion"/>
  </si>
  <si>
    <t>첨부 11</t>
    <phoneticPr fontId="10" type="noConversion"/>
  </si>
  <si>
    <t>첨부 12</t>
    <phoneticPr fontId="10" type="noConversion"/>
  </si>
  <si>
    <t>매</t>
    <phoneticPr fontId="10" type="noConversion"/>
  </si>
  <si>
    <t>M020750510130102</t>
  </si>
  <si>
    <t>에너폴(이보드, 1000*1000*13T, 대체)</t>
    <phoneticPr fontId="10" type="noConversion"/>
  </si>
  <si>
    <t>매</t>
  </si>
  <si>
    <t>에너폴(태화론 TW-06, 6㎜×1M×50M단면-점착 대체)</t>
    <phoneticPr fontId="10" type="noConversion"/>
  </si>
  <si>
    <t>M020750510120102</t>
  </si>
  <si>
    <t>M020690811520101</t>
  </si>
  <si>
    <t>일반석고보드</t>
  </si>
  <si>
    <t>첨부 13</t>
    <phoneticPr fontId="10" type="noConversion"/>
  </si>
  <si>
    <t>첨부 14</t>
    <phoneticPr fontId="10" type="noConversion"/>
  </si>
  <si>
    <t>첨부 15</t>
    <phoneticPr fontId="10" type="noConversion"/>
  </si>
  <si>
    <t>첨부 16</t>
    <phoneticPr fontId="10" type="noConversion"/>
  </si>
  <si>
    <t xml:space="preserve"> 
</t>
    <phoneticPr fontId="10" type="noConversion"/>
  </si>
  <si>
    <t>뒤베란다 벽면 크렉보수 완료
문보수 3개소 보수완료
씽크대 상판 실리콘 제거 및 재코킹 작업 완료
걸레받이 2개소 교체 완료
방충망 3개소 교체 완료</t>
    <phoneticPr fontId="10" type="noConversion"/>
  </si>
  <si>
    <t xml:space="preserve">7
101
</t>
    <phoneticPr fontId="10" type="noConversion"/>
  </si>
  <si>
    <t xml:space="preserve">307
102
</t>
    <phoneticPr fontId="10" type="noConversion"/>
  </si>
  <si>
    <t>씽크대 상판 실리콘 제거 및 재코킹 작업 완료
걸레받이 3개소 교체 완료
문보수 1개소 보수완료
방충망 3개소 교체 완료
씽크대 상판 실리콘 제거 및 재코킹 작업 완료
걸레받이 5개소 교체 완료
문보수 1개소 보수완료
거실 좌측방 문틀 시트지 보수 완료</t>
    <phoneticPr fontId="10" type="noConversion"/>
  </si>
  <si>
    <t xml:space="preserve">101
102
</t>
    <phoneticPr fontId="10" type="noConversion"/>
  </si>
  <si>
    <t>씽크대 상판 실리콘 제거 및 재코킹 작업 완료
문보수 3개소 보수완료
창문측 벽면 단열재 뜰뜸4곳(거실,방3개 보수작업완료)
방충망 3개소 교체 완료</t>
    <phoneticPr fontId="10" type="noConversion"/>
  </si>
  <si>
    <t>103
2
2
102</t>
    <phoneticPr fontId="10" type="noConversion"/>
  </si>
  <si>
    <t>205
302
205
503</t>
    <phoneticPr fontId="10" type="noConversion"/>
  </si>
  <si>
    <t>방충망 2개소 교체 완료
앞,뒤 베란다 크랙보수 완료
문보수 1개소 보수완료
씽크대 상판 실리콘 제거 및 재코킹 작업 완료
문보수 2개소 보수완료</t>
    <phoneticPr fontId="10" type="noConversion"/>
  </si>
  <si>
    <t>102
2
8
2</t>
    <phoneticPr fontId="10" type="noConversion"/>
  </si>
  <si>
    <t>406
302
205
206</t>
    <phoneticPr fontId="10" type="noConversion"/>
  </si>
  <si>
    <t>방충망 3개소 교체 완료
방충망 5개소 교체 완료
방충망 6개소 교체 완료
방충망 5개소 교체 완료</t>
    <phoneticPr fontId="10" type="noConversion"/>
  </si>
  <si>
    <t>문보수 4개소 보수완료
걸레받이 7개소 교체 완료
씽크대 상판 실리콘 제거 및 재코킹 작업 완료
거실 우측 방문 파손 보수 완료
방충망 3개소 교체 완료</t>
    <phoneticPr fontId="10" type="noConversion"/>
  </si>
  <si>
    <t>1차분 (정산진행)</t>
    <phoneticPr fontId="10" type="noConversion"/>
  </si>
  <si>
    <t>연구
단지</t>
    <phoneticPr fontId="10" type="noConversion"/>
  </si>
  <si>
    <t>폐기물
보관소</t>
    <phoneticPr fontId="10" type="noConversion"/>
  </si>
  <si>
    <t>사택 보일러 이동(사택에서 연구소로 이동)</t>
    <phoneticPr fontId="10" type="noConversion"/>
  </si>
  <si>
    <t>씽크문 1개 교체</t>
    <phoneticPr fontId="10" type="noConversion"/>
  </si>
  <si>
    <t>103
8
102</t>
    <phoneticPr fontId="10" type="noConversion"/>
  </si>
  <si>
    <t>301
506
501</t>
    <phoneticPr fontId="10" type="noConversion"/>
  </si>
  <si>
    <t xml:space="preserve"> 방충망 3개소 교체 완료
 방충망 7개소 교체 완료
 방충망 2개소 교체 완료</t>
    <phoneticPr fontId="10" type="noConversion"/>
  </si>
  <si>
    <t xml:space="preserve">102
103
</t>
    <phoneticPr fontId="10" type="noConversion"/>
  </si>
  <si>
    <t xml:space="preserve">501
301
</t>
    <phoneticPr fontId="10" type="noConversion"/>
  </si>
  <si>
    <t>301
403</t>
    <phoneticPr fontId="10" type="noConversion"/>
  </si>
  <si>
    <t>문보수 4개소 보수완료
문보수 3개소 보수완료</t>
    <phoneticPr fontId="10" type="noConversion"/>
  </si>
  <si>
    <t>103
103</t>
    <phoneticPr fontId="10" type="noConversion"/>
  </si>
  <si>
    <t>103
405</t>
    <phoneticPr fontId="10" type="noConversion"/>
  </si>
  <si>
    <t>105
802-3</t>
    <phoneticPr fontId="10" type="noConversion"/>
  </si>
  <si>
    <t>103
A</t>
    <phoneticPr fontId="10" type="noConversion"/>
  </si>
  <si>
    <t xml:space="preserve"> 걸레받이 10개소 교체 완료
 씽크대 상판 실리콘 제거 및 재코킹 작업 완료
 벽면 단열재 들뜸 보수 완료</t>
    <phoneticPr fontId="10" type="noConversion"/>
  </si>
  <si>
    <t>105
1002-3
804-2
803-4</t>
    <phoneticPr fontId="10" type="noConversion"/>
  </si>
  <si>
    <t>문보수 2개소 보수 완료
버티컬 철거 및 교체 완료
버티컬 철거 및 교체 완료
버티컬 철거 및 교체 완료</t>
    <phoneticPr fontId="10" type="noConversion"/>
  </si>
  <si>
    <t>A</t>
    <phoneticPr fontId="10" type="noConversion"/>
  </si>
  <si>
    <t>단열재 들뜸 보수완료
문보수 1개소 보수완료
문보수 2개소 보수완료
문보수 1개소 보수완료
문보수 1개소 보수완료
문보수 1개소 보수완료</t>
    <phoneticPr fontId="10" type="noConversion"/>
  </si>
  <si>
    <t>1002-5
1002-3
803-4
802-3
802-5
801-3</t>
    <phoneticPr fontId="10" type="noConversion"/>
  </si>
  <si>
    <t>801-3
702-5
604-1
602-5
601-5
601-6
105</t>
    <phoneticPr fontId="10" type="noConversion"/>
  </si>
  <si>
    <t>A
103</t>
    <phoneticPr fontId="10" type="noConversion"/>
  </si>
  <si>
    <t xml:space="preserve">103
A
</t>
    <phoneticPr fontId="10" type="noConversion"/>
  </si>
  <si>
    <t>문보수 1개소 보수완료
문보수 1개소 보수완료
문보수 2개소 보수완료
문보수 2개소 보수완료
문보수 1개소 보수완료
문보수 1개소 보수완료
방충망 3개소 교체 완료</t>
    <phoneticPr fontId="10" type="noConversion"/>
  </si>
  <si>
    <t>앞,뒤 크랙보수 완료
앞,뒤 벽면 크랙 보수 완료
문보수 1개소 보수완료
문보수 1개소 보수완료
문보수 1개소 보수완료
문보수 1개소 보수완료
문보수 1개소 보수완료
문보수 1개소 보수완료</t>
    <phoneticPr fontId="10" type="noConversion"/>
  </si>
  <si>
    <t>401
102
504-6
404-6
403-4
401-1
304-1
204-2</t>
    <phoneticPr fontId="10" type="noConversion"/>
  </si>
  <si>
    <t xml:space="preserve">2
7
A
</t>
    <phoneticPr fontId="10" type="noConversion"/>
  </si>
  <si>
    <t>3
A</t>
    <phoneticPr fontId="10" type="noConversion"/>
  </si>
  <si>
    <t>텃밭
403</t>
    <phoneticPr fontId="10" type="noConversion"/>
  </si>
  <si>
    <t>보도 블록 점검
화장실 타일 보수 작업중</t>
    <phoneticPr fontId="10" type="noConversion"/>
  </si>
  <si>
    <t xml:space="preserve">2
3
A
</t>
    <phoneticPr fontId="10" type="noConversion"/>
  </si>
  <si>
    <t>401
텃밭
1002-5
1002-3
404-6</t>
    <phoneticPr fontId="10" type="noConversion"/>
  </si>
  <si>
    <t>A
B</t>
    <phoneticPr fontId="10" type="noConversion"/>
  </si>
  <si>
    <t>802-1
604-1
602-5
601-6
601-5
403-3
401-1
601-5</t>
    <phoneticPr fontId="10" type="noConversion"/>
  </si>
  <si>
    <t>버티컬 철거 및 교체 완료
버티컬 철거 및 교체 완료
버티컬 철거 및 교체 완료
버티컬 철거 및 교체 완료
버티컬 철거 및 교체 완료
버티컬 철거 및 교체 완료
버티컬 철거 및 교체 완료
버티컬 철거 및 교체 완료</t>
    <phoneticPr fontId="10" type="noConversion"/>
  </si>
  <si>
    <t>5
9</t>
    <phoneticPr fontId="10" type="noConversion"/>
  </si>
  <si>
    <t>106
505
405</t>
    <phoneticPr fontId="10" type="noConversion"/>
  </si>
  <si>
    <t xml:space="preserve"> 방충망 1개소 교체 완료
 방충망 5개소 교체 완료
 방충망 6개소 교체 완료</t>
    <phoneticPr fontId="10" type="noConversion"/>
  </si>
  <si>
    <t>5
2
103</t>
    <phoneticPr fontId="10" type="noConversion"/>
  </si>
  <si>
    <t>206
401
102
302</t>
    <phoneticPr fontId="10" type="noConversion"/>
  </si>
  <si>
    <t>방충망 7개소 교체 완료
방충망 5개소 교체 완료
방충망 2개소 교체 완료
방충망 3개소 교체 완료</t>
    <phoneticPr fontId="10" type="noConversion"/>
  </si>
  <si>
    <t>B
A
5</t>
    <phoneticPr fontId="10" type="noConversion"/>
  </si>
  <si>
    <t xml:space="preserve"> 903-1
804-1
803-3
801-2
702-5
604-1
1002-3
1002-5
404-6
206</t>
    <phoneticPr fontId="10" type="noConversion"/>
  </si>
  <si>
    <t>문보수 1개소 교체 완료
문보수 1개소 교체 완료
문보수 1개소 교체 완료
문보수 2개소 교체 완료
문보수 1개소 교체 완료
문보수 1개소 교체 완료
화장실 바닥타일 교체 완료
화장실 바닥타일 교체 완료
화장실 바닥타일 교체 완료
문보수 1개소 교체 완료</t>
    <phoneticPr fontId="10" type="noConversion"/>
  </si>
  <si>
    <t>2
5
5
2</t>
    <phoneticPr fontId="10" type="noConversion"/>
  </si>
  <si>
    <t>401
206
106
102</t>
    <phoneticPr fontId="10" type="noConversion"/>
  </si>
  <si>
    <t xml:space="preserve">102
202
</t>
    <phoneticPr fontId="10" type="noConversion"/>
  </si>
  <si>
    <t>앞,뒤 베란다 크랙보수 완료
거실 좌측방 붙박이장 옆벽 단열재 들뜸 재시공 완료
문보수 2개소 완료
방충망 1개소 교체 완료</t>
    <phoneticPr fontId="10" type="noConversion"/>
  </si>
  <si>
    <t>2
7</t>
    <phoneticPr fontId="10" type="noConversion"/>
  </si>
  <si>
    <t>102
508</t>
    <phoneticPr fontId="10" type="noConversion"/>
  </si>
  <si>
    <t>문 ,문틀 , 방화문 도장 작업
뒤베란다 창고벽면 부분 도색 작업</t>
    <phoneticPr fontId="10" type="noConversion"/>
  </si>
  <si>
    <t>202
203
302</t>
    <phoneticPr fontId="10" type="noConversion"/>
  </si>
  <si>
    <t>302
203
204</t>
    <phoneticPr fontId="10" type="noConversion"/>
  </si>
  <si>
    <t>202
203
405</t>
    <phoneticPr fontId="10" type="noConversion"/>
  </si>
  <si>
    <t>204
103</t>
    <phoneticPr fontId="10" type="noConversion"/>
  </si>
  <si>
    <t>8
103</t>
    <phoneticPr fontId="10" type="noConversion"/>
  </si>
  <si>
    <t>103
101
9</t>
    <phoneticPr fontId="10" type="noConversion"/>
  </si>
  <si>
    <t>103
101
8</t>
    <phoneticPr fontId="10" type="noConversion"/>
  </si>
  <si>
    <t>씽크대 상판 실리콘 제거 및 재코킹 작업
걸레받이 7개소 교체 완료
방화문 보수 완료</t>
    <phoneticPr fontId="10" type="noConversion"/>
  </si>
  <si>
    <t>방충망 4개소 교체 완료
가스렌지장 대리석 교체 및 장 재설치</t>
    <phoneticPr fontId="10" type="noConversion"/>
  </si>
  <si>
    <t>세금계산서 첨부1</t>
    <phoneticPr fontId="10" type="noConversion"/>
  </si>
  <si>
    <t>걸레받이 4개소 교체 완료
낙서 및 얼룩제거 완료(붙박이장,방문)
문보수3개소 보수 완료
걸레받이 1개소 교체 완료
씽크대 상판 실리콘 제거 및 재코킹 작업 완료</t>
    <phoneticPr fontId="10" type="noConversion"/>
  </si>
  <si>
    <t>문보수 2개소 보수완료
문바닥틀 시트지 교체 완료
걸레받이 3개소 교체 완료
화장실 타일 보수 완료
문보수 4개소 보수 완료</t>
    <phoneticPr fontId="10" type="noConversion"/>
  </si>
  <si>
    <t>세금계산서 첨부2</t>
    <phoneticPr fontId="10" type="noConversion"/>
  </si>
  <si>
    <t>방염, 기본면적: 2㎡, 가구당 5㎡*11가구=55㎡</t>
    <phoneticPr fontId="10" type="noConversion"/>
  </si>
  <si>
    <t>9동 502호</t>
    <phoneticPr fontId="10" type="noConversion"/>
  </si>
  <si>
    <t>103동 103호</t>
    <phoneticPr fontId="10" type="noConversion"/>
  </si>
  <si>
    <t>도장공</t>
    <phoneticPr fontId="10" type="noConversion"/>
  </si>
  <si>
    <t xml:space="preserve">402
406
</t>
    <phoneticPr fontId="10" type="noConversion"/>
  </si>
  <si>
    <t>걸레받이 10개소 교체 완료
방충망 3개소 교체 완료
걸레받이 13개소 교체 중</t>
    <phoneticPr fontId="10" type="noConversion"/>
  </si>
  <si>
    <t>걸레받이 13개소 교체 완료
걸레받이 7개소 교체중
방충망 3개소 교체 완료</t>
    <phoneticPr fontId="10" type="noConversion"/>
  </si>
  <si>
    <t>가스렌지장 재설치 및 인조대리석 교체</t>
    <phoneticPr fontId="10" type="noConversion"/>
  </si>
  <si>
    <r>
      <t xml:space="preserve">벽체 단열재 들뜸 보수 완료
보도 블록 보수 작업 완료
</t>
    </r>
    <r>
      <rPr>
        <sz val="15"/>
        <color theme="1"/>
        <rFont val="맑은 고딕"/>
        <family val="3"/>
        <charset val="129"/>
        <scheme val="minor"/>
      </rPr>
      <t>화장실 바닥 타일 부분 교체중
화장실 바닥 타일 부분 교체중
화장실 바닥 타일 부분 교체중</t>
    </r>
    <phoneticPr fontId="10" type="noConversion"/>
  </si>
  <si>
    <t>L029</t>
    <phoneticPr fontId="10" type="noConversion"/>
  </si>
  <si>
    <t>M020852810150101</t>
  </si>
  <si>
    <t>MFA, 1,000×1,000㎜, AL도장</t>
    <phoneticPr fontId="10" type="noConversion"/>
  </si>
  <si>
    <t>M020450310340103</t>
  </si>
  <si>
    <t>1액형 실리콘, 발코니 창호 주위 조인트용(창틀용)</t>
    <phoneticPr fontId="10" type="noConversion"/>
  </si>
  <si>
    <t>M020251411670101</t>
  </si>
  <si>
    <t>SHWB-100, W:100×2T</t>
    <phoneticPr fontId="10" type="noConversion"/>
  </si>
  <si>
    <t>M020533113070101</t>
  </si>
  <si>
    <t>12.5T×900×1,800㎜</t>
    <phoneticPr fontId="10" type="noConversion"/>
  </si>
  <si>
    <t>롤스크린(단면암막)</t>
    <phoneticPr fontId="10" type="noConversion"/>
  </si>
  <si>
    <t>900 X 1800X50, 3호(비중0.020)</t>
    <phoneticPr fontId="10" type="noConversion"/>
  </si>
  <si>
    <t>900 X 1800X40, 3호(비중0.020)</t>
    <phoneticPr fontId="10" type="noConversion"/>
  </si>
  <si>
    <t>방염 엘레이나(EL,EV) 0.42 X 1,220㎜</t>
    <phoneticPr fontId="10" type="noConversion"/>
  </si>
  <si>
    <t>M020850811250101</t>
  </si>
  <si>
    <r>
      <t xml:space="preserve">씽크대 상판 실리콘 제거 및 재코킹 작업 완료
뒤베란다 창고옆 누수점검 및 보수작업 완료
씽크대 상판 실리콘 제거 및 재코킹 작업 완료
뒤베란다 창고옆 누수점검 및 보수작업 완료
</t>
    </r>
    <r>
      <rPr>
        <sz val="15"/>
        <color theme="1" tint="4.9989318521683403E-2"/>
        <rFont val="맑은 고딕"/>
        <family val="3"/>
        <charset val="129"/>
        <scheme val="minor"/>
      </rPr>
      <t>신발장 시트지 교체 작업</t>
    </r>
    <r>
      <rPr>
        <sz val="15"/>
        <rFont val="맑은 고딕"/>
        <family val="3"/>
        <charset val="129"/>
        <scheme val="minor"/>
      </rPr>
      <t xml:space="preserve">
방충망 3개소 교체 완료</t>
    </r>
    <phoneticPr fontId="10" type="noConversion"/>
  </si>
  <si>
    <t>㎡</t>
    <phoneticPr fontId="10" type="noConversion"/>
  </si>
  <si>
    <t>신발장 시트지 2㎡</t>
    <phoneticPr fontId="10" type="noConversion"/>
  </si>
  <si>
    <t>401
402</t>
    <phoneticPr fontId="10" type="noConversion"/>
  </si>
  <si>
    <t>걸레받이 도장 및 부분 재도장
베란다 걸레 받이 도장 , 벽체 부분 보수 도장</t>
    <phoneticPr fontId="10" type="noConversion"/>
  </si>
  <si>
    <t>LX지인 인테리어필름(신발장)</t>
    <phoneticPr fontId="10" type="noConversion"/>
  </si>
  <si>
    <t>시공사
절감</t>
    <phoneticPr fontId="10" type="noConversion"/>
  </si>
  <si>
    <t>1차 합 계</t>
    <phoneticPr fontId="10" type="noConversion"/>
  </si>
  <si>
    <t>25년
No.87</t>
    <phoneticPr fontId="10" type="noConversion"/>
  </si>
  <si>
    <t>"</t>
    <phoneticPr fontId="10" type="noConversion"/>
  </si>
  <si>
    <t>서명지(관리소) - 시공사 절감</t>
    <phoneticPr fontId="10" type="noConversion"/>
  </si>
  <si>
    <t>22,4490원/특별인부 (절감)</t>
    <phoneticPr fontId="10" type="noConversion"/>
  </si>
  <si>
    <t>향후 예상</t>
    <phoneticPr fontId="10" type="noConversion"/>
  </si>
  <si>
    <t>42 (전월 관리소 서명지 접수 M/D)
14.7041 (정산 완료 금액 차감 M/D)</t>
    <phoneticPr fontId="10" type="noConversion"/>
  </si>
  <si>
    <t>2 (전월 관리소 서명지 접수 M/D)</t>
    <phoneticPr fontId="10" type="noConversion"/>
  </si>
  <si>
    <t>긴급보수 대응</t>
    <phoneticPr fontId="10" type="noConversion"/>
  </si>
  <si>
    <t>見  積  書</t>
    <phoneticPr fontId="16" type="noConversion"/>
  </si>
  <si>
    <t>수 신: LG에너지솔루션</t>
    <phoneticPr fontId="16" type="noConversion"/>
  </si>
  <si>
    <r>
      <t>견  적  일  자</t>
    </r>
    <r>
      <rPr>
        <sz val="12"/>
        <rFont val="Arial"/>
        <family val="2"/>
      </rPr>
      <t/>
    </r>
    <phoneticPr fontId="16" type="noConversion"/>
  </si>
  <si>
    <t>년</t>
    <phoneticPr fontId="16" type="noConversion"/>
  </si>
  <si>
    <t>월</t>
    <phoneticPr fontId="16" type="noConversion"/>
  </si>
  <si>
    <t>일</t>
    <phoneticPr fontId="16" type="noConversion"/>
  </si>
  <si>
    <t>공
급
자</t>
    <phoneticPr fontId="16" type="noConversion"/>
  </si>
  <si>
    <t>등록번호</t>
    <phoneticPr fontId="16" type="noConversion"/>
  </si>
  <si>
    <t>707-86-02-404</t>
    <phoneticPr fontId="16" type="noConversion"/>
  </si>
  <si>
    <t>전      화</t>
    <phoneticPr fontId="16" type="noConversion"/>
  </si>
  <si>
    <t>02-6924-5539</t>
    <phoneticPr fontId="16" type="noConversion"/>
  </si>
  <si>
    <r>
      <t>견  적  담  당</t>
    </r>
    <r>
      <rPr>
        <sz val="12"/>
        <rFont val="Arial"/>
        <family val="2"/>
      </rPr>
      <t/>
    </r>
    <phoneticPr fontId="16" type="noConversion"/>
  </si>
  <si>
    <t>이종근</t>
    <phoneticPr fontId="16" type="noConversion"/>
  </si>
  <si>
    <t>파트너</t>
    <phoneticPr fontId="10" type="noConversion"/>
  </si>
  <si>
    <t>상      호</t>
    <phoneticPr fontId="16" type="noConversion"/>
  </si>
  <si>
    <t>㈜에스앤아이코퍼레이션</t>
    <phoneticPr fontId="16" type="noConversion"/>
  </si>
  <si>
    <t>대      표</t>
    <phoneticPr fontId="16" type="noConversion"/>
  </si>
  <si>
    <t>서 현</t>
    <phoneticPr fontId="16" type="noConversion"/>
  </si>
  <si>
    <r>
      <t>견적유효기간</t>
    </r>
    <r>
      <rPr>
        <sz val="12"/>
        <rFont val="Arial"/>
        <family val="2"/>
      </rPr>
      <t/>
    </r>
    <phoneticPr fontId="16" type="noConversion"/>
  </si>
  <si>
    <t>견적 제출 후 30일 까지</t>
    <phoneticPr fontId="12" type="noConversion"/>
  </si>
  <si>
    <t>주      소</t>
    <phoneticPr fontId="16" type="noConversion"/>
  </si>
  <si>
    <t>서울특별시 강서구 마곡중앙로150</t>
    <phoneticPr fontId="16" type="noConversion"/>
  </si>
  <si>
    <t>납        기</t>
    <phoneticPr fontId="16" type="noConversion"/>
  </si>
  <si>
    <t>발주 후 개별 협의</t>
    <phoneticPr fontId="16" type="noConversion"/>
  </si>
  <si>
    <t>업      태</t>
    <phoneticPr fontId="16" type="noConversion"/>
  </si>
  <si>
    <t>부동산, 서비스</t>
    <phoneticPr fontId="16" type="noConversion"/>
  </si>
  <si>
    <t>종      목</t>
    <phoneticPr fontId="16" type="noConversion"/>
  </si>
  <si>
    <t>임대 및 관리</t>
    <phoneticPr fontId="16" type="noConversion"/>
  </si>
  <si>
    <t>견적을 제출 합니다</t>
    <phoneticPr fontId="16" type="noConversion"/>
  </si>
  <si>
    <t>NO</t>
    <phoneticPr fontId="83" type="noConversion"/>
  </si>
  <si>
    <t>구          분</t>
    <phoneticPr fontId="83" type="noConversion"/>
  </si>
  <si>
    <t>수량</t>
    <phoneticPr fontId="83" type="noConversion"/>
  </si>
  <si>
    <t>단위</t>
    <phoneticPr fontId="83" type="noConversion"/>
  </si>
  <si>
    <t>금    액</t>
    <phoneticPr fontId="83" type="noConversion"/>
  </si>
  <si>
    <t>비    고</t>
    <phoneticPr fontId="83" type="noConversion"/>
  </si>
  <si>
    <t>경   비</t>
    <phoneticPr fontId="16" type="noConversion"/>
  </si>
  <si>
    <t>기계 및 기타경비</t>
    <phoneticPr fontId="16" type="noConversion"/>
  </si>
  <si>
    <t>중장비 사용 등</t>
    <phoneticPr fontId="12" type="noConversion"/>
  </si>
  <si>
    <t>안전관리비</t>
    <phoneticPr fontId="16" type="noConversion"/>
  </si>
  <si>
    <t>%</t>
    <phoneticPr fontId="16" type="noConversion"/>
  </si>
  <si>
    <t>(재료비+노무비)*3.11%</t>
    <phoneticPr fontId="10" type="noConversion"/>
  </si>
  <si>
    <t>산재 보험료</t>
  </si>
  <si>
    <t>%</t>
  </si>
  <si>
    <t>노무비*3.56%</t>
    <phoneticPr fontId="10" type="noConversion"/>
  </si>
  <si>
    <t>고용보험료</t>
  </si>
  <si>
    <t>노무비*1.01%</t>
  </si>
  <si>
    <t>국민건강 보험료</t>
  </si>
  <si>
    <t>노무비*3.595%</t>
    <phoneticPr fontId="12" type="noConversion"/>
  </si>
  <si>
    <t>국민연금 보험료</t>
  </si>
  <si>
    <t>노무비*4.75%</t>
    <phoneticPr fontId="10" type="noConversion"/>
  </si>
  <si>
    <t>노인장기요양 보험료</t>
    <phoneticPr fontId="16" type="noConversion"/>
  </si>
  <si>
    <t>건강보험료*13.14%</t>
    <phoneticPr fontId="12" type="noConversion"/>
  </si>
  <si>
    <t>하도급대금지급보증증권</t>
    <phoneticPr fontId="16" type="noConversion"/>
  </si>
  <si>
    <t>1천만원 이상 공사시 적용</t>
    <phoneticPr fontId="12" type="noConversion"/>
  </si>
  <si>
    <t>폐기물처리 부담금</t>
    <phoneticPr fontId="16" type="noConversion"/>
  </si>
  <si>
    <t>식</t>
    <phoneticPr fontId="10" type="noConversion"/>
  </si>
  <si>
    <t>폐기물발생 시 적용 (kg당 34원)</t>
    <phoneticPr fontId="12" type="noConversion"/>
  </si>
  <si>
    <t>일반관리비</t>
    <phoneticPr fontId="12" type="noConversion"/>
  </si>
  <si>
    <t>%</t>
    <phoneticPr fontId="12" type="noConversion"/>
  </si>
  <si>
    <t>(재료비 + 노무비 + 경비)*5%</t>
    <phoneticPr fontId="12" type="noConversion"/>
  </si>
  <si>
    <t>이      윤</t>
    <phoneticPr fontId="16" type="noConversion"/>
  </si>
  <si>
    <t>(재료비+노무비+경비+일반관리비)*7.5%</t>
    <phoneticPr fontId="12" type="noConversion"/>
  </si>
  <si>
    <t>공사금액</t>
    <phoneticPr fontId="16" type="noConversion"/>
  </si>
  <si>
    <t>*유첨 : 견적서 내역서 1부      ─ 끝 ─</t>
    <phoneticPr fontId="16" type="noConversion"/>
  </si>
  <si>
    <t>대전 업무지원팀 / 김규환님 귀하</t>
  </si>
  <si>
    <t>기숙사 및 사택 긴급 작업(건축)-3차</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</si>
</sst>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76" formatCode="_(* #,##0_);_(* \(#,##0\);_(* &quot;-&quot;_);_(@_)"/>
    <numFmt numFmtId="177" formatCode="_(&quot;₩&quot;* #,##0.00_);_(&quot;₩&quot;* \(#,##0.00\);_(&quot;₩&quot;* &quot;-&quot;??_);_(@_)"/>
    <numFmt numFmtId="178" formatCode="_(* #,##0.00_);_(* \(#,##0.00\);_(* &quot;-&quot;??_);_(@_)"/>
    <numFmt numFmtId="179" formatCode="_(&quot;₩&quot;* #,##0_);_(&quot;₩&quot;* \(#,##0\);_(&quot;₩&quot;* &quot;-&quot;_);_(@_)"/>
    <numFmt numFmtId="180" formatCode="_ * #,##0_ ;_ * \-#,##0_ ;_ * &quot;-&quot;_ ;_ @_ "/>
    <numFmt numFmtId="181" formatCode="0.0%"/>
    <numFmt numFmtId="182" formatCode="#,##0.000_ "/>
    <numFmt numFmtId="183" formatCode="#,##0;\-#,##0;"/>
    <numFmt numFmtId="184" formatCode="[hh]\ &quot;시간&quot;\ mm\ &quot;분&quot;"/>
    <numFmt numFmtId="185" formatCode="mm&quot;월&quot;\ dd&quot;일&quot;"/>
    <numFmt numFmtId="186" formatCode="General\ &quot;인&quot;"/>
    <numFmt numFmtId="187" formatCode="#,##0_ &quot;원&quot;"/>
    <numFmt numFmtId="188" formatCode="&quot;공사명:&quot;\ @"/>
    <numFmt numFmtId="189" formatCode="0.000"/>
  </numFmts>
  <fonts count="86">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2"/>
      <color rgb="FF000000"/>
      <name val="LG스마트체 Regular"/>
      <family val="3"/>
      <charset val="129"/>
    </font>
    <font>
      <sz val="8"/>
      <name val="돋움"/>
      <family val="3"/>
      <charset val="129"/>
    </font>
    <font>
      <sz val="9"/>
      <color indexed="81"/>
      <name val="Tahoma"/>
      <family val="2"/>
    </font>
    <font>
      <b/>
      <sz val="9"/>
      <color indexed="81"/>
      <name val="Tahoma"/>
      <family val="2"/>
    </font>
    <font>
      <b/>
      <sz val="9"/>
      <color indexed="81"/>
      <name val="돋움"/>
      <family val="3"/>
      <charset val="129"/>
    </font>
    <font>
      <sz val="11"/>
      <name val="돋움"/>
      <family val="3"/>
      <charset val="129"/>
    </font>
    <font>
      <sz val="10"/>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b/>
      <sz val="11"/>
      <color rgb="FF000000"/>
      <name val="LG스마트체 Regular"/>
      <family val="3"/>
      <charset val="129"/>
    </font>
    <font>
      <b/>
      <sz val="10"/>
      <color theme="1"/>
      <name val="맑은 고딕"/>
      <family val="3"/>
      <charset val="129"/>
      <scheme val="minor"/>
    </font>
    <font>
      <sz val="10"/>
      <color theme="1"/>
      <name val="LG스마트체 Regular"/>
      <family val="3"/>
      <charset val="129"/>
    </font>
    <font>
      <sz val="10"/>
      <color indexed="8"/>
      <name val="LG스마트체 Regular"/>
      <family val="3"/>
      <charset val="129"/>
    </font>
    <font>
      <sz val="10"/>
      <name val="LG스마트체 Regular"/>
      <family val="3"/>
      <charset val="129"/>
    </font>
    <font>
      <sz val="11"/>
      <color theme="1"/>
      <name val="LG스마트체 Regular"/>
      <family val="3"/>
      <charset val="129"/>
    </font>
    <font>
      <b/>
      <sz val="10"/>
      <color theme="1" tint="0.34998626667073579"/>
      <name val="맑은 고딕"/>
      <family val="3"/>
      <charset val="129"/>
      <scheme val="minor"/>
    </font>
    <font>
      <b/>
      <sz val="17"/>
      <name val="맑은 고딕"/>
      <family val="3"/>
      <charset val="129"/>
      <scheme val="minor"/>
    </font>
    <font>
      <sz val="15"/>
      <name val="맑은 고딕"/>
      <family val="3"/>
      <charset val="129"/>
      <scheme val="minor"/>
    </font>
    <font>
      <sz val="15"/>
      <color theme="1" tint="0.499984740745262"/>
      <name val="맑은 고딕"/>
      <family val="3"/>
      <charset val="129"/>
      <scheme val="minor"/>
    </font>
    <font>
      <b/>
      <sz val="15"/>
      <color theme="1"/>
      <name val="LG스마트체 Regular"/>
      <family val="3"/>
      <charset val="129"/>
    </font>
    <font>
      <b/>
      <sz val="15"/>
      <color theme="1" tint="0.34998626667073579"/>
      <name val="LG스마트체 Regular"/>
      <family val="3"/>
      <charset val="129"/>
    </font>
    <font>
      <sz val="15"/>
      <color theme="1" tint="0.34998626667073579"/>
      <name val="LG스마트체 Regular"/>
      <family val="3"/>
      <charset val="129"/>
    </font>
    <font>
      <b/>
      <sz val="15"/>
      <name val="맑은 고딕"/>
      <family val="3"/>
      <charset val="129"/>
      <scheme val="minor"/>
    </font>
    <font>
      <b/>
      <sz val="20"/>
      <color rgb="FFFF00FF"/>
      <name val="맑은 고딕"/>
      <family val="3"/>
      <charset val="129"/>
      <scheme val="minor"/>
    </font>
    <font>
      <sz val="14"/>
      <color theme="0" tint="-0.14999847407452621"/>
      <name val="맑은 고딕"/>
      <family val="3"/>
      <charset val="129"/>
      <scheme val="minor"/>
    </font>
    <font>
      <b/>
      <sz val="17"/>
      <color theme="0" tint="-0.14999847407452621"/>
      <name val="맑은 고딕"/>
      <family val="3"/>
      <charset val="129"/>
      <scheme val="minor"/>
    </font>
    <font>
      <sz val="14"/>
      <name val="맑은 고딕"/>
      <family val="3"/>
      <charset val="129"/>
      <scheme val="minor"/>
    </font>
    <font>
      <sz val="17"/>
      <name val="맑은 고딕"/>
      <family val="3"/>
      <charset val="129"/>
      <scheme val="minor"/>
    </font>
    <font>
      <sz val="11"/>
      <name val="맑은 고딕"/>
      <family val="3"/>
      <charset val="129"/>
      <scheme val="minor"/>
    </font>
    <font>
      <b/>
      <sz val="20"/>
      <color rgb="FFFF0000"/>
      <name val="맑은 고딕"/>
      <family val="3"/>
      <charset val="129"/>
      <scheme val="minor"/>
    </font>
    <font>
      <b/>
      <sz val="20"/>
      <color theme="1" tint="0.34998626667073579"/>
      <name val="맑은 고딕"/>
      <family val="3"/>
      <charset val="129"/>
      <scheme val="minor"/>
    </font>
    <font>
      <sz val="20"/>
      <color theme="1"/>
      <name val="맑은 고딕"/>
      <family val="3"/>
      <charset val="129"/>
      <scheme val="minor"/>
    </font>
    <font>
      <sz val="10"/>
      <color rgb="FF000000"/>
      <name val="Arial"/>
      <family val="2"/>
    </font>
    <font>
      <sz val="10"/>
      <color theme="1"/>
      <name val="Arial"/>
      <family val="2"/>
    </font>
    <font>
      <sz val="10"/>
      <color indexed="8"/>
      <name val="Malgun Gothic"/>
      <family val="3"/>
      <charset val="129"/>
    </font>
    <font>
      <sz val="14"/>
      <color rgb="FFFF00FF"/>
      <name val="맑은 고딕"/>
      <family val="3"/>
      <charset val="129"/>
      <scheme val="minor"/>
    </font>
    <font>
      <b/>
      <sz val="15"/>
      <color rgb="FFFF00FF"/>
      <name val="맑은 고딕"/>
      <family val="3"/>
      <charset val="129"/>
      <scheme val="minor"/>
    </font>
    <font>
      <sz val="11"/>
      <color theme="1" tint="0.499984740745262"/>
      <name val="LG스마트체 Regular"/>
      <family val="3"/>
      <charset val="129"/>
    </font>
    <font>
      <sz val="30"/>
      <color rgb="FF000000"/>
      <name val="LG스마트체 Regular"/>
      <family val="3"/>
      <charset val="129"/>
    </font>
    <font>
      <sz val="12"/>
      <name val="LG스마트체 Regular"/>
      <family val="3"/>
      <charset val="129"/>
    </font>
    <font>
      <b/>
      <sz val="11"/>
      <color rgb="FFFF00FF"/>
      <name val="LG스마트체 Regular"/>
      <family val="3"/>
      <charset val="129"/>
    </font>
    <font>
      <sz val="10"/>
      <color rgb="FF000000"/>
      <name val="Malgun Gothic"/>
      <family val="3"/>
      <charset val="129"/>
    </font>
    <font>
      <b/>
      <sz val="15"/>
      <color theme="1" tint="0.34998626667073579"/>
      <name val="맑은 고딕"/>
      <family val="3"/>
      <charset val="129"/>
      <scheme val="minor"/>
    </font>
    <font>
      <sz val="15"/>
      <color theme="1"/>
      <name val="맑은 고딕"/>
      <family val="3"/>
      <charset val="129"/>
      <scheme val="minor"/>
    </font>
    <font>
      <b/>
      <sz val="15"/>
      <color theme="1"/>
      <name val="맑은 고딕"/>
      <family val="3"/>
      <charset val="129"/>
      <scheme val="minor"/>
    </font>
    <font>
      <sz val="11"/>
      <name val="맑은 고딕"/>
      <family val="3"/>
      <charset val="129"/>
    </font>
    <font>
      <sz val="9"/>
      <color indexed="8"/>
      <name val="Malgun Gothic"/>
      <family val="3"/>
      <charset val="129"/>
    </font>
    <font>
      <sz val="9"/>
      <color theme="1"/>
      <name val="Malgun Gothic"/>
      <family val="3"/>
      <charset val="129"/>
    </font>
    <font>
      <sz val="10"/>
      <name val="Malgun Gothic"/>
      <family val="3"/>
      <charset val="129"/>
    </font>
    <font>
      <sz val="15"/>
      <color theme="1" tint="4.9989318521683403E-2"/>
      <name val="맑은 고딕"/>
      <family val="3"/>
      <charset val="129"/>
      <scheme val="minor"/>
    </font>
    <font>
      <sz val="14"/>
      <color theme="1"/>
      <name val="맑은 고딕"/>
      <family val="3"/>
      <charset val="129"/>
      <scheme val="minor"/>
    </font>
    <font>
      <b/>
      <sz val="25"/>
      <color rgb="FFFF0000"/>
      <name val="맑은 고딕"/>
      <family val="3"/>
      <charset val="129"/>
      <scheme val="minor"/>
    </font>
    <font>
      <b/>
      <sz val="35"/>
      <color rgb="FFFF0000"/>
      <name val="맑은 고딕"/>
      <family val="3"/>
      <charset val="129"/>
      <scheme val="minor"/>
    </font>
    <font>
      <b/>
      <sz val="14"/>
      <name val="LG스마트체 Regular"/>
      <family val="3"/>
      <charset val="129"/>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15">
    <fill>
      <patternFill patternType="none"/>
    </fill>
    <fill>
      <patternFill patternType="gray125"/>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indexed="9"/>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100">
    <border>
      <left/>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medium">
        <color indexed="64"/>
      </left>
      <right style="thin">
        <color theme="1" tint="0.499984740745262"/>
      </right>
      <top style="medium">
        <color indexed="64"/>
      </top>
      <bottom style="thin">
        <color theme="0" tint="-0.24994659260841701"/>
      </bottom>
      <diagonal/>
    </border>
    <border>
      <left style="thin">
        <color theme="1" tint="0.499984740745262"/>
      </left>
      <right style="thin">
        <color theme="1" tint="0.499984740745262"/>
      </right>
      <top style="medium">
        <color indexed="64"/>
      </top>
      <bottom style="thin">
        <color theme="0" tint="-0.24994659260841701"/>
      </bottom>
      <diagonal/>
    </border>
    <border>
      <left style="thin">
        <color theme="1" tint="0.499984740745262"/>
      </left>
      <right style="thin">
        <color indexed="64"/>
      </right>
      <top style="medium">
        <color indexed="64"/>
      </top>
      <bottom style="thin">
        <color theme="0" tint="-0.24994659260841701"/>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theme="0" tint="-0.24994659260841701"/>
      </right>
      <top style="thin">
        <color theme="0" tint="-0.24994659260841701"/>
      </top>
      <bottom style="thin">
        <color theme="0" tint="-0.24994659260841701"/>
      </bottom>
      <diagonal/>
    </border>
    <border>
      <left style="thin">
        <color indexed="64"/>
      </left>
      <right style="medium">
        <color indexed="64"/>
      </right>
      <top style="thin">
        <color theme="0" tint="-0.24994659260841701"/>
      </top>
      <bottom style="thin">
        <color theme="0" tint="-0.24994659260841701"/>
      </bottom>
      <diagonal/>
    </border>
    <border>
      <left style="medium">
        <color indexed="64"/>
      </left>
      <right/>
      <top style="thin">
        <color indexed="64"/>
      </top>
      <bottom style="medium">
        <color indexed="64"/>
      </bottom>
      <diagonal/>
    </border>
    <border>
      <left/>
      <right style="thin">
        <color theme="0" tint="-0.24994659260841701"/>
      </right>
      <top style="thin">
        <color indexed="64"/>
      </top>
      <bottom style="medium">
        <color indexed="64"/>
      </bottom>
      <diagonal/>
    </border>
    <border>
      <left style="thin">
        <color theme="0" tint="-0.24994659260841701"/>
      </left>
      <right style="thin">
        <color theme="0" tint="-0.24994659260841701"/>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theme="1" tint="0.499984740745262"/>
      </right>
      <top style="thin">
        <color theme="0" tint="-0.24994659260841701"/>
      </top>
      <bottom style="medium">
        <color indexed="64"/>
      </bottom>
      <diagonal/>
    </border>
    <border>
      <left style="thin">
        <color theme="1" tint="0.499984740745262"/>
      </left>
      <right style="thin">
        <color theme="1" tint="0.499984740745262"/>
      </right>
      <top style="thin">
        <color theme="0" tint="-0.24994659260841701"/>
      </top>
      <bottom style="medium">
        <color indexed="64"/>
      </bottom>
      <diagonal/>
    </border>
    <border>
      <left style="thin">
        <color theme="1" tint="0.499984740745262"/>
      </left>
      <right style="thin">
        <color theme="0" tint="-0.24994659260841701"/>
      </right>
      <top style="thin">
        <color theme="0" tint="-0.24994659260841701"/>
      </top>
      <bottom style="medium">
        <color indexed="64"/>
      </bottom>
      <diagonal/>
    </border>
    <border>
      <left style="thin">
        <color theme="0" tint="-0.24994659260841701"/>
      </left>
      <right style="thin">
        <color theme="1" tint="0.499984740745262"/>
      </right>
      <top style="thin">
        <color theme="0" tint="-0.24994659260841701"/>
      </top>
      <bottom style="medium">
        <color indexed="64"/>
      </bottom>
      <diagonal/>
    </border>
    <border>
      <left style="thin">
        <color theme="1" tint="0.499984740745262"/>
      </left>
      <right style="thin">
        <color indexed="64"/>
      </right>
      <top style="thin">
        <color theme="0" tint="-0.24994659260841701"/>
      </top>
      <bottom style="medium">
        <color indexed="64"/>
      </bottom>
      <diagonal/>
    </border>
    <border>
      <left style="thin">
        <color indexed="64"/>
      </left>
      <right style="medium">
        <color indexed="64"/>
      </right>
      <top/>
      <bottom style="medium">
        <color indexed="64"/>
      </bottom>
      <diagonal/>
    </border>
    <border>
      <left style="medium">
        <color indexed="64"/>
      </left>
      <right/>
      <top/>
      <bottom/>
      <diagonal/>
    </border>
    <border>
      <left style="thin">
        <color theme="0" tint="-0.24994659260841701"/>
      </left>
      <right style="thin">
        <color theme="0" tint="-0.24994659260841701"/>
      </right>
      <top/>
      <bottom/>
      <diagonal/>
    </border>
    <border>
      <left style="thin">
        <color theme="0" tint="-0.24994659260841701"/>
      </left>
      <right/>
      <top/>
      <bottom/>
      <diagonal/>
    </border>
    <border>
      <left style="thin">
        <color theme="1" tint="0.499984740745262"/>
      </left>
      <right/>
      <top style="medium">
        <color indexed="64"/>
      </top>
      <bottom style="thin">
        <color theme="0" tint="-0.24994659260841701"/>
      </bottom>
      <diagonal/>
    </border>
    <border>
      <left style="thin">
        <color theme="0" tint="-0.24994659260841701"/>
      </left>
      <right style="thin">
        <color indexed="64"/>
      </right>
      <top style="thin">
        <color theme="0" tint="-0.24994659260841701"/>
      </top>
      <bottom style="thin">
        <color theme="0" tint="-0.24994659260841701"/>
      </bottom>
      <diagonal/>
    </border>
    <border>
      <left style="thin">
        <color theme="0" tint="-0.24994659260841701"/>
      </left>
      <right/>
      <top/>
      <bottom style="thin">
        <color theme="0" tint="-0.24994659260841701"/>
      </bottom>
      <diagonal/>
    </border>
    <border>
      <left style="thin">
        <color theme="0" tint="-0.24994659260841701"/>
      </left>
      <right style="thin">
        <color indexed="64"/>
      </right>
      <top/>
      <bottom style="thin">
        <color theme="0" tint="-0.2499465926084170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right style="medium">
        <color indexed="64"/>
      </right>
      <top/>
      <bottom/>
      <diagonal/>
    </border>
    <border>
      <left/>
      <right/>
      <top/>
      <bottom style="thin">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diagonal/>
    </border>
    <border>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31">
    <xf numFmtId="0" fontId="0" fillId="0" borderId="0">
      <alignment vertical="center"/>
    </xf>
    <xf numFmtId="176" fontId="11" fillId="0" borderId="0" applyFont="0" applyFill="0" applyBorder="0" applyAlignment="0" applyProtection="0">
      <alignment vertical="center"/>
    </xf>
    <xf numFmtId="9" fontId="11" fillId="0" borderId="0" applyFont="0" applyFill="0" applyBorder="0" applyAlignment="0" applyProtection="0">
      <alignment vertical="center"/>
    </xf>
    <xf numFmtId="0" fontId="13" fillId="0" borderId="0"/>
    <xf numFmtId="176" fontId="9" fillId="0" borderId="0" applyFont="0" applyFill="0" applyBorder="0" applyAlignment="0" applyProtection="0">
      <alignment vertical="center"/>
    </xf>
    <xf numFmtId="180" fontId="14" fillId="0" borderId="0" applyFont="0" applyFill="0" applyBorder="0" applyAlignment="0" applyProtection="0"/>
    <xf numFmtId="0" fontId="9" fillId="0" borderId="0">
      <alignment vertical="center"/>
    </xf>
    <xf numFmtId="9" fontId="14" fillId="0" borderId="0" applyFont="0" applyFill="0" applyBorder="0" applyAlignment="0" applyProtection="0"/>
    <xf numFmtId="0" fontId="13" fillId="0" borderId="0"/>
    <xf numFmtId="0" fontId="20" fillId="0" borderId="0"/>
    <xf numFmtId="179" fontId="20" fillId="0" borderId="0" applyFont="0" applyFill="0" applyBorder="0" applyAlignment="0" applyProtection="0"/>
    <xf numFmtId="176" fontId="20" fillId="0" borderId="0" applyFont="0" applyFill="0" applyBorder="0" applyAlignment="0" applyProtection="0">
      <alignment vertical="center"/>
    </xf>
    <xf numFmtId="0" fontId="8" fillId="0" borderId="0">
      <alignment vertical="center"/>
    </xf>
    <xf numFmtId="0" fontId="7" fillId="0" borderId="0">
      <alignment vertical="center"/>
    </xf>
    <xf numFmtId="176" fontId="7" fillId="0" borderId="0" applyFont="0" applyFill="0" applyBorder="0" applyAlignment="0" applyProtection="0">
      <alignment vertical="center"/>
    </xf>
    <xf numFmtId="0" fontId="6" fillId="0" borderId="0">
      <alignment vertical="center"/>
    </xf>
    <xf numFmtId="176" fontId="6" fillId="0" borderId="0" applyFont="0" applyFill="0" applyBorder="0" applyAlignment="0" applyProtection="0">
      <alignment vertical="center"/>
    </xf>
    <xf numFmtId="0" fontId="5" fillId="0" borderId="0">
      <alignment vertical="center"/>
    </xf>
    <xf numFmtId="176" fontId="4" fillId="0" borderId="0" applyFont="0" applyFill="0" applyBorder="0" applyAlignment="0" applyProtection="0">
      <alignment vertical="center"/>
    </xf>
    <xf numFmtId="176" fontId="11" fillId="0" borderId="0" applyFont="0" applyFill="0" applyBorder="0" applyAlignment="0" applyProtection="0">
      <alignment vertical="center"/>
    </xf>
    <xf numFmtId="0" fontId="3" fillId="0" borderId="0">
      <alignment vertical="center"/>
    </xf>
    <xf numFmtId="176" fontId="2" fillId="0" borderId="0" applyFont="0" applyFill="0" applyBorder="0" applyAlignment="0" applyProtection="0">
      <alignment vertical="center"/>
    </xf>
    <xf numFmtId="0" fontId="2" fillId="0" borderId="0">
      <alignment vertical="center"/>
    </xf>
    <xf numFmtId="176" fontId="61" fillId="0" borderId="0">
      <alignment vertical="center"/>
    </xf>
    <xf numFmtId="0" fontId="20" fillId="0" borderId="0"/>
    <xf numFmtId="0" fontId="20" fillId="0" borderId="0">
      <alignment vertical="center"/>
    </xf>
    <xf numFmtId="0" fontId="20" fillId="0" borderId="0">
      <alignment vertical="center"/>
    </xf>
    <xf numFmtId="0" fontId="20" fillId="0" borderId="0">
      <alignment vertical="center"/>
    </xf>
    <xf numFmtId="176" fontId="20" fillId="0" borderId="0" applyFont="0" applyFill="0" applyBorder="0" applyAlignment="0" applyProtection="0">
      <alignment vertical="center"/>
    </xf>
    <xf numFmtId="180" fontId="14" fillId="0" borderId="0" applyFont="0" applyFill="0" applyBorder="0" applyAlignment="0" applyProtection="0"/>
    <xf numFmtId="176" fontId="1" fillId="0" borderId="0" applyFont="0" applyFill="0" applyBorder="0" applyAlignment="0" applyProtection="0">
      <alignment vertical="center"/>
    </xf>
  </cellStyleXfs>
  <cellXfs count="344">
    <xf numFmtId="0" fontId="0" fillId="0" borderId="0" xfId="0">
      <alignment vertical="center"/>
    </xf>
    <xf numFmtId="0" fontId="21" fillId="0" borderId="0" xfId="0" applyFont="1" applyAlignment="1">
      <alignment horizontal="center" vertical="center"/>
    </xf>
    <xf numFmtId="9" fontId="23" fillId="0" borderId="0" xfId="0" applyNumberFormat="1" applyFont="1" applyAlignment="1">
      <alignment horizontal="center" vertical="center"/>
    </xf>
    <xf numFmtId="181" fontId="23" fillId="2" borderId="0" xfId="2" applyNumberFormat="1" applyFont="1" applyFill="1" applyAlignment="1">
      <alignment horizontal="center" vertical="center"/>
    </xf>
    <xf numFmtId="0" fontId="23" fillId="3" borderId="7" xfId="0" applyFont="1" applyFill="1" applyBorder="1" applyAlignment="1">
      <alignment horizontal="center" vertical="center"/>
    </xf>
    <xf numFmtId="0" fontId="23" fillId="6" borderId="1" xfId="0" applyFont="1" applyFill="1" applyBorder="1" applyAlignment="1">
      <alignment horizontal="center" vertical="center"/>
    </xf>
    <xf numFmtId="180" fontId="23" fillId="3" borderId="1" xfId="5" applyFont="1" applyFill="1" applyBorder="1" applyAlignment="1">
      <alignment horizontal="center" vertical="center"/>
    </xf>
    <xf numFmtId="0" fontId="21" fillId="5" borderId="7" xfId="0" applyFont="1" applyFill="1" applyBorder="1" applyAlignment="1">
      <alignment horizontal="center" vertical="center"/>
    </xf>
    <xf numFmtId="0" fontId="21" fillId="6" borderId="1" xfId="0" applyFont="1" applyFill="1" applyBorder="1" applyAlignment="1">
      <alignment horizontal="center" vertical="center"/>
    </xf>
    <xf numFmtId="49" fontId="21" fillId="4" borderId="1" xfId="0" applyNumberFormat="1" applyFont="1" applyFill="1" applyBorder="1" applyAlignment="1">
      <alignment horizontal="center" vertical="center" wrapText="1"/>
    </xf>
    <xf numFmtId="176" fontId="21" fillId="5" borderId="1" xfId="1" applyFont="1" applyFill="1" applyBorder="1" applyAlignment="1">
      <alignment horizontal="center" vertical="center" wrapText="1"/>
    </xf>
    <xf numFmtId="176" fontId="21" fillId="0" borderId="1" xfId="1" applyFont="1" applyFill="1" applyBorder="1" applyAlignment="1">
      <alignment horizontal="center" vertical="center" wrapText="1"/>
    </xf>
    <xf numFmtId="0" fontId="24" fillId="0" borderId="8" xfId="0" applyFont="1" applyBorder="1" applyAlignment="1">
      <alignment horizontal="center" vertical="center"/>
    </xf>
    <xf numFmtId="49" fontId="21" fillId="6" borderId="1" xfId="0" applyNumberFormat="1" applyFont="1" applyFill="1" applyBorder="1" applyAlignment="1">
      <alignment horizontal="center" vertical="center"/>
    </xf>
    <xf numFmtId="0" fontId="21" fillId="5" borderId="1" xfId="0" applyFont="1" applyFill="1" applyBorder="1" applyAlignment="1">
      <alignment horizontal="center" vertical="center"/>
    </xf>
    <xf numFmtId="0" fontId="22" fillId="4" borderId="0" xfId="0" applyFont="1" applyFill="1" applyAlignment="1">
      <alignment horizontal="center" vertical="center"/>
    </xf>
    <xf numFmtId="182" fontId="21" fillId="0" borderId="1" xfId="1" applyNumberFormat="1" applyFont="1" applyFill="1" applyBorder="1" applyAlignment="1">
      <alignment horizontal="center" vertical="center"/>
    </xf>
    <xf numFmtId="49" fontId="21" fillId="4" borderId="1" xfId="0" applyNumberFormat="1" applyFont="1" applyFill="1" applyBorder="1" applyAlignment="1">
      <alignment horizontal="center" vertical="center"/>
    </xf>
    <xf numFmtId="183" fontId="21" fillId="4" borderId="1" xfId="0" applyNumberFormat="1" applyFont="1" applyFill="1" applyBorder="1" applyAlignment="1">
      <alignment horizontal="right" vertical="center" wrapText="1"/>
    </xf>
    <xf numFmtId="183" fontId="21" fillId="5" borderId="1" xfId="1" applyNumberFormat="1" applyFont="1" applyFill="1" applyBorder="1" applyAlignment="1">
      <alignment horizontal="right" vertical="center" wrapText="1"/>
    </xf>
    <xf numFmtId="183" fontId="21" fillId="4" borderId="1" xfId="1" applyNumberFormat="1" applyFont="1" applyFill="1" applyBorder="1" applyAlignment="1">
      <alignment horizontal="right" vertical="center" wrapText="1"/>
    </xf>
    <xf numFmtId="0" fontId="21" fillId="0" borderId="0" xfId="0" applyFont="1" applyAlignment="1">
      <alignment vertical="center" wrapText="1"/>
    </xf>
    <xf numFmtId="0" fontId="23" fillId="3" borderId="1" xfId="3" applyFont="1" applyFill="1" applyBorder="1" applyAlignment="1">
      <alignment horizontal="center" vertical="center" wrapText="1"/>
    </xf>
    <xf numFmtId="0" fontId="22" fillId="4" borderId="0" xfId="0" applyFont="1" applyFill="1" applyAlignment="1">
      <alignment vertical="center" wrapText="1"/>
    </xf>
    <xf numFmtId="0" fontId="23" fillId="0" borderId="0" xfId="0" applyFont="1" applyAlignment="1">
      <alignment horizontal="center" vertical="center"/>
    </xf>
    <xf numFmtId="0" fontId="23" fillId="3" borderId="1" xfId="0" applyFont="1" applyFill="1" applyBorder="1" applyAlignment="1">
      <alignment horizontal="center" vertical="center"/>
    </xf>
    <xf numFmtId="0" fontId="21" fillId="0" borderId="0" xfId="0" applyFont="1">
      <alignment vertical="center"/>
    </xf>
    <xf numFmtId="0" fontId="23" fillId="7" borderId="9" xfId="0" applyFont="1" applyFill="1" applyBorder="1">
      <alignment vertical="center"/>
    </xf>
    <xf numFmtId="0" fontId="23" fillId="7" borderId="6" xfId="0" applyFont="1" applyFill="1" applyBorder="1">
      <alignment vertical="center"/>
    </xf>
    <xf numFmtId="0" fontId="24" fillId="0" borderId="0" xfId="0" applyFont="1">
      <alignment vertical="center"/>
    </xf>
    <xf numFmtId="0" fontId="22" fillId="8" borderId="0" xfId="0" applyFont="1" applyFill="1">
      <alignment vertical="center"/>
    </xf>
    <xf numFmtId="0" fontId="22" fillId="4" borderId="0" xfId="0" applyFont="1" applyFill="1">
      <alignment vertical="center"/>
    </xf>
    <xf numFmtId="176" fontId="15" fillId="8" borderId="0" xfId="0" applyNumberFormat="1" applyFont="1" applyFill="1">
      <alignment vertical="center"/>
    </xf>
    <xf numFmtId="0" fontId="25" fillId="0" borderId="0" xfId="0" applyFont="1">
      <alignment vertical="center"/>
    </xf>
    <xf numFmtId="0" fontId="22" fillId="0" borderId="0" xfId="0" applyFont="1">
      <alignment vertical="center"/>
    </xf>
    <xf numFmtId="0" fontId="23" fillId="4" borderId="0" xfId="0" applyFont="1" applyFill="1">
      <alignment vertical="center"/>
    </xf>
    <xf numFmtId="182" fontId="21" fillId="4" borderId="1" xfId="1" applyNumberFormat="1" applyFont="1" applyFill="1" applyBorder="1" applyAlignment="1">
      <alignment horizontal="center" vertical="center"/>
    </xf>
    <xf numFmtId="49" fontId="21" fillId="6" borderId="1" xfId="0" applyNumberFormat="1" applyFont="1" applyFill="1" applyBorder="1" applyAlignment="1">
      <alignment horizontal="center" vertical="center" wrapText="1"/>
    </xf>
    <xf numFmtId="0" fontId="27" fillId="6" borderId="1" xfId="0" applyFont="1" applyFill="1" applyBorder="1" applyAlignment="1">
      <alignment horizontal="center" vertical="center"/>
    </xf>
    <xf numFmtId="0" fontId="28" fillId="4" borderId="1" xfId="0" applyFont="1" applyFill="1" applyBorder="1" applyAlignment="1">
      <alignment horizontal="center" vertical="center"/>
    </xf>
    <xf numFmtId="49" fontId="28" fillId="4" borderId="1" xfId="0" applyNumberFormat="1" applyFont="1" applyFill="1" applyBorder="1" applyAlignment="1">
      <alignment horizontal="center" vertical="center"/>
    </xf>
    <xf numFmtId="0" fontId="30" fillId="0" borderId="0" xfId="20" applyFont="1">
      <alignment vertical="center"/>
    </xf>
    <xf numFmtId="0" fontId="36" fillId="9" borderId="14" xfId="20" applyFont="1" applyFill="1" applyBorder="1" applyAlignment="1">
      <alignment horizontal="center" vertical="center"/>
    </xf>
    <xf numFmtId="0" fontId="36" fillId="9" borderId="26" xfId="20" applyFont="1" applyFill="1" applyBorder="1" applyAlignment="1">
      <alignment horizontal="center" vertical="center"/>
    </xf>
    <xf numFmtId="0" fontId="36" fillId="9" borderId="27" xfId="20" applyFont="1" applyFill="1" applyBorder="1" applyAlignment="1">
      <alignment horizontal="center" vertical="center"/>
    </xf>
    <xf numFmtId="0" fontId="36" fillId="9" borderId="25" xfId="20" applyFont="1" applyFill="1" applyBorder="1" applyAlignment="1">
      <alignment horizontal="center" vertical="center"/>
    </xf>
    <xf numFmtId="0" fontId="37" fillId="0" borderId="25" xfId="20" applyFont="1" applyBorder="1" applyAlignment="1">
      <alignment horizontal="center" vertical="center" wrapText="1"/>
    </xf>
    <xf numFmtId="0" fontId="26" fillId="0" borderId="0" xfId="20" applyFont="1" applyAlignment="1">
      <alignment horizontal="center" vertical="center"/>
    </xf>
    <xf numFmtId="0" fontId="31" fillId="0" borderId="0" xfId="20" applyFont="1" applyAlignment="1">
      <alignment horizontal="center" vertical="center"/>
    </xf>
    <xf numFmtId="0" fontId="26" fillId="0" borderId="17" xfId="20" applyFont="1" applyBorder="1" applyAlignment="1">
      <alignment horizontal="center" vertical="center"/>
    </xf>
    <xf numFmtId="0" fontId="3" fillId="0" borderId="0" xfId="20">
      <alignment vertical="center"/>
    </xf>
    <xf numFmtId="184" fontId="34" fillId="0" borderId="5" xfId="20" applyNumberFormat="1" applyFont="1" applyBorder="1" applyAlignment="1">
      <alignment horizontal="center" vertical="center"/>
    </xf>
    <xf numFmtId="0" fontId="38" fillId="0" borderId="18" xfId="20" applyFont="1" applyBorder="1" applyAlignment="1">
      <alignment horizontal="center" vertical="center"/>
    </xf>
    <xf numFmtId="0" fontId="42" fillId="0" borderId="12" xfId="20" applyFont="1" applyBorder="1" applyAlignment="1">
      <alignment horizontal="center" vertical="center"/>
    </xf>
    <xf numFmtId="0" fontId="32" fillId="8" borderId="5" xfId="20" applyFont="1" applyFill="1" applyBorder="1" applyAlignment="1">
      <alignment horizontal="center" vertical="center"/>
    </xf>
    <xf numFmtId="185" fontId="42" fillId="0" borderId="5" xfId="20" applyNumberFormat="1" applyFont="1" applyBorder="1" applyAlignment="1">
      <alignment horizontal="center" vertical="center"/>
    </xf>
    <xf numFmtId="20" fontId="42" fillId="0" borderId="5" xfId="20" applyNumberFormat="1" applyFont="1" applyBorder="1" applyAlignment="1">
      <alignment horizontal="center" vertical="center"/>
    </xf>
    <xf numFmtId="20" fontId="43" fillId="9" borderId="5" xfId="20" applyNumberFormat="1" applyFont="1" applyFill="1" applyBorder="1" applyAlignment="1">
      <alignment horizontal="center" vertical="center"/>
    </xf>
    <xf numFmtId="0" fontId="33" fillId="0" borderId="5" xfId="20" applyFont="1" applyBorder="1" applyAlignment="1">
      <alignment horizontal="center" vertical="center" wrapText="1"/>
    </xf>
    <xf numFmtId="0" fontId="42" fillId="0" borderId="5" xfId="20" applyFont="1" applyBorder="1" applyAlignment="1">
      <alignment horizontal="center" vertical="center"/>
    </xf>
    <xf numFmtId="0" fontId="33" fillId="0" borderId="5" xfId="20" applyFont="1" applyBorder="1" applyAlignment="1">
      <alignment vertical="center" wrapText="1"/>
    </xf>
    <xf numFmtId="0" fontId="38" fillId="4" borderId="11" xfId="20" applyFont="1" applyFill="1" applyBorder="1" applyAlignment="1">
      <alignment horizontal="center" vertical="center" wrapText="1"/>
    </xf>
    <xf numFmtId="0" fontId="42" fillId="0" borderId="19" xfId="20" applyFont="1" applyBorder="1" applyAlignment="1">
      <alignment horizontal="center" vertical="center" wrapText="1"/>
    </xf>
    <xf numFmtId="0" fontId="44" fillId="0" borderId="0" xfId="20" applyFont="1">
      <alignment vertical="center"/>
    </xf>
    <xf numFmtId="0" fontId="38" fillId="0" borderId="30" xfId="20" applyFont="1" applyBorder="1" applyAlignment="1">
      <alignment horizontal="center" vertical="center"/>
    </xf>
    <xf numFmtId="0" fontId="33" fillId="0" borderId="31" xfId="20" applyFont="1" applyBorder="1" applyAlignment="1">
      <alignment horizontal="center" vertical="center"/>
    </xf>
    <xf numFmtId="0" fontId="33" fillId="0" borderId="31" xfId="20" applyFont="1" applyBorder="1" applyAlignment="1">
      <alignment vertical="center" wrapText="1"/>
    </xf>
    <xf numFmtId="0" fontId="38" fillId="4" borderId="32" xfId="20" applyFont="1" applyFill="1" applyBorder="1" applyAlignment="1">
      <alignment horizontal="center" vertical="center" wrapText="1"/>
    </xf>
    <xf numFmtId="0" fontId="42" fillId="0" borderId="17" xfId="20" applyFont="1" applyBorder="1" applyAlignment="1">
      <alignment horizontal="center" vertical="center" wrapText="1"/>
    </xf>
    <xf numFmtId="185" fontId="46" fillId="0" borderId="22" xfId="20" applyNumberFormat="1" applyFont="1" applyBorder="1" applyAlignment="1">
      <alignment horizontal="center" vertical="center"/>
    </xf>
    <xf numFmtId="20" fontId="46" fillId="0" borderId="22" xfId="20" applyNumberFormat="1" applyFont="1" applyBorder="1" applyAlignment="1">
      <alignment horizontal="center" vertical="center"/>
    </xf>
    <xf numFmtId="0" fontId="45" fillId="0" borderId="23" xfId="20" applyFont="1" applyBorder="1" applyAlignment="1">
      <alignment vertical="center" wrapText="1"/>
    </xf>
    <xf numFmtId="0" fontId="47" fillId="0" borderId="0" xfId="20" applyFont="1">
      <alignment vertical="center"/>
    </xf>
    <xf numFmtId="0" fontId="40" fillId="9" borderId="12" xfId="20" applyFont="1" applyFill="1" applyBorder="1" applyAlignment="1">
      <alignment horizontal="centerContinuous" vertical="center"/>
    </xf>
    <xf numFmtId="0" fontId="41" fillId="9" borderId="5" xfId="20" applyFont="1" applyFill="1" applyBorder="1" applyAlignment="1">
      <alignment horizontal="centerContinuous" vertical="center"/>
    </xf>
    <xf numFmtId="0" fontId="39" fillId="9" borderId="18" xfId="20" applyFont="1" applyFill="1" applyBorder="1" applyAlignment="1">
      <alignment horizontal="centerContinuous" vertical="center"/>
    </xf>
    <xf numFmtId="0" fontId="39" fillId="4" borderId="11" xfId="20" applyFont="1" applyFill="1" applyBorder="1" applyAlignment="1">
      <alignment horizontal="center" vertical="center" wrapText="1"/>
    </xf>
    <xf numFmtId="49" fontId="48" fillId="6" borderId="1" xfId="0" applyNumberFormat="1" applyFont="1" applyFill="1" applyBorder="1" applyAlignment="1">
      <alignment horizontal="center" vertical="center" wrapText="1"/>
    </xf>
    <xf numFmtId="0" fontId="49" fillId="6" borderId="1" xfId="0" applyFont="1" applyFill="1" applyBorder="1" applyAlignment="1">
      <alignment horizontal="center" vertical="center"/>
    </xf>
    <xf numFmtId="0" fontId="50" fillId="6" borderId="1" xfId="0" applyFont="1" applyFill="1" applyBorder="1" applyAlignment="1">
      <alignment horizontal="center" vertical="center"/>
    </xf>
    <xf numFmtId="0" fontId="50" fillId="4" borderId="1" xfId="0" applyFont="1" applyFill="1" applyBorder="1" applyAlignment="1">
      <alignment horizontal="center" vertical="center"/>
    </xf>
    <xf numFmtId="49" fontId="50" fillId="4" borderId="1" xfId="0" applyNumberFormat="1" applyFont="1" applyFill="1" applyBorder="1" applyAlignment="1">
      <alignment horizontal="center" vertical="center"/>
    </xf>
    <xf numFmtId="176" fontId="50" fillId="4" borderId="1" xfId="1" applyFont="1" applyFill="1" applyBorder="1" applyAlignment="1">
      <alignment horizontal="center" vertical="center"/>
    </xf>
    <xf numFmtId="0" fontId="51" fillId="0" borderId="19" xfId="20" applyFont="1" applyBorder="1" applyAlignment="1">
      <alignment horizontal="center" vertical="center" wrapText="1"/>
    </xf>
    <xf numFmtId="0" fontId="39" fillId="8" borderId="22" xfId="20" applyFont="1" applyFill="1" applyBorder="1" applyAlignment="1">
      <alignment horizontal="center" vertical="center"/>
    </xf>
    <xf numFmtId="184" fontId="52" fillId="9" borderId="22" xfId="20" applyNumberFormat="1" applyFont="1" applyFill="1" applyBorder="1" applyAlignment="1">
      <alignment horizontal="center" vertical="center"/>
    </xf>
    <xf numFmtId="0" fontId="39" fillId="0" borderId="22" xfId="20" applyFont="1" applyBorder="1" applyAlignment="1">
      <alignment horizontal="center" vertical="center"/>
    </xf>
    <xf numFmtId="0" fontId="39" fillId="0" borderId="22" xfId="20" applyFont="1" applyBorder="1" applyAlignment="1">
      <alignment horizontal="center" vertical="center" wrapText="1"/>
    </xf>
    <xf numFmtId="0" fontId="39" fillId="0" borderId="22" xfId="20" applyFont="1" applyBorder="1" applyAlignment="1">
      <alignment vertical="center" wrapText="1"/>
    </xf>
    <xf numFmtId="0" fontId="39" fillId="10" borderId="11" xfId="20" applyFont="1" applyFill="1" applyBorder="1" applyAlignment="1">
      <alignment horizontal="center" vertical="center" wrapText="1"/>
    </xf>
    <xf numFmtId="0" fontId="0" fillId="0" borderId="0" xfId="0" applyAlignment="1">
      <alignment horizontal="center" vertical="center"/>
    </xf>
    <xf numFmtId="176" fontId="23" fillId="3" borderId="1" xfId="21" applyFont="1" applyFill="1" applyBorder="1" applyAlignment="1">
      <alignment horizontal="center" vertical="center"/>
    </xf>
    <xf numFmtId="0" fontId="54" fillId="0" borderId="0" xfId="0" applyFont="1">
      <alignment vertical="center"/>
    </xf>
    <xf numFmtId="0" fontId="55" fillId="0" borderId="0" xfId="0" applyFont="1">
      <alignment vertical="center"/>
    </xf>
    <xf numFmtId="49" fontId="29" fillId="6" borderId="1" xfId="0" applyNumberFormat="1" applyFont="1" applyFill="1" applyBorder="1" applyAlignment="1">
      <alignment horizontal="center" vertical="center" wrapText="1"/>
    </xf>
    <xf numFmtId="0" fontId="28" fillId="4" borderId="1" xfId="0" applyFont="1" applyFill="1" applyBorder="1" applyAlignment="1">
      <alignment horizontal="center" vertical="center" wrapText="1"/>
    </xf>
    <xf numFmtId="0" fontId="56" fillId="0" borderId="0" xfId="0" applyFont="1">
      <alignment vertical="center"/>
    </xf>
    <xf numFmtId="49" fontId="21" fillId="0" borderId="1" xfId="0" applyNumberFormat="1" applyFont="1" applyBorder="1" applyAlignment="1">
      <alignment horizontal="center" vertical="center" wrapText="1"/>
    </xf>
    <xf numFmtId="176" fontId="21" fillId="0" borderId="0" xfId="0" applyNumberFormat="1" applyFont="1">
      <alignment vertical="center"/>
    </xf>
    <xf numFmtId="183" fontId="21" fillId="0" borderId="0" xfId="0" applyNumberFormat="1" applyFont="1">
      <alignment vertical="center"/>
    </xf>
    <xf numFmtId="177" fontId="24" fillId="0" borderId="8" xfId="0" applyNumberFormat="1" applyFont="1" applyBorder="1" applyAlignment="1">
      <alignment horizontal="center" vertical="center"/>
    </xf>
    <xf numFmtId="0" fontId="33" fillId="0" borderId="31" xfId="20" applyFont="1" applyBorder="1" applyAlignment="1">
      <alignment horizontal="center" vertical="center" wrapText="1"/>
    </xf>
    <xf numFmtId="0" fontId="38" fillId="4" borderId="35" xfId="20" applyFont="1" applyFill="1" applyBorder="1" applyAlignment="1">
      <alignment horizontal="center" vertical="center" wrapText="1"/>
    </xf>
    <xf numFmtId="0" fontId="38" fillId="4" borderId="36" xfId="20" applyFont="1" applyFill="1" applyBorder="1" applyAlignment="1">
      <alignment horizontal="center" vertical="center" wrapText="1"/>
    </xf>
    <xf numFmtId="0" fontId="38" fillId="4" borderId="34" xfId="20" applyFont="1" applyFill="1" applyBorder="1" applyAlignment="1">
      <alignment horizontal="center" vertical="center" wrapText="1"/>
    </xf>
    <xf numFmtId="0" fontId="53" fillId="4" borderId="8" xfId="0" applyFont="1" applyFill="1" applyBorder="1" applyAlignment="1">
      <alignment horizontal="center" vertical="center" wrapText="1"/>
    </xf>
    <xf numFmtId="0" fontId="58" fillId="4" borderId="11" xfId="20" applyFont="1" applyFill="1" applyBorder="1" applyAlignment="1">
      <alignment horizontal="center" vertical="center" wrapText="1"/>
    </xf>
    <xf numFmtId="0" fontId="52" fillId="4" borderId="11" xfId="20" applyFont="1" applyFill="1" applyBorder="1" applyAlignment="1">
      <alignment horizontal="center" vertical="center" wrapText="1"/>
    </xf>
    <xf numFmtId="0" fontId="62" fillId="6" borderId="1" xfId="0" applyFont="1" applyFill="1" applyBorder="1" applyAlignment="1">
      <alignment horizontal="center" vertical="center"/>
    </xf>
    <xf numFmtId="0" fontId="63" fillId="6" borderId="1" xfId="0" applyFont="1" applyFill="1" applyBorder="1" applyAlignment="1">
      <alignment horizontal="center" vertical="center"/>
    </xf>
    <xf numFmtId="0" fontId="62" fillId="6" borderId="0" xfId="0" applyFont="1" applyFill="1" applyAlignment="1">
      <alignment horizontal="center" vertical="center"/>
    </xf>
    <xf numFmtId="0" fontId="60" fillId="4" borderId="18" xfId="20" applyFont="1" applyFill="1" applyBorder="1" applyAlignment="1">
      <alignment horizontal="center" vertical="center"/>
    </xf>
    <xf numFmtId="176" fontId="28" fillId="4" borderId="1" xfId="1" applyFont="1" applyFill="1" applyBorder="1" applyAlignment="1">
      <alignment horizontal="center" vertical="center"/>
    </xf>
    <xf numFmtId="176" fontId="21" fillId="4" borderId="1" xfId="1" applyFont="1" applyFill="1" applyBorder="1" applyAlignment="1">
      <alignment horizontal="center" vertical="center" wrapText="1"/>
    </xf>
    <xf numFmtId="183" fontId="29" fillId="4" borderId="1" xfId="1" applyNumberFormat="1" applyFont="1" applyFill="1" applyBorder="1" applyAlignment="1">
      <alignment horizontal="right" vertical="center" wrapText="1"/>
    </xf>
    <xf numFmtId="183" fontId="21" fillId="4" borderId="1" xfId="1" applyNumberFormat="1" applyFont="1" applyFill="1" applyBorder="1" applyAlignment="1">
      <alignment horizontal="right" vertical="center"/>
    </xf>
    <xf numFmtId="183" fontId="29" fillId="4" borderId="1" xfId="23" applyNumberFormat="1" applyFont="1" applyFill="1" applyBorder="1" applyAlignment="1">
      <alignment horizontal="right" vertical="center"/>
    </xf>
    <xf numFmtId="176" fontId="57" fillId="4" borderId="0" xfId="19" applyFont="1" applyFill="1" applyBorder="1" applyAlignment="1">
      <alignment horizontal="center" vertical="center" wrapText="1"/>
    </xf>
    <xf numFmtId="176" fontId="64" fillId="4" borderId="1" xfId="1" applyFont="1" applyFill="1" applyBorder="1" applyAlignment="1">
      <alignment horizontal="center" vertical="center" wrapText="1"/>
    </xf>
    <xf numFmtId="0" fontId="66" fillId="0" borderId="19" xfId="20" applyFont="1" applyBorder="1" applyAlignment="1">
      <alignment horizontal="center" vertical="center" wrapText="1"/>
    </xf>
    <xf numFmtId="0" fontId="45" fillId="10" borderId="11" xfId="20" applyFont="1" applyFill="1" applyBorder="1" applyAlignment="1">
      <alignment horizontal="center" vertical="center" wrapText="1"/>
    </xf>
    <xf numFmtId="0" fontId="38" fillId="0" borderId="30" xfId="20" quotePrefix="1" applyFont="1" applyBorder="1" applyAlignment="1">
      <alignment horizontal="center" vertical="center" wrapText="1"/>
    </xf>
    <xf numFmtId="0" fontId="37" fillId="0" borderId="28" xfId="20" applyFont="1" applyBorder="1" applyAlignment="1">
      <alignment horizontal="center" vertical="center" wrapText="1"/>
    </xf>
    <xf numFmtId="0" fontId="45" fillId="0" borderId="40" xfId="20" applyFont="1" applyBorder="1" applyAlignment="1">
      <alignment vertical="center" wrapText="1"/>
    </xf>
    <xf numFmtId="0" fontId="24" fillId="0" borderId="8" xfId="0" applyFont="1" applyBorder="1" applyAlignment="1">
      <alignment vertical="center"/>
    </xf>
    <xf numFmtId="0" fontId="24" fillId="0" borderId="8" xfId="0" applyFont="1" applyBorder="1" applyAlignment="1">
      <alignment horizontal="left" vertical="center"/>
    </xf>
    <xf numFmtId="0" fontId="21" fillId="0" borderId="8" xfId="0" applyFont="1" applyBorder="1" applyAlignment="1">
      <alignment horizontal="left" vertical="center" wrapText="1"/>
    </xf>
    <xf numFmtId="176" fontId="69" fillId="0" borderId="0" xfId="0" applyNumberFormat="1" applyFont="1">
      <alignment vertical="center"/>
    </xf>
    <xf numFmtId="176" fontId="69" fillId="8" borderId="0" xfId="0" applyNumberFormat="1" applyFont="1" applyFill="1">
      <alignment vertical="center"/>
    </xf>
    <xf numFmtId="0" fontId="71" fillId="0" borderId="0" xfId="25" applyFont="1">
      <alignment vertical="center"/>
    </xf>
    <xf numFmtId="0" fontId="70" fillId="0" borderId="30" xfId="24" applyFont="1" applyBorder="1" applyAlignment="1">
      <alignment horizontal="center" vertical="center"/>
    </xf>
    <xf numFmtId="0" fontId="70" fillId="0" borderId="0" xfId="24" applyFont="1" applyAlignment="1">
      <alignment horizontal="center" vertical="center"/>
    </xf>
    <xf numFmtId="0" fontId="70" fillId="0" borderId="44" xfId="24" applyFont="1" applyBorder="1" applyAlignment="1">
      <alignment horizontal="center" vertical="center"/>
    </xf>
    <xf numFmtId="0" fontId="73" fillId="0" borderId="30" xfId="24" applyFont="1" applyBorder="1" applyAlignment="1">
      <alignment horizontal="left" vertical="center"/>
    </xf>
    <xf numFmtId="0" fontId="74" fillId="0" borderId="0" xfId="24" applyFont="1" applyAlignment="1">
      <alignment vertical="center"/>
    </xf>
    <xf numFmtId="0" fontId="74" fillId="0" borderId="0" xfId="24" applyFont="1" applyAlignment="1">
      <alignment horizontal="left" vertical="center" textRotation="1"/>
    </xf>
    <xf numFmtId="0" fontId="75" fillId="0" borderId="0" xfId="24" applyFont="1" applyAlignment="1">
      <alignment horizontal="centerContinuous" vertical="center"/>
    </xf>
    <xf numFmtId="0" fontId="75" fillId="0" borderId="44" xfId="24" applyFont="1" applyBorder="1" applyAlignment="1">
      <alignment vertical="center"/>
    </xf>
    <xf numFmtId="0" fontId="76" fillId="0" borderId="30" xfId="24" applyFont="1" applyBorder="1" applyAlignment="1">
      <alignment horizontal="left" vertical="center" indent="2"/>
    </xf>
    <xf numFmtId="0" fontId="71" fillId="0" borderId="45" xfId="24" applyFont="1" applyBorder="1" applyAlignment="1">
      <alignment vertical="center"/>
    </xf>
    <xf numFmtId="0" fontId="71" fillId="0" borderId="0" xfId="24" applyFont="1" applyAlignment="1">
      <alignment vertical="center"/>
    </xf>
    <xf numFmtId="0" fontId="75" fillId="0" borderId="44" xfId="24" applyFont="1" applyBorder="1" applyAlignment="1">
      <alignment horizontal="right" vertical="center"/>
    </xf>
    <xf numFmtId="0" fontId="76" fillId="0" borderId="30" xfId="24" applyFont="1" applyBorder="1" applyAlignment="1">
      <alignment vertical="center"/>
    </xf>
    <xf numFmtId="0" fontId="76" fillId="0" borderId="0" xfId="24" applyFont="1" applyAlignment="1">
      <alignment vertical="center"/>
    </xf>
    <xf numFmtId="0" fontId="75" fillId="0" borderId="0" xfId="24" applyFont="1" applyAlignment="1">
      <alignment horizontal="right" vertical="center"/>
    </xf>
    <xf numFmtId="0" fontId="76" fillId="0" borderId="44" xfId="24" applyFont="1" applyBorder="1" applyAlignment="1">
      <alignment vertical="center"/>
    </xf>
    <xf numFmtId="0" fontId="71" fillId="0" borderId="47" xfId="24" applyFont="1" applyBorder="1" applyAlignment="1">
      <alignment horizontal="center" vertical="center"/>
    </xf>
    <xf numFmtId="0" fontId="71" fillId="0" borderId="48" xfId="24" applyFont="1" applyBorder="1" applyAlignment="1">
      <alignment horizontal="center" vertical="center"/>
    </xf>
    <xf numFmtId="0" fontId="71" fillId="0" borderId="6" xfId="24" applyFont="1" applyBorder="1" applyAlignment="1">
      <alignment horizontal="center" vertical="center"/>
    </xf>
    <xf numFmtId="0" fontId="71" fillId="0" borderId="10" xfId="24" applyFont="1" applyBorder="1" applyAlignment="1">
      <alignment horizontal="center" vertical="center"/>
    </xf>
    <xf numFmtId="0" fontId="71" fillId="0" borderId="1" xfId="24" applyFont="1" applyBorder="1" applyAlignment="1">
      <alignment horizontal="center" vertical="center"/>
    </xf>
    <xf numFmtId="0" fontId="79" fillId="0" borderId="8" xfId="24" applyFont="1" applyBorder="1" applyAlignment="1">
      <alignment horizontal="center" vertical="center"/>
    </xf>
    <xf numFmtId="0" fontId="71" fillId="0" borderId="57" xfId="24" applyFont="1" applyBorder="1" applyAlignment="1">
      <alignment horizontal="center" vertical="center"/>
    </xf>
    <xf numFmtId="0" fontId="71" fillId="0" borderId="58" xfId="24" applyFont="1" applyBorder="1" applyAlignment="1">
      <alignment horizontal="center" vertical="center"/>
    </xf>
    <xf numFmtId="0" fontId="71" fillId="0" borderId="30" xfId="24" applyFont="1" applyBorder="1" applyAlignment="1">
      <alignment horizontal="center" vertical="center"/>
    </xf>
    <xf numFmtId="0" fontId="71" fillId="0" borderId="0" xfId="24" applyFont="1" applyAlignment="1">
      <alignment horizontal="center" vertical="center"/>
    </xf>
    <xf numFmtId="0" fontId="71" fillId="0" borderId="0" xfId="24" applyFont="1" applyAlignment="1">
      <alignment horizontal="left" vertical="center" indent="1"/>
    </xf>
    <xf numFmtId="0" fontId="75" fillId="0" borderId="0" xfId="24" applyFont="1" applyAlignment="1">
      <alignment vertical="center"/>
    </xf>
    <xf numFmtId="0" fontId="71" fillId="0" borderId="30" xfId="24" applyFont="1" applyBorder="1" applyAlignment="1">
      <alignment vertical="center"/>
    </xf>
    <xf numFmtId="0" fontId="71" fillId="0" borderId="44" xfId="24" applyFont="1" applyBorder="1" applyAlignment="1">
      <alignment vertical="center"/>
    </xf>
    <xf numFmtId="0" fontId="76" fillId="0" borderId="30" xfId="24" applyFont="1" applyBorder="1" applyAlignment="1">
      <alignment horizontal="left" vertical="center" indent="1"/>
    </xf>
    <xf numFmtId="0" fontId="81" fillId="0" borderId="0" xfId="24" applyFont="1" applyAlignment="1">
      <alignment vertical="center"/>
    </xf>
    <xf numFmtId="0" fontId="81" fillId="13" borderId="59" xfId="24" applyFont="1" applyFill="1" applyBorder="1" applyAlignment="1">
      <alignment horizontal="center" vertical="center"/>
    </xf>
    <xf numFmtId="0" fontId="81" fillId="13" borderId="60" xfId="24" applyFont="1" applyFill="1" applyBorder="1" applyAlignment="1">
      <alignment horizontal="center" vertical="center"/>
    </xf>
    <xf numFmtId="3" fontId="81" fillId="13" borderId="60" xfId="24" applyNumberFormat="1" applyFont="1" applyFill="1" applyBorder="1" applyAlignment="1">
      <alignment horizontal="center" vertical="center"/>
    </xf>
    <xf numFmtId="0" fontId="71" fillId="0" borderId="62" xfId="24" applyFont="1" applyBorder="1" applyAlignment="1">
      <alignment horizontal="center" vertical="center"/>
    </xf>
    <xf numFmtId="0" fontId="71" fillId="0" borderId="66" xfId="24" applyFont="1" applyBorder="1" applyAlignment="1">
      <alignment horizontal="center" vertical="center"/>
    </xf>
    <xf numFmtId="0" fontId="71" fillId="0" borderId="72" xfId="27" applyFont="1" applyBorder="1" applyAlignment="1">
      <alignment horizontal="center" vertical="center"/>
    </xf>
    <xf numFmtId="176" fontId="71" fillId="0" borderId="0" xfId="25" applyNumberFormat="1" applyFont="1">
      <alignment vertical="center"/>
    </xf>
    <xf numFmtId="0" fontId="71" fillId="0" borderId="76" xfId="27" applyFont="1" applyBorder="1" applyAlignment="1">
      <alignment horizontal="left" vertical="center" wrapText="1" indent="1"/>
    </xf>
    <xf numFmtId="0" fontId="75" fillId="0" borderId="81" xfId="27" applyFont="1" applyBorder="1" applyAlignment="1">
      <alignment horizontal="center" vertical="center"/>
    </xf>
    <xf numFmtId="189" fontId="75" fillId="0" borderId="81" xfId="27" applyNumberFormat="1" applyFont="1" applyBorder="1" applyAlignment="1">
      <alignment horizontal="center" vertical="center"/>
    </xf>
    <xf numFmtId="178" fontId="71" fillId="0" borderId="0" xfId="25" applyNumberFormat="1" applyFont="1">
      <alignment vertical="center"/>
    </xf>
    <xf numFmtId="2" fontId="75" fillId="0" borderId="83" xfId="27" applyNumberFormat="1" applyFont="1" applyBorder="1" applyAlignment="1">
      <alignment horizontal="center" vertical="center"/>
    </xf>
    <xf numFmtId="0" fontId="75" fillId="0" borderId="86" xfId="27" applyFont="1" applyBorder="1" applyAlignment="1">
      <alignment horizontal="center" vertical="center"/>
    </xf>
    <xf numFmtId="0" fontId="71" fillId="0" borderId="88" xfId="24" applyFont="1" applyBorder="1" applyAlignment="1">
      <alignment horizontal="center" vertical="center"/>
    </xf>
    <xf numFmtId="0" fontId="71" fillId="0" borderId="89" xfId="27" applyFont="1" applyBorder="1" applyAlignment="1">
      <alignment horizontal="left" vertical="center" wrapText="1" indent="1"/>
    </xf>
    <xf numFmtId="1" fontId="75" fillId="0" borderId="90" xfId="27" applyNumberFormat="1" applyFont="1" applyBorder="1" applyAlignment="1">
      <alignment horizontal="center" vertical="center"/>
    </xf>
    <xf numFmtId="0" fontId="75" fillId="0" borderId="90" xfId="27" applyFont="1" applyBorder="1" applyAlignment="1">
      <alignment horizontal="center" vertical="center"/>
    </xf>
    <xf numFmtId="0" fontId="75" fillId="0" borderId="94" xfId="27" applyFont="1" applyBorder="1" applyAlignment="1">
      <alignment horizontal="center" vertical="center"/>
    </xf>
    <xf numFmtId="176" fontId="71" fillId="0" borderId="0" xfId="19" applyFont="1">
      <alignment vertical="center"/>
    </xf>
    <xf numFmtId="176" fontId="85" fillId="14" borderId="38" xfId="24" applyNumberFormat="1" applyFont="1" applyFill="1" applyBorder="1" applyAlignment="1">
      <alignment horizontal="right" vertical="center"/>
    </xf>
    <xf numFmtId="0" fontId="85" fillId="14" borderId="38" xfId="24" applyFont="1" applyFill="1" applyBorder="1" applyAlignment="1">
      <alignment horizontal="right" vertical="center"/>
    </xf>
    <xf numFmtId="176" fontId="85" fillId="14" borderId="95" xfId="19" applyFont="1" applyFill="1" applyBorder="1" applyAlignment="1">
      <alignment horizontal="right" vertical="center"/>
    </xf>
    <xf numFmtId="180" fontId="71" fillId="0" borderId="0" xfId="29" applyFont="1" applyAlignment="1">
      <alignment vertical="center"/>
    </xf>
    <xf numFmtId="49" fontId="75" fillId="0" borderId="30" xfId="24" applyNumberFormat="1" applyFont="1" applyBorder="1" applyAlignment="1">
      <alignment horizontal="left" vertical="center" indent="1"/>
    </xf>
    <xf numFmtId="49" fontId="71" fillId="0" borderId="0" xfId="24" applyNumberFormat="1" applyFont="1" applyAlignment="1">
      <alignment vertical="center"/>
    </xf>
    <xf numFmtId="49" fontId="71" fillId="0" borderId="44" xfId="24" applyNumberFormat="1" applyFont="1" applyBorder="1" applyAlignment="1">
      <alignment vertical="center"/>
    </xf>
    <xf numFmtId="49" fontId="71" fillId="0" borderId="30" xfId="24" applyNumberFormat="1" applyFont="1" applyBorder="1" applyAlignment="1">
      <alignment vertical="center"/>
    </xf>
    <xf numFmtId="0" fontId="76" fillId="0" borderId="0" xfId="27" applyFont="1" applyAlignment="1">
      <alignment horizontal="left" vertical="center"/>
    </xf>
    <xf numFmtId="0" fontId="76" fillId="0" borderId="44" xfId="27" applyFont="1" applyBorder="1" applyAlignment="1">
      <alignment horizontal="left" vertical="center"/>
    </xf>
    <xf numFmtId="49" fontId="71" fillId="0" borderId="97" xfId="24" applyNumberFormat="1" applyFont="1" applyBorder="1" applyAlignment="1">
      <alignment vertical="center"/>
    </xf>
    <xf numFmtId="49" fontId="71" fillId="0" borderId="98" xfId="24" applyNumberFormat="1" applyFont="1" applyBorder="1" applyAlignment="1">
      <alignment vertical="center"/>
    </xf>
    <xf numFmtId="49" fontId="71" fillId="0" borderId="99" xfId="24" applyNumberFormat="1" applyFont="1" applyBorder="1" applyAlignment="1">
      <alignment vertical="center"/>
    </xf>
    <xf numFmtId="0" fontId="76" fillId="0" borderId="45" xfId="24" applyFont="1" applyFill="1" applyBorder="1" applyAlignment="1">
      <alignment vertical="center"/>
    </xf>
    <xf numFmtId="0" fontId="71" fillId="0" borderId="45" xfId="24" applyFont="1" applyFill="1" applyBorder="1" applyAlignment="1">
      <alignment vertical="center"/>
    </xf>
    <xf numFmtId="0" fontId="71" fillId="0" borderId="46" xfId="24" applyFont="1" applyFill="1" applyBorder="1" applyAlignment="1">
      <alignment horizontal="right" vertical="center"/>
    </xf>
    <xf numFmtId="0" fontId="71" fillId="0" borderId="47" xfId="24" applyFont="1" applyFill="1" applyBorder="1" applyAlignment="1">
      <alignment horizontal="center" vertical="center"/>
    </xf>
    <xf numFmtId="0" fontId="71" fillId="0" borderId="63" xfId="27" applyFont="1" applyFill="1" applyBorder="1" applyAlignment="1">
      <alignment horizontal="center" vertical="center"/>
    </xf>
    <xf numFmtId="0" fontId="71" fillId="0" borderId="65" xfId="27" applyFont="1" applyFill="1" applyBorder="1" applyAlignment="1">
      <alignment horizontal="center" vertical="center"/>
    </xf>
    <xf numFmtId="0" fontId="71" fillId="0" borderId="70" xfId="27" applyFont="1" applyFill="1" applyBorder="1" applyAlignment="1">
      <alignment horizontal="center" vertical="center"/>
    </xf>
    <xf numFmtId="0" fontId="75" fillId="0" borderId="77" xfId="27" applyFont="1" applyFill="1" applyBorder="1" applyAlignment="1">
      <alignment horizontal="center" vertical="center"/>
    </xf>
    <xf numFmtId="0" fontId="75" fillId="0" borderId="90" xfId="27" applyFont="1" applyBorder="1" applyAlignment="1">
      <alignment horizontal="left" vertical="center" wrapText="1" indent="1"/>
    </xf>
    <xf numFmtId="0" fontId="75" fillId="0" borderId="91" xfId="27" applyFont="1" applyBorder="1" applyAlignment="1">
      <alignment horizontal="left" vertical="center" wrapText="1" indent="1"/>
    </xf>
    <xf numFmtId="0" fontId="75" fillId="0" borderId="92" xfId="27" applyFont="1" applyBorder="1" applyAlignment="1">
      <alignment horizontal="left" vertical="center" wrapText="1" indent="1"/>
    </xf>
    <xf numFmtId="176" fontId="71" fillId="0" borderId="90" xfId="19" applyFont="1" applyFill="1" applyBorder="1" applyAlignment="1">
      <alignment horizontal="right" vertical="center"/>
    </xf>
    <xf numFmtId="176" fontId="71" fillId="0" borderId="91" xfId="19" applyFont="1" applyFill="1" applyBorder="1" applyAlignment="1">
      <alignment horizontal="right" vertical="center"/>
    </xf>
    <xf numFmtId="176" fontId="71" fillId="0" borderId="92" xfId="19" applyFont="1" applyFill="1" applyBorder="1" applyAlignment="1">
      <alignment horizontal="right" vertical="center"/>
    </xf>
    <xf numFmtId="176" fontId="71" fillId="0" borderId="90" xfId="28" applyFont="1" applyFill="1" applyBorder="1" applyAlignment="1">
      <alignment horizontal="left" vertical="center"/>
    </xf>
    <xf numFmtId="176" fontId="71" fillId="0" borderId="93" xfId="28" applyFont="1" applyFill="1" applyBorder="1" applyAlignment="1">
      <alignment horizontal="left" vertical="center"/>
    </xf>
    <xf numFmtId="0" fontId="85" fillId="14" borderId="37" xfId="24" applyFont="1" applyFill="1" applyBorder="1" applyAlignment="1">
      <alignment horizontal="center" vertical="center"/>
    </xf>
    <xf numFmtId="0" fontId="85" fillId="14" borderId="38" xfId="24" applyFont="1" applyFill="1" applyBorder="1" applyAlignment="1">
      <alignment horizontal="center" vertical="center"/>
    </xf>
    <xf numFmtId="0" fontId="85" fillId="14" borderId="95" xfId="24" applyFont="1" applyFill="1" applyBorder="1" applyAlignment="1">
      <alignment horizontal="center" vertical="center"/>
    </xf>
    <xf numFmtId="9" fontId="85" fillId="14" borderId="96" xfId="2" applyFont="1" applyFill="1" applyBorder="1" applyAlignment="1">
      <alignment horizontal="center" vertical="center"/>
    </xf>
    <xf numFmtId="9" fontId="85" fillId="14" borderId="61" xfId="2" applyFont="1" applyFill="1" applyBorder="1" applyAlignment="1">
      <alignment horizontal="center" vertical="center"/>
    </xf>
    <xf numFmtId="176" fontId="71" fillId="0" borderId="72" xfId="19" applyFont="1" applyFill="1" applyBorder="1" applyAlignment="1">
      <alignment horizontal="right" vertical="center"/>
    </xf>
    <xf numFmtId="176" fontId="71" fillId="0" borderId="73" xfId="19" applyFont="1" applyFill="1" applyBorder="1" applyAlignment="1">
      <alignment horizontal="right" vertical="center"/>
    </xf>
    <xf numFmtId="176" fontId="71" fillId="0" borderId="74" xfId="19" applyFont="1" applyFill="1" applyBorder="1" applyAlignment="1">
      <alignment horizontal="right" vertical="center"/>
    </xf>
    <xf numFmtId="176" fontId="71" fillId="0" borderId="72" xfId="28" applyFont="1" applyFill="1" applyBorder="1" applyAlignment="1">
      <alignment horizontal="left" vertical="center"/>
    </xf>
    <xf numFmtId="176" fontId="71" fillId="0" borderId="75" xfId="28" applyFont="1" applyFill="1" applyBorder="1" applyAlignment="1">
      <alignment horizontal="left" vertical="center"/>
    </xf>
    <xf numFmtId="176" fontId="84" fillId="0" borderId="90" xfId="28" applyFont="1" applyBorder="1" applyAlignment="1">
      <alignment horizontal="left" vertical="center"/>
    </xf>
    <xf numFmtId="176" fontId="84" fillId="0" borderId="93" xfId="28" applyFont="1" applyBorder="1" applyAlignment="1">
      <alignment horizontal="left" vertical="center"/>
    </xf>
    <xf numFmtId="0" fontId="75" fillId="0" borderId="83" xfId="27" applyFont="1" applyBorder="1" applyAlignment="1">
      <alignment horizontal="left" vertical="center" wrapText="1" indent="1"/>
    </xf>
    <xf numFmtId="0" fontId="75" fillId="0" borderId="84" xfId="27" applyFont="1" applyBorder="1" applyAlignment="1">
      <alignment horizontal="left" vertical="center" wrapText="1" indent="1"/>
    </xf>
    <xf numFmtId="0" fontId="75" fillId="0" borderId="85" xfId="27" applyFont="1" applyBorder="1" applyAlignment="1">
      <alignment horizontal="left" vertical="center" wrapText="1" indent="1"/>
    </xf>
    <xf numFmtId="176" fontId="71" fillId="0" borderId="83" xfId="19" applyFont="1" applyFill="1" applyBorder="1" applyAlignment="1">
      <alignment horizontal="right" vertical="center"/>
    </xf>
    <xf numFmtId="176" fontId="71" fillId="0" borderId="84" xfId="19" applyFont="1" applyFill="1" applyBorder="1" applyAlignment="1">
      <alignment horizontal="right" vertical="center"/>
    </xf>
    <xf numFmtId="176" fontId="71" fillId="0" borderId="85" xfId="19" applyFont="1" applyFill="1" applyBorder="1" applyAlignment="1">
      <alignment horizontal="right" vertical="center"/>
    </xf>
    <xf numFmtId="176" fontId="71" fillId="0" borderId="81" xfId="28" applyFont="1" applyFill="1" applyBorder="1" applyAlignment="1">
      <alignment horizontal="left" vertical="center"/>
    </xf>
    <xf numFmtId="176" fontId="71" fillId="0" borderId="51" xfId="28" applyFont="1" applyFill="1" applyBorder="1" applyAlignment="1">
      <alignment horizontal="left" vertical="center"/>
    </xf>
    <xf numFmtId="176" fontId="71" fillId="0" borderId="83" xfId="28" applyFont="1" applyFill="1" applyBorder="1" applyAlignment="1">
      <alignment horizontal="left" vertical="center"/>
    </xf>
    <xf numFmtId="176" fontId="71" fillId="0" borderId="87" xfId="28" applyFont="1" applyFill="1" applyBorder="1" applyAlignment="1">
      <alignment horizontal="left" vertical="center"/>
    </xf>
    <xf numFmtId="0" fontId="75" fillId="0" borderId="81" xfId="27" applyFont="1" applyBorder="1" applyAlignment="1">
      <alignment horizontal="left" vertical="center" wrapText="1" indent="1"/>
    </xf>
    <xf numFmtId="0" fontId="75" fillId="0" borderId="3" xfId="27" applyFont="1" applyBorder="1" applyAlignment="1">
      <alignment horizontal="left" vertical="center" wrapText="1" indent="1"/>
    </xf>
    <xf numFmtId="0" fontId="75" fillId="0" borderId="82" xfId="27" applyFont="1" applyBorder="1" applyAlignment="1">
      <alignment horizontal="left" vertical="center" wrapText="1" indent="1"/>
    </xf>
    <xf numFmtId="176" fontId="71" fillId="0" borderId="81" xfId="19" applyFont="1" applyFill="1" applyBorder="1" applyAlignment="1">
      <alignment horizontal="right" vertical="center"/>
    </xf>
    <xf numFmtId="176" fontId="71" fillId="0" borderId="3" xfId="19" applyFont="1" applyFill="1" applyBorder="1" applyAlignment="1">
      <alignment horizontal="right" vertical="center"/>
    </xf>
    <xf numFmtId="176" fontId="71" fillId="0" borderId="82" xfId="19" applyFont="1" applyFill="1" applyBorder="1" applyAlignment="1">
      <alignment horizontal="right" vertical="center"/>
    </xf>
    <xf numFmtId="0" fontId="75" fillId="0" borderId="77" xfId="27" applyFont="1" applyFill="1" applyBorder="1" applyAlignment="1">
      <alignment horizontal="left" vertical="center" wrapText="1" indent="1"/>
    </xf>
    <xf numFmtId="0" fontId="75" fillId="0" borderId="78" xfId="27" applyFont="1" applyFill="1" applyBorder="1" applyAlignment="1">
      <alignment horizontal="left" vertical="center" wrapText="1" indent="1"/>
    </xf>
    <xf numFmtId="0" fontId="75" fillId="0" borderId="79" xfId="27" applyFont="1" applyFill="1" applyBorder="1" applyAlignment="1">
      <alignment horizontal="left" vertical="center" wrapText="1" indent="1"/>
    </xf>
    <xf numFmtId="176" fontId="71" fillId="0" borderId="77" xfId="19" applyFont="1" applyFill="1" applyBorder="1" applyAlignment="1">
      <alignment horizontal="right" vertical="center"/>
    </xf>
    <xf numFmtId="176" fontId="71" fillId="0" borderId="78" xfId="19" applyFont="1" applyFill="1" applyBorder="1" applyAlignment="1">
      <alignment horizontal="right" vertical="center"/>
    </xf>
    <xf numFmtId="176" fontId="71" fillId="0" borderId="79" xfId="19" applyFont="1" applyFill="1" applyBorder="1" applyAlignment="1">
      <alignment horizontal="right" vertical="center"/>
    </xf>
    <xf numFmtId="176" fontId="71" fillId="0" borderId="77" xfId="28" applyFont="1" applyBorder="1" applyAlignment="1">
      <alignment horizontal="left" vertical="center"/>
    </xf>
    <xf numFmtId="176" fontId="71" fillId="0" borderId="80" xfId="28" applyFont="1" applyBorder="1" applyAlignment="1">
      <alignment horizontal="left" vertical="center"/>
    </xf>
    <xf numFmtId="0" fontId="71" fillId="0" borderId="67" xfId="27" applyFont="1" applyFill="1" applyBorder="1" applyAlignment="1">
      <alignment horizontal="center" vertical="center" wrapText="1"/>
    </xf>
    <xf numFmtId="0" fontId="71" fillId="0" borderId="68" xfId="27" applyFont="1" applyFill="1" applyBorder="1" applyAlignment="1">
      <alignment horizontal="center" vertical="center" wrapText="1"/>
    </xf>
    <xf numFmtId="0" fontId="71" fillId="0" borderId="69" xfId="27" applyFont="1" applyFill="1" applyBorder="1" applyAlignment="1">
      <alignment horizontal="center" vertical="center" wrapText="1"/>
    </xf>
    <xf numFmtId="176" fontId="71" fillId="0" borderId="67" xfId="19" quotePrefix="1" applyFont="1" applyFill="1" applyBorder="1" applyAlignment="1">
      <alignment horizontal="right" vertical="center"/>
    </xf>
    <xf numFmtId="176" fontId="71" fillId="0" borderId="68" xfId="19" applyFont="1" applyFill="1" applyBorder="1" applyAlignment="1">
      <alignment horizontal="right" vertical="center"/>
    </xf>
    <xf numFmtId="176" fontId="71" fillId="0" borderId="69" xfId="19" applyFont="1" applyFill="1" applyBorder="1" applyAlignment="1">
      <alignment horizontal="right" vertical="center"/>
    </xf>
    <xf numFmtId="176" fontId="71" fillId="0" borderId="67" xfId="28" applyFont="1" applyBorder="1" applyAlignment="1">
      <alignment horizontal="left" vertical="center"/>
    </xf>
    <xf numFmtId="176" fontId="71" fillId="0" borderId="71" xfId="28" applyFont="1" applyBorder="1" applyAlignment="1">
      <alignment horizontal="left" vertical="center"/>
    </xf>
    <xf numFmtId="0" fontId="71" fillId="0" borderId="67" xfId="27" applyFont="1" applyBorder="1" applyAlignment="1">
      <alignment horizontal="center" vertical="center" wrapText="1"/>
    </xf>
    <xf numFmtId="0" fontId="71" fillId="0" borderId="68" xfId="27" applyFont="1" applyBorder="1" applyAlignment="1">
      <alignment horizontal="center" vertical="center" wrapText="1"/>
    </xf>
    <xf numFmtId="0" fontId="71" fillId="0" borderId="69" xfId="27" applyFont="1" applyBorder="1" applyAlignment="1">
      <alignment horizontal="center" vertical="center" wrapText="1"/>
    </xf>
    <xf numFmtId="176" fontId="71" fillId="0" borderId="72" xfId="19" applyFont="1" applyBorder="1" applyAlignment="1">
      <alignment horizontal="center" vertical="center"/>
    </xf>
    <xf numFmtId="176" fontId="71" fillId="0" borderId="73" xfId="19" applyFont="1" applyBorder="1" applyAlignment="1">
      <alignment horizontal="center" vertical="center"/>
    </xf>
    <xf numFmtId="176" fontId="71" fillId="0" borderId="74" xfId="19" applyFont="1" applyBorder="1" applyAlignment="1">
      <alignment horizontal="center" vertical="center"/>
    </xf>
    <xf numFmtId="176" fontId="71" fillId="0" borderId="72" xfId="28" applyFont="1" applyBorder="1" applyAlignment="1">
      <alignment horizontal="left" vertical="center"/>
    </xf>
    <xf numFmtId="176" fontId="71" fillId="0" borderId="75" xfId="28" applyFont="1" applyBorder="1" applyAlignment="1">
      <alignment horizontal="left" vertical="center"/>
    </xf>
    <xf numFmtId="0" fontId="82" fillId="12" borderId="0" xfId="26" applyFont="1" applyFill="1" applyAlignment="1">
      <alignment horizontal="left" vertical="center"/>
    </xf>
    <xf numFmtId="0" fontId="82" fillId="12" borderId="44" xfId="26" applyFont="1" applyFill="1" applyBorder="1" applyAlignment="1">
      <alignment horizontal="left" vertical="center"/>
    </xf>
    <xf numFmtId="0" fontId="71" fillId="0" borderId="0" xfId="24" applyFont="1" applyAlignment="1">
      <alignment horizontal="right" vertical="center"/>
    </xf>
    <xf numFmtId="0" fontId="71" fillId="0" borderId="44" xfId="24" applyFont="1" applyBorder="1" applyAlignment="1">
      <alignment horizontal="right" vertical="center"/>
    </xf>
    <xf numFmtId="0" fontId="71" fillId="0" borderId="63" xfId="27" applyFont="1" applyFill="1" applyBorder="1" applyAlignment="1">
      <alignment horizontal="center" vertical="center" wrapText="1"/>
    </xf>
    <xf numFmtId="0" fontId="71" fillId="0" borderId="47" xfId="27" applyFont="1" applyFill="1" applyBorder="1" applyAlignment="1">
      <alignment horizontal="center" vertical="center" wrapText="1"/>
    </xf>
    <xf numFmtId="0" fontId="71" fillId="0" borderId="64" xfId="27" applyFont="1" applyFill="1" applyBorder="1" applyAlignment="1">
      <alignment horizontal="center" vertical="center" wrapText="1"/>
    </xf>
    <xf numFmtId="176" fontId="71" fillId="0" borderId="65" xfId="19" quotePrefix="1" applyFont="1" applyFill="1" applyBorder="1" applyAlignment="1">
      <alignment horizontal="right" vertical="center"/>
    </xf>
    <xf numFmtId="176" fontId="71" fillId="0" borderId="65" xfId="19" applyFont="1" applyFill="1" applyBorder="1" applyAlignment="1">
      <alignment horizontal="right" vertical="center"/>
    </xf>
    <xf numFmtId="176" fontId="71" fillId="0" borderId="63" xfId="27" applyNumberFormat="1" applyFont="1" applyBorder="1" applyAlignment="1">
      <alignment horizontal="left" vertical="center"/>
    </xf>
    <xf numFmtId="176" fontId="71" fillId="0" borderId="48" xfId="27" applyNumberFormat="1" applyFont="1" applyBorder="1" applyAlignment="1">
      <alignment horizontal="left" vertical="center"/>
    </xf>
    <xf numFmtId="0" fontId="81" fillId="13" borderId="60" xfId="24" applyFont="1" applyFill="1" applyBorder="1" applyAlignment="1">
      <alignment horizontal="center" vertical="center"/>
    </xf>
    <xf numFmtId="0" fontId="81" fillId="13" borderId="38" xfId="24" applyFont="1" applyFill="1" applyBorder="1" applyAlignment="1">
      <alignment horizontal="center" vertical="center"/>
    </xf>
    <xf numFmtId="0" fontId="81" fillId="13" borderId="39" xfId="24" applyFont="1" applyFill="1" applyBorder="1" applyAlignment="1">
      <alignment horizontal="center" vertical="center"/>
    </xf>
    <xf numFmtId="3" fontId="81" fillId="13" borderId="60" xfId="24" applyNumberFormat="1" applyFont="1" applyFill="1" applyBorder="1" applyAlignment="1">
      <alignment horizontal="center" vertical="center"/>
    </xf>
    <xf numFmtId="3" fontId="81" fillId="13" borderId="38" xfId="24" applyNumberFormat="1" applyFont="1" applyFill="1" applyBorder="1" applyAlignment="1">
      <alignment horizontal="center" vertical="center"/>
    </xf>
    <xf numFmtId="3" fontId="81" fillId="13" borderId="39" xfId="24" applyNumberFormat="1" applyFont="1" applyFill="1" applyBorder="1" applyAlignment="1">
      <alignment horizontal="center" vertical="center"/>
    </xf>
    <xf numFmtId="0" fontId="81" fillId="13" borderId="61" xfId="24" applyFont="1" applyFill="1" applyBorder="1" applyAlignment="1">
      <alignment horizontal="center" vertical="center"/>
    </xf>
    <xf numFmtId="188" fontId="80" fillId="12" borderId="0" xfId="24" applyNumberFormat="1" applyFont="1" applyFill="1" applyAlignment="1">
      <alignment horizontal="left" vertical="center"/>
    </xf>
    <xf numFmtId="0" fontId="70" fillId="0" borderId="41" xfId="24" applyFont="1" applyBorder="1" applyAlignment="1">
      <alignment horizontal="center" vertical="center"/>
    </xf>
    <xf numFmtId="0" fontId="70" fillId="0" borderId="42" xfId="24" applyFont="1" applyBorder="1" applyAlignment="1">
      <alignment horizontal="center" vertical="center"/>
    </xf>
    <xf numFmtId="0" fontId="70" fillId="0" borderId="43" xfId="24" applyFont="1" applyBorder="1" applyAlignment="1">
      <alignment horizontal="center" vertical="center"/>
    </xf>
    <xf numFmtId="0" fontId="72" fillId="0" borderId="30" xfId="24" applyFont="1" applyBorder="1" applyAlignment="1" applyProtection="1">
      <alignment horizontal="center" vertical="center"/>
      <protection locked="0"/>
    </xf>
    <xf numFmtId="0" fontId="72" fillId="0" borderId="0" xfId="24" applyFont="1" applyAlignment="1" applyProtection="1">
      <alignment horizontal="center" vertical="center"/>
      <protection locked="0"/>
    </xf>
    <xf numFmtId="0" fontId="72" fillId="0" borderId="44" xfId="24" applyFont="1" applyBorder="1" applyAlignment="1" applyProtection="1">
      <alignment horizontal="center" vertical="center"/>
      <protection locked="0"/>
    </xf>
    <xf numFmtId="0" fontId="71" fillId="11" borderId="46" xfId="24" applyFont="1" applyFill="1" applyBorder="1" applyAlignment="1">
      <alignment horizontal="center" vertical="center"/>
    </xf>
    <xf numFmtId="0" fontId="71" fillId="11" borderId="47" xfId="24" applyFont="1" applyFill="1" applyBorder="1" applyAlignment="1">
      <alignment horizontal="center" vertical="center"/>
    </xf>
    <xf numFmtId="0" fontId="71" fillId="11" borderId="48" xfId="24" applyFont="1" applyFill="1" applyBorder="1" applyAlignment="1">
      <alignment horizontal="center" vertical="center"/>
    </xf>
    <xf numFmtId="0" fontId="71" fillId="0" borderId="49" xfId="24" applyFont="1" applyBorder="1" applyAlignment="1">
      <alignment horizontal="center" vertical="center" wrapText="1"/>
    </xf>
    <xf numFmtId="0" fontId="71" fillId="0" borderId="52" xfId="24" applyFont="1" applyBorder="1" applyAlignment="1">
      <alignment horizontal="center" vertical="center"/>
    </xf>
    <xf numFmtId="0" fontId="71" fillId="0" borderId="56" xfId="24" applyFont="1" applyBorder="1" applyAlignment="1">
      <alignment horizontal="center" vertical="center"/>
    </xf>
    <xf numFmtId="0" fontId="71" fillId="0" borderId="50" xfId="24" applyFont="1" applyBorder="1" applyAlignment="1">
      <alignment horizontal="center" vertical="center"/>
    </xf>
    <xf numFmtId="0" fontId="71" fillId="0" borderId="3" xfId="24" applyFont="1" applyBorder="1" applyAlignment="1">
      <alignment horizontal="center" vertical="center"/>
    </xf>
    <xf numFmtId="0" fontId="71" fillId="0" borderId="51" xfId="24" applyFont="1" applyBorder="1" applyAlignment="1">
      <alignment horizontal="center" vertical="center"/>
    </xf>
    <xf numFmtId="0" fontId="78" fillId="0" borderId="50" xfId="24" applyFont="1" applyBorder="1" applyAlignment="1">
      <alignment horizontal="center" vertical="center"/>
    </xf>
    <xf numFmtId="0" fontId="76" fillId="0" borderId="3" xfId="24" applyFont="1" applyBorder="1" applyAlignment="1">
      <alignment horizontal="center" vertical="center"/>
    </xf>
    <xf numFmtId="0" fontId="76" fillId="0" borderId="4" xfId="24" applyFont="1" applyBorder="1" applyAlignment="1">
      <alignment horizontal="center" vertical="center"/>
    </xf>
    <xf numFmtId="0" fontId="78" fillId="0" borderId="2" xfId="24" applyFont="1" applyBorder="1" applyAlignment="1">
      <alignment horizontal="center" vertical="center"/>
    </xf>
    <xf numFmtId="0" fontId="76" fillId="0" borderId="51" xfId="24" applyFont="1" applyBorder="1" applyAlignment="1">
      <alignment horizontal="center" vertical="center"/>
    </xf>
    <xf numFmtId="0" fontId="71" fillId="0" borderId="50" xfId="24" applyFont="1" applyBorder="1" applyAlignment="1">
      <alignment horizontal="left" vertical="center" indent="1"/>
    </xf>
    <xf numFmtId="0" fontId="71" fillId="0" borderId="3" xfId="24" applyFont="1" applyBorder="1" applyAlignment="1">
      <alignment horizontal="left" vertical="center" indent="1"/>
    </xf>
    <xf numFmtId="0" fontId="71" fillId="0" borderId="51" xfId="24" applyFont="1" applyBorder="1" applyAlignment="1">
      <alignment horizontal="left" vertical="center" indent="1"/>
    </xf>
    <xf numFmtId="0" fontId="71" fillId="0" borderId="2" xfId="24" applyFont="1" applyBorder="1" applyAlignment="1">
      <alignment horizontal="center" vertical="center"/>
    </xf>
    <xf numFmtId="0" fontId="71" fillId="0" borderId="53" xfId="24" applyFont="1" applyBorder="1" applyAlignment="1">
      <alignment horizontal="center" vertical="center"/>
    </xf>
    <xf numFmtId="0" fontId="71" fillId="0" borderId="54" xfId="24" applyFont="1" applyBorder="1" applyAlignment="1">
      <alignment horizontal="center" vertical="center"/>
    </xf>
    <xf numFmtId="0" fontId="71" fillId="0" borderId="55" xfId="24" applyFont="1" applyBorder="1" applyAlignment="1">
      <alignment horizontal="center" vertical="center"/>
    </xf>
    <xf numFmtId="0" fontId="71" fillId="0" borderId="53" xfId="24" applyFont="1" applyBorder="1" applyAlignment="1">
      <alignment horizontal="left" vertical="center" indent="1"/>
    </xf>
    <xf numFmtId="0" fontId="71" fillId="0" borderId="54" xfId="24" applyFont="1" applyBorder="1" applyAlignment="1">
      <alignment horizontal="left" vertical="center" indent="1"/>
    </xf>
    <xf numFmtId="0" fontId="71" fillId="0" borderId="55" xfId="24" applyFont="1" applyBorder="1" applyAlignment="1">
      <alignment horizontal="left" vertical="center" indent="1"/>
    </xf>
    <xf numFmtId="0" fontId="21" fillId="0" borderId="10" xfId="0" applyFont="1" applyBorder="1" applyAlignment="1">
      <alignment horizontal="center" vertical="center"/>
    </xf>
    <xf numFmtId="0" fontId="21" fillId="0" borderId="8" xfId="0" applyFont="1" applyBorder="1" applyAlignment="1">
      <alignment horizontal="center" vertical="center"/>
    </xf>
    <xf numFmtId="0" fontId="23" fillId="0" borderId="0" xfId="0" applyFont="1" applyAlignment="1">
      <alignment horizontal="center" vertical="center"/>
    </xf>
    <xf numFmtId="0" fontId="23" fillId="3" borderId="6" xfId="3" applyFont="1" applyFill="1" applyBorder="1" applyAlignment="1">
      <alignment horizontal="center" vertical="center" wrapText="1"/>
    </xf>
    <xf numFmtId="0" fontId="23" fillId="3" borderId="6" xfId="3" applyFont="1" applyFill="1" applyBorder="1" applyAlignment="1">
      <alignment horizontal="center" vertical="center"/>
    </xf>
    <xf numFmtId="0" fontId="23" fillId="3" borderId="1" xfId="3" applyFont="1" applyFill="1" applyBorder="1" applyAlignment="1">
      <alignment horizontal="center" vertical="center"/>
    </xf>
    <xf numFmtId="176" fontId="23" fillId="3" borderId="6" xfId="21" applyFont="1" applyFill="1" applyBorder="1" applyAlignment="1">
      <alignment horizontal="center" vertical="center"/>
    </xf>
    <xf numFmtId="180" fontId="23" fillId="3" borderId="6" xfId="5" applyFont="1" applyFill="1" applyBorder="1" applyAlignment="1">
      <alignment horizontal="center" vertical="center"/>
    </xf>
    <xf numFmtId="0" fontId="23" fillId="3" borderId="6" xfId="0" applyFont="1" applyFill="1" applyBorder="1" applyAlignment="1">
      <alignment horizontal="center" vertical="center"/>
    </xf>
    <xf numFmtId="0" fontId="23" fillId="3" borderId="1" xfId="0" applyFont="1" applyFill="1" applyBorder="1" applyAlignment="1">
      <alignment horizontal="center" vertical="center"/>
    </xf>
    <xf numFmtId="0" fontId="23" fillId="0" borderId="6" xfId="0" applyFont="1" applyBorder="1" applyAlignment="1">
      <alignment horizontal="center" vertical="center"/>
    </xf>
    <xf numFmtId="0" fontId="23" fillId="7" borderId="1" xfId="0" applyFont="1" applyFill="1" applyBorder="1" applyAlignment="1">
      <alignment horizontal="center" vertical="center"/>
    </xf>
    <xf numFmtId="186" fontId="68" fillId="9" borderId="38" xfId="20" applyNumberFormat="1" applyFont="1" applyFill="1" applyBorder="1" applyAlignment="1">
      <alignment horizontal="center" vertical="center"/>
    </xf>
    <xf numFmtId="186" fontId="68" fillId="9" borderId="39" xfId="20" applyNumberFormat="1" applyFont="1" applyFill="1" applyBorder="1" applyAlignment="1">
      <alignment horizontal="center" vertical="center"/>
    </xf>
    <xf numFmtId="0" fontId="67" fillId="0" borderId="37" xfId="20" applyFont="1" applyBorder="1" applyAlignment="1">
      <alignment horizontal="center" vertical="center" wrapText="1"/>
    </xf>
    <xf numFmtId="0" fontId="67" fillId="0" borderId="38" xfId="20" applyFont="1" applyBorder="1" applyAlignment="1">
      <alignment horizontal="center" vertical="center" wrapText="1"/>
    </xf>
    <xf numFmtId="187" fontId="68" fillId="9" borderId="38" xfId="20" applyNumberFormat="1" applyFont="1" applyFill="1" applyBorder="1" applyAlignment="1">
      <alignment horizontal="center" vertical="center"/>
    </xf>
    <xf numFmtId="187" fontId="68" fillId="9" borderId="39" xfId="20" applyNumberFormat="1" applyFont="1" applyFill="1" applyBorder="1" applyAlignment="1">
      <alignment horizontal="center" vertical="center"/>
    </xf>
    <xf numFmtId="0" fontId="35" fillId="9" borderId="14" xfId="20" applyFont="1" applyFill="1" applyBorder="1" applyAlignment="1">
      <alignment horizontal="center" vertical="center"/>
    </xf>
    <xf numFmtId="0" fontId="35" fillId="9" borderId="33" xfId="20" applyFont="1" applyFill="1" applyBorder="1" applyAlignment="1">
      <alignment horizontal="center" vertical="center"/>
    </xf>
    <xf numFmtId="0" fontId="35" fillId="9" borderId="15" xfId="20" applyFont="1" applyFill="1" applyBorder="1" applyAlignment="1">
      <alignment horizontal="center" vertical="center"/>
    </xf>
    <xf numFmtId="0" fontId="39" fillId="0" borderId="20" xfId="20" applyFont="1" applyBorder="1" applyAlignment="1">
      <alignment horizontal="center" vertical="center" wrapText="1"/>
    </xf>
    <xf numFmtId="0" fontId="39" fillId="0" borderId="21" xfId="20" applyFont="1" applyBorder="1" applyAlignment="1">
      <alignment horizontal="center" vertical="center" wrapText="1"/>
    </xf>
    <xf numFmtId="0" fontId="35" fillId="9" borderId="16" xfId="20" applyFont="1" applyFill="1" applyBorder="1" applyAlignment="1">
      <alignment horizontal="center" vertical="center" wrapText="1"/>
    </xf>
    <xf numFmtId="0" fontId="35" fillId="9" borderId="29" xfId="20" applyFont="1" applyFill="1" applyBorder="1" applyAlignment="1">
      <alignment horizontal="center" vertical="center" wrapText="1"/>
    </xf>
    <xf numFmtId="0" fontId="35" fillId="9" borderId="13" xfId="20" applyFont="1" applyFill="1" applyBorder="1" applyAlignment="1">
      <alignment horizontal="center" vertical="center"/>
    </xf>
    <xf numFmtId="0" fontId="35" fillId="9" borderId="24" xfId="20" applyFont="1" applyFill="1" applyBorder="1" applyAlignment="1">
      <alignment horizontal="center" vertical="center"/>
    </xf>
    <xf numFmtId="0" fontId="35" fillId="9" borderId="25" xfId="20" applyFont="1" applyFill="1" applyBorder="1" applyAlignment="1">
      <alignment horizontal="center" vertical="center"/>
    </xf>
    <xf numFmtId="0" fontId="36" fillId="9" borderId="14" xfId="20" applyFont="1" applyFill="1" applyBorder="1" applyAlignment="1">
      <alignment horizontal="center" vertical="center" wrapText="1"/>
    </xf>
    <xf numFmtId="0" fontId="36" fillId="9" borderId="25" xfId="20" applyFont="1" applyFill="1" applyBorder="1" applyAlignment="1">
      <alignment horizontal="center" vertical="center"/>
    </xf>
    <xf numFmtId="0" fontId="36" fillId="9" borderId="14" xfId="20" applyFont="1" applyFill="1" applyBorder="1" applyAlignment="1">
      <alignment horizontal="center" vertical="center"/>
    </xf>
    <xf numFmtId="0" fontId="35" fillId="9" borderId="14" xfId="20" applyFont="1" applyFill="1" applyBorder="1" applyAlignment="1">
      <alignment horizontal="center" vertical="center" wrapText="1"/>
    </xf>
    <xf numFmtId="0" fontId="35" fillId="9" borderId="25" xfId="20" applyFont="1" applyFill="1" applyBorder="1" applyAlignment="1">
      <alignment horizontal="center" vertical="center" wrapText="1"/>
    </xf>
  </cellXfs>
  <cellStyles count="31">
    <cellStyle name="백분율" xfId="2" builtinId="5"/>
    <cellStyle name="백분율 2 64" xfId="7" xr:uid="{00000000-0005-0000-0000-000001000000}"/>
    <cellStyle name="쉼표 [0]" xfId="1" builtinId="6"/>
    <cellStyle name="쉼표 [0] 17" xfId="5" xr:uid="{00000000-0005-0000-0000-000003000000}"/>
    <cellStyle name="쉼표 [0] 2" xfId="4" xr:uid="{00000000-0005-0000-0000-000004000000}"/>
    <cellStyle name="쉼표 [0] 2 2" xfId="16" xr:uid="{9DE5560C-89D3-4234-A527-EA49B53D4971}"/>
    <cellStyle name="쉼표 [0] 2 2 29" xfId="11" xr:uid="{00000000-0005-0000-0000-000005000000}"/>
    <cellStyle name="쉼표 [0] 2 2 29 2" xfId="28" xr:uid="{C65A1113-20E5-4FA4-B242-13BA29E8DA38}"/>
    <cellStyle name="쉼표 [0] 2 3" xfId="21" xr:uid="{BA67D6C0-F4AB-4BDB-AD98-9284C0EF0D07}"/>
    <cellStyle name="쉼표 [0] 2 4 2" xfId="18" xr:uid="{82F7DE00-7E0F-4135-9D8B-23A5F95E9E50}"/>
    <cellStyle name="쉼표 [0] 2 84" xfId="30" xr:uid="{863FECAE-6A61-4BB7-A63D-B9CD5A5B3360}"/>
    <cellStyle name="쉼표 [0] 3" xfId="14" xr:uid="{8F7BE219-40E1-4BBB-A9BD-02188B74B2A3}"/>
    <cellStyle name="쉼표 [0] 4" xfId="19" xr:uid="{BDD5CECE-202B-4017-8E56-8FAE5E389DED}"/>
    <cellStyle name="쉼표 [0] 5" xfId="29" xr:uid="{FA7D5E77-6716-4F5B-9ACD-9BA0570E61EE}"/>
    <cellStyle name="쉼표 [0]_내역서(표준단가)_1" xfId="23" xr:uid="{76646175-2F19-42F5-AD1D-DFC9419D9A4F}"/>
    <cellStyle name="통화 [0] 2 2" xfId="10" xr:uid="{00000000-0005-0000-0000-000007000000}"/>
    <cellStyle name="표준" xfId="0" builtinId="0"/>
    <cellStyle name="표준 10 10 2" xfId="3" xr:uid="{00000000-0005-0000-0000-000009000000}"/>
    <cellStyle name="표준 10 2" xfId="25" xr:uid="{27E717E4-996C-411F-8C1A-BFB8C1008BDB}"/>
    <cellStyle name="표준 10 31" xfId="9" xr:uid="{00000000-0005-0000-0000-00000A000000}"/>
    <cellStyle name="표준 2" xfId="6" xr:uid="{00000000-0005-0000-0000-00000B000000}"/>
    <cellStyle name="표준 2 10 5" xfId="8" xr:uid="{00000000-0005-0000-0000-00000C000000}"/>
    <cellStyle name="표준 2 2" xfId="22" xr:uid="{C2C85335-3EEA-4CA2-B9B6-754B15788CDA}"/>
    <cellStyle name="표준 3" xfId="12" xr:uid="{00000000-0005-0000-0000-00000D000000}"/>
    <cellStyle name="표준 4" xfId="13" xr:uid="{08D43F33-5EF4-4FAF-B422-8A71947BBD29}"/>
    <cellStyle name="표준 5" xfId="15" xr:uid="{B39ACF8E-5B1E-4331-957C-34579729CB23}"/>
    <cellStyle name="표준 6" xfId="17" xr:uid="{9CF584B9-D7C1-4C34-BB5A-7191C1F61E39}"/>
    <cellStyle name="표준 6 2" xfId="20" xr:uid="{5518A5A9-AEA9-4BF7-A9FC-54C251CB787A}"/>
    <cellStyle name="표준_p1공장 외벽청소(08.03.17)" xfId="26" xr:uid="{EDCC693F-9085-4ED6-AEA1-A5C0A796034C}"/>
    <cellStyle name="표준_P456 공장 및 복지동 전면 유리창 청소건 라상혁님_1129(최종)" xfId="27" xr:uid="{C17A0B25-C605-429A-85FE-977B30701213}"/>
    <cellStyle name="표준_S&amp;D_MAIN VALVE_최빈_2" xfId="24" xr:uid="{C60E74A1-320F-48B1-AACD-F575935896BF}"/>
  </cellStyles>
  <dxfs count="0"/>
  <tableStyles count="0" defaultTableStyle="TableStyleMedium2" defaultPivotStyle="PivotStyleLight16"/>
  <colors>
    <mruColors>
      <color rgb="FFFF00FF"/>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2" Type="http://schemas.openxmlformats.org/officeDocument/2006/relationships/image" Target="../media/image3.jpg"/><Relationship Id="rId1"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8B5964DE-704F-4EF8-B404-061C1FB2FCF4}"/>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595314</xdr:colOff>
      <xdr:row>3</xdr:row>
      <xdr:rowOff>49025</xdr:rowOff>
    </xdr:from>
    <xdr:to>
      <xdr:col>12</xdr:col>
      <xdr:colOff>497262</xdr:colOff>
      <xdr:row>28</xdr:row>
      <xdr:rowOff>182097</xdr:rowOff>
    </xdr:to>
    <xdr:sp macro="" textlink="">
      <xdr:nvSpPr>
        <xdr:cNvPr id="7" name="직사각형 6">
          <a:extLst>
            <a:ext uri="{FF2B5EF4-FFF2-40B4-BE49-F238E27FC236}">
              <a16:creationId xmlns:a16="http://schemas.microsoft.com/office/drawing/2014/main" id="{9CD28F56-3C6F-4E96-EAE2-0E3F471B69FA}"/>
            </a:ext>
          </a:extLst>
        </xdr:cNvPr>
        <xdr:cNvSpPr/>
      </xdr:nvSpPr>
      <xdr:spPr>
        <a:xfrm>
          <a:off x="4713476" y="700368"/>
          <a:ext cx="4020110" cy="5560920"/>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ko-KR" altLang="en-US" sz="1100"/>
            <a:t>세ㄱㄱㄱ</a:t>
          </a:r>
        </a:p>
      </xdr:txBody>
    </xdr:sp>
    <xdr:clientData/>
  </xdr:twoCellAnchor>
  <xdr:twoCellAnchor>
    <xdr:from>
      <xdr:col>0</xdr:col>
      <xdr:colOff>147076</xdr:colOff>
      <xdr:row>3</xdr:row>
      <xdr:rowOff>21012</xdr:rowOff>
    </xdr:from>
    <xdr:to>
      <xdr:col>6</xdr:col>
      <xdr:colOff>49024</xdr:colOff>
      <xdr:row>28</xdr:row>
      <xdr:rowOff>154084</xdr:rowOff>
    </xdr:to>
    <xdr:sp macro="" textlink="">
      <xdr:nvSpPr>
        <xdr:cNvPr id="10" name="직사각형 9">
          <a:extLst>
            <a:ext uri="{FF2B5EF4-FFF2-40B4-BE49-F238E27FC236}">
              <a16:creationId xmlns:a16="http://schemas.microsoft.com/office/drawing/2014/main" id="{27A24ADD-B948-4E82-9EE1-10811AE99F9B}"/>
            </a:ext>
          </a:extLst>
        </xdr:cNvPr>
        <xdr:cNvSpPr/>
      </xdr:nvSpPr>
      <xdr:spPr>
        <a:xfrm>
          <a:off x="147076" y="651343"/>
          <a:ext cx="4020110" cy="5385829"/>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0</xdr:col>
      <xdr:colOff>91048</xdr:colOff>
      <xdr:row>32</xdr:row>
      <xdr:rowOff>98051</xdr:rowOff>
    </xdr:from>
    <xdr:to>
      <xdr:col>5</xdr:col>
      <xdr:colOff>679357</xdr:colOff>
      <xdr:row>58</xdr:row>
      <xdr:rowOff>14008</xdr:rowOff>
    </xdr:to>
    <xdr:sp macro="" textlink="">
      <xdr:nvSpPr>
        <xdr:cNvPr id="13" name="직사각형 12">
          <a:extLst>
            <a:ext uri="{FF2B5EF4-FFF2-40B4-BE49-F238E27FC236}">
              <a16:creationId xmlns:a16="http://schemas.microsoft.com/office/drawing/2014/main" id="{56D5EF13-4F8C-43EA-A6CD-4D0D0E679702}"/>
            </a:ext>
          </a:extLst>
        </xdr:cNvPr>
        <xdr:cNvSpPr/>
      </xdr:nvSpPr>
      <xdr:spPr>
        <a:xfrm>
          <a:off x="91048" y="7045698"/>
          <a:ext cx="4020110" cy="5560920"/>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1</xdr:colOff>
      <xdr:row>32</xdr:row>
      <xdr:rowOff>133069</xdr:rowOff>
    </xdr:from>
    <xdr:to>
      <xdr:col>12</xdr:col>
      <xdr:colOff>588309</xdr:colOff>
      <xdr:row>58</xdr:row>
      <xdr:rowOff>49026</xdr:rowOff>
    </xdr:to>
    <xdr:sp macro="" textlink="">
      <xdr:nvSpPr>
        <xdr:cNvPr id="15" name="직사각형 14">
          <a:extLst>
            <a:ext uri="{FF2B5EF4-FFF2-40B4-BE49-F238E27FC236}">
              <a16:creationId xmlns:a16="http://schemas.microsoft.com/office/drawing/2014/main" id="{0353AA2B-0116-4F6A-8D75-C86DD54C7521}"/>
            </a:ext>
          </a:extLst>
        </xdr:cNvPr>
        <xdr:cNvSpPr/>
      </xdr:nvSpPr>
      <xdr:spPr>
        <a:xfrm>
          <a:off x="4804523" y="6856598"/>
          <a:ext cx="4020110" cy="5378825"/>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14008</xdr:colOff>
      <xdr:row>3</xdr:row>
      <xdr:rowOff>63033</xdr:rowOff>
    </xdr:from>
    <xdr:to>
      <xdr:col>19</xdr:col>
      <xdr:colOff>602316</xdr:colOff>
      <xdr:row>28</xdr:row>
      <xdr:rowOff>196105</xdr:rowOff>
    </xdr:to>
    <xdr:sp macro="" textlink="">
      <xdr:nvSpPr>
        <xdr:cNvPr id="20" name="직사각형 19">
          <a:extLst>
            <a:ext uri="{FF2B5EF4-FFF2-40B4-BE49-F238E27FC236}">
              <a16:creationId xmlns:a16="http://schemas.microsoft.com/office/drawing/2014/main" id="{C3174C58-658A-41A5-8E31-B5AE2F540C1F}"/>
            </a:ext>
          </a:extLst>
        </xdr:cNvPr>
        <xdr:cNvSpPr/>
      </xdr:nvSpPr>
      <xdr:spPr>
        <a:xfrm>
          <a:off x="9623052" y="714376"/>
          <a:ext cx="4020110" cy="5560920"/>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13</xdr:col>
      <xdr:colOff>672353</xdr:colOff>
      <xdr:row>32</xdr:row>
      <xdr:rowOff>154081</xdr:rowOff>
    </xdr:from>
    <xdr:to>
      <xdr:col>19</xdr:col>
      <xdr:colOff>574301</xdr:colOff>
      <xdr:row>58</xdr:row>
      <xdr:rowOff>70038</xdr:rowOff>
    </xdr:to>
    <xdr:sp macro="" textlink="">
      <xdr:nvSpPr>
        <xdr:cNvPr id="2" name="직사각형 1">
          <a:extLst>
            <a:ext uri="{FF2B5EF4-FFF2-40B4-BE49-F238E27FC236}">
              <a16:creationId xmlns:a16="http://schemas.microsoft.com/office/drawing/2014/main" id="{5D72142A-4DB9-4B71-B39E-383A5BF313C5}"/>
            </a:ext>
          </a:extLst>
        </xdr:cNvPr>
        <xdr:cNvSpPr/>
      </xdr:nvSpPr>
      <xdr:spPr>
        <a:xfrm>
          <a:off x="9595037" y="6877610"/>
          <a:ext cx="4020110" cy="5378825"/>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20</xdr:col>
      <xdr:colOff>658345</xdr:colOff>
      <xdr:row>3</xdr:row>
      <xdr:rowOff>70037</xdr:rowOff>
    </xdr:from>
    <xdr:to>
      <xdr:col>26</xdr:col>
      <xdr:colOff>560293</xdr:colOff>
      <xdr:row>28</xdr:row>
      <xdr:rowOff>196105</xdr:rowOff>
    </xdr:to>
    <xdr:sp macro="" textlink="">
      <xdr:nvSpPr>
        <xdr:cNvPr id="3" name="직사각형 2">
          <a:extLst>
            <a:ext uri="{FF2B5EF4-FFF2-40B4-BE49-F238E27FC236}">
              <a16:creationId xmlns:a16="http://schemas.microsoft.com/office/drawing/2014/main" id="{EFFA66AB-9AAD-469B-92D9-BF92CD64842C}"/>
            </a:ext>
          </a:extLst>
        </xdr:cNvPr>
        <xdr:cNvSpPr/>
      </xdr:nvSpPr>
      <xdr:spPr>
        <a:xfrm>
          <a:off x="14385551" y="700368"/>
          <a:ext cx="4020110" cy="5378825"/>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27</xdr:col>
      <xdr:colOff>672353</xdr:colOff>
      <xdr:row>3</xdr:row>
      <xdr:rowOff>84044</xdr:rowOff>
    </xdr:from>
    <xdr:to>
      <xdr:col>33</xdr:col>
      <xdr:colOff>574301</xdr:colOff>
      <xdr:row>29</xdr:row>
      <xdr:rowOff>1</xdr:rowOff>
    </xdr:to>
    <xdr:sp macro="" textlink="">
      <xdr:nvSpPr>
        <xdr:cNvPr id="5" name="직사각형 4">
          <a:extLst>
            <a:ext uri="{FF2B5EF4-FFF2-40B4-BE49-F238E27FC236}">
              <a16:creationId xmlns:a16="http://schemas.microsoft.com/office/drawing/2014/main" id="{FA4C17B9-4EB2-4444-B2E5-B7F1F8C48D03}"/>
            </a:ext>
          </a:extLst>
        </xdr:cNvPr>
        <xdr:cNvSpPr/>
      </xdr:nvSpPr>
      <xdr:spPr>
        <a:xfrm>
          <a:off x="19304420" y="725524"/>
          <a:ext cx="4042408" cy="5475446"/>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21</xdr:col>
      <xdr:colOff>28015</xdr:colOff>
      <xdr:row>32</xdr:row>
      <xdr:rowOff>112059</xdr:rowOff>
    </xdr:from>
    <xdr:to>
      <xdr:col>26</xdr:col>
      <xdr:colOff>616323</xdr:colOff>
      <xdr:row>58</xdr:row>
      <xdr:rowOff>28016</xdr:rowOff>
    </xdr:to>
    <xdr:sp macro="" textlink="">
      <xdr:nvSpPr>
        <xdr:cNvPr id="6" name="직사각형 5">
          <a:extLst>
            <a:ext uri="{FF2B5EF4-FFF2-40B4-BE49-F238E27FC236}">
              <a16:creationId xmlns:a16="http://schemas.microsoft.com/office/drawing/2014/main" id="{D428968E-74D0-4344-AFEC-ED82D2EDCE95}"/>
            </a:ext>
          </a:extLst>
        </xdr:cNvPr>
        <xdr:cNvSpPr/>
      </xdr:nvSpPr>
      <xdr:spPr>
        <a:xfrm>
          <a:off x="14441581" y="6835588"/>
          <a:ext cx="4020110" cy="5378825"/>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28</xdr:col>
      <xdr:colOff>14007</xdr:colOff>
      <xdr:row>32</xdr:row>
      <xdr:rowOff>140074</xdr:rowOff>
    </xdr:from>
    <xdr:to>
      <xdr:col>33</xdr:col>
      <xdr:colOff>602315</xdr:colOff>
      <xdr:row>58</xdr:row>
      <xdr:rowOff>56031</xdr:rowOff>
    </xdr:to>
    <xdr:sp macro="" textlink="">
      <xdr:nvSpPr>
        <xdr:cNvPr id="8" name="직사각형 7">
          <a:extLst>
            <a:ext uri="{FF2B5EF4-FFF2-40B4-BE49-F238E27FC236}">
              <a16:creationId xmlns:a16="http://schemas.microsoft.com/office/drawing/2014/main" id="{1FF8EA96-B2A5-4929-84E4-66F266C50A8A}"/>
            </a:ext>
          </a:extLst>
        </xdr:cNvPr>
        <xdr:cNvSpPr/>
      </xdr:nvSpPr>
      <xdr:spPr>
        <a:xfrm>
          <a:off x="19232095" y="6863603"/>
          <a:ext cx="4020110" cy="5378825"/>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35</xdr:col>
      <xdr:colOff>0</xdr:colOff>
      <xdr:row>3</xdr:row>
      <xdr:rowOff>84044</xdr:rowOff>
    </xdr:from>
    <xdr:to>
      <xdr:col>40</xdr:col>
      <xdr:colOff>588308</xdr:colOff>
      <xdr:row>29</xdr:row>
      <xdr:rowOff>1</xdr:rowOff>
    </xdr:to>
    <xdr:sp macro="" textlink="">
      <xdr:nvSpPr>
        <xdr:cNvPr id="25" name="직사각형 24">
          <a:extLst>
            <a:ext uri="{FF2B5EF4-FFF2-40B4-BE49-F238E27FC236}">
              <a16:creationId xmlns:a16="http://schemas.microsoft.com/office/drawing/2014/main" id="{93F54679-E3F0-4DA9-9376-BF8EB58A60E8}"/>
            </a:ext>
          </a:extLst>
        </xdr:cNvPr>
        <xdr:cNvSpPr/>
      </xdr:nvSpPr>
      <xdr:spPr>
        <a:xfrm>
          <a:off x="24022610" y="714375"/>
          <a:ext cx="4020110" cy="5378825"/>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35</xdr:col>
      <xdr:colOff>0</xdr:colOff>
      <xdr:row>32</xdr:row>
      <xdr:rowOff>98052</xdr:rowOff>
    </xdr:from>
    <xdr:to>
      <xdr:col>40</xdr:col>
      <xdr:colOff>588308</xdr:colOff>
      <xdr:row>58</xdr:row>
      <xdr:rowOff>14009</xdr:rowOff>
    </xdr:to>
    <xdr:sp macro="" textlink="">
      <xdr:nvSpPr>
        <xdr:cNvPr id="26" name="직사각형 25">
          <a:extLst>
            <a:ext uri="{FF2B5EF4-FFF2-40B4-BE49-F238E27FC236}">
              <a16:creationId xmlns:a16="http://schemas.microsoft.com/office/drawing/2014/main" id="{962072EF-ACA3-4D62-BC3E-A6FD0432E560}"/>
            </a:ext>
          </a:extLst>
        </xdr:cNvPr>
        <xdr:cNvSpPr/>
      </xdr:nvSpPr>
      <xdr:spPr>
        <a:xfrm>
          <a:off x="24022610" y="6821581"/>
          <a:ext cx="4020110" cy="5378825"/>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41</xdr:col>
      <xdr:colOff>592095</xdr:colOff>
      <xdr:row>3</xdr:row>
      <xdr:rowOff>51486</xdr:rowOff>
    </xdr:from>
    <xdr:to>
      <xdr:col>47</xdr:col>
      <xdr:colOff>498206</xdr:colOff>
      <xdr:row>28</xdr:row>
      <xdr:rowOff>186262</xdr:rowOff>
    </xdr:to>
    <xdr:sp macro="" textlink="">
      <xdr:nvSpPr>
        <xdr:cNvPr id="22" name="직사각형 21">
          <a:extLst>
            <a:ext uri="{FF2B5EF4-FFF2-40B4-BE49-F238E27FC236}">
              <a16:creationId xmlns:a16="http://schemas.microsoft.com/office/drawing/2014/main" id="{6B45E51F-1C32-40F3-A515-E0ECD0F8BC43}"/>
            </a:ext>
          </a:extLst>
        </xdr:cNvPr>
        <xdr:cNvSpPr/>
      </xdr:nvSpPr>
      <xdr:spPr>
        <a:xfrm>
          <a:off x="28562130" y="707940"/>
          <a:ext cx="3999287" cy="5605214"/>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41</xdr:col>
      <xdr:colOff>602907</xdr:colOff>
      <xdr:row>32</xdr:row>
      <xdr:rowOff>100915</xdr:rowOff>
    </xdr:from>
    <xdr:to>
      <xdr:col>47</xdr:col>
      <xdr:colOff>509018</xdr:colOff>
      <xdr:row>58</xdr:row>
      <xdr:rowOff>16872</xdr:rowOff>
    </xdr:to>
    <xdr:sp macro="" textlink="">
      <xdr:nvSpPr>
        <xdr:cNvPr id="27" name="직사각형 26">
          <a:extLst>
            <a:ext uri="{FF2B5EF4-FFF2-40B4-BE49-F238E27FC236}">
              <a16:creationId xmlns:a16="http://schemas.microsoft.com/office/drawing/2014/main" id="{9D883A98-E2C4-4F28-9DAD-2F819D0A45CF}"/>
            </a:ext>
          </a:extLst>
        </xdr:cNvPr>
        <xdr:cNvSpPr/>
      </xdr:nvSpPr>
      <xdr:spPr>
        <a:xfrm>
          <a:off x="28572942" y="7103077"/>
          <a:ext cx="3999287" cy="5605214"/>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48</xdr:col>
      <xdr:colOff>643582</xdr:colOff>
      <xdr:row>3</xdr:row>
      <xdr:rowOff>77230</xdr:rowOff>
    </xdr:from>
    <xdr:to>
      <xdr:col>54</xdr:col>
      <xdr:colOff>549693</xdr:colOff>
      <xdr:row>28</xdr:row>
      <xdr:rowOff>212006</xdr:rowOff>
    </xdr:to>
    <xdr:sp macro="" textlink="">
      <xdr:nvSpPr>
        <xdr:cNvPr id="28" name="직사각형 27">
          <a:extLst>
            <a:ext uri="{FF2B5EF4-FFF2-40B4-BE49-F238E27FC236}">
              <a16:creationId xmlns:a16="http://schemas.microsoft.com/office/drawing/2014/main" id="{D2E95B1C-1B39-47FD-8ACE-9942C16C40A4}"/>
            </a:ext>
          </a:extLst>
        </xdr:cNvPr>
        <xdr:cNvSpPr/>
      </xdr:nvSpPr>
      <xdr:spPr>
        <a:xfrm>
          <a:off x="33388987" y="733684"/>
          <a:ext cx="3999287" cy="5605214"/>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49</xdr:col>
      <xdr:colOff>0</xdr:colOff>
      <xdr:row>32</xdr:row>
      <xdr:rowOff>102974</xdr:rowOff>
    </xdr:from>
    <xdr:to>
      <xdr:col>54</xdr:col>
      <xdr:colOff>588309</xdr:colOff>
      <xdr:row>58</xdr:row>
      <xdr:rowOff>18931</xdr:rowOff>
    </xdr:to>
    <xdr:sp macro="" textlink="">
      <xdr:nvSpPr>
        <xdr:cNvPr id="29" name="직사각형 28">
          <a:extLst>
            <a:ext uri="{FF2B5EF4-FFF2-40B4-BE49-F238E27FC236}">
              <a16:creationId xmlns:a16="http://schemas.microsoft.com/office/drawing/2014/main" id="{3C23EB62-9265-4FD4-A59F-307D4D17D96C}"/>
            </a:ext>
          </a:extLst>
        </xdr:cNvPr>
        <xdr:cNvSpPr/>
      </xdr:nvSpPr>
      <xdr:spPr>
        <a:xfrm>
          <a:off x="33427603" y="7105136"/>
          <a:ext cx="3999287" cy="5605214"/>
        </a:xfrm>
        <a:prstGeom prst="rect">
          <a:avLst/>
        </a:prstGeom>
        <a:solidFill>
          <a:schemeClr val="bg2"/>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0</xdr:col>
      <xdr:colOff>251810</xdr:colOff>
      <xdr:row>3</xdr:row>
      <xdr:rowOff>197068</xdr:rowOff>
    </xdr:from>
    <xdr:to>
      <xdr:col>5</xdr:col>
      <xdr:colOff>611243</xdr:colOff>
      <xdr:row>17</xdr:row>
      <xdr:rowOff>50132</xdr:rowOff>
    </xdr:to>
    <xdr:pic>
      <xdr:nvPicPr>
        <xdr:cNvPr id="11" name="그림 10">
          <a:extLst>
            <a:ext uri="{FF2B5EF4-FFF2-40B4-BE49-F238E27FC236}">
              <a16:creationId xmlns:a16="http://schemas.microsoft.com/office/drawing/2014/main" id="{9FD995AE-FB45-856D-4CDE-985260F782E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1810" y="848779"/>
          <a:ext cx="3785091" cy="2894379"/>
        </a:xfrm>
        <a:prstGeom prst="rect">
          <a:avLst/>
        </a:prstGeom>
      </xdr:spPr>
    </xdr:pic>
    <xdr:clientData/>
  </xdr:twoCellAnchor>
  <xdr:twoCellAnchor editAs="oneCell">
    <xdr:from>
      <xdr:col>6</xdr:col>
      <xdr:colOff>689741</xdr:colOff>
      <xdr:row>3</xdr:row>
      <xdr:rowOff>131379</xdr:rowOff>
    </xdr:from>
    <xdr:to>
      <xdr:col>12</xdr:col>
      <xdr:colOff>415377</xdr:colOff>
      <xdr:row>17</xdr:row>
      <xdr:rowOff>32845</xdr:rowOff>
    </xdr:to>
    <xdr:pic>
      <xdr:nvPicPr>
        <xdr:cNvPr id="16" name="그림 15">
          <a:extLst>
            <a:ext uri="{FF2B5EF4-FFF2-40B4-BE49-F238E27FC236}">
              <a16:creationId xmlns:a16="http://schemas.microsoft.com/office/drawing/2014/main" id="{E29A385D-53F8-89E9-90F2-032945DB014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828189" y="755431"/>
          <a:ext cx="3864085" cy="2813707"/>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E0B06-C9A7-4320-8B9D-A90705E7F224}">
  <sheetPr>
    <tabColor rgb="FF0000FF"/>
  </sheetPr>
  <dimension ref="A1:Q43"/>
  <sheetViews>
    <sheetView tabSelected="1" view="pageBreakPreview" topLeftCell="A13" zoomScale="85" zoomScaleNormal="85" zoomScaleSheetLayoutView="85" workbookViewId="0">
      <selection activeCell="B13" sqref="B13:M13"/>
    </sheetView>
  </sheetViews>
  <sheetFormatPr defaultRowHeight="14.25"/>
  <cols>
    <col min="1" max="1" width="5" style="129" customWidth="1"/>
    <col min="2" max="2" width="3.875" style="129" customWidth="1"/>
    <col min="3" max="3" width="5" style="129" customWidth="1"/>
    <col min="4" max="4" width="6.25" style="129" customWidth="1"/>
    <col min="5" max="5" width="2.875" style="129" customWidth="1"/>
    <col min="6" max="6" width="4" style="129" customWidth="1"/>
    <col min="7" max="7" width="4.75" style="129" customWidth="1"/>
    <col min="8" max="8" width="5.5" style="129" customWidth="1"/>
    <col min="9" max="9" width="5.375" style="129" customWidth="1"/>
    <col min="10" max="10" width="1.25" style="129" customWidth="1"/>
    <col min="11" max="11" width="4.375" style="129" customWidth="1"/>
    <col min="12" max="12" width="10.375" style="129" customWidth="1"/>
    <col min="13" max="13" width="20.25" style="129" bestFit="1" customWidth="1"/>
    <col min="14" max="14" width="12.875" style="129" customWidth="1"/>
    <col min="15" max="15" width="15.5" style="129" bestFit="1" customWidth="1"/>
    <col min="16" max="16" width="2.75" style="129" customWidth="1"/>
    <col min="17" max="17" width="12" style="129" bestFit="1" customWidth="1"/>
    <col min="18" max="243" width="9" style="129"/>
    <col min="244" max="244" width="5" style="129" customWidth="1"/>
    <col min="245" max="245" width="3.875" style="129" customWidth="1"/>
    <col min="246" max="246" width="5" style="129" customWidth="1"/>
    <col min="247" max="247" width="6.25" style="129" customWidth="1"/>
    <col min="248" max="248" width="2.875" style="129" customWidth="1"/>
    <col min="249" max="249" width="4" style="129" customWidth="1"/>
    <col min="250" max="250" width="4.75" style="129" customWidth="1"/>
    <col min="251" max="251" width="5.5" style="129" customWidth="1"/>
    <col min="252" max="252" width="5.375" style="129" customWidth="1"/>
    <col min="253" max="253" width="1.25" style="129" customWidth="1"/>
    <col min="254" max="254" width="4.375" style="129" customWidth="1"/>
    <col min="255" max="255" width="10.375" style="129" customWidth="1"/>
    <col min="256" max="256" width="16.625" style="129" customWidth="1"/>
    <col min="257" max="257" width="10.875" style="129" customWidth="1"/>
    <col min="258" max="258" width="18.75" style="129" customWidth="1"/>
    <col min="259" max="259" width="14.25" style="129" bestFit="1" customWidth="1"/>
    <col min="260" max="499" width="9" style="129"/>
    <col min="500" max="500" width="5" style="129" customWidth="1"/>
    <col min="501" max="501" width="3.875" style="129" customWidth="1"/>
    <col min="502" max="502" width="5" style="129" customWidth="1"/>
    <col min="503" max="503" width="6.25" style="129" customWidth="1"/>
    <col min="504" max="504" width="2.875" style="129" customWidth="1"/>
    <col min="505" max="505" width="4" style="129" customWidth="1"/>
    <col min="506" max="506" width="4.75" style="129" customWidth="1"/>
    <col min="507" max="507" width="5.5" style="129" customWidth="1"/>
    <col min="508" max="508" width="5.375" style="129" customWidth="1"/>
    <col min="509" max="509" width="1.25" style="129" customWidth="1"/>
    <col min="510" max="510" width="4.375" style="129" customWidth="1"/>
    <col min="511" max="511" width="10.375" style="129" customWidth="1"/>
    <col min="512" max="512" width="16.625" style="129" customWidth="1"/>
    <col min="513" max="513" width="10.875" style="129" customWidth="1"/>
    <col min="514" max="514" width="18.75" style="129" customWidth="1"/>
    <col min="515" max="515" width="14.25" style="129" bestFit="1" customWidth="1"/>
    <col min="516" max="755" width="9" style="129"/>
    <col min="756" max="756" width="5" style="129" customWidth="1"/>
    <col min="757" max="757" width="3.875" style="129" customWidth="1"/>
    <col min="758" max="758" width="5" style="129" customWidth="1"/>
    <col min="759" max="759" width="6.25" style="129" customWidth="1"/>
    <col min="760" max="760" width="2.875" style="129" customWidth="1"/>
    <col min="761" max="761" width="4" style="129" customWidth="1"/>
    <col min="762" max="762" width="4.75" style="129" customWidth="1"/>
    <col min="763" max="763" width="5.5" style="129" customWidth="1"/>
    <col min="764" max="764" width="5.375" style="129" customWidth="1"/>
    <col min="765" max="765" width="1.25" style="129" customWidth="1"/>
    <col min="766" max="766" width="4.375" style="129" customWidth="1"/>
    <col min="767" max="767" width="10.375" style="129" customWidth="1"/>
    <col min="768" max="768" width="16.625" style="129" customWidth="1"/>
    <col min="769" max="769" width="10.875" style="129" customWidth="1"/>
    <col min="770" max="770" width="18.75" style="129" customWidth="1"/>
    <col min="771" max="771" width="14.25" style="129" bestFit="1" customWidth="1"/>
    <col min="772" max="1011" width="9" style="129"/>
    <col min="1012" max="1012" width="5" style="129" customWidth="1"/>
    <col min="1013" max="1013" width="3.875" style="129" customWidth="1"/>
    <col min="1014" max="1014" width="5" style="129" customWidth="1"/>
    <col min="1015" max="1015" width="6.25" style="129" customWidth="1"/>
    <col min="1016" max="1016" width="2.875" style="129" customWidth="1"/>
    <col min="1017" max="1017" width="4" style="129" customWidth="1"/>
    <col min="1018" max="1018" width="4.75" style="129" customWidth="1"/>
    <col min="1019" max="1019" width="5.5" style="129" customWidth="1"/>
    <col min="1020" max="1020" width="5.375" style="129" customWidth="1"/>
    <col min="1021" max="1021" width="1.25" style="129" customWidth="1"/>
    <col min="1022" max="1022" width="4.375" style="129" customWidth="1"/>
    <col min="1023" max="1023" width="10.375" style="129" customWidth="1"/>
    <col min="1024" max="1024" width="16.625" style="129" customWidth="1"/>
    <col min="1025" max="1025" width="10.875" style="129" customWidth="1"/>
    <col min="1026" max="1026" width="18.75" style="129" customWidth="1"/>
    <col min="1027" max="1027" width="14.25" style="129" bestFit="1" customWidth="1"/>
    <col min="1028" max="1267" width="9" style="129"/>
    <col min="1268" max="1268" width="5" style="129" customWidth="1"/>
    <col min="1269" max="1269" width="3.875" style="129" customWidth="1"/>
    <col min="1270" max="1270" width="5" style="129" customWidth="1"/>
    <col min="1271" max="1271" width="6.25" style="129" customWidth="1"/>
    <col min="1272" max="1272" width="2.875" style="129" customWidth="1"/>
    <col min="1273" max="1273" width="4" style="129" customWidth="1"/>
    <col min="1274" max="1274" width="4.75" style="129" customWidth="1"/>
    <col min="1275" max="1275" width="5.5" style="129" customWidth="1"/>
    <col min="1276" max="1276" width="5.375" style="129" customWidth="1"/>
    <col min="1277" max="1277" width="1.25" style="129" customWidth="1"/>
    <col min="1278" max="1278" width="4.375" style="129" customWidth="1"/>
    <col min="1279" max="1279" width="10.375" style="129" customWidth="1"/>
    <col min="1280" max="1280" width="16.625" style="129" customWidth="1"/>
    <col min="1281" max="1281" width="10.875" style="129" customWidth="1"/>
    <col min="1282" max="1282" width="18.75" style="129" customWidth="1"/>
    <col min="1283" max="1283" width="14.25" style="129" bestFit="1" customWidth="1"/>
    <col min="1284" max="1523" width="9" style="129"/>
    <col min="1524" max="1524" width="5" style="129" customWidth="1"/>
    <col min="1525" max="1525" width="3.875" style="129" customWidth="1"/>
    <col min="1526" max="1526" width="5" style="129" customWidth="1"/>
    <col min="1527" max="1527" width="6.25" style="129" customWidth="1"/>
    <col min="1528" max="1528" width="2.875" style="129" customWidth="1"/>
    <col min="1529" max="1529" width="4" style="129" customWidth="1"/>
    <col min="1530" max="1530" width="4.75" style="129" customWidth="1"/>
    <col min="1531" max="1531" width="5.5" style="129" customWidth="1"/>
    <col min="1532" max="1532" width="5.375" style="129" customWidth="1"/>
    <col min="1533" max="1533" width="1.25" style="129" customWidth="1"/>
    <col min="1534" max="1534" width="4.375" style="129" customWidth="1"/>
    <col min="1535" max="1535" width="10.375" style="129" customWidth="1"/>
    <col min="1536" max="1536" width="16.625" style="129" customWidth="1"/>
    <col min="1537" max="1537" width="10.875" style="129" customWidth="1"/>
    <col min="1538" max="1538" width="18.75" style="129" customWidth="1"/>
    <col min="1539" max="1539" width="14.25" style="129" bestFit="1" customWidth="1"/>
    <col min="1540" max="1779" width="9" style="129"/>
    <col min="1780" max="1780" width="5" style="129" customWidth="1"/>
    <col min="1781" max="1781" width="3.875" style="129" customWidth="1"/>
    <col min="1782" max="1782" width="5" style="129" customWidth="1"/>
    <col min="1783" max="1783" width="6.25" style="129" customWidth="1"/>
    <col min="1784" max="1784" width="2.875" style="129" customWidth="1"/>
    <col min="1785" max="1785" width="4" style="129" customWidth="1"/>
    <col min="1786" max="1786" width="4.75" style="129" customWidth="1"/>
    <col min="1787" max="1787" width="5.5" style="129" customWidth="1"/>
    <col min="1788" max="1788" width="5.375" style="129" customWidth="1"/>
    <col min="1789" max="1789" width="1.25" style="129" customWidth="1"/>
    <col min="1790" max="1790" width="4.375" style="129" customWidth="1"/>
    <col min="1791" max="1791" width="10.375" style="129" customWidth="1"/>
    <col min="1792" max="1792" width="16.625" style="129" customWidth="1"/>
    <col min="1793" max="1793" width="10.875" style="129" customWidth="1"/>
    <col min="1794" max="1794" width="18.75" style="129" customWidth="1"/>
    <col min="1795" max="1795" width="14.25" style="129" bestFit="1" customWidth="1"/>
    <col min="1796" max="2035" width="9" style="129"/>
    <col min="2036" max="2036" width="5" style="129" customWidth="1"/>
    <col min="2037" max="2037" width="3.875" style="129" customWidth="1"/>
    <col min="2038" max="2038" width="5" style="129" customWidth="1"/>
    <col min="2039" max="2039" width="6.25" style="129" customWidth="1"/>
    <col min="2040" max="2040" width="2.875" style="129" customWidth="1"/>
    <col min="2041" max="2041" width="4" style="129" customWidth="1"/>
    <col min="2042" max="2042" width="4.75" style="129" customWidth="1"/>
    <col min="2043" max="2043" width="5.5" style="129" customWidth="1"/>
    <col min="2044" max="2044" width="5.375" style="129" customWidth="1"/>
    <col min="2045" max="2045" width="1.25" style="129" customWidth="1"/>
    <col min="2046" max="2046" width="4.375" style="129" customWidth="1"/>
    <col min="2047" max="2047" width="10.375" style="129" customWidth="1"/>
    <col min="2048" max="2048" width="16.625" style="129" customWidth="1"/>
    <col min="2049" max="2049" width="10.875" style="129" customWidth="1"/>
    <col min="2050" max="2050" width="18.75" style="129" customWidth="1"/>
    <col min="2051" max="2051" width="14.25" style="129" bestFit="1" customWidth="1"/>
    <col min="2052" max="2291" width="9" style="129"/>
    <col min="2292" max="2292" width="5" style="129" customWidth="1"/>
    <col min="2293" max="2293" width="3.875" style="129" customWidth="1"/>
    <col min="2294" max="2294" width="5" style="129" customWidth="1"/>
    <col min="2295" max="2295" width="6.25" style="129" customWidth="1"/>
    <col min="2296" max="2296" width="2.875" style="129" customWidth="1"/>
    <col min="2297" max="2297" width="4" style="129" customWidth="1"/>
    <col min="2298" max="2298" width="4.75" style="129" customWidth="1"/>
    <col min="2299" max="2299" width="5.5" style="129" customWidth="1"/>
    <col min="2300" max="2300" width="5.375" style="129" customWidth="1"/>
    <col min="2301" max="2301" width="1.25" style="129" customWidth="1"/>
    <col min="2302" max="2302" width="4.375" style="129" customWidth="1"/>
    <col min="2303" max="2303" width="10.375" style="129" customWidth="1"/>
    <col min="2304" max="2304" width="16.625" style="129" customWidth="1"/>
    <col min="2305" max="2305" width="10.875" style="129" customWidth="1"/>
    <col min="2306" max="2306" width="18.75" style="129" customWidth="1"/>
    <col min="2307" max="2307" width="14.25" style="129" bestFit="1" customWidth="1"/>
    <col min="2308" max="2547" width="9" style="129"/>
    <col min="2548" max="2548" width="5" style="129" customWidth="1"/>
    <col min="2549" max="2549" width="3.875" style="129" customWidth="1"/>
    <col min="2550" max="2550" width="5" style="129" customWidth="1"/>
    <col min="2551" max="2551" width="6.25" style="129" customWidth="1"/>
    <col min="2552" max="2552" width="2.875" style="129" customWidth="1"/>
    <col min="2553" max="2553" width="4" style="129" customWidth="1"/>
    <col min="2554" max="2554" width="4.75" style="129" customWidth="1"/>
    <col min="2555" max="2555" width="5.5" style="129" customWidth="1"/>
    <col min="2556" max="2556" width="5.375" style="129" customWidth="1"/>
    <col min="2557" max="2557" width="1.25" style="129" customWidth="1"/>
    <col min="2558" max="2558" width="4.375" style="129" customWidth="1"/>
    <col min="2559" max="2559" width="10.375" style="129" customWidth="1"/>
    <col min="2560" max="2560" width="16.625" style="129" customWidth="1"/>
    <col min="2561" max="2561" width="10.875" style="129" customWidth="1"/>
    <col min="2562" max="2562" width="18.75" style="129" customWidth="1"/>
    <col min="2563" max="2563" width="14.25" style="129" bestFit="1" customWidth="1"/>
    <col min="2564" max="2803" width="9" style="129"/>
    <col min="2804" max="2804" width="5" style="129" customWidth="1"/>
    <col min="2805" max="2805" width="3.875" style="129" customWidth="1"/>
    <col min="2806" max="2806" width="5" style="129" customWidth="1"/>
    <col min="2807" max="2807" width="6.25" style="129" customWidth="1"/>
    <col min="2808" max="2808" width="2.875" style="129" customWidth="1"/>
    <col min="2809" max="2809" width="4" style="129" customWidth="1"/>
    <col min="2810" max="2810" width="4.75" style="129" customWidth="1"/>
    <col min="2811" max="2811" width="5.5" style="129" customWidth="1"/>
    <col min="2812" max="2812" width="5.375" style="129" customWidth="1"/>
    <col min="2813" max="2813" width="1.25" style="129" customWidth="1"/>
    <col min="2814" max="2814" width="4.375" style="129" customWidth="1"/>
    <col min="2815" max="2815" width="10.375" style="129" customWidth="1"/>
    <col min="2816" max="2816" width="16.625" style="129" customWidth="1"/>
    <col min="2817" max="2817" width="10.875" style="129" customWidth="1"/>
    <col min="2818" max="2818" width="18.75" style="129" customWidth="1"/>
    <col min="2819" max="2819" width="14.25" style="129" bestFit="1" customWidth="1"/>
    <col min="2820" max="3059" width="9" style="129"/>
    <col min="3060" max="3060" width="5" style="129" customWidth="1"/>
    <col min="3061" max="3061" width="3.875" style="129" customWidth="1"/>
    <col min="3062" max="3062" width="5" style="129" customWidth="1"/>
    <col min="3063" max="3063" width="6.25" style="129" customWidth="1"/>
    <col min="3064" max="3064" width="2.875" style="129" customWidth="1"/>
    <col min="3065" max="3065" width="4" style="129" customWidth="1"/>
    <col min="3066" max="3066" width="4.75" style="129" customWidth="1"/>
    <col min="3067" max="3067" width="5.5" style="129" customWidth="1"/>
    <col min="3068" max="3068" width="5.375" style="129" customWidth="1"/>
    <col min="3069" max="3069" width="1.25" style="129" customWidth="1"/>
    <col min="3070" max="3070" width="4.375" style="129" customWidth="1"/>
    <col min="3071" max="3071" width="10.375" style="129" customWidth="1"/>
    <col min="3072" max="3072" width="16.625" style="129" customWidth="1"/>
    <col min="3073" max="3073" width="10.875" style="129" customWidth="1"/>
    <col min="3074" max="3074" width="18.75" style="129" customWidth="1"/>
    <col min="3075" max="3075" width="14.25" style="129" bestFit="1" customWidth="1"/>
    <col min="3076" max="3315" width="9" style="129"/>
    <col min="3316" max="3316" width="5" style="129" customWidth="1"/>
    <col min="3317" max="3317" width="3.875" style="129" customWidth="1"/>
    <col min="3318" max="3318" width="5" style="129" customWidth="1"/>
    <col min="3319" max="3319" width="6.25" style="129" customWidth="1"/>
    <col min="3320" max="3320" width="2.875" style="129" customWidth="1"/>
    <col min="3321" max="3321" width="4" style="129" customWidth="1"/>
    <col min="3322" max="3322" width="4.75" style="129" customWidth="1"/>
    <col min="3323" max="3323" width="5.5" style="129" customWidth="1"/>
    <col min="3324" max="3324" width="5.375" style="129" customWidth="1"/>
    <col min="3325" max="3325" width="1.25" style="129" customWidth="1"/>
    <col min="3326" max="3326" width="4.375" style="129" customWidth="1"/>
    <col min="3327" max="3327" width="10.375" style="129" customWidth="1"/>
    <col min="3328" max="3328" width="16.625" style="129" customWidth="1"/>
    <col min="3329" max="3329" width="10.875" style="129" customWidth="1"/>
    <col min="3330" max="3330" width="18.75" style="129" customWidth="1"/>
    <col min="3331" max="3331" width="14.25" style="129" bestFit="1" customWidth="1"/>
    <col min="3332" max="3571" width="9" style="129"/>
    <col min="3572" max="3572" width="5" style="129" customWidth="1"/>
    <col min="3573" max="3573" width="3.875" style="129" customWidth="1"/>
    <col min="3574" max="3574" width="5" style="129" customWidth="1"/>
    <col min="3575" max="3575" width="6.25" style="129" customWidth="1"/>
    <col min="3576" max="3576" width="2.875" style="129" customWidth="1"/>
    <col min="3577" max="3577" width="4" style="129" customWidth="1"/>
    <col min="3578" max="3578" width="4.75" style="129" customWidth="1"/>
    <col min="3579" max="3579" width="5.5" style="129" customWidth="1"/>
    <col min="3580" max="3580" width="5.375" style="129" customWidth="1"/>
    <col min="3581" max="3581" width="1.25" style="129" customWidth="1"/>
    <col min="3582" max="3582" width="4.375" style="129" customWidth="1"/>
    <col min="3583" max="3583" width="10.375" style="129" customWidth="1"/>
    <col min="3584" max="3584" width="16.625" style="129" customWidth="1"/>
    <col min="3585" max="3585" width="10.875" style="129" customWidth="1"/>
    <col min="3586" max="3586" width="18.75" style="129" customWidth="1"/>
    <col min="3587" max="3587" width="14.25" style="129" bestFit="1" customWidth="1"/>
    <col min="3588" max="3827" width="9" style="129"/>
    <col min="3828" max="3828" width="5" style="129" customWidth="1"/>
    <col min="3829" max="3829" width="3.875" style="129" customWidth="1"/>
    <col min="3830" max="3830" width="5" style="129" customWidth="1"/>
    <col min="3831" max="3831" width="6.25" style="129" customWidth="1"/>
    <col min="3832" max="3832" width="2.875" style="129" customWidth="1"/>
    <col min="3833" max="3833" width="4" style="129" customWidth="1"/>
    <col min="3834" max="3834" width="4.75" style="129" customWidth="1"/>
    <col min="3835" max="3835" width="5.5" style="129" customWidth="1"/>
    <col min="3836" max="3836" width="5.375" style="129" customWidth="1"/>
    <col min="3837" max="3837" width="1.25" style="129" customWidth="1"/>
    <col min="3838" max="3838" width="4.375" style="129" customWidth="1"/>
    <col min="3839" max="3839" width="10.375" style="129" customWidth="1"/>
    <col min="3840" max="3840" width="16.625" style="129" customWidth="1"/>
    <col min="3841" max="3841" width="10.875" style="129" customWidth="1"/>
    <col min="3842" max="3842" width="18.75" style="129" customWidth="1"/>
    <col min="3843" max="3843" width="14.25" style="129" bestFit="1" customWidth="1"/>
    <col min="3844" max="4083" width="9" style="129"/>
    <col min="4084" max="4084" width="5" style="129" customWidth="1"/>
    <col min="4085" max="4085" width="3.875" style="129" customWidth="1"/>
    <col min="4086" max="4086" width="5" style="129" customWidth="1"/>
    <col min="4087" max="4087" width="6.25" style="129" customWidth="1"/>
    <col min="4088" max="4088" width="2.875" style="129" customWidth="1"/>
    <col min="4089" max="4089" width="4" style="129" customWidth="1"/>
    <col min="4090" max="4090" width="4.75" style="129" customWidth="1"/>
    <col min="4091" max="4091" width="5.5" style="129" customWidth="1"/>
    <col min="4092" max="4092" width="5.375" style="129" customWidth="1"/>
    <col min="4093" max="4093" width="1.25" style="129" customWidth="1"/>
    <col min="4094" max="4094" width="4.375" style="129" customWidth="1"/>
    <col min="4095" max="4095" width="10.375" style="129" customWidth="1"/>
    <col min="4096" max="4096" width="16.625" style="129" customWidth="1"/>
    <col min="4097" max="4097" width="10.875" style="129" customWidth="1"/>
    <col min="4098" max="4098" width="18.75" style="129" customWidth="1"/>
    <col min="4099" max="4099" width="14.25" style="129" bestFit="1" customWidth="1"/>
    <col min="4100" max="4339" width="9" style="129"/>
    <col min="4340" max="4340" width="5" style="129" customWidth="1"/>
    <col min="4341" max="4341" width="3.875" style="129" customWidth="1"/>
    <col min="4342" max="4342" width="5" style="129" customWidth="1"/>
    <col min="4343" max="4343" width="6.25" style="129" customWidth="1"/>
    <col min="4344" max="4344" width="2.875" style="129" customWidth="1"/>
    <col min="4345" max="4345" width="4" style="129" customWidth="1"/>
    <col min="4346" max="4346" width="4.75" style="129" customWidth="1"/>
    <col min="4347" max="4347" width="5.5" style="129" customWidth="1"/>
    <col min="4348" max="4348" width="5.375" style="129" customWidth="1"/>
    <col min="4349" max="4349" width="1.25" style="129" customWidth="1"/>
    <col min="4350" max="4350" width="4.375" style="129" customWidth="1"/>
    <col min="4351" max="4351" width="10.375" style="129" customWidth="1"/>
    <col min="4352" max="4352" width="16.625" style="129" customWidth="1"/>
    <col min="4353" max="4353" width="10.875" style="129" customWidth="1"/>
    <col min="4354" max="4354" width="18.75" style="129" customWidth="1"/>
    <col min="4355" max="4355" width="14.25" style="129" bestFit="1" customWidth="1"/>
    <col min="4356" max="4595" width="9" style="129"/>
    <col min="4596" max="4596" width="5" style="129" customWidth="1"/>
    <col min="4597" max="4597" width="3.875" style="129" customWidth="1"/>
    <col min="4598" max="4598" width="5" style="129" customWidth="1"/>
    <col min="4599" max="4599" width="6.25" style="129" customWidth="1"/>
    <col min="4600" max="4600" width="2.875" style="129" customWidth="1"/>
    <col min="4601" max="4601" width="4" style="129" customWidth="1"/>
    <col min="4602" max="4602" width="4.75" style="129" customWidth="1"/>
    <col min="4603" max="4603" width="5.5" style="129" customWidth="1"/>
    <col min="4604" max="4604" width="5.375" style="129" customWidth="1"/>
    <col min="4605" max="4605" width="1.25" style="129" customWidth="1"/>
    <col min="4606" max="4606" width="4.375" style="129" customWidth="1"/>
    <col min="4607" max="4607" width="10.375" style="129" customWidth="1"/>
    <col min="4608" max="4608" width="16.625" style="129" customWidth="1"/>
    <col min="4609" max="4609" width="10.875" style="129" customWidth="1"/>
    <col min="4610" max="4610" width="18.75" style="129" customWidth="1"/>
    <col min="4611" max="4611" width="14.25" style="129" bestFit="1" customWidth="1"/>
    <col min="4612" max="4851" width="9" style="129"/>
    <col min="4852" max="4852" width="5" style="129" customWidth="1"/>
    <col min="4853" max="4853" width="3.875" style="129" customWidth="1"/>
    <col min="4854" max="4854" width="5" style="129" customWidth="1"/>
    <col min="4855" max="4855" width="6.25" style="129" customWidth="1"/>
    <col min="4856" max="4856" width="2.875" style="129" customWidth="1"/>
    <col min="4857" max="4857" width="4" style="129" customWidth="1"/>
    <col min="4858" max="4858" width="4.75" style="129" customWidth="1"/>
    <col min="4859" max="4859" width="5.5" style="129" customWidth="1"/>
    <col min="4860" max="4860" width="5.375" style="129" customWidth="1"/>
    <col min="4861" max="4861" width="1.25" style="129" customWidth="1"/>
    <col min="4862" max="4862" width="4.375" style="129" customWidth="1"/>
    <col min="4863" max="4863" width="10.375" style="129" customWidth="1"/>
    <col min="4864" max="4864" width="16.625" style="129" customWidth="1"/>
    <col min="4865" max="4865" width="10.875" style="129" customWidth="1"/>
    <col min="4866" max="4866" width="18.75" style="129" customWidth="1"/>
    <col min="4867" max="4867" width="14.25" style="129" bestFit="1" customWidth="1"/>
    <col min="4868" max="5107" width="9" style="129"/>
    <col min="5108" max="5108" width="5" style="129" customWidth="1"/>
    <col min="5109" max="5109" width="3.875" style="129" customWidth="1"/>
    <col min="5110" max="5110" width="5" style="129" customWidth="1"/>
    <col min="5111" max="5111" width="6.25" style="129" customWidth="1"/>
    <col min="5112" max="5112" width="2.875" style="129" customWidth="1"/>
    <col min="5113" max="5113" width="4" style="129" customWidth="1"/>
    <col min="5114" max="5114" width="4.75" style="129" customWidth="1"/>
    <col min="5115" max="5115" width="5.5" style="129" customWidth="1"/>
    <col min="5116" max="5116" width="5.375" style="129" customWidth="1"/>
    <col min="5117" max="5117" width="1.25" style="129" customWidth="1"/>
    <col min="5118" max="5118" width="4.375" style="129" customWidth="1"/>
    <col min="5119" max="5119" width="10.375" style="129" customWidth="1"/>
    <col min="5120" max="5120" width="16.625" style="129" customWidth="1"/>
    <col min="5121" max="5121" width="10.875" style="129" customWidth="1"/>
    <col min="5122" max="5122" width="18.75" style="129" customWidth="1"/>
    <col min="5123" max="5123" width="14.25" style="129" bestFit="1" customWidth="1"/>
    <col min="5124" max="5363" width="9" style="129"/>
    <col min="5364" max="5364" width="5" style="129" customWidth="1"/>
    <col min="5365" max="5365" width="3.875" style="129" customWidth="1"/>
    <col min="5366" max="5366" width="5" style="129" customWidth="1"/>
    <col min="5367" max="5367" width="6.25" style="129" customWidth="1"/>
    <col min="5368" max="5368" width="2.875" style="129" customWidth="1"/>
    <col min="5369" max="5369" width="4" style="129" customWidth="1"/>
    <col min="5370" max="5370" width="4.75" style="129" customWidth="1"/>
    <col min="5371" max="5371" width="5.5" style="129" customWidth="1"/>
    <col min="5372" max="5372" width="5.375" style="129" customWidth="1"/>
    <col min="5373" max="5373" width="1.25" style="129" customWidth="1"/>
    <col min="5374" max="5374" width="4.375" style="129" customWidth="1"/>
    <col min="5375" max="5375" width="10.375" style="129" customWidth="1"/>
    <col min="5376" max="5376" width="16.625" style="129" customWidth="1"/>
    <col min="5377" max="5377" width="10.875" style="129" customWidth="1"/>
    <col min="5378" max="5378" width="18.75" style="129" customWidth="1"/>
    <col min="5379" max="5379" width="14.25" style="129" bestFit="1" customWidth="1"/>
    <col min="5380" max="5619" width="9" style="129"/>
    <col min="5620" max="5620" width="5" style="129" customWidth="1"/>
    <col min="5621" max="5621" width="3.875" style="129" customWidth="1"/>
    <col min="5622" max="5622" width="5" style="129" customWidth="1"/>
    <col min="5623" max="5623" width="6.25" style="129" customWidth="1"/>
    <col min="5624" max="5624" width="2.875" style="129" customWidth="1"/>
    <col min="5625" max="5625" width="4" style="129" customWidth="1"/>
    <col min="5626" max="5626" width="4.75" style="129" customWidth="1"/>
    <col min="5627" max="5627" width="5.5" style="129" customWidth="1"/>
    <col min="5628" max="5628" width="5.375" style="129" customWidth="1"/>
    <col min="5629" max="5629" width="1.25" style="129" customWidth="1"/>
    <col min="5630" max="5630" width="4.375" style="129" customWidth="1"/>
    <col min="5631" max="5631" width="10.375" style="129" customWidth="1"/>
    <col min="5632" max="5632" width="16.625" style="129" customWidth="1"/>
    <col min="5633" max="5633" width="10.875" style="129" customWidth="1"/>
    <col min="5634" max="5634" width="18.75" style="129" customWidth="1"/>
    <col min="5635" max="5635" width="14.25" style="129" bestFit="1" customWidth="1"/>
    <col min="5636" max="5875" width="9" style="129"/>
    <col min="5876" max="5876" width="5" style="129" customWidth="1"/>
    <col min="5877" max="5877" width="3.875" style="129" customWidth="1"/>
    <col min="5878" max="5878" width="5" style="129" customWidth="1"/>
    <col min="5879" max="5879" width="6.25" style="129" customWidth="1"/>
    <col min="5880" max="5880" width="2.875" style="129" customWidth="1"/>
    <col min="5881" max="5881" width="4" style="129" customWidth="1"/>
    <col min="5882" max="5882" width="4.75" style="129" customWidth="1"/>
    <col min="5883" max="5883" width="5.5" style="129" customWidth="1"/>
    <col min="5884" max="5884" width="5.375" style="129" customWidth="1"/>
    <col min="5885" max="5885" width="1.25" style="129" customWidth="1"/>
    <col min="5886" max="5886" width="4.375" style="129" customWidth="1"/>
    <col min="5887" max="5887" width="10.375" style="129" customWidth="1"/>
    <col min="5888" max="5888" width="16.625" style="129" customWidth="1"/>
    <col min="5889" max="5889" width="10.875" style="129" customWidth="1"/>
    <col min="5890" max="5890" width="18.75" style="129" customWidth="1"/>
    <col min="5891" max="5891" width="14.25" style="129" bestFit="1" customWidth="1"/>
    <col min="5892" max="6131" width="9" style="129"/>
    <col min="6132" max="6132" width="5" style="129" customWidth="1"/>
    <col min="6133" max="6133" width="3.875" style="129" customWidth="1"/>
    <col min="6134" max="6134" width="5" style="129" customWidth="1"/>
    <col min="6135" max="6135" width="6.25" style="129" customWidth="1"/>
    <col min="6136" max="6136" width="2.875" style="129" customWidth="1"/>
    <col min="6137" max="6137" width="4" style="129" customWidth="1"/>
    <col min="6138" max="6138" width="4.75" style="129" customWidth="1"/>
    <col min="6139" max="6139" width="5.5" style="129" customWidth="1"/>
    <col min="6140" max="6140" width="5.375" style="129" customWidth="1"/>
    <col min="6141" max="6141" width="1.25" style="129" customWidth="1"/>
    <col min="6142" max="6142" width="4.375" style="129" customWidth="1"/>
    <col min="6143" max="6143" width="10.375" style="129" customWidth="1"/>
    <col min="6144" max="6144" width="16.625" style="129" customWidth="1"/>
    <col min="6145" max="6145" width="10.875" style="129" customWidth="1"/>
    <col min="6146" max="6146" width="18.75" style="129" customWidth="1"/>
    <col min="6147" max="6147" width="14.25" style="129" bestFit="1" customWidth="1"/>
    <col min="6148" max="6387" width="9" style="129"/>
    <col min="6388" max="6388" width="5" style="129" customWidth="1"/>
    <col min="6389" max="6389" width="3.875" style="129" customWidth="1"/>
    <col min="6390" max="6390" width="5" style="129" customWidth="1"/>
    <col min="6391" max="6391" width="6.25" style="129" customWidth="1"/>
    <col min="6392" max="6392" width="2.875" style="129" customWidth="1"/>
    <col min="6393" max="6393" width="4" style="129" customWidth="1"/>
    <col min="6394" max="6394" width="4.75" style="129" customWidth="1"/>
    <col min="6395" max="6395" width="5.5" style="129" customWidth="1"/>
    <col min="6396" max="6396" width="5.375" style="129" customWidth="1"/>
    <col min="6397" max="6397" width="1.25" style="129" customWidth="1"/>
    <col min="6398" max="6398" width="4.375" style="129" customWidth="1"/>
    <col min="6399" max="6399" width="10.375" style="129" customWidth="1"/>
    <col min="6400" max="6400" width="16.625" style="129" customWidth="1"/>
    <col min="6401" max="6401" width="10.875" style="129" customWidth="1"/>
    <col min="6402" max="6402" width="18.75" style="129" customWidth="1"/>
    <col min="6403" max="6403" width="14.25" style="129" bestFit="1" customWidth="1"/>
    <col min="6404" max="6643" width="9" style="129"/>
    <col min="6644" max="6644" width="5" style="129" customWidth="1"/>
    <col min="6645" max="6645" width="3.875" style="129" customWidth="1"/>
    <col min="6646" max="6646" width="5" style="129" customWidth="1"/>
    <col min="6647" max="6647" width="6.25" style="129" customWidth="1"/>
    <col min="6648" max="6648" width="2.875" style="129" customWidth="1"/>
    <col min="6649" max="6649" width="4" style="129" customWidth="1"/>
    <col min="6650" max="6650" width="4.75" style="129" customWidth="1"/>
    <col min="6651" max="6651" width="5.5" style="129" customWidth="1"/>
    <col min="6652" max="6652" width="5.375" style="129" customWidth="1"/>
    <col min="6653" max="6653" width="1.25" style="129" customWidth="1"/>
    <col min="6654" max="6654" width="4.375" style="129" customWidth="1"/>
    <col min="6655" max="6655" width="10.375" style="129" customWidth="1"/>
    <col min="6656" max="6656" width="16.625" style="129" customWidth="1"/>
    <col min="6657" max="6657" width="10.875" style="129" customWidth="1"/>
    <col min="6658" max="6658" width="18.75" style="129" customWidth="1"/>
    <col min="6659" max="6659" width="14.25" style="129" bestFit="1" customWidth="1"/>
    <col min="6660" max="6899" width="9" style="129"/>
    <col min="6900" max="6900" width="5" style="129" customWidth="1"/>
    <col min="6901" max="6901" width="3.875" style="129" customWidth="1"/>
    <col min="6902" max="6902" width="5" style="129" customWidth="1"/>
    <col min="6903" max="6903" width="6.25" style="129" customWidth="1"/>
    <col min="6904" max="6904" width="2.875" style="129" customWidth="1"/>
    <col min="6905" max="6905" width="4" style="129" customWidth="1"/>
    <col min="6906" max="6906" width="4.75" style="129" customWidth="1"/>
    <col min="6907" max="6907" width="5.5" style="129" customWidth="1"/>
    <col min="6908" max="6908" width="5.375" style="129" customWidth="1"/>
    <col min="6909" max="6909" width="1.25" style="129" customWidth="1"/>
    <col min="6910" max="6910" width="4.375" style="129" customWidth="1"/>
    <col min="6911" max="6911" width="10.375" style="129" customWidth="1"/>
    <col min="6912" max="6912" width="16.625" style="129" customWidth="1"/>
    <col min="6913" max="6913" width="10.875" style="129" customWidth="1"/>
    <col min="6914" max="6914" width="18.75" style="129" customWidth="1"/>
    <col min="6915" max="6915" width="14.25" style="129" bestFit="1" customWidth="1"/>
    <col min="6916" max="7155" width="9" style="129"/>
    <col min="7156" max="7156" width="5" style="129" customWidth="1"/>
    <col min="7157" max="7157" width="3.875" style="129" customWidth="1"/>
    <col min="7158" max="7158" width="5" style="129" customWidth="1"/>
    <col min="7159" max="7159" width="6.25" style="129" customWidth="1"/>
    <col min="7160" max="7160" width="2.875" style="129" customWidth="1"/>
    <col min="7161" max="7161" width="4" style="129" customWidth="1"/>
    <col min="7162" max="7162" width="4.75" style="129" customWidth="1"/>
    <col min="7163" max="7163" width="5.5" style="129" customWidth="1"/>
    <col min="7164" max="7164" width="5.375" style="129" customWidth="1"/>
    <col min="7165" max="7165" width="1.25" style="129" customWidth="1"/>
    <col min="7166" max="7166" width="4.375" style="129" customWidth="1"/>
    <col min="7167" max="7167" width="10.375" style="129" customWidth="1"/>
    <col min="7168" max="7168" width="16.625" style="129" customWidth="1"/>
    <col min="7169" max="7169" width="10.875" style="129" customWidth="1"/>
    <col min="7170" max="7170" width="18.75" style="129" customWidth="1"/>
    <col min="7171" max="7171" width="14.25" style="129" bestFit="1" customWidth="1"/>
    <col min="7172" max="7411" width="9" style="129"/>
    <col min="7412" max="7412" width="5" style="129" customWidth="1"/>
    <col min="7413" max="7413" width="3.875" style="129" customWidth="1"/>
    <col min="7414" max="7414" width="5" style="129" customWidth="1"/>
    <col min="7415" max="7415" width="6.25" style="129" customWidth="1"/>
    <col min="7416" max="7416" width="2.875" style="129" customWidth="1"/>
    <col min="7417" max="7417" width="4" style="129" customWidth="1"/>
    <col min="7418" max="7418" width="4.75" style="129" customWidth="1"/>
    <col min="7419" max="7419" width="5.5" style="129" customWidth="1"/>
    <col min="7420" max="7420" width="5.375" style="129" customWidth="1"/>
    <col min="7421" max="7421" width="1.25" style="129" customWidth="1"/>
    <col min="7422" max="7422" width="4.375" style="129" customWidth="1"/>
    <col min="7423" max="7423" width="10.375" style="129" customWidth="1"/>
    <col min="7424" max="7424" width="16.625" style="129" customWidth="1"/>
    <col min="7425" max="7425" width="10.875" style="129" customWidth="1"/>
    <col min="7426" max="7426" width="18.75" style="129" customWidth="1"/>
    <col min="7427" max="7427" width="14.25" style="129" bestFit="1" customWidth="1"/>
    <col min="7428" max="7667" width="9" style="129"/>
    <col min="7668" max="7668" width="5" style="129" customWidth="1"/>
    <col min="7669" max="7669" width="3.875" style="129" customWidth="1"/>
    <col min="7670" max="7670" width="5" style="129" customWidth="1"/>
    <col min="7671" max="7671" width="6.25" style="129" customWidth="1"/>
    <col min="7672" max="7672" width="2.875" style="129" customWidth="1"/>
    <col min="7673" max="7673" width="4" style="129" customWidth="1"/>
    <col min="7674" max="7674" width="4.75" style="129" customWidth="1"/>
    <col min="7675" max="7675" width="5.5" style="129" customWidth="1"/>
    <col min="7676" max="7676" width="5.375" style="129" customWidth="1"/>
    <col min="7677" max="7677" width="1.25" style="129" customWidth="1"/>
    <col min="7678" max="7678" width="4.375" style="129" customWidth="1"/>
    <col min="7679" max="7679" width="10.375" style="129" customWidth="1"/>
    <col min="7680" max="7680" width="16.625" style="129" customWidth="1"/>
    <col min="7681" max="7681" width="10.875" style="129" customWidth="1"/>
    <col min="7682" max="7682" width="18.75" style="129" customWidth="1"/>
    <col min="7683" max="7683" width="14.25" style="129" bestFit="1" customWidth="1"/>
    <col min="7684" max="7923" width="9" style="129"/>
    <col min="7924" max="7924" width="5" style="129" customWidth="1"/>
    <col min="7925" max="7925" width="3.875" style="129" customWidth="1"/>
    <col min="7926" max="7926" width="5" style="129" customWidth="1"/>
    <col min="7927" max="7927" width="6.25" style="129" customWidth="1"/>
    <col min="7928" max="7928" width="2.875" style="129" customWidth="1"/>
    <col min="7929" max="7929" width="4" style="129" customWidth="1"/>
    <col min="7930" max="7930" width="4.75" style="129" customWidth="1"/>
    <col min="7931" max="7931" width="5.5" style="129" customWidth="1"/>
    <col min="7932" max="7932" width="5.375" style="129" customWidth="1"/>
    <col min="7933" max="7933" width="1.25" style="129" customWidth="1"/>
    <col min="7934" max="7934" width="4.375" style="129" customWidth="1"/>
    <col min="7935" max="7935" width="10.375" style="129" customWidth="1"/>
    <col min="7936" max="7936" width="16.625" style="129" customWidth="1"/>
    <col min="7937" max="7937" width="10.875" style="129" customWidth="1"/>
    <col min="7938" max="7938" width="18.75" style="129" customWidth="1"/>
    <col min="7939" max="7939" width="14.25" style="129" bestFit="1" customWidth="1"/>
    <col min="7940" max="8179" width="9" style="129"/>
    <col min="8180" max="8180" width="5" style="129" customWidth="1"/>
    <col min="8181" max="8181" width="3.875" style="129" customWidth="1"/>
    <col min="8182" max="8182" width="5" style="129" customWidth="1"/>
    <col min="8183" max="8183" width="6.25" style="129" customWidth="1"/>
    <col min="8184" max="8184" width="2.875" style="129" customWidth="1"/>
    <col min="8185" max="8185" width="4" style="129" customWidth="1"/>
    <col min="8186" max="8186" width="4.75" style="129" customWidth="1"/>
    <col min="8187" max="8187" width="5.5" style="129" customWidth="1"/>
    <col min="8188" max="8188" width="5.375" style="129" customWidth="1"/>
    <col min="8189" max="8189" width="1.25" style="129" customWidth="1"/>
    <col min="8190" max="8190" width="4.375" style="129" customWidth="1"/>
    <col min="8191" max="8191" width="10.375" style="129" customWidth="1"/>
    <col min="8192" max="8192" width="16.625" style="129" customWidth="1"/>
    <col min="8193" max="8193" width="10.875" style="129" customWidth="1"/>
    <col min="8194" max="8194" width="18.75" style="129" customWidth="1"/>
    <col min="8195" max="8195" width="14.25" style="129" bestFit="1" customWidth="1"/>
    <col min="8196" max="8435" width="9" style="129"/>
    <col min="8436" max="8436" width="5" style="129" customWidth="1"/>
    <col min="8437" max="8437" width="3.875" style="129" customWidth="1"/>
    <col min="8438" max="8438" width="5" style="129" customWidth="1"/>
    <col min="8439" max="8439" width="6.25" style="129" customWidth="1"/>
    <col min="8440" max="8440" width="2.875" style="129" customWidth="1"/>
    <col min="8441" max="8441" width="4" style="129" customWidth="1"/>
    <col min="8442" max="8442" width="4.75" style="129" customWidth="1"/>
    <col min="8443" max="8443" width="5.5" style="129" customWidth="1"/>
    <col min="8444" max="8444" width="5.375" style="129" customWidth="1"/>
    <col min="8445" max="8445" width="1.25" style="129" customWidth="1"/>
    <col min="8446" max="8446" width="4.375" style="129" customWidth="1"/>
    <col min="8447" max="8447" width="10.375" style="129" customWidth="1"/>
    <col min="8448" max="8448" width="16.625" style="129" customWidth="1"/>
    <col min="8449" max="8449" width="10.875" style="129" customWidth="1"/>
    <col min="8450" max="8450" width="18.75" style="129" customWidth="1"/>
    <col min="8451" max="8451" width="14.25" style="129" bestFit="1" customWidth="1"/>
    <col min="8452" max="8691" width="9" style="129"/>
    <col min="8692" max="8692" width="5" style="129" customWidth="1"/>
    <col min="8693" max="8693" width="3.875" style="129" customWidth="1"/>
    <col min="8694" max="8694" width="5" style="129" customWidth="1"/>
    <col min="8695" max="8695" width="6.25" style="129" customWidth="1"/>
    <col min="8696" max="8696" width="2.875" style="129" customWidth="1"/>
    <col min="8697" max="8697" width="4" style="129" customWidth="1"/>
    <col min="8698" max="8698" width="4.75" style="129" customWidth="1"/>
    <col min="8699" max="8699" width="5.5" style="129" customWidth="1"/>
    <col min="8700" max="8700" width="5.375" style="129" customWidth="1"/>
    <col min="8701" max="8701" width="1.25" style="129" customWidth="1"/>
    <col min="8702" max="8702" width="4.375" style="129" customWidth="1"/>
    <col min="8703" max="8703" width="10.375" style="129" customWidth="1"/>
    <col min="8704" max="8704" width="16.625" style="129" customWidth="1"/>
    <col min="8705" max="8705" width="10.875" style="129" customWidth="1"/>
    <col min="8706" max="8706" width="18.75" style="129" customWidth="1"/>
    <col min="8707" max="8707" width="14.25" style="129" bestFit="1" customWidth="1"/>
    <col min="8708" max="8947" width="9" style="129"/>
    <col min="8948" max="8948" width="5" style="129" customWidth="1"/>
    <col min="8949" max="8949" width="3.875" style="129" customWidth="1"/>
    <col min="8950" max="8950" width="5" style="129" customWidth="1"/>
    <col min="8951" max="8951" width="6.25" style="129" customWidth="1"/>
    <col min="8952" max="8952" width="2.875" style="129" customWidth="1"/>
    <col min="8953" max="8953" width="4" style="129" customWidth="1"/>
    <col min="8954" max="8954" width="4.75" style="129" customWidth="1"/>
    <col min="8955" max="8955" width="5.5" style="129" customWidth="1"/>
    <col min="8956" max="8956" width="5.375" style="129" customWidth="1"/>
    <col min="8957" max="8957" width="1.25" style="129" customWidth="1"/>
    <col min="8958" max="8958" width="4.375" style="129" customWidth="1"/>
    <col min="8959" max="8959" width="10.375" style="129" customWidth="1"/>
    <col min="8960" max="8960" width="16.625" style="129" customWidth="1"/>
    <col min="8961" max="8961" width="10.875" style="129" customWidth="1"/>
    <col min="8962" max="8962" width="18.75" style="129" customWidth="1"/>
    <col min="8963" max="8963" width="14.25" style="129" bestFit="1" customWidth="1"/>
    <col min="8964" max="9203" width="9" style="129"/>
    <col min="9204" max="9204" width="5" style="129" customWidth="1"/>
    <col min="9205" max="9205" width="3.875" style="129" customWidth="1"/>
    <col min="9206" max="9206" width="5" style="129" customWidth="1"/>
    <col min="9207" max="9207" width="6.25" style="129" customWidth="1"/>
    <col min="9208" max="9208" width="2.875" style="129" customWidth="1"/>
    <col min="9209" max="9209" width="4" style="129" customWidth="1"/>
    <col min="9210" max="9210" width="4.75" style="129" customWidth="1"/>
    <col min="9211" max="9211" width="5.5" style="129" customWidth="1"/>
    <col min="9212" max="9212" width="5.375" style="129" customWidth="1"/>
    <col min="9213" max="9213" width="1.25" style="129" customWidth="1"/>
    <col min="9214" max="9214" width="4.375" style="129" customWidth="1"/>
    <col min="9215" max="9215" width="10.375" style="129" customWidth="1"/>
    <col min="9216" max="9216" width="16.625" style="129" customWidth="1"/>
    <col min="9217" max="9217" width="10.875" style="129" customWidth="1"/>
    <col min="9218" max="9218" width="18.75" style="129" customWidth="1"/>
    <col min="9219" max="9219" width="14.25" style="129" bestFit="1" customWidth="1"/>
    <col min="9220" max="9459" width="9" style="129"/>
    <col min="9460" max="9460" width="5" style="129" customWidth="1"/>
    <col min="9461" max="9461" width="3.875" style="129" customWidth="1"/>
    <col min="9462" max="9462" width="5" style="129" customWidth="1"/>
    <col min="9463" max="9463" width="6.25" style="129" customWidth="1"/>
    <col min="9464" max="9464" width="2.875" style="129" customWidth="1"/>
    <col min="9465" max="9465" width="4" style="129" customWidth="1"/>
    <col min="9466" max="9466" width="4.75" style="129" customWidth="1"/>
    <col min="9467" max="9467" width="5.5" style="129" customWidth="1"/>
    <col min="9468" max="9468" width="5.375" style="129" customWidth="1"/>
    <col min="9469" max="9469" width="1.25" style="129" customWidth="1"/>
    <col min="9470" max="9470" width="4.375" style="129" customWidth="1"/>
    <col min="9471" max="9471" width="10.375" style="129" customWidth="1"/>
    <col min="9472" max="9472" width="16.625" style="129" customWidth="1"/>
    <col min="9473" max="9473" width="10.875" style="129" customWidth="1"/>
    <col min="9474" max="9474" width="18.75" style="129" customWidth="1"/>
    <col min="9475" max="9475" width="14.25" style="129" bestFit="1" customWidth="1"/>
    <col min="9476" max="9715" width="9" style="129"/>
    <col min="9716" max="9716" width="5" style="129" customWidth="1"/>
    <col min="9717" max="9717" width="3.875" style="129" customWidth="1"/>
    <col min="9718" max="9718" width="5" style="129" customWidth="1"/>
    <col min="9719" max="9719" width="6.25" style="129" customWidth="1"/>
    <col min="9720" max="9720" width="2.875" style="129" customWidth="1"/>
    <col min="9721" max="9721" width="4" style="129" customWidth="1"/>
    <col min="9722" max="9722" width="4.75" style="129" customWidth="1"/>
    <col min="9723" max="9723" width="5.5" style="129" customWidth="1"/>
    <col min="9724" max="9724" width="5.375" style="129" customWidth="1"/>
    <col min="9725" max="9725" width="1.25" style="129" customWidth="1"/>
    <col min="9726" max="9726" width="4.375" style="129" customWidth="1"/>
    <col min="9727" max="9727" width="10.375" style="129" customWidth="1"/>
    <col min="9728" max="9728" width="16.625" style="129" customWidth="1"/>
    <col min="9729" max="9729" width="10.875" style="129" customWidth="1"/>
    <col min="9730" max="9730" width="18.75" style="129" customWidth="1"/>
    <col min="9731" max="9731" width="14.25" style="129" bestFit="1" customWidth="1"/>
    <col min="9732" max="9971" width="9" style="129"/>
    <col min="9972" max="9972" width="5" style="129" customWidth="1"/>
    <col min="9973" max="9973" width="3.875" style="129" customWidth="1"/>
    <col min="9974" max="9974" width="5" style="129" customWidth="1"/>
    <col min="9975" max="9975" width="6.25" style="129" customWidth="1"/>
    <col min="9976" max="9976" width="2.875" style="129" customWidth="1"/>
    <col min="9977" max="9977" width="4" style="129" customWidth="1"/>
    <col min="9978" max="9978" width="4.75" style="129" customWidth="1"/>
    <col min="9979" max="9979" width="5.5" style="129" customWidth="1"/>
    <col min="9980" max="9980" width="5.375" style="129" customWidth="1"/>
    <col min="9981" max="9981" width="1.25" style="129" customWidth="1"/>
    <col min="9982" max="9982" width="4.375" style="129" customWidth="1"/>
    <col min="9983" max="9983" width="10.375" style="129" customWidth="1"/>
    <col min="9984" max="9984" width="16.625" style="129" customWidth="1"/>
    <col min="9985" max="9985" width="10.875" style="129" customWidth="1"/>
    <col min="9986" max="9986" width="18.75" style="129" customWidth="1"/>
    <col min="9987" max="9987" width="14.25" style="129" bestFit="1" customWidth="1"/>
    <col min="9988" max="10227" width="9" style="129"/>
    <col min="10228" max="10228" width="5" style="129" customWidth="1"/>
    <col min="10229" max="10229" width="3.875" style="129" customWidth="1"/>
    <col min="10230" max="10230" width="5" style="129" customWidth="1"/>
    <col min="10231" max="10231" width="6.25" style="129" customWidth="1"/>
    <col min="10232" max="10232" width="2.875" style="129" customWidth="1"/>
    <col min="10233" max="10233" width="4" style="129" customWidth="1"/>
    <col min="10234" max="10234" width="4.75" style="129" customWidth="1"/>
    <col min="10235" max="10235" width="5.5" style="129" customWidth="1"/>
    <col min="10236" max="10236" width="5.375" style="129" customWidth="1"/>
    <col min="10237" max="10237" width="1.25" style="129" customWidth="1"/>
    <col min="10238" max="10238" width="4.375" style="129" customWidth="1"/>
    <col min="10239" max="10239" width="10.375" style="129" customWidth="1"/>
    <col min="10240" max="10240" width="16.625" style="129" customWidth="1"/>
    <col min="10241" max="10241" width="10.875" style="129" customWidth="1"/>
    <col min="10242" max="10242" width="18.75" style="129" customWidth="1"/>
    <col min="10243" max="10243" width="14.25" style="129" bestFit="1" customWidth="1"/>
    <col min="10244" max="10483" width="9" style="129"/>
    <col min="10484" max="10484" width="5" style="129" customWidth="1"/>
    <col min="10485" max="10485" width="3.875" style="129" customWidth="1"/>
    <col min="10486" max="10486" width="5" style="129" customWidth="1"/>
    <col min="10487" max="10487" width="6.25" style="129" customWidth="1"/>
    <col min="10488" max="10488" width="2.875" style="129" customWidth="1"/>
    <col min="10489" max="10489" width="4" style="129" customWidth="1"/>
    <col min="10490" max="10490" width="4.75" style="129" customWidth="1"/>
    <col min="10491" max="10491" width="5.5" style="129" customWidth="1"/>
    <col min="10492" max="10492" width="5.375" style="129" customWidth="1"/>
    <col min="10493" max="10493" width="1.25" style="129" customWidth="1"/>
    <col min="10494" max="10494" width="4.375" style="129" customWidth="1"/>
    <col min="10495" max="10495" width="10.375" style="129" customWidth="1"/>
    <col min="10496" max="10496" width="16.625" style="129" customWidth="1"/>
    <col min="10497" max="10497" width="10.875" style="129" customWidth="1"/>
    <col min="10498" max="10498" width="18.75" style="129" customWidth="1"/>
    <col min="10499" max="10499" width="14.25" style="129" bestFit="1" customWidth="1"/>
    <col min="10500" max="10739" width="9" style="129"/>
    <col min="10740" max="10740" width="5" style="129" customWidth="1"/>
    <col min="10741" max="10741" width="3.875" style="129" customWidth="1"/>
    <col min="10742" max="10742" width="5" style="129" customWidth="1"/>
    <col min="10743" max="10743" width="6.25" style="129" customWidth="1"/>
    <col min="10744" max="10744" width="2.875" style="129" customWidth="1"/>
    <col min="10745" max="10745" width="4" style="129" customWidth="1"/>
    <col min="10746" max="10746" width="4.75" style="129" customWidth="1"/>
    <col min="10747" max="10747" width="5.5" style="129" customWidth="1"/>
    <col min="10748" max="10748" width="5.375" style="129" customWidth="1"/>
    <col min="10749" max="10749" width="1.25" style="129" customWidth="1"/>
    <col min="10750" max="10750" width="4.375" style="129" customWidth="1"/>
    <col min="10751" max="10751" width="10.375" style="129" customWidth="1"/>
    <col min="10752" max="10752" width="16.625" style="129" customWidth="1"/>
    <col min="10753" max="10753" width="10.875" style="129" customWidth="1"/>
    <col min="10754" max="10754" width="18.75" style="129" customWidth="1"/>
    <col min="10755" max="10755" width="14.25" style="129" bestFit="1" customWidth="1"/>
    <col min="10756" max="10995" width="9" style="129"/>
    <col min="10996" max="10996" width="5" style="129" customWidth="1"/>
    <col min="10997" max="10997" width="3.875" style="129" customWidth="1"/>
    <col min="10998" max="10998" width="5" style="129" customWidth="1"/>
    <col min="10999" max="10999" width="6.25" style="129" customWidth="1"/>
    <col min="11000" max="11000" width="2.875" style="129" customWidth="1"/>
    <col min="11001" max="11001" width="4" style="129" customWidth="1"/>
    <col min="11002" max="11002" width="4.75" style="129" customWidth="1"/>
    <col min="11003" max="11003" width="5.5" style="129" customWidth="1"/>
    <col min="11004" max="11004" width="5.375" style="129" customWidth="1"/>
    <col min="11005" max="11005" width="1.25" style="129" customWidth="1"/>
    <col min="11006" max="11006" width="4.375" style="129" customWidth="1"/>
    <col min="11007" max="11007" width="10.375" style="129" customWidth="1"/>
    <col min="11008" max="11008" width="16.625" style="129" customWidth="1"/>
    <col min="11009" max="11009" width="10.875" style="129" customWidth="1"/>
    <col min="11010" max="11010" width="18.75" style="129" customWidth="1"/>
    <col min="11011" max="11011" width="14.25" style="129" bestFit="1" customWidth="1"/>
    <col min="11012" max="11251" width="9" style="129"/>
    <col min="11252" max="11252" width="5" style="129" customWidth="1"/>
    <col min="11253" max="11253" width="3.875" style="129" customWidth="1"/>
    <col min="11254" max="11254" width="5" style="129" customWidth="1"/>
    <col min="11255" max="11255" width="6.25" style="129" customWidth="1"/>
    <col min="11256" max="11256" width="2.875" style="129" customWidth="1"/>
    <col min="11257" max="11257" width="4" style="129" customWidth="1"/>
    <col min="11258" max="11258" width="4.75" style="129" customWidth="1"/>
    <col min="11259" max="11259" width="5.5" style="129" customWidth="1"/>
    <col min="11260" max="11260" width="5.375" style="129" customWidth="1"/>
    <col min="11261" max="11261" width="1.25" style="129" customWidth="1"/>
    <col min="11262" max="11262" width="4.375" style="129" customWidth="1"/>
    <col min="11263" max="11263" width="10.375" style="129" customWidth="1"/>
    <col min="11264" max="11264" width="16.625" style="129" customWidth="1"/>
    <col min="11265" max="11265" width="10.875" style="129" customWidth="1"/>
    <col min="11266" max="11266" width="18.75" style="129" customWidth="1"/>
    <col min="11267" max="11267" width="14.25" style="129" bestFit="1" customWidth="1"/>
    <col min="11268" max="11507" width="9" style="129"/>
    <col min="11508" max="11508" width="5" style="129" customWidth="1"/>
    <col min="11509" max="11509" width="3.875" style="129" customWidth="1"/>
    <col min="11510" max="11510" width="5" style="129" customWidth="1"/>
    <col min="11511" max="11511" width="6.25" style="129" customWidth="1"/>
    <col min="11512" max="11512" width="2.875" style="129" customWidth="1"/>
    <col min="11513" max="11513" width="4" style="129" customWidth="1"/>
    <col min="11514" max="11514" width="4.75" style="129" customWidth="1"/>
    <col min="11515" max="11515" width="5.5" style="129" customWidth="1"/>
    <col min="11516" max="11516" width="5.375" style="129" customWidth="1"/>
    <col min="11517" max="11517" width="1.25" style="129" customWidth="1"/>
    <col min="11518" max="11518" width="4.375" style="129" customWidth="1"/>
    <col min="11519" max="11519" width="10.375" style="129" customWidth="1"/>
    <col min="11520" max="11520" width="16.625" style="129" customWidth="1"/>
    <col min="11521" max="11521" width="10.875" style="129" customWidth="1"/>
    <col min="11522" max="11522" width="18.75" style="129" customWidth="1"/>
    <col min="11523" max="11523" width="14.25" style="129" bestFit="1" customWidth="1"/>
    <col min="11524" max="11763" width="9" style="129"/>
    <col min="11764" max="11764" width="5" style="129" customWidth="1"/>
    <col min="11765" max="11765" width="3.875" style="129" customWidth="1"/>
    <col min="11766" max="11766" width="5" style="129" customWidth="1"/>
    <col min="11767" max="11767" width="6.25" style="129" customWidth="1"/>
    <col min="11768" max="11768" width="2.875" style="129" customWidth="1"/>
    <col min="11769" max="11769" width="4" style="129" customWidth="1"/>
    <col min="11770" max="11770" width="4.75" style="129" customWidth="1"/>
    <col min="11771" max="11771" width="5.5" style="129" customWidth="1"/>
    <col min="11772" max="11772" width="5.375" style="129" customWidth="1"/>
    <col min="11773" max="11773" width="1.25" style="129" customWidth="1"/>
    <col min="11774" max="11774" width="4.375" style="129" customWidth="1"/>
    <col min="11775" max="11775" width="10.375" style="129" customWidth="1"/>
    <col min="11776" max="11776" width="16.625" style="129" customWidth="1"/>
    <col min="11777" max="11777" width="10.875" style="129" customWidth="1"/>
    <col min="11778" max="11778" width="18.75" style="129" customWidth="1"/>
    <col min="11779" max="11779" width="14.25" style="129" bestFit="1" customWidth="1"/>
    <col min="11780" max="12019" width="9" style="129"/>
    <col min="12020" max="12020" width="5" style="129" customWidth="1"/>
    <col min="12021" max="12021" width="3.875" style="129" customWidth="1"/>
    <col min="12022" max="12022" width="5" style="129" customWidth="1"/>
    <col min="12023" max="12023" width="6.25" style="129" customWidth="1"/>
    <col min="12024" max="12024" width="2.875" style="129" customWidth="1"/>
    <col min="12025" max="12025" width="4" style="129" customWidth="1"/>
    <col min="12026" max="12026" width="4.75" style="129" customWidth="1"/>
    <col min="12027" max="12027" width="5.5" style="129" customWidth="1"/>
    <col min="12028" max="12028" width="5.375" style="129" customWidth="1"/>
    <col min="12029" max="12029" width="1.25" style="129" customWidth="1"/>
    <col min="12030" max="12030" width="4.375" style="129" customWidth="1"/>
    <col min="12031" max="12031" width="10.375" style="129" customWidth="1"/>
    <col min="12032" max="12032" width="16.625" style="129" customWidth="1"/>
    <col min="12033" max="12033" width="10.875" style="129" customWidth="1"/>
    <col min="12034" max="12034" width="18.75" style="129" customWidth="1"/>
    <col min="12035" max="12035" width="14.25" style="129" bestFit="1" customWidth="1"/>
    <col min="12036" max="12275" width="9" style="129"/>
    <col min="12276" max="12276" width="5" style="129" customWidth="1"/>
    <col min="12277" max="12277" width="3.875" style="129" customWidth="1"/>
    <col min="12278" max="12278" width="5" style="129" customWidth="1"/>
    <col min="12279" max="12279" width="6.25" style="129" customWidth="1"/>
    <col min="12280" max="12280" width="2.875" style="129" customWidth="1"/>
    <col min="12281" max="12281" width="4" style="129" customWidth="1"/>
    <col min="12282" max="12282" width="4.75" style="129" customWidth="1"/>
    <col min="12283" max="12283" width="5.5" style="129" customWidth="1"/>
    <col min="12284" max="12284" width="5.375" style="129" customWidth="1"/>
    <col min="12285" max="12285" width="1.25" style="129" customWidth="1"/>
    <col min="12286" max="12286" width="4.375" style="129" customWidth="1"/>
    <col min="12287" max="12287" width="10.375" style="129" customWidth="1"/>
    <col min="12288" max="12288" width="16.625" style="129" customWidth="1"/>
    <col min="12289" max="12289" width="10.875" style="129" customWidth="1"/>
    <col min="12290" max="12290" width="18.75" style="129" customWidth="1"/>
    <col min="12291" max="12291" width="14.25" style="129" bestFit="1" customWidth="1"/>
    <col min="12292" max="12531" width="9" style="129"/>
    <col min="12532" max="12532" width="5" style="129" customWidth="1"/>
    <col min="12533" max="12533" width="3.875" style="129" customWidth="1"/>
    <col min="12534" max="12534" width="5" style="129" customWidth="1"/>
    <col min="12535" max="12535" width="6.25" style="129" customWidth="1"/>
    <col min="12536" max="12536" width="2.875" style="129" customWidth="1"/>
    <col min="12537" max="12537" width="4" style="129" customWidth="1"/>
    <col min="12538" max="12538" width="4.75" style="129" customWidth="1"/>
    <col min="12539" max="12539" width="5.5" style="129" customWidth="1"/>
    <col min="12540" max="12540" width="5.375" style="129" customWidth="1"/>
    <col min="12541" max="12541" width="1.25" style="129" customWidth="1"/>
    <col min="12542" max="12542" width="4.375" style="129" customWidth="1"/>
    <col min="12543" max="12543" width="10.375" style="129" customWidth="1"/>
    <col min="12544" max="12544" width="16.625" style="129" customWidth="1"/>
    <col min="12545" max="12545" width="10.875" style="129" customWidth="1"/>
    <col min="12546" max="12546" width="18.75" style="129" customWidth="1"/>
    <col min="12547" max="12547" width="14.25" style="129" bestFit="1" customWidth="1"/>
    <col min="12548" max="12787" width="9" style="129"/>
    <col min="12788" max="12788" width="5" style="129" customWidth="1"/>
    <col min="12789" max="12789" width="3.875" style="129" customWidth="1"/>
    <col min="12790" max="12790" width="5" style="129" customWidth="1"/>
    <col min="12791" max="12791" width="6.25" style="129" customWidth="1"/>
    <col min="12792" max="12792" width="2.875" style="129" customWidth="1"/>
    <col min="12793" max="12793" width="4" style="129" customWidth="1"/>
    <col min="12794" max="12794" width="4.75" style="129" customWidth="1"/>
    <col min="12795" max="12795" width="5.5" style="129" customWidth="1"/>
    <col min="12796" max="12796" width="5.375" style="129" customWidth="1"/>
    <col min="12797" max="12797" width="1.25" style="129" customWidth="1"/>
    <col min="12798" max="12798" width="4.375" style="129" customWidth="1"/>
    <col min="12799" max="12799" width="10.375" style="129" customWidth="1"/>
    <col min="12800" max="12800" width="16.625" style="129" customWidth="1"/>
    <col min="12801" max="12801" width="10.875" style="129" customWidth="1"/>
    <col min="12802" max="12802" width="18.75" style="129" customWidth="1"/>
    <col min="12803" max="12803" width="14.25" style="129" bestFit="1" customWidth="1"/>
    <col min="12804" max="13043" width="9" style="129"/>
    <col min="13044" max="13044" width="5" style="129" customWidth="1"/>
    <col min="13045" max="13045" width="3.875" style="129" customWidth="1"/>
    <col min="13046" max="13046" width="5" style="129" customWidth="1"/>
    <col min="13047" max="13047" width="6.25" style="129" customWidth="1"/>
    <col min="13048" max="13048" width="2.875" style="129" customWidth="1"/>
    <col min="13049" max="13049" width="4" style="129" customWidth="1"/>
    <col min="13050" max="13050" width="4.75" style="129" customWidth="1"/>
    <col min="13051" max="13051" width="5.5" style="129" customWidth="1"/>
    <col min="13052" max="13052" width="5.375" style="129" customWidth="1"/>
    <col min="13053" max="13053" width="1.25" style="129" customWidth="1"/>
    <col min="13054" max="13054" width="4.375" style="129" customWidth="1"/>
    <col min="13055" max="13055" width="10.375" style="129" customWidth="1"/>
    <col min="13056" max="13056" width="16.625" style="129" customWidth="1"/>
    <col min="13057" max="13057" width="10.875" style="129" customWidth="1"/>
    <col min="13058" max="13058" width="18.75" style="129" customWidth="1"/>
    <col min="13059" max="13059" width="14.25" style="129" bestFit="1" customWidth="1"/>
    <col min="13060" max="13299" width="9" style="129"/>
    <col min="13300" max="13300" width="5" style="129" customWidth="1"/>
    <col min="13301" max="13301" width="3.875" style="129" customWidth="1"/>
    <col min="13302" max="13302" width="5" style="129" customWidth="1"/>
    <col min="13303" max="13303" width="6.25" style="129" customWidth="1"/>
    <col min="13304" max="13304" width="2.875" style="129" customWidth="1"/>
    <col min="13305" max="13305" width="4" style="129" customWidth="1"/>
    <col min="13306" max="13306" width="4.75" style="129" customWidth="1"/>
    <col min="13307" max="13307" width="5.5" style="129" customWidth="1"/>
    <col min="13308" max="13308" width="5.375" style="129" customWidth="1"/>
    <col min="13309" max="13309" width="1.25" style="129" customWidth="1"/>
    <col min="13310" max="13310" width="4.375" style="129" customWidth="1"/>
    <col min="13311" max="13311" width="10.375" style="129" customWidth="1"/>
    <col min="13312" max="13312" width="16.625" style="129" customWidth="1"/>
    <col min="13313" max="13313" width="10.875" style="129" customWidth="1"/>
    <col min="13314" max="13314" width="18.75" style="129" customWidth="1"/>
    <col min="13315" max="13315" width="14.25" style="129" bestFit="1" customWidth="1"/>
    <col min="13316" max="13555" width="9" style="129"/>
    <col min="13556" max="13556" width="5" style="129" customWidth="1"/>
    <col min="13557" max="13557" width="3.875" style="129" customWidth="1"/>
    <col min="13558" max="13558" width="5" style="129" customWidth="1"/>
    <col min="13559" max="13559" width="6.25" style="129" customWidth="1"/>
    <col min="13560" max="13560" width="2.875" style="129" customWidth="1"/>
    <col min="13561" max="13561" width="4" style="129" customWidth="1"/>
    <col min="13562" max="13562" width="4.75" style="129" customWidth="1"/>
    <col min="13563" max="13563" width="5.5" style="129" customWidth="1"/>
    <col min="13564" max="13564" width="5.375" style="129" customWidth="1"/>
    <col min="13565" max="13565" width="1.25" style="129" customWidth="1"/>
    <col min="13566" max="13566" width="4.375" style="129" customWidth="1"/>
    <col min="13567" max="13567" width="10.375" style="129" customWidth="1"/>
    <col min="13568" max="13568" width="16.625" style="129" customWidth="1"/>
    <col min="13569" max="13569" width="10.875" style="129" customWidth="1"/>
    <col min="13570" max="13570" width="18.75" style="129" customWidth="1"/>
    <col min="13571" max="13571" width="14.25" style="129" bestFit="1" customWidth="1"/>
    <col min="13572" max="13811" width="9" style="129"/>
    <col min="13812" max="13812" width="5" style="129" customWidth="1"/>
    <col min="13813" max="13813" width="3.875" style="129" customWidth="1"/>
    <col min="13814" max="13814" width="5" style="129" customWidth="1"/>
    <col min="13815" max="13815" width="6.25" style="129" customWidth="1"/>
    <col min="13816" max="13816" width="2.875" style="129" customWidth="1"/>
    <col min="13817" max="13817" width="4" style="129" customWidth="1"/>
    <col min="13818" max="13818" width="4.75" style="129" customWidth="1"/>
    <col min="13819" max="13819" width="5.5" style="129" customWidth="1"/>
    <col min="13820" max="13820" width="5.375" style="129" customWidth="1"/>
    <col min="13821" max="13821" width="1.25" style="129" customWidth="1"/>
    <col min="13822" max="13822" width="4.375" style="129" customWidth="1"/>
    <col min="13823" max="13823" width="10.375" style="129" customWidth="1"/>
    <col min="13824" max="13824" width="16.625" style="129" customWidth="1"/>
    <col min="13825" max="13825" width="10.875" style="129" customWidth="1"/>
    <col min="13826" max="13826" width="18.75" style="129" customWidth="1"/>
    <col min="13827" max="13827" width="14.25" style="129" bestFit="1" customWidth="1"/>
    <col min="13828" max="14067" width="9" style="129"/>
    <col min="14068" max="14068" width="5" style="129" customWidth="1"/>
    <col min="14069" max="14069" width="3.875" style="129" customWidth="1"/>
    <col min="14070" max="14070" width="5" style="129" customWidth="1"/>
    <col min="14071" max="14071" width="6.25" style="129" customWidth="1"/>
    <col min="14072" max="14072" width="2.875" style="129" customWidth="1"/>
    <col min="14073" max="14073" width="4" style="129" customWidth="1"/>
    <col min="14074" max="14074" width="4.75" style="129" customWidth="1"/>
    <col min="14075" max="14075" width="5.5" style="129" customWidth="1"/>
    <col min="14076" max="14076" width="5.375" style="129" customWidth="1"/>
    <col min="14077" max="14077" width="1.25" style="129" customWidth="1"/>
    <col min="14078" max="14078" width="4.375" style="129" customWidth="1"/>
    <col min="14079" max="14079" width="10.375" style="129" customWidth="1"/>
    <col min="14080" max="14080" width="16.625" style="129" customWidth="1"/>
    <col min="14081" max="14081" width="10.875" style="129" customWidth="1"/>
    <col min="14082" max="14082" width="18.75" style="129" customWidth="1"/>
    <col min="14083" max="14083" width="14.25" style="129" bestFit="1" customWidth="1"/>
    <col min="14084" max="14323" width="9" style="129"/>
    <col min="14324" max="14324" width="5" style="129" customWidth="1"/>
    <col min="14325" max="14325" width="3.875" style="129" customWidth="1"/>
    <col min="14326" max="14326" width="5" style="129" customWidth="1"/>
    <col min="14327" max="14327" width="6.25" style="129" customWidth="1"/>
    <col min="14328" max="14328" width="2.875" style="129" customWidth="1"/>
    <col min="14329" max="14329" width="4" style="129" customWidth="1"/>
    <col min="14330" max="14330" width="4.75" style="129" customWidth="1"/>
    <col min="14331" max="14331" width="5.5" style="129" customWidth="1"/>
    <col min="14332" max="14332" width="5.375" style="129" customWidth="1"/>
    <col min="14333" max="14333" width="1.25" style="129" customWidth="1"/>
    <col min="14334" max="14334" width="4.375" style="129" customWidth="1"/>
    <col min="14335" max="14335" width="10.375" style="129" customWidth="1"/>
    <col min="14336" max="14336" width="16.625" style="129" customWidth="1"/>
    <col min="14337" max="14337" width="10.875" style="129" customWidth="1"/>
    <col min="14338" max="14338" width="18.75" style="129" customWidth="1"/>
    <col min="14339" max="14339" width="14.25" style="129" bestFit="1" customWidth="1"/>
    <col min="14340" max="14579" width="9" style="129"/>
    <col min="14580" max="14580" width="5" style="129" customWidth="1"/>
    <col min="14581" max="14581" width="3.875" style="129" customWidth="1"/>
    <col min="14582" max="14582" width="5" style="129" customWidth="1"/>
    <col min="14583" max="14583" width="6.25" style="129" customWidth="1"/>
    <col min="14584" max="14584" width="2.875" style="129" customWidth="1"/>
    <col min="14585" max="14585" width="4" style="129" customWidth="1"/>
    <col min="14586" max="14586" width="4.75" style="129" customWidth="1"/>
    <col min="14587" max="14587" width="5.5" style="129" customWidth="1"/>
    <col min="14588" max="14588" width="5.375" style="129" customWidth="1"/>
    <col min="14589" max="14589" width="1.25" style="129" customWidth="1"/>
    <col min="14590" max="14590" width="4.375" style="129" customWidth="1"/>
    <col min="14591" max="14591" width="10.375" style="129" customWidth="1"/>
    <col min="14592" max="14592" width="16.625" style="129" customWidth="1"/>
    <col min="14593" max="14593" width="10.875" style="129" customWidth="1"/>
    <col min="14594" max="14594" width="18.75" style="129" customWidth="1"/>
    <col min="14595" max="14595" width="14.25" style="129" bestFit="1" customWidth="1"/>
    <col min="14596" max="14835" width="9" style="129"/>
    <col min="14836" max="14836" width="5" style="129" customWidth="1"/>
    <col min="14837" max="14837" width="3.875" style="129" customWidth="1"/>
    <col min="14838" max="14838" width="5" style="129" customWidth="1"/>
    <col min="14839" max="14839" width="6.25" style="129" customWidth="1"/>
    <col min="14840" max="14840" width="2.875" style="129" customWidth="1"/>
    <col min="14841" max="14841" width="4" style="129" customWidth="1"/>
    <col min="14842" max="14842" width="4.75" style="129" customWidth="1"/>
    <col min="14843" max="14843" width="5.5" style="129" customWidth="1"/>
    <col min="14844" max="14844" width="5.375" style="129" customWidth="1"/>
    <col min="14845" max="14845" width="1.25" style="129" customWidth="1"/>
    <col min="14846" max="14846" width="4.375" style="129" customWidth="1"/>
    <col min="14847" max="14847" width="10.375" style="129" customWidth="1"/>
    <col min="14848" max="14848" width="16.625" style="129" customWidth="1"/>
    <col min="14849" max="14849" width="10.875" style="129" customWidth="1"/>
    <col min="14850" max="14850" width="18.75" style="129" customWidth="1"/>
    <col min="14851" max="14851" width="14.25" style="129" bestFit="1" customWidth="1"/>
    <col min="14852" max="15091" width="9" style="129"/>
    <col min="15092" max="15092" width="5" style="129" customWidth="1"/>
    <col min="15093" max="15093" width="3.875" style="129" customWidth="1"/>
    <col min="15094" max="15094" width="5" style="129" customWidth="1"/>
    <col min="15095" max="15095" width="6.25" style="129" customWidth="1"/>
    <col min="15096" max="15096" width="2.875" style="129" customWidth="1"/>
    <col min="15097" max="15097" width="4" style="129" customWidth="1"/>
    <col min="15098" max="15098" width="4.75" style="129" customWidth="1"/>
    <col min="15099" max="15099" width="5.5" style="129" customWidth="1"/>
    <col min="15100" max="15100" width="5.375" style="129" customWidth="1"/>
    <col min="15101" max="15101" width="1.25" style="129" customWidth="1"/>
    <col min="15102" max="15102" width="4.375" style="129" customWidth="1"/>
    <col min="15103" max="15103" width="10.375" style="129" customWidth="1"/>
    <col min="15104" max="15104" width="16.625" style="129" customWidth="1"/>
    <col min="15105" max="15105" width="10.875" style="129" customWidth="1"/>
    <col min="15106" max="15106" width="18.75" style="129" customWidth="1"/>
    <col min="15107" max="15107" width="14.25" style="129" bestFit="1" customWidth="1"/>
    <col min="15108" max="15347" width="9" style="129"/>
    <col min="15348" max="15348" width="5" style="129" customWidth="1"/>
    <col min="15349" max="15349" width="3.875" style="129" customWidth="1"/>
    <col min="15350" max="15350" width="5" style="129" customWidth="1"/>
    <col min="15351" max="15351" width="6.25" style="129" customWidth="1"/>
    <col min="15352" max="15352" width="2.875" style="129" customWidth="1"/>
    <col min="15353" max="15353" width="4" style="129" customWidth="1"/>
    <col min="15354" max="15354" width="4.75" style="129" customWidth="1"/>
    <col min="15355" max="15355" width="5.5" style="129" customWidth="1"/>
    <col min="15356" max="15356" width="5.375" style="129" customWidth="1"/>
    <col min="15357" max="15357" width="1.25" style="129" customWidth="1"/>
    <col min="15358" max="15358" width="4.375" style="129" customWidth="1"/>
    <col min="15359" max="15359" width="10.375" style="129" customWidth="1"/>
    <col min="15360" max="15360" width="16.625" style="129" customWidth="1"/>
    <col min="15361" max="15361" width="10.875" style="129" customWidth="1"/>
    <col min="15362" max="15362" width="18.75" style="129" customWidth="1"/>
    <col min="15363" max="15363" width="14.25" style="129" bestFit="1" customWidth="1"/>
    <col min="15364" max="15603" width="9" style="129"/>
    <col min="15604" max="15604" width="5" style="129" customWidth="1"/>
    <col min="15605" max="15605" width="3.875" style="129" customWidth="1"/>
    <col min="15606" max="15606" width="5" style="129" customWidth="1"/>
    <col min="15607" max="15607" width="6.25" style="129" customWidth="1"/>
    <col min="15608" max="15608" width="2.875" style="129" customWidth="1"/>
    <col min="15609" max="15609" width="4" style="129" customWidth="1"/>
    <col min="15610" max="15610" width="4.75" style="129" customWidth="1"/>
    <col min="15611" max="15611" width="5.5" style="129" customWidth="1"/>
    <col min="15612" max="15612" width="5.375" style="129" customWidth="1"/>
    <col min="15613" max="15613" width="1.25" style="129" customWidth="1"/>
    <col min="15614" max="15614" width="4.375" style="129" customWidth="1"/>
    <col min="15615" max="15615" width="10.375" style="129" customWidth="1"/>
    <col min="15616" max="15616" width="16.625" style="129" customWidth="1"/>
    <col min="15617" max="15617" width="10.875" style="129" customWidth="1"/>
    <col min="15618" max="15618" width="18.75" style="129" customWidth="1"/>
    <col min="15619" max="15619" width="14.25" style="129" bestFit="1" customWidth="1"/>
    <col min="15620" max="15859" width="9" style="129"/>
    <col min="15860" max="15860" width="5" style="129" customWidth="1"/>
    <col min="15861" max="15861" width="3.875" style="129" customWidth="1"/>
    <col min="15862" max="15862" width="5" style="129" customWidth="1"/>
    <col min="15863" max="15863" width="6.25" style="129" customWidth="1"/>
    <col min="15864" max="15864" width="2.875" style="129" customWidth="1"/>
    <col min="15865" max="15865" width="4" style="129" customWidth="1"/>
    <col min="15866" max="15866" width="4.75" style="129" customWidth="1"/>
    <col min="15867" max="15867" width="5.5" style="129" customWidth="1"/>
    <col min="15868" max="15868" width="5.375" style="129" customWidth="1"/>
    <col min="15869" max="15869" width="1.25" style="129" customWidth="1"/>
    <col min="15870" max="15870" width="4.375" style="129" customWidth="1"/>
    <col min="15871" max="15871" width="10.375" style="129" customWidth="1"/>
    <col min="15872" max="15872" width="16.625" style="129" customWidth="1"/>
    <col min="15873" max="15873" width="10.875" style="129" customWidth="1"/>
    <col min="15874" max="15874" width="18.75" style="129" customWidth="1"/>
    <col min="15875" max="15875" width="14.25" style="129" bestFit="1" customWidth="1"/>
    <col min="15876" max="16115" width="9" style="129"/>
    <col min="16116" max="16116" width="5" style="129" customWidth="1"/>
    <col min="16117" max="16117" width="3.875" style="129" customWidth="1"/>
    <col min="16118" max="16118" width="5" style="129" customWidth="1"/>
    <col min="16119" max="16119" width="6.25" style="129" customWidth="1"/>
    <col min="16120" max="16120" width="2.875" style="129" customWidth="1"/>
    <col min="16121" max="16121" width="4" style="129" customWidth="1"/>
    <col min="16122" max="16122" width="4.75" style="129" customWidth="1"/>
    <col min="16123" max="16123" width="5.5" style="129" customWidth="1"/>
    <col min="16124" max="16124" width="5.375" style="129" customWidth="1"/>
    <col min="16125" max="16125" width="1.25" style="129" customWidth="1"/>
    <col min="16126" max="16126" width="4.375" style="129" customWidth="1"/>
    <col min="16127" max="16127" width="10.375" style="129" customWidth="1"/>
    <col min="16128" max="16128" width="16.625" style="129" customWidth="1"/>
    <col min="16129" max="16129" width="10.875" style="129" customWidth="1"/>
    <col min="16130" max="16130" width="18.75" style="129" customWidth="1"/>
    <col min="16131" max="16131" width="14.25" style="129" bestFit="1" customWidth="1"/>
    <col min="16132" max="16384" width="9" style="129"/>
  </cols>
  <sheetData>
    <row r="1" spans="1:15" ht="9" customHeight="1">
      <c r="A1" s="281"/>
      <c r="B1" s="282"/>
      <c r="C1" s="282"/>
      <c r="D1" s="282"/>
      <c r="E1" s="282"/>
      <c r="F1" s="282"/>
      <c r="G1" s="282"/>
      <c r="H1" s="282"/>
      <c r="I1" s="282"/>
      <c r="J1" s="282"/>
      <c r="K1" s="282"/>
      <c r="L1" s="282"/>
      <c r="M1" s="282"/>
      <c r="N1" s="282"/>
      <c r="O1" s="283"/>
    </row>
    <row r="2" spans="1:15" ht="9.75" customHeight="1">
      <c r="A2" s="130"/>
      <c r="B2" s="131"/>
      <c r="C2" s="131"/>
      <c r="D2" s="131"/>
      <c r="E2" s="131"/>
      <c r="F2" s="131"/>
      <c r="G2" s="131"/>
      <c r="H2" s="131"/>
      <c r="I2" s="131"/>
      <c r="J2" s="131"/>
      <c r="K2" s="131"/>
      <c r="L2" s="131"/>
      <c r="M2" s="131"/>
      <c r="N2" s="131"/>
      <c r="O2" s="132"/>
    </row>
    <row r="3" spans="1:15" ht="45">
      <c r="A3" s="284" t="s">
        <v>207</v>
      </c>
      <c r="B3" s="285"/>
      <c r="C3" s="285"/>
      <c r="D3" s="285"/>
      <c r="E3" s="285"/>
      <c r="F3" s="285"/>
      <c r="G3" s="285"/>
      <c r="H3" s="285"/>
      <c r="I3" s="285"/>
      <c r="J3" s="285"/>
      <c r="K3" s="285"/>
      <c r="L3" s="285"/>
      <c r="M3" s="285"/>
      <c r="N3" s="285"/>
      <c r="O3" s="286"/>
    </row>
    <row r="4" spans="1:15" ht="16.5" customHeight="1">
      <c r="A4" s="133" t="s">
        <v>208</v>
      </c>
      <c r="B4" s="134"/>
      <c r="C4" s="134"/>
      <c r="D4" s="134"/>
      <c r="E4" s="134"/>
      <c r="F4" s="134"/>
      <c r="G4" s="134"/>
      <c r="H4" s="134"/>
      <c r="I4" s="135"/>
      <c r="J4" s="135"/>
      <c r="K4" s="136"/>
      <c r="L4" s="136"/>
      <c r="M4" s="136"/>
      <c r="N4" s="136"/>
      <c r="O4" s="137"/>
    </row>
    <row r="5" spans="1:15" ht="21" customHeight="1">
      <c r="A5" s="138"/>
      <c r="B5" s="194" t="s">
        <v>271</v>
      </c>
      <c r="C5" s="194"/>
      <c r="D5" s="194"/>
      <c r="E5" s="194"/>
      <c r="F5" s="194"/>
      <c r="G5" s="195"/>
      <c r="H5" s="195"/>
      <c r="I5" s="139"/>
      <c r="J5" s="139"/>
      <c r="K5" s="139"/>
      <c r="L5" s="139"/>
      <c r="M5" s="140"/>
      <c r="N5" s="140"/>
      <c r="O5" s="141"/>
    </row>
    <row r="6" spans="1:15" ht="12" customHeight="1" thickBot="1">
      <c r="A6" s="142"/>
      <c r="B6" s="143"/>
      <c r="C6" s="143"/>
      <c r="D6" s="143"/>
      <c r="E6" s="143"/>
      <c r="F6" s="143"/>
      <c r="G6" s="143"/>
      <c r="H6" s="143"/>
      <c r="I6" s="143"/>
      <c r="J6" s="143"/>
      <c r="K6" s="144"/>
      <c r="L6" s="144"/>
      <c r="M6" s="144"/>
      <c r="N6" s="144"/>
      <c r="O6" s="145"/>
    </row>
    <row r="7" spans="1:15" ht="23.25" customHeight="1">
      <c r="A7" s="287" t="s">
        <v>209</v>
      </c>
      <c r="B7" s="288"/>
      <c r="C7" s="289"/>
      <c r="D7" s="196">
        <v>2026</v>
      </c>
      <c r="E7" s="146" t="s">
        <v>210</v>
      </c>
      <c r="F7" s="197">
        <v>4</v>
      </c>
      <c r="G7" s="146" t="s">
        <v>211</v>
      </c>
      <c r="H7" s="197">
        <v>23</v>
      </c>
      <c r="I7" s="146" t="s">
        <v>212</v>
      </c>
      <c r="J7" s="147"/>
      <c r="K7" s="290" t="s">
        <v>213</v>
      </c>
      <c r="L7" s="148" t="s">
        <v>214</v>
      </c>
      <c r="M7" s="148" t="s">
        <v>215</v>
      </c>
      <c r="N7" s="148" t="s">
        <v>216</v>
      </c>
      <c r="O7" s="149" t="s">
        <v>217</v>
      </c>
    </row>
    <row r="8" spans="1:15" ht="23.25" customHeight="1">
      <c r="A8" s="293" t="s">
        <v>218</v>
      </c>
      <c r="B8" s="294"/>
      <c r="C8" s="295"/>
      <c r="D8" s="296" t="s">
        <v>219</v>
      </c>
      <c r="E8" s="297"/>
      <c r="F8" s="297"/>
      <c r="G8" s="298"/>
      <c r="H8" s="299" t="s">
        <v>220</v>
      </c>
      <c r="I8" s="297"/>
      <c r="J8" s="300"/>
      <c r="K8" s="291"/>
      <c r="L8" s="150" t="s">
        <v>221</v>
      </c>
      <c r="M8" s="150" t="s">
        <v>222</v>
      </c>
      <c r="N8" s="150" t="s">
        <v>223</v>
      </c>
      <c r="O8" s="151" t="s">
        <v>224</v>
      </c>
    </row>
    <row r="9" spans="1:15" ht="23.25" customHeight="1">
      <c r="A9" s="293" t="s">
        <v>225</v>
      </c>
      <c r="B9" s="294"/>
      <c r="C9" s="295"/>
      <c r="D9" s="301" t="s">
        <v>226</v>
      </c>
      <c r="E9" s="302"/>
      <c r="F9" s="302"/>
      <c r="G9" s="302"/>
      <c r="H9" s="302"/>
      <c r="I9" s="302"/>
      <c r="J9" s="303"/>
      <c r="K9" s="291"/>
      <c r="L9" s="150" t="s">
        <v>227</v>
      </c>
      <c r="M9" s="304" t="s">
        <v>228</v>
      </c>
      <c r="N9" s="294"/>
      <c r="O9" s="295"/>
    </row>
    <row r="10" spans="1:15" ht="23.25" customHeight="1" thickBot="1">
      <c r="A10" s="305" t="s">
        <v>229</v>
      </c>
      <c r="B10" s="306"/>
      <c r="C10" s="307"/>
      <c r="D10" s="308" t="s">
        <v>230</v>
      </c>
      <c r="E10" s="309"/>
      <c r="F10" s="309"/>
      <c r="G10" s="309"/>
      <c r="H10" s="309"/>
      <c r="I10" s="309"/>
      <c r="J10" s="310"/>
      <c r="K10" s="292"/>
      <c r="L10" s="152" t="s">
        <v>231</v>
      </c>
      <c r="M10" s="152" t="s">
        <v>232</v>
      </c>
      <c r="N10" s="152" t="s">
        <v>233</v>
      </c>
      <c r="O10" s="153" t="s">
        <v>234</v>
      </c>
    </row>
    <row r="11" spans="1:15" ht="21.75" customHeight="1">
      <c r="A11" s="154"/>
      <c r="B11" s="155"/>
      <c r="C11" s="155"/>
      <c r="D11" s="156"/>
      <c r="E11" s="156"/>
      <c r="F11" s="156"/>
      <c r="G11" s="156"/>
      <c r="H11" s="156"/>
      <c r="I11" s="156"/>
      <c r="J11" s="156"/>
      <c r="K11" s="157"/>
      <c r="L11" s="157"/>
      <c r="M11" s="157"/>
      <c r="N11" s="157"/>
      <c r="O11" s="137"/>
    </row>
    <row r="12" spans="1:15" ht="21.75" customHeight="1">
      <c r="A12" s="158"/>
      <c r="B12" s="140"/>
      <c r="C12" s="140"/>
      <c r="D12" s="140"/>
      <c r="E12" s="140"/>
      <c r="F12" s="140"/>
      <c r="G12" s="140"/>
      <c r="H12" s="140"/>
      <c r="I12" s="157"/>
      <c r="J12" s="157"/>
      <c r="K12" s="157"/>
      <c r="L12" s="157"/>
      <c r="M12" s="157"/>
      <c r="N12" s="157"/>
      <c r="O12" s="159"/>
    </row>
    <row r="13" spans="1:15" ht="24" customHeight="1">
      <c r="A13" s="160"/>
      <c r="B13" s="280" t="s">
        <v>272</v>
      </c>
      <c r="C13" s="280"/>
      <c r="D13" s="280"/>
      <c r="E13" s="280"/>
      <c r="F13" s="280"/>
      <c r="G13" s="280"/>
      <c r="H13" s="280"/>
      <c r="I13" s="280"/>
      <c r="J13" s="280"/>
      <c r="K13" s="280"/>
      <c r="L13" s="280"/>
      <c r="M13" s="280"/>
      <c r="N13" s="161" t="s">
        <v>235</v>
      </c>
      <c r="O13" s="159"/>
    </row>
    <row r="14" spans="1:15" ht="9" customHeight="1">
      <c r="A14" s="160"/>
      <c r="B14" s="140"/>
      <c r="C14" s="140"/>
      <c r="D14" s="140"/>
      <c r="E14" s="140"/>
      <c r="F14" s="140"/>
      <c r="G14" s="140"/>
      <c r="H14" s="140"/>
      <c r="I14" s="157"/>
      <c r="J14" s="157"/>
      <c r="K14" s="157"/>
      <c r="L14" s="157"/>
      <c r="M14" s="157"/>
      <c r="N14" s="157"/>
      <c r="O14" s="159"/>
    </row>
    <row r="15" spans="1:15" ht="25.5" customHeight="1">
      <c r="A15" s="160"/>
      <c r="B15" s="262" t="str">
        <f>"견 적 금 액 : 一金"&amp;NUMBERSTRING(M32,1) &amp; "원정""(\"&amp; TEXT(M32,"#,###")&amp;"원) [VAT 별도]"</f>
        <v>견 적 금 액 : 一金일천이백구만이천육백칠십오원정"(\12,092,675원) [VAT 별도]</v>
      </c>
      <c r="C15" s="262"/>
      <c r="D15" s="262"/>
      <c r="E15" s="262"/>
      <c r="F15" s="262"/>
      <c r="G15" s="262"/>
      <c r="H15" s="262"/>
      <c r="I15" s="262"/>
      <c r="J15" s="262"/>
      <c r="K15" s="262"/>
      <c r="L15" s="262"/>
      <c r="M15" s="262"/>
      <c r="N15" s="262"/>
      <c r="O15" s="263"/>
    </row>
    <row r="16" spans="1:15" ht="15" thickBot="1">
      <c r="A16" s="158"/>
      <c r="B16" s="157"/>
      <c r="C16" s="157"/>
      <c r="D16" s="157"/>
      <c r="E16" s="157"/>
      <c r="F16" s="157"/>
      <c r="G16" s="157"/>
      <c r="H16" s="157"/>
      <c r="I16" s="140"/>
      <c r="J16" s="140"/>
      <c r="K16" s="264"/>
      <c r="L16" s="264"/>
      <c r="M16" s="264"/>
      <c r="N16" s="264"/>
      <c r="O16" s="265"/>
    </row>
    <row r="17" spans="1:17" ht="27.75" customHeight="1" thickBot="1">
      <c r="A17" s="162" t="s">
        <v>236</v>
      </c>
      <c r="B17" s="273" t="s">
        <v>237</v>
      </c>
      <c r="C17" s="274"/>
      <c r="D17" s="274"/>
      <c r="E17" s="274"/>
      <c r="F17" s="274"/>
      <c r="G17" s="275"/>
      <c r="H17" s="163" t="s">
        <v>238</v>
      </c>
      <c r="I17" s="164" t="s">
        <v>239</v>
      </c>
      <c r="J17" s="276" t="s">
        <v>240</v>
      </c>
      <c r="K17" s="277"/>
      <c r="L17" s="277"/>
      <c r="M17" s="278"/>
      <c r="N17" s="273" t="s">
        <v>241</v>
      </c>
      <c r="O17" s="279"/>
    </row>
    <row r="18" spans="1:17" ht="28.5" customHeight="1">
      <c r="A18" s="165">
        <v>1</v>
      </c>
      <c r="B18" s="266" t="s">
        <v>6</v>
      </c>
      <c r="C18" s="267"/>
      <c r="D18" s="267"/>
      <c r="E18" s="267"/>
      <c r="F18" s="267"/>
      <c r="G18" s="268"/>
      <c r="H18" s="198">
        <v>1</v>
      </c>
      <c r="I18" s="199" t="s">
        <v>1</v>
      </c>
      <c r="J18" s="269" cm="1">
        <f t="array" ref="J18">IFERROR(LOOKUP(2, 1/(TRIM('내역서(표준단가)'!M4:M100)&lt;&gt;""), '내역서(표준단가)'!M4:M100), "-")</f>
        <v>6372183.5</v>
      </c>
      <c r="K18" s="270"/>
      <c r="L18" s="270"/>
      <c r="M18" s="270"/>
      <c r="N18" s="271"/>
      <c r="O18" s="272"/>
    </row>
    <row r="19" spans="1:17" ht="28.5" customHeight="1">
      <c r="A19" s="166">
        <v>2</v>
      </c>
      <c r="B19" s="246" t="s">
        <v>7</v>
      </c>
      <c r="C19" s="247"/>
      <c r="D19" s="247"/>
      <c r="E19" s="247"/>
      <c r="F19" s="247"/>
      <c r="G19" s="248"/>
      <c r="H19" s="200">
        <v>1</v>
      </c>
      <c r="I19" s="200" t="s">
        <v>1</v>
      </c>
      <c r="J19" s="249" cm="1">
        <f t="array" ref="J19">IFERROR(LOOKUP(2, 1/(TRIM('내역서(표준단가)'!O4:O100)&lt;&gt;""), '내역서(표준단가)'!O4:O100), "-")</f>
        <v>3817647.409</v>
      </c>
      <c r="K19" s="250"/>
      <c r="L19" s="250"/>
      <c r="M19" s="251"/>
      <c r="N19" s="252"/>
      <c r="O19" s="253"/>
    </row>
    <row r="20" spans="1:17" ht="28.5" customHeight="1">
      <c r="A20" s="166">
        <v>3</v>
      </c>
      <c r="B20" s="254" t="s">
        <v>242</v>
      </c>
      <c r="C20" s="255"/>
      <c r="D20" s="255"/>
      <c r="E20" s="255"/>
      <c r="F20" s="255"/>
      <c r="G20" s="256"/>
      <c r="H20" s="167">
        <v>1</v>
      </c>
      <c r="I20" s="167" t="s">
        <v>1</v>
      </c>
      <c r="J20" s="257">
        <f>IFERROR(SUM(J21:M29),"-")</f>
        <v>836911.25386401324</v>
      </c>
      <c r="K20" s="258"/>
      <c r="L20" s="258"/>
      <c r="M20" s="259"/>
      <c r="N20" s="260"/>
      <c r="O20" s="261"/>
      <c r="P20" s="168"/>
    </row>
    <row r="21" spans="1:17" ht="28.5" customHeight="1">
      <c r="A21" s="165"/>
      <c r="B21" s="169"/>
      <c r="C21" s="238" t="s">
        <v>243</v>
      </c>
      <c r="D21" s="239"/>
      <c r="E21" s="239"/>
      <c r="F21" s="239"/>
      <c r="G21" s="240"/>
      <c r="H21" s="201">
        <v>1</v>
      </c>
      <c r="I21" s="201" t="s">
        <v>1</v>
      </c>
      <c r="J21" s="241"/>
      <c r="K21" s="242"/>
      <c r="L21" s="242"/>
      <c r="M21" s="243"/>
      <c r="N21" s="244" t="s">
        <v>244</v>
      </c>
      <c r="O21" s="245"/>
    </row>
    <row r="22" spans="1:17" ht="28.5" customHeight="1">
      <c r="A22" s="165"/>
      <c r="B22" s="169"/>
      <c r="C22" s="232" t="s">
        <v>245</v>
      </c>
      <c r="D22" s="233"/>
      <c r="E22" s="233"/>
      <c r="F22" s="233"/>
      <c r="G22" s="234"/>
      <c r="H22" s="170">
        <v>3.11</v>
      </c>
      <c r="I22" s="170" t="s">
        <v>246</v>
      </c>
      <c r="J22" s="235">
        <f>IFERROR((J18+J19)*H22%,"-")</f>
        <v>316903.7412699</v>
      </c>
      <c r="K22" s="236"/>
      <c r="L22" s="236"/>
      <c r="M22" s="237"/>
      <c r="N22" s="228" t="s">
        <v>247</v>
      </c>
      <c r="O22" s="229"/>
    </row>
    <row r="23" spans="1:17" ht="28.5" customHeight="1">
      <c r="A23" s="165"/>
      <c r="B23" s="169"/>
      <c r="C23" s="232" t="s">
        <v>248</v>
      </c>
      <c r="D23" s="233"/>
      <c r="E23" s="233"/>
      <c r="F23" s="233"/>
      <c r="G23" s="234"/>
      <c r="H23" s="170">
        <v>3.56</v>
      </c>
      <c r="I23" s="170" t="s">
        <v>249</v>
      </c>
      <c r="J23" s="235">
        <f>IFERROR(J19*H23%,"-")</f>
        <v>135908.2477604</v>
      </c>
      <c r="K23" s="236"/>
      <c r="L23" s="236"/>
      <c r="M23" s="237"/>
      <c r="N23" s="228" t="s">
        <v>250</v>
      </c>
      <c r="O23" s="229"/>
    </row>
    <row r="24" spans="1:17" ht="28.5" customHeight="1">
      <c r="A24" s="165"/>
      <c r="B24" s="169"/>
      <c r="C24" s="232" t="s">
        <v>251</v>
      </c>
      <c r="D24" s="233"/>
      <c r="E24" s="233"/>
      <c r="F24" s="233"/>
      <c r="G24" s="234"/>
      <c r="H24" s="170">
        <v>1.01</v>
      </c>
      <c r="I24" s="170" t="s">
        <v>249</v>
      </c>
      <c r="J24" s="235">
        <f>IFERROR(J19*H24%,"-")</f>
        <v>38558.238830900002</v>
      </c>
      <c r="K24" s="236"/>
      <c r="L24" s="236"/>
      <c r="M24" s="237"/>
      <c r="N24" s="228" t="s">
        <v>252</v>
      </c>
      <c r="O24" s="229"/>
    </row>
    <row r="25" spans="1:17" ht="28.5" customHeight="1">
      <c r="A25" s="165"/>
      <c r="B25" s="169"/>
      <c r="C25" s="232" t="s">
        <v>253</v>
      </c>
      <c r="D25" s="233"/>
      <c r="E25" s="233"/>
      <c r="F25" s="233"/>
      <c r="G25" s="234"/>
      <c r="H25" s="171">
        <v>3.5950000000000002</v>
      </c>
      <c r="I25" s="170" t="s">
        <v>249</v>
      </c>
      <c r="J25" s="235">
        <f>IFERROR(J19*H25%,"-")</f>
        <v>137244.42435355001</v>
      </c>
      <c r="K25" s="236"/>
      <c r="L25" s="236"/>
      <c r="M25" s="237"/>
      <c r="N25" s="228" t="s">
        <v>254</v>
      </c>
      <c r="O25" s="229"/>
      <c r="Q25" s="168"/>
    </row>
    <row r="26" spans="1:17" ht="28.5" customHeight="1">
      <c r="A26" s="165"/>
      <c r="B26" s="169"/>
      <c r="C26" s="232" t="s">
        <v>255</v>
      </c>
      <c r="D26" s="233"/>
      <c r="E26" s="233"/>
      <c r="F26" s="233"/>
      <c r="G26" s="234"/>
      <c r="H26" s="170">
        <v>4.75</v>
      </c>
      <c r="I26" s="170" t="s">
        <v>249</v>
      </c>
      <c r="J26" s="235">
        <f>IFERROR(J19*H26%,"-")</f>
        <v>181338.25192750001</v>
      </c>
      <c r="K26" s="236"/>
      <c r="L26" s="236"/>
      <c r="M26" s="237"/>
      <c r="N26" s="228" t="s">
        <v>256</v>
      </c>
      <c r="O26" s="229"/>
      <c r="Q26" s="172"/>
    </row>
    <row r="27" spans="1:17" ht="28.5" customHeight="1">
      <c r="A27" s="165"/>
      <c r="B27" s="169"/>
      <c r="C27" s="222" t="s">
        <v>257</v>
      </c>
      <c r="D27" s="223"/>
      <c r="E27" s="223"/>
      <c r="F27" s="223"/>
      <c r="G27" s="224"/>
      <c r="H27" s="173">
        <v>13.14</v>
      </c>
      <c r="I27" s="174" t="s">
        <v>249</v>
      </c>
      <c r="J27" s="225">
        <f>IFERROR($H$27*J25%,"-")</f>
        <v>18033.917360056472</v>
      </c>
      <c r="K27" s="226"/>
      <c r="L27" s="226"/>
      <c r="M27" s="227"/>
      <c r="N27" s="228" t="s">
        <v>258</v>
      </c>
      <c r="O27" s="229"/>
    </row>
    <row r="28" spans="1:17" ht="28.5" customHeight="1">
      <c r="A28" s="165"/>
      <c r="B28" s="169"/>
      <c r="C28" s="222" t="s">
        <v>259</v>
      </c>
      <c r="D28" s="223"/>
      <c r="E28" s="223"/>
      <c r="F28" s="223"/>
      <c r="G28" s="224"/>
      <c r="H28" s="173">
        <v>8.1000000000000003E-2</v>
      </c>
      <c r="I28" s="174" t="s">
        <v>249</v>
      </c>
      <c r="J28" s="225">
        <f>IFERROR(IF(SUM(J21:J27,J18:J19)&gt;=10000000,SUM(J21:J27,J18:J19)*H28%,"-"),"-")</f>
        <v>8924.4323617068694</v>
      </c>
      <c r="K28" s="226"/>
      <c r="L28" s="226"/>
      <c r="M28" s="227"/>
      <c r="N28" s="230" t="s">
        <v>260</v>
      </c>
      <c r="O28" s="231"/>
    </row>
    <row r="29" spans="1:17" ht="28.5" customHeight="1">
      <c r="A29" s="175"/>
      <c r="B29" s="176"/>
      <c r="C29" s="202" t="s">
        <v>261</v>
      </c>
      <c r="D29" s="203"/>
      <c r="E29" s="203"/>
      <c r="F29" s="203"/>
      <c r="G29" s="204"/>
      <c r="H29" s="177">
        <v>1</v>
      </c>
      <c r="I29" s="178" t="s">
        <v>262</v>
      </c>
      <c r="J29" s="205">
        <f>34*0</f>
        <v>0</v>
      </c>
      <c r="K29" s="206"/>
      <c r="L29" s="206"/>
      <c r="M29" s="207"/>
      <c r="N29" s="208" t="s">
        <v>263</v>
      </c>
      <c r="O29" s="209"/>
    </row>
    <row r="30" spans="1:17" ht="28.5" customHeight="1">
      <c r="A30" s="175">
        <v>4</v>
      </c>
      <c r="B30" s="176"/>
      <c r="C30" s="202" t="s">
        <v>264</v>
      </c>
      <c r="D30" s="203"/>
      <c r="E30" s="203"/>
      <c r="F30" s="203"/>
      <c r="G30" s="204"/>
      <c r="H30" s="178">
        <v>5</v>
      </c>
      <c r="I30" s="179" t="s">
        <v>265</v>
      </c>
      <c r="J30" s="215">
        <f>IFERROR(IF(ISNUMBER(H30), SUM(J18:M20) * (H30 / 100), "-"), "-")</f>
        <v>551337.10814320063</v>
      </c>
      <c r="K30" s="216"/>
      <c r="L30" s="216"/>
      <c r="M30" s="217"/>
      <c r="N30" s="218" t="s">
        <v>266</v>
      </c>
      <c r="O30" s="219"/>
    </row>
    <row r="31" spans="1:17" ht="28.5" customHeight="1" thickBot="1">
      <c r="A31" s="175">
        <v>5</v>
      </c>
      <c r="B31" s="176"/>
      <c r="C31" s="202" t="s">
        <v>267</v>
      </c>
      <c r="D31" s="203"/>
      <c r="E31" s="203"/>
      <c r="F31" s="203"/>
      <c r="G31" s="204"/>
      <c r="H31" s="178">
        <v>7.5</v>
      </c>
      <c r="I31" s="179" t="s">
        <v>249</v>
      </c>
      <c r="J31" s="205">
        <f>IFERROR(SUM(J18:M20, J30) * (H31 / 100), "-")+-353760</f>
        <v>514595.94532554096</v>
      </c>
      <c r="K31" s="206"/>
      <c r="L31" s="206"/>
      <c r="M31" s="207"/>
      <c r="N31" s="220" t="s">
        <v>268</v>
      </c>
      <c r="O31" s="221"/>
      <c r="Q31" s="180"/>
    </row>
    <row r="32" spans="1:17" ht="28.5" customHeight="1" thickBot="1">
      <c r="A32" s="210" t="s">
        <v>269</v>
      </c>
      <c r="B32" s="211"/>
      <c r="C32" s="211"/>
      <c r="D32" s="211"/>
      <c r="E32" s="211"/>
      <c r="F32" s="211"/>
      <c r="G32" s="211"/>
      <c r="H32" s="211"/>
      <c r="I32" s="212"/>
      <c r="J32" s="181"/>
      <c r="K32" s="182"/>
      <c r="L32" s="182"/>
      <c r="M32" s="183">
        <f>IFERROR(ROUNDDOWN(SUM(J18:M20)+J30+J31,0),"-")</f>
        <v>12092675</v>
      </c>
      <c r="N32" s="213"/>
      <c r="O32" s="214"/>
      <c r="P32" s="184"/>
    </row>
    <row r="33" spans="1:15">
      <c r="A33" s="185" t="s">
        <v>270</v>
      </c>
      <c r="B33" s="186"/>
      <c r="C33" s="186"/>
      <c r="D33" s="186"/>
      <c r="E33" s="186"/>
      <c r="F33" s="186"/>
      <c r="G33" s="186"/>
      <c r="H33" s="186"/>
      <c r="I33" s="186"/>
      <c r="J33" s="186"/>
      <c r="K33" s="186"/>
      <c r="L33" s="186"/>
      <c r="M33" s="186"/>
      <c r="N33" s="186"/>
      <c r="O33" s="187"/>
    </row>
    <row r="34" spans="1:15">
      <c r="A34" s="188"/>
      <c r="B34" s="186"/>
      <c r="C34" s="186"/>
      <c r="D34" s="186"/>
      <c r="E34" s="186"/>
      <c r="F34" s="186"/>
      <c r="G34" s="186"/>
      <c r="H34" s="186"/>
      <c r="I34" s="186"/>
      <c r="J34" s="186"/>
      <c r="K34" s="186"/>
      <c r="L34" s="186"/>
      <c r="M34" s="186"/>
      <c r="N34" s="186"/>
      <c r="O34" s="187"/>
    </row>
    <row r="35" spans="1:15">
      <c r="A35" s="188"/>
      <c r="B35" s="186"/>
      <c r="C35" s="186"/>
      <c r="D35" s="186"/>
      <c r="E35" s="186"/>
      <c r="F35" s="186"/>
      <c r="G35" s="186"/>
      <c r="H35" s="186"/>
      <c r="I35" s="186"/>
      <c r="J35" s="186"/>
      <c r="K35" s="186"/>
      <c r="L35" s="186"/>
      <c r="M35" s="186"/>
      <c r="N35" s="186"/>
      <c r="O35" s="187"/>
    </row>
    <row r="36" spans="1:15">
      <c r="A36" s="188"/>
      <c r="B36" s="186"/>
      <c r="C36" s="186"/>
      <c r="D36" s="186"/>
      <c r="E36" s="186"/>
      <c r="F36" s="186"/>
      <c r="G36" s="186"/>
      <c r="H36" s="186"/>
      <c r="I36" s="186"/>
      <c r="J36" s="186"/>
      <c r="K36" s="186"/>
      <c r="L36" s="186"/>
      <c r="M36" s="186"/>
      <c r="N36" s="186"/>
      <c r="O36" s="187"/>
    </row>
    <row r="37" spans="1:15" ht="15.75">
      <c r="A37" s="188"/>
      <c r="B37" s="189"/>
      <c r="C37" s="189"/>
      <c r="D37" s="189"/>
      <c r="E37" s="189"/>
      <c r="F37" s="189"/>
      <c r="G37" s="189"/>
      <c r="H37" s="189"/>
      <c r="I37" s="189"/>
      <c r="J37" s="189"/>
      <c r="K37" s="189"/>
      <c r="L37" s="189"/>
      <c r="M37" s="189"/>
      <c r="N37" s="189"/>
      <c r="O37" s="190"/>
    </row>
    <row r="38" spans="1:15" ht="15.75">
      <c r="A38" s="188"/>
      <c r="B38" s="189"/>
      <c r="C38" s="189"/>
      <c r="D38" s="189"/>
      <c r="E38" s="189"/>
      <c r="F38" s="189"/>
      <c r="G38" s="189"/>
      <c r="H38" s="189"/>
      <c r="I38" s="189"/>
      <c r="J38" s="189"/>
      <c r="K38" s="189"/>
      <c r="L38" s="189"/>
      <c r="M38" s="189"/>
      <c r="N38" s="189"/>
      <c r="O38" s="190"/>
    </row>
    <row r="39" spans="1:15" ht="15.75">
      <c r="A39" s="188"/>
      <c r="B39" s="189"/>
      <c r="C39" s="189"/>
      <c r="D39" s="189"/>
      <c r="E39" s="189"/>
      <c r="F39" s="189"/>
      <c r="G39" s="189"/>
      <c r="H39" s="189"/>
      <c r="I39" s="189"/>
      <c r="J39" s="189"/>
      <c r="K39" s="189"/>
      <c r="L39" s="189"/>
      <c r="M39" s="189"/>
      <c r="N39" s="189"/>
      <c r="O39" s="190"/>
    </row>
    <row r="40" spans="1:15" ht="15" thickBot="1">
      <c r="A40" s="191"/>
      <c r="B40" s="192"/>
      <c r="C40" s="192"/>
      <c r="D40" s="192"/>
      <c r="E40" s="192"/>
      <c r="F40" s="192"/>
      <c r="G40" s="192"/>
      <c r="H40" s="192"/>
      <c r="I40" s="192"/>
      <c r="J40" s="192"/>
      <c r="K40" s="192"/>
      <c r="L40" s="192"/>
      <c r="M40" s="192"/>
      <c r="N40" s="192"/>
      <c r="O40" s="193"/>
    </row>
    <row r="42" spans="1:15">
      <c r="M42" s="180"/>
    </row>
    <row r="43" spans="1:15">
      <c r="M43" s="180"/>
    </row>
  </sheetData>
  <mergeCells count="62">
    <mergeCell ref="B13:M13"/>
    <mergeCell ref="A1:O1"/>
    <mergeCell ref="A3:O3"/>
    <mergeCell ref="A7:C7"/>
    <mergeCell ref="K7:K10"/>
    <mergeCell ref="A8:C8"/>
    <mergeCell ref="D8:G8"/>
    <mergeCell ref="H8:J8"/>
    <mergeCell ref="A9:C9"/>
    <mergeCell ref="D9:J9"/>
    <mergeCell ref="M9:O9"/>
    <mergeCell ref="A10:C10"/>
    <mergeCell ref="D10:J10"/>
    <mergeCell ref="B15:O15"/>
    <mergeCell ref="K16:O16"/>
    <mergeCell ref="B18:G18"/>
    <mergeCell ref="J18:M18"/>
    <mergeCell ref="N18:O18"/>
    <mergeCell ref="B17:G17"/>
    <mergeCell ref="J17:M17"/>
    <mergeCell ref="N17:O17"/>
    <mergeCell ref="B19:G19"/>
    <mergeCell ref="J19:M19"/>
    <mergeCell ref="N19:O19"/>
    <mergeCell ref="B20:G20"/>
    <mergeCell ref="J20:M20"/>
    <mergeCell ref="N20:O20"/>
    <mergeCell ref="C21:G21"/>
    <mergeCell ref="J21:M21"/>
    <mergeCell ref="N21:O21"/>
    <mergeCell ref="C22:G22"/>
    <mergeCell ref="J22:M22"/>
    <mergeCell ref="N22:O22"/>
    <mergeCell ref="C23:G23"/>
    <mergeCell ref="J23:M23"/>
    <mergeCell ref="N23:O23"/>
    <mergeCell ref="C24:G24"/>
    <mergeCell ref="J24:M24"/>
    <mergeCell ref="N24:O24"/>
    <mergeCell ref="C25:G25"/>
    <mergeCell ref="J25:M25"/>
    <mergeCell ref="N25:O25"/>
    <mergeCell ref="C26:G26"/>
    <mergeCell ref="J26:M26"/>
    <mergeCell ref="N26:O26"/>
    <mergeCell ref="C27:G27"/>
    <mergeCell ref="J27:M27"/>
    <mergeCell ref="N27:O27"/>
    <mergeCell ref="C28:G28"/>
    <mergeCell ref="J28:M28"/>
    <mergeCell ref="N28:O28"/>
    <mergeCell ref="C29:G29"/>
    <mergeCell ref="J29:M29"/>
    <mergeCell ref="N29:O29"/>
    <mergeCell ref="A32:I32"/>
    <mergeCell ref="N32:O32"/>
    <mergeCell ref="C30:G30"/>
    <mergeCell ref="J30:M30"/>
    <mergeCell ref="N30:O30"/>
    <mergeCell ref="C31:G31"/>
    <mergeCell ref="J31:M31"/>
    <mergeCell ref="N31:O31"/>
  </mergeCells>
  <phoneticPr fontId="10"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1B2BA-CC1F-483A-84E3-7C09F1D7986C}">
  <sheetPr>
    <tabColor rgb="FF0000FF"/>
    <pageSetUpPr fitToPage="1"/>
  </sheetPr>
  <dimension ref="A1:X19"/>
  <sheetViews>
    <sheetView showGridLines="0" zoomScaleNormal="100" workbookViewId="0">
      <pane ySplit="4" topLeftCell="A9" activePane="bottomLeft" state="frozen"/>
      <selection pane="bottomLeft" activeCell="O1" sqref="O1:T1048576"/>
    </sheetView>
  </sheetViews>
  <sheetFormatPr defaultColWidth="9" defaultRowHeight="38.1" customHeight="1"/>
  <cols>
    <col min="1" max="1" width="22.625" style="35" bestFit="1" customWidth="1"/>
    <col min="2" max="3" width="4.625" style="35" hidden="1" customWidth="1"/>
    <col min="4" max="4" width="9" style="26" hidden="1" customWidth="1"/>
    <col min="5" max="7" width="12.625" style="26" hidden="1" customWidth="1"/>
    <col min="8" max="8" width="26" style="21" customWidth="1"/>
    <col min="9" max="9" width="34.625" style="21" customWidth="1"/>
    <col min="10" max="10" width="8.75" style="26" customWidth="1"/>
    <col min="11" max="11" width="7.125" style="26" bestFit="1" customWidth="1"/>
    <col min="12" max="12" width="10.625" style="26" bestFit="1" customWidth="1"/>
    <col min="13" max="13" width="17.25" style="26" bestFit="1" customWidth="1"/>
    <col min="14" max="14" width="12" style="26" bestFit="1" customWidth="1"/>
    <col min="15" max="15" width="17.25" style="26" bestFit="1" customWidth="1"/>
    <col min="16" max="16" width="9" style="26" hidden="1" customWidth="1"/>
    <col min="17" max="17" width="8.75" style="26" hidden="1" customWidth="1"/>
    <col min="18" max="18" width="10.5" style="26" hidden="1" customWidth="1"/>
    <col min="19" max="19" width="8.75" style="26" hidden="1" customWidth="1"/>
    <col min="20" max="20" width="19.125" style="26" bestFit="1" customWidth="1"/>
    <col min="21" max="21" width="10.625" style="1" hidden="1" customWidth="1"/>
    <col min="22" max="22" width="28" style="26" bestFit="1" customWidth="1"/>
    <col min="23" max="16384" width="9" style="26"/>
  </cols>
  <sheetData>
    <row r="1" spans="1:24" ht="19.899999999999999" customHeight="1">
      <c r="A1" s="313"/>
      <c r="B1" s="313"/>
      <c r="C1" s="313"/>
      <c r="D1" s="313"/>
      <c r="E1" s="313"/>
      <c r="F1" s="313"/>
      <c r="G1" s="313"/>
      <c r="L1" s="1"/>
      <c r="M1" s="24" t="s">
        <v>3</v>
      </c>
      <c r="O1" s="24" t="s">
        <v>3</v>
      </c>
      <c r="Q1" s="24" t="s">
        <v>3</v>
      </c>
      <c r="S1" s="24" t="s">
        <v>3</v>
      </c>
    </row>
    <row r="2" spans="1:24" ht="19.899999999999999" customHeight="1" thickBot="1">
      <c r="A2" s="313"/>
      <c r="B2" s="313"/>
      <c r="C2" s="313"/>
      <c r="D2" s="313"/>
      <c r="E2" s="313"/>
      <c r="F2" s="313"/>
      <c r="G2" s="313"/>
      <c r="L2" s="2"/>
      <c r="M2" s="3">
        <v>0.83499999999999996</v>
      </c>
      <c r="O2" s="3">
        <v>0.83499999999999996</v>
      </c>
      <c r="Q2" s="3">
        <v>0.83499999999999996</v>
      </c>
      <c r="S2" s="3">
        <v>0.83499999999999996</v>
      </c>
    </row>
    <row r="3" spans="1:24" ht="19.899999999999999" customHeight="1">
      <c r="A3" s="27"/>
      <c r="B3" s="28"/>
      <c r="C3" s="28"/>
      <c r="D3" s="28" t="s">
        <v>4</v>
      </c>
      <c r="E3" s="28"/>
      <c r="F3" s="28"/>
      <c r="G3" s="28"/>
      <c r="H3" s="314" t="s">
        <v>5</v>
      </c>
      <c r="I3" s="314"/>
      <c r="J3" s="315" t="s">
        <v>2</v>
      </c>
      <c r="K3" s="315" t="s">
        <v>0</v>
      </c>
      <c r="L3" s="317" t="s">
        <v>6</v>
      </c>
      <c r="M3" s="317"/>
      <c r="N3" s="317" t="s">
        <v>7</v>
      </c>
      <c r="O3" s="317"/>
      <c r="P3" s="318" t="s">
        <v>8</v>
      </c>
      <c r="Q3" s="318"/>
      <c r="R3" s="318" t="s">
        <v>9</v>
      </c>
      <c r="S3" s="318"/>
      <c r="T3" s="319" t="s">
        <v>10</v>
      </c>
      <c r="U3" s="321" t="s">
        <v>11</v>
      </c>
      <c r="V3" s="311" t="s">
        <v>36</v>
      </c>
    </row>
    <row r="4" spans="1:24" ht="19.899999999999999" customHeight="1">
      <c r="A4" s="4" t="s">
        <v>12</v>
      </c>
      <c r="B4" s="25"/>
      <c r="C4" s="25"/>
      <c r="D4" s="5" t="s">
        <v>13</v>
      </c>
      <c r="E4" s="5" t="s">
        <v>14</v>
      </c>
      <c r="F4" s="5" t="s">
        <v>15</v>
      </c>
      <c r="G4" s="5" t="s">
        <v>16</v>
      </c>
      <c r="H4" s="22" t="s">
        <v>17</v>
      </c>
      <c r="I4" s="22" t="s">
        <v>18</v>
      </c>
      <c r="J4" s="316"/>
      <c r="K4" s="316"/>
      <c r="L4" s="91" t="s">
        <v>19</v>
      </c>
      <c r="M4" s="6" t="s">
        <v>20</v>
      </c>
      <c r="N4" s="91" t="s">
        <v>21</v>
      </c>
      <c r="O4" s="6" t="s">
        <v>20</v>
      </c>
      <c r="P4" s="6" t="s">
        <v>22</v>
      </c>
      <c r="Q4" s="6" t="s">
        <v>20</v>
      </c>
      <c r="R4" s="6" t="s">
        <v>22</v>
      </c>
      <c r="S4" s="6" t="s">
        <v>20</v>
      </c>
      <c r="T4" s="320"/>
      <c r="U4" s="322"/>
      <c r="V4" s="312"/>
    </row>
    <row r="5" spans="1:24" s="29" customFormat="1" ht="38.1" customHeight="1">
      <c r="A5" s="7" t="str">
        <f t="shared" ref="A5:A14" si="0">D5&amp;E5&amp;F5&amp;G5</f>
        <v>L003</v>
      </c>
      <c r="B5" s="14"/>
      <c r="C5" s="14"/>
      <c r="D5" s="77"/>
      <c r="E5" s="78"/>
      <c r="F5" s="79"/>
      <c r="G5" s="77" t="s">
        <v>48</v>
      </c>
      <c r="H5" s="80" t="s">
        <v>206</v>
      </c>
      <c r="I5" s="80" t="s">
        <v>64</v>
      </c>
      <c r="J5" s="81" t="s">
        <v>49</v>
      </c>
      <c r="K5" s="81">
        <v>14.7041</v>
      </c>
      <c r="L5" s="82"/>
      <c r="M5" s="19">
        <f t="shared" ref="M5:M13" si="1">SUM(L5:L5)*K5*$M$2</f>
        <v>0</v>
      </c>
      <c r="N5" s="18">
        <v>224490</v>
      </c>
      <c r="O5" s="10">
        <f>K5*N5</f>
        <v>3300923.409</v>
      </c>
      <c r="P5" s="11"/>
      <c r="Q5" s="10">
        <f t="shared" ref="Q5:Q16" si="2">P5*K5*$Q$2</f>
        <v>0</v>
      </c>
      <c r="R5" s="11"/>
      <c r="S5" s="10">
        <f t="shared" ref="S5:S16" si="3">R5*K5*$S$2</f>
        <v>0</v>
      </c>
      <c r="T5" s="11">
        <f t="shared" ref="T5:T16" si="4">SUM(M5+O5)+Q5+S5</f>
        <v>3300923.409</v>
      </c>
      <c r="U5" s="16"/>
      <c r="V5" s="126" t="s">
        <v>204</v>
      </c>
    </row>
    <row r="6" spans="1:24" s="29" customFormat="1" ht="38.1" customHeight="1">
      <c r="A6" s="7" t="str">
        <f t="shared" si="0"/>
        <v>L029</v>
      </c>
      <c r="B6" s="14"/>
      <c r="C6" s="14"/>
      <c r="D6" s="77"/>
      <c r="E6" s="78"/>
      <c r="F6" s="79"/>
      <c r="G6" s="77" t="s">
        <v>177</v>
      </c>
      <c r="H6" s="80" t="s">
        <v>206</v>
      </c>
      <c r="I6" s="80" t="s">
        <v>171</v>
      </c>
      <c r="J6" s="81" t="s">
        <v>49</v>
      </c>
      <c r="K6" s="81">
        <v>2</v>
      </c>
      <c r="L6" s="82"/>
      <c r="M6" s="19"/>
      <c r="N6" s="18">
        <v>258362</v>
      </c>
      <c r="O6" s="10">
        <f>K6*N6</f>
        <v>516724</v>
      </c>
      <c r="P6" s="11"/>
      <c r="Q6" s="10"/>
      <c r="R6" s="11"/>
      <c r="S6" s="10"/>
      <c r="T6" s="11">
        <f t="shared" si="4"/>
        <v>516724</v>
      </c>
      <c r="U6" s="16"/>
      <c r="V6" s="125" t="s">
        <v>205</v>
      </c>
    </row>
    <row r="7" spans="1:24" s="29" customFormat="1" ht="35.25" customHeight="1">
      <c r="A7" s="7" t="str">
        <f t="shared" si="0"/>
        <v>M020450310340103</v>
      </c>
      <c r="B7" s="14"/>
      <c r="C7" s="14"/>
      <c r="D7" s="77"/>
      <c r="E7" s="78"/>
      <c r="F7" s="108" t="s">
        <v>180</v>
      </c>
      <c r="G7" s="77"/>
      <c r="H7" s="80" t="s">
        <v>65</v>
      </c>
      <c r="I7" s="80" t="s">
        <v>179</v>
      </c>
      <c r="J7" s="81" t="s">
        <v>50</v>
      </c>
      <c r="K7" s="81">
        <v>91</v>
      </c>
      <c r="L7" s="82">
        <v>36500</v>
      </c>
      <c r="M7" s="19">
        <f t="shared" si="1"/>
        <v>2773452.5</v>
      </c>
      <c r="N7" s="18"/>
      <c r="O7" s="10">
        <f t="shared" ref="O7:O16" si="5">(N7*K7)*$O$2</f>
        <v>0</v>
      </c>
      <c r="P7" s="11"/>
      <c r="Q7" s="10">
        <f t="shared" si="2"/>
        <v>0</v>
      </c>
      <c r="R7" s="11"/>
      <c r="S7" s="10">
        <f t="shared" si="3"/>
        <v>0</v>
      </c>
      <c r="T7" s="11">
        <f t="shared" si="4"/>
        <v>2773452.5</v>
      </c>
      <c r="U7" s="16"/>
      <c r="V7" s="105" t="s">
        <v>29</v>
      </c>
      <c r="W7" s="92"/>
      <c r="X7" s="93"/>
    </row>
    <row r="8" spans="1:24" s="29" customFormat="1" ht="38.1" customHeight="1">
      <c r="A8" s="7" t="str">
        <f t="shared" si="0"/>
        <v>M020251411670101</v>
      </c>
      <c r="B8" s="14"/>
      <c r="C8" s="14"/>
      <c r="D8" s="94"/>
      <c r="E8" s="8"/>
      <c r="F8" s="109" t="s">
        <v>182</v>
      </c>
      <c r="G8" s="37"/>
      <c r="H8" s="39" t="s">
        <v>51</v>
      </c>
      <c r="I8" s="95" t="s">
        <v>181</v>
      </c>
      <c r="J8" s="39" t="s">
        <v>52</v>
      </c>
      <c r="K8" s="81">
        <v>51</v>
      </c>
      <c r="L8" s="112">
        <v>5000</v>
      </c>
      <c r="M8" s="19">
        <f t="shared" si="1"/>
        <v>212925</v>
      </c>
      <c r="N8" s="18"/>
      <c r="O8" s="10">
        <f>(N8*K8)*$O$2</f>
        <v>0</v>
      </c>
      <c r="P8" s="11"/>
      <c r="Q8" s="10">
        <f>P8*K8*$Q$2</f>
        <v>0</v>
      </c>
      <c r="R8" s="11"/>
      <c r="S8" s="10">
        <f>R8*K8*$S$2</f>
        <v>0</v>
      </c>
      <c r="T8" s="11">
        <f>SUM(M8+O8)+Q8+S8</f>
        <v>212925</v>
      </c>
      <c r="U8" s="16"/>
      <c r="V8" s="12"/>
    </row>
    <row r="9" spans="1:24" s="29" customFormat="1" ht="38.1" customHeight="1">
      <c r="A9" s="7" t="str">
        <f t="shared" si="0"/>
        <v>M020533113070101</v>
      </c>
      <c r="B9" s="14"/>
      <c r="C9" s="14"/>
      <c r="D9" s="37"/>
      <c r="E9" s="38"/>
      <c r="F9" s="109" t="s">
        <v>184</v>
      </c>
      <c r="G9" s="37"/>
      <c r="H9" s="40" t="s">
        <v>53</v>
      </c>
      <c r="I9" s="40" t="s">
        <v>183</v>
      </c>
      <c r="J9" s="40" t="s">
        <v>54</v>
      </c>
      <c r="K9" s="81">
        <v>139</v>
      </c>
      <c r="L9" s="113">
        <v>3400</v>
      </c>
      <c r="M9" s="19">
        <f t="shared" si="1"/>
        <v>394621</v>
      </c>
      <c r="N9" s="18"/>
      <c r="O9" s="10">
        <f t="shared" si="5"/>
        <v>0</v>
      </c>
      <c r="P9" s="11"/>
      <c r="Q9" s="10">
        <f t="shared" si="2"/>
        <v>0</v>
      </c>
      <c r="R9" s="11"/>
      <c r="S9" s="10">
        <f t="shared" si="3"/>
        <v>0</v>
      </c>
      <c r="T9" s="11">
        <f t="shared" si="4"/>
        <v>394621</v>
      </c>
      <c r="U9" s="16"/>
      <c r="V9" s="100" t="s">
        <v>29</v>
      </c>
    </row>
    <row r="10" spans="1:24" s="29" customFormat="1" ht="38.1" customHeight="1">
      <c r="A10" s="7" t="str">
        <f t="shared" si="0"/>
        <v>M020852810150101</v>
      </c>
      <c r="B10" s="14"/>
      <c r="C10" s="14"/>
      <c r="D10" s="13"/>
      <c r="E10" s="8"/>
      <c r="F10" s="108" t="s">
        <v>178</v>
      </c>
      <c r="G10" s="13"/>
      <c r="H10" s="9" t="s">
        <v>186</v>
      </c>
      <c r="I10" s="9" t="s">
        <v>168</v>
      </c>
      <c r="J10" s="17" t="s">
        <v>192</v>
      </c>
      <c r="K10" s="81">
        <v>55</v>
      </c>
      <c r="L10" s="114">
        <v>55000</v>
      </c>
      <c r="M10" s="19">
        <f t="shared" si="1"/>
        <v>2525875</v>
      </c>
      <c r="N10" s="18"/>
      <c r="O10" s="10">
        <f t="shared" si="5"/>
        <v>0</v>
      </c>
      <c r="P10" s="11"/>
      <c r="Q10" s="10">
        <f t="shared" si="2"/>
        <v>0</v>
      </c>
      <c r="R10" s="11"/>
      <c r="S10" s="10">
        <f t="shared" si="3"/>
        <v>0</v>
      </c>
      <c r="T10" s="11">
        <f t="shared" si="4"/>
        <v>2525875</v>
      </c>
      <c r="U10" s="36"/>
      <c r="V10" s="12"/>
    </row>
    <row r="11" spans="1:24" s="29" customFormat="1" ht="38.1" customHeight="1">
      <c r="A11" s="7" t="str">
        <f t="shared" si="0"/>
        <v>M020750510130102</v>
      </c>
      <c r="B11" s="14"/>
      <c r="C11" s="14"/>
      <c r="D11" s="13"/>
      <c r="E11" s="8"/>
      <c r="F11" s="109" t="s">
        <v>77</v>
      </c>
      <c r="G11" s="13"/>
      <c r="H11" s="97" t="s">
        <v>78</v>
      </c>
      <c r="I11" s="97" t="s">
        <v>187</v>
      </c>
      <c r="J11" s="17" t="s">
        <v>79</v>
      </c>
      <c r="K11" s="81">
        <v>12</v>
      </c>
      <c r="L11" s="115">
        <v>8000</v>
      </c>
      <c r="M11" s="19">
        <f t="shared" si="1"/>
        <v>80160</v>
      </c>
      <c r="N11" s="18"/>
      <c r="O11" s="10">
        <f t="shared" si="5"/>
        <v>0</v>
      </c>
      <c r="P11" s="11"/>
      <c r="Q11" s="10">
        <f t="shared" si="2"/>
        <v>0</v>
      </c>
      <c r="R11" s="11"/>
      <c r="S11" s="10">
        <f t="shared" si="3"/>
        <v>0</v>
      </c>
      <c r="T11" s="11">
        <f t="shared" si="4"/>
        <v>80160</v>
      </c>
      <c r="U11" s="36"/>
      <c r="V11" s="12"/>
    </row>
    <row r="12" spans="1:24" s="29" customFormat="1" ht="38.1" customHeight="1">
      <c r="A12" s="7" t="str">
        <f t="shared" si="0"/>
        <v>M020750510120102</v>
      </c>
      <c r="B12" s="14"/>
      <c r="C12" s="14"/>
      <c r="D12" s="13"/>
      <c r="E12" s="8"/>
      <c r="F12" s="109" t="s">
        <v>81</v>
      </c>
      <c r="G12" s="5"/>
      <c r="H12" s="97" t="s">
        <v>80</v>
      </c>
      <c r="I12" s="97" t="s">
        <v>188</v>
      </c>
      <c r="J12" s="17" t="s">
        <v>79</v>
      </c>
      <c r="K12" s="81">
        <v>0</v>
      </c>
      <c r="L12" s="116">
        <v>6400</v>
      </c>
      <c r="M12" s="19">
        <f t="shared" si="1"/>
        <v>0</v>
      </c>
      <c r="N12" s="18"/>
      <c r="O12" s="10">
        <f t="shared" ref="O12:O14" si="6">(N12*K12)*$O$2</f>
        <v>0</v>
      </c>
      <c r="P12" s="11"/>
      <c r="Q12" s="10">
        <f t="shared" ref="Q12:Q14" si="7">P12*K12*$Q$2</f>
        <v>0</v>
      </c>
      <c r="R12" s="11"/>
      <c r="S12" s="10">
        <f t="shared" ref="S12:S14" si="8">R12*K12*$S$2</f>
        <v>0</v>
      </c>
      <c r="T12" s="11">
        <f t="shared" ref="T12:T14" si="9">SUM(M12+O12)+Q12+S12</f>
        <v>0</v>
      </c>
      <c r="U12" s="36"/>
      <c r="V12" s="124" t="s">
        <v>203</v>
      </c>
    </row>
    <row r="13" spans="1:24" s="29" customFormat="1" ht="38.1" customHeight="1">
      <c r="A13" s="7" t="str">
        <f t="shared" si="0"/>
        <v>M020690811520101</v>
      </c>
      <c r="B13" s="14"/>
      <c r="C13" s="14"/>
      <c r="D13" s="13"/>
      <c r="E13" s="8"/>
      <c r="F13" s="109" t="s">
        <v>82</v>
      </c>
      <c r="G13" s="13"/>
      <c r="H13" s="81" t="s">
        <v>83</v>
      </c>
      <c r="I13" s="81" t="s">
        <v>185</v>
      </c>
      <c r="J13" s="17" t="s">
        <v>76</v>
      </c>
      <c r="K13" s="81">
        <v>0</v>
      </c>
      <c r="L13" s="117">
        <v>7500</v>
      </c>
      <c r="M13" s="19">
        <f t="shared" si="1"/>
        <v>0</v>
      </c>
      <c r="N13" s="18"/>
      <c r="O13" s="10">
        <f t="shared" si="6"/>
        <v>0</v>
      </c>
      <c r="P13" s="11"/>
      <c r="Q13" s="10">
        <f t="shared" si="7"/>
        <v>0</v>
      </c>
      <c r="R13" s="11"/>
      <c r="S13" s="10">
        <f t="shared" si="8"/>
        <v>0</v>
      </c>
      <c r="T13" s="11">
        <f t="shared" si="9"/>
        <v>0</v>
      </c>
      <c r="U13" s="36"/>
      <c r="V13" s="124" t="s">
        <v>203</v>
      </c>
    </row>
    <row r="14" spans="1:24" s="29" customFormat="1" ht="38.1" customHeight="1">
      <c r="A14" s="7" t="str">
        <f t="shared" si="0"/>
        <v>M020850811250101</v>
      </c>
      <c r="B14" s="14"/>
      <c r="C14" s="14"/>
      <c r="D14" s="13"/>
      <c r="E14" s="8"/>
      <c r="F14" s="110" t="s">
        <v>190</v>
      </c>
      <c r="G14" s="13"/>
      <c r="H14" s="97" t="s">
        <v>196</v>
      </c>
      <c r="I14" s="97" t="s">
        <v>189</v>
      </c>
      <c r="J14" s="17" t="s">
        <v>192</v>
      </c>
      <c r="K14" s="81">
        <v>2</v>
      </c>
      <c r="L14" s="118">
        <v>45000</v>
      </c>
      <c r="M14" s="19">
        <f t="shared" ref="M14" si="10">SUM(L14:L14)*K14*$M$2</f>
        <v>75150</v>
      </c>
      <c r="N14" s="18"/>
      <c r="O14" s="10">
        <f t="shared" si="6"/>
        <v>0</v>
      </c>
      <c r="P14" s="11"/>
      <c r="Q14" s="10">
        <f t="shared" si="7"/>
        <v>0</v>
      </c>
      <c r="R14" s="11"/>
      <c r="S14" s="10">
        <f t="shared" si="8"/>
        <v>0</v>
      </c>
      <c r="T14" s="11">
        <f t="shared" si="9"/>
        <v>75150</v>
      </c>
      <c r="U14" s="16"/>
      <c r="V14" s="12"/>
    </row>
    <row r="15" spans="1:24" s="29" customFormat="1" ht="38.1" customHeight="1">
      <c r="A15" s="7">
        <v>999999</v>
      </c>
      <c r="B15" s="14"/>
      <c r="C15" s="14"/>
      <c r="D15" s="13"/>
      <c r="E15" s="8"/>
      <c r="F15" s="8"/>
      <c r="G15" s="13"/>
      <c r="H15" s="9" t="s">
        <v>66</v>
      </c>
      <c r="I15" s="9" t="s">
        <v>169</v>
      </c>
      <c r="J15" s="17" t="s">
        <v>67</v>
      </c>
      <c r="K15" s="81">
        <v>1</v>
      </c>
      <c r="L15" s="20">
        <v>50000</v>
      </c>
      <c r="M15" s="19">
        <f>SUM(L15:L15)*K15</f>
        <v>50000</v>
      </c>
      <c r="N15" s="18"/>
      <c r="O15" s="10"/>
      <c r="P15" s="11"/>
      <c r="Q15" s="10"/>
      <c r="R15" s="11"/>
      <c r="S15" s="10"/>
      <c r="T15" s="11">
        <f t="shared" si="4"/>
        <v>50000</v>
      </c>
      <c r="U15" s="36"/>
      <c r="V15" s="12"/>
    </row>
    <row r="16" spans="1:24" s="29" customFormat="1" ht="38.1" customHeight="1">
      <c r="A16" s="7">
        <v>999999</v>
      </c>
      <c r="B16" s="14"/>
      <c r="C16" s="14"/>
      <c r="D16" s="13"/>
      <c r="E16" s="8"/>
      <c r="F16" s="8"/>
      <c r="G16" s="13"/>
      <c r="H16" s="9" t="s">
        <v>175</v>
      </c>
      <c r="I16" s="9" t="s">
        <v>170</v>
      </c>
      <c r="J16" s="17" t="s">
        <v>67</v>
      </c>
      <c r="K16" s="81">
        <v>1</v>
      </c>
      <c r="L16" s="20">
        <v>260000</v>
      </c>
      <c r="M16" s="19">
        <f t="shared" ref="M16" si="11">SUM(L16:L16)*K16</f>
        <v>260000</v>
      </c>
      <c r="N16" s="18"/>
      <c r="O16" s="10">
        <f t="shared" si="5"/>
        <v>0</v>
      </c>
      <c r="P16" s="11"/>
      <c r="Q16" s="10">
        <f t="shared" si="2"/>
        <v>0</v>
      </c>
      <c r="R16" s="11"/>
      <c r="S16" s="10">
        <f t="shared" si="3"/>
        <v>0</v>
      </c>
      <c r="T16" s="11">
        <f t="shared" si="4"/>
        <v>260000</v>
      </c>
      <c r="U16" s="36"/>
      <c r="V16" s="12"/>
    </row>
    <row r="17" spans="1:22" s="34" customFormat="1" ht="38.1" customHeight="1">
      <c r="A17" s="30"/>
      <c r="B17" s="31"/>
      <c r="C17" s="31"/>
      <c r="D17" s="31"/>
      <c r="E17" s="31"/>
      <c r="F17" s="31"/>
      <c r="G17" s="31"/>
      <c r="H17" s="23"/>
      <c r="I17" s="23" t="s">
        <v>29</v>
      </c>
      <c r="J17" s="31"/>
      <c r="K17" s="31"/>
      <c r="L17" s="31"/>
      <c r="M17" s="128">
        <f>SUM(M5:M16)</f>
        <v>6372183.5</v>
      </c>
      <c r="N17" s="96"/>
      <c r="O17" s="128">
        <f>SUM(O5:O16)</f>
        <v>3817647.409</v>
      </c>
      <c r="P17" s="33"/>
      <c r="Q17" s="32">
        <f>SUM(Q5:Q7)</f>
        <v>0</v>
      </c>
      <c r="R17" s="33"/>
      <c r="S17" s="32">
        <f>SUM(S5:S7)</f>
        <v>0</v>
      </c>
      <c r="T17" s="127">
        <f>SUM(T5:U16)</f>
        <v>10189830.909</v>
      </c>
      <c r="U17" s="15"/>
      <c r="V17" s="31"/>
    </row>
    <row r="18" spans="1:22" ht="38.1" customHeight="1">
      <c r="I18" s="21" t="s">
        <v>29</v>
      </c>
      <c r="M18" s="26" t="s">
        <v>29</v>
      </c>
    </row>
    <row r="19" spans="1:22" ht="38.1" customHeight="1">
      <c r="I19" s="21" t="s">
        <v>29</v>
      </c>
      <c r="M19" s="98" t="s">
        <v>29</v>
      </c>
      <c r="O19" s="99" t="s">
        <v>29</v>
      </c>
    </row>
  </sheetData>
  <mergeCells count="12">
    <mergeCell ref="V3:V4"/>
    <mergeCell ref="A1:G1"/>
    <mergeCell ref="A2:G2"/>
    <mergeCell ref="H3:I3"/>
    <mergeCell ref="J3:J4"/>
    <mergeCell ref="K3:K4"/>
    <mergeCell ref="L3:M3"/>
    <mergeCell ref="N3:O3"/>
    <mergeCell ref="P3:Q3"/>
    <mergeCell ref="R3:S3"/>
    <mergeCell ref="T3:T4"/>
    <mergeCell ref="U3:U4"/>
  </mergeCells>
  <phoneticPr fontId="10" type="noConversion"/>
  <pageMargins left="0.7" right="0.7" top="0.75" bottom="0.75" header="0.3" footer="0.3"/>
  <pageSetup paperSize="9" scale="46"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CFF8C-B206-47D6-821A-8A49FD6A6D5B}">
  <sheetPr>
    <pageSetUpPr fitToPage="1"/>
  </sheetPr>
  <dimension ref="B1:W48"/>
  <sheetViews>
    <sheetView showZeros="0" zoomScale="40" zoomScaleNormal="40" workbookViewId="0">
      <pane ySplit="4" topLeftCell="A26" activePane="bottomLeft" state="frozen"/>
      <selection pane="bottomLeft" activeCell="O39" sqref="O39"/>
    </sheetView>
  </sheetViews>
  <sheetFormatPr defaultRowHeight="16.5"/>
  <cols>
    <col min="1" max="1" width="1.625" customWidth="1"/>
    <col min="2" max="2" width="9.625" style="50" customWidth="1"/>
    <col min="3" max="3" width="11.375" style="50" bestFit="1" customWidth="1"/>
    <col min="4" max="4" width="15.25" style="50" customWidth="1"/>
    <col min="5" max="5" width="12.75" style="50" customWidth="1"/>
    <col min="6" max="6" width="11.125" style="50" bestFit="1" customWidth="1"/>
    <col min="7" max="7" width="12.75" style="50" customWidth="1"/>
    <col min="8" max="8" width="11.125" style="50" bestFit="1" customWidth="1"/>
    <col min="9" max="9" width="22" style="50" bestFit="1" customWidth="1"/>
    <col min="10" max="10" width="22.625" style="50" bestFit="1" customWidth="1"/>
    <col min="11" max="11" width="9.875" style="50" bestFit="1" customWidth="1"/>
    <col min="12" max="12" width="10.75" style="50" bestFit="1" customWidth="1"/>
    <col min="13" max="13" width="12.625" style="50" bestFit="1" customWidth="1"/>
    <col min="14" max="14" width="61.125" style="50" customWidth="1"/>
    <col min="15" max="15" width="16.5" style="50" customWidth="1"/>
    <col min="16" max="17" width="13.125" style="50" bestFit="1" customWidth="1"/>
    <col min="18" max="18" width="12.75" style="50" bestFit="1" customWidth="1"/>
    <col min="19" max="19" width="16" style="50" bestFit="1" customWidth="1"/>
    <col min="20" max="20" width="16" style="50" customWidth="1"/>
    <col min="21" max="22" width="16" style="50" hidden="1" customWidth="1"/>
    <col min="23" max="23" width="25.875" customWidth="1"/>
    <col min="24" max="24" width="1.625" customWidth="1"/>
  </cols>
  <sheetData>
    <row r="1" spans="2:23" s="41" customFormat="1" ht="87.75" customHeight="1" thickBot="1"/>
    <row r="2" spans="2:23" s="41" customFormat="1" ht="39" customHeight="1">
      <c r="B2" s="336" t="s">
        <v>30</v>
      </c>
      <c r="C2" s="329" t="s">
        <v>31</v>
      </c>
      <c r="D2" s="339" t="s">
        <v>37</v>
      </c>
      <c r="E2" s="341" t="s">
        <v>23</v>
      </c>
      <c r="F2" s="341"/>
      <c r="G2" s="341" t="s">
        <v>24</v>
      </c>
      <c r="H2" s="341"/>
      <c r="I2" s="42" t="s">
        <v>40</v>
      </c>
      <c r="J2" s="42" t="s">
        <v>41</v>
      </c>
      <c r="K2" s="329" t="s">
        <v>25</v>
      </c>
      <c r="L2" s="329" t="s">
        <v>26</v>
      </c>
      <c r="M2" s="329" t="s">
        <v>27</v>
      </c>
      <c r="N2" s="329" t="s">
        <v>28</v>
      </c>
      <c r="O2" s="342" t="s">
        <v>39</v>
      </c>
      <c r="P2" s="329" t="s">
        <v>38</v>
      </c>
      <c r="Q2" s="329"/>
      <c r="R2" s="329"/>
      <c r="S2" s="330"/>
      <c r="T2" s="330"/>
      <c r="U2" s="330"/>
      <c r="V2" s="331"/>
      <c r="W2" s="334" t="s">
        <v>36</v>
      </c>
    </row>
    <row r="3" spans="2:23" s="41" customFormat="1" ht="39" customHeight="1" thickBot="1">
      <c r="B3" s="337"/>
      <c r="C3" s="338"/>
      <c r="D3" s="340"/>
      <c r="E3" s="43" t="s">
        <v>32</v>
      </c>
      <c r="F3" s="44" t="s">
        <v>33</v>
      </c>
      <c r="G3" s="43" t="s">
        <v>32</v>
      </c>
      <c r="H3" s="44" t="s">
        <v>33</v>
      </c>
      <c r="I3" s="45" t="s">
        <v>34</v>
      </c>
      <c r="J3" s="45" t="s">
        <v>35</v>
      </c>
      <c r="K3" s="338"/>
      <c r="L3" s="338"/>
      <c r="M3" s="338"/>
      <c r="N3" s="338"/>
      <c r="O3" s="343"/>
      <c r="P3" s="46" t="s">
        <v>42</v>
      </c>
      <c r="Q3" s="46" t="s">
        <v>43</v>
      </c>
      <c r="R3" s="46" t="s">
        <v>44</v>
      </c>
      <c r="S3" s="122" t="s">
        <v>45</v>
      </c>
      <c r="T3" s="122" t="s">
        <v>58</v>
      </c>
      <c r="U3" s="122" t="s">
        <v>55</v>
      </c>
      <c r="V3" s="122" t="s">
        <v>56</v>
      </c>
      <c r="W3" s="335"/>
    </row>
    <row r="4" spans="2:23" s="50" customFormat="1" ht="31.5">
      <c r="B4" s="75" t="s">
        <v>102</v>
      </c>
      <c r="C4" s="73"/>
      <c r="D4" s="74"/>
      <c r="E4" s="48"/>
      <c r="F4" s="48"/>
      <c r="G4" s="48"/>
      <c r="H4" s="48"/>
      <c r="I4" s="48"/>
      <c r="J4" s="48"/>
      <c r="K4" s="47"/>
      <c r="L4" s="47"/>
      <c r="M4" s="47"/>
      <c r="N4" s="47"/>
      <c r="O4" s="47"/>
      <c r="P4" s="47"/>
      <c r="Q4" s="47"/>
      <c r="R4" s="47"/>
      <c r="S4" s="47"/>
      <c r="T4" s="47"/>
      <c r="U4" s="47"/>
      <c r="V4" s="47"/>
      <c r="W4" s="49"/>
    </row>
    <row r="5" spans="2:23" s="63" customFormat="1" ht="72" customHeight="1">
      <c r="B5" s="121" t="s">
        <v>199</v>
      </c>
      <c r="C5" s="53" t="s">
        <v>46</v>
      </c>
      <c r="D5" s="54">
        <v>2</v>
      </c>
      <c r="E5" s="55">
        <v>46003</v>
      </c>
      <c r="F5" s="56">
        <v>0.375</v>
      </c>
      <c r="G5" s="55">
        <v>46003</v>
      </c>
      <c r="H5" s="56">
        <v>0.5625</v>
      </c>
      <c r="I5" s="57">
        <f t="shared" ref="I5:I6" si="0">H5-F5</f>
        <v>0.1875</v>
      </c>
      <c r="J5" s="51">
        <f t="shared" ref="J5:J7" si="1">I5*D5</f>
        <v>0.375</v>
      </c>
      <c r="K5" s="101" t="s">
        <v>103</v>
      </c>
      <c r="L5" s="101" t="s">
        <v>104</v>
      </c>
      <c r="M5" s="59" t="s">
        <v>47</v>
      </c>
      <c r="N5" s="66" t="s">
        <v>105</v>
      </c>
      <c r="O5" s="89">
        <v>2</v>
      </c>
      <c r="P5" s="102"/>
      <c r="Q5" s="102"/>
      <c r="R5" s="102"/>
      <c r="S5" s="102"/>
      <c r="T5" s="102"/>
      <c r="U5" s="102"/>
      <c r="V5" s="103"/>
      <c r="W5" s="68"/>
    </row>
    <row r="6" spans="2:23" s="63" customFormat="1" ht="72" customHeight="1">
      <c r="B6" s="64" t="s">
        <v>200</v>
      </c>
      <c r="C6" s="53" t="s">
        <v>46</v>
      </c>
      <c r="D6" s="54">
        <v>1</v>
      </c>
      <c r="E6" s="55">
        <v>46021</v>
      </c>
      <c r="F6" s="56">
        <v>0.58333333333333337</v>
      </c>
      <c r="G6" s="55">
        <v>46021</v>
      </c>
      <c r="H6" s="56">
        <v>0.60416666666666663</v>
      </c>
      <c r="I6" s="57">
        <f t="shared" si="0"/>
        <v>2.0833333333333259E-2</v>
      </c>
      <c r="J6" s="51">
        <f t="shared" si="1"/>
        <v>2.0833333333333259E-2</v>
      </c>
      <c r="K6" s="65">
        <v>9</v>
      </c>
      <c r="L6" s="65">
        <v>502</v>
      </c>
      <c r="M6" s="59" t="s">
        <v>47</v>
      </c>
      <c r="N6" s="66" t="s">
        <v>106</v>
      </c>
      <c r="O6" s="120" t="s">
        <v>197</v>
      </c>
      <c r="P6" s="67"/>
      <c r="Q6" s="67"/>
      <c r="R6" s="67"/>
      <c r="S6" s="67"/>
      <c r="T6" s="67"/>
      <c r="U6" s="67"/>
      <c r="V6" s="67"/>
      <c r="W6" s="68" t="s">
        <v>164</v>
      </c>
    </row>
    <row r="7" spans="2:23" s="63" customFormat="1" ht="120">
      <c r="B7" s="52">
        <v>1</v>
      </c>
      <c r="C7" s="53" t="s">
        <v>46</v>
      </c>
      <c r="D7" s="54">
        <v>2</v>
      </c>
      <c r="E7" s="55">
        <v>46041</v>
      </c>
      <c r="F7" s="56">
        <v>0.375</v>
      </c>
      <c r="G7" s="55">
        <v>46041</v>
      </c>
      <c r="H7" s="56">
        <v>0.68055555555555558</v>
      </c>
      <c r="I7" s="57">
        <f t="shared" ref="I7" si="2">H7-F7</f>
        <v>0.30555555555555558</v>
      </c>
      <c r="J7" s="51">
        <f t="shared" si="1"/>
        <v>0.61111111111111116</v>
      </c>
      <c r="K7" s="58" t="s">
        <v>90</v>
      </c>
      <c r="L7" s="58" t="s">
        <v>91</v>
      </c>
      <c r="M7" s="59" t="s">
        <v>47</v>
      </c>
      <c r="N7" s="60" t="s">
        <v>89</v>
      </c>
      <c r="O7" s="89">
        <v>2</v>
      </c>
      <c r="P7" s="61">
        <v>3</v>
      </c>
      <c r="Q7" s="106">
        <v>3</v>
      </c>
      <c r="R7" s="106">
        <v>6</v>
      </c>
      <c r="S7" s="107"/>
      <c r="T7" s="61"/>
      <c r="U7" s="61"/>
      <c r="V7" s="61"/>
      <c r="W7" s="62"/>
    </row>
    <row r="8" spans="2:23" s="63" customFormat="1" ht="198.75" customHeight="1">
      <c r="B8" s="52">
        <v>2</v>
      </c>
      <c r="C8" s="53" t="s">
        <v>46</v>
      </c>
      <c r="D8" s="54">
        <v>2</v>
      </c>
      <c r="E8" s="55">
        <v>46042</v>
      </c>
      <c r="F8" s="56">
        <v>0.375</v>
      </c>
      <c r="G8" s="55">
        <v>46042</v>
      </c>
      <c r="H8" s="56">
        <v>0.68055555555555558</v>
      </c>
      <c r="I8" s="57">
        <f t="shared" ref="I8:I13" si="3">H8-F8</f>
        <v>0.30555555555555558</v>
      </c>
      <c r="J8" s="51">
        <f t="shared" ref="J8:J13" si="4">I8*D8</f>
        <v>0.61111111111111116</v>
      </c>
      <c r="K8" s="58" t="s">
        <v>93</v>
      </c>
      <c r="L8" s="58" t="s">
        <v>172</v>
      </c>
      <c r="M8" s="59" t="s">
        <v>47</v>
      </c>
      <c r="N8" s="60" t="s">
        <v>92</v>
      </c>
      <c r="O8" s="89">
        <v>2</v>
      </c>
      <c r="P8" s="61">
        <v>3</v>
      </c>
      <c r="Q8" s="106">
        <v>5</v>
      </c>
      <c r="R8" s="106">
        <v>18</v>
      </c>
      <c r="S8" s="107"/>
      <c r="T8" s="61"/>
      <c r="U8" s="61"/>
      <c r="V8" s="61"/>
      <c r="W8" s="62"/>
    </row>
    <row r="9" spans="2:23" s="63" customFormat="1" ht="120">
      <c r="B9" s="52">
        <v>3</v>
      </c>
      <c r="C9" s="53" t="s">
        <v>46</v>
      </c>
      <c r="D9" s="54">
        <v>2</v>
      </c>
      <c r="E9" s="55">
        <v>46043</v>
      </c>
      <c r="F9" s="56">
        <v>0.375</v>
      </c>
      <c r="G9" s="55">
        <v>46043</v>
      </c>
      <c r="H9" s="56">
        <v>0.68055555555555558</v>
      </c>
      <c r="I9" s="57">
        <f t="shared" si="3"/>
        <v>0.30555555555555558</v>
      </c>
      <c r="J9" s="51">
        <f t="shared" si="4"/>
        <v>0.61111111111111116</v>
      </c>
      <c r="K9" s="58">
        <v>102</v>
      </c>
      <c r="L9" s="58">
        <v>504</v>
      </c>
      <c r="M9" s="59" t="s">
        <v>47</v>
      </c>
      <c r="N9" s="60" t="s">
        <v>94</v>
      </c>
      <c r="O9" s="89">
        <v>2</v>
      </c>
      <c r="P9" s="61">
        <v>3</v>
      </c>
      <c r="Q9" s="106">
        <v>2</v>
      </c>
      <c r="R9" s="106" t="s">
        <v>29</v>
      </c>
      <c r="S9" s="107" t="s">
        <v>29</v>
      </c>
      <c r="T9" s="61"/>
      <c r="U9" s="61"/>
      <c r="V9" s="61"/>
      <c r="W9" s="62"/>
    </row>
    <row r="10" spans="2:23" s="63" customFormat="1" ht="120">
      <c r="B10" s="52">
        <v>4</v>
      </c>
      <c r="C10" s="53" t="s">
        <v>46</v>
      </c>
      <c r="D10" s="54">
        <v>2</v>
      </c>
      <c r="E10" s="55">
        <v>46044</v>
      </c>
      <c r="F10" s="56">
        <v>0.375</v>
      </c>
      <c r="G10" s="55">
        <v>46044</v>
      </c>
      <c r="H10" s="56">
        <v>0.6875</v>
      </c>
      <c r="I10" s="57">
        <f t="shared" si="3"/>
        <v>0.3125</v>
      </c>
      <c r="J10" s="51">
        <f t="shared" si="4"/>
        <v>0.625</v>
      </c>
      <c r="K10" s="58" t="s">
        <v>95</v>
      </c>
      <c r="L10" s="58" t="s">
        <v>96</v>
      </c>
      <c r="M10" s="59" t="s">
        <v>47</v>
      </c>
      <c r="N10" s="60" t="s">
        <v>97</v>
      </c>
      <c r="O10" s="89">
        <v>2</v>
      </c>
      <c r="P10" s="61">
        <v>2</v>
      </c>
      <c r="Q10" s="106">
        <v>2</v>
      </c>
      <c r="R10" s="106"/>
      <c r="S10" s="107" t="s">
        <v>29</v>
      </c>
      <c r="T10" s="61"/>
      <c r="U10" s="61"/>
      <c r="V10" s="107" t="s">
        <v>29</v>
      </c>
      <c r="W10" s="62" t="s">
        <v>29</v>
      </c>
    </row>
    <row r="11" spans="2:23" s="63" customFormat="1" ht="96">
      <c r="B11" s="52">
        <v>5</v>
      </c>
      <c r="C11" s="53" t="s">
        <v>46</v>
      </c>
      <c r="D11" s="54">
        <v>2</v>
      </c>
      <c r="E11" s="55">
        <v>46045</v>
      </c>
      <c r="F11" s="56">
        <v>0.375</v>
      </c>
      <c r="G11" s="55">
        <v>46045</v>
      </c>
      <c r="H11" s="56">
        <v>0.66666666666666663</v>
      </c>
      <c r="I11" s="57">
        <f t="shared" ref="I11" si="5">H11-F11</f>
        <v>0.29166666666666663</v>
      </c>
      <c r="J11" s="51">
        <f t="shared" ref="J11" si="6">I11*D11</f>
        <v>0.58333333333333326</v>
      </c>
      <c r="K11" s="58" t="s">
        <v>98</v>
      </c>
      <c r="L11" s="58" t="s">
        <v>99</v>
      </c>
      <c r="M11" s="59" t="s">
        <v>47</v>
      </c>
      <c r="N11" s="60" t="s">
        <v>100</v>
      </c>
      <c r="O11" s="120" t="s">
        <v>197</v>
      </c>
      <c r="P11" s="61">
        <v>19</v>
      </c>
      <c r="Q11" s="107"/>
      <c r="R11" s="107"/>
      <c r="S11" s="107" t="s">
        <v>29</v>
      </c>
      <c r="T11" s="61"/>
      <c r="U11" s="61"/>
      <c r="V11" s="61"/>
      <c r="W11" s="62"/>
    </row>
    <row r="12" spans="2:23" s="63" customFormat="1" ht="120">
      <c r="B12" s="52">
        <v>6</v>
      </c>
      <c r="C12" s="53" t="s">
        <v>46</v>
      </c>
      <c r="D12" s="54">
        <v>2</v>
      </c>
      <c r="E12" s="55">
        <v>46048</v>
      </c>
      <c r="F12" s="56">
        <v>0.375</v>
      </c>
      <c r="G12" s="55">
        <v>46048</v>
      </c>
      <c r="H12" s="56">
        <v>0.6875</v>
      </c>
      <c r="I12" s="57">
        <f t="shared" si="3"/>
        <v>0.3125</v>
      </c>
      <c r="J12" s="51">
        <f t="shared" si="4"/>
        <v>0.625</v>
      </c>
      <c r="K12" s="58">
        <v>102</v>
      </c>
      <c r="L12" s="58">
        <v>502</v>
      </c>
      <c r="M12" s="59" t="s">
        <v>47</v>
      </c>
      <c r="N12" s="60" t="s">
        <v>101</v>
      </c>
      <c r="O12" s="89">
        <v>2</v>
      </c>
      <c r="P12" s="61">
        <v>3</v>
      </c>
      <c r="Q12" s="106">
        <v>3</v>
      </c>
      <c r="R12" s="106">
        <v>16</v>
      </c>
      <c r="S12" s="107"/>
      <c r="T12" s="61"/>
      <c r="U12" s="61"/>
      <c r="V12" s="61"/>
      <c r="W12" s="83"/>
    </row>
    <row r="13" spans="2:23" s="63" customFormat="1" ht="72" customHeight="1">
      <c r="B13" s="64">
        <v>7</v>
      </c>
      <c r="C13" s="53" t="s">
        <v>46</v>
      </c>
      <c r="D13" s="54">
        <v>1</v>
      </c>
      <c r="E13" s="55">
        <v>46052</v>
      </c>
      <c r="F13" s="56">
        <v>0.375</v>
      </c>
      <c r="G13" s="55">
        <v>46052</v>
      </c>
      <c r="H13" s="56">
        <v>0.66666666666666663</v>
      </c>
      <c r="I13" s="57">
        <f t="shared" si="3"/>
        <v>0.29166666666666663</v>
      </c>
      <c r="J13" s="51">
        <f t="shared" si="4"/>
        <v>0.29166666666666663</v>
      </c>
      <c r="K13" s="101" t="s">
        <v>107</v>
      </c>
      <c r="L13" s="101" t="s">
        <v>108</v>
      </c>
      <c r="M13" s="59" t="s">
        <v>47</v>
      </c>
      <c r="N13" s="66" t="s">
        <v>109</v>
      </c>
      <c r="O13" s="120" t="s">
        <v>197</v>
      </c>
      <c r="P13" s="61">
        <v>12</v>
      </c>
      <c r="Q13" s="61"/>
      <c r="R13" s="61"/>
      <c r="S13" s="61"/>
      <c r="T13" s="61"/>
      <c r="U13" s="61"/>
      <c r="V13" s="104"/>
      <c r="W13" s="68"/>
    </row>
    <row r="14" spans="2:23" s="63" customFormat="1" ht="120">
      <c r="B14" s="52">
        <v>8</v>
      </c>
      <c r="C14" s="53" t="s">
        <v>46</v>
      </c>
      <c r="D14" s="54">
        <v>2</v>
      </c>
      <c r="E14" s="55">
        <v>46055</v>
      </c>
      <c r="F14" s="56">
        <v>0.375</v>
      </c>
      <c r="G14" s="55">
        <v>46055</v>
      </c>
      <c r="H14" s="56">
        <v>0.68055555555555558</v>
      </c>
      <c r="I14" s="57">
        <f t="shared" ref="I14" si="7">H14-F14</f>
        <v>0.30555555555555558</v>
      </c>
      <c r="J14" s="51">
        <f t="shared" ref="J14" si="8">I14*D14</f>
        <v>0.61111111111111116</v>
      </c>
      <c r="K14" s="58" t="s">
        <v>110</v>
      </c>
      <c r="L14" s="58" t="s">
        <v>111</v>
      </c>
      <c r="M14" s="59" t="s">
        <v>47</v>
      </c>
      <c r="N14" s="60" t="s">
        <v>165</v>
      </c>
      <c r="O14" s="89">
        <v>2</v>
      </c>
      <c r="P14" s="76"/>
      <c r="Q14" s="106">
        <v>3</v>
      </c>
      <c r="R14" s="106">
        <v>12</v>
      </c>
      <c r="S14" s="107"/>
      <c r="T14" s="61"/>
      <c r="U14" s="61"/>
      <c r="V14" s="61"/>
      <c r="W14" s="83"/>
    </row>
    <row r="15" spans="2:23" s="63" customFormat="1" ht="72" customHeight="1">
      <c r="B15" s="52">
        <v>9</v>
      </c>
      <c r="C15" s="53" t="s">
        <v>46</v>
      </c>
      <c r="D15" s="54">
        <v>2</v>
      </c>
      <c r="E15" s="55">
        <v>46065</v>
      </c>
      <c r="F15" s="56">
        <v>0.375</v>
      </c>
      <c r="G15" s="55">
        <v>46065</v>
      </c>
      <c r="H15" s="56">
        <v>0.68055555555555558</v>
      </c>
      <c r="I15" s="57">
        <f t="shared" ref="I15:I18" si="9">H15-F15</f>
        <v>0.30555555555555558</v>
      </c>
      <c r="J15" s="51">
        <f t="shared" ref="J15:J18" si="10">I15*D15</f>
        <v>0.61111111111111116</v>
      </c>
      <c r="K15" s="101">
        <v>103</v>
      </c>
      <c r="L15" s="101" t="s">
        <v>112</v>
      </c>
      <c r="M15" s="59" t="s">
        <v>47</v>
      </c>
      <c r="N15" s="66" t="s">
        <v>113</v>
      </c>
      <c r="O15" s="89">
        <v>2</v>
      </c>
      <c r="P15" s="61"/>
      <c r="Q15" s="106"/>
      <c r="R15" s="106"/>
      <c r="S15" s="61"/>
      <c r="T15" s="61"/>
      <c r="U15" s="61"/>
      <c r="V15" s="104"/>
      <c r="W15" s="68"/>
    </row>
    <row r="16" spans="2:23" s="63" customFormat="1" ht="120">
      <c r="B16" s="52">
        <v>10</v>
      </c>
      <c r="C16" s="53" t="s">
        <v>46</v>
      </c>
      <c r="D16" s="54">
        <v>2</v>
      </c>
      <c r="E16" s="55">
        <v>46066</v>
      </c>
      <c r="F16" s="56">
        <v>0.375</v>
      </c>
      <c r="G16" s="55">
        <v>46066</v>
      </c>
      <c r="H16" s="56">
        <v>0.67361111111111116</v>
      </c>
      <c r="I16" s="57">
        <f t="shared" si="9"/>
        <v>0.29861111111111116</v>
      </c>
      <c r="J16" s="51">
        <f t="shared" si="10"/>
        <v>0.59722222222222232</v>
      </c>
      <c r="K16" s="58" t="s">
        <v>114</v>
      </c>
      <c r="L16" s="58" t="s">
        <v>115</v>
      </c>
      <c r="M16" s="59" t="s">
        <v>47</v>
      </c>
      <c r="N16" s="60" t="s">
        <v>166</v>
      </c>
      <c r="O16" s="89">
        <v>2</v>
      </c>
      <c r="P16" s="76"/>
      <c r="Q16" s="106">
        <v>1</v>
      </c>
      <c r="R16" s="106">
        <v>9</v>
      </c>
      <c r="S16" s="107"/>
      <c r="T16" s="61"/>
      <c r="U16" s="61"/>
      <c r="V16" s="61"/>
      <c r="W16" s="83"/>
    </row>
    <row r="17" spans="2:23" s="63" customFormat="1" ht="72" customHeight="1">
      <c r="B17" s="64">
        <v>11</v>
      </c>
      <c r="C17" s="53" t="s">
        <v>46</v>
      </c>
      <c r="D17" s="54">
        <v>1</v>
      </c>
      <c r="E17" s="55">
        <v>46076</v>
      </c>
      <c r="F17" s="56">
        <v>0.375</v>
      </c>
      <c r="G17" s="55">
        <v>46076</v>
      </c>
      <c r="H17" s="56">
        <v>0.68055555555555558</v>
      </c>
      <c r="I17" s="57">
        <f t="shared" si="9"/>
        <v>0.30555555555555558</v>
      </c>
      <c r="J17" s="51">
        <f t="shared" si="10"/>
        <v>0.30555555555555558</v>
      </c>
      <c r="K17" s="101" t="s">
        <v>117</v>
      </c>
      <c r="L17" s="101" t="s">
        <v>116</v>
      </c>
      <c r="M17" s="59" t="s">
        <v>47</v>
      </c>
      <c r="N17" s="66" t="s">
        <v>118</v>
      </c>
      <c r="O17" s="89">
        <v>1</v>
      </c>
      <c r="P17" s="61"/>
      <c r="Q17" s="106">
        <v>3</v>
      </c>
      <c r="R17" s="106">
        <v>18</v>
      </c>
      <c r="S17" s="61"/>
      <c r="T17" s="61">
        <v>4</v>
      </c>
      <c r="U17" s="61"/>
      <c r="V17" s="104"/>
      <c r="W17" s="68"/>
    </row>
    <row r="18" spans="2:23" s="63" customFormat="1" ht="96">
      <c r="B18" s="52">
        <v>12</v>
      </c>
      <c r="C18" s="53" t="s">
        <v>46</v>
      </c>
      <c r="D18" s="54">
        <v>1</v>
      </c>
      <c r="E18" s="55">
        <v>46077</v>
      </c>
      <c r="F18" s="56">
        <v>0.375</v>
      </c>
      <c r="G18" s="55">
        <v>46077</v>
      </c>
      <c r="H18" s="56">
        <v>0.67708333333333337</v>
      </c>
      <c r="I18" s="57">
        <f t="shared" si="9"/>
        <v>0.30208333333333337</v>
      </c>
      <c r="J18" s="51">
        <f t="shared" si="10"/>
        <v>0.30208333333333337</v>
      </c>
      <c r="K18" s="58" t="s">
        <v>126</v>
      </c>
      <c r="L18" s="58" t="s">
        <v>119</v>
      </c>
      <c r="M18" s="59" t="s">
        <v>47</v>
      </c>
      <c r="N18" s="60" t="s">
        <v>120</v>
      </c>
      <c r="O18" s="120" t="s">
        <v>197</v>
      </c>
      <c r="P18" s="61"/>
      <c r="Q18" s="107"/>
      <c r="R18" s="107"/>
      <c r="S18" s="106">
        <v>3</v>
      </c>
      <c r="T18" s="61"/>
      <c r="U18" s="61"/>
      <c r="V18" s="61"/>
      <c r="W18" s="62"/>
    </row>
    <row r="19" spans="2:23" s="63" customFormat="1" ht="144">
      <c r="B19" s="52">
        <v>13</v>
      </c>
      <c r="C19" s="53" t="s">
        <v>46</v>
      </c>
      <c r="D19" s="54">
        <v>3</v>
      </c>
      <c r="E19" s="55">
        <v>46078</v>
      </c>
      <c r="F19" s="56">
        <v>0.375</v>
      </c>
      <c r="G19" s="55">
        <v>46078</v>
      </c>
      <c r="H19" s="56">
        <v>0.68055555555555558</v>
      </c>
      <c r="I19" s="57">
        <f t="shared" ref="I19" si="11">H19-F19</f>
        <v>0.30555555555555558</v>
      </c>
      <c r="J19" s="51">
        <f t="shared" ref="J19" si="12">I19*D19</f>
        <v>0.91666666666666674</v>
      </c>
      <c r="K19" s="58" t="s">
        <v>121</v>
      </c>
      <c r="L19" s="58" t="s">
        <v>123</v>
      </c>
      <c r="M19" s="59" t="s">
        <v>47</v>
      </c>
      <c r="N19" s="60" t="s">
        <v>122</v>
      </c>
      <c r="O19" s="89">
        <v>3</v>
      </c>
      <c r="P19" s="76"/>
      <c r="Q19" s="107" t="s">
        <v>29</v>
      </c>
      <c r="R19" s="107" t="s">
        <v>29</v>
      </c>
      <c r="S19" s="107"/>
      <c r="T19" s="61">
        <v>4</v>
      </c>
      <c r="U19" s="61"/>
      <c r="V19" s="61"/>
      <c r="W19" s="83"/>
    </row>
    <row r="20" spans="2:23" s="63" customFormat="1" ht="168">
      <c r="B20" s="52">
        <v>14</v>
      </c>
      <c r="C20" s="53" t="s">
        <v>46</v>
      </c>
      <c r="D20" s="54">
        <v>3</v>
      </c>
      <c r="E20" s="55">
        <v>46079</v>
      </c>
      <c r="F20" s="56">
        <v>0.375</v>
      </c>
      <c r="G20" s="55">
        <v>46079</v>
      </c>
      <c r="H20" s="56">
        <v>0.68055555555555558</v>
      </c>
      <c r="I20" s="57">
        <f t="shared" ref="I20" si="13">H20-F20</f>
        <v>0.30555555555555558</v>
      </c>
      <c r="J20" s="51">
        <f t="shared" ref="J20" si="14">I20*D20</f>
        <v>0.91666666666666674</v>
      </c>
      <c r="K20" s="58" t="s">
        <v>125</v>
      </c>
      <c r="L20" s="58" t="s">
        <v>124</v>
      </c>
      <c r="M20" s="59" t="s">
        <v>47</v>
      </c>
      <c r="N20" s="60" t="s">
        <v>127</v>
      </c>
      <c r="O20" s="89">
        <v>3</v>
      </c>
      <c r="P20" s="61">
        <v>3</v>
      </c>
      <c r="Q20" s="107" t="s">
        <v>29</v>
      </c>
      <c r="R20" s="107" t="s">
        <v>29</v>
      </c>
      <c r="S20" s="107"/>
      <c r="T20" s="61"/>
      <c r="U20" s="61"/>
      <c r="V20" s="61"/>
      <c r="W20" s="83"/>
    </row>
    <row r="21" spans="2:23" s="63" customFormat="1" ht="192">
      <c r="B21" s="52">
        <v>15</v>
      </c>
      <c r="C21" s="53" t="s">
        <v>46</v>
      </c>
      <c r="D21" s="54">
        <v>3</v>
      </c>
      <c r="E21" s="55">
        <v>46084</v>
      </c>
      <c r="F21" s="56">
        <v>0.375</v>
      </c>
      <c r="G21" s="55">
        <v>46084</v>
      </c>
      <c r="H21" s="56">
        <v>0.68055555555555558</v>
      </c>
      <c r="I21" s="57">
        <f t="shared" ref="I21:I22" si="15">H21-F21</f>
        <v>0.30555555555555558</v>
      </c>
      <c r="J21" s="51">
        <f t="shared" ref="J21:J22" si="16">I21*D21</f>
        <v>0.91666666666666674</v>
      </c>
      <c r="K21" s="58" t="s">
        <v>130</v>
      </c>
      <c r="L21" s="58" t="s">
        <v>129</v>
      </c>
      <c r="M21" s="59" t="s">
        <v>47</v>
      </c>
      <c r="N21" s="60" t="s">
        <v>128</v>
      </c>
      <c r="O21" s="89">
        <v>3</v>
      </c>
      <c r="P21" s="76"/>
      <c r="Q21" s="61">
        <v>3</v>
      </c>
      <c r="R21" s="107" t="s">
        <v>29</v>
      </c>
      <c r="S21" s="107"/>
      <c r="T21" s="61"/>
      <c r="U21" s="61"/>
      <c r="V21" s="61"/>
      <c r="W21" s="83"/>
    </row>
    <row r="22" spans="2:23" s="63" customFormat="1" ht="48">
      <c r="B22" s="52">
        <v>16</v>
      </c>
      <c r="C22" s="53" t="s">
        <v>46</v>
      </c>
      <c r="D22" s="54">
        <v>1</v>
      </c>
      <c r="E22" s="55">
        <v>46085</v>
      </c>
      <c r="F22" s="56">
        <v>0.375</v>
      </c>
      <c r="G22" s="55">
        <v>46085</v>
      </c>
      <c r="H22" s="56">
        <v>0.68055555555555558</v>
      </c>
      <c r="I22" s="57">
        <f t="shared" si="15"/>
        <v>0.30555555555555558</v>
      </c>
      <c r="J22" s="51">
        <f t="shared" si="16"/>
        <v>0.30555555555555558</v>
      </c>
      <c r="K22" s="58" t="s">
        <v>152</v>
      </c>
      <c r="L22" s="58" t="s">
        <v>194</v>
      </c>
      <c r="M22" s="59" t="s">
        <v>47</v>
      </c>
      <c r="N22" s="60" t="s">
        <v>195</v>
      </c>
      <c r="O22" s="89">
        <v>1</v>
      </c>
      <c r="P22" s="76"/>
      <c r="Q22" s="61" t="s">
        <v>29</v>
      </c>
      <c r="R22" s="107" t="s">
        <v>29</v>
      </c>
      <c r="S22" s="107" t="s">
        <v>29</v>
      </c>
      <c r="T22" s="61"/>
      <c r="U22" s="61"/>
      <c r="V22" s="61"/>
      <c r="W22" s="83"/>
    </row>
    <row r="23" spans="2:23" s="63" customFormat="1" ht="199.5" customHeight="1">
      <c r="B23" s="52" t="s">
        <v>29</v>
      </c>
      <c r="C23" s="53" t="s">
        <v>46</v>
      </c>
      <c r="D23" s="54">
        <v>3</v>
      </c>
      <c r="E23" s="55">
        <v>46085</v>
      </c>
      <c r="F23" s="56">
        <v>0.54166666666666663</v>
      </c>
      <c r="G23" s="55">
        <v>46085</v>
      </c>
      <c r="H23" s="56">
        <v>0.68055555555555558</v>
      </c>
      <c r="I23" s="57">
        <f t="shared" ref="I23:I27" si="17">H23-F23</f>
        <v>0.13888888888888895</v>
      </c>
      <c r="J23" s="51">
        <f t="shared" ref="J23:J27" si="18">I23*D23</f>
        <v>0.41666666666666685</v>
      </c>
      <c r="K23" s="58" t="s">
        <v>136</v>
      </c>
      <c r="L23" s="58" t="s">
        <v>137</v>
      </c>
      <c r="M23" s="59" t="s">
        <v>47</v>
      </c>
      <c r="N23" s="60" t="s">
        <v>138</v>
      </c>
      <c r="O23" s="120" t="s">
        <v>197</v>
      </c>
      <c r="P23" s="76"/>
      <c r="Q23" s="107" t="s">
        <v>29</v>
      </c>
      <c r="R23" s="107" t="s">
        <v>29</v>
      </c>
      <c r="S23" s="106">
        <v>8</v>
      </c>
      <c r="T23" s="61"/>
      <c r="U23" s="61"/>
      <c r="V23" s="61"/>
      <c r="W23" s="83"/>
    </row>
    <row r="24" spans="2:23" s="63" customFormat="1" ht="72" customHeight="1">
      <c r="B24" s="52">
        <v>17</v>
      </c>
      <c r="C24" s="53" t="s">
        <v>46</v>
      </c>
      <c r="D24" s="54">
        <v>2</v>
      </c>
      <c r="E24" s="55">
        <v>46086</v>
      </c>
      <c r="F24" s="56">
        <v>0.54166666666666663</v>
      </c>
      <c r="G24" s="55">
        <v>46086</v>
      </c>
      <c r="H24" s="56">
        <v>0.68055555555555558</v>
      </c>
      <c r="I24" s="57">
        <f t="shared" si="17"/>
        <v>0.13888888888888895</v>
      </c>
      <c r="J24" s="51">
        <f t="shared" si="18"/>
        <v>0.2777777777777779</v>
      </c>
      <c r="K24" s="101" t="s">
        <v>131</v>
      </c>
      <c r="L24" s="101" t="s">
        <v>132</v>
      </c>
      <c r="M24" s="59" t="s">
        <v>47</v>
      </c>
      <c r="N24" s="66" t="s">
        <v>133</v>
      </c>
      <c r="O24" s="89">
        <v>1</v>
      </c>
      <c r="P24" s="61"/>
      <c r="Q24" s="61"/>
      <c r="R24" s="61"/>
      <c r="S24" s="61"/>
      <c r="T24" s="61"/>
      <c r="U24" s="61"/>
      <c r="V24" s="104"/>
      <c r="W24" s="68"/>
    </row>
    <row r="25" spans="2:23" s="63" customFormat="1" ht="120">
      <c r="B25" s="52">
        <v>18</v>
      </c>
      <c r="C25" s="53" t="s">
        <v>46</v>
      </c>
      <c r="D25" s="54">
        <v>3</v>
      </c>
      <c r="E25" s="55">
        <v>46087</v>
      </c>
      <c r="F25" s="56">
        <v>0.375</v>
      </c>
      <c r="G25" s="55">
        <v>46087</v>
      </c>
      <c r="H25" s="56">
        <v>0.67361111111111116</v>
      </c>
      <c r="I25" s="57">
        <f t="shared" si="17"/>
        <v>0.29861111111111116</v>
      </c>
      <c r="J25" s="51">
        <f t="shared" si="18"/>
        <v>0.89583333333333348</v>
      </c>
      <c r="K25" s="58" t="s">
        <v>134</v>
      </c>
      <c r="L25" s="58" t="s">
        <v>135</v>
      </c>
      <c r="M25" s="59" t="s">
        <v>47</v>
      </c>
      <c r="N25" s="60" t="s">
        <v>176</v>
      </c>
      <c r="O25" s="89">
        <v>3</v>
      </c>
      <c r="P25" s="76"/>
      <c r="Q25" s="61">
        <v>7</v>
      </c>
      <c r="R25" s="107" t="s">
        <v>29</v>
      </c>
      <c r="S25" s="107"/>
      <c r="T25" s="61"/>
      <c r="U25" s="61"/>
      <c r="V25" s="61"/>
      <c r="W25" s="83"/>
    </row>
    <row r="26" spans="2:23" s="63" customFormat="1" ht="72" customHeight="1">
      <c r="B26" s="64">
        <v>19</v>
      </c>
      <c r="C26" s="53" t="s">
        <v>46</v>
      </c>
      <c r="D26" s="54">
        <v>2</v>
      </c>
      <c r="E26" s="55">
        <v>46091</v>
      </c>
      <c r="F26" s="56">
        <v>0.54166666666666663</v>
      </c>
      <c r="G26" s="55">
        <v>46091</v>
      </c>
      <c r="H26" s="56">
        <v>0.68055555555555558</v>
      </c>
      <c r="I26" s="57">
        <f t="shared" si="17"/>
        <v>0.13888888888888895</v>
      </c>
      <c r="J26" s="51">
        <f t="shared" si="18"/>
        <v>0.2777777777777779</v>
      </c>
      <c r="K26" s="101" t="s">
        <v>139</v>
      </c>
      <c r="L26" s="101" t="s">
        <v>140</v>
      </c>
      <c r="M26" s="59" t="s">
        <v>47</v>
      </c>
      <c r="N26" s="66" t="s">
        <v>141</v>
      </c>
      <c r="O26" s="120" t="s">
        <v>197</v>
      </c>
      <c r="P26" s="61">
        <v>12</v>
      </c>
      <c r="Q26" s="61"/>
      <c r="R26" s="61"/>
      <c r="S26" s="61"/>
      <c r="T26" s="61"/>
      <c r="U26" s="61"/>
      <c r="V26" s="104"/>
      <c r="W26" s="68"/>
    </row>
    <row r="27" spans="2:23" s="63" customFormat="1" ht="96">
      <c r="B27" s="52">
        <v>20</v>
      </c>
      <c r="C27" s="53" t="s">
        <v>46</v>
      </c>
      <c r="D27" s="54">
        <v>2</v>
      </c>
      <c r="E27" s="55">
        <v>46092</v>
      </c>
      <c r="F27" s="56">
        <v>0.375</v>
      </c>
      <c r="G27" s="55">
        <v>46092</v>
      </c>
      <c r="H27" s="56">
        <v>0.66666666666666663</v>
      </c>
      <c r="I27" s="57">
        <f t="shared" si="17"/>
        <v>0.29166666666666663</v>
      </c>
      <c r="J27" s="51">
        <f t="shared" si="18"/>
        <v>0.58333333333333326</v>
      </c>
      <c r="K27" s="58" t="s">
        <v>142</v>
      </c>
      <c r="L27" s="58" t="s">
        <v>143</v>
      </c>
      <c r="M27" s="59" t="s">
        <v>47</v>
      </c>
      <c r="N27" s="60" t="s">
        <v>144</v>
      </c>
      <c r="O27" s="120" t="s">
        <v>197</v>
      </c>
      <c r="P27" s="61">
        <v>17</v>
      </c>
      <c r="Q27" s="107"/>
      <c r="R27" s="107"/>
      <c r="S27" s="107" t="s">
        <v>29</v>
      </c>
      <c r="T27" s="61"/>
      <c r="U27" s="61"/>
      <c r="V27" s="61"/>
      <c r="W27" s="62"/>
    </row>
    <row r="28" spans="2:23" s="63" customFormat="1" ht="249" customHeight="1">
      <c r="B28" s="52">
        <v>21</v>
      </c>
      <c r="C28" s="53" t="s">
        <v>46</v>
      </c>
      <c r="D28" s="54">
        <v>3</v>
      </c>
      <c r="E28" s="55">
        <v>46093</v>
      </c>
      <c r="F28" s="56">
        <v>0.375</v>
      </c>
      <c r="G28" s="55">
        <v>46093</v>
      </c>
      <c r="H28" s="56">
        <v>0.68055555555555558</v>
      </c>
      <c r="I28" s="57">
        <f t="shared" ref="I28:I34" si="19">H28-F28</f>
        <v>0.30555555555555558</v>
      </c>
      <c r="J28" s="51">
        <f t="shared" ref="J28:J34" si="20">I28*D28</f>
        <v>0.91666666666666674</v>
      </c>
      <c r="K28" s="58" t="s">
        <v>145</v>
      </c>
      <c r="L28" s="58" t="s">
        <v>146</v>
      </c>
      <c r="M28" s="59" t="s">
        <v>47</v>
      </c>
      <c r="N28" s="60" t="s">
        <v>147</v>
      </c>
      <c r="O28" s="89">
        <v>3</v>
      </c>
      <c r="P28" s="76"/>
      <c r="Q28" s="106">
        <v>2</v>
      </c>
      <c r="R28" s="107" t="s">
        <v>29</v>
      </c>
      <c r="S28" s="107" t="s">
        <v>29</v>
      </c>
      <c r="T28" s="61"/>
      <c r="U28" s="61"/>
      <c r="V28" s="61"/>
      <c r="W28" s="83"/>
    </row>
    <row r="29" spans="2:23" s="63" customFormat="1" ht="144">
      <c r="B29" s="111">
        <v>22</v>
      </c>
      <c r="C29" s="53" t="s">
        <v>46</v>
      </c>
      <c r="D29" s="54">
        <v>3</v>
      </c>
      <c r="E29" s="55">
        <v>46097</v>
      </c>
      <c r="F29" s="56">
        <v>0.375</v>
      </c>
      <c r="G29" s="55">
        <v>46097</v>
      </c>
      <c r="H29" s="56">
        <v>0.68055555555555558</v>
      </c>
      <c r="I29" s="57">
        <f t="shared" si="19"/>
        <v>0.30555555555555558</v>
      </c>
      <c r="J29" s="51">
        <f t="shared" si="20"/>
        <v>0.91666666666666674</v>
      </c>
      <c r="K29" s="58" t="s">
        <v>148</v>
      </c>
      <c r="L29" s="58" t="s">
        <v>149</v>
      </c>
      <c r="M29" s="59" t="s">
        <v>47</v>
      </c>
      <c r="N29" s="60" t="s">
        <v>191</v>
      </c>
      <c r="O29" s="89">
        <v>3</v>
      </c>
      <c r="P29" s="61">
        <v>3</v>
      </c>
      <c r="Q29" s="106">
        <v>6</v>
      </c>
      <c r="R29" s="107" t="s">
        <v>29</v>
      </c>
      <c r="S29" s="107"/>
      <c r="T29" s="61"/>
      <c r="U29" s="61"/>
      <c r="V29" s="61"/>
      <c r="W29" s="119" t="s">
        <v>193</v>
      </c>
    </row>
    <row r="30" spans="2:23" s="63" customFormat="1" ht="96">
      <c r="B30" s="52">
        <v>23</v>
      </c>
      <c r="C30" s="53" t="s">
        <v>46</v>
      </c>
      <c r="D30" s="54">
        <v>1</v>
      </c>
      <c r="E30" s="55">
        <v>46098</v>
      </c>
      <c r="F30" s="56">
        <v>0.375</v>
      </c>
      <c r="G30" s="55">
        <v>46098</v>
      </c>
      <c r="H30" s="56">
        <v>0.68055555555555558</v>
      </c>
      <c r="I30" s="57">
        <f t="shared" si="19"/>
        <v>0.30555555555555558</v>
      </c>
      <c r="J30" s="51">
        <f t="shared" si="20"/>
        <v>0.30555555555555558</v>
      </c>
      <c r="K30" s="58" t="s">
        <v>57</v>
      </c>
      <c r="L30" s="58" t="s">
        <v>150</v>
      </c>
      <c r="M30" s="59" t="s">
        <v>47</v>
      </c>
      <c r="N30" s="60" t="s">
        <v>151</v>
      </c>
      <c r="O30" s="89">
        <v>1</v>
      </c>
      <c r="P30" s="61">
        <v>1</v>
      </c>
      <c r="Q30" s="106">
        <v>3</v>
      </c>
      <c r="R30" s="107"/>
      <c r="S30" s="107" t="s">
        <v>29</v>
      </c>
      <c r="T30" s="61">
        <v>4</v>
      </c>
      <c r="U30" s="61"/>
      <c r="V30" s="61"/>
      <c r="W30" s="62"/>
    </row>
    <row r="31" spans="2:23" s="63" customFormat="1" ht="72" customHeight="1">
      <c r="B31" s="52">
        <v>23</v>
      </c>
      <c r="C31" s="53" t="s">
        <v>46</v>
      </c>
      <c r="D31" s="54">
        <v>1</v>
      </c>
      <c r="E31" s="55">
        <v>46098</v>
      </c>
      <c r="F31" s="56">
        <v>0.375</v>
      </c>
      <c r="G31" s="55">
        <v>46098</v>
      </c>
      <c r="H31" s="56">
        <v>0.6875</v>
      </c>
      <c r="I31" s="57">
        <f t="shared" si="19"/>
        <v>0.3125</v>
      </c>
      <c r="J31" s="51">
        <f t="shared" si="20"/>
        <v>0.3125</v>
      </c>
      <c r="K31" s="101" t="s">
        <v>152</v>
      </c>
      <c r="L31" s="101" t="s">
        <v>153</v>
      </c>
      <c r="M31" s="59" t="s">
        <v>47</v>
      </c>
      <c r="N31" s="66" t="s">
        <v>154</v>
      </c>
      <c r="O31" s="89">
        <v>1</v>
      </c>
      <c r="P31" s="61"/>
      <c r="Q31" s="61"/>
      <c r="R31" s="61"/>
      <c r="S31" s="61"/>
      <c r="T31" s="61" t="s">
        <v>29</v>
      </c>
      <c r="U31" s="61"/>
      <c r="V31" s="104"/>
      <c r="W31" s="68"/>
    </row>
    <row r="32" spans="2:23" s="63" customFormat="1" ht="72" customHeight="1">
      <c r="B32" s="64" t="s">
        <v>29</v>
      </c>
      <c r="C32" s="53" t="s">
        <v>46</v>
      </c>
      <c r="D32" s="54">
        <v>1</v>
      </c>
      <c r="E32" s="55">
        <v>46091</v>
      </c>
      <c r="F32" s="56">
        <v>0.54166666666666663</v>
      </c>
      <c r="G32" s="55">
        <v>46091</v>
      </c>
      <c r="H32" s="56">
        <v>0.68055555555555558</v>
      </c>
      <c r="I32" s="57">
        <f t="shared" si="19"/>
        <v>0.13888888888888895</v>
      </c>
      <c r="J32" s="51">
        <f t="shared" si="20"/>
        <v>0.13888888888888895</v>
      </c>
      <c r="K32" s="101">
        <v>103</v>
      </c>
      <c r="L32" s="101" t="s">
        <v>155</v>
      </c>
      <c r="M32" s="59" t="s">
        <v>47</v>
      </c>
      <c r="N32" s="66" t="s">
        <v>173</v>
      </c>
      <c r="O32" s="89">
        <v>1</v>
      </c>
      <c r="P32" s="61">
        <v>3</v>
      </c>
      <c r="Q32" s="61">
        <v>3</v>
      </c>
      <c r="R32" s="61">
        <v>18</v>
      </c>
      <c r="S32" s="61"/>
      <c r="T32" s="61"/>
      <c r="U32" s="61"/>
      <c r="V32" s="104"/>
      <c r="W32" s="68"/>
    </row>
    <row r="33" spans="2:23" s="63" customFormat="1" ht="72" customHeight="1">
      <c r="B33" s="64">
        <v>24</v>
      </c>
      <c r="C33" s="53" t="s">
        <v>46</v>
      </c>
      <c r="D33" s="54">
        <v>1</v>
      </c>
      <c r="E33" s="55">
        <v>46091</v>
      </c>
      <c r="F33" s="56">
        <v>0.54166666666666663</v>
      </c>
      <c r="G33" s="55">
        <v>46091</v>
      </c>
      <c r="H33" s="56">
        <v>0.68055555555555558</v>
      </c>
      <c r="I33" s="57">
        <f t="shared" si="19"/>
        <v>0.13888888888888895</v>
      </c>
      <c r="J33" s="51">
        <f t="shared" si="20"/>
        <v>0.13888888888888895</v>
      </c>
      <c r="K33" s="101" t="s">
        <v>161</v>
      </c>
      <c r="L33" s="101" t="s">
        <v>156</v>
      </c>
      <c r="M33" s="59" t="s">
        <v>47</v>
      </c>
      <c r="N33" s="66" t="s">
        <v>174</v>
      </c>
      <c r="O33" s="89">
        <v>1</v>
      </c>
      <c r="P33" s="61">
        <v>3</v>
      </c>
      <c r="Q33" s="61">
        <v>2</v>
      </c>
      <c r="R33" s="61">
        <v>27</v>
      </c>
      <c r="S33" s="61"/>
      <c r="T33" s="61"/>
      <c r="U33" s="61"/>
      <c r="V33" s="104"/>
      <c r="W33" s="68"/>
    </row>
    <row r="34" spans="2:23" s="63" customFormat="1" ht="72" customHeight="1">
      <c r="B34" s="64">
        <v>25</v>
      </c>
      <c r="C34" s="53" t="s">
        <v>46</v>
      </c>
      <c r="D34" s="54">
        <v>1</v>
      </c>
      <c r="E34" s="55">
        <v>46091</v>
      </c>
      <c r="F34" s="56">
        <v>0.54166666666666663</v>
      </c>
      <c r="G34" s="55">
        <v>46091</v>
      </c>
      <c r="H34" s="56">
        <v>0.68055555555555558</v>
      </c>
      <c r="I34" s="57">
        <f t="shared" si="19"/>
        <v>0.13888888888888895</v>
      </c>
      <c r="J34" s="51">
        <f t="shared" si="20"/>
        <v>0.13888888888888895</v>
      </c>
      <c r="K34" s="101" t="s">
        <v>160</v>
      </c>
      <c r="L34" s="101" t="s">
        <v>157</v>
      </c>
      <c r="M34" s="59" t="s">
        <v>47</v>
      </c>
      <c r="N34" s="66" t="s">
        <v>162</v>
      </c>
      <c r="O34" s="89">
        <v>1</v>
      </c>
      <c r="P34" s="61"/>
      <c r="Q34" s="61">
        <v>3</v>
      </c>
      <c r="R34" s="61">
        <v>15</v>
      </c>
      <c r="S34" s="61"/>
      <c r="T34" s="61"/>
      <c r="U34" s="61"/>
      <c r="V34" s="104"/>
      <c r="W34" s="68"/>
    </row>
    <row r="35" spans="2:23" s="63" customFormat="1" ht="72" customHeight="1">
      <c r="B35" s="52">
        <v>26</v>
      </c>
      <c r="C35" s="53" t="s">
        <v>46</v>
      </c>
      <c r="D35" s="54">
        <v>1</v>
      </c>
      <c r="E35" s="55">
        <v>46098</v>
      </c>
      <c r="F35" s="56">
        <v>0.375</v>
      </c>
      <c r="G35" s="55">
        <v>46098</v>
      </c>
      <c r="H35" s="56">
        <v>0.6875</v>
      </c>
      <c r="I35" s="57">
        <f t="shared" ref="I35" si="21">H35-F35</f>
        <v>0.3125</v>
      </c>
      <c r="J35" s="51">
        <f t="shared" ref="J35" si="22">I35*D35</f>
        <v>0.3125</v>
      </c>
      <c r="K35" s="101" t="s">
        <v>159</v>
      </c>
      <c r="L35" s="101" t="s">
        <v>158</v>
      </c>
      <c r="M35" s="59" t="s">
        <v>47</v>
      </c>
      <c r="N35" s="66" t="s">
        <v>163</v>
      </c>
      <c r="O35" s="120" t="s">
        <v>197</v>
      </c>
      <c r="P35" s="61">
        <v>4</v>
      </c>
      <c r="Q35" s="61"/>
      <c r="R35" s="61"/>
      <c r="S35" s="61"/>
      <c r="T35" s="61"/>
      <c r="U35" s="61"/>
      <c r="V35" s="104"/>
      <c r="W35" s="68" t="s">
        <v>167</v>
      </c>
    </row>
    <row r="36" spans="2:23" s="72" customFormat="1" ht="54.95" customHeight="1" thickBot="1">
      <c r="B36" s="332" t="s">
        <v>198</v>
      </c>
      <c r="C36" s="333"/>
      <c r="D36" s="84">
        <f>SUM(D5:D35)</f>
        <v>58</v>
      </c>
      <c r="E36" s="69"/>
      <c r="F36" s="70"/>
      <c r="G36" s="69"/>
      <c r="H36" s="70"/>
      <c r="I36" s="85">
        <f>SUM(I7:I35)</f>
        <v>7.8298611111111134</v>
      </c>
      <c r="J36" s="85">
        <f>SUM(J7:J35)</f>
        <v>15.072916666666668</v>
      </c>
      <c r="K36" s="86"/>
      <c r="L36" s="87"/>
      <c r="M36" s="86"/>
      <c r="N36" s="88"/>
      <c r="O36" s="84">
        <f t="shared" ref="O36:V36" si="23">SUM(O5:O35)</f>
        <v>44</v>
      </c>
      <c r="P36" s="84">
        <f t="shared" si="23"/>
        <v>91</v>
      </c>
      <c r="Q36" s="84">
        <f t="shared" si="23"/>
        <v>51</v>
      </c>
      <c r="R36" s="84">
        <f t="shared" si="23"/>
        <v>139</v>
      </c>
      <c r="S36" s="84">
        <f t="shared" si="23"/>
        <v>11</v>
      </c>
      <c r="T36" s="84">
        <f t="shared" si="23"/>
        <v>12</v>
      </c>
      <c r="U36" s="84">
        <f t="shared" si="23"/>
        <v>0</v>
      </c>
      <c r="V36" s="84">
        <f t="shared" si="23"/>
        <v>0</v>
      </c>
      <c r="W36" s="71"/>
    </row>
    <row r="37" spans="2:23" ht="9.9499999999999993" customHeight="1"/>
    <row r="39" spans="2:23" ht="32.25" thickBot="1">
      <c r="B39" s="332" t="s">
        <v>68</v>
      </c>
      <c r="C39" s="333"/>
      <c r="D39" s="84">
        <f>D36</f>
        <v>58</v>
      </c>
      <c r="E39" s="69"/>
      <c r="F39" s="70"/>
      <c r="G39" s="69"/>
      <c r="H39" s="70"/>
      <c r="I39" s="85" t="s">
        <v>29</v>
      </c>
      <c r="J39" s="85" t="s">
        <v>29</v>
      </c>
      <c r="K39" s="86"/>
      <c r="L39" s="87"/>
      <c r="M39" s="86"/>
      <c r="N39" s="88"/>
      <c r="O39" s="84">
        <f t="shared" ref="O39:V39" si="24">O36</f>
        <v>44</v>
      </c>
      <c r="P39" s="84">
        <f t="shared" si="24"/>
        <v>91</v>
      </c>
      <c r="Q39" s="84">
        <f t="shared" si="24"/>
        <v>51</v>
      </c>
      <c r="R39" s="84">
        <f t="shared" si="24"/>
        <v>139</v>
      </c>
      <c r="S39" s="84">
        <f t="shared" si="24"/>
        <v>11</v>
      </c>
      <c r="T39" s="84">
        <f t="shared" si="24"/>
        <v>12</v>
      </c>
      <c r="U39" s="84">
        <f t="shared" si="24"/>
        <v>0</v>
      </c>
      <c r="V39" s="84">
        <f t="shared" si="24"/>
        <v>0</v>
      </c>
      <c r="W39" s="71"/>
    </row>
    <row r="41" spans="2:23" ht="17.25" thickBot="1"/>
    <row r="42" spans="2:23" ht="51" customHeight="1" thickBot="1">
      <c r="B42" s="325" t="s">
        <v>201</v>
      </c>
      <c r="C42" s="326"/>
      <c r="D42" s="326"/>
      <c r="E42" s="326"/>
      <c r="F42" s="326"/>
      <c r="G42" s="326"/>
      <c r="H42" s="326"/>
      <c r="I42" s="323">
        <f>O39-D39</f>
        <v>-14</v>
      </c>
      <c r="J42" s="323"/>
      <c r="K42" s="323"/>
      <c r="L42" s="323"/>
      <c r="M42" s="323"/>
      <c r="N42" s="323"/>
      <c r="O42" s="323"/>
      <c r="P42" s="323"/>
      <c r="Q42" s="323"/>
      <c r="R42" s="323"/>
      <c r="S42" s="323"/>
      <c r="T42" s="323"/>
      <c r="U42" s="323"/>
      <c r="V42" s="324"/>
      <c r="W42" s="123"/>
    </row>
    <row r="43" spans="2:23" ht="51" customHeight="1" thickBot="1">
      <c r="B43" s="325" t="s">
        <v>202</v>
      </c>
      <c r="C43" s="326"/>
      <c r="D43" s="326"/>
      <c r="E43" s="326"/>
      <c r="F43" s="326"/>
      <c r="G43" s="326"/>
      <c r="H43" s="326"/>
      <c r="I43" s="327">
        <f>I42*224490</f>
        <v>-3142860</v>
      </c>
      <c r="J43" s="327"/>
      <c r="K43" s="327"/>
      <c r="L43" s="327"/>
      <c r="M43" s="327"/>
      <c r="N43" s="327"/>
      <c r="O43" s="327"/>
      <c r="P43" s="327"/>
      <c r="Q43" s="327"/>
      <c r="R43" s="327"/>
      <c r="S43" s="327"/>
      <c r="T43" s="327"/>
      <c r="U43" s="327"/>
      <c r="V43" s="328"/>
      <c r="W43" s="71"/>
    </row>
    <row r="46" spans="2:23" ht="24">
      <c r="N46" s="60" t="s">
        <v>29</v>
      </c>
    </row>
    <row r="48" spans="2:23" ht="24">
      <c r="N48" s="60" t="s">
        <v>88</v>
      </c>
    </row>
  </sheetData>
  <mergeCells count="18">
    <mergeCell ref="W2:W3"/>
    <mergeCell ref="B2:B3"/>
    <mergeCell ref="C2:C3"/>
    <mergeCell ref="D2:D3"/>
    <mergeCell ref="E2:F2"/>
    <mergeCell ref="G2:H2"/>
    <mergeCell ref="K2:K3"/>
    <mergeCell ref="L2:L3"/>
    <mergeCell ref="M2:M3"/>
    <mergeCell ref="N2:N3"/>
    <mergeCell ref="O2:O3"/>
    <mergeCell ref="I42:V42"/>
    <mergeCell ref="B42:H42"/>
    <mergeCell ref="B43:H43"/>
    <mergeCell ref="I43:V43"/>
    <mergeCell ref="P2:V2"/>
    <mergeCell ref="B36:C36"/>
    <mergeCell ref="B39:C39"/>
  </mergeCells>
  <phoneticPr fontId="10" type="noConversion"/>
  <pageMargins left="0.7" right="0.7" top="0.75" bottom="0.75" header="0.3" footer="0.3"/>
  <pageSetup paperSize="9" scale="36" orientation="landscape"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25922-291F-41C3-98DC-94A22E11DFA4}">
  <dimension ref="A3:AX32"/>
  <sheetViews>
    <sheetView topLeftCell="A25" zoomScale="115" zoomScaleNormal="115" workbookViewId="0">
      <selection activeCell="A17" sqref="A17"/>
    </sheetView>
  </sheetViews>
  <sheetFormatPr defaultRowHeight="16.5"/>
  <sheetData>
    <row r="3" spans="1:50">
      <c r="A3" s="90" t="s">
        <v>59</v>
      </c>
      <c r="C3" t="s">
        <v>29</v>
      </c>
      <c r="H3" s="90" t="s">
        <v>61</v>
      </c>
      <c r="O3" t="s">
        <v>63</v>
      </c>
      <c r="V3" t="s">
        <v>69</v>
      </c>
      <c r="AC3" t="s">
        <v>72</v>
      </c>
      <c r="AJ3" t="s">
        <v>73</v>
      </c>
      <c r="AQ3" t="s">
        <v>84</v>
      </c>
      <c r="AX3" t="s">
        <v>85</v>
      </c>
    </row>
    <row r="32" spans="1:50">
      <c r="A32" t="s">
        <v>62</v>
      </c>
      <c r="H32" t="s">
        <v>60</v>
      </c>
      <c r="O32" t="s">
        <v>70</v>
      </c>
      <c r="V32" t="s">
        <v>71</v>
      </c>
      <c r="AC32" t="s">
        <v>74</v>
      </c>
      <c r="AJ32" t="s">
        <v>75</v>
      </c>
      <c r="AQ32" t="s">
        <v>86</v>
      </c>
      <c r="AX32" t="s">
        <v>87</v>
      </c>
    </row>
  </sheetData>
  <phoneticPr fontId="10" type="noConversion"/>
  <pageMargins left="0.7" right="0.7" top="0.75" bottom="0.75" header="0.3" footer="0.3"/>
  <pageSetup paperSize="9" orientation="portrait" horizontalDpi="4294967293"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PR당사안</vt:lpstr>
      <vt:lpstr>내역서(표준단가)</vt:lpstr>
      <vt:lpstr>사택 관리소 접수(변환_관리소 서명 확인)</vt:lpstr>
      <vt:lpstr>시중가 근거서류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2025-04-07T00:46:07Z</cp:lastPrinted>
  <dcterms:created xsi:type="dcterms:W3CDTF">2020-09-15T23:52:51Z</dcterms:created>
  <dcterms:modified xsi:type="dcterms:W3CDTF">2026-04-23T03:18:24Z</dcterms:modified>
</cp:coreProperties>
</file>
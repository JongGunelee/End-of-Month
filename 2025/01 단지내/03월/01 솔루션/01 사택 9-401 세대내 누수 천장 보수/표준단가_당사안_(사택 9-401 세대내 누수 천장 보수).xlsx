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6 사택 9-401 세대내 누수 천장 보수\"/>
    </mc:Choice>
  </mc:AlternateContent>
  <xr:revisionPtr revIDLastSave="0" documentId="13_ncr:1_{C9E45C91-41B7-4AD4-BA0F-6B77A6329870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갑지" sheetId="5" r:id="rId1"/>
    <sheet name="내역서(표준단가)" sheetId="4" r:id="rId2"/>
    <sheet name="시중가 근거서류" sheetId="10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A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7" i="4"/>
  <c r="A7" i="4"/>
  <c r="A4" i="1" s="1"/>
  <c r="U10" i="4"/>
  <c r="S10" i="4"/>
  <c r="Q10" i="4"/>
  <c r="O10" i="4"/>
  <c r="J10" i="4"/>
  <c r="U9" i="4"/>
  <c r="S9" i="4"/>
  <c r="Q9" i="4"/>
  <c r="O9" i="4"/>
  <c r="A9" i="4"/>
  <c r="U8" i="4"/>
  <c r="S8" i="4"/>
  <c r="Q8" i="4"/>
  <c r="O8" i="4"/>
  <c r="A8" i="4"/>
  <c r="A5" i="1" s="1"/>
  <c r="V9" i="4" l="1"/>
  <c r="V8" i="4"/>
  <c r="V10" i="4"/>
  <c r="F2" i="1" l="1"/>
  <c r="E2" i="1"/>
  <c r="D2" i="1"/>
  <c r="C2" i="1"/>
  <c r="B2" i="1"/>
  <c r="A11" i="4" l="1"/>
  <c r="A6" i="4"/>
  <c r="A3" i="1" s="1"/>
  <c r="A5" i="4"/>
  <c r="A2" i="1" s="1"/>
  <c r="U6" i="4" l="1"/>
  <c r="S6" i="4"/>
  <c r="Q6" i="4"/>
  <c r="O6" i="4"/>
  <c r="U5" i="4"/>
  <c r="S5" i="4"/>
  <c r="Q5" i="4"/>
  <c r="O5" i="4"/>
  <c r="V6" i="4" l="1"/>
  <c r="V5" i="4"/>
  <c r="U11" i="4" l="1"/>
  <c r="S11" i="4"/>
  <c r="Q11" i="4"/>
  <c r="O11" i="4"/>
  <c r="V11" i="4" l="1"/>
  <c r="U12" i="4"/>
  <c r="Q12" i="4"/>
  <c r="S12" i="4" l="1"/>
  <c r="V12" i="4" l="1"/>
  <c r="F18" i="5" l="1"/>
  <c r="O12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<sst xmlns="http://schemas.openxmlformats.org/spreadsheetml/2006/main" count="154" uniqueCount="128">
  <si>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</si>
  <si>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</si>
  <si>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</si>
  <si>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</si>
  <si>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</si>
  <si>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</si>
  <si>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</si>
  <si>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</si>
  <si>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</si>
  <si>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</si>
  <si>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</si>
  <si>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</si>
  <si>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</si>
  <si>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</si>
  <si>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</si>
  <si>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</si>
  <si>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</si>
  <si>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</si>
  <si>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</si>
  <si>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</si>
  <si>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</si>
  <si>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</si>
  <si>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</si>
  <si>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</si>
  <si>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</si>
  <si>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</si>
  <si>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</si>
  <si>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</si>
  <si>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</si>
  <si>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</si>
  <si>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</si>
  <si>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</si>
  <si>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</si>
  <si>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</si>
  <si>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</si>
  <si>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</si>
  <si>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</si>
  <si>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</si>
  <si>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</si>
  <si>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</si>
  <si>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</si>
  <si>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</si>
  <si>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</si>
  <si>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</si>
  <si>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</si>
  <si>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</si>
  <si>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</si>
  <si>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</si>
  <si>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</si>
  <si>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</si>
  <si>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</si>
  <si>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</si>
  <si>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</si>
  <si>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</si>
  <si>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</si>
  <si>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</si>
  <si>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</si>
  <si>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</si>
  <si>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</si>
  <si>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</si>
  <si>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</si>
  <si>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</si>
  <si>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</si>
  <si>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</si>
  <si>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</si>
  <si>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</si>
  <si>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</si>
  <si>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</si>
  <si>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</si>
  <si>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</si>
  <si>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</si>
  <si>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</si>
  <si>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</si>
  <si>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</si>
  <si>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</si>
  <si>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</si>
  <si>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</si>
  <si>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</si>
  <si>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</si>
  <si>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</si>
  <si>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</si>
  <si>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</si>
  <si>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</si>
  <si>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</si>
  <si>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</si>
  <si>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</si>
  <si>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</si>
  <si>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</si>
  <si>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</si>
  <si>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</si>
  <si>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</si>
  <si>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인</t>
    <phoneticPr fontId="5" type="noConversion"/>
  </si>
  <si>
    <t>L002</t>
  </si>
  <si>
    <t>보통인부</t>
  </si>
  <si>
    <t>합지벽지(LG하우시스 휘앙세)</t>
    <phoneticPr fontId="5" type="noConversion"/>
  </si>
  <si>
    <t>영선,건축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</si>
  <si>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</si>
  <si>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</si>
  <si>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</si>
  <si>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</si>
  <si>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</si>
  <si>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</si>
  <si>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</si>
  <si>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</si>
  <si>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</si>
  <si>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</si>
  <si>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</si>
  <si>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</si>
  <si>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</si>
  <si>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</si>
  <si>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</si>
  <si>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</si>
  <si>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</si>
  <si>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</si>
  <si>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</si>
  <si>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</si>
  <si>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</si>
  <si>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</si>
  <si>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</si>
  <si>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L003</t>
    <phoneticPr fontId="5" type="noConversion"/>
  </si>
  <si>
    <t>특별인부</t>
    <phoneticPr fontId="5" type="noConversion"/>
  </si>
  <si>
    <t xml:space="preserve"> 공사명 : 사택 9-401 누수에의한 천장보수</t>
    <phoneticPr fontId="11" type="noConversion"/>
  </si>
  <si>
    <t>M011800900100101</t>
  </si>
  <si>
    <t>석고평보드</t>
  </si>
  <si>
    <t>9.5T× 900×1,800</t>
  </si>
  <si>
    <t>매</t>
  </si>
  <si>
    <t>천장 석고보드 철거 및 교체, 최소인건비 적용</t>
    <phoneticPr fontId="5" type="noConversion"/>
  </si>
  <si>
    <t xml:space="preserve"> 견적일 : 2024 년  12월  12일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</si>
</sst>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</fills>
  <borders count="3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9" fillId="0" borderId="0" xfId="17" applyFont="1">
      <alignment vertical="center"/>
    </xf>
    <xf numFmtId="0" fontId="28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177" fontId="30" fillId="6" borderId="25" xfId="18" applyFont="1" applyFill="1" applyBorder="1" applyAlignment="1">
      <alignment horizontal="center" vertical="center"/>
    </xf>
    <xf numFmtId="177" fontId="30" fillId="6" borderId="35" xfId="18" applyFont="1" applyFill="1" applyBorder="1" applyAlignment="1">
      <alignment horizontal="center" vertical="center"/>
    </xf>
    <xf numFmtId="177" fontId="30" fillId="6" borderId="26" xfId="18" applyFont="1" applyFill="1" applyBorder="1" applyAlignment="1">
      <alignment horizontal="center" vertical="center"/>
    </xf>
    <xf numFmtId="0" fontId="25" fillId="10" borderId="28" xfId="18" applyNumberFormat="1" applyFont="1" applyFill="1" applyBorder="1" applyAlignment="1">
      <alignment horizontal="center" vertical="center"/>
    </xf>
    <xf numFmtId="177" fontId="25" fillId="0" borderId="36" xfId="18" applyFont="1" applyFill="1" applyBorder="1" applyAlignment="1">
      <alignment horizontal="center" vertical="center" shrinkToFit="1"/>
    </xf>
    <xf numFmtId="177" fontId="31" fillId="0" borderId="36" xfId="18" applyFont="1" applyBorder="1" applyAlignment="1">
      <alignment horizontal="center" vertical="center"/>
    </xf>
    <xf numFmtId="0" fontId="31" fillId="10" borderId="29" xfId="17" applyFont="1" applyFill="1" applyBorder="1">
      <alignment vertical="center"/>
    </xf>
    <xf numFmtId="0" fontId="27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 applyAlignment="1">
      <alignment horizontal="center"/>
    </xf>
    <xf numFmtId="184" fontId="19" fillId="5" borderId="3" xfId="0" applyNumberFormat="1" applyFont="1" applyFill="1" applyBorder="1" applyAlignment="1">
      <alignment horizontal="right" vertical="center" wrapText="1"/>
    </xf>
    <xf numFmtId="9" fontId="32" fillId="0" borderId="3" xfId="0" applyNumberFormat="1" applyFont="1" applyBorder="1" applyAlignment="1">
      <alignment horizontal="center"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12" fillId="10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185" fontId="19" fillId="5" borderId="3" xfId="0" applyNumberFormat="1" applyFont="1" applyFill="1" applyBorder="1" applyAlignment="1">
      <alignment horizontal="right" vertical="center" wrapText="1"/>
    </xf>
    <xf numFmtId="184" fontId="19" fillId="11" borderId="3" xfId="0" applyNumberFormat="1" applyFont="1" applyFill="1" applyBorder="1" applyAlignment="1">
      <alignment horizontal="right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183" fontId="19" fillId="0" borderId="3" xfId="1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49" fontId="33" fillId="7" borderId="0" xfId="0" applyNumberFormat="1" applyFont="1" applyFill="1" applyAlignment="1">
      <alignment horizontal="center" vertical="center"/>
    </xf>
    <xf numFmtId="49" fontId="33" fillId="5" borderId="0" xfId="0" applyNumberFormat="1" applyFont="1" applyFill="1" applyAlignment="1">
      <alignment horizontal="center" vertical="center"/>
    </xf>
    <xf numFmtId="177" fontId="34" fillId="5" borderId="0" xfId="1" applyFont="1" applyFill="1" applyBorder="1" applyAlignment="1">
      <alignment horizontal="center" vertical="center" wrapText="1"/>
    </xf>
    <xf numFmtId="49" fontId="33" fillId="5" borderId="3" xfId="0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8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3" sqref="I13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1" t="s">
        <v>6</v>
      </c>
      <c r="B2" s="131"/>
      <c r="C2" s="131"/>
      <c r="D2" s="131"/>
      <c r="E2" s="131"/>
      <c r="F2" s="131"/>
      <c r="G2" s="131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34" t="s">
        <v>121</v>
      </c>
      <c r="B7" s="135"/>
      <c r="C7" s="136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34" t="s">
        <v>127</v>
      </c>
      <c r="B9" s="135"/>
      <c r="C9" s="136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32"/>
      <c r="B11" s="133"/>
      <c r="C11" s="133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육십팔만오천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30060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537258.08000000007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567318.08000000007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24176.613600000004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19045.798936000003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2466.4309622120004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5426.3066080000008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19126.387648000004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16622.419744000003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31206.101874910604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118070.05937312261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685388.13937312271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685000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70" zoomScaleNormal="70" workbookViewId="0">
      <selection activeCell="V12" sqref="V12"/>
    </sheetView>
  </sheetViews>
  <sheetFormatPr defaultColWidth="9" defaultRowHeight="12.75"/>
  <cols>
    <col min="1" max="1" width="19.375" style="114" bestFit="1" customWidth="1"/>
    <col min="2" max="5" width="18.5" style="114" hidden="1" customWidth="1"/>
    <col min="6" max="6" width="18.375" style="82" hidden="1" customWidth="1"/>
    <col min="7" max="7" width="17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6.375" style="82" bestFit="1" customWidth="1"/>
    <col min="12" max="12" width="5.25" style="82" bestFit="1" customWidth="1"/>
    <col min="13" max="13" width="8.125" style="82" bestFit="1" customWidth="1"/>
    <col min="14" max="14" width="10.25" style="82" bestFit="1" customWidth="1"/>
    <col min="15" max="15" width="15.5" style="82" bestFit="1" customWidth="1"/>
    <col min="16" max="16" width="10.2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>
      <c r="A1" s="137"/>
      <c r="B1" s="137"/>
      <c r="C1" s="137"/>
      <c r="D1" s="137"/>
      <c r="E1" s="137"/>
      <c r="F1" s="137"/>
      <c r="G1" s="137"/>
      <c r="H1" s="137"/>
      <c r="I1" s="137"/>
      <c r="N1" s="83"/>
      <c r="O1" s="81" t="s">
        <v>99</v>
      </c>
      <c r="Q1" s="81" t="s">
        <v>99</v>
      </c>
      <c r="S1" s="81" t="s">
        <v>99</v>
      </c>
      <c r="U1" s="81" t="s">
        <v>99</v>
      </c>
    </row>
    <row r="2" spans="1:24" ht="19.899999999999999" customHeight="1" thickBot="1">
      <c r="A2" s="137"/>
      <c r="B2" s="137"/>
      <c r="C2" s="137"/>
      <c r="D2" s="137"/>
      <c r="E2" s="137"/>
      <c r="F2" s="137"/>
      <c r="G2" s="137"/>
      <c r="H2" s="137"/>
      <c r="I2" s="137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>
      <c r="A3" s="86"/>
      <c r="B3" s="86"/>
      <c r="C3" s="86"/>
      <c r="D3" s="86"/>
      <c r="E3" s="86"/>
      <c r="F3" s="86" t="s">
        <v>100</v>
      </c>
      <c r="G3" s="87"/>
      <c r="H3" s="87"/>
      <c r="I3" s="87"/>
      <c r="J3" s="146" t="s">
        <v>101</v>
      </c>
      <c r="K3" s="146"/>
      <c r="L3" s="146" t="s">
        <v>52</v>
      </c>
      <c r="M3" s="146" t="s">
        <v>5</v>
      </c>
      <c r="N3" s="142" t="s">
        <v>102</v>
      </c>
      <c r="O3" s="142"/>
      <c r="P3" s="142" t="s">
        <v>103</v>
      </c>
      <c r="Q3" s="142"/>
      <c r="R3" s="143" t="s">
        <v>104</v>
      </c>
      <c r="S3" s="143"/>
      <c r="T3" s="143" t="s">
        <v>105</v>
      </c>
      <c r="U3" s="143"/>
      <c r="V3" s="144" t="s">
        <v>106</v>
      </c>
      <c r="W3" s="140" t="s">
        <v>107</v>
      </c>
      <c r="X3" s="138" t="s">
        <v>46</v>
      </c>
    </row>
    <row r="4" spans="1:24" ht="19.899999999999999" customHeight="1">
      <c r="A4" s="88" t="s">
        <v>108</v>
      </c>
      <c r="B4" s="89"/>
      <c r="C4" s="89"/>
      <c r="D4" s="89"/>
      <c r="E4" s="89"/>
      <c r="F4" s="90" t="s">
        <v>109</v>
      </c>
      <c r="G4" s="90" t="s">
        <v>110</v>
      </c>
      <c r="H4" s="90" t="s">
        <v>111</v>
      </c>
      <c r="I4" s="90" t="s">
        <v>112</v>
      </c>
      <c r="J4" s="91" t="s">
        <v>113</v>
      </c>
      <c r="K4" s="91" t="s">
        <v>114</v>
      </c>
      <c r="L4" s="147"/>
      <c r="M4" s="147"/>
      <c r="N4" s="92" t="s">
        <v>115</v>
      </c>
      <c r="O4" s="93" t="s">
        <v>116</v>
      </c>
      <c r="P4" s="92" t="s">
        <v>117</v>
      </c>
      <c r="Q4" s="93" t="s">
        <v>116</v>
      </c>
      <c r="R4" s="93" t="s">
        <v>118</v>
      </c>
      <c r="S4" s="93" t="s">
        <v>116</v>
      </c>
      <c r="T4" s="93" t="s">
        <v>118</v>
      </c>
      <c r="U4" s="93" t="s">
        <v>116</v>
      </c>
      <c r="V4" s="145"/>
      <c r="W4" s="141"/>
      <c r="X4" s="139"/>
    </row>
    <row r="5" spans="1:24" s="104" customFormat="1" ht="19.899999999999999" customHeight="1">
      <c r="A5" s="94" t="str">
        <f t="shared" ref="A5:A11" si="0">F5&amp;G5&amp;H5&amp;I5</f>
        <v>D02642</v>
      </c>
      <c r="B5" s="95"/>
      <c r="C5" s="95"/>
      <c r="D5" s="95"/>
      <c r="E5" s="95"/>
      <c r="F5" s="97" t="s">
        <v>86</v>
      </c>
      <c r="G5" s="96"/>
      <c r="H5" s="96"/>
      <c r="I5" s="97"/>
      <c r="J5" s="98" t="s">
        <v>87</v>
      </c>
      <c r="K5" s="98" t="s">
        <v>84</v>
      </c>
      <c r="L5" s="98" t="s">
        <v>85</v>
      </c>
      <c r="M5" s="99">
        <v>20</v>
      </c>
      <c r="N5" s="100"/>
      <c r="O5" s="101">
        <f t="shared" ref="O5:O7" si="1">SUM(N5:N5)*M5*$O$2</f>
        <v>0</v>
      </c>
      <c r="P5" s="116">
        <v>8698</v>
      </c>
      <c r="Q5" s="101">
        <f t="shared" ref="Q5:Q6" si="2">(P5*M5)*$Q$2</f>
        <v>145256.6</v>
      </c>
      <c r="R5" s="102"/>
      <c r="S5" s="101">
        <f t="shared" ref="S5:S6" si="3">R5*M5*$S$2</f>
        <v>0</v>
      </c>
      <c r="T5" s="102"/>
      <c r="U5" s="101">
        <f t="shared" ref="U5:U6" si="4">T5*M5*$U$2</f>
        <v>0</v>
      </c>
      <c r="V5" s="102">
        <f t="shared" ref="V5:V6" si="5">SUM(O5+Q5)+S5+U5</f>
        <v>145256.6</v>
      </c>
      <c r="W5" s="99"/>
      <c r="X5" s="103"/>
    </row>
    <row r="6" spans="1:24" s="104" customFormat="1" ht="19.899999999999999" customHeight="1">
      <c r="A6" s="94" t="str">
        <f t="shared" si="0"/>
        <v>D02873</v>
      </c>
      <c r="B6" s="95"/>
      <c r="C6" s="95"/>
      <c r="D6" s="95"/>
      <c r="E6" s="95"/>
      <c r="F6" s="97" t="s">
        <v>88</v>
      </c>
      <c r="G6" s="96"/>
      <c r="H6" s="96"/>
      <c r="I6" s="97"/>
      <c r="J6" s="98" t="s">
        <v>89</v>
      </c>
      <c r="K6" s="98" t="s">
        <v>90</v>
      </c>
      <c r="L6" s="98" t="s">
        <v>85</v>
      </c>
      <c r="M6" s="99">
        <v>16</v>
      </c>
      <c r="N6" s="100"/>
      <c r="O6" s="101">
        <f t="shared" si="1"/>
        <v>0</v>
      </c>
      <c r="P6" s="116">
        <v>1618</v>
      </c>
      <c r="Q6" s="101">
        <f t="shared" si="2"/>
        <v>21616.48</v>
      </c>
      <c r="R6" s="102"/>
      <c r="S6" s="101">
        <f t="shared" si="3"/>
        <v>0</v>
      </c>
      <c r="T6" s="102"/>
      <c r="U6" s="101">
        <f t="shared" si="4"/>
        <v>0</v>
      </c>
      <c r="V6" s="102">
        <f t="shared" si="5"/>
        <v>21616.48</v>
      </c>
      <c r="W6" s="99"/>
      <c r="X6" s="103"/>
    </row>
    <row r="7" spans="1:24" s="104" customFormat="1" ht="19.899999999999999" customHeight="1">
      <c r="A7" s="94" t="str">
        <f t="shared" si="0"/>
        <v>M011800900100101</v>
      </c>
      <c r="B7" s="95"/>
      <c r="C7" s="95"/>
      <c r="D7" s="95"/>
      <c r="E7" s="95"/>
      <c r="F7" s="97"/>
      <c r="G7" s="96"/>
      <c r="H7" s="127" t="s">
        <v>122</v>
      </c>
      <c r="I7" s="97"/>
      <c r="J7" s="130" t="s">
        <v>123</v>
      </c>
      <c r="K7" s="130" t="s">
        <v>124</v>
      </c>
      <c r="L7" s="128" t="s">
        <v>125</v>
      </c>
      <c r="M7" s="99">
        <v>2</v>
      </c>
      <c r="N7" s="129">
        <v>5000</v>
      </c>
      <c r="O7" s="101">
        <f t="shared" si="1"/>
        <v>8350</v>
      </c>
      <c r="P7" s="116"/>
      <c r="Q7" s="101"/>
      <c r="R7" s="102"/>
      <c r="S7" s="101"/>
      <c r="T7" s="102"/>
      <c r="U7" s="101"/>
      <c r="V7" s="102"/>
      <c r="W7" s="99"/>
      <c r="X7" s="103"/>
    </row>
    <row r="8" spans="1:24" s="104" customFormat="1" ht="19.899999999999999" customHeight="1">
      <c r="A8" s="94" t="str">
        <f t="shared" ref="A8:A9" si="6">F8&amp;G8&amp;H8&amp;I8</f>
        <v>L003</v>
      </c>
      <c r="B8" s="95"/>
      <c r="C8" s="95"/>
      <c r="D8" s="95"/>
      <c r="E8" s="95"/>
      <c r="F8" s="97"/>
      <c r="G8" s="96"/>
      <c r="H8" s="96"/>
      <c r="I8" s="97" t="s">
        <v>119</v>
      </c>
      <c r="J8" s="98" t="s">
        <v>126</v>
      </c>
      <c r="K8" s="98" t="s">
        <v>120</v>
      </c>
      <c r="L8" s="105" t="s">
        <v>91</v>
      </c>
      <c r="M8" s="99">
        <v>1</v>
      </c>
      <c r="N8" s="100"/>
      <c r="O8" s="101">
        <f t="shared" ref="O8:O10" si="7">SUM(N8:N8)*M8*$O$2</f>
        <v>0</v>
      </c>
      <c r="P8" s="117">
        <v>208527</v>
      </c>
      <c r="Q8" s="101">
        <f t="shared" ref="Q8:Q9" si="8">M8*P8</f>
        <v>208527</v>
      </c>
      <c r="R8" s="102"/>
      <c r="S8" s="101">
        <f t="shared" ref="S8:S10" si="9">R8*M8*$S$2</f>
        <v>0</v>
      </c>
      <c r="T8" s="102"/>
      <c r="U8" s="101">
        <f t="shared" ref="U8:U10" si="10">T8*M8*$U$2</f>
        <v>0</v>
      </c>
      <c r="V8" s="102">
        <f t="shared" ref="V8:V10" si="11">SUM(O8+Q8)+S8+U8</f>
        <v>208527</v>
      </c>
      <c r="W8" s="99"/>
      <c r="X8" s="103"/>
    </row>
    <row r="9" spans="1:24" s="104" customFormat="1" ht="19.899999999999999" customHeight="1">
      <c r="A9" s="94" t="str">
        <f t="shared" si="6"/>
        <v>L002</v>
      </c>
      <c r="B9" s="95"/>
      <c r="C9" s="95"/>
      <c r="D9" s="95"/>
      <c r="E9" s="95"/>
      <c r="F9" s="97"/>
      <c r="G9" s="96"/>
      <c r="H9" s="96"/>
      <c r="I9" s="97" t="s">
        <v>92</v>
      </c>
      <c r="J9" s="98" t="s">
        <v>126</v>
      </c>
      <c r="K9" s="98" t="s">
        <v>93</v>
      </c>
      <c r="L9" s="105" t="s">
        <v>91</v>
      </c>
      <c r="M9" s="99">
        <v>1</v>
      </c>
      <c r="N9" s="100"/>
      <c r="O9" s="101">
        <f t="shared" si="7"/>
        <v>0</v>
      </c>
      <c r="P9" s="117">
        <v>161858</v>
      </c>
      <c r="Q9" s="101">
        <f t="shared" si="8"/>
        <v>161858</v>
      </c>
      <c r="R9" s="102"/>
      <c r="S9" s="101">
        <f t="shared" si="9"/>
        <v>0</v>
      </c>
      <c r="T9" s="102"/>
      <c r="U9" s="101">
        <f t="shared" si="10"/>
        <v>0</v>
      </c>
      <c r="V9" s="102">
        <f t="shared" si="11"/>
        <v>161858</v>
      </c>
      <c r="W9" s="99"/>
      <c r="X9" s="103"/>
    </row>
    <row r="10" spans="1:24" s="104" customFormat="1" ht="19.899999999999999" customHeight="1">
      <c r="A10" s="94">
        <v>999999</v>
      </c>
      <c r="B10" s="95"/>
      <c r="C10" s="95"/>
      <c r="D10" s="95"/>
      <c r="E10" s="95"/>
      <c r="F10" s="97"/>
      <c r="G10" s="96"/>
      <c r="H10" s="96"/>
      <c r="I10" s="97"/>
      <c r="J10" s="98" t="str">
        <f>"시중가_"&amp;K10&amp;")"</f>
        <v>시중가_합지벽지(LG하우시스 휘앙세))</v>
      </c>
      <c r="K10" s="98" t="s">
        <v>94</v>
      </c>
      <c r="L10" s="98" t="s">
        <v>85</v>
      </c>
      <c r="M10" s="99">
        <v>20</v>
      </c>
      <c r="N10" s="100">
        <v>1300</v>
      </c>
      <c r="O10" s="101">
        <f t="shared" si="7"/>
        <v>21710</v>
      </c>
      <c r="P10" s="106"/>
      <c r="Q10" s="101">
        <f t="shared" ref="Q10" si="12">(P10*M10)*$Q$2</f>
        <v>0</v>
      </c>
      <c r="R10" s="102"/>
      <c r="S10" s="101">
        <f t="shared" si="9"/>
        <v>0</v>
      </c>
      <c r="T10" s="102"/>
      <c r="U10" s="101">
        <f t="shared" si="10"/>
        <v>0</v>
      </c>
      <c r="V10" s="102">
        <f t="shared" si="11"/>
        <v>21710</v>
      </c>
      <c r="W10" s="99"/>
      <c r="X10" s="103"/>
    </row>
    <row r="11" spans="1:24" s="104" customFormat="1" ht="19.899999999999999" customHeight="1">
      <c r="A11" s="94" t="str">
        <f t="shared" si="0"/>
        <v/>
      </c>
      <c r="B11" s="95"/>
      <c r="C11" s="95"/>
      <c r="D11" s="95"/>
      <c r="E11" s="95"/>
      <c r="F11" s="97"/>
      <c r="G11" s="96"/>
      <c r="H11" s="96"/>
      <c r="I11" s="97"/>
      <c r="J11" s="118"/>
      <c r="K11" s="118"/>
      <c r="L11" s="119"/>
      <c r="M11" s="120"/>
      <c r="N11" s="100"/>
      <c r="O11" s="101">
        <f t="shared" ref="O11" si="13">SUM(N11:N11)*M11*$O$2</f>
        <v>0</v>
      </c>
      <c r="P11" s="106"/>
      <c r="Q11" s="101">
        <f t="shared" ref="Q11" si="14">(P11*M11)*$Q$2</f>
        <v>0</v>
      </c>
      <c r="R11" s="102"/>
      <c r="S11" s="101">
        <f t="shared" ref="S11" si="15">R11*M11*$S$2</f>
        <v>0</v>
      </c>
      <c r="T11" s="102"/>
      <c r="U11" s="101">
        <f t="shared" ref="U11" si="16">T11*M11*$U$2</f>
        <v>0</v>
      </c>
      <c r="V11" s="102">
        <f t="shared" ref="V11" si="17">SUM(O11+Q11)+S11+U11</f>
        <v>0</v>
      </c>
      <c r="W11" s="107"/>
      <c r="X11" s="103"/>
    </row>
    <row r="12" spans="1:24" s="109" customFormat="1" ht="19.899999999999999" customHeight="1">
      <c r="A12" s="108"/>
      <c r="B12" s="108"/>
      <c r="C12" s="108"/>
      <c r="D12" s="108"/>
      <c r="E12" s="108"/>
      <c r="O12" s="110">
        <f>SUM(O5:O11)</f>
        <v>30060</v>
      </c>
      <c r="P12" s="111"/>
      <c r="Q12" s="110">
        <f>SUM(Q5:Q11)</f>
        <v>537258.08000000007</v>
      </c>
      <c r="R12" s="111"/>
      <c r="S12" s="110">
        <f>SUM(S5:S11)</f>
        <v>0</v>
      </c>
      <c r="T12" s="111"/>
      <c r="U12" s="110">
        <f>SUM(U5:U11)</f>
        <v>0</v>
      </c>
      <c r="V12" s="112">
        <f>SUM(V5:V11)</f>
        <v>558968.08000000007</v>
      </c>
      <c r="W12" s="113"/>
    </row>
    <row r="16" spans="1:24">
      <c r="Q16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M14" sqref="M14"/>
    </sheetView>
  </sheetViews>
  <sheetFormatPr defaultColWidth="9" defaultRowHeight="16.5"/>
  <cols>
    <col min="1" max="4" width="9" style="78"/>
    <col min="5" max="5" width="15.125" style="78" customWidth="1"/>
    <col min="6" max="16384" width="9" style="78"/>
  </cols>
  <sheetData>
    <row r="2" spans="1:16" s="68" customFormat="1">
      <c r="A2" s="148" t="s">
        <v>76</v>
      </c>
      <c r="B2" s="148"/>
      <c r="G2" s="69"/>
      <c r="L2" s="69"/>
      <c r="N2" s="69"/>
      <c r="O2" s="70"/>
      <c r="P2" s="70"/>
    </row>
    <row r="3" spans="1:16" s="68" customFormat="1">
      <c r="A3" s="71" t="s">
        <v>77</v>
      </c>
      <c r="B3" s="72" t="s">
        <v>78</v>
      </c>
      <c r="C3" s="72" t="s">
        <v>79</v>
      </c>
      <c r="D3" s="72" t="s">
        <v>80</v>
      </c>
      <c r="E3" s="73" t="s">
        <v>81</v>
      </c>
      <c r="G3" s="69"/>
      <c r="L3" s="69"/>
      <c r="N3" s="69"/>
      <c r="O3" s="70"/>
      <c r="P3" s="70"/>
    </row>
    <row r="4" spans="1:16" s="68" customFormat="1">
      <c r="A4" s="74">
        <v>999999</v>
      </c>
      <c r="B4" s="75" t="s">
        <v>82</v>
      </c>
      <c r="C4" s="75" t="s">
        <v>83</v>
      </c>
      <c r="D4" s="76">
        <v>1300</v>
      </c>
      <c r="E4" s="77" t="s">
        <v>98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.7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>
      <c r="A1" s="123" t="s">
        <v>48</v>
      </c>
      <c r="B1" s="124" t="s">
        <v>49</v>
      </c>
      <c r="C1" s="124" t="s">
        <v>50</v>
      </c>
      <c r="D1" s="124" t="s">
        <v>51</v>
      </c>
      <c r="E1" s="124" t="s">
        <v>52</v>
      </c>
      <c r="F1" s="124" t="s">
        <v>5</v>
      </c>
      <c r="G1" s="124" t="s">
        <v>53</v>
      </c>
      <c r="H1" s="124" t="s">
        <v>54</v>
      </c>
      <c r="I1" s="124" t="s">
        <v>55</v>
      </c>
      <c r="J1" s="124" t="s">
        <v>56</v>
      </c>
      <c r="K1" s="124" t="s">
        <v>57</v>
      </c>
      <c r="L1" s="124" t="s">
        <v>58</v>
      </c>
      <c r="M1" s="124" t="s">
        <v>59</v>
      </c>
      <c r="N1" s="124" t="s">
        <v>60</v>
      </c>
      <c r="O1" s="124" t="s">
        <v>61</v>
      </c>
      <c r="P1" s="124" t="s">
        <v>62</v>
      </c>
      <c r="Q1" s="124" t="s">
        <v>63</v>
      </c>
      <c r="R1" s="124" t="s">
        <v>64</v>
      </c>
    </row>
    <row r="2" spans="1:18">
      <c r="A2" s="83">
        <v>999999</v>
      </c>
      <c r="B2" s="82" t="s">
        <v>95</v>
      </c>
      <c r="C2" s="83" t="s">
        <v>97</v>
      </c>
      <c r="D2" s="83" t="s">
        <v>96</v>
      </c>
      <c r="E2" s="83" t="s">
        <v>85</v>
      </c>
      <c r="F2" s="121">
        <v>20</v>
      </c>
      <c r="G2" s="122">
        <v>1086</v>
      </c>
      <c r="H2" s="122"/>
      <c r="I2" s="122"/>
      <c r="J2" s="82"/>
      <c r="K2" s="82"/>
      <c r="L2" s="82"/>
      <c r="M2" s="82"/>
      <c r="N2" s="82"/>
      <c r="O2" s="82"/>
      <c r="P2" s="82"/>
      <c r="Q2" s="82"/>
      <c r="R2" s="82"/>
    </row>
    <row r="3" spans="1:18">
      <c r="D3" s="79"/>
    </row>
    <row r="4" spans="1:18">
      <c r="D4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M20" sqref="M20"/>
    </sheetView>
  </sheetViews>
  <sheetFormatPr defaultColWidth="9" defaultRowHeight="16.5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</row>
    <row r="2" spans="1:6">
      <c r="A2" s="125" t="str">
        <f>'내역서(표준단가)'!A5</f>
        <v>D02642</v>
      </c>
      <c r="B2" s="126" t="str">
        <f>'내역서(표준단가)'!F5</f>
        <v>D02642</v>
      </c>
      <c r="C2" s="126">
        <f>'내역서(표준단가)'!G5</f>
        <v>0</v>
      </c>
      <c r="D2" s="126">
        <f>'내역서(표준단가)'!H5</f>
        <v>0</v>
      </c>
      <c r="E2" s="126">
        <f>'내역서(표준단가)'!I5</f>
        <v>0</v>
      </c>
      <c r="F2" s="126">
        <f>'내역서(표준단가)'!M5</f>
        <v>20</v>
      </c>
    </row>
    <row r="3" spans="1:6">
      <c r="A3" s="125" t="str">
        <f>'내역서(표준단가)'!A6</f>
        <v>D02873</v>
      </c>
      <c r="B3" s="126" t="str">
        <f>'내역서(표준단가)'!F6</f>
        <v>D02873</v>
      </c>
      <c r="C3" s="126">
        <f>'내역서(표준단가)'!G6</f>
        <v>0</v>
      </c>
      <c r="D3" s="126">
        <f>'내역서(표준단가)'!H6</f>
        <v>0</v>
      </c>
      <c r="E3" s="126">
        <f>'내역서(표준단가)'!I6</f>
        <v>0</v>
      </c>
      <c r="F3" s="126">
        <f>'내역서(표준단가)'!M6</f>
        <v>16</v>
      </c>
    </row>
    <row r="4" spans="1:6">
      <c r="A4" s="125" t="str">
        <f>'내역서(표준단가)'!A7</f>
        <v>M011800900100101</v>
      </c>
      <c r="B4" s="126">
        <f>'내역서(표준단가)'!F7</f>
        <v>0</v>
      </c>
      <c r="C4" s="126">
        <f>'내역서(표준단가)'!G7</f>
        <v>0</v>
      </c>
      <c r="D4" s="126" t="str">
        <f>'내역서(표준단가)'!H7</f>
        <v>M011800900100101</v>
      </c>
      <c r="E4" s="126">
        <f>'내역서(표준단가)'!I7</f>
        <v>0</v>
      </c>
      <c r="F4" s="126">
        <f>'내역서(표준단가)'!M7</f>
        <v>2</v>
      </c>
    </row>
    <row r="5" spans="1:6">
      <c r="A5" s="125" t="str">
        <f>'내역서(표준단가)'!A8</f>
        <v>L003</v>
      </c>
      <c r="B5" s="126">
        <f>'내역서(표준단가)'!F8</f>
        <v>0</v>
      </c>
      <c r="C5" s="126">
        <f>'내역서(표준단가)'!G8</f>
        <v>0</v>
      </c>
      <c r="D5" s="126">
        <f>'내역서(표준단가)'!H8</f>
        <v>0</v>
      </c>
      <c r="E5" s="126" t="str">
        <f>'내역서(표준단가)'!I8</f>
        <v>L003</v>
      </c>
      <c r="F5" s="126">
        <f>'내역서(표준단가)'!M8</f>
        <v>1</v>
      </c>
    </row>
    <row r="6" spans="1:6">
      <c r="A6" s="125" t="str">
        <f>'내역서(표준단가)'!A9</f>
        <v>L002</v>
      </c>
      <c r="B6" s="126">
        <f>'내역서(표준단가)'!F9</f>
        <v>0</v>
      </c>
      <c r="C6" s="126">
        <f>'내역서(표준단가)'!G9</f>
        <v>0</v>
      </c>
      <c r="D6" s="126">
        <f>'내역서(표준단가)'!H9</f>
        <v>0</v>
      </c>
      <c r="E6" s="126" t="str">
        <f>'내역서(표준단가)'!I9</f>
        <v>L002</v>
      </c>
      <c r="F6" s="126">
        <f>'내역서(표준단가)'!M9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2024-12-12T02:57:02Z</dcterms:modified>
</cp:coreProperties>
</file>
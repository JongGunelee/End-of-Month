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D:\02 기숙사 및 사택\02 견적작업\02 견적서\01 솔루션\251024\04 PR당사안\"/>
    </mc:Choice>
  </mc:AlternateContent>
  <xr:revisionPtr revIDLastSave="0" documentId="13_ncr:1_{F2A6CA5C-B8B9-47CC-87B8-AC76632824D3}" xr6:coauthVersionLast="47" xr6:coauthVersionMax="47" xr10:uidLastSave="{00000000-0000-0000-0000-000000000000}"/>
  <bookViews>
    <workbookView xWindow="-105" yWindow="0" windowWidth="14610" windowHeight="16305" tabRatio="815" xr2:uid="{AEAA6D22-9BA2-4186-A7B2-AF62935C8EDE}"/>
  </bookViews>
  <sheets>
    <sheet name="PR당사안" sheetId="30" r:id="rId1"/>
    <sheet name="내역서(표준단가)" sheetId="19" r:id="rId2"/>
    <sheet name="갑지 수리" sheetId="31" r:id="rId3"/>
    <sheet name="을지" sheetId="29"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2">'갑지 수리'!$A$1:$M$41</definedName>
    <definedName name="_xlnm.Print_Area" localSheetId="1">'내역서(표준단가)'!$J$1:$S$11</definedName>
    <definedName name="_xlnm.Print_Area" localSheetId="3">을지!$A$1:$G$42</definedName>
    <definedName name="_xlnm.Print_Titles" localSheetId="1">'내역서(표준단가)'!$2:$3</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가입기간" localSheetId="2">#REF!</definedName>
    <definedName name="가입기간">#REF!</definedName>
    <definedName name="가입기간1" localSheetId="2">#REF!</definedName>
    <definedName name="가입기간1">#REF!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좌" localSheetId="2">#REF!</definedName>
    <definedName name="계좌">#REF!</definedName>
    <definedName name="계좌1" localSheetId="2">#REF!</definedName>
    <definedName name="계좌1">#REF!</definedName>
    <definedName name="고객담당자" localSheetId="2">#REF!</definedName>
    <definedName name="고객담당자">#REF!</definedName>
    <definedName name="고객담당자1" localSheetId="2">#REF!</definedName>
    <definedName name="고객담당자1">#REF!</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간기준" localSheetId="2">#REF!</definedName>
    <definedName name="기간기준">#REF!</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납부방법">[5]상품계산기!$J$46:$K$47</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맴버쉽상품5" localSheetId="2">#REF!</definedName>
    <definedName name="맴버쉽상품5">#REF!</definedName>
    <definedName name="멤버쉽대분류" localSheetId="2">#REF!</definedName>
    <definedName name="멤버쉽대분류" localSheetId="3">#REF!</definedName>
    <definedName name="멤버쉽대분류">#REF!</definedName>
    <definedName name="멤버쉽상품" localSheetId="2">#REF!</definedName>
    <definedName name="멤버쉽상품">#REF!</definedName>
    <definedName name="멤버쉽상품1" localSheetId="2">#REF!</definedName>
    <definedName name="멤버쉽상품1">#REF!</definedName>
    <definedName name="멤버쉽상품3" localSheetId="2">#REF!</definedName>
    <definedName name="멤버쉽상품3">#REF!</definedName>
    <definedName name="멤버쉽상품4" localSheetId="2">#REF!</definedName>
    <definedName name="멤버쉽상품4">#REF!</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치기간" localSheetId="2">#REF!</definedName>
    <definedName name="설치기간">#REF!</definedName>
    <definedName name="설치기간1" localSheetId="2">#REF!</definedName>
    <definedName name="설치기간1">#REF!</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척1" localSheetId="2">#REF!</definedName>
    <definedName name="세척1">#REF!</definedName>
    <definedName name="세척2" localSheetId="2">#REF!</definedName>
    <definedName name="세척2" localSheetId="3">#REF!</definedName>
    <definedName name="세척2">#REF!</definedName>
    <definedName name="세척3" localSheetId="2">#REF!</definedName>
    <definedName name="세척3">#REF!</definedName>
    <definedName name="세척4" localSheetId="2">#REF!</definedName>
    <definedName name="세척4">#REF!</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락처5">[5]상품계산기!$F$96:$T$107</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월간할인율" localSheetId="2">#REF!</definedName>
    <definedName name="월간할인율">#REF!</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31" l="1"/>
  <c r="H18" i="31"/>
  <c r="H20" i="31" s="1"/>
  <c r="H15" i="31"/>
  <c r="H17" i="31" s="1"/>
  <c r="H31" i="31" s="1"/>
  <c r="J31" i="30"/>
  <c r="J21" i="30"/>
  <c r="J19" i="30"/>
  <c r="J18" i="30"/>
  <c r="J29" i="30"/>
  <c r="Q6" i="19"/>
  <c r="P7" i="19"/>
  <c r="Q7" i="19" s="1"/>
  <c r="N6" i="19"/>
  <c r="O6" i="19" s="1"/>
  <c r="N5" i="19"/>
  <c r="O5" i="19" s="1"/>
  <c r="J7" i="19"/>
  <c r="J6" i="19"/>
  <c r="J5" i="19"/>
  <c r="I22" i="29"/>
  <c r="I23" i="29"/>
  <c r="G20" i="29"/>
  <c r="H20" i="29"/>
  <c r="G19" i="29"/>
  <c r="H19" i="29"/>
  <c r="G21" i="29"/>
  <c r="G34" i="29" s="1"/>
  <c r="H21" i="29"/>
  <c r="G22" i="29"/>
  <c r="G23" i="29"/>
  <c r="H23" i="29"/>
  <c r="G24" i="29"/>
  <c r="H24" i="29"/>
  <c r="G25" i="29"/>
  <c r="H25" i="29"/>
  <c r="J4" i="19"/>
  <c r="B7" i="29"/>
  <c r="N7" i="19"/>
  <c r="O7" i="19" s="1"/>
  <c r="H32" i="29"/>
  <c r="Q5" i="19"/>
  <c r="H22" i="29"/>
  <c r="F31" i="31" l="1"/>
  <c r="C8" i="31"/>
  <c r="J22" i="30"/>
  <c r="J24" i="30"/>
  <c r="J23" i="30"/>
  <c r="J26" i="30"/>
  <c r="J25" i="30"/>
  <c r="J27" i="30" s="1"/>
  <c r="R6" i="19"/>
  <c r="O11" i="19"/>
  <c r="R5" i="19"/>
  <c r="Q11" i="19"/>
  <c r="H34" i="29"/>
  <c r="B10" i="29"/>
  <c r="R7" i="19"/>
  <c r="J28" i="30" l="1"/>
  <c r="J20" i="30" s="1"/>
  <c r="R11" i="19"/>
  <c r="J30" i="30" l="1"/>
  <c r="M32" i="30" l="1"/>
  <c r="B15" i="30" s="1"/>
</calcChain>
</file>

<file path=xl/sharedStrings.xml><?xml version="1.0" encoding="utf-8"?>
<sst xmlns="http://schemas.openxmlformats.org/spreadsheetml/2006/main" count="219" uniqueCount="199">
  <si>
    <t>안전관리비</t>
    <phoneticPr fontId="3" type="noConversion"/>
  </si>
  <si>
    <t>등록번호</t>
    <phoneticPr fontId="3" type="noConversion"/>
  </si>
  <si>
    <t>합계</t>
    <phoneticPr fontId="3" type="noConversion"/>
  </si>
  <si>
    <t>■ 상세 내역</t>
    <phoneticPr fontId="3" type="noConversion"/>
  </si>
  <si>
    <t>대</t>
    <phoneticPr fontId="3" type="noConversion"/>
  </si>
  <si>
    <t>품   명</t>
    <phoneticPr fontId="3" type="noConversion"/>
  </si>
  <si>
    <t>규   격</t>
    <phoneticPr fontId="3" type="noConversion"/>
  </si>
  <si>
    <t>단 위</t>
    <phoneticPr fontId="3" type="noConversion"/>
  </si>
  <si>
    <t>수 량</t>
    <phoneticPr fontId="3" type="noConversion"/>
  </si>
  <si>
    <t>단 가</t>
    <phoneticPr fontId="3" type="noConversion"/>
  </si>
  <si>
    <t>금 액</t>
    <phoneticPr fontId="3" type="noConversion"/>
  </si>
  <si>
    <t>노 무 비</t>
    <phoneticPr fontId="5" type="noConversion"/>
  </si>
  <si>
    <t>재 료 비</t>
    <phoneticPr fontId="5" type="noConversion"/>
  </si>
  <si>
    <t>합   계</t>
    <phoneticPr fontId="5" type="noConversion"/>
  </si>
  <si>
    <t>비   고</t>
    <phoneticPr fontId="3" type="noConversion"/>
  </si>
  <si>
    <t xml:space="preserve"> </t>
    <phoneticPr fontId="3" type="noConversion"/>
  </si>
  <si>
    <t>견적일자</t>
    <phoneticPr fontId="3" type="noConversion"/>
  </si>
  <si>
    <t>합계금액</t>
    <phoneticPr fontId="3" type="noConversion"/>
  </si>
  <si>
    <t>견  적  내  용</t>
    <phoneticPr fontId="3" type="noConversion"/>
  </si>
  <si>
    <t>3. 유효기간 : 견적일로 부터 15일</t>
    <phoneticPr fontId="3" type="noConversion"/>
  </si>
  <si>
    <t xml:space="preserve">견 적 서 </t>
    <phoneticPr fontId="3" type="noConversion"/>
  </si>
  <si>
    <t xml:space="preserve"> </t>
    <phoneticPr fontId="3" type="noConversion"/>
  </si>
  <si>
    <t xml:space="preserve"> </t>
    <phoneticPr fontId="3" type="noConversion"/>
  </si>
  <si>
    <t xml:space="preserve">    106-86-40809</t>
    <phoneticPr fontId="3" type="noConversion"/>
  </si>
  <si>
    <t xml:space="preserve">   하이엠솔루텍주식회사</t>
    <phoneticPr fontId="3" type="noConversion"/>
  </si>
  <si>
    <t>S V C명</t>
    <phoneticPr fontId="3" type="noConversion"/>
  </si>
  <si>
    <t xml:space="preserve">                      서울 강서구 마곡중앙5로 18, 10, 11층 </t>
    <phoneticPr fontId="3" type="noConversion"/>
  </si>
  <si>
    <t>수리일자</t>
    <phoneticPr fontId="3" type="noConversion"/>
  </si>
  <si>
    <t>협의</t>
    <phoneticPr fontId="3" type="noConversion"/>
  </si>
  <si>
    <r>
      <t xml:space="preserve">                      </t>
    </r>
    <r>
      <rPr>
        <sz val="12"/>
        <rFont val="LG스마트체2.0 SemiBold"/>
        <family val="3"/>
        <charset val="129"/>
      </rPr>
      <t>(메이플레이스빌딩)</t>
    </r>
    <phoneticPr fontId="3" type="noConversion"/>
  </si>
  <si>
    <t>지불조건</t>
    <phoneticPr fontId="3" type="noConversion"/>
  </si>
  <si>
    <t>카드/계산서</t>
    <phoneticPr fontId="3" type="noConversion"/>
  </si>
  <si>
    <t xml:space="preserve">                      TEL.   010-3806-6919</t>
    <phoneticPr fontId="3" type="noConversion"/>
  </si>
  <si>
    <t xml:space="preserve">                      FAX.  042-486-4116</t>
    <phoneticPr fontId="3" type="noConversion"/>
  </si>
  <si>
    <t xml:space="preserve">     대표이사 : 유 광 열</t>
    <phoneticPr fontId="3" type="noConversion"/>
  </si>
  <si>
    <t>하기와 같이 견적을 제출합니다.</t>
    <phoneticPr fontId="3" type="noConversion"/>
  </si>
  <si>
    <t xml:space="preserve"> 구분</t>
    <phoneticPr fontId="3" type="noConversion"/>
  </si>
  <si>
    <t>품명</t>
    <phoneticPr fontId="3" type="noConversion"/>
  </si>
  <si>
    <t>규격</t>
    <phoneticPr fontId="3" type="noConversion"/>
  </si>
  <si>
    <t>단가</t>
    <phoneticPr fontId="3" type="noConversion"/>
  </si>
  <si>
    <t>단위</t>
    <phoneticPr fontId="3" type="noConversion"/>
  </si>
  <si>
    <t>수량</t>
    <phoneticPr fontId="3" type="noConversion"/>
  </si>
  <si>
    <t>금액</t>
    <phoneticPr fontId="3" type="noConversion"/>
  </si>
  <si>
    <t>(DESCRIPTION)</t>
    <phoneticPr fontId="3" type="noConversion"/>
  </si>
  <si>
    <t>(상 세 구 분)</t>
    <phoneticPr fontId="3" type="noConversion"/>
  </si>
  <si>
    <t>(Q/T)</t>
    <phoneticPr fontId="3" type="noConversion"/>
  </si>
  <si>
    <t>(TOTALPRICE)</t>
    <phoneticPr fontId="3" type="noConversion"/>
  </si>
  <si>
    <t>합계</t>
    <phoneticPr fontId="3" type="noConversion"/>
  </si>
  <si>
    <t>비 고</t>
    <phoneticPr fontId="3" type="noConversion"/>
  </si>
  <si>
    <t>1. VAT 포함</t>
    <phoneticPr fontId="3" type="noConversion"/>
  </si>
  <si>
    <t>2. 견적 외 사항 제외</t>
    <phoneticPr fontId="3" type="noConversion"/>
  </si>
  <si>
    <t>5. 사 무 실  :  FAX (042-486-4116)</t>
    <phoneticPr fontId="3" type="noConversion"/>
  </si>
  <si>
    <t>6. 입금계좌 : 우리은행 1005-501-085730   하이엠솔루텍주식회사</t>
    <phoneticPr fontId="3" type="noConversion"/>
  </si>
  <si>
    <t>대</t>
    <phoneticPr fontId="3" type="noConversion"/>
  </si>
  <si>
    <t>AAA77170102</t>
    <phoneticPr fontId="3" type="noConversion"/>
  </si>
  <si>
    <t>5231A30003B</t>
    <phoneticPr fontId="3" type="noConversion"/>
  </si>
  <si>
    <t>AAA77170101</t>
    <phoneticPr fontId="3" type="noConversion"/>
  </si>
  <si>
    <t>※(VAT 별도)</t>
    <phoneticPr fontId="3" type="noConversion"/>
  </si>
  <si>
    <t xml:space="preserve">LG 사택 어린이집 귀하 </t>
    <phoneticPr fontId="3" type="noConversion"/>
  </si>
  <si>
    <t>실외기 PCB</t>
    <phoneticPr fontId="3" type="noConversion"/>
  </si>
  <si>
    <t>실외기 모터</t>
    <phoneticPr fontId="3" type="noConversion"/>
  </si>
  <si>
    <t xml:space="preserve">EBR61481801 </t>
    <phoneticPr fontId="3" type="noConversion"/>
  </si>
  <si>
    <t xml:space="preserve">4681A20172L </t>
    <phoneticPr fontId="3" type="noConversion"/>
  </si>
  <si>
    <t>공임비</t>
    <phoneticPr fontId="3" type="noConversion"/>
  </si>
  <si>
    <t>공임</t>
    <phoneticPr fontId="3" type="noConversion"/>
  </si>
  <si>
    <t>EA</t>
    <phoneticPr fontId="3" type="noConversion"/>
  </si>
  <si>
    <t>EA</t>
    <phoneticPr fontId="3" type="noConversion"/>
  </si>
  <si>
    <t>식</t>
    <phoneticPr fontId="3" type="noConversion"/>
  </si>
  <si>
    <t>4. 담 당 자  : 권용주 프로 (010-7206-1096)</t>
    <phoneticPr fontId="3" type="noConversion"/>
  </si>
  <si>
    <t>見  積  書</t>
    <phoneticPr fontId="3" type="noConversion"/>
  </si>
  <si>
    <t>수 신: LG에너지솔루션</t>
    <phoneticPr fontId="3" type="noConversion"/>
  </si>
  <si>
    <r>
      <t>견  적  일  자</t>
    </r>
    <r>
      <rPr>
        <sz val="12"/>
        <rFont val="Arial"/>
        <family val="2"/>
      </rPr>
      <t/>
    </r>
    <phoneticPr fontId="3" type="noConversion"/>
  </si>
  <si>
    <t>년</t>
    <phoneticPr fontId="3" type="noConversion"/>
  </si>
  <si>
    <t>월</t>
    <phoneticPr fontId="3" type="noConversion"/>
  </si>
  <si>
    <t>일</t>
    <phoneticPr fontId="3" type="noConversion"/>
  </si>
  <si>
    <t>공
급
자</t>
    <phoneticPr fontId="3" type="noConversion"/>
  </si>
  <si>
    <t>707-86-02-404</t>
    <phoneticPr fontId="3" type="noConversion"/>
  </si>
  <si>
    <t>전      화</t>
    <phoneticPr fontId="3" type="noConversion"/>
  </si>
  <si>
    <t>02-6924-5539</t>
    <phoneticPr fontId="3" type="noConversion"/>
  </si>
  <si>
    <r>
      <t>견  적  담  당</t>
    </r>
    <r>
      <rPr>
        <sz val="12"/>
        <rFont val="Arial"/>
        <family val="2"/>
      </rPr>
      <t/>
    </r>
    <phoneticPr fontId="3" type="noConversion"/>
  </si>
  <si>
    <t>이종근</t>
    <phoneticPr fontId="3" type="noConversion"/>
  </si>
  <si>
    <t>파트너</t>
    <phoneticPr fontId="31" type="noConversion"/>
  </si>
  <si>
    <t>상      호</t>
    <phoneticPr fontId="3" type="noConversion"/>
  </si>
  <si>
    <t>㈜에스앤아이코퍼레이션</t>
    <phoneticPr fontId="3" type="noConversion"/>
  </si>
  <si>
    <t>대      표</t>
    <phoneticPr fontId="3" type="noConversion"/>
  </si>
  <si>
    <t>서 현</t>
    <phoneticPr fontId="3" type="noConversion"/>
  </si>
  <si>
    <r>
      <t>견적유효기간</t>
    </r>
    <r>
      <rPr>
        <sz val="12"/>
        <rFont val="Arial"/>
        <family val="2"/>
      </rPr>
      <t/>
    </r>
    <phoneticPr fontId="3" type="noConversion"/>
  </si>
  <si>
    <t>견적 제출 후 30일 까지</t>
    <phoneticPr fontId="40" type="noConversion"/>
  </si>
  <si>
    <t>주      소</t>
    <phoneticPr fontId="3" type="noConversion"/>
  </si>
  <si>
    <t>서울특별시 강서구 마곡중앙로150</t>
    <phoneticPr fontId="3" type="noConversion"/>
  </si>
  <si>
    <t>납        기</t>
    <phoneticPr fontId="3" type="noConversion"/>
  </si>
  <si>
    <t>발주 후 개별 협의</t>
    <phoneticPr fontId="3" type="noConversion"/>
  </si>
  <si>
    <t>업      태</t>
    <phoneticPr fontId="3" type="noConversion"/>
  </si>
  <si>
    <t>부동산, 서비스</t>
    <phoneticPr fontId="3" type="noConversion"/>
  </si>
  <si>
    <t>종      목</t>
    <phoneticPr fontId="3" type="noConversion"/>
  </si>
  <si>
    <t>임대 및 관리</t>
    <phoneticPr fontId="3" type="noConversion"/>
  </si>
  <si>
    <t>견적을 제출 합니다</t>
    <phoneticPr fontId="3" type="noConversion"/>
  </si>
  <si>
    <t>NO</t>
    <phoneticPr fontId="22" type="noConversion"/>
  </si>
  <si>
    <t>구          분</t>
    <phoneticPr fontId="22" type="noConversion"/>
  </si>
  <si>
    <t>수량</t>
    <phoneticPr fontId="22" type="noConversion"/>
  </si>
  <si>
    <t>단위</t>
    <phoneticPr fontId="22" type="noConversion"/>
  </si>
  <si>
    <t>금    액</t>
    <phoneticPr fontId="22" type="noConversion"/>
  </si>
  <si>
    <t>비    고</t>
    <phoneticPr fontId="22" type="noConversion"/>
  </si>
  <si>
    <t>재료비</t>
    <phoneticPr fontId="40" type="noConversion"/>
  </si>
  <si>
    <t>노무비</t>
    <phoneticPr fontId="40" type="noConversion"/>
  </si>
  <si>
    <t>경   비</t>
    <phoneticPr fontId="3" type="noConversion"/>
  </si>
  <si>
    <t>기계 및 기타경비</t>
    <phoneticPr fontId="3" type="noConversion"/>
  </si>
  <si>
    <t>중장비 사용 등</t>
    <phoneticPr fontId="40" type="noConversion"/>
  </si>
  <si>
    <t>%</t>
    <phoneticPr fontId="3" type="noConversion"/>
  </si>
  <si>
    <t>(재료비+노무비)*3.11%</t>
    <phoneticPr fontId="31" type="noConversion"/>
  </si>
  <si>
    <t>산재 보험료</t>
  </si>
  <si>
    <t>%</t>
  </si>
  <si>
    <t>노무비*3.56%</t>
    <phoneticPr fontId="31" type="noConversion"/>
  </si>
  <si>
    <t>고용보험료</t>
  </si>
  <si>
    <t>노무비*1.01%</t>
  </si>
  <si>
    <t>국민건강 보험료</t>
  </si>
  <si>
    <t>노무비*3.545%</t>
    <phoneticPr fontId="40" type="noConversion"/>
  </si>
  <si>
    <t>국민연금 보험료</t>
  </si>
  <si>
    <t>노무비*4.5%</t>
  </si>
  <si>
    <t>노인장기요양 보험료</t>
    <phoneticPr fontId="3" type="noConversion"/>
  </si>
  <si>
    <t>건강보험료*12.95%</t>
    <phoneticPr fontId="40" type="noConversion"/>
  </si>
  <si>
    <t>하도급대금지급보증증권</t>
    <phoneticPr fontId="3" type="noConversion"/>
  </si>
  <si>
    <t>1천만원 이상 공사시 적용</t>
    <phoneticPr fontId="40" type="noConversion"/>
  </si>
  <si>
    <t>폐기물처리 부담금</t>
    <phoneticPr fontId="3" type="noConversion"/>
  </si>
  <si>
    <t>식</t>
    <phoneticPr fontId="31" type="noConversion"/>
  </si>
  <si>
    <t>폐기물발생 시 적용 (kg당 34원)</t>
    <phoneticPr fontId="40" type="noConversion"/>
  </si>
  <si>
    <t>일반관리비</t>
    <phoneticPr fontId="40" type="noConversion"/>
  </si>
  <si>
    <t>%</t>
    <phoneticPr fontId="40" type="noConversion"/>
  </si>
  <si>
    <t>(재료비 + 노무비 + 경비)*5%</t>
    <phoneticPr fontId="40" type="noConversion"/>
  </si>
  <si>
    <t>이      윤</t>
    <phoneticPr fontId="3" type="noConversion"/>
  </si>
  <si>
    <t>(재료비+노무비+경비+일반관리비)*7.5%</t>
    <phoneticPr fontId="40" type="noConversion"/>
  </si>
  <si>
    <t>공사금액</t>
    <phoneticPr fontId="3" type="noConversion"/>
  </si>
  <si>
    <t>*유첨 : 견적서 내역서 1부      ─ 끝 ─</t>
    <phoneticPr fontId="3" type="noConversion"/>
  </si>
  <si>
    <t>사택 5동 경비실 천장형 EHP 수리</t>
  </si>
  <si>
    <t>대전 업무지원팀 / 김규환님 귀하</t>
  </si>
  <si>
    <t>見    積    書</t>
    <phoneticPr fontId="3" type="noConversion"/>
  </si>
  <si>
    <t>엘지화학사택 貴中</t>
    <phoneticPr fontId="56" type="noConversion"/>
  </si>
  <si>
    <t>106-86-40809</t>
    <phoneticPr fontId="3" type="noConversion"/>
  </si>
  <si>
    <t>견적일자</t>
    <phoneticPr fontId="56" type="noConversion"/>
  </si>
  <si>
    <t>상호</t>
    <phoneticPr fontId="3" type="noConversion"/>
  </si>
  <si>
    <t>하이엠솔루텍 주식회사</t>
    <phoneticPr fontId="3" type="noConversion"/>
  </si>
  <si>
    <t>대표자</t>
    <phoneticPr fontId="3" type="noConversion"/>
  </si>
  <si>
    <t xml:space="preserve"> 유 광 열</t>
    <phoneticPr fontId="3" type="noConversion"/>
  </si>
  <si>
    <t>계 약 명</t>
    <phoneticPr fontId="3" type="noConversion"/>
  </si>
  <si>
    <t>5동 경비실 냉난방기 보수</t>
    <phoneticPr fontId="3" type="noConversion"/>
  </si>
  <si>
    <t>사업장
주소</t>
    <phoneticPr fontId="3" type="noConversion"/>
  </si>
  <si>
    <t>서울 강서구 마곡중앙5로 18, 10, 11층</t>
    <phoneticPr fontId="3" type="noConversion"/>
  </si>
  <si>
    <t>유효기간</t>
    <phoneticPr fontId="3" type="noConversion"/>
  </si>
  <si>
    <t>작성일로 부터 30일</t>
  </si>
  <si>
    <t>견적금액
(VAT별도)</t>
    <phoneticPr fontId="56" type="noConversion"/>
  </si>
  <si>
    <t>업태</t>
    <phoneticPr fontId="3" type="noConversion"/>
  </si>
  <si>
    <t>서비스 외</t>
    <phoneticPr fontId="3" type="noConversion"/>
  </si>
  <si>
    <t>종목</t>
    <phoneticPr fontId="3" type="noConversion"/>
  </si>
  <si>
    <t>전기,전자기기수리,에어컨세척</t>
    <phoneticPr fontId="3" type="noConversion"/>
  </si>
  <si>
    <t>전화</t>
    <phoneticPr fontId="3" type="noConversion"/>
  </si>
  <si>
    <t>010-7206-1096</t>
    <phoneticPr fontId="3" type="noConversion"/>
  </si>
  <si>
    <t>팩스</t>
    <phoneticPr fontId="3" type="noConversion"/>
  </si>
  <si>
    <t>042-486-4116</t>
    <phoneticPr fontId="3" type="noConversion"/>
  </si>
  <si>
    <t xml:space="preserve">  아래와 같이 전열소자 에어세척 및 고효율필터 교체에 대한 상세내역을 제출합니다.</t>
    <phoneticPr fontId="3" type="noConversion"/>
  </si>
  <si>
    <t>Ⅰ. 견적내역</t>
    <phoneticPr fontId="56" type="noConversion"/>
  </si>
  <si>
    <t>구   분</t>
    <phoneticPr fontId="56" type="noConversion"/>
  </si>
  <si>
    <t>항     목</t>
    <phoneticPr fontId="3" type="noConversion"/>
  </si>
  <si>
    <t>구  성  비</t>
    <phoneticPr fontId="3" type="noConversion"/>
  </si>
  <si>
    <t>금   액  (원)</t>
    <phoneticPr fontId="56" type="noConversion"/>
  </si>
  <si>
    <t>비     고</t>
    <phoneticPr fontId="3" type="noConversion"/>
  </si>
  <si>
    <t>재료비</t>
    <phoneticPr fontId="3" type="noConversion"/>
  </si>
  <si>
    <t>직접재료비</t>
    <phoneticPr fontId="3" type="noConversion"/>
  </si>
  <si>
    <t>시중가</t>
    <phoneticPr fontId="3" type="noConversion"/>
  </si>
  <si>
    <t>간접재료비</t>
    <phoneticPr fontId="3" type="noConversion"/>
  </si>
  <si>
    <t>소    계</t>
    <phoneticPr fontId="3" type="noConversion"/>
  </si>
  <si>
    <t>인건비</t>
    <phoneticPr fontId="3" type="noConversion"/>
  </si>
  <si>
    <t>직접노무비</t>
    <phoneticPr fontId="3" type="noConversion"/>
  </si>
  <si>
    <t>계약단가 + 시중가</t>
    <phoneticPr fontId="3" type="noConversion"/>
  </si>
  <si>
    <t>간접노무비</t>
    <phoneticPr fontId="3" type="noConversion"/>
  </si>
  <si>
    <t>간  접
공사비</t>
    <phoneticPr fontId="3" type="noConversion"/>
  </si>
  <si>
    <t>(재료비+직접노무비)의 3.09%</t>
    <phoneticPr fontId="3" type="noConversion"/>
  </si>
  <si>
    <t>산재보험료</t>
    <phoneticPr fontId="3" type="noConversion"/>
  </si>
  <si>
    <t>인건비의 4.05%</t>
    <phoneticPr fontId="3" type="noConversion"/>
  </si>
  <si>
    <t>고용보험료</t>
    <phoneticPr fontId="3" type="noConversion"/>
  </si>
  <si>
    <t>인건비의 0.87%</t>
    <phoneticPr fontId="3" type="noConversion"/>
  </si>
  <si>
    <t>국민건강보험료</t>
    <phoneticPr fontId="3" type="noConversion"/>
  </si>
  <si>
    <t>인건비의 3.12%</t>
    <phoneticPr fontId="3" type="noConversion"/>
  </si>
  <si>
    <t>국민연금보험료</t>
    <phoneticPr fontId="3" type="noConversion"/>
  </si>
  <si>
    <t>인건비의 4.5%</t>
    <phoneticPr fontId="3" type="noConversion"/>
  </si>
  <si>
    <t>노인장기요양보험료</t>
    <phoneticPr fontId="3" type="noConversion"/>
  </si>
  <si>
    <t>건강보험료의 7.38%</t>
    <phoneticPr fontId="3" type="noConversion"/>
  </si>
  <si>
    <t>일반관리비</t>
    <phoneticPr fontId="3" type="noConversion"/>
  </si>
  <si>
    <t>(재료비+인건비+간접공사비)의 5%</t>
    <phoneticPr fontId="3" type="noConversion"/>
  </si>
  <si>
    <t>이    윤</t>
    <phoneticPr fontId="3" type="noConversion"/>
  </si>
  <si>
    <t>(인건비+간접공사비+일반관리비)의 10%이내</t>
    <phoneticPr fontId="3" type="noConversion"/>
  </si>
  <si>
    <t>단수정리</t>
    <phoneticPr fontId="3" type="noConversion"/>
  </si>
  <si>
    <t>합    계</t>
    <phoneticPr fontId="3" type="noConversion"/>
  </si>
  <si>
    <t>VAT별도</t>
    <phoneticPr fontId="3" type="noConversion"/>
  </si>
  <si>
    <t>특이사항</t>
    <phoneticPr fontId="56" type="noConversion"/>
  </si>
  <si>
    <t xml:space="preserve">
1. 견적 외 별도
2. VAT 별도금액
3. SVC 비용 단수정리 불가
</t>
    <phoneticPr fontId="3" type="noConversion"/>
  </si>
  <si>
    <t>고객담당자  :</t>
    <phoneticPr fontId="56" type="noConversion"/>
  </si>
  <si>
    <t>권용주 프로</t>
    <phoneticPr fontId="3" type="noConversion"/>
  </si>
  <si>
    <t>연락처 :</t>
    <phoneticPr fontId="56" type="noConversion"/>
  </si>
  <si>
    <t>Fax :</t>
    <phoneticPr fontId="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</si>
</sst>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2" formatCode="_-&quot;₩&quot;* #,##0_-;\-&quot;₩&quot;* #,##0_-;_-&quot;₩&quot;* &quot;-&quot;_-;_-@_-"/>
    <numFmt numFmtId="41" formatCode="_-* #,##0_-;\-* #,##0_-;_-* &quot;-&quot;_-;_-@_-"/>
    <numFmt numFmtId="176" formatCode="_(&quot;₩&quot;* #,##0_);_(&quot;₩&quot;* \(#,##0\);_(&quot;₩&quot;* &quot;-&quot;_);_(@_)"/>
    <numFmt numFmtId="177" formatCode="_(* #,##0_);_(* \(#,##0\);_(* &quot;-&quot;_);_(@_)"/>
    <numFmt numFmtId="178" formatCode="_(* #,##0.00_);_(* \(#,##0.00\);_(* &quot;-&quot;??_);_(@_)"/>
    <numFmt numFmtId="179" formatCode="#,##0_);[Red]\(#,##0\)"/>
    <numFmt numFmtId="180" formatCode="_-* #,##0_-;\-* #,##0_-;_-* &quot;-&quot;??_-;_-@_-"/>
    <numFmt numFmtId="181" formatCode="_-* #,##0.0_-;\-* #,##0.0_-;_-* &quot;-&quot;?_-;_-@_-"/>
    <numFmt numFmtId="182" formatCode="_-* #,##0_-;&quot;₩&quot;\!\-* #,##0_-;_-* &quot;-&quot;_-;_-@_-"/>
    <numFmt numFmtId="183" formatCode="_ * #,##0_ ;_ * \-#,##0_ ;_ * &quot;-&quot;_ ;_ @_ "/>
    <numFmt numFmtId="184" formatCode="_-&quot;₩&quot;* #,##0.00_-;&quot;₩&quot;&quot;₩&quot;\!\!\!\-&quot;₩&quot;* #,##0.00_-;_-&quot;₩&quot;* &quot;-&quot;??_-;_-@_-"/>
    <numFmt numFmtId="185" formatCode="_ * #,##0.00_ ;_ * \-#,##0.00_ ;_ * &quot;-&quot;??_ ;_ @_ "/>
    <numFmt numFmtId="186" formatCode="_(&quot;$&quot;* #,##0_);_(&quot;$&quot;* \(#,##0\);_(&quot;$&quot;* &quot;-&quot;_);_(@_)"/>
    <numFmt numFmtId="187" formatCode="_(&quot;$&quot;* #,##0.00_);_(&quot;$&quot;* \(#,##0.00\);_(&quot;$&quot;* &quot;-&quot;??_);_(@_)"/>
    <numFmt numFmtId="188" formatCode="_-&quot;₩&quot;* #,##0_-;&quot;₩&quot;&quot;₩&quot;\!\!\-&quot;₩&quot;* #,##0_-;_-&quot;₩&quot;* &quot;-&quot;_-;_-@_-"/>
    <numFmt numFmtId="189" formatCode="_-&quot;₩&quot;* #,##0.00_-;&quot;₩&quot;&quot;₩&quot;\!\!\-&quot;₩&quot;* #,##0.00_-;_-&quot;₩&quot;* &quot;-&quot;??_-;_-@_-"/>
    <numFmt numFmtId="190" formatCode="_-* #,##0.00_-;&quot;₩&quot;\!\-* #,##0.00_-;_-* &quot;-&quot;??_-;_-@_-"/>
    <numFmt numFmtId="191" formatCode="_-* #,##0.0_-;&quot;₩&quot;&quot;₩&quot;\!\!\-* #,##0.0_-;_-* &quot;-&quot;_-;_-@_-"/>
    <numFmt numFmtId="192" formatCode="?/?#"/>
    <numFmt numFmtId="193" formatCode="#,##0.000_ "/>
    <numFmt numFmtId="194" formatCode="0.0_);[Red]&quot;₩&quot;\!\(0.0&quot;₩&quot;\!\)"/>
    <numFmt numFmtId="195" formatCode="_-* #,##0.0_-;\-* #,##0.0_-;_-* &quot;-&quot;_-;_-@_-"/>
    <numFmt numFmtId="196" formatCode="0;_Ͽ"/>
    <numFmt numFmtId="197" formatCode="0_);[Red]\(0\)"/>
    <numFmt numFmtId="198" formatCode="yyyy&quot;년&quot;\ m&quot;월&quot;\ d&quot;일&quot;;@"/>
    <numFmt numFmtId="199" formatCode="&quot;공사명:&quot;\ @"/>
    <numFmt numFmtId="200" formatCode="0.000"/>
    <numFmt numFmtId="201" formatCode="[DBNum4]&quot;일&quot;&quot;금&quot;[$-412]General&quot;원&quot;&quot;정&quot;"/>
    <numFmt numFmtId="202" formatCode="#,##0_ ;[Red]\-#,##0\ "/>
  </numFmts>
  <fonts count="70" x14ac:knownFonts="1">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1"/>
      <name val="돋움"/>
      <family val="3"/>
      <charset val="129"/>
    </font>
    <font>
      <b/>
      <sz val="36"/>
      <name val="돋움"/>
      <family val="3"/>
      <charset val="129"/>
    </font>
    <font>
      <sz val="10"/>
      <name val="Helv"/>
      <family val="2"/>
    </font>
    <font>
      <sz val="10"/>
      <name val="Arial"/>
      <family val="2"/>
    </font>
    <font>
      <sz val="8"/>
      <name val="Arial"/>
      <family val="2"/>
    </font>
    <font>
      <b/>
      <sz val="12"/>
      <name val="Arial"/>
      <family val="2"/>
    </font>
    <font>
      <sz val="10"/>
      <name val="Times New Roman"/>
      <family val="1"/>
    </font>
    <font>
      <sz val="9"/>
      <name val="MS Sans Serif"/>
      <family val="2"/>
    </font>
    <font>
      <b/>
      <sz val="36"/>
      <name val="LG스마트체2.0 SemiBold"/>
      <family val="3"/>
      <charset val="129"/>
    </font>
    <font>
      <sz val="36"/>
      <name val="LG스마트체2.0 SemiBold"/>
      <family val="3"/>
      <charset val="129"/>
    </font>
    <font>
      <b/>
      <sz val="16"/>
      <name val="LG스마트체2.0 SemiBold"/>
      <family val="3"/>
      <charset val="129"/>
    </font>
    <font>
      <b/>
      <sz val="12"/>
      <name val="LG스마트체2.0 SemiBold"/>
      <family val="3"/>
      <charset val="129"/>
    </font>
    <font>
      <b/>
      <sz val="11"/>
      <name val="LG스마트체2.0 SemiBold"/>
      <family val="3"/>
      <charset val="129"/>
    </font>
    <font>
      <b/>
      <sz val="18"/>
      <name val="LG스마트체2.0 SemiBold"/>
      <family val="3"/>
      <charset val="129"/>
    </font>
    <font>
      <sz val="11"/>
      <name val="LG스마트체2.0 SemiBold"/>
      <family val="3"/>
      <charset val="129"/>
    </font>
    <font>
      <sz val="12"/>
      <name val="LG스마트체2.0 SemiBold"/>
      <family val="3"/>
      <charset val="129"/>
    </font>
    <font>
      <b/>
      <sz val="14"/>
      <name val="LG스마트체2.0 SemiBold"/>
      <family val="3"/>
      <charset val="129"/>
    </font>
    <font>
      <b/>
      <sz val="10"/>
      <name val="LG스마트체2.0 SemiBold"/>
      <family val="3"/>
      <charset val="129"/>
    </font>
    <font>
      <sz val="12"/>
      <name val="바탕체"/>
      <family val="1"/>
      <charset val="129"/>
    </font>
    <font>
      <sz val="10"/>
      <name val="LG스마트체2.0 SemiBold"/>
      <family val="3"/>
      <charset val="129"/>
    </font>
    <font>
      <sz val="9"/>
      <name val="LG스마트체2.0 SemiBold"/>
      <family val="3"/>
      <charset val="129"/>
    </font>
    <font>
      <sz val="11"/>
      <color theme="1"/>
      <name val="맑은 고딕"/>
      <family val="3"/>
      <charset val="129"/>
      <scheme val="minor"/>
    </font>
    <font>
      <sz val="11"/>
      <color indexed="8"/>
      <name val="맑은 고딕"/>
      <family val="3"/>
      <charset val="129"/>
      <scheme val="minor"/>
    </font>
    <font>
      <b/>
      <sz val="14"/>
      <name val="맑은 고딕"/>
      <family val="3"/>
      <charset val="129"/>
      <scheme val="minor"/>
    </font>
    <font>
      <sz val="10"/>
      <name val="맑은 고딕"/>
      <family val="3"/>
      <charset val="129"/>
      <scheme val="minor"/>
    </font>
    <font>
      <b/>
      <sz val="10"/>
      <name val="맑은 고딕"/>
      <family val="3"/>
      <charset val="129"/>
      <scheme val="minor"/>
    </font>
    <font>
      <sz val="10"/>
      <color indexed="8"/>
      <name val="맑은 고딕"/>
      <family val="3"/>
      <charset val="129"/>
      <scheme val="minor"/>
    </font>
    <font>
      <sz val="8"/>
      <name val="맑은 고딕"/>
      <family val="3"/>
      <charset val="129"/>
      <scheme val="minor"/>
    </font>
    <font>
      <b/>
      <sz val="9"/>
      <name val="맑은 고딕"/>
      <family val="3"/>
      <charset val="129"/>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8"/>
      <name val="맑은 고딕"/>
      <family val="2"/>
      <charset val="129"/>
      <scheme val="minor"/>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1"/>
      <color indexed="8"/>
      <name val="맑은 고딕"/>
      <family val="2"/>
      <scheme val="minor"/>
    </font>
    <font>
      <sz val="9"/>
      <name val="LG스마트체2.0 Regular"/>
      <family val="3"/>
      <charset val="129"/>
    </font>
    <font>
      <b/>
      <sz val="12"/>
      <color indexed="9"/>
      <name val="LG스마트체2.0 Regular"/>
      <family val="3"/>
      <charset val="129"/>
    </font>
    <font>
      <b/>
      <sz val="10"/>
      <color indexed="64"/>
      <name val="Arial"/>
      <family val="2"/>
    </font>
    <font>
      <sz val="10"/>
      <color indexed="64"/>
      <name val="Arial"/>
      <family val="2"/>
    </font>
    <font>
      <b/>
      <sz val="28"/>
      <name val="맑은 고딕"/>
      <family val="3"/>
      <charset val="129"/>
      <scheme val="minor"/>
    </font>
    <font>
      <b/>
      <sz val="11"/>
      <color theme="1"/>
      <name val="맑은 고딕"/>
      <family val="3"/>
      <charset val="129"/>
      <scheme val="minor"/>
    </font>
    <font>
      <b/>
      <sz val="11"/>
      <color indexed="8"/>
      <name val="맑은 고딕"/>
      <family val="3"/>
      <charset val="129"/>
      <scheme val="minor"/>
    </font>
    <font>
      <b/>
      <sz val="18"/>
      <color indexed="8"/>
      <name val="맑은 고딕"/>
      <family val="3"/>
      <charset val="129"/>
      <scheme val="minor"/>
    </font>
    <font>
      <sz val="8"/>
      <name val="맑은 고딕"/>
      <family val="3"/>
      <charset val="129"/>
    </font>
    <font>
      <b/>
      <sz val="12"/>
      <color indexed="8"/>
      <name val="맑은 고딕"/>
      <family val="3"/>
      <charset val="129"/>
      <scheme val="minor"/>
    </font>
    <font>
      <b/>
      <sz val="10"/>
      <color indexed="8"/>
      <name val="맑은 고딕"/>
      <family val="3"/>
      <charset val="129"/>
      <scheme val="minor"/>
    </font>
    <font>
      <b/>
      <sz val="8"/>
      <color indexed="8"/>
      <name val="맑은 고딕"/>
      <family val="3"/>
      <charset val="129"/>
      <scheme val="minor"/>
    </font>
    <font>
      <b/>
      <sz val="14"/>
      <color indexed="8"/>
      <name val="맑은 고딕"/>
      <family val="3"/>
      <charset val="129"/>
      <scheme val="minor"/>
    </font>
    <font>
      <b/>
      <sz val="13"/>
      <color indexed="8"/>
      <name val="맑은 고딕"/>
      <family val="3"/>
      <charset val="129"/>
      <scheme val="minor"/>
    </font>
    <font>
      <b/>
      <sz val="12"/>
      <name val="맑은 고딕"/>
      <family val="3"/>
      <charset val="129"/>
      <scheme val="minor"/>
    </font>
    <font>
      <sz val="12"/>
      <color indexed="8"/>
      <name val="맑은 고딕"/>
      <family val="3"/>
      <charset val="129"/>
      <scheme val="minor"/>
    </font>
    <font>
      <b/>
      <sz val="12"/>
      <color rgb="FFFF0000"/>
      <name val="맑은 고딕"/>
      <family val="3"/>
      <charset val="129"/>
      <scheme val="minor"/>
    </font>
    <font>
      <sz val="12"/>
      <color rgb="FFFF0000"/>
      <name val="맑은 고딕"/>
      <family val="3"/>
      <charset val="129"/>
      <scheme val="minor"/>
    </font>
    <font>
      <b/>
      <sz val="9"/>
      <color indexed="8"/>
      <name val="맑은 고딕"/>
      <family val="3"/>
      <charset val="129"/>
      <scheme val="minor"/>
    </font>
    <font>
      <b/>
      <sz val="10"/>
      <color theme="1"/>
      <name val="맑은 고딕"/>
      <family val="3"/>
      <charset val="129"/>
      <scheme val="minor"/>
    </font>
    <font>
      <b/>
      <sz val="16"/>
      <color indexed="8"/>
      <name val="맑은 고딕"/>
      <family val="3"/>
      <charset val="129"/>
      <scheme val="minor"/>
    </font>
    <font>
      <b/>
      <sz val="16"/>
      <color theme="1"/>
      <name val="맑은 고딕"/>
      <family val="3"/>
      <charset val="129"/>
      <scheme val="minor"/>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
      <patternFill patternType="solid">
        <fgColor theme="0" tint="-0.14999847407452621"/>
        <bgColor indexed="64"/>
      </patternFill>
    </fill>
  </fills>
  <borders count="1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s>
  <cellStyleXfs count="50">
    <xf numFmtId="0" fontId="0" fillId="0" borderId="0"/>
    <xf numFmtId="0" fontId="6" fillId="0" borderId="0"/>
    <xf numFmtId="183" fontId="7" fillId="0" borderId="0" applyFont="0" applyFill="0" applyBorder="0" applyAlignment="0" applyProtection="0"/>
    <xf numFmtId="184" fontId="4" fillId="0" borderId="0"/>
    <xf numFmtId="185" fontId="7" fillId="0" borderId="0" applyFont="0" applyFill="0" applyBorder="0" applyAlignment="0" applyProtection="0"/>
    <xf numFmtId="186" fontId="7" fillId="0" borderId="0" applyFont="0" applyFill="0" applyBorder="0" applyAlignment="0" applyProtection="0"/>
    <xf numFmtId="187" fontId="7" fillId="0" borderId="0" applyFont="0" applyFill="0" applyBorder="0" applyAlignment="0" applyProtection="0"/>
    <xf numFmtId="188" fontId="4" fillId="0" borderId="0"/>
    <xf numFmtId="189" fontId="4" fillId="0" borderId="0"/>
    <xf numFmtId="38" fontId="8" fillId="2" borderId="0" applyNumberFormat="0" applyBorder="0" applyAlignment="0" applyProtection="0"/>
    <xf numFmtId="0" fontId="9" fillId="0" borderId="1" applyNumberFormat="0" applyAlignment="0" applyProtection="0">
      <alignment horizontal="left" vertical="center"/>
    </xf>
    <xf numFmtId="0" fontId="9" fillId="0" borderId="2">
      <alignment horizontal="left" vertical="center"/>
    </xf>
    <xf numFmtId="10" fontId="8" fillId="3" borderId="3" applyNumberFormat="0" applyBorder="0" applyAlignment="0" applyProtection="0"/>
    <xf numFmtId="182" fontId="7" fillId="0" borderId="0" applyFont="0" applyFill="0" applyBorder="0" applyAlignment="0" applyProtection="0"/>
    <xf numFmtId="19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1" fontId="4" fillId="0" borderId="0"/>
    <xf numFmtId="0" fontId="10" fillId="0" borderId="0"/>
    <xf numFmtId="10" fontId="7" fillId="0" borderId="0" applyFont="0" applyFill="0" applyBorder="0" applyAlignment="0" applyProtection="0"/>
    <xf numFmtId="9" fontId="25" fillId="0" borderId="0" applyFont="0" applyFill="0" applyBorder="0" applyAlignment="0" applyProtection="0">
      <alignment vertical="center"/>
    </xf>
    <xf numFmtId="9" fontId="4" fillId="0" borderId="0" applyFont="0" applyFill="0" applyBorder="0" applyAlignment="0" applyProtection="0"/>
    <xf numFmtId="192" fontId="11" fillId="0" borderId="4" applyFont="0" applyFill="0" applyAlignment="0" applyProtection="0">
      <alignment horizontal="center" vertical="center"/>
    </xf>
    <xf numFmtId="177" fontId="2" fillId="0" borderId="0" applyFont="0" applyFill="0" applyBorder="0" applyAlignment="0" applyProtection="0"/>
    <xf numFmtId="177" fontId="25" fillId="0" borderId="0" applyFont="0" applyFill="0" applyBorder="0" applyAlignment="0" applyProtection="0">
      <alignment vertical="center"/>
    </xf>
    <xf numFmtId="182"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93" fontId="4" fillId="0" borderId="0" applyFont="0" applyFill="0" applyBorder="0" applyAlignment="0" applyProtection="0"/>
    <xf numFmtId="194" fontId="4" fillId="0" borderId="0" applyFont="0" applyFill="0" applyBorder="0" applyAlignment="0" applyProtection="0"/>
    <xf numFmtId="176" fontId="25" fillId="0" borderId="0" applyFont="0" applyFill="0" applyBorder="0" applyAlignment="0" applyProtection="0">
      <alignment vertical="center"/>
    </xf>
    <xf numFmtId="176" fontId="4" fillId="0" borderId="0" applyFont="0" applyFill="0" applyBorder="0" applyAlignment="0" applyProtection="0"/>
    <xf numFmtId="0" fontId="25" fillId="0" borderId="0">
      <alignment vertical="center"/>
    </xf>
    <xf numFmtId="0" fontId="26" fillId="0" borderId="0">
      <alignment vertical="center"/>
    </xf>
    <xf numFmtId="0" fontId="2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177" fontId="47" fillId="0" borderId="0" applyFont="0" applyFill="0" applyBorder="0" applyAlignment="0" applyProtection="0">
      <alignment vertical="center"/>
    </xf>
    <xf numFmtId="177" fontId="2" fillId="0" borderId="0" applyFont="0" applyFill="0" applyBorder="0" applyAlignment="0" applyProtection="0">
      <alignment vertical="center"/>
    </xf>
    <xf numFmtId="9" fontId="47" fillId="0" borderId="0" applyFont="0" applyFill="0" applyBorder="0" applyAlignment="0" applyProtection="0">
      <alignment vertical="center"/>
    </xf>
    <xf numFmtId="183" fontId="50" fillId="0" borderId="0" applyFont="0" applyFill="0" applyBorder="0" applyAlignment="0" applyProtection="0"/>
    <xf numFmtId="0" fontId="47" fillId="0" borderId="0">
      <alignment vertical="center"/>
    </xf>
    <xf numFmtId="177" fontId="1" fillId="0" borderId="0" applyFont="0" applyFill="0" applyBorder="0" applyAlignment="0" applyProtection="0">
      <alignment vertical="center"/>
    </xf>
    <xf numFmtId="0" fontId="51" fillId="0" borderId="0"/>
    <xf numFmtId="183" fontId="50" fillId="0" borderId="0" applyFont="0" applyFill="0" applyBorder="0" applyAlignment="0" applyProtection="0"/>
    <xf numFmtId="41" fontId="2" fillId="0" borderId="0" applyFont="0" applyFill="0" applyBorder="0" applyAlignment="0" applyProtection="0"/>
    <xf numFmtId="41" fontId="25" fillId="0" borderId="0" applyFont="0" applyFill="0" applyBorder="0" applyAlignment="0" applyProtection="0">
      <alignment vertical="center"/>
    </xf>
  </cellStyleXfs>
  <cellXfs count="506">
    <xf numFmtId="0" fontId="0" fillId="0" borderId="0" xfId="0"/>
    <xf numFmtId="179" fontId="27" fillId="5" borderId="0" xfId="35" applyNumberFormat="1" applyFont="1" applyFill="1" applyAlignment="1">
      <alignment vertical="center"/>
    </xf>
    <xf numFmtId="0" fontId="28" fillId="0" borderId="0" xfId="0" applyFont="1" applyAlignment="1">
      <alignment horizontal="center" vertical="center"/>
    </xf>
    <xf numFmtId="182" fontId="28" fillId="0" borderId="0" xfId="25" applyFont="1" applyAlignment="1">
      <alignment horizontal="center" vertical="center"/>
    </xf>
    <xf numFmtId="182" fontId="28" fillId="0" borderId="0" xfId="25" applyFont="1" applyAlignment="1">
      <alignment vertical="center"/>
    </xf>
    <xf numFmtId="0" fontId="28" fillId="0" borderId="0" xfId="0" applyFont="1" applyAlignment="1">
      <alignment vertical="center"/>
    </xf>
    <xf numFmtId="0" fontId="29" fillId="0" borderId="0" xfId="0" applyFont="1" applyAlignment="1">
      <alignment vertical="center"/>
    </xf>
    <xf numFmtId="182" fontId="29" fillId="6" borderId="3" xfId="25" applyFont="1" applyFill="1" applyBorder="1" applyAlignment="1">
      <alignment horizontal="center" vertical="center" wrapText="1"/>
    </xf>
    <xf numFmtId="0" fontId="29" fillId="0" borderId="3" xfId="25" applyNumberFormat="1" applyFont="1" applyFill="1" applyBorder="1" applyAlignment="1">
      <alignment vertical="center"/>
    </xf>
    <xf numFmtId="0" fontId="28" fillId="0" borderId="3" xfId="25" applyNumberFormat="1" applyFont="1" applyFill="1" applyBorder="1" applyAlignment="1">
      <alignment horizontal="center" vertical="center"/>
    </xf>
    <xf numFmtId="0" fontId="28" fillId="0" borderId="3" xfId="0" applyFont="1" applyBorder="1" applyAlignment="1">
      <alignment horizontal="center" vertical="center" shrinkToFit="1"/>
    </xf>
    <xf numFmtId="177" fontId="28" fillId="0" borderId="3" xfId="25" applyNumberFormat="1" applyFont="1" applyFill="1" applyBorder="1" applyAlignment="1">
      <alignment horizontal="center" vertical="center"/>
    </xf>
    <xf numFmtId="177" fontId="28" fillId="0" borderId="3" xfId="25" applyNumberFormat="1" applyFont="1" applyFill="1" applyBorder="1" applyAlignment="1">
      <alignment vertical="center"/>
    </xf>
    <xf numFmtId="182" fontId="28" fillId="0" borderId="3" xfId="25" applyFont="1" applyFill="1" applyBorder="1" applyAlignment="1">
      <alignment horizontal="center" vertical="center"/>
    </xf>
    <xf numFmtId="182" fontId="28" fillId="0" borderId="3" xfId="25" applyFont="1" applyFill="1" applyBorder="1" applyAlignment="1">
      <alignment vertical="center"/>
    </xf>
    <xf numFmtId="177" fontId="30" fillId="0" borderId="3" xfId="0" quotePrefix="1" applyNumberFormat="1" applyFont="1" applyBorder="1" applyAlignment="1">
      <alignment horizontal="left" vertical="center"/>
    </xf>
    <xf numFmtId="177" fontId="30" fillId="0" borderId="3" xfId="0" applyNumberFormat="1" applyFont="1" applyBorder="1" applyAlignment="1">
      <alignment vertical="center"/>
    </xf>
    <xf numFmtId="182" fontId="29" fillId="0" borderId="3" xfId="25" applyFont="1" applyFill="1" applyBorder="1" applyAlignment="1">
      <alignment vertical="center"/>
    </xf>
    <xf numFmtId="0" fontId="29" fillId="7" borderId="3" xfId="25" applyNumberFormat="1" applyFont="1" applyFill="1" applyBorder="1" applyAlignment="1">
      <alignment horizontal="center" vertical="center"/>
    </xf>
    <xf numFmtId="0" fontId="29" fillId="7" borderId="3" xfId="0" applyFont="1" applyFill="1" applyBorder="1" applyAlignment="1">
      <alignment horizontal="center" vertical="center"/>
    </xf>
    <xf numFmtId="178" fontId="29" fillId="7" borderId="3" xfId="25" applyNumberFormat="1" applyFont="1" applyFill="1" applyBorder="1" applyAlignment="1">
      <alignment horizontal="center" vertical="center"/>
    </xf>
    <xf numFmtId="177" fontId="29" fillId="7" borderId="3" xfId="25" applyNumberFormat="1" applyFont="1" applyFill="1" applyBorder="1" applyAlignment="1">
      <alignment horizontal="center" vertical="center"/>
    </xf>
    <xf numFmtId="182" fontId="29" fillId="7" borderId="3" xfId="25" applyFont="1" applyFill="1" applyBorder="1" applyAlignment="1">
      <alignment horizontal="center" vertical="center"/>
    </xf>
    <xf numFmtId="182" fontId="28" fillId="7" borderId="3" xfId="25" applyFont="1" applyFill="1" applyBorder="1" applyAlignment="1">
      <alignment horizontal="center" vertical="center"/>
    </xf>
    <xf numFmtId="0" fontId="28" fillId="0" borderId="15" xfId="0" applyFont="1" applyBorder="1" applyAlignment="1">
      <alignment vertical="center"/>
    </xf>
    <xf numFmtId="0" fontId="28" fillId="0" borderId="15" xfId="0" applyFont="1" applyBorder="1" applyAlignment="1">
      <alignment horizontal="center" vertical="center"/>
    </xf>
    <xf numFmtId="182" fontId="28" fillId="0" borderId="15" xfId="25" applyFont="1" applyBorder="1" applyAlignment="1">
      <alignment horizontal="center" vertical="center"/>
    </xf>
    <xf numFmtId="182" fontId="28" fillId="0" borderId="15" xfId="25" applyFont="1" applyBorder="1" applyAlignment="1">
      <alignment vertical="center"/>
    </xf>
    <xf numFmtId="182" fontId="28" fillId="0" borderId="0" xfId="25" applyFont="1" applyBorder="1" applyAlignment="1">
      <alignment horizontal="center" vertical="center"/>
    </xf>
    <xf numFmtId="182" fontId="28" fillId="0" borderId="0" xfId="25" applyFont="1" applyBorder="1" applyAlignment="1">
      <alignment vertical="center"/>
    </xf>
    <xf numFmtId="179" fontId="30" fillId="0" borderId="3" xfId="0" applyNumberFormat="1" applyFont="1" applyBorder="1" applyAlignment="1">
      <alignment horizontal="center" vertical="center"/>
    </xf>
    <xf numFmtId="177" fontId="28" fillId="0" borderId="16" xfId="25" applyNumberFormat="1" applyFont="1" applyFill="1" applyBorder="1" applyAlignment="1">
      <alignment horizontal="left" vertical="center" wrapText="1"/>
    </xf>
    <xf numFmtId="177" fontId="30" fillId="0" borderId="3" xfId="0" applyNumberFormat="1" applyFont="1" applyBorder="1" applyAlignment="1">
      <alignment horizontal="center" vertical="center" wrapText="1"/>
    </xf>
    <xf numFmtId="196" fontId="28" fillId="0" borderId="0" xfId="0" applyNumberFormat="1" applyFont="1" applyAlignment="1">
      <alignment vertical="center"/>
    </xf>
    <xf numFmtId="180" fontId="30" fillId="0" borderId="3" xfId="0" quotePrefix="1" applyNumberFormat="1" applyFont="1" applyBorder="1" applyAlignment="1">
      <alignment horizontal="left" vertical="center"/>
    </xf>
    <xf numFmtId="182" fontId="31" fillId="0" borderId="3" xfId="25" applyFont="1" applyFill="1" applyBorder="1" applyAlignment="1">
      <alignment horizontal="center" vertical="center"/>
    </xf>
    <xf numFmtId="197" fontId="14" fillId="4" borderId="17" xfId="0" applyNumberFormat="1" applyFont="1" applyFill="1" applyBorder="1" applyAlignment="1">
      <alignment vertical="center"/>
    </xf>
    <xf numFmtId="0" fontId="14" fillId="4" borderId="0" xfId="0" applyFont="1" applyFill="1" applyAlignment="1">
      <alignment vertical="center"/>
    </xf>
    <xf numFmtId="0" fontId="14" fillId="4" borderId="0" xfId="0" applyFont="1" applyFill="1" applyAlignment="1">
      <alignment horizontal="center" vertical="center"/>
    </xf>
    <xf numFmtId="0" fontId="14" fillId="4" borderId="18" xfId="0" applyFont="1" applyFill="1" applyBorder="1" applyAlignment="1">
      <alignment horizontal="center" vertical="center"/>
    </xf>
    <xf numFmtId="0" fontId="14" fillId="4" borderId="18" xfId="0" applyFont="1" applyFill="1" applyBorder="1" applyAlignment="1">
      <alignment vertical="center"/>
    </xf>
    <xf numFmtId="197" fontId="15" fillId="4" borderId="11" xfId="0" applyNumberFormat="1" applyFont="1" applyFill="1" applyBorder="1" applyAlignment="1">
      <alignment horizontal="center" vertical="center"/>
    </xf>
    <xf numFmtId="0" fontId="17" fillId="4" borderId="0" xfId="0" applyFont="1" applyFill="1" applyAlignment="1">
      <alignment vertical="center"/>
    </xf>
    <xf numFmtId="0" fontId="17" fillId="4" borderId="18" xfId="0" applyFont="1" applyFill="1" applyBorder="1" applyAlignment="1">
      <alignment vertical="center"/>
    </xf>
    <xf numFmtId="197" fontId="15" fillId="4" borderId="12" xfId="0" applyNumberFormat="1" applyFont="1" applyFill="1" applyBorder="1" applyAlignment="1">
      <alignment horizontal="center" vertical="center"/>
    </xf>
    <xf numFmtId="0" fontId="15" fillId="4" borderId="0" xfId="0" applyFont="1" applyFill="1" applyAlignment="1">
      <alignment horizontal="center" vertical="center"/>
    </xf>
    <xf numFmtId="0" fontId="18" fillId="4" borderId="0" xfId="0" applyFont="1" applyFill="1" applyAlignment="1">
      <alignment vertical="center"/>
    </xf>
    <xf numFmtId="0" fontId="15" fillId="4" borderId="0" xfId="0" applyFont="1" applyFill="1" applyAlignment="1">
      <alignment vertical="center"/>
    </xf>
    <xf numFmtId="0" fontId="15" fillId="4" borderId="18" xfId="0" applyFont="1" applyFill="1" applyBorder="1" applyAlignment="1">
      <alignment vertical="center"/>
    </xf>
    <xf numFmtId="197" fontId="15" fillId="4" borderId="13" xfId="0" applyNumberFormat="1" applyFont="1" applyFill="1" applyBorder="1" applyAlignment="1">
      <alignment horizontal="center" vertical="center"/>
    </xf>
    <xf numFmtId="197" fontId="15" fillId="4" borderId="17" xfId="0" applyNumberFormat="1" applyFont="1" applyFill="1" applyBorder="1" applyAlignment="1">
      <alignment horizontal="left" vertical="center"/>
    </xf>
    <xf numFmtId="0" fontId="15" fillId="4" borderId="0" xfId="0" applyFont="1" applyFill="1" applyAlignment="1">
      <alignment horizontal="left" vertical="center"/>
    </xf>
    <xf numFmtId="0" fontId="15" fillId="4" borderId="19" xfId="0" applyFont="1" applyFill="1" applyBorder="1" applyAlignment="1">
      <alignment horizontal="left" vertical="center"/>
    </xf>
    <xf numFmtId="0" fontId="18" fillId="4" borderId="18" xfId="0" applyFont="1" applyFill="1" applyBorder="1" applyAlignment="1">
      <alignment vertical="center"/>
    </xf>
    <xf numFmtId="197" fontId="18" fillId="4" borderId="17" xfId="0" applyNumberFormat="1" applyFont="1" applyFill="1" applyBorder="1" applyAlignment="1">
      <alignment vertical="center"/>
    </xf>
    <xf numFmtId="197" fontId="18" fillId="4" borderId="20" xfId="0" applyNumberFormat="1" applyFont="1" applyFill="1" applyBorder="1" applyAlignment="1">
      <alignment vertical="center"/>
    </xf>
    <xf numFmtId="0" fontId="18" fillId="4" borderId="5" xfId="0" applyFont="1" applyFill="1" applyBorder="1" applyAlignment="1">
      <alignment vertical="center"/>
    </xf>
    <xf numFmtId="0" fontId="16" fillId="4" borderId="21" xfId="0" applyFont="1" applyFill="1" applyBorder="1" applyAlignment="1">
      <alignment horizontal="right" vertical="center"/>
    </xf>
    <xf numFmtId="0" fontId="16" fillId="4" borderId="19"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3" xfId="0" applyFont="1" applyFill="1" applyBorder="1" applyAlignment="1">
      <alignment horizontal="center" vertical="center"/>
    </xf>
    <xf numFmtId="0" fontId="16" fillId="4" borderId="24" xfId="0" applyFont="1" applyFill="1" applyBorder="1" applyAlignment="1">
      <alignment horizontal="center" vertical="center"/>
    </xf>
    <xf numFmtId="0" fontId="21" fillId="4" borderId="0" xfId="0" applyFont="1" applyFill="1" applyAlignment="1">
      <alignment horizontal="center" vertical="center"/>
    </xf>
    <xf numFmtId="0" fontId="16" fillId="4" borderId="2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26" xfId="0" applyFont="1" applyFill="1" applyBorder="1" applyAlignment="1">
      <alignment horizontal="center" vertical="center"/>
    </xf>
    <xf numFmtId="0" fontId="23" fillId="0" borderId="3" xfId="34" applyFont="1" applyBorder="1" applyAlignment="1" applyProtection="1">
      <alignment horizontal="center" vertical="center" wrapText="1"/>
      <protection locked="0"/>
    </xf>
    <xf numFmtId="0" fontId="23" fillId="0" borderId="3" xfId="27" applyNumberFormat="1" applyFont="1" applyBorder="1" applyAlignment="1" applyProtection="1">
      <alignment horizontal="center" vertical="center" wrapText="1"/>
      <protection locked="0"/>
    </xf>
    <xf numFmtId="197" fontId="18" fillId="4" borderId="12" xfId="0" applyNumberFormat="1" applyFont="1" applyFill="1" applyBorder="1" applyAlignment="1">
      <alignment horizontal="center" vertical="center"/>
    </xf>
    <xf numFmtId="197" fontId="16" fillId="4" borderId="27" xfId="0" applyNumberFormat="1" applyFont="1" applyFill="1" applyBorder="1" applyAlignment="1">
      <alignment horizontal="center" vertical="center"/>
    </xf>
    <xf numFmtId="0" fontId="18" fillId="4" borderId="19" xfId="0" applyFont="1" applyFill="1" applyBorder="1" applyAlignment="1">
      <alignment vertical="center"/>
    </xf>
    <xf numFmtId="0" fontId="16" fillId="4" borderId="28" xfId="0" applyFont="1" applyFill="1" applyBorder="1" applyAlignment="1">
      <alignment horizontal="center" vertical="center"/>
    </xf>
    <xf numFmtId="197" fontId="23" fillId="4" borderId="17" xfId="0" applyNumberFormat="1" applyFont="1" applyFill="1" applyBorder="1" applyAlignment="1">
      <alignment vertical="center"/>
    </xf>
    <xf numFmtId="0" fontId="23" fillId="4" borderId="0" xfId="0" applyFont="1" applyFill="1" applyAlignment="1">
      <alignment vertical="center"/>
    </xf>
    <xf numFmtId="0" fontId="18" fillId="4" borderId="18" xfId="0" applyFont="1" applyFill="1" applyBorder="1" applyAlignment="1">
      <alignment horizontal="center" vertical="center"/>
    </xf>
    <xf numFmtId="197" fontId="23" fillId="4" borderId="20" xfId="0" applyNumberFormat="1" applyFont="1" applyFill="1" applyBorder="1" applyAlignment="1">
      <alignment vertical="center"/>
    </xf>
    <xf numFmtId="0" fontId="23" fillId="4" borderId="5" xfId="0" applyFont="1" applyFill="1" applyBorder="1" applyAlignment="1">
      <alignment vertical="center"/>
    </xf>
    <xf numFmtId="0" fontId="18" fillId="4" borderId="21" xfId="0" applyFont="1" applyFill="1" applyBorder="1" applyAlignment="1">
      <alignment vertical="center"/>
    </xf>
    <xf numFmtId="182" fontId="28" fillId="0" borderId="3" xfId="25" applyFont="1" applyFill="1" applyBorder="1" applyAlignment="1">
      <alignment horizontal="center" vertical="center" wrapText="1"/>
    </xf>
    <xf numFmtId="181" fontId="0" fillId="0" borderId="0" xfId="0" applyNumberFormat="1"/>
    <xf numFmtId="0" fontId="0" fillId="0" borderId="3" xfId="0" applyBorder="1"/>
    <xf numFmtId="0" fontId="16" fillId="4" borderId="13" xfId="0" applyFont="1" applyFill="1" applyBorder="1" applyAlignment="1">
      <alignment horizontal="center" vertical="center"/>
    </xf>
    <xf numFmtId="0" fontId="0" fillId="0" borderId="14" xfId="0" applyBorder="1"/>
    <xf numFmtId="0" fontId="23" fillId="0" borderId="29" xfId="34" applyFont="1" applyBorder="1" applyAlignment="1" applyProtection="1">
      <alignment horizontal="center" vertical="center" wrapText="1"/>
      <protection locked="0"/>
    </xf>
    <xf numFmtId="0" fontId="23" fillId="0" borderId="29" xfId="27" applyNumberFormat="1" applyFont="1" applyBorder="1" applyAlignment="1" applyProtection="1">
      <alignment horizontal="center" vertical="center" wrapText="1"/>
      <protection locked="0"/>
    </xf>
    <xf numFmtId="177" fontId="14" fillId="4" borderId="0" xfId="26" applyFont="1" applyFill="1" applyBorder="1" applyAlignment="1">
      <alignment vertical="center"/>
    </xf>
    <xf numFmtId="177" fontId="14" fillId="4" borderId="0" xfId="26" applyFont="1" applyFill="1" applyBorder="1" applyAlignment="1">
      <alignment horizontal="right" vertical="center"/>
    </xf>
    <xf numFmtId="177" fontId="16" fillId="0" borderId="0" xfId="26" applyFont="1" applyBorder="1" applyAlignment="1">
      <alignment horizontal="center" vertical="center"/>
    </xf>
    <xf numFmtId="177" fontId="15" fillId="4" borderId="17" xfId="26" applyFont="1" applyFill="1" applyBorder="1" applyAlignment="1">
      <alignment horizontal="left" vertical="center"/>
    </xf>
    <xf numFmtId="177" fontId="15" fillId="4" borderId="17" xfId="26" applyFont="1" applyFill="1" applyBorder="1" applyAlignment="1">
      <alignment vertical="center"/>
    </xf>
    <xf numFmtId="177" fontId="15" fillId="4" borderId="0" xfId="26" applyFont="1" applyFill="1" applyBorder="1" applyAlignment="1">
      <alignment vertical="center"/>
    </xf>
    <xf numFmtId="177" fontId="15" fillId="4" borderId="0" xfId="26" applyFont="1" applyFill="1" applyBorder="1" applyAlignment="1">
      <alignment horizontal="left" vertical="center"/>
    </xf>
    <xf numFmtId="177" fontId="0" fillId="0" borderId="0" xfId="26" applyFont="1"/>
    <xf numFmtId="177" fontId="18" fillId="4" borderId="0" xfId="26" applyFont="1" applyFill="1" applyBorder="1" applyAlignment="1">
      <alignment vertical="center"/>
    </xf>
    <xf numFmtId="177" fontId="18" fillId="4" borderId="5" xfId="26" applyFont="1" applyFill="1" applyBorder="1" applyAlignment="1">
      <alignment vertical="center"/>
    </xf>
    <xf numFmtId="177" fontId="23" fillId="0" borderId="29" xfId="26" applyFont="1" applyBorder="1" applyAlignment="1" applyProtection="1">
      <alignment horizontal="center" vertical="center" wrapText="1"/>
      <protection locked="0"/>
    </xf>
    <xf numFmtId="177" fontId="18" fillId="4" borderId="30" xfId="26" applyFont="1" applyFill="1" applyBorder="1" applyAlignment="1">
      <alignment horizontal="center" vertical="center"/>
    </xf>
    <xf numFmtId="177" fontId="23" fillId="0" borderId="3" xfId="26" applyFont="1" applyBorder="1" applyAlignment="1" applyProtection="1">
      <alignment horizontal="center" vertical="center" wrapText="1"/>
      <protection locked="0"/>
    </xf>
    <xf numFmtId="0" fontId="23" fillId="0" borderId="3" xfId="26" applyNumberFormat="1" applyFont="1" applyBorder="1" applyAlignment="1" applyProtection="1">
      <alignment horizontal="center" vertical="center" wrapText="1"/>
      <protection locked="0"/>
    </xf>
    <xf numFmtId="177" fontId="0" fillId="0" borderId="3" xfId="26" applyFont="1" applyBorder="1"/>
    <xf numFmtId="177" fontId="0" fillId="0" borderId="14" xfId="26" applyFont="1" applyBorder="1"/>
    <xf numFmtId="176" fontId="16" fillId="4" borderId="31" xfId="31" applyFont="1" applyFill="1" applyBorder="1" applyAlignment="1">
      <alignment horizontal="center" vertical="center"/>
    </xf>
    <xf numFmtId="177" fontId="18" fillId="4" borderId="19" xfId="26" applyFont="1" applyFill="1" applyBorder="1" applyAlignment="1">
      <alignment vertical="center"/>
    </xf>
    <xf numFmtId="177" fontId="23" fillId="4" borderId="0" xfId="26" applyFont="1" applyFill="1" applyBorder="1" applyAlignment="1">
      <alignment vertical="center"/>
    </xf>
    <xf numFmtId="177" fontId="23" fillId="4" borderId="5" xfId="26" applyFont="1" applyFill="1" applyBorder="1" applyAlignment="1">
      <alignment vertical="center"/>
    </xf>
    <xf numFmtId="0" fontId="23" fillId="4" borderId="3" xfId="0" applyFont="1" applyFill="1" applyBorder="1" applyAlignment="1">
      <alignment horizontal="center" vertical="center"/>
    </xf>
    <xf numFmtId="0" fontId="23" fillId="0" borderId="32" xfId="34" applyFont="1" applyBorder="1" applyAlignment="1" applyProtection="1">
      <alignment horizontal="center" vertical="center" wrapText="1"/>
      <protection locked="0"/>
    </xf>
    <xf numFmtId="177" fontId="23" fillId="0" borderId="32" xfId="26" applyFont="1" applyBorder="1" applyAlignment="1" applyProtection="1">
      <alignment horizontal="center" vertical="center" wrapText="1"/>
      <protection locked="0"/>
    </xf>
    <xf numFmtId="0" fontId="23" fillId="0" borderId="32" xfId="27" applyNumberFormat="1" applyFont="1" applyBorder="1" applyAlignment="1" applyProtection="1">
      <alignment horizontal="center" vertical="center" wrapText="1"/>
      <protection locked="0"/>
    </xf>
    <xf numFmtId="177" fontId="23" fillId="4" borderId="3" xfId="26" applyFont="1" applyFill="1" applyBorder="1" applyAlignment="1">
      <alignment horizontal="center" vertical="center"/>
    </xf>
    <xf numFmtId="177" fontId="23" fillId="4" borderId="33" xfId="26" applyFont="1" applyFill="1" applyBorder="1" applyAlignment="1">
      <alignment horizontal="center" vertical="center"/>
    </xf>
    <xf numFmtId="177" fontId="23" fillId="4" borderId="34" xfId="26" applyFont="1" applyFill="1" applyBorder="1" applyAlignment="1">
      <alignment horizontal="center" vertical="center"/>
    </xf>
    <xf numFmtId="0" fontId="23" fillId="4" borderId="3" xfId="26" applyNumberFormat="1" applyFont="1" applyFill="1" applyBorder="1" applyAlignment="1">
      <alignment horizontal="center" vertical="center"/>
    </xf>
    <xf numFmtId="177" fontId="23" fillId="4" borderId="30" xfId="26" applyFont="1" applyFill="1" applyBorder="1" applyAlignment="1">
      <alignment horizontal="center" vertical="center"/>
    </xf>
    <xf numFmtId="182" fontId="32" fillId="7" borderId="3" xfId="25" applyFont="1" applyFill="1" applyBorder="1" applyAlignment="1">
      <alignment horizontal="center" vertical="center"/>
    </xf>
    <xf numFmtId="177" fontId="0" fillId="0" borderId="0" xfId="23" applyFont="1"/>
    <xf numFmtId="197" fontId="23" fillId="0" borderId="35" xfId="0" applyNumberFormat="1" applyFont="1" applyBorder="1" applyAlignment="1">
      <alignment horizontal="center" vertical="center"/>
    </xf>
    <xf numFmtId="0" fontId="24" fillId="0" borderId="29" xfId="34" applyFont="1" applyBorder="1" applyAlignment="1" applyProtection="1">
      <alignment horizontal="center" vertical="center" wrapText="1"/>
      <protection locked="0"/>
    </xf>
    <xf numFmtId="0" fontId="24" fillId="0" borderId="32" xfId="34" applyFont="1" applyBorder="1" applyAlignment="1" applyProtection="1">
      <alignment horizontal="center" vertical="center" wrapText="1"/>
      <protection locked="0"/>
    </xf>
    <xf numFmtId="0" fontId="24" fillId="4" borderId="3" xfId="0" applyFont="1" applyFill="1" applyBorder="1" applyAlignment="1">
      <alignment horizontal="center" vertical="center"/>
    </xf>
    <xf numFmtId="0" fontId="24" fillId="0" borderId="3" xfId="34" applyFont="1" applyBorder="1" applyAlignment="1" applyProtection="1">
      <alignment horizontal="center" vertical="center" wrapText="1"/>
      <protection locked="0"/>
    </xf>
    <xf numFmtId="0" fontId="23" fillId="0" borderId="22" xfId="34" applyFont="1" applyBorder="1" applyAlignment="1" applyProtection="1">
      <alignment horizontal="center" vertical="center" wrapText="1"/>
      <protection locked="0"/>
    </xf>
    <xf numFmtId="195" fontId="0" fillId="0" borderId="0" xfId="23" applyNumberFormat="1" applyFont="1"/>
    <xf numFmtId="0" fontId="34" fillId="0" borderId="0" xfId="37" applyFont="1">
      <alignment vertical="center"/>
    </xf>
    <xf numFmtId="0" fontId="33" fillId="0" borderId="17" xfId="36" applyFont="1" applyBorder="1" applyAlignment="1">
      <alignment horizontal="center" vertical="center"/>
    </xf>
    <xf numFmtId="0" fontId="33" fillId="0" borderId="0" xfId="36" applyFont="1" applyAlignment="1">
      <alignment horizontal="center" vertical="center"/>
    </xf>
    <xf numFmtId="0" fontId="33" fillId="0" borderId="18" xfId="36" applyFont="1" applyBorder="1" applyAlignment="1">
      <alignment horizontal="center" vertical="center"/>
    </xf>
    <xf numFmtId="0" fontId="36" fillId="0" borderId="17" xfId="36" applyFont="1" applyBorder="1" applyAlignment="1">
      <alignment horizontal="left" vertical="center"/>
    </xf>
    <xf numFmtId="0" fontId="37" fillId="0" borderId="0" xfId="36" applyFont="1" applyAlignment="1">
      <alignment vertical="center"/>
    </xf>
    <xf numFmtId="0" fontId="37" fillId="0" borderId="0" xfId="36" applyFont="1" applyAlignment="1">
      <alignment horizontal="left" vertical="center" textRotation="1"/>
    </xf>
    <xf numFmtId="0" fontId="38" fillId="0" borderId="0" xfId="36" applyFont="1" applyAlignment="1">
      <alignment horizontal="centerContinuous" vertical="center"/>
    </xf>
    <xf numFmtId="0" fontId="38" fillId="0" borderId="18" xfId="36" applyFont="1" applyBorder="1" applyAlignment="1">
      <alignment vertical="center"/>
    </xf>
    <xf numFmtId="0" fontId="39" fillId="0" borderId="17" xfId="36" applyFont="1" applyBorder="1" applyAlignment="1">
      <alignment horizontal="left" vertical="center" indent="2"/>
    </xf>
    <xf numFmtId="0" fontId="34" fillId="0" borderId="10" xfId="36" applyFont="1" applyBorder="1" applyAlignment="1">
      <alignment vertical="center"/>
    </xf>
    <xf numFmtId="0" fontId="34" fillId="0" borderId="0" xfId="36" applyFont="1" applyAlignment="1">
      <alignment vertical="center"/>
    </xf>
    <xf numFmtId="0" fontId="38" fillId="0" borderId="18" xfId="36" applyFont="1" applyBorder="1" applyAlignment="1">
      <alignment horizontal="right" vertical="center"/>
    </xf>
    <xf numFmtId="0" fontId="39" fillId="0" borderId="17" xfId="36" applyFont="1" applyBorder="1" applyAlignment="1">
      <alignment vertical="center"/>
    </xf>
    <xf numFmtId="0" fontId="39" fillId="0" borderId="0" xfId="36" applyFont="1" applyAlignment="1">
      <alignment vertical="center"/>
    </xf>
    <xf numFmtId="0" fontId="38" fillId="0" borderId="0" xfId="36" applyFont="1" applyAlignment="1">
      <alignment horizontal="right" vertical="center"/>
    </xf>
    <xf numFmtId="0" fontId="39" fillId="0" borderId="18" xfId="36" applyFont="1" applyBorder="1" applyAlignment="1">
      <alignment vertical="center"/>
    </xf>
    <xf numFmtId="0" fontId="34" fillId="0" borderId="48" xfId="36" applyFont="1" applyBorder="1" applyAlignment="1">
      <alignment horizontal="center" vertical="center"/>
    </xf>
    <xf numFmtId="0" fontId="34" fillId="0" borderId="49" xfId="36" applyFont="1" applyBorder="1" applyAlignment="1">
      <alignment horizontal="center" vertical="center"/>
    </xf>
    <xf numFmtId="0" fontId="34" fillId="0" borderId="51" xfId="36" applyFont="1" applyBorder="1" applyAlignment="1">
      <alignment horizontal="center" vertical="center"/>
    </xf>
    <xf numFmtId="0" fontId="34" fillId="0" borderId="52" xfId="36" applyFont="1" applyBorder="1" applyAlignment="1">
      <alignment horizontal="center" vertical="center"/>
    </xf>
    <xf numFmtId="0" fontId="34" fillId="0" borderId="59" xfId="36" applyFont="1" applyBorder="1" applyAlignment="1">
      <alignment horizontal="center" vertical="center"/>
    </xf>
    <xf numFmtId="0" fontId="43" fillId="0" borderId="60" xfId="36" applyFont="1" applyBorder="1" applyAlignment="1">
      <alignment horizontal="center" vertical="center"/>
    </xf>
    <xf numFmtId="0" fontId="34" fillId="0" borderId="65" xfId="36" applyFont="1" applyBorder="1" applyAlignment="1">
      <alignment horizontal="center" vertical="center"/>
    </xf>
    <xf numFmtId="0" fontId="34" fillId="0" borderId="66" xfId="36" applyFont="1" applyBorder="1" applyAlignment="1">
      <alignment horizontal="center" vertical="center"/>
    </xf>
    <xf numFmtId="0" fontId="34" fillId="0" borderId="17" xfId="36" applyFont="1" applyBorder="1" applyAlignment="1">
      <alignment horizontal="center" vertical="center"/>
    </xf>
    <xf numFmtId="0" fontId="34" fillId="0" borderId="0" xfId="36" applyFont="1" applyAlignment="1">
      <alignment horizontal="center" vertical="center"/>
    </xf>
    <xf numFmtId="0" fontId="34" fillId="0" borderId="0" xfId="36" applyFont="1" applyAlignment="1">
      <alignment horizontal="left" vertical="center" indent="1"/>
    </xf>
    <xf numFmtId="0" fontId="38" fillId="0" borderId="0" xfId="36" applyFont="1" applyAlignment="1">
      <alignment vertical="center"/>
    </xf>
    <xf numFmtId="0" fontId="34" fillId="0" borderId="17" xfId="36" applyFont="1" applyBorder="1" applyAlignment="1">
      <alignment vertical="center"/>
    </xf>
    <xf numFmtId="0" fontId="34" fillId="0" borderId="18" xfId="36" applyFont="1" applyBorder="1" applyAlignment="1">
      <alignment vertical="center"/>
    </xf>
    <xf numFmtId="0" fontId="39" fillId="0" borderId="17" xfId="36" applyFont="1" applyBorder="1" applyAlignment="1">
      <alignment horizontal="left" vertical="center" indent="1"/>
    </xf>
    <xf numFmtId="0" fontId="45" fillId="0" borderId="0" xfId="36" applyFont="1" applyAlignment="1">
      <alignment vertical="center"/>
    </xf>
    <xf numFmtId="0" fontId="45" fillId="9" borderId="67" xfId="36" applyFont="1" applyFill="1" applyBorder="1" applyAlignment="1">
      <alignment horizontal="center" vertical="center"/>
    </xf>
    <xf numFmtId="0" fontId="45" fillId="9" borderId="68" xfId="36" applyFont="1" applyFill="1" applyBorder="1" applyAlignment="1">
      <alignment horizontal="center" vertical="center"/>
    </xf>
    <xf numFmtId="3" fontId="45" fillId="9" borderId="68" xfId="36" applyNumberFormat="1" applyFont="1" applyFill="1" applyBorder="1" applyAlignment="1">
      <alignment horizontal="center" vertical="center"/>
    </xf>
    <xf numFmtId="0" fontId="34" fillId="0" borderId="46" xfId="36" applyFont="1" applyBorder="1" applyAlignment="1">
      <alignment horizontal="center" vertical="center"/>
    </xf>
    <xf numFmtId="0" fontId="34" fillId="0" borderId="74" xfId="36" applyFont="1" applyBorder="1" applyAlignment="1">
      <alignment horizontal="center" vertical="center"/>
    </xf>
    <xf numFmtId="0" fontId="34" fillId="0" borderId="7" xfId="39" applyFont="1" applyBorder="1" applyAlignment="1">
      <alignment horizontal="center" vertical="center"/>
    </xf>
    <xf numFmtId="177" fontId="34" fillId="0" borderId="0" xfId="37" applyNumberFormat="1" applyFont="1">
      <alignment vertical="center"/>
    </xf>
    <xf numFmtId="0" fontId="34" fillId="0" borderId="25" xfId="39" applyFont="1" applyBorder="1" applyAlignment="1">
      <alignment horizontal="left" vertical="center" wrapText="1" indent="1"/>
    </xf>
    <xf numFmtId="0" fontId="38" fillId="0" borderId="79" xfId="39" applyFont="1" applyBorder="1" applyAlignment="1">
      <alignment horizontal="center" vertical="center"/>
    </xf>
    <xf numFmtId="200" fontId="38" fillId="0" borderId="79" xfId="39" applyNumberFormat="1" applyFont="1" applyBorder="1" applyAlignment="1">
      <alignment horizontal="center" vertical="center"/>
    </xf>
    <xf numFmtId="178" fontId="34" fillId="0" borderId="0" xfId="37" applyNumberFormat="1" applyFont="1">
      <alignment vertical="center"/>
    </xf>
    <xf numFmtId="2" fontId="38" fillId="0" borderId="81" xfId="39" applyNumberFormat="1" applyFont="1" applyBorder="1" applyAlignment="1">
      <alignment horizontal="center" vertical="center"/>
    </xf>
    <xf numFmtId="0" fontId="38" fillId="0" borderId="6" xfId="39" applyFont="1" applyBorder="1" applyAlignment="1">
      <alignment horizontal="center" vertical="center"/>
    </xf>
    <xf numFmtId="0" fontId="34" fillId="0" borderId="85" xfId="36" applyFont="1" applyBorder="1" applyAlignment="1">
      <alignment horizontal="center" vertical="center"/>
    </xf>
    <xf numFmtId="0" fontId="34" fillId="0" borderId="32" xfId="39" applyFont="1" applyBorder="1" applyAlignment="1">
      <alignment horizontal="left" vertical="center" wrapText="1" indent="1"/>
    </xf>
    <xf numFmtId="1" fontId="38" fillId="0" borderId="86" xfId="39" applyNumberFormat="1" applyFont="1" applyBorder="1" applyAlignment="1">
      <alignment horizontal="center" vertical="center"/>
    </xf>
    <xf numFmtId="0" fontId="38" fillId="0" borderId="86" xfId="39" applyFont="1" applyBorder="1" applyAlignment="1">
      <alignment horizontal="center" vertical="center"/>
    </xf>
    <xf numFmtId="0" fontId="38" fillId="0" borderId="9" xfId="39" applyFont="1" applyBorder="1" applyAlignment="1">
      <alignment horizontal="center" vertical="center"/>
    </xf>
    <xf numFmtId="177" fontId="34" fillId="0" borderId="0" xfId="40" applyFont="1">
      <alignment vertical="center"/>
    </xf>
    <xf numFmtId="177" fontId="49" fillId="10" borderId="1" xfId="36" applyNumberFormat="1" applyFont="1" applyFill="1" applyBorder="1" applyAlignment="1">
      <alignment horizontal="right" vertical="center"/>
    </xf>
    <xf numFmtId="0" fontId="49" fillId="10" borderId="1" xfId="36" applyFont="1" applyFill="1" applyBorder="1" applyAlignment="1">
      <alignment horizontal="right" vertical="center"/>
    </xf>
    <xf numFmtId="177" fontId="49" fillId="10" borderId="91" xfId="40" applyFont="1" applyFill="1" applyBorder="1" applyAlignment="1">
      <alignment horizontal="right" vertical="center"/>
    </xf>
    <xf numFmtId="183" fontId="34" fillId="0" borderId="0" xfId="43" applyFont="1" applyAlignment="1">
      <alignment vertical="center"/>
    </xf>
    <xf numFmtId="49" fontId="38" fillId="0" borderId="17" xfId="36" applyNumberFormat="1" applyFont="1" applyBorder="1" applyAlignment="1">
      <alignment horizontal="left" vertical="center" indent="1"/>
    </xf>
    <xf numFmtId="49" fontId="34" fillId="0" borderId="0" xfId="36" applyNumberFormat="1" applyFont="1" applyAlignment="1">
      <alignment vertical="center"/>
    </xf>
    <xf numFmtId="49" fontId="34" fillId="0" borderId="18" xfId="36" applyNumberFormat="1" applyFont="1" applyBorder="1" applyAlignment="1">
      <alignment vertical="center"/>
    </xf>
    <xf numFmtId="49" fontId="34" fillId="0" borderId="17" xfId="36" applyNumberFormat="1" applyFont="1" applyBorder="1" applyAlignment="1">
      <alignment vertical="center"/>
    </xf>
    <xf numFmtId="0" fontId="39" fillId="0" borderId="0" xfId="39" applyFont="1" applyAlignment="1">
      <alignment horizontal="left" vertical="center"/>
    </xf>
    <xf numFmtId="0" fontId="39" fillId="0" borderId="18" xfId="39" applyFont="1" applyBorder="1" applyAlignment="1">
      <alignment horizontal="left" vertical="center"/>
    </xf>
    <xf numFmtId="49" fontId="34" fillId="0" borderId="20" xfId="36" applyNumberFormat="1" applyFont="1" applyBorder="1" applyAlignment="1">
      <alignment vertical="center"/>
    </xf>
    <xf numFmtId="49" fontId="34" fillId="0" borderId="5" xfId="36" applyNumberFormat="1" applyFont="1" applyBorder="1" applyAlignment="1">
      <alignment vertical="center"/>
    </xf>
    <xf numFmtId="49" fontId="34" fillId="0" borderId="21" xfId="36" applyNumberFormat="1" applyFont="1" applyBorder="1" applyAlignment="1">
      <alignment vertical="center"/>
    </xf>
    <xf numFmtId="0" fontId="39" fillId="0" borderId="10" xfId="36" applyFont="1" applyBorder="1" applyAlignment="1">
      <alignment vertical="center"/>
    </xf>
    <xf numFmtId="0" fontId="34" fillId="0" borderId="47" xfId="36" applyFont="1" applyBorder="1" applyAlignment="1">
      <alignment horizontal="right" vertical="center"/>
    </xf>
    <xf numFmtId="0" fontId="34" fillId="0" borderId="71" xfId="39" applyFont="1" applyBorder="1" applyAlignment="1">
      <alignment horizontal="center" vertical="center"/>
    </xf>
    <xf numFmtId="0" fontId="34" fillId="0" borderId="73" xfId="39" applyFont="1" applyBorder="1" applyAlignment="1">
      <alignment horizontal="center" vertical="center"/>
    </xf>
    <xf numFmtId="0" fontId="34" fillId="0" borderId="16" xfId="39" applyFont="1" applyBorder="1" applyAlignment="1">
      <alignment horizontal="center" vertical="center"/>
    </xf>
    <xf numFmtId="0" fontId="38" fillId="0" borderId="75" xfId="39" applyFont="1" applyBorder="1" applyAlignment="1">
      <alignment horizontal="center" vertical="center"/>
    </xf>
    <xf numFmtId="0" fontId="38" fillId="0" borderId="86" xfId="39" applyFont="1" applyBorder="1" applyAlignment="1">
      <alignment horizontal="left" vertical="center" wrapText="1" indent="1"/>
    </xf>
    <xf numFmtId="0" fontId="38" fillId="0" borderId="87" xfId="39" applyFont="1" applyBorder="1" applyAlignment="1">
      <alignment horizontal="left" vertical="center" wrapText="1" indent="1"/>
    </xf>
    <xf numFmtId="0" fontId="38" fillId="0" borderId="88" xfId="39" applyFont="1" applyBorder="1" applyAlignment="1">
      <alignment horizontal="left" vertical="center" wrapText="1" indent="1"/>
    </xf>
    <xf numFmtId="177" fontId="34" fillId="0" borderId="86" xfId="40" applyFont="1" applyFill="1" applyBorder="1" applyAlignment="1">
      <alignment horizontal="right" vertical="center"/>
    </xf>
    <xf numFmtId="177" fontId="34" fillId="0" borderId="87" xfId="40" applyFont="1" applyFill="1" applyBorder="1" applyAlignment="1">
      <alignment horizontal="right" vertical="center"/>
    </xf>
    <xf numFmtId="177" fontId="34" fillId="0" borderId="88" xfId="40" applyFont="1" applyFill="1" applyBorder="1" applyAlignment="1">
      <alignment horizontal="right" vertical="center"/>
    </xf>
    <xf numFmtId="177" fontId="34" fillId="0" borderId="86" xfId="41" applyFont="1" applyFill="1" applyBorder="1" applyAlignment="1">
      <alignment horizontal="left" vertical="center"/>
    </xf>
    <xf numFmtId="177" fontId="34" fillId="0" borderId="89" xfId="41" applyFont="1" applyFill="1" applyBorder="1" applyAlignment="1">
      <alignment horizontal="left" vertical="center"/>
    </xf>
    <xf numFmtId="0" fontId="49" fillId="10" borderId="90" xfId="36" applyFont="1" applyFill="1" applyBorder="1" applyAlignment="1">
      <alignment horizontal="center" vertical="center"/>
    </xf>
    <xf numFmtId="0" fontId="49" fillId="10" borderId="1" xfId="36" applyFont="1" applyFill="1" applyBorder="1" applyAlignment="1">
      <alignment horizontal="center" vertical="center"/>
    </xf>
    <xf numFmtId="0" fontId="49" fillId="10" borderId="91" xfId="36" applyFont="1" applyFill="1" applyBorder="1" applyAlignment="1">
      <alignment horizontal="center" vertical="center"/>
    </xf>
    <xf numFmtId="9" fontId="49" fillId="10" borderId="92" xfId="42" applyFont="1" applyFill="1" applyBorder="1" applyAlignment="1">
      <alignment horizontal="center" vertical="center"/>
    </xf>
    <xf numFmtId="9" fontId="49" fillId="10" borderId="70" xfId="42" applyFont="1" applyFill="1" applyBorder="1" applyAlignment="1">
      <alignment horizontal="center" vertical="center"/>
    </xf>
    <xf numFmtId="177" fontId="34" fillId="0" borderId="7" xfId="40" applyFont="1" applyFill="1" applyBorder="1" applyAlignment="1">
      <alignment horizontal="right" vertical="center"/>
    </xf>
    <xf numFmtId="177" fontId="34" fillId="0" borderId="2" xfId="40" applyFont="1" applyFill="1" applyBorder="1" applyAlignment="1">
      <alignment horizontal="right" vertical="center"/>
    </xf>
    <xf numFmtId="177" fontId="34" fillId="0" borderId="8" xfId="40" applyFont="1" applyFill="1" applyBorder="1" applyAlignment="1">
      <alignment horizontal="right" vertical="center"/>
    </xf>
    <xf numFmtId="177" fontId="34" fillId="0" borderId="7" xfId="41" applyFont="1" applyFill="1" applyBorder="1" applyAlignment="1">
      <alignment horizontal="left" vertical="center"/>
    </xf>
    <xf numFmtId="177" fontId="34" fillId="0" borderId="44" xfId="41" applyFont="1" applyFill="1" applyBorder="1" applyAlignment="1">
      <alignment horizontal="left" vertical="center"/>
    </xf>
    <xf numFmtId="177" fontId="48" fillId="0" borderId="86" xfId="41" applyFont="1" applyBorder="1" applyAlignment="1">
      <alignment horizontal="left" vertical="center"/>
    </xf>
    <xf numFmtId="177" fontId="48" fillId="0" borderId="89" xfId="41" applyFont="1" applyBorder="1" applyAlignment="1">
      <alignment horizontal="left" vertical="center"/>
    </xf>
    <xf numFmtId="0" fontId="38" fillId="0" borderId="81" xfId="39" applyFont="1" applyBorder="1" applyAlignment="1">
      <alignment horizontal="left" vertical="center" wrapText="1" indent="1"/>
    </xf>
    <xf numFmtId="0" fontId="38" fillId="0" borderId="82" xfId="39" applyFont="1" applyBorder="1" applyAlignment="1">
      <alignment horizontal="left" vertical="center" wrapText="1" indent="1"/>
    </xf>
    <xf numFmtId="0" fontId="38" fillId="0" borderId="83" xfId="39" applyFont="1" applyBorder="1" applyAlignment="1">
      <alignment horizontal="left" vertical="center" wrapText="1" indent="1"/>
    </xf>
    <xf numFmtId="177" fontId="34" fillId="0" borderId="81" xfId="40" applyFont="1" applyFill="1" applyBorder="1" applyAlignment="1">
      <alignment horizontal="right" vertical="center"/>
    </xf>
    <xf numFmtId="177" fontId="34" fillId="0" borderId="82" xfId="40" applyFont="1" applyFill="1" applyBorder="1" applyAlignment="1">
      <alignment horizontal="right" vertical="center"/>
    </xf>
    <xf numFmtId="177" fontId="34" fillId="0" borderId="83" xfId="40" applyFont="1" applyFill="1" applyBorder="1" applyAlignment="1">
      <alignment horizontal="right" vertical="center"/>
    </xf>
    <xf numFmtId="177" fontId="34" fillId="0" borderId="79" xfId="41" applyFont="1" applyFill="1" applyBorder="1" applyAlignment="1">
      <alignment horizontal="left" vertical="center"/>
    </xf>
    <xf numFmtId="177" fontId="34" fillId="0" borderId="55" xfId="41" applyFont="1" applyFill="1" applyBorder="1" applyAlignment="1">
      <alignment horizontal="left" vertical="center"/>
    </xf>
    <xf numFmtId="177" fontId="34" fillId="0" borderId="81" xfId="41" applyFont="1" applyFill="1" applyBorder="1" applyAlignment="1">
      <alignment horizontal="left" vertical="center"/>
    </xf>
    <xf numFmtId="177" fontId="34" fillId="0" borderId="84" xfId="41" applyFont="1" applyFill="1" applyBorder="1" applyAlignment="1">
      <alignment horizontal="left" vertical="center"/>
    </xf>
    <xf numFmtId="0" fontId="38" fillId="0" borderId="79" xfId="39" applyFont="1" applyBorder="1" applyAlignment="1">
      <alignment horizontal="left" vertical="center" wrapText="1" indent="1"/>
    </xf>
    <xf numFmtId="0" fontId="38" fillId="0" borderId="54" xfId="39" applyFont="1" applyBorder="1" applyAlignment="1">
      <alignment horizontal="left" vertical="center" wrapText="1" indent="1"/>
    </xf>
    <xf numFmtId="0" fontId="38" fillId="0" borderId="80" xfId="39" applyFont="1" applyBorder="1" applyAlignment="1">
      <alignment horizontal="left" vertical="center" wrapText="1" indent="1"/>
    </xf>
    <xf numFmtId="177" fontId="34" fillId="0" borderId="79" xfId="40" applyFont="1" applyFill="1" applyBorder="1" applyAlignment="1">
      <alignment horizontal="right" vertical="center"/>
    </xf>
    <xf numFmtId="177" fontId="34" fillId="0" borderId="54" xfId="40" applyFont="1" applyFill="1" applyBorder="1" applyAlignment="1">
      <alignment horizontal="right" vertical="center"/>
    </xf>
    <xf numFmtId="177" fontId="34" fillId="0" borderId="80" xfId="40" applyFont="1" applyFill="1" applyBorder="1" applyAlignment="1">
      <alignment horizontal="right" vertical="center"/>
    </xf>
    <xf numFmtId="0" fontId="38" fillId="0" borderId="75" xfId="39" applyFont="1" applyBorder="1" applyAlignment="1">
      <alignment horizontal="left" vertical="center" wrapText="1" indent="1"/>
    </xf>
    <xf numFmtId="0" fontId="38" fillId="0" borderId="76" xfId="39" applyFont="1" applyBorder="1" applyAlignment="1">
      <alignment horizontal="left" vertical="center" wrapText="1" indent="1"/>
    </xf>
    <xf numFmtId="0" fontId="38" fillId="0" borderId="77" xfId="39" applyFont="1" applyBorder="1" applyAlignment="1">
      <alignment horizontal="left" vertical="center" wrapText="1" indent="1"/>
    </xf>
    <xf numFmtId="177" fontId="34" fillId="0" borderId="75" xfId="40" applyFont="1" applyFill="1" applyBorder="1" applyAlignment="1">
      <alignment horizontal="right" vertical="center"/>
    </xf>
    <xf numFmtId="177" fontId="34" fillId="0" borderId="76" xfId="40" applyFont="1" applyFill="1" applyBorder="1" applyAlignment="1">
      <alignment horizontal="right" vertical="center"/>
    </xf>
    <xf numFmtId="177" fontId="34" fillId="0" borderId="77" xfId="40" applyFont="1" applyFill="1" applyBorder="1" applyAlignment="1">
      <alignment horizontal="right" vertical="center"/>
    </xf>
    <xf numFmtId="177" fontId="34" fillId="0" borderId="75" xfId="41" applyFont="1" applyBorder="1" applyAlignment="1">
      <alignment horizontal="left" vertical="center"/>
    </xf>
    <xf numFmtId="177" fontId="34" fillId="0" borderId="78" xfId="41" applyFont="1" applyBorder="1" applyAlignment="1">
      <alignment horizontal="left" vertical="center"/>
    </xf>
    <xf numFmtId="0" fontId="34" fillId="0" borderId="36" xfId="39" applyFont="1" applyBorder="1" applyAlignment="1">
      <alignment horizontal="center" vertical="center" wrapText="1"/>
    </xf>
    <xf numFmtId="0" fontId="34" fillId="0" borderId="15" xfId="39" applyFont="1" applyBorder="1" applyAlignment="1">
      <alignment horizontal="center" vertical="center" wrapText="1"/>
    </xf>
    <xf numFmtId="0" fontId="34" fillId="0" borderId="38" xfId="39" applyFont="1" applyBorder="1" applyAlignment="1">
      <alignment horizontal="center" vertical="center" wrapText="1"/>
    </xf>
    <xf numFmtId="177" fontId="34" fillId="0" borderId="36" xfId="40" applyFont="1" applyFill="1" applyBorder="1" applyAlignment="1">
      <alignment horizontal="right" vertical="center"/>
    </xf>
    <xf numFmtId="177" fontId="34" fillId="0" borderId="15" xfId="40" applyFont="1" applyFill="1" applyBorder="1" applyAlignment="1">
      <alignment horizontal="right" vertical="center"/>
    </xf>
    <xf numFmtId="177" fontId="34" fillId="0" borderId="38" xfId="40" applyFont="1" applyFill="1" applyBorder="1" applyAlignment="1">
      <alignment horizontal="right" vertical="center"/>
    </xf>
    <xf numFmtId="177" fontId="34" fillId="0" borderId="36" xfId="41" applyFont="1" applyBorder="1" applyAlignment="1">
      <alignment horizontal="left" vertical="center"/>
    </xf>
    <xf numFmtId="177" fontId="34" fillId="0" borderId="39" xfId="41" applyFont="1" applyBorder="1" applyAlignment="1">
      <alignment horizontal="left" vertical="center"/>
    </xf>
    <xf numFmtId="177" fontId="34" fillId="0" borderId="7" xfId="40" applyFont="1" applyBorder="1" applyAlignment="1">
      <alignment horizontal="center" vertical="center"/>
    </xf>
    <xf numFmtId="177" fontId="34" fillId="0" borderId="2" xfId="40" applyFont="1" applyBorder="1" applyAlignment="1">
      <alignment horizontal="center" vertical="center"/>
    </xf>
    <xf numFmtId="177" fontId="34" fillId="0" borderId="8" xfId="40" applyFont="1" applyBorder="1" applyAlignment="1">
      <alignment horizontal="center" vertical="center"/>
    </xf>
    <xf numFmtId="177" fontId="34" fillId="0" borderId="7" xfId="41" applyFont="1" applyBorder="1" applyAlignment="1">
      <alignment horizontal="left" vertical="center"/>
    </xf>
    <xf numFmtId="177" fontId="34" fillId="0" borderId="44" xfId="41" applyFont="1" applyBorder="1" applyAlignment="1">
      <alignment horizontal="left" vertical="center"/>
    </xf>
    <xf numFmtId="0" fontId="46" fillId="8" borderId="0" xfId="38" applyFont="1" applyFill="1" applyAlignment="1">
      <alignment horizontal="left" vertical="center"/>
    </xf>
    <xf numFmtId="0" fontId="46" fillId="8" borderId="18" xfId="38" applyFont="1" applyFill="1" applyBorder="1" applyAlignment="1">
      <alignment horizontal="left" vertical="center"/>
    </xf>
    <xf numFmtId="0" fontId="34" fillId="0" borderId="0" xfId="36" applyFont="1" applyAlignment="1">
      <alignment horizontal="right" vertical="center"/>
    </xf>
    <xf numFmtId="0" fontId="34" fillId="0" borderId="18" xfId="36" applyFont="1" applyBorder="1" applyAlignment="1">
      <alignment horizontal="right" vertical="center"/>
    </xf>
    <xf numFmtId="0" fontId="34" fillId="0" borderId="71" xfId="39" applyFont="1" applyBorder="1" applyAlignment="1">
      <alignment horizontal="center" vertical="center" wrapText="1"/>
    </xf>
    <xf numFmtId="0" fontId="34" fillId="0" borderId="48" xfId="39" applyFont="1" applyBorder="1" applyAlignment="1">
      <alignment horizontal="center" vertical="center" wrapText="1"/>
    </xf>
    <xf numFmtId="0" fontId="34" fillId="0" borderId="72" xfId="39" applyFont="1" applyBorder="1" applyAlignment="1">
      <alignment horizontal="center" vertical="center" wrapText="1"/>
    </xf>
    <xf numFmtId="177" fontId="34" fillId="0" borderId="73" xfId="40" applyFont="1" applyFill="1" applyBorder="1" applyAlignment="1">
      <alignment horizontal="right" vertical="center"/>
    </xf>
    <xf numFmtId="177" fontId="34" fillId="0" borderId="71" xfId="39" applyNumberFormat="1" applyFont="1" applyBorder="1" applyAlignment="1">
      <alignment horizontal="left" vertical="center"/>
    </xf>
    <xf numFmtId="177" fontId="34" fillId="0" borderId="49" xfId="39" applyNumberFormat="1" applyFont="1" applyBorder="1" applyAlignment="1">
      <alignment horizontal="left" vertical="center"/>
    </xf>
    <xf numFmtId="0" fontId="45" fillId="9" borderId="68" xfId="36" applyFont="1" applyFill="1" applyBorder="1" applyAlignment="1">
      <alignment horizontal="center" vertical="center"/>
    </xf>
    <xf numFmtId="0" fontId="45" fillId="9" borderId="1" xfId="36" applyFont="1" applyFill="1" applyBorder="1" applyAlignment="1">
      <alignment horizontal="center" vertical="center"/>
    </xf>
    <xf numFmtId="0" fontId="45" fillId="9" borderId="69" xfId="36" applyFont="1" applyFill="1" applyBorder="1" applyAlignment="1">
      <alignment horizontal="center" vertical="center"/>
    </xf>
    <xf numFmtId="3" fontId="45" fillId="9" borderId="68" xfId="36" applyNumberFormat="1" applyFont="1" applyFill="1" applyBorder="1" applyAlignment="1">
      <alignment horizontal="center" vertical="center"/>
    </xf>
    <xf numFmtId="3" fontId="45" fillId="9" borderId="1" xfId="36" applyNumberFormat="1" applyFont="1" applyFill="1" applyBorder="1" applyAlignment="1">
      <alignment horizontal="center" vertical="center"/>
    </xf>
    <xf numFmtId="3" fontId="45" fillId="9" borderId="69" xfId="36" applyNumberFormat="1" applyFont="1" applyFill="1" applyBorder="1" applyAlignment="1">
      <alignment horizontal="center" vertical="center"/>
    </xf>
    <xf numFmtId="0" fontId="45" fillId="9" borderId="70" xfId="36" applyFont="1" applyFill="1" applyBorder="1" applyAlignment="1">
      <alignment horizontal="center" vertical="center"/>
    </xf>
    <xf numFmtId="199" fontId="44" fillId="8" borderId="0" xfId="36" applyNumberFormat="1" applyFont="1" applyFill="1" applyAlignment="1">
      <alignment horizontal="left" vertical="center"/>
    </xf>
    <xf numFmtId="0" fontId="33" fillId="0" borderId="42" xfId="36" applyFont="1" applyBorder="1" applyAlignment="1">
      <alignment horizontal="center" vertical="center"/>
    </xf>
    <xf numFmtId="0" fontId="33" fillId="0" borderId="19" xfId="36" applyFont="1" applyBorder="1" applyAlignment="1">
      <alignment horizontal="center" vertical="center"/>
    </xf>
    <xf numFmtId="0" fontId="33" fillId="0" borderId="28" xfId="36" applyFont="1" applyBorder="1" applyAlignment="1">
      <alignment horizontal="center" vertical="center"/>
    </xf>
    <xf numFmtId="0" fontId="35" fillId="0" borderId="17" xfId="36" applyFont="1" applyBorder="1" applyAlignment="1" applyProtection="1">
      <alignment horizontal="center" vertical="center"/>
      <protection locked="0"/>
    </xf>
    <xf numFmtId="0" fontId="35" fillId="0" borderId="0" xfId="36" applyFont="1" applyAlignment="1" applyProtection="1">
      <alignment horizontal="center" vertical="center"/>
      <protection locked="0"/>
    </xf>
    <xf numFmtId="0" fontId="35" fillId="0" borderId="18" xfId="36" applyFont="1" applyBorder="1" applyAlignment="1" applyProtection="1">
      <alignment horizontal="center" vertical="center"/>
      <protection locked="0"/>
    </xf>
    <xf numFmtId="0" fontId="34" fillId="4" borderId="47" xfId="36" applyFont="1" applyFill="1" applyBorder="1" applyAlignment="1">
      <alignment horizontal="center" vertical="center"/>
    </xf>
    <xf numFmtId="0" fontId="34" fillId="4" borderId="48" xfId="36" applyFont="1" applyFill="1" applyBorder="1" applyAlignment="1">
      <alignment horizontal="center" vertical="center"/>
    </xf>
    <xf numFmtId="0" fontId="34" fillId="4" borderId="49" xfId="36" applyFont="1" applyFill="1" applyBorder="1" applyAlignment="1">
      <alignment horizontal="center" vertical="center"/>
    </xf>
    <xf numFmtId="0" fontId="34" fillId="0" borderId="50" xfId="36" applyFont="1" applyBorder="1" applyAlignment="1">
      <alignment horizontal="center" vertical="center" wrapText="1"/>
    </xf>
    <xf numFmtId="0" fontId="34" fillId="0" borderId="58" xfId="36" applyFont="1" applyBorder="1" applyAlignment="1">
      <alignment horizontal="center" vertical="center"/>
    </xf>
    <xf numFmtId="0" fontId="34" fillId="0" borderId="64" xfId="36" applyFont="1" applyBorder="1" applyAlignment="1">
      <alignment horizontal="center" vertical="center"/>
    </xf>
    <xf numFmtId="0" fontId="34" fillId="0" borderId="53" xfId="36" applyFont="1" applyBorder="1" applyAlignment="1">
      <alignment horizontal="center" vertical="center"/>
    </xf>
    <xf numFmtId="0" fontId="34" fillId="0" borderId="54" xfId="36" applyFont="1" applyBorder="1" applyAlignment="1">
      <alignment horizontal="center" vertical="center"/>
    </xf>
    <xf numFmtId="0" fontId="34" fillId="0" borderId="55" xfId="36" applyFont="1" applyBorder="1" applyAlignment="1">
      <alignment horizontal="center" vertical="center"/>
    </xf>
    <xf numFmtId="0" fontId="42" fillId="0" borderId="53" xfId="36" applyFont="1" applyBorder="1" applyAlignment="1">
      <alignment horizontal="center" vertical="center"/>
    </xf>
    <xf numFmtId="0" fontId="39" fillId="0" borderId="54" xfId="36" applyFont="1" applyBorder="1" applyAlignment="1">
      <alignment horizontal="center" vertical="center"/>
    </xf>
    <xf numFmtId="0" fontId="39" fillId="0" borderId="56" xfId="36" applyFont="1" applyBorder="1" applyAlignment="1">
      <alignment horizontal="center" vertical="center"/>
    </xf>
    <xf numFmtId="0" fontId="42" fillId="0" borderId="57" xfId="36" applyFont="1" applyBorder="1" applyAlignment="1">
      <alignment horizontal="center" vertical="center"/>
    </xf>
    <xf numFmtId="0" fontId="39" fillId="0" borderId="55" xfId="36" applyFont="1" applyBorder="1" applyAlignment="1">
      <alignment horizontal="center" vertical="center"/>
    </xf>
    <xf numFmtId="0" fontId="34" fillId="0" borderId="53" xfId="36" applyFont="1" applyBorder="1" applyAlignment="1">
      <alignment horizontal="left" vertical="center" indent="1"/>
    </xf>
    <xf numFmtId="0" fontId="34" fillId="0" borderId="54" xfId="36" applyFont="1" applyBorder="1" applyAlignment="1">
      <alignment horizontal="left" vertical="center" indent="1"/>
    </xf>
    <xf numFmtId="0" fontId="34" fillId="0" borderId="55" xfId="36" applyFont="1" applyBorder="1" applyAlignment="1">
      <alignment horizontal="left" vertical="center" indent="1"/>
    </xf>
    <xf numFmtId="0" fontId="34" fillId="0" borderId="57" xfId="36" applyFont="1" applyBorder="1" applyAlignment="1">
      <alignment horizontal="center" vertical="center"/>
    </xf>
    <xf numFmtId="0" fontId="34" fillId="0" borderId="61" xfId="36" applyFont="1" applyBorder="1" applyAlignment="1">
      <alignment horizontal="center" vertical="center"/>
    </xf>
    <xf numFmtId="0" fontId="34" fillId="0" borderId="62" xfId="36" applyFont="1" applyBorder="1" applyAlignment="1">
      <alignment horizontal="center" vertical="center"/>
    </xf>
    <xf numFmtId="0" fontId="34" fillId="0" borderId="63" xfId="36" applyFont="1" applyBorder="1" applyAlignment="1">
      <alignment horizontal="center" vertical="center"/>
    </xf>
    <xf numFmtId="0" fontId="34" fillId="0" borderId="61" xfId="36" applyFont="1" applyBorder="1" applyAlignment="1">
      <alignment horizontal="left" vertical="center" indent="1"/>
    </xf>
    <xf numFmtId="0" fontId="34" fillId="0" borderId="62" xfId="36" applyFont="1" applyBorder="1" applyAlignment="1">
      <alignment horizontal="left" vertical="center" indent="1"/>
    </xf>
    <xf numFmtId="0" fontId="34" fillId="0" borderId="63" xfId="36" applyFont="1" applyBorder="1" applyAlignment="1">
      <alignment horizontal="left" vertical="center" indent="1"/>
    </xf>
    <xf numFmtId="0" fontId="29" fillId="6" borderId="38"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29" fillId="6" borderId="16" xfId="0" applyFont="1" applyFill="1" applyBorder="1" applyAlignment="1">
      <alignment horizontal="center" vertical="center" wrapText="1"/>
    </xf>
    <xf numFmtId="0" fontId="29" fillId="6" borderId="32" xfId="0" applyFont="1" applyFill="1" applyBorder="1"/>
    <xf numFmtId="0" fontId="29" fillId="6" borderId="32" xfId="0" applyFont="1" applyFill="1" applyBorder="1" applyAlignment="1">
      <alignment horizontal="center" vertical="center" wrapText="1"/>
    </xf>
    <xf numFmtId="182" fontId="29" fillId="6" borderId="16" xfId="25" applyFont="1" applyFill="1" applyBorder="1" applyAlignment="1">
      <alignment horizontal="center" vertical="center" wrapText="1"/>
    </xf>
    <xf numFmtId="182" fontId="29" fillId="6" borderId="32" xfId="25" applyFont="1" applyFill="1" applyBorder="1" applyAlignment="1">
      <alignment horizontal="center" vertical="center" wrapText="1"/>
    </xf>
    <xf numFmtId="182" fontId="29" fillId="6" borderId="7" xfId="25" applyFont="1" applyFill="1" applyBorder="1" applyAlignment="1">
      <alignment horizontal="center" vertical="center"/>
    </xf>
    <xf numFmtId="182" fontId="29" fillId="6" borderId="8" xfId="25" applyFont="1" applyFill="1" applyBorder="1" applyAlignment="1">
      <alignment horizontal="center" vertical="center"/>
    </xf>
    <xf numFmtId="0" fontId="12" fillId="4" borderId="42" xfId="0" applyFont="1" applyFill="1" applyBorder="1" applyAlignment="1">
      <alignment horizontal="center" vertical="center"/>
    </xf>
    <xf numFmtId="0" fontId="13" fillId="0" borderId="19" xfId="0" applyFont="1" applyBorder="1" applyAlignment="1">
      <alignment vertical="center"/>
    </xf>
    <xf numFmtId="0" fontId="13" fillId="0" borderId="28" xfId="0" applyFont="1" applyBorder="1" applyAlignment="1">
      <alignment vertical="center"/>
    </xf>
    <xf numFmtId="0" fontId="13" fillId="0" borderId="17" xfId="0" applyFont="1" applyBorder="1" applyAlignment="1">
      <alignment vertical="center"/>
    </xf>
    <xf numFmtId="0" fontId="13" fillId="0" borderId="0" xfId="0" applyFont="1" applyAlignment="1">
      <alignment vertical="center"/>
    </xf>
    <xf numFmtId="0" fontId="13" fillId="0" borderId="18" xfId="0" applyFont="1" applyBorder="1" applyAlignment="1">
      <alignment vertical="center"/>
    </xf>
    <xf numFmtId="0" fontId="13" fillId="0" borderId="20" xfId="0" applyFont="1" applyBorder="1" applyAlignment="1">
      <alignment vertical="center"/>
    </xf>
    <xf numFmtId="0" fontId="13" fillId="0" borderId="5" xfId="0" applyFont="1" applyBorder="1" applyAlignment="1">
      <alignment vertical="center"/>
    </xf>
    <xf numFmtId="0" fontId="13" fillId="0" borderId="21" xfId="0" applyFont="1" applyBorder="1" applyAlignment="1">
      <alignment vertical="center"/>
    </xf>
    <xf numFmtId="0" fontId="14" fillId="4" borderId="20" xfId="0" applyFont="1" applyFill="1" applyBorder="1" applyAlignment="1">
      <alignment horizontal="right" vertical="center"/>
    </xf>
    <xf numFmtId="0" fontId="14" fillId="4" borderId="5" xfId="0" applyFont="1" applyFill="1" applyBorder="1" applyAlignment="1">
      <alignment horizontal="right" vertical="center"/>
    </xf>
    <xf numFmtId="198" fontId="16" fillId="0" borderId="40" xfId="0" applyNumberFormat="1" applyFont="1" applyBorder="1" applyAlignment="1">
      <alignment horizontal="center" vertical="center"/>
    </xf>
    <xf numFmtId="198" fontId="16" fillId="0" borderId="43" xfId="0" applyNumberFormat="1" applyFont="1" applyBorder="1" applyAlignment="1">
      <alignment horizontal="center" vertical="center"/>
    </xf>
    <xf numFmtId="0" fontId="15" fillId="4" borderId="7" xfId="0" applyFont="1" applyFill="1" applyBorder="1" applyAlignment="1">
      <alignment horizontal="center" vertical="center"/>
    </xf>
    <xf numFmtId="0" fontId="15" fillId="4" borderId="44" xfId="0" applyFont="1" applyFill="1" applyBorder="1" applyAlignment="1">
      <alignment horizontal="center" vertical="center"/>
    </xf>
    <xf numFmtId="197" fontId="18" fillId="4" borderId="17" xfId="0" applyNumberFormat="1" applyFont="1" applyFill="1" applyBorder="1" applyAlignment="1">
      <alignment horizontal="left" vertical="center"/>
    </xf>
    <xf numFmtId="197" fontId="18" fillId="4" borderId="0" xfId="0" applyNumberFormat="1" applyFont="1" applyFill="1" applyAlignment="1">
      <alignment horizontal="left" vertical="center"/>
    </xf>
    <xf numFmtId="197" fontId="18" fillId="4" borderId="18" xfId="0" applyNumberFormat="1" applyFont="1" applyFill="1" applyBorder="1" applyAlignment="1">
      <alignment horizontal="left" vertical="center"/>
    </xf>
    <xf numFmtId="3" fontId="15" fillId="4" borderId="37" xfId="0" applyNumberFormat="1" applyFont="1" applyFill="1" applyBorder="1" applyAlignment="1">
      <alignment horizontal="center" vertical="center"/>
    </xf>
    <xf numFmtId="0" fontId="15" fillId="4" borderId="45" xfId="0" applyFont="1" applyFill="1" applyBorder="1" applyAlignment="1">
      <alignment horizontal="center" vertical="center"/>
    </xf>
    <xf numFmtId="0" fontId="15" fillId="4" borderId="17" xfId="0" applyFont="1" applyFill="1" applyBorder="1" applyAlignment="1">
      <alignment horizontal="center" vertical="center"/>
    </xf>
    <xf numFmtId="0" fontId="15" fillId="4" borderId="0" xfId="0" applyFont="1" applyFill="1" applyAlignment="1">
      <alignment horizontal="center" vertical="center"/>
    </xf>
    <xf numFmtId="0" fontId="15" fillId="4" borderId="18" xfId="0" applyFont="1" applyFill="1" applyBorder="1" applyAlignment="1">
      <alignment horizontal="center" vertical="center"/>
    </xf>
    <xf numFmtId="0" fontId="20" fillId="4" borderId="17" xfId="0" applyFont="1" applyFill="1" applyBorder="1" applyAlignment="1">
      <alignment horizontal="center" vertical="center"/>
    </xf>
    <xf numFmtId="0" fontId="20" fillId="4" borderId="0" xfId="0" applyFont="1" applyFill="1" applyAlignment="1">
      <alignment horizontal="center" vertical="center"/>
    </xf>
    <xf numFmtId="0" fontId="20" fillId="4" borderId="18" xfId="0" applyFont="1" applyFill="1" applyBorder="1" applyAlignment="1">
      <alignment horizontal="center" vertical="center"/>
    </xf>
    <xf numFmtId="197" fontId="16" fillId="4" borderId="35" xfId="0" applyNumberFormat="1" applyFont="1" applyFill="1" applyBorder="1" applyAlignment="1">
      <alignment horizontal="center" vertical="center"/>
    </xf>
    <xf numFmtId="197" fontId="18" fillId="0" borderId="46" xfId="0" applyNumberFormat="1" applyFont="1" applyBorder="1" applyAlignment="1">
      <alignment vertical="center"/>
    </xf>
    <xf numFmtId="0" fontId="16" fillId="4" borderId="22" xfId="0" applyFont="1" applyFill="1" applyBorder="1" applyAlignment="1">
      <alignment horizontal="center" vertical="center"/>
    </xf>
    <xf numFmtId="0" fontId="16" fillId="4" borderId="25" xfId="0" applyFont="1" applyFill="1" applyBorder="1" applyAlignment="1">
      <alignment horizontal="center" vertical="center"/>
    </xf>
    <xf numFmtId="177" fontId="16" fillId="4" borderId="22" xfId="26" applyFont="1" applyFill="1" applyBorder="1" applyAlignment="1">
      <alignment horizontal="center" vertical="center"/>
    </xf>
    <xf numFmtId="177" fontId="16" fillId="4" borderId="41" xfId="26" applyFont="1" applyFill="1" applyBorder="1" applyAlignment="1">
      <alignment horizontal="center" vertical="center"/>
    </xf>
    <xf numFmtId="0" fontId="52" fillId="4" borderId="15" xfId="32" applyFont="1" applyFill="1" applyBorder="1" applyAlignment="1">
      <alignment horizontal="center" vertical="center"/>
    </xf>
    <xf numFmtId="0" fontId="52" fillId="4" borderId="38" xfId="32" applyFont="1" applyFill="1" applyBorder="1" applyAlignment="1">
      <alignment horizontal="center" vertical="center"/>
    </xf>
    <xf numFmtId="0" fontId="53" fillId="0" borderId="0" xfId="32" applyFont="1">
      <alignment vertical="center"/>
    </xf>
    <xf numFmtId="0" fontId="52" fillId="4" borderId="0" xfId="32" applyFont="1" applyFill="1" applyAlignment="1">
      <alignment horizontal="center" vertical="center"/>
    </xf>
    <xf numFmtId="0" fontId="52" fillId="4" borderId="0" xfId="32" applyFont="1" applyFill="1" applyAlignment="1">
      <alignment horizontal="center" vertical="center"/>
    </xf>
    <xf numFmtId="0" fontId="52" fillId="4" borderId="93" xfId="32" applyFont="1" applyFill="1" applyBorder="1" applyAlignment="1">
      <alignment horizontal="center" vertical="center"/>
    </xf>
    <xf numFmtId="0" fontId="54" fillId="4" borderId="0" xfId="32" applyFont="1" applyFill="1">
      <alignment vertical="center"/>
    </xf>
    <xf numFmtId="0" fontId="54" fillId="4" borderId="5" xfId="32" applyFont="1" applyFill="1" applyBorder="1">
      <alignment vertical="center"/>
    </xf>
    <xf numFmtId="0" fontId="54" fillId="4" borderId="93" xfId="32" applyFont="1" applyFill="1" applyBorder="1">
      <alignment vertical="center"/>
    </xf>
    <xf numFmtId="0" fontId="55" fillId="4" borderId="0" xfId="32" applyFont="1" applyFill="1" applyAlignment="1">
      <alignment horizontal="right" vertical="center"/>
    </xf>
    <xf numFmtId="0" fontId="55" fillId="4" borderId="0" xfId="32" applyFont="1" applyFill="1" applyAlignment="1">
      <alignment horizontal="right" vertical="center"/>
    </xf>
    <xf numFmtId="0" fontId="57" fillId="4" borderId="0" xfId="32" applyFont="1" applyFill="1">
      <alignment vertical="center"/>
    </xf>
    <xf numFmtId="0" fontId="54" fillId="4" borderId="0" xfId="32" applyFont="1" applyFill="1" applyAlignment="1">
      <alignment horizontal="center" vertical="center"/>
    </xf>
    <xf numFmtId="0" fontId="54" fillId="4" borderId="0" xfId="32" applyFont="1" applyFill="1" applyAlignment="1">
      <alignment horizontal="center" vertical="center"/>
    </xf>
    <xf numFmtId="0" fontId="57" fillId="4" borderId="11" xfId="32" applyFont="1" applyFill="1" applyBorder="1" applyAlignment="1">
      <alignment horizontal="center" vertical="center"/>
    </xf>
    <xf numFmtId="0" fontId="57" fillId="4" borderId="29" xfId="32" applyFont="1" applyFill="1" applyBorder="1" applyAlignment="1">
      <alignment horizontal="center" vertical="center"/>
    </xf>
    <xf numFmtId="0" fontId="57" fillId="4" borderId="40" xfId="32" applyFont="1" applyFill="1" applyBorder="1" applyAlignment="1">
      <alignment horizontal="center" vertical="center"/>
    </xf>
    <xf numFmtId="0" fontId="57" fillId="4" borderId="33" xfId="32" applyFont="1" applyFill="1" applyBorder="1" applyAlignment="1">
      <alignment horizontal="center" vertical="center"/>
    </xf>
    <xf numFmtId="0" fontId="57" fillId="4" borderId="0" xfId="32" applyFont="1" applyFill="1" applyAlignment="1">
      <alignment horizontal="left" vertical="center"/>
    </xf>
    <xf numFmtId="31" fontId="57" fillId="4" borderId="94" xfId="32" applyNumberFormat="1" applyFont="1" applyFill="1" applyBorder="1" applyAlignment="1">
      <alignment horizontal="center" vertical="center"/>
    </xf>
    <xf numFmtId="31" fontId="57" fillId="4" borderId="95" xfId="32" applyNumberFormat="1" applyFont="1" applyFill="1" applyBorder="1" applyAlignment="1">
      <alignment horizontal="center" vertical="center"/>
    </xf>
    <xf numFmtId="31" fontId="57" fillId="4" borderId="40" xfId="32" applyNumberFormat="1" applyFont="1" applyFill="1" applyBorder="1" applyAlignment="1">
      <alignment horizontal="center" vertical="center"/>
    </xf>
    <xf numFmtId="0" fontId="58" fillId="4" borderId="96" xfId="32" applyFont="1" applyFill="1" applyBorder="1">
      <alignment vertical="center"/>
    </xf>
    <xf numFmtId="0" fontId="54" fillId="4" borderId="97" xfId="32" applyFont="1" applyFill="1" applyBorder="1" applyAlignment="1">
      <alignment horizontal="center" vertical="center"/>
    </xf>
    <xf numFmtId="0" fontId="57" fillId="4" borderId="12" xfId="32" applyFont="1" applyFill="1" applyBorder="1" applyAlignment="1">
      <alignment horizontal="center" vertical="center"/>
    </xf>
    <xf numFmtId="0" fontId="57" fillId="4" borderId="3" xfId="32" applyFont="1" applyFill="1" applyBorder="1" applyAlignment="1">
      <alignment horizontal="center" vertical="center"/>
    </xf>
    <xf numFmtId="0" fontId="57" fillId="4" borderId="3" xfId="32" applyFont="1" applyFill="1" applyBorder="1" applyAlignment="1">
      <alignment horizontal="left" vertical="center"/>
    </xf>
    <xf numFmtId="0" fontId="57" fillId="4" borderId="3" xfId="32" applyFont="1" applyFill="1" applyBorder="1" applyAlignment="1">
      <alignment horizontal="center" vertical="center"/>
    </xf>
    <xf numFmtId="0" fontId="57" fillId="4" borderId="7" xfId="32" applyFont="1" applyFill="1" applyBorder="1" applyAlignment="1">
      <alignment horizontal="left" vertical="center"/>
    </xf>
    <xf numFmtId="0" fontId="57" fillId="4" borderId="30" xfId="32" applyFont="1" applyFill="1" applyBorder="1" applyAlignment="1">
      <alignment horizontal="left" vertical="center"/>
    </xf>
    <xf numFmtId="0" fontId="57" fillId="5" borderId="98" xfId="32" applyFont="1" applyFill="1" applyBorder="1" applyAlignment="1">
      <alignment horizontal="center" vertical="center" shrinkToFit="1"/>
    </xf>
    <xf numFmtId="0" fontId="57" fillId="5" borderId="8" xfId="32" applyFont="1" applyFill="1" applyBorder="1" applyAlignment="1">
      <alignment horizontal="center" vertical="center" shrinkToFit="1"/>
    </xf>
    <xf numFmtId="0" fontId="57" fillId="5" borderId="9" xfId="32" applyFont="1" applyFill="1" applyBorder="1" applyAlignment="1">
      <alignment horizontal="center" vertical="center" shrinkToFit="1"/>
    </xf>
    <xf numFmtId="0" fontId="58" fillId="4" borderId="10" xfId="32" applyFont="1" applyFill="1" applyBorder="1">
      <alignment vertical="center"/>
    </xf>
    <xf numFmtId="0" fontId="54" fillId="4" borderId="99" xfId="32" applyFont="1" applyFill="1" applyBorder="1" applyAlignment="1">
      <alignment horizontal="center" vertical="center" wrapText="1"/>
    </xf>
    <xf numFmtId="0" fontId="54" fillId="4" borderId="0" xfId="32" applyFont="1" applyFill="1" applyAlignment="1">
      <alignment horizontal="center" vertical="center" wrapText="1"/>
    </xf>
    <xf numFmtId="0" fontId="57" fillId="4" borderId="12" xfId="32" applyFont="1" applyFill="1" applyBorder="1" applyAlignment="1">
      <alignment horizontal="center" vertical="center" wrapText="1"/>
    </xf>
    <xf numFmtId="0" fontId="57" fillId="4" borderId="3" xfId="32" applyFont="1" applyFill="1" applyBorder="1" applyAlignment="1">
      <alignment horizontal="center" vertical="center" wrapText="1"/>
    </xf>
    <xf numFmtId="0" fontId="57" fillId="4" borderId="7" xfId="32" applyFont="1" applyFill="1" applyBorder="1" applyAlignment="1">
      <alignment horizontal="center" vertical="center" wrapText="1"/>
    </xf>
    <xf numFmtId="0" fontId="57" fillId="4" borderId="30" xfId="32" applyFont="1" applyFill="1" applyBorder="1" applyAlignment="1">
      <alignment horizontal="center" vertical="center" wrapText="1"/>
    </xf>
    <xf numFmtId="0" fontId="57" fillId="4" borderId="98" xfId="32" applyFont="1" applyFill="1" applyBorder="1" applyAlignment="1">
      <alignment horizontal="center" vertical="center"/>
    </xf>
    <xf numFmtId="0" fontId="57" fillId="4" borderId="8" xfId="32" applyFont="1" applyFill="1" applyBorder="1" applyAlignment="1">
      <alignment horizontal="center" vertical="center"/>
    </xf>
    <xf numFmtId="0" fontId="57" fillId="4" borderId="9" xfId="32" applyFont="1" applyFill="1" applyBorder="1" applyAlignment="1">
      <alignment horizontal="center" vertical="center"/>
    </xf>
    <xf numFmtId="31" fontId="57" fillId="4" borderId="0" xfId="32" applyNumberFormat="1" applyFont="1" applyFill="1" applyAlignment="1">
      <alignment horizontal="left" vertical="center" wrapText="1"/>
    </xf>
    <xf numFmtId="41" fontId="57" fillId="4" borderId="100" xfId="48" applyFont="1" applyFill="1" applyBorder="1" applyAlignment="1">
      <alignment horizontal="center" vertical="center" wrapText="1"/>
    </xf>
    <xf numFmtId="41" fontId="57" fillId="4" borderId="38" xfId="48" applyFont="1" applyFill="1" applyBorder="1" applyAlignment="1">
      <alignment horizontal="center" vertical="center"/>
    </xf>
    <xf numFmtId="201" fontId="54" fillId="4" borderId="36" xfId="48" applyNumberFormat="1" applyFont="1" applyFill="1" applyBorder="1" applyAlignment="1">
      <alignment horizontal="right" vertical="center"/>
    </xf>
    <xf numFmtId="201" fontId="54" fillId="4" borderId="15" xfId="48" applyNumberFormat="1" applyFont="1" applyFill="1" applyBorder="1" applyAlignment="1">
      <alignment horizontal="right" vertical="center"/>
    </xf>
    <xf numFmtId="201" fontId="54" fillId="4" borderId="39" xfId="48" applyNumberFormat="1" applyFont="1" applyFill="1" applyBorder="1" applyAlignment="1">
      <alignment horizontal="right" vertical="center"/>
    </xf>
    <xf numFmtId="0" fontId="57" fillId="4" borderId="3" xfId="32" applyFont="1" applyFill="1" applyBorder="1" applyAlignment="1">
      <alignment horizontal="center" vertical="center" wrapText="1"/>
    </xf>
    <xf numFmtId="0" fontId="59" fillId="4" borderId="7" xfId="32" applyFont="1" applyFill="1" applyBorder="1" applyAlignment="1">
      <alignment horizontal="center" vertical="center" wrapText="1"/>
    </xf>
    <xf numFmtId="0" fontId="59" fillId="4" borderId="30" xfId="32" applyFont="1" applyFill="1" applyBorder="1" applyAlignment="1">
      <alignment horizontal="center" vertical="center" wrapText="1"/>
    </xf>
    <xf numFmtId="31" fontId="57" fillId="4" borderId="0" xfId="32" applyNumberFormat="1" applyFont="1" applyFill="1" applyAlignment="1">
      <alignment horizontal="left" vertical="center"/>
    </xf>
    <xf numFmtId="41" fontId="57" fillId="4" borderId="20" xfId="48" applyFont="1" applyFill="1" applyBorder="1" applyAlignment="1">
      <alignment horizontal="center" vertical="center"/>
    </xf>
    <xf numFmtId="41" fontId="57" fillId="4" borderId="101" xfId="48" applyFont="1" applyFill="1" applyBorder="1" applyAlignment="1">
      <alignment horizontal="center" vertical="center"/>
    </xf>
    <xf numFmtId="201" fontId="54" fillId="4" borderId="102" xfId="48" applyNumberFormat="1" applyFont="1" applyFill="1" applyBorder="1" applyAlignment="1">
      <alignment horizontal="right" vertical="center"/>
    </xf>
    <xf numFmtId="201" fontId="54" fillId="4" borderId="5" xfId="48" applyNumberFormat="1" applyFont="1" applyFill="1" applyBorder="1" applyAlignment="1">
      <alignment horizontal="right" vertical="center"/>
    </xf>
    <xf numFmtId="201" fontId="54" fillId="4" borderId="21" xfId="48" applyNumberFormat="1" applyFont="1" applyFill="1" applyBorder="1" applyAlignment="1">
      <alignment horizontal="right" vertical="center"/>
    </xf>
    <xf numFmtId="0" fontId="57" fillId="4" borderId="13" xfId="32" applyFont="1" applyFill="1" applyBorder="1" applyAlignment="1">
      <alignment horizontal="center" vertical="center"/>
    </xf>
    <xf numFmtId="0" fontId="57" fillId="4" borderId="14" xfId="32" applyFont="1" applyFill="1" applyBorder="1" applyAlignment="1">
      <alignment horizontal="center" vertical="center"/>
    </xf>
    <xf numFmtId="0" fontId="57" fillId="4" borderId="14" xfId="32" applyFont="1" applyFill="1" applyBorder="1" applyAlignment="1">
      <alignment horizontal="center" vertical="center"/>
    </xf>
    <xf numFmtId="0" fontId="57" fillId="4" borderId="37" xfId="32" applyFont="1" applyFill="1" applyBorder="1" applyAlignment="1">
      <alignment horizontal="center" vertical="center"/>
    </xf>
    <xf numFmtId="0" fontId="57" fillId="4" borderId="31" xfId="32" applyFont="1" applyFill="1" applyBorder="1" applyAlignment="1">
      <alignment horizontal="center" vertical="center"/>
    </xf>
    <xf numFmtId="31" fontId="58" fillId="4" borderId="0" xfId="32" applyNumberFormat="1" applyFont="1" applyFill="1">
      <alignment vertical="center"/>
    </xf>
    <xf numFmtId="42" fontId="54" fillId="4" borderId="0" xfId="32" applyNumberFormat="1" applyFont="1" applyFill="1" applyAlignment="1">
      <alignment horizontal="right" vertical="center"/>
    </xf>
    <xf numFmtId="42" fontId="54" fillId="4" borderId="0" xfId="32" applyNumberFormat="1" applyFont="1" applyFill="1" applyAlignment="1">
      <alignment horizontal="right" vertical="center"/>
    </xf>
    <xf numFmtId="41" fontId="58" fillId="4" borderId="0" xfId="32" applyNumberFormat="1" applyFont="1" applyFill="1">
      <alignment vertical="center"/>
    </xf>
    <xf numFmtId="0" fontId="58" fillId="4" borderId="0" xfId="32" applyFont="1" applyFill="1" applyAlignment="1">
      <alignment horizontal="center" vertical="center"/>
    </xf>
    <xf numFmtId="0" fontId="58" fillId="4" borderId="0" xfId="32" applyFont="1" applyFill="1" applyAlignment="1">
      <alignment horizontal="center" vertical="center"/>
    </xf>
    <xf numFmtId="0" fontId="58" fillId="4" borderId="93" xfId="32" applyFont="1" applyFill="1" applyBorder="1" applyAlignment="1">
      <alignment horizontal="center" vertical="center"/>
    </xf>
    <xf numFmtId="31" fontId="58" fillId="4" borderId="0" xfId="32" applyNumberFormat="1" applyFont="1" applyFill="1" applyAlignment="1">
      <alignment horizontal="left" vertical="center"/>
    </xf>
    <xf numFmtId="0" fontId="60" fillId="4" borderId="0" xfId="32" applyFont="1" applyFill="1" applyAlignment="1">
      <alignment horizontal="left" vertical="center"/>
    </xf>
    <xf numFmtId="31" fontId="61" fillId="4" borderId="0" xfId="32" applyNumberFormat="1" applyFont="1" applyFill="1" applyAlignment="1">
      <alignment horizontal="left" vertical="center"/>
    </xf>
    <xf numFmtId="31" fontId="61" fillId="4" borderId="10" xfId="32" applyNumberFormat="1" applyFont="1" applyFill="1" applyBorder="1" applyAlignment="1">
      <alignment horizontal="left" vertical="center"/>
    </xf>
    <xf numFmtId="31" fontId="58" fillId="4" borderId="0" xfId="32" applyNumberFormat="1" applyFont="1" applyFill="1" applyAlignment="1">
      <alignment horizontal="left" vertical="center"/>
    </xf>
    <xf numFmtId="0" fontId="58" fillId="4" borderId="10" xfId="32" applyFont="1" applyFill="1" applyBorder="1" applyAlignment="1">
      <alignment horizontal="right" vertical="center"/>
    </xf>
    <xf numFmtId="0" fontId="58" fillId="4" borderId="4" xfId="32" applyFont="1" applyFill="1" applyBorder="1" applyAlignment="1">
      <alignment horizontal="right" vertical="center"/>
    </xf>
    <xf numFmtId="0" fontId="62" fillId="11" borderId="0" xfId="32" applyFont="1" applyFill="1" applyAlignment="1">
      <alignment horizontal="center" vertical="center"/>
    </xf>
    <xf numFmtId="0" fontId="62" fillId="11" borderId="103" xfId="32" applyFont="1" applyFill="1" applyBorder="1" applyAlignment="1">
      <alignment horizontal="center" vertical="center"/>
    </xf>
    <xf numFmtId="0" fontId="62" fillId="11" borderId="104" xfId="32" applyFont="1" applyFill="1" applyBorder="1" applyAlignment="1">
      <alignment horizontal="center" vertical="center"/>
    </xf>
    <xf numFmtId="0" fontId="62" fillId="11" borderId="105" xfId="32" applyFont="1" applyFill="1" applyBorder="1" applyAlignment="1">
      <alignment horizontal="center" vertical="center"/>
    </xf>
    <xf numFmtId="0" fontId="62" fillId="11" borderId="103" xfId="32" applyFont="1" applyFill="1" applyBorder="1" applyAlignment="1">
      <alignment horizontal="center" vertical="center"/>
    </xf>
    <xf numFmtId="0" fontId="63" fillId="4" borderId="0" xfId="32" applyFont="1" applyFill="1" applyAlignment="1">
      <alignment horizontal="left" vertical="center" indent="1" shrinkToFit="1"/>
    </xf>
    <xf numFmtId="0" fontId="57" fillId="5" borderId="106" xfId="32" applyFont="1" applyFill="1" applyBorder="1" applyAlignment="1">
      <alignment horizontal="center" vertical="center"/>
    </xf>
    <xf numFmtId="0" fontId="63" fillId="4" borderId="107" xfId="32" applyFont="1" applyFill="1" applyBorder="1" applyAlignment="1">
      <alignment horizontal="left" vertical="center" indent="1" shrinkToFit="1"/>
    </xf>
    <xf numFmtId="0" fontId="63" fillId="4" borderId="108" xfId="32" applyFont="1" applyFill="1" applyBorder="1" applyAlignment="1">
      <alignment horizontal="left" vertical="center" indent="1" shrinkToFit="1"/>
    </xf>
    <xf numFmtId="41" fontId="63" fillId="5" borderId="109" xfId="49" applyFont="1" applyFill="1" applyBorder="1" applyAlignment="1">
      <alignment horizontal="center" vertical="center"/>
    </xf>
    <xf numFmtId="41" fontId="63" fillId="5" borderId="107" xfId="49" applyFont="1" applyFill="1" applyBorder="1" applyAlignment="1">
      <alignment horizontal="center" vertical="center"/>
    </xf>
    <xf numFmtId="41" fontId="63" fillId="5" borderId="108" xfId="49" applyFont="1" applyFill="1" applyBorder="1" applyAlignment="1">
      <alignment horizontal="center" vertical="center"/>
    </xf>
    <xf numFmtId="0" fontId="53" fillId="0" borderId="6" xfId="32" applyFont="1" applyBorder="1">
      <alignment vertical="center"/>
    </xf>
    <xf numFmtId="0" fontId="57" fillId="5" borderId="25" xfId="32" applyFont="1" applyFill="1" applyBorder="1" applyAlignment="1">
      <alignment horizontal="center" vertical="center"/>
    </xf>
    <xf numFmtId="0" fontId="63" fillId="5" borderId="9" xfId="32" applyFont="1" applyFill="1" applyBorder="1" applyAlignment="1">
      <alignment horizontal="left" vertical="center" indent="1" shrinkToFit="1"/>
    </xf>
    <xf numFmtId="0" fontId="63" fillId="5" borderId="10" xfId="32" applyFont="1" applyFill="1" applyBorder="1" applyAlignment="1">
      <alignment horizontal="left" vertical="center" indent="1" shrinkToFit="1"/>
    </xf>
    <xf numFmtId="0" fontId="63" fillId="5" borderId="4" xfId="32" applyFont="1" applyFill="1" applyBorder="1" applyAlignment="1">
      <alignment horizontal="left" vertical="center" indent="1" shrinkToFit="1"/>
    </xf>
    <xf numFmtId="41" fontId="63" fillId="4" borderId="7" xfId="49" applyFont="1" applyFill="1" applyBorder="1" applyAlignment="1">
      <alignment horizontal="center" vertical="center"/>
    </xf>
    <xf numFmtId="41" fontId="63" fillId="4" borderId="2" xfId="49" applyFont="1" applyFill="1" applyBorder="1" applyAlignment="1">
      <alignment horizontal="center" vertical="center"/>
    </xf>
    <xf numFmtId="41" fontId="63" fillId="4" borderId="8" xfId="49" applyFont="1" applyFill="1" applyBorder="1" applyAlignment="1">
      <alignment horizontal="center" vertical="center"/>
    </xf>
    <xf numFmtId="41" fontId="63" fillId="5" borderId="7" xfId="49" applyFont="1" applyFill="1" applyBorder="1" applyAlignment="1">
      <alignment horizontal="center" vertical="center"/>
    </xf>
    <xf numFmtId="41" fontId="63" fillId="5" borderId="2" xfId="49" applyFont="1" applyFill="1" applyBorder="1" applyAlignment="1">
      <alignment horizontal="center" vertical="center"/>
    </xf>
    <xf numFmtId="41" fontId="63" fillId="5" borderId="8" xfId="49" applyFont="1" applyFill="1" applyBorder="1" applyAlignment="1">
      <alignment horizontal="center" vertical="center"/>
    </xf>
    <xf numFmtId="0" fontId="57" fillId="5" borderId="32" xfId="32" applyFont="1" applyFill="1" applyBorder="1" applyAlignment="1">
      <alignment horizontal="center" vertical="center"/>
    </xf>
    <xf numFmtId="0" fontId="57" fillId="5" borderId="9" xfId="32" applyFont="1" applyFill="1" applyBorder="1" applyAlignment="1">
      <alignment horizontal="left" vertical="center" indent="1" shrinkToFit="1"/>
    </xf>
    <xf numFmtId="0" fontId="57" fillId="5" borderId="10" xfId="32" applyFont="1" applyFill="1" applyBorder="1" applyAlignment="1">
      <alignment horizontal="left" vertical="center" indent="1" shrinkToFit="1"/>
    </xf>
    <xf numFmtId="0" fontId="57" fillId="5" borderId="4" xfId="32" applyFont="1" applyFill="1" applyBorder="1" applyAlignment="1">
      <alignment horizontal="left" vertical="center" indent="1" shrinkToFit="1"/>
    </xf>
    <xf numFmtId="41" fontId="57" fillId="5" borderId="7" xfId="49" applyFont="1" applyFill="1" applyBorder="1" applyAlignment="1">
      <alignment horizontal="center" vertical="center"/>
    </xf>
    <xf numFmtId="41" fontId="57" fillId="5" borderId="2" xfId="49" applyFont="1" applyFill="1" applyBorder="1" applyAlignment="1">
      <alignment horizontal="center" vertical="center"/>
    </xf>
    <xf numFmtId="41" fontId="57" fillId="5" borderId="8" xfId="49" applyFont="1" applyFill="1" applyBorder="1" applyAlignment="1">
      <alignment horizontal="center" vertical="center"/>
    </xf>
    <xf numFmtId="0" fontId="57" fillId="5" borderId="16" xfId="32" applyFont="1" applyFill="1" applyBorder="1" applyAlignment="1">
      <alignment horizontal="center" vertical="center"/>
    </xf>
    <xf numFmtId="0" fontId="63" fillId="5" borderId="7" xfId="32" applyFont="1" applyFill="1" applyBorder="1" applyAlignment="1">
      <alignment horizontal="left" vertical="center" indent="1" shrinkToFit="1"/>
    </xf>
    <xf numFmtId="0" fontId="63" fillId="5" borderId="2" xfId="32" applyFont="1" applyFill="1" applyBorder="1" applyAlignment="1">
      <alignment horizontal="left" vertical="center" indent="1" shrinkToFit="1"/>
    </xf>
    <xf numFmtId="0" fontId="63" fillId="5" borderId="8" xfId="32" applyFont="1" applyFill="1" applyBorder="1" applyAlignment="1">
      <alignment horizontal="left" vertical="center" indent="1" shrinkToFit="1"/>
    </xf>
    <xf numFmtId="0" fontId="57" fillId="5" borderId="16" xfId="32" applyFont="1" applyFill="1" applyBorder="1" applyAlignment="1">
      <alignment horizontal="center" vertical="center" wrapText="1"/>
    </xf>
    <xf numFmtId="0" fontId="57" fillId="5" borderId="25" xfId="32" applyFont="1" applyFill="1" applyBorder="1" applyAlignment="1">
      <alignment horizontal="center" vertical="center" wrapText="1"/>
    </xf>
    <xf numFmtId="41" fontId="63" fillId="5" borderId="7" xfId="49" applyFont="1" applyFill="1" applyBorder="1" applyAlignment="1">
      <alignment horizontal="center" vertical="center"/>
    </xf>
    <xf numFmtId="41" fontId="63" fillId="5" borderId="2" xfId="49" applyFont="1" applyFill="1" applyBorder="1" applyAlignment="1">
      <alignment horizontal="center" vertical="center"/>
    </xf>
    <xf numFmtId="0" fontId="57" fillId="5" borderId="32" xfId="32" applyFont="1" applyFill="1" applyBorder="1" applyAlignment="1">
      <alignment horizontal="center" vertical="center" wrapText="1"/>
    </xf>
    <xf numFmtId="0" fontId="57" fillId="5" borderId="7" xfId="32" applyFont="1" applyFill="1" applyBorder="1" applyAlignment="1">
      <alignment horizontal="center" vertical="center" shrinkToFit="1"/>
    </xf>
    <xf numFmtId="0" fontId="57" fillId="5" borderId="2" xfId="32" applyFont="1" applyFill="1" applyBorder="1" applyAlignment="1">
      <alignment horizontal="center" vertical="center" shrinkToFit="1"/>
    </xf>
    <xf numFmtId="41" fontId="26" fillId="4" borderId="7" xfId="49" applyFont="1" applyFill="1" applyBorder="1" applyAlignment="1">
      <alignment horizontal="center" vertical="center"/>
    </xf>
    <xf numFmtId="41" fontId="26" fillId="4" borderId="2" xfId="49" applyFont="1" applyFill="1" applyBorder="1" applyAlignment="1">
      <alignment horizontal="center" vertical="center"/>
    </xf>
    <xf numFmtId="41" fontId="26" fillId="4" borderId="8" xfId="49" applyFont="1" applyFill="1" applyBorder="1" applyAlignment="1">
      <alignment horizontal="center" vertical="center"/>
    </xf>
    <xf numFmtId="41" fontId="57" fillId="5" borderId="7" xfId="49" applyFont="1" applyFill="1" applyBorder="1" applyAlignment="1">
      <alignment horizontal="center" vertical="center"/>
    </xf>
    <xf numFmtId="41" fontId="57" fillId="5" borderId="2" xfId="49" applyFont="1" applyFill="1" applyBorder="1" applyAlignment="1">
      <alignment horizontal="center" vertical="center"/>
    </xf>
    <xf numFmtId="0" fontId="64" fillId="5" borderId="7" xfId="32" applyFont="1" applyFill="1" applyBorder="1" applyAlignment="1">
      <alignment horizontal="center" vertical="center" shrinkToFit="1"/>
    </xf>
    <xf numFmtId="0" fontId="64" fillId="5" borderId="2" xfId="32" applyFont="1" applyFill="1" applyBorder="1" applyAlignment="1">
      <alignment horizontal="center" vertical="center" shrinkToFit="1"/>
    </xf>
    <xf numFmtId="0" fontId="64" fillId="5" borderId="8" xfId="32" applyFont="1" applyFill="1" applyBorder="1" applyAlignment="1">
      <alignment horizontal="center" vertical="center" shrinkToFit="1"/>
    </xf>
    <xf numFmtId="41" fontId="65" fillId="4" borderId="7" xfId="49" applyFont="1" applyFill="1" applyBorder="1" applyAlignment="1">
      <alignment horizontal="center" vertical="center"/>
    </xf>
    <xf numFmtId="41" fontId="65" fillId="4" borderId="2" xfId="49" applyFont="1" applyFill="1" applyBorder="1" applyAlignment="1">
      <alignment horizontal="center" vertical="center"/>
    </xf>
    <xf numFmtId="41" fontId="65" fillId="4" borderId="8" xfId="49" applyFont="1" applyFill="1" applyBorder="1" applyAlignment="1">
      <alignment horizontal="center" vertical="center"/>
    </xf>
    <xf numFmtId="202" fontId="64" fillId="5" borderId="7" xfId="49" applyNumberFormat="1" applyFont="1" applyFill="1" applyBorder="1" applyAlignment="1">
      <alignment horizontal="right" vertical="center"/>
    </xf>
    <xf numFmtId="202" fontId="64" fillId="5" borderId="2" xfId="49" applyNumberFormat="1" applyFont="1" applyFill="1" applyBorder="1" applyAlignment="1">
      <alignment horizontal="right" vertical="center"/>
    </xf>
    <xf numFmtId="202" fontId="64" fillId="5" borderId="8" xfId="49" applyNumberFormat="1" applyFont="1" applyFill="1" applyBorder="1" applyAlignment="1">
      <alignment horizontal="right" vertical="center"/>
    </xf>
    <xf numFmtId="41" fontId="64" fillId="5" borderId="7" xfId="49" applyFont="1" applyFill="1" applyBorder="1" applyAlignment="1">
      <alignment horizontal="center" vertical="center"/>
    </xf>
    <xf numFmtId="41" fontId="64" fillId="5" borderId="2" xfId="49" applyFont="1" applyFill="1" applyBorder="1" applyAlignment="1">
      <alignment horizontal="center" vertical="center"/>
    </xf>
    <xf numFmtId="41" fontId="57" fillId="5" borderId="7" xfId="49" applyFont="1" applyFill="1" applyBorder="1" applyAlignment="1">
      <alignment vertical="center"/>
    </xf>
    <xf numFmtId="41" fontId="57" fillId="5" borderId="2" xfId="49" applyFont="1" applyFill="1" applyBorder="1" applyAlignment="1">
      <alignment vertical="center"/>
    </xf>
    <xf numFmtId="41" fontId="57" fillId="5" borderId="8" xfId="49" applyFont="1" applyFill="1" applyBorder="1" applyAlignment="1">
      <alignment vertical="center"/>
    </xf>
    <xf numFmtId="41" fontId="57" fillId="5" borderId="7" xfId="49" applyFont="1" applyFill="1" applyBorder="1" applyAlignment="1">
      <alignment horizontal="left" vertical="center"/>
    </xf>
    <xf numFmtId="41" fontId="57" fillId="5" borderId="2" xfId="49" applyFont="1" applyFill="1" applyBorder="1" applyAlignment="1">
      <alignment horizontal="left" vertical="center"/>
    </xf>
    <xf numFmtId="181" fontId="53" fillId="0" borderId="0" xfId="32" applyNumberFormat="1" applyFont="1">
      <alignment vertical="center"/>
    </xf>
    <xf numFmtId="0" fontId="58" fillId="4" borderId="6" xfId="32" applyFont="1" applyFill="1" applyBorder="1">
      <alignment vertical="center"/>
    </xf>
    <xf numFmtId="0" fontId="58" fillId="4" borderId="0" xfId="32" applyFont="1" applyFill="1">
      <alignment vertical="center"/>
    </xf>
    <xf numFmtId="0" fontId="61" fillId="11" borderId="7" xfId="32" applyFont="1" applyFill="1" applyBorder="1" applyAlignment="1">
      <alignment horizontal="center" vertical="center"/>
    </xf>
    <xf numFmtId="0" fontId="61" fillId="11" borderId="8" xfId="32" applyFont="1" applyFill="1" applyBorder="1" applyAlignment="1">
      <alignment horizontal="center" vertical="center"/>
    </xf>
    <xf numFmtId="0" fontId="57" fillId="5" borderId="36" xfId="32" applyFont="1" applyFill="1" applyBorder="1" applyAlignment="1">
      <alignment horizontal="left" vertical="top" wrapText="1"/>
    </xf>
    <xf numFmtId="0" fontId="62" fillId="5" borderId="15" xfId="0" applyFont="1" applyFill="1" applyBorder="1" applyAlignment="1">
      <alignment vertical="top"/>
    </xf>
    <xf numFmtId="0" fontId="62" fillId="5" borderId="6" xfId="0" applyFont="1" applyFill="1" applyBorder="1" applyAlignment="1">
      <alignment vertical="top"/>
    </xf>
    <xf numFmtId="0" fontId="62" fillId="5" borderId="0" xfId="0" applyFont="1" applyFill="1" applyAlignment="1">
      <alignment vertical="top"/>
    </xf>
    <xf numFmtId="0" fontId="54" fillId="11" borderId="3" xfId="32" applyFont="1" applyFill="1" applyBorder="1" applyAlignment="1">
      <alignment horizontal="center" vertical="center" wrapText="1"/>
    </xf>
    <xf numFmtId="0" fontId="54" fillId="11" borderId="7" xfId="32" applyFont="1" applyFill="1" applyBorder="1" applyAlignment="1">
      <alignment horizontal="center" vertical="center" wrapText="1"/>
    </xf>
    <xf numFmtId="0" fontId="53" fillId="5" borderId="8" xfId="32" applyFont="1" applyFill="1" applyBorder="1" applyAlignment="1">
      <alignment horizontal="center" vertical="center"/>
    </xf>
    <xf numFmtId="0" fontId="53" fillId="5" borderId="3" xfId="32" applyFont="1" applyFill="1" applyBorder="1" applyAlignment="1">
      <alignment horizontal="center" vertical="center"/>
    </xf>
    <xf numFmtId="0" fontId="53" fillId="11" borderId="7" xfId="32" applyFont="1" applyFill="1" applyBorder="1" applyAlignment="1">
      <alignment horizontal="center" vertical="center"/>
    </xf>
    <xf numFmtId="0" fontId="53" fillId="5" borderId="2" xfId="32" applyFont="1" applyFill="1" applyBorder="1" applyAlignment="1">
      <alignment horizontal="center" vertical="center"/>
    </xf>
    <xf numFmtId="0" fontId="53" fillId="5" borderId="0" xfId="32" applyFont="1" applyFill="1">
      <alignment vertical="center"/>
    </xf>
    <xf numFmtId="0" fontId="66" fillId="5" borderId="0" xfId="32" applyFont="1" applyFill="1" applyAlignment="1">
      <alignment horizontal="center" vertical="center"/>
    </xf>
    <xf numFmtId="0" fontId="67" fillId="5" borderId="0" xfId="32" applyFont="1" applyFill="1" applyAlignment="1">
      <alignment horizontal="left" vertical="center"/>
    </xf>
    <xf numFmtId="0" fontId="68" fillId="5" borderId="0" xfId="32" applyFont="1" applyFill="1" applyAlignment="1">
      <alignment horizontal="center" vertical="center"/>
    </xf>
    <xf numFmtId="0" fontId="69" fillId="5" borderId="0" xfId="32" applyFont="1" applyFill="1" applyAlignment="1">
      <alignment horizontal="center" vertical="center"/>
    </xf>
    <xf numFmtId="0" fontId="58" fillId="4" borderId="9" xfId="32" applyFont="1" applyFill="1" applyBorder="1">
      <alignment vertical="center"/>
    </xf>
    <xf numFmtId="0" fontId="58" fillId="4" borderId="10" xfId="32" applyFont="1" applyFill="1" applyBorder="1">
      <alignment vertical="center"/>
    </xf>
    <xf numFmtId="0" fontId="53" fillId="5" borderId="10" xfId="32" applyFont="1" applyFill="1" applyBorder="1">
      <alignment vertical="center"/>
    </xf>
    <xf numFmtId="0" fontId="66" fillId="5" borderId="10" xfId="32" applyFont="1" applyFill="1" applyBorder="1" applyAlignment="1">
      <alignment horizontal="center" vertical="center"/>
    </xf>
    <xf numFmtId="0" fontId="67" fillId="5" borderId="10" xfId="32" applyFont="1" applyFill="1" applyBorder="1">
      <alignment vertical="center"/>
    </xf>
    <xf numFmtId="0" fontId="68" fillId="5" borderId="10" xfId="32" applyFont="1" applyFill="1" applyBorder="1" applyAlignment="1">
      <alignment horizontal="center" vertical="center"/>
    </xf>
    <xf numFmtId="0" fontId="69" fillId="5" borderId="10" xfId="32" applyFont="1" applyFill="1" applyBorder="1" applyAlignment="1">
      <alignment horizontal="center" vertical="center"/>
    </xf>
  </cellXfs>
  <cellStyles count="50">
    <cellStyle name="_총괄" xfId="1" xr:uid="{161C6059-4B9F-4341-9AF5-3E94DA166E8B}"/>
    <cellStyle name="Comma [0]_laroux" xfId="2" xr:uid="{DD773B82-E0D7-49CE-9A7A-19A94A06B741}"/>
    <cellStyle name="comma zerodec" xfId="3" xr:uid="{3D119CEE-9383-4D56-9B94-019D6A7877CA}"/>
    <cellStyle name="Comma_laroux" xfId="4" xr:uid="{856CBF0E-9AF6-447E-B0F1-6FE738195D27}"/>
    <cellStyle name="Currency [0]_laroux" xfId="5" xr:uid="{69217D2B-D0D2-456E-A91C-876464DD9833}"/>
    <cellStyle name="Currency_laroux" xfId="6" xr:uid="{260D4AF7-A26B-428D-BD27-2913AA845C7C}"/>
    <cellStyle name="Currency1" xfId="7" xr:uid="{A10C01D4-972F-4909-90F2-2606BEB66A83}"/>
    <cellStyle name="Dollar (zero dec)" xfId="8" xr:uid="{56679DC2-7B39-43E3-A9F3-ED45ECF1314D}"/>
    <cellStyle name="Grey" xfId="9" xr:uid="{CCE05F82-F062-489F-9168-63E7487C59E8}"/>
    <cellStyle name="Header1" xfId="10" xr:uid="{8535A610-E21F-4A33-B4D6-D4901B459793}"/>
    <cellStyle name="Header2" xfId="11" xr:uid="{7B293242-A19F-4EBE-9A8C-33476D7FE027}"/>
    <cellStyle name="Input [yellow]" xfId="12" xr:uid="{03839B2B-494E-4606-B35D-8237CFE07005}"/>
    <cellStyle name="Milliers [0]_Arabian Spec" xfId="13" xr:uid="{0CD8821B-CEE7-4DE7-9B75-C2B4F0EEEF7D}"/>
    <cellStyle name="Milliers_Arabian Spec" xfId="14" xr:uid="{0EB123A6-8A14-40CB-9479-97C002682B21}"/>
    <cellStyle name="Mon?aire [0]_Arabian Spec" xfId="15" xr:uid="{A1C6684B-27D2-45B9-897E-5B48B47272CC}"/>
    <cellStyle name="Mon?aire_Arabian Spec" xfId="16" xr:uid="{C3E92176-0BA6-423C-9916-FF427CBC6383}"/>
    <cellStyle name="Normal - Style1" xfId="17" xr:uid="{93F7FCFE-F229-4789-BB78-9040B1E14B6A}"/>
    <cellStyle name="Normal_Certs Q2" xfId="18" xr:uid="{4C62DEB7-5A0A-48FC-80C1-262A27E1088E}"/>
    <cellStyle name="Percent [2]" xfId="19" xr:uid="{40D4349A-987A-4997-A1C1-F22C695AA1A1}"/>
    <cellStyle name="백분율 2" xfId="20" xr:uid="{6A15A785-46B3-4A7F-93D7-3F6DC6D590F9}"/>
    <cellStyle name="백분율 3" xfId="21" xr:uid="{93853D10-8EF3-4BF6-878A-DD49188CBFC8}"/>
    <cellStyle name="백분율 4" xfId="42" xr:uid="{4DF6A226-9AF8-4517-A522-C1800F07E4CF}"/>
    <cellStyle name="분수" xfId="22" xr:uid="{C78D9EB7-8D46-4E3A-9C10-710C4503D02A}"/>
    <cellStyle name="쉼표 [0]" xfId="23" builtinId="6"/>
    <cellStyle name="쉼표 [0] 17" xfId="47" xr:uid="{B95F47A7-63FF-4F4D-84A5-B2F694D900B1}"/>
    <cellStyle name="쉼표 [0] 2" xfId="24" xr:uid="{E51A1B6D-2271-4622-BB91-74D789883EC3}"/>
    <cellStyle name="쉼표 [0] 2 2" xfId="49" xr:uid="{06510D14-9A07-4C2F-8797-2C12C9D167F8}"/>
    <cellStyle name="쉼표 [0] 2 2 29" xfId="41" xr:uid="{E187BB94-BCF6-4631-AAA7-CDB4C43D985A}"/>
    <cellStyle name="쉼표 [0] 2 84" xfId="45" xr:uid="{52162E6D-B2D3-438A-BFBD-71CC9712F3E8}"/>
    <cellStyle name="쉼표 [0] 3" xfId="25" xr:uid="{87C4D7D9-BC69-4E79-B65A-592ECD03D974}"/>
    <cellStyle name="쉼표 [0] 4" xfId="26" xr:uid="{D529C8E9-107B-4DA7-83B1-23897BF5B200}"/>
    <cellStyle name="쉼표 [0] 4 2" xfId="48" xr:uid="{B6C8E2DA-7408-48D9-B94E-24CCBBB7F9D9}"/>
    <cellStyle name="쉼표 [0] 5" xfId="27" xr:uid="{2925AAAA-2B81-4D1D-A14F-F8081E200655}"/>
    <cellStyle name="쉼표 [0] 5 2" xfId="43" xr:uid="{A5C94F81-9129-4E40-9BD2-9D4AF846D5EA}"/>
    <cellStyle name="쉼표 [0] 6" xfId="40" xr:uid="{A4CDD632-612D-492C-8845-1AB35E0A7245}"/>
    <cellStyle name="콤마 [0]_(월초P)" xfId="28" xr:uid="{591A2A21-A47B-4E0A-8894-C43125996680}"/>
    <cellStyle name="콤마_11월 거래처별" xfId="29" xr:uid="{FD258768-FEA6-4FC1-836B-89F6CB1E2D72}"/>
    <cellStyle name="통화 [0] 2" xfId="30" xr:uid="{AFB944F5-EF89-486D-B40A-A932D9AB600F}"/>
    <cellStyle name="통화 [0] 3" xfId="31" xr:uid="{F0CFAFD7-1C0B-45A4-A5C2-411F64A07B9B}"/>
    <cellStyle name="표준" xfId="0" builtinId="0"/>
    <cellStyle name="표준 10 10 2" xfId="46" xr:uid="{DC102143-374C-46E4-92B4-D3ADFEA05B0E}"/>
    <cellStyle name="표준 10 2" xfId="37" xr:uid="{60C27902-DE33-4955-85D7-0F3EB084DCBF}"/>
    <cellStyle name="표준 2" xfId="32" xr:uid="{DA38458D-1BF7-486A-8097-40F563DE44B4}"/>
    <cellStyle name="표준 3" xfId="33" xr:uid="{FC513204-FC8A-4FA1-B9A5-DAF7F0C0334A}"/>
    <cellStyle name="표준 4" xfId="44" xr:uid="{176F2F83-F29B-4EC8-B85A-B38878B5219E}"/>
    <cellStyle name="표준_p1공장 외벽청소(08.03.17)" xfId="38" xr:uid="{AABC68DD-C31F-445F-B778-E8743A53023C}"/>
    <cellStyle name="표준_P456 공장 및 복지동 전면 유리창 청소건 라상혁님_1129(최종)" xfId="39" xr:uid="{67CB1EC6-9511-4FD5-A9C4-534201E9C619}"/>
    <cellStyle name="표준_S&amp;D_MAIN VALVE_최빈_2" xfId="36" xr:uid="{009E6C09-4381-4C70-AE28-CBE5F40F4F37}"/>
    <cellStyle name="표준_발주서" xfId="34" xr:uid="{70F931B3-07BB-4303-A09B-662CD6329BCD}"/>
    <cellStyle name="표준_설계2" xfId="35" xr:uid="{304C54A7-ACCC-4BA4-9342-E9723FAEC26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3.jpeg"/><Relationship Id="rId5" Type="http://schemas.openxmlformats.org/officeDocument/2006/relationships/image" Target="../media/image7.pn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906462B9-AD16-4AF6-A0F2-38D4A74E812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1419225</xdr:colOff>
      <xdr:row>38</xdr:row>
      <xdr:rowOff>104775</xdr:rowOff>
    </xdr:from>
    <xdr:to>
      <xdr:col>6</xdr:col>
      <xdr:colOff>866775</xdr:colOff>
      <xdr:row>39</xdr:row>
      <xdr:rowOff>219075</xdr:rowOff>
    </xdr:to>
    <xdr:pic>
      <xdr:nvPicPr>
        <xdr:cNvPr id="2" name="그림 6" descr="하이엠솔루텍메인로고.jpg">
          <a:extLst>
            <a:ext uri="{FF2B5EF4-FFF2-40B4-BE49-F238E27FC236}">
              <a16:creationId xmlns:a16="http://schemas.microsoft.com/office/drawing/2014/main" id="{34D3289E-E5F5-447E-987C-889490786A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943" t="14085" r="48972" b="50301"/>
        <a:stretch>
          <a:fillRect/>
        </a:stretch>
      </xdr:blipFill>
      <xdr:spPr bwMode="auto">
        <a:xfrm>
          <a:off x="5305425" y="13601700"/>
          <a:ext cx="8667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152400</xdr:colOff>
      <xdr:row>0</xdr:row>
      <xdr:rowOff>9525</xdr:rowOff>
    </xdr:from>
    <xdr:to>
      <xdr:col>6</xdr:col>
      <xdr:colOff>1419225</xdr:colOff>
      <xdr:row>2</xdr:row>
      <xdr:rowOff>285750</xdr:rowOff>
    </xdr:to>
    <xdr:pic>
      <xdr:nvPicPr>
        <xdr:cNvPr id="20703" name="Picture 14" descr="사본 - 견적016">
          <a:extLst>
            <a:ext uri="{FF2B5EF4-FFF2-40B4-BE49-F238E27FC236}">
              <a16:creationId xmlns:a16="http://schemas.microsoft.com/office/drawing/2014/main" id="{7845AE34-7BE2-C722-5673-34CD9418D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525"/>
          <a:ext cx="1266825"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37</xdr:row>
      <xdr:rowOff>0</xdr:rowOff>
    </xdr:from>
    <xdr:to>
      <xdr:col>6</xdr:col>
      <xdr:colOff>742950</xdr:colOff>
      <xdr:row>41</xdr:row>
      <xdr:rowOff>76200</xdr:rowOff>
    </xdr:to>
    <xdr:grpSp>
      <xdr:nvGrpSpPr>
        <xdr:cNvPr id="20704" name="그룹 3">
          <a:extLst>
            <a:ext uri="{FF2B5EF4-FFF2-40B4-BE49-F238E27FC236}">
              <a16:creationId xmlns:a16="http://schemas.microsoft.com/office/drawing/2014/main" id="{4361E510-F54D-9C49-9B7C-85A3434DD961}"/>
            </a:ext>
          </a:extLst>
        </xdr:cNvPr>
        <xdr:cNvGrpSpPr>
          <a:grpSpLocks/>
        </xdr:cNvGrpSpPr>
      </xdr:nvGrpSpPr>
      <xdr:grpSpPr bwMode="auto">
        <a:xfrm>
          <a:off x="7082118" y="7395882"/>
          <a:ext cx="742950" cy="793377"/>
          <a:chOff x="5647157" y="4766045"/>
          <a:chExt cx="2722676" cy="1492500"/>
        </a:xfrm>
      </xdr:grpSpPr>
      <xdr:pic>
        <xdr:nvPicPr>
          <xdr:cNvPr id="5" name="Picture 2" descr="D:\제품사진\01_CAC\51 ● GHP Super\기존 LS\GHP(Gen.1)(Old).gif">
            <a:extLst>
              <a:ext uri="{FF2B5EF4-FFF2-40B4-BE49-F238E27FC236}">
                <a16:creationId xmlns:a16="http://schemas.microsoft.com/office/drawing/2014/main" id="{D84695E0-DCBB-18EA-160D-C74833524692}"/>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647157" y="4890420"/>
            <a:ext cx="1221714" cy="1225982"/>
          </a:xfrm>
          <a:prstGeom prst="rect">
            <a:avLst/>
          </a:prstGeom>
          <a:noFill/>
          <a:effectLst>
            <a:outerShdw blurRad="50800" dist="38100" algn="l" rotWithShape="0">
              <a:prstClr val="black">
                <a:alpha val="40000"/>
              </a:prstClr>
            </a:outerShdw>
          </a:effectLst>
        </xdr:spPr>
      </xdr:pic>
      <xdr:pic>
        <xdr:nvPicPr>
          <xdr:cNvPr id="6" name="그림 5">
            <a:extLst>
              <a:ext uri="{FF2B5EF4-FFF2-40B4-BE49-F238E27FC236}">
                <a16:creationId xmlns:a16="http://schemas.microsoft.com/office/drawing/2014/main" id="{5B8366D4-3A6B-E7CA-A30A-9A693EAE1FEB}"/>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rcRect/>
          <a:stretch>
            <a:fillRect/>
          </a:stretch>
        </xdr:blipFill>
        <xdr:spPr bwMode="auto">
          <a:xfrm>
            <a:off x="7183026" y="4890420"/>
            <a:ext cx="1186807" cy="1297054"/>
          </a:xfrm>
          <a:prstGeom prst="rect">
            <a:avLst/>
          </a:prstGeom>
          <a:noFill/>
          <a:ln>
            <a:noFill/>
          </a:ln>
          <a:effectLst>
            <a:outerShdw blurRad="50800" dist="38100" algn="l" rotWithShape="0">
              <a:prstClr val="black">
                <a:alpha val="40000"/>
              </a:prstClr>
            </a:outerShdw>
          </a:effectLst>
        </xdr:spPr>
      </xdr:pic>
      <xdr:pic>
        <xdr:nvPicPr>
          <xdr:cNvPr id="7" name="그림 6">
            <a:extLst>
              <a:ext uri="{FF2B5EF4-FFF2-40B4-BE49-F238E27FC236}">
                <a16:creationId xmlns:a16="http://schemas.microsoft.com/office/drawing/2014/main" id="{2E604E19-39C6-7A51-272E-074A6929394D}"/>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blip>
          <a:stretch>
            <a:fillRect/>
          </a:stretch>
        </xdr:blipFill>
        <xdr:spPr>
          <a:xfrm>
            <a:off x="6380185" y="4766045"/>
            <a:ext cx="1361338" cy="1492500"/>
          </a:xfrm>
          <a:prstGeom prst="rect">
            <a:avLst/>
          </a:prstGeom>
          <a:effectLst>
            <a:outerShdw blurRad="50800" dist="38100" algn="l" rotWithShape="0">
              <a:prstClr val="black">
                <a:alpha val="40000"/>
              </a:prstClr>
            </a:outerShdw>
          </a:effectLst>
        </xdr:spPr>
      </xdr:pic>
    </xdr:grpSp>
    <xdr:clientData/>
  </xdr:twoCellAnchor>
  <xdr:twoCellAnchor>
    <xdr:from>
      <xdr:col>0</xdr:col>
      <xdr:colOff>36830</xdr:colOff>
      <xdr:row>11</xdr:row>
      <xdr:rowOff>31750</xdr:rowOff>
    </xdr:from>
    <xdr:to>
      <xdr:col>5</xdr:col>
      <xdr:colOff>550788</xdr:colOff>
      <xdr:row>16</xdr:row>
      <xdr:rowOff>2311</xdr:rowOff>
    </xdr:to>
    <xdr:sp macro="" textlink="">
      <xdr:nvSpPr>
        <xdr:cNvPr id="8" name="object 294">
          <a:extLst>
            <a:ext uri="{FF2B5EF4-FFF2-40B4-BE49-F238E27FC236}">
              <a16:creationId xmlns:a16="http://schemas.microsoft.com/office/drawing/2014/main" id="{AA854B73-FD6B-6F43-E4D8-7C6F6FDD10CE}"/>
            </a:ext>
          </a:extLst>
        </xdr:cNvPr>
        <xdr:cNvSpPr txBox="1">
          <a:spLocks/>
        </xdr:cNvSpPr>
      </xdr:nvSpPr>
      <xdr:spPr>
        <a:xfrm>
          <a:off x="40005" y="2641600"/>
          <a:ext cx="6568667" cy="972155"/>
        </a:xfrm>
        <a:prstGeom prst="rect">
          <a:avLst/>
        </a:prstGeom>
      </xdr:spPr>
      <xdr:txBody>
        <a:bodyPr vert="horz" wrap="square" lIns="0" tIns="0" rIns="0" bIns="0"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ts val="4300"/>
            </a:lnSpc>
          </a:pPr>
          <a:r>
            <a:rPr lang="en-US" sz="3600"/>
            <a:t> LG</a:t>
          </a:r>
          <a:r>
            <a:rPr lang="en-US" sz="3600" baseline="0"/>
            <a:t> </a:t>
          </a:r>
          <a:r>
            <a:rPr lang="en-US" sz="3600"/>
            <a:t> </a:t>
          </a:r>
        </a:p>
        <a:p>
          <a:pPr>
            <a:lnSpc>
              <a:spcPts val="2800"/>
            </a:lnSpc>
          </a:pPr>
          <a:r>
            <a:rPr lang="ko-KR" altLang="en-US" sz="1800"/>
            <a:t>  냉난방기</a:t>
          </a:r>
          <a:endParaRPr lang="en-US" sz="1800"/>
        </a:p>
      </xdr:txBody>
    </xdr:sp>
    <xdr:clientData/>
  </xdr:twoCellAnchor>
  <xdr:twoCellAnchor editAs="oneCell">
    <xdr:from>
      <xdr:col>0</xdr:col>
      <xdr:colOff>152400</xdr:colOff>
      <xdr:row>0</xdr:row>
      <xdr:rowOff>76200</xdr:rowOff>
    </xdr:from>
    <xdr:to>
      <xdr:col>0</xdr:col>
      <xdr:colOff>1181100</xdr:colOff>
      <xdr:row>2</xdr:row>
      <xdr:rowOff>295275</xdr:rowOff>
    </xdr:to>
    <xdr:pic>
      <xdr:nvPicPr>
        <xdr:cNvPr id="20706" name="Picture 15" descr="C:\Users\Administrator\Desktop\BCG\BCG 3.0\로고\LG_CI_3D_RGB_Standard.png">
          <a:extLst>
            <a:ext uri="{FF2B5EF4-FFF2-40B4-BE49-F238E27FC236}">
              <a16:creationId xmlns:a16="http://schemas.microsoft.com/office/drawing/2014/main" id="{FF6FC733-8A28-AB7F-58ED-FFC740A6DA6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2400" y="76200"/>
          <a:ext cx="10287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E/&#49436;&#48708;&#49828;&#49345;&#54408;/&#49345;&#54408;&#44228;&#49328;&#44592;/2009&#45380;&#44592;&#51456;/090409_2009&#45380;%20&#49345;&#54408;&#44228;&#49328;&#44592;%20V1.3.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02%20&#44592;&#49689;&#49324;%20&#48143;%20&#49324;&#53469;\02%20&#44204;&#51201;&#51089;&#50629;\02%20&#44204;&#51201;&#49436;\01%20&#49556;&#47336;&#49496;\251024\03%20&#45817;&#49324;&#50504;\01&#45817;&#49324;&#50504;_(&#49324;&#53469;%205&#46041;%20&#44221;&#48708;&#49892;%20&#52380;&#51109;&#54805;%20EHP%20&#49688;&#47532;).xls" TargetMode="External"/><Relationship Id="rId1" Type="http://schemas.openxmlformats.org/officeDocument/2006/relationships/externalLinkPath" Target="/02%20&#44592;&#49689;&#49324;%20&#48143;%20&#49324;&#53469;/02%20&#44204;&#51201;&#51089;&#50629;/02%20&#44204;&#51201;&#49436;/01%20&#49556;&#47336;&#49496;/251024/03%20&#45817;&#49324;&#50504;/01&#45817;&#49324;&#50504;_(&#49324;&#53469;%205&#46041;%20&#44221;&#48708;&#49892;%20&#52380;&#51109;&#54805;%20EHP%20&#49688;&#475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yangjine.yoon/Desktop/YOON/&#44204;&#51201;&#49436;&amp;&#50629;&#47924;&#51088;&#47308;/&#50976;&#51648;&#48372;&#49688;/2015&#45380;/2015&#45380;%202&#50900;/LG&#54868;&#54617;%20&#44592;&#49696;&#50672;&#44396;&#50896;%20&#53945;&#49688;&#54028;&#51060;&#47196;&#53944;&#46041;%20(&#51228;&#49845;&#44277;&#51312;)/&#44204;&#51201;&#49436;/&#44204;&#51201;&#49436;_&#51228;&#49845;&#44592;%20&#50976;&#51648;&#48372;&#49688;_LG&#54868;&#54617;%20&#44592;&#49696;&#50672;&#44396;&#50896;%20&#53945;&#54028;&#46041;_150304_&#51228;&#5263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품계산기"/>
      <sheetName val="1차견적서"/>
      <sheetName val="2차견적서"/>
      <sheetName val="3차견적서"/>
      <sheetName val="맞춤견적서"/>
    </sheetNames>
    <sheetDataSet>
      <sheetData sheetId="0">
        <row r="46">
          <cell r="J46" t="str">
            <v>일시불</v>
          </cell>
          <cell r="K46">
            <v>1</v>
          </cell>
        </row>
        <row r="47">
          <cell r="J47" t="str">
            <v>분할납부</v>
          </cell>
          <cell r="K47">
            <v>12</v>
          </cell>
        </row>
        <row r="96">
          <cell r="F96" t="str">
            <v>최상수 부장</v>
          </cell>
          <cell r="G96" t="str">
            <v>010-7661-6857</v>
          </cell>
        </row>
        <row r="97">
          <cell r="F97" t="str">
            <v>김성완 과장</v>
          </cell>
          <cell r="G97" t="str">
            <v>019-559-0500</v>
          </cell>
        </row>
        <row r="98">
          <cell r="F98" t="str">
            <v>정유신 대리</v>
          </cell>
          <cell r="G98" t="str">
            <v>019-511-5173</v>
          </cell>
        </row>
        <row r="99">
          <cell r="F99" t="str">
            <v>이상순 과장</v>
          </cell>
          <cell r="G99" t="str">
            <v>010-5760-8029</v>
          </cell>
        </row>
        <row r="100">
          <cell r="F100" t="str">
            <v>류제형 과장</v>
          </cell>
          <cell r="G100" t="str">
            <v>010-5761-2500</v>
          </cell>
        </row>
        <row r="101">
          <cell r="F101" t="str">
            <v>손현주 과장</v>
          </cell>
          <cell r="G101" t="str">
            <v>010-2585-0314</v>
          </cell>
        </row>
        <row r="102">
          <cell r="F102" t="str">
            <v>김수진 과장</v>
          </cell>
          <cell r="G102" t="str">
            <v>018-239-7752</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갑지"/>
      <sheetName val="을지"/>
      <sheetName val="내역서"/>
    </sheetNames>
    <sheetDataSet>
      <sheetData sheetId="0"/>
      <sheetData sheetId="1">
        <row r="11">
          <cell r="F11">
            <v>719091</v>
          </cell>
          <cell r="H11">
            <v>162727</v>
          </cell>
        </row>
      </sheetData>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원가계산서"/>
      <sheetName val="을지"/>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9EB2-A2A8-493E-80FE-812A1FF91FB7}">
  <sheetPr>
    <tabColor rgb="FF0000FF"/>
  </sheetPr>
  <dimension ref="A1:Q43"/>
  <sheetViews>
    <sheetView tabSelected="1" view="pageBreakPreview" topLeftCell="A17" zoomScale="85" zoomScaleNormal="85" zoomScaleSheetLayoutView="85" workbookViewId="0">
      <selection activeCell="T28" sqref="T28"/>
    </sheetView>
  </sheetViews>
  <sheetFormatPr defaultRowHeight="14.25" x14ac:dyDescent="0.15"/>
  <cols>
    <col min="1" max="1" width="4.44140625" style="123" customWidth="1"/>
    <col min="2" max="2" width="3.44140625" style="123" customWidth="1"/>
    <col min="3" max="3" width="4.44140625" style="123" customWidth="1"/>
    <col min="4" max="4" width="5.5546875" style="123" customWidth="1"/>
    <col min="5" max="5" width="2.5546875" style="123" customWidth="1"/>
    <col min="6" max="6" width="3.5546875" style="123" customWidth="1"/>
    <col min="7" max="7" width="4.21875" style="123" customWidth="1"/>
    <col min="8" max="8" width="4.88671875" style="123" customWidth="1"/>
    <col min="9" max="9" width="4.77734375" style="123" customWidth="1"/>
    <col min="10" max="10" width="1.109375" style="123" customWidth="1"/>
    <col min="11" max="11" width="3.88671875" style="123" customWidth="1"/>
    <col min="12" max="12" width="9.21875" style="123" customWidth="1"/>
    <col min="13" max="13" width="18" style="123" bestFit="1" customWidth="1"/>
    <col min="14" max="14" width="11.44140625" style="123" customWidth="1"/>
    <col min="15" max="15" width="13.77734375" style="123" bestFit="1" customWidth="1"/>
    <col min="16" max="16" width="2.44140625" style="123" customWidth="1"/>
    <col min="17" max="17" width="10.6640625" style="123" bestFit="1" customWidth="1"/>
    <col min="18" max="243" width="8.88671875" style="123"/>
    <col min="244" max="244" width="4.44140625" style="123" customWidth="1"/>
    <col min="245" max="245" width="3.44140625" style="123" customWidth="1"/>
    <col min="246" max="246" width="4.44140625" style="123" customWidth="1"/>
    <col min="247" max="247" width="5.5546875" style="123" customWidth="1"/>
    <col min="248" max="248" width="2.5546875" style="123" customWidth="1"/>
    <col min="249" max="249" width="3.5546875" style="123" customWidth="1"/>
    <col min="250" max="250" width="4.21875" style="123" customWidth="1"/>
    <col min="251" max="251" width="4.88671875" style="123" customWidth="1"/>
    <col min="252" max="252" width="4.77734375" style="123" customWidth="1"/>
    <col min="253" max="253" width="1.109375" style="123" customWidth="1"/>
    <col min="254" max="254" width="3.88671875" style="123" customWidth="1"/>
    <col min="255" max="255" width="9.21875" style="123" customWidth="1"/>
    <col min="256" max="256" width="14.77734375" style="123" customWidth="1"/>
    <col min="257" max="257" width="9.6640625" style="123" customWidth="1"/>
    <col min="258" max="258" width="16.6640625" style="123" customWidth="1"/>
    <col min="259" max="259" width="12.6640625" style="123" bestFit="1" customWidth="1"/>
    <col min="260" max="499" width="8.88671875" style="123"/>
    <col min="500" max="500" width="4.44140625" style="123" customWidth="1"/>
    <col min="501" max="501" width="3.44140625" style="123" customWidth="1"/>
    <col min="502" max="502" width="4.44140625" style="123" customWidth="1"/>
    <col min="503" max="503" width="5.5546875" style="123" customWidth="1"/>
    <col min="504" max="504" width="2.5546875" style="123" customWidth="1"/>
    <col min="505" max="505" width="3.5546875" style="123" customWidth="1"/>
    <col min="506" max="506" width="4.21875" style="123" customWidth="1"/>
    <col min="507" max="507" width="4.88671875" style="123" customWidth="1"/>
    <col min="508" max="508" width="4.77734375" style="123" customWidth="1"/>
    <col min="509" max="509" width="1.109375" style="123" customWidth="1"/>
    <col min="510" max="510" width="3.88671875" style="123" customWidth="1"/>
    <col min="511" max="511" width="9.21875" style="123" customWidth="1"/>
    <col min="512" max="512" width="14.77734375" style="123" customWidth="1"/>
    <col min="513" max="513" width="9.6640625" style="123" customWidth="1"/>
    <col min="514" max="514" width="16.6640625" style="123" customWidth="1"/>
    <col min="515" max="515" width="12.6640625" style="123" bestFit="1" customWidth="1"/>
    <col min="516" max="755" width="8.88671875" style="123"/>
    <col min="756" max="756" width="4.44140625" style="123" customWidth="1"/>
    <col min="757" max="757" width="3.44140625" style="123" customWidth="1"/>
    <col min="758" max="758" width="4.44140625" style="123" customWidth="1"/>
    <col min="759" max="759" width="5.5546875" style="123" customWidth="1"/>
    <col min="760" max="760" width="2.5546875" style="123" customWidth="1"/>
    <col min="761" max="761" width="3.5546875" style="123" customWidth="1"/>
    <col min="762" max="762" width="4.21875" style="123" customWidth="1"/>
    <col min="763" max="763" width="4.88671875" style="123" customWidth="1"/>
    <col min="764" max="764" width="4.77734375" style="123" customWidth="1"/>
    <col min="765" max="765" width="1.109375" style="123" customWidth="1"/>
    <col min="766" max="766" width="3.88671875" style="123" customWidth="1"/>
    <col min="767" max="767" width="9.21875" style="123" customWidth="1"/>
    <col min="768" max="768" width="14.77734375" style="123" customWidth="1"/>
    <col min="769" max="769" width="9.6640625" style="123" customWidth="1"/>
    <col min="770" max="770" width="16.6640625" style="123" customWidth="1"/>
    <col min="771" max="771" width="12.6640625" style="123" bestFit="1" customWidth="1"/>
    <col min="772" max="1011" width="8.88671875" style="123"/>
    <col min="1012" max="1012" width="4.44140625" style="123" customWidth="1"/>
    <col min="1013" max="1013" width="3.44140625" style="123" customWidth="1"/>
    <col min="1014" max="1014" width="4.44140625" style="123" customWidth="1"/>
    <col min="1015" max="1015" width="5.5546875" style="123" customWidth="1"/>
    <col min="1016" max="1016" width="2.5546875" style="123" customWidth="1"/>
    <col min="1017" max="1017" width="3.5546875" style="123" customWidth="1"/>
    <col min="1018" max="1018" width="4.21875" style="123" customWidth="1"/>
    <col min="1019" max="1019" width="4.88671875" style="123" customWidth="1"/>
    <col min="1020" max="1020" width="4.77734375" style="123" customWidth="1"/>
    <col min="1021" max="1021" width="1.109375" style="123" customWidth="1"/>
    <col min="1022" max="1022" width="3.88671875" style="123" customWidth="1"/>
    <col min="1023" max="1023" width="9.21875" style="123" customWidth="1"/>
    <col min="1024" max="1024" width="14.77734375" style="123" customWidth="1"/>
    <col min="1025" max="1025" width="9.6640625" style="123" customWidth="1"/>
    <col min="1026" max="1026" width="16.6640625" style="123" customWidth="1"/>
    <col min="1027" max="1027" width="12.6640625" style="123" bestFit="1" customWidth="1"/>
    <col min="1028" max="1267" width="8.88671875" style="123"/>
    <col min="1268" max="1268" width="4.44140625" style="123" customWidth="1"/>
    <col min="1269" max="1269" width="3.44140625" style="123" customWidth="1"/>
    <col min="1270" max="1270" width="4.44140625" style="123" customWidth="1"/>
    <col min="1271" max="1271" width="5.5546875" style="123" customWidth="1"/>
    <col min="1272" max="1272" width="2.5546875" style="123" customWidth="1"/>
    <col min="1273" max="1273" width="3.5546875" style="123" customWidth="1"/>
    <col min="1274" max="1274" width="4.21875" style="123" customWidth="1"/>
    <col min="1275" max="1275" width="4.88671875" style="123" customWidth="1"/>
    <col min="1276" max="1276" width="4.77734375" style="123" customWidth="1"/>
    <col min="1277" max="1277" width="1.109375" style="123" customWidth="1"/>
    <col min="1278" max="1278" width="3.88671875" style="123" customWidth="1"/>
    <col min="1279" max="1279" width="9.21875" style="123" customWidth="1"/>
    <col min="1280" max="1280" width="14.77734375" style="123" customWidth="1"/>
    <col min="1281" max="1281" width="9.6640625" style="123" customWidth="1"/>
    <col min="1282" max="1282" width="16.6640625" style="123" customWidth="1"/>
    <col min="1283" max="1283" width="12.6640625" style="123" bestFit="1" customWidth="1"/>
    <col min="1284" max="1523" width="8.88671875" style="123"/>
    <col min="1524" max="1524" width="4.44140625" style="123" customWidth="1"/>
    <col min="1525" max="1525" width="3.44140625" style="123" customWidth="1"/>
    <col min="1526" max="1526" width="4.44140625" style="123" customWidth="1"/>
    <col min="1527" max="1527" width="5.5546875" style="123" customWidth="1"/>
    <col min="1528" max="1528" width="2.5546875" style="123" customWidth="1"/>
    <col min="1529" max="1529" width="3.5546875" style="123" customWidth="1"/>
    <col min="1530" max="1530" width="4.21875" style="123" customWidth="1"/>
    <col min="1531" max="1531" width="4.88671875" style="123" customWidth="1"/>
    <col min="1532" max="1532" width="4.77734375" style="123" customWidth="1"/>
    <col min="1533" max="1533" width="1.109375" style="123" customWidth="1"/>
    <col min="1534" max="1534" width="3.88671875" style="123" customWidth="1"/>
    <col min="1535" max="1535" width="9.21875" style="123" customWidth="1"/>
    <col min="1536" max="1536" width="14.77734375" style="123" customWidth="1"/>
    <col min="1537" max="1537" width="9.6640625" style="123" customWidth="1"/>
    <col min="1538" max="1538" width="16.6640625" style="123" customWidth="1"/>
    <col min="1539" max="1539" width="12.6640625" style="123" bestFit="1" customWidth="1"/>
    <col min="1540" max="1779" width="8.88671875" style="123"/>
    <col min="1780" max="1780" width="4.44140625" style="123" customWidth="1"/>
    <col min="1781" max="1781" width="3.44140625" style="123" customWidth="1"/>
    <col min="1782" max="1782" width="4.44140625" style="123" customWidth="1"/>
    <col min="1783" max="1783" width="5.5546875" style="123" customWidth="1"/>
    <col min="1784" max="1784" width="2.5546875" style="123" customWidth="1"/>
    <col min="1785" max="1785" width="3.5546875" style="123" customWidth="1"/>
    <col min="1786" max="1786" width="4.21875" style="123" customWidth="1"/>
    <col min="1787" max="1787" width="4.88671875" style="123" customWidth="1"/>
    <col min="1788" max="1788" width="4.77734375" style="123" customWidth="1"/>
    <col min="1789" max="1789" width="1.109375" style="123" customWidth="1"/>
    <col min="1790" max="1790" width="3.88671875" style="123" customWidth="1"/>
    <col min="1791" max="1791" width="9.21875" style="123" customWidth="1"/>
    <col min="1792" max="1792" width="14.77734375" style="123" customWidth="1"/>
    <col min="1793" max="1793" width="9.6640625" style="123" customWidth="1"/>
    <col min="1794" max="1794" width="16.6640625" style="123" customWidth="1"/>
    <col min="1795" max="1795" width="12.6640625" style="123" bestFit="1" customWidth="1"/>
    <col min="1796" max="2035" width="8.88671875" style="123"/>
    <col min="2036" max="2036" width="4.44140625" style="123" customWidth="1"/>
    <col min="2037" max="2037" width="3.44140625" style="123" customWidth="1"/>
    <col min="2038" max="2038" width="4.44140625" style="123" customWidth="1"/>
    <col min="2039" max="2039" width="5.5546875" style="123" customWidth="1"/>
    <col min="2040" max="2040" width="2.5546875" style="123" customWidth="1"/>
    <col min="2041" max="2041" width="3.5546875" style="123" customWidth="1"/>
    <col min="2042" max="2042" width="4.21875" style="123" customWidth="1"/>
    <col min="2043" max="2043" width="4.88671875" style="123" customWidth="1"/>
    <col min="2044" max="2044" width="4.77734375" style="123" customWidth="1"/>
    <col min="2045" max="2045" width="1.109375" style="123" customWidth="1"/>
    <col min="2046" max="2046" width="3.88671875" style="123" customWidth="1"/>
    <col min="2047" max="2047" width="9.21875" style="123" customWidth="1"/>
    <col min="2048" max="2048" width="14.77734375" style="123" customWidth="1"/>
    <col min="2049" max="2049" width="9.6640625" style="123" customWidth="1"/>
    <col min="2050" max="2050" width="16.6640625" style="123" customWidth="1"/>
    <col min="2051" max="2051" width="12.6640625" style="123" bestFit="1" customWidth="1"/>
    <col min="2052" max="2291" width="8.88671875" style="123"/>
    <col min="2292" max="2292" width="4.44140625" style="123" customWidth="1"/>
    <col min="2293" max="2293" width="3.44140625" style="123" customWidth="1"/>
    <col min="2294" max="2294" width="4.44140625" style="123" customWidth="1"/>
    <col min="2295" max="2295" width="5.5546875" style="123" customWidth="1"/>
    <col min="2296" max="2296" width="2.5546875" style="123" customWidth="1"/>
    <col min="2297" max="2297" width="3.5546875" style="123" customWidth="1"/>
    <col min="2298" max="2298" width="4.21875" style="123" customWidth="1"/>
    <col min="2299" max="2299" width="4.88671875" style="123" customWidth="1"/>
    <col min="2300" max="2300" width="4.77734375" style="123" customWidth="1"/>
    <col min="2301" max="2301" width="1.109375" style="123" customWidth="1"/>
    <col min="2302" max="2302" width="3.88671875" style="123" customWidth="1"/>
    <col min="2303" max="2303" width="9.21875" style="123" customWidth="1"/>
    <col min="2304" max="2304" width="14.77734375" style="123" customWidth="1"/>
    <col min="2305" max="2305" width="9.6640625" style="123" customWidth="1"/>
    <col min="2306" max="2306" width="16.6640625" style="123" customWidth="1"/>
    <col min="2307" max="2307" width="12.6640625" style="123" bestFit="1" customWidth="1"/>
    <col min="2308" max="2547" width="8.88671875" style="123"/>
    <col min="2548" max="2548" width="4.44140625" style="123" customWidth="1"/>
    <col min="2549" max="2549" width="3.44140625" style="123" customWidth="1"/>
    <col min="2550" max="2550" width="4.44140625" style="123" customWidth="1"/>
    <col min="2551" max="2551" width="5.5546875" style="123" customWidth="1"/>
    <col min="2552" max="2552" width="2.5546875" style="123" customWidth="1"/>
    <col min="2553" max="2553" width="3.5546875" style="123" customWidth="1"/>
    <col min="2554" max="2554" width="4.21875" style="123" customWidth="1"/>
    <col min="2555" max="2555" width="4.88671875" style="123" customWidth="1"/>
    <col min="2556" max="2556" width="4.77734375" style="123" customWidth="1"/>
    <col min="2557" max="2557" width="1.109375" style="123" customWidth="1"/>
    <col min="2558" max="2558" width="3.88671875" style="123" customWidth="1"/>
    <col min="2559" max="2559" width="9.21875" style="123" customWidth="1"/>
    <col min="2560" max="2560" width="14.77734375" style="123" customWidth="1"/>
    <col min="2561" max="2561" width="9.6640625" style="123" customWidth="1"/>
    <col min="2562" max="2562" width="16.6640625" style="123" customWidth="1"/>
    <col min="2563" max="2563" width="12.6640625" style="123" bestFit="1" customWidth="1"/>
    <col min="2564" max="2803" width="8.88671875" style="123"/>
    <col min="2804" max="2804" width="4.44140625" style="123" customWidth="1"/>
    <col min="2805" max="2805" width="3.44140625" style="123" customWidth="1"/>
    <col min="2806" max="2806" width="4.44140625" style="123" customWidth="1"/>
    <col min="2807" max="2807" width="5.5546875" style="123" customWidth="1"/>
    <col min="2808" max="2808" width="2.5546875" style="123" customWidth="1"/>
    <col min="2809" max="2809" width="3.5546875" style="123" customWidth="1"/>
    <col min="2810" max="2810" width="4.21875" style="123" customWidth="1"/>
    <col min="2811" max="2811" width="4.88671875" style="123" customWidth="1"/>
    <col min="2812" max="2812" width="4.77734375" style="123" customWidth="1"/>
    <col min="2813" max="2813" width="1.109375" style="123" customWidth="1"/>
    <col min="2814" max="2814" width="3.88671875" style="123" customWidth="1"/>
    <col min="2815" max="2815" width="9.21875" style="123" customWidth="1"/>
    <col min="2816" max="2816" width="14.77734375" style="123" customWidth="1"/>
    <col min="2817" max="2817" width="9.6640625" style="123" customWidth="1"/>
    <col min="2818" max="2818" width="16.6640625" style="123" customWidth="1"/>
    <col min="2819" max="2819" width="12.6640625" style="123" bestFit="1" customWidth="1"/>
    <col min="2820" max="3059" width="8.88671875" style="123"/>
    <col min="3060" max="3060" width="4.44140625" style="123" customWidth="1"/>
    <col min="3061" max="3061" width="3.44140625" style="123" customWidth="1"/>
    <col min="3062" max="3062" width="4.44140625" style="123" customWidth="1"/>
    <col min="3063" max="3063" width="5.5546875" style="123" customWidth="1"/>
    <col min="3064" max="3064" width="2.5546875" style="123" customWidth="1"/>
    <col min="3065" max="3065" width="3.5546875" style="123" customWidth="1"/>
    <col min="3066" max="3066" width="4.21875" style="123" customWidth="1"/>
    <col min="3067" max="3067" width="4.88671875" style="123" customWidth="1"/>
    <col min="3068" max="3068" width="4.77734375" style="123" customWidth="1"/>
    <col min="3069" max="3069" width="1.109375" style="123" customWidth="1"/>
    <col min="3070" max="3070" width="3.88671875" style="123" customWidth="1"/>
    <col min="3071" max="3071" width="9.21875" style="123" customWidth="1"/>
    <col min="3072" max="3072" width="14.77734375" style="123" customWidth="1"/>
    <col min="3073" max="3073" width="9.6640625" style="123" customWidth="1"/>
    <col min="3074" max="3074" width="16.6640625" style="123" customWidth="1"/>
    <col min="3075" max="3075" width="12.6640625" style="123" bestFit="1" customWidth="1"/>
    <col min="3076" max="3315" width="8.88671875" style="123"/>
    <col min="3316" max="3316" width="4.44140625" style="123" customWidth="1"/>
    <col min="3317" max="3317" width="3.44140625" style="123" customWidth="1"/>
    <col min="3318" max="3318" width="4.44140625" style="123" customWidth="1"/>
    <col min="3319" max="3319" width="5.5546875" style="123" customWidth="1"/>
    <col min="3320" max="3320" width="2.5546875" style="123" customWidth="1"/>
    <col min="3321" max="3321" width="3.5546875" style="123" customWidth="1"/>
    <col min="3322" max="3322" width="4.21875" style="123" customWidth="1"/>
    <col min="3323" max="3323" width="4.88671875" style="123" customWidth="1"/>
    <col min="3324" max="3324" width="4.77734375" style="123" customWidth="1"/>
    <col min="3325" max="3325" width="1.109375" style="123" customWidth="1"/>
    <col min="3326" max="3326" width="3.88671875" style="123" customWidth="1"/>
    <col min="3327" max="3327" width="9.21875" style="123" customWidth="1"/>
    <col min="3328" max="3328" width="14.77734375" style="123" customWidth="1"/>
    <col min="3329" max="3329" width="9.6640625" style="123" customWidth="1"/>
    <col min="3330" max="3330" width="16.6640625" style="123" customWidth="1"/>
    <col min="3331" max="3331" width="12.6640625" style="123" bestFit="1" customWidth="1"/>
    <col min="3332" max="3571" width="8.88671875" style="123"/>
    <col min="3572" max="3572" width="4.44140625" style="123" customWidth="1"/>
    <col min="3573" max="3573" width="3.44140625" style="123" customWidth="1"/>
    <col min="3574" max="3574" width="4.44140625" style="123" customWidth="1"/>
    <col min="3575" max="3575" width="5.5546875" style="123" customWidth="1"/>
    <col min="3576" max="3576" width="2.5546875" style="123" customWidth="1"/>
    <col min="3577" max="3577" width="3.5546875" style="123" customWidth="1"/>
    <col min="3578" max="3578" width="4.21875" style="123" customWidth="1"/>
    <col min="3579" max="3579" width="4.88671875" style="123" customWidth="1"/>
    <col min="3580" max="3580" width="4.77734375" style="123" customWidth="1"/>
    <col min="3581" max="3581" width="1.109375" style="123" customWidth="1"/>
    <col min="3582" max="3582" width="3.88671875" style="123" customWidth="1"/>
    <col min="3583" max="3583" width="9.21875" style="123" customWidth="1"/>
    <col min="3584" max="3584" width="14.77734375" style="123" customWidth="1"/>
    <col min="3585" max="3585" width="9.6640625" style="123" customWidth="1"/>
    <col min="3586" max="3586" width="16.6640625" style="123" customWidth="1"/>
    <col min="3587" max="3587" width="12.6640625" style="123" bestFit="1" customWidth="1"/>
    <col min="3588" max="3827" width="8.88671875" style="123"/>
    <col min="3828" max="3828" width="4.44140625" style="123" customWidth="1"/>
    <col min="3829" max="3829" width="3.44140625" style="123" customWidth="1"/>
    <col min="3830" max="3830" width="4.44140625" style="123" customWidth="1"/>
    <col min="3831" max="3831" width="5.5546875" style="123" customWidth="1"/>
    <col min="3832" max="3832" width="2.5546875" style="123" customWidth="1"/>
    <col min="3833" max="3833" width="3.5546875" style="123" customWidth="1"/>
    <col min="3834" max="3834" width="4.21875" style="123" customWidth="1"/>
    <col min="3835" max="3835" width="4.88671875" style="123" customWidth="1"/>
    <col min="3836" max="3836" width="4.77734375" style="123" customWidth="1"/>
    <col min="3837" max="3837" width="1.109375" style="123" customWidth="1"/>
    <col min="3838" max="3838" width="3.88671875" style="123" customWidth="1"/>
    <col min="3839" max="3839" width="9.21875" style="123" customWidth="1"/>
    <col min="3840" max="3840" width="14.77734375" style="123" customWidth="1"/>
    <col min="3841" max="3841" width="9.6640625" style="123" customWidth="1"/>
    <col min="3842" max="3842" width="16.6640625" style="123" customWidth="1"/>
    <col min="3843" max="3843" width="12.6640625" style="123" bestFit="1" customWidth="1"/>
    <col min="3844" max="4083" width="8.88671875" style="123"/>
    <col min="4084" max="4084" width="4.44140625" style="123" customWidth="1"/>
    <col min="4085" max="4085" width="3.44140625" style="123" customWidth="1"/>
    <col min="4086" max="4086" width="4.44140625" style="123" customWidth="1"/>
    <col min="4087" max="4087" width="5.5546875" style="123" customWidth="1"/>
    <col min="4088" max="4088" width="2.5546875" style="123" customWidth="1"/>
    <col min="4089" max="4089" width="3.5546875" style="123" customWidth="1"/>
    <col min="4090" max="4090" width="4.21875" style="123" customWidth="1"/>
    <col min="4091" max="4091" width="4.88671875" style="123" customWidth="1"/>
    <col min="4092" max="4092" width="4.77734375" style="123" customWidth="1"/>
    <col min="4093" max="4093" width="1.109375" style="123" customWidth="1"/>
    <col min="4094" max="4094" width="3.88671875" style="123" customWidth="1"/>
    <col min="4095" max="4095" width="9.21875" style="123" customWidth="1"/>
    <col min="4096" max="4096" width="14.77734375" style="123" customWidth="1"/>
    <col min="4097" max="4097" width="9.6640625" style="123" customWidth="1"/>
    <col min="4098" max="4098" width="16.6640625" style="123" customWidth="1"/>
    <col min="4099" max="4099" width="12.6640625" style="123" bestFit="1" customWidth="1"/>
    <col min="4100" max="4339" width="8.88671875" style="123"/>
    <col min="4340" max="4340" width="4.44140625" style="123" customWidth="1"/>
    <col min="4341" max="4341" width="3.44140625" style="123" customWidth="1"/>
    <col min="4342" max="4342" width="4.44140625" style="123" customWidth="1"/>
    <col min="4343" max="4343" width="5.5546875" style="123" customWidth="1"/>
    <col min="4344" max="4344" width="2.5546875" style="123" customWidth="1"/>
    <col min="4345" max="4345" width="3.5546875" style="123" customWidth="1"/>
    <col min="4346" max="4346" width="4.21875" style="123" customWidth="1"/>
    <col min="4347" max="4347" width="4.88671875" style="123" customWidth="1"/>
    <col min="4348" max="4348" width="4.77734375" style="123" customWidth="1"/>
    <col min="4349" max="4349" width="1.109375" style="123" customWidth="1"/>
    <col min="4350" max="4350" width="3.88671875" style="123" customWidth="1"/>
    <col min="4351" max="4351" width="9.21875" style="123" customWidth="1"/>
    <col min="4352" max="4352" width="14.77734375" style="123" customWidth="1"/>
    <col min="4353" max="4353" width="9.6640625" style="123" customWidth="1"/>
    <col min="4354" max="4354" width="16.6640625" style="123" customWidth="1"/>
    <col min="4355" max="4355" width="12.6640625" style="123" bestFit="1" customWidth="1"/>
    <col min="4356" max="4595" width="8.88671875" style="123"/>
    <col min="4596" max="4596" width="4.44140625" style="123" customWidth="1"/>
    <col min="4597" max="4597" width="3.44140625" style="123" customWidth="1"/>
    <col min="4598" max="4598" width="4.44140625" style="123" customWidth="1"/>
    <col min="4599" max="4599" width="5.5546875" style="123" customWidth="1"/>
    <col min="4600" max="4600" width="2.5546875" style="123" customWidth="1"/>
    <col min="4601" max="4601" width="3.5546875" style="123" customWidth="1"/>
    <col min="4602" max="4602" width="4.21875" style="123" customWidth="1"/>
    <col min="4603" max="4603" width="4.88671875" style="123" customWidth="1"/>
    <col min="4604" max="4604" width="4.77734375" style="123" customWidth="1"/>
    <col min="4605" max="4605" width="1.109375" style="123" customWidth="1"/>
    <col min="4606" max="4606" width="3.88671875" style="123" customWidth="1"/>
    <col min="4607" max="4607" width="9.21875" style="123" customWidth="1"/>
    <col min="4608" max="4608" width="14.77734375" style="123" customWidth="1"/>
    <col min="4609" max="4609" width="9.6640625" style="123" customWidth="1"/>
    <col min="4610" max="4610" width="16.6640625" style="123" customWidth="1"/>
    <col min="4611" max="4611" width="12.6640625" style="123" bestFit="1" customWidth="1"/>
    <col min="4612" max="4851" width="8.88671875" style="123"/>
    <col min="4852" max="4852" width="4.44140625" style="123" customWidth="1"/>
    <col min="4853" max="4853" width="3.44140625" style="123" customWidth="1"/>
    <col min="4854" max="4854" width="4.44140625" style="123" customWidth="1"/>
    <col min="4855" max="4855" width="5.5546875" style="123" customWidth="1"/>
    <col min="4856" max="4856" width="2.5546875" style="123" customWidth="1"/>
    <col min="4857" max="4857" width="3.5546875" style="123" customWidth="1"/>
    <col min="4858" max="4858" width="4.21875" style="123" customWidth="1"/>
    <col min="4859" max="4859" width="4.88671875" style="123" customWidth="1"/>
    <col min="4860" max="4860" width="4.77734375" style="123" customWidth="1"/>
    <col min="4861" max="4861" width="1.109375" style="123" customWidth="1"/>
    <col min="4862" max="4862" width="3.88671875" style="123" customWidth="1"/>
    <col min="4863" max="4863" width="9.21875" style="123" customWidth="1"/>
    <col min="4864" max="4864" width="14.77734375" style="123" customWidth="1"/>
    <col min="4865" max="4865" width="9.6640625" style="123" customWidth="1"/>
    <col min="4866" max="4866" width="16.6640625" style="123" customWidth="1"/>
    <col min="4867" max="4867" width="12.6640625" style="123" bestFit="1" customWidth="1"/>
    <col min="4868" max="5107" width="8.88671875" style="123"/>
    <col min="5108" max="5108" width="4.44140625" style="123" customWidth="1"/>
    <col min="5109" max="5109" width="3.44140625" style="123" customWidth="1"/>
    <col min="5110" max="5110" width="4.44140625" style="123" customWidth="1"/>
    <col min="5111" max="5111" width="5.5546875" style="123" customWidth="1"/>
    <col min="5112" max="5112" width="2.5546875" style="123" customWidth="1"/>
    <col min="5113" max="5113" width="3.5546875" style="123" customWidth="1"/>
    <col min="5114" max="5114" width="4.21875" style="123" customWidth="1"/>
    <col min="5115" max="5115" width="4.88671875" style="123" customWidth="1"/>
    <col min="5116" max="5116" width="4.77734375" style="123" customWidth="1"/>
    <col min="5117" max="5117" width="1.109375" style="123" customWidth="1"/>
    <col min="5118" max="5118" width="3.88671875" style="123" customWidth="1"/>
    <col min="5119" max="5119" width="9.21875" style="123" customWidth="1"/>
    <col min="5120" max="5120" width="14.77734375" style="123" customWidth="1"/>
    <col min="5121" max="5121" width="9.6640625" style="123" customWidth="1"/>
    <col min="5122" max="5122" width="16.6640625" style="123" customWidth="1"/>
    <col min="5123" max="5123" width="12.6640625" style="123" bestFit="1" customWidth="1"/>
    <col min="5124" max="5363" width="8.88671875" style="123"/>
    <col min="5364" max="5364" width="4.44140625" style="123" customWidth="1"/>
    <col min="5365" max="5365" width="3.44140625" style="123" customWidth="1"/>
    <col min="5366" max="5366" width="4.44140625" style="123" customWidth="1"/>
    <col min="5367" max="5367" width="5.5546875" style="123" customWidth="1"/>
    <col min="5368" max="5368" width="2.5546875" style="123" customWidth="1"/>
    <col min="5369" max="5369" width="3.5546875" style="123" customWidth="1"/>
    <col min="5370" max="5370" width="4.21875" style="123" customWidth="1"/>
    <col min="5371" max="5371" width="4.88671875" style="123" customWidth="1"/>
    <col min="5372" max="5372" width="4.77734375" style="123" customWidth="1"/>
    <col min="5373" max="5373" width="1.109375" style="123" customWidth="1"/>
    <col min="5374" max="5374" width="3.88671875" style="123" customWidth="1"/>
    <col min="5375" max="5375" width="9.21875" style="123" customWidth="1"/>
    <col min="5376" max="5376" width="14.77734375" style="123" customWidth="1"/>
    <col min="5377" max="5377" width="9.6640625" style="123" customWidth="1"/>
    <col min="5378" max="5378" width="16.6640625" style="123" customWidth="1"/>
    <col min="5379" max="5379" width="12.6640625" style="123" bestFit="1" customWidth="1"/>
    <col min="5380" max="5619" width="8.88671875" style="123"/>
    <col min="5620" max="5620" width="4.44140625" style="123" customWidth="1"/>
    <col min="5621" max="5621" width="3.44140625" style="123" customWidth="1"/>
    <col min="5622" max="5622" width="4.44140625" style="123" customWidth="1"/>
    <col min="5623" max="5623" width="5.5546875" style="123" customWidth="1"/>
    <col min="5624" max="5624" width="2.5546875" style="123" customWidth="1"/>
    <col min="5625" max="5625" width="3.5546875" style="123" customWidth="1"/>
    <col min="5626" max="5626" width="4.21875" style="123" customWidth="1"/>
    <col min="5627" max="5627" width="4.88671875" style="123" customWidth="1"/>
    <col min="5628" max="5628" width="4.77734375" style="123" customWidth="1"/>
    <col min="5629" max="5629" width="1.109375" style="123" customWidth="1"/>
    <col min="5630" max="5630" width="3.88671875" style="123" customWidth="1"/>
    <col min="5631" max="5631" width="9.21875" style="123" customWidth="1"/>
    <col min="5632" max="5632" width="14.77734375" style="123" customWidth="1"/>
    <col min="5633" max="5633" width="9.6640625" style="123" customWidth="1"/>
    <col min="5634" max="5634" width="16.6640625" style="123" customWidth="1"/>
    <col min="5635" max="5635" width="12.6640625" style="123" bestFit="1" customWidth="1"/>
    <col min="5636" max="5875" width="8.88671875" style="123"/>
    <col min="5876" max="5876" width="4.44140625" style="123" customWidth="1"/>
    <col min="5877" max="5877" width="3.44140625" style="123" customWidth="1"/>
    <col min="5878" max="5878" width="4.44140625" style="123" customWidth="1"/>
    <col min="5879" max="5879" width="5.5546875" style="123" customWidth="1"/>
    <col min="5880" max="5880" width="2.5546875" style="123" customWidth="1"/>
    <col min="5881" max="5881" width="3.5546875" style="123" customWidth="1"/>
    <col min="5882" max="5882" width="4.21875" style="123" customWidth="1"/>
    <col min="5883" max="5883" width="4.88671875" style="123" customWidth="1"/>
    <col min="5884" max="5884" width="4.77734375" style="123" customWidth="1"/>
    <col min="5885" max="5885" width="1.109375" style="123" customWidth="1"/>
    <col min="5886" max="5886" width="3.88671875" style="123" customWidth="1"/>
    <col min="5887" max="5887" width="9.21875" style="123" customWidth="1"/>
    <col min="5888" max="5888" width="14.77734375" style="123" customWidth="1"/>
    <col min="5889" max="5889" width="9.6640625" style="123" customWidth="1"/>
    <col min="5890" max="5890" width="16.6640625" style="123" customWidth="1"/>
    <col min="5891" max="5891" width="12.6640625" style="123" bestFit="1" customWidth="1"/>
    <col min="5892" max="6131" width="8.88671875" style="123"/>
    <col min="6132" max="6132" width="4.44140625" style="123" customWidth="1"/>
    <col min="6133" max="6133" width="3.44140625" style="123" customWidth="1"/>
    <col min="6134" max="6134" width="4.44140625" style="123" customWidth="1"/>
    <col min="6135" max="6135" width="5.5546875" style="123" customWidth="1"/>
    <col min="6136" max="6136" width="2.5546875" style="123" customWidth="1"/>
    <col min="6137" max="6137" width="3.5546875" style="123" customWidth="1"/>
    <col min="6138" max="6138" width="4.21875" style="123" customWidth="1"/>
    <col min="6139" max="6139" width="4.88671875" style="123" customWidth="1"/>
    <col min="6140" max="6140" width="4.77734375" style="123" customWidth="1"/>
    <col min="6141" max="6141" width="1.109375" style="123" customWidth="1"/>
    <col min="6142" max="6142" width="3.88671875" style="123" customWidth="1"/>
    <col min="6143" max="6143" width="9.21875" style="123" customWidth="1"/>
    <col min="6144" max="6144" width="14.77734375" style="123" customWidth="1"/>
    <col min="6145" max="6145" width="9.6640625" style="123" customWidth="1"/>
    <col min="6146" max="6146" width="16.6640625" style="123" customWidth="1"/>
    <col min="6147" max="6147" width="12.6640625" style="123" bestFit="1" customWidth="1"/>
    <col min="6148" max="6387" width="8.88671875" style="123"/>
    <col min="6388" max="6388" width="4.44140625" style="123" customWidth="1"/>
    <col min="6389" max="6389" width="3.44140625" style="123" customWidth="1"/>
    <col min="6390" max="6390" width="4.44140625" style="123" customWidth="1"/>
    <col min="6391" max="6391" width="5.5546875" style="123" customWidth="1"/>
    <col min="6392" max="6392" width="2.5546875" style="123" customWidth="1"/>
    <col min="6393" max="6393" width="3.5546875" style="123" customWidth="1"/>
    <col min="6394" max="6394" width="4.21875" style="123" customWidth="1"/>
    <col min="6395" max="6395" width="4.88671875" style="123" customWidth="1"/>
    <col min="6396" max="6396" width="4.77734375" style="123" customWidth="1"/>
    <col min="6397" max="6397" width="1.109375" style="123" customWidth="1"/>
    <col min="6398" max="6398" width="3.88671875" style="123" customWidth="1"/>
    <col min="6399" max="6399" width="9.21875" style="123" customWidth="1"/>
    <col min="6400" max="6400" width="14.77734375" style="123" customWidth="1"/>
    <col min="6401" max="6401" width="9.6640625" style="123" customWidth="1"/>
    <col min="6402" max="6402" width="16.6640625" style="123" customWidth="1"/>
    <col min="6403" max="6403" width="12.6640625" style="123" bestFit="1" customWidth="1"/>
    <col min="6404" max="6643" width="8.88671875" style="123"/>
    <col min="6644" max="6644" width="4.44140625" style="123" customWidth="1"/>
    <col min="6645" max="6645" width="3.44140625" style="123" customWidth="1"/>
    <col min="6646" max="6646" width="4.44140625" style="123" customWidth="1"/>
    <col min="6647" max="6647" width="5.5546875" style="123" customWidth="1"/>
    <col min="6648" max="6648" width="2.5546875" style="123" customWidth="1"/>
    <col min="6649" max="6649" width="3.5546875" style="123" customWidth="1"/>
    <col min="6650" max="6650" width="4.21875" style="123" customWidth="1"/>
    <col min="6651" max="6651" width="4.88671875" style="123" customWidth="1"/>
    <col min="6652" max="6652" width="4.77734375" style="123" customWidth="1"/>
    <col min="6653" max="6653" width="1.109375" style="123" customWidth="1"/>
    <col min="6654" max="6654" width="3.88671875" style="123" customWidth="1"/>
    <col min="6655" max="6655" width="9.21875" style="123" customWidth="1"/>
    <col min="6656" max="6656" width="14.77734375" style="123" customWidth="1"/>
    <col min="6657" max="6657" width="9.6640625" style="123" customWidth="1"/>
    <col min="6658" max="6658" width="16.6640625" style="123" customWidth="1"/>
    <col min="6659" max="6659" width="12.6640625" style="123" bestFit="1" customWidth="1"/>
    <col min="6660" max="6899" width="8.88671875" style="123"/>
    <col min="6900" max="6900" width="4.44140625" style="123" customWidth="1"/>
    <col min="6901" max="6901" width="3.44140625" style="123" customWidth="1"/>
    <col min="6902" max="6902" width="4.44140625" style="123" customWidth="1"/>
    <col min="6903" max="6903" width="5.5546875" style="123" customWidth="1"/>
    <col min="6904" max="6904" width="2.5546875" style="123" customWidth="1"/>
    <col min="6905" max="6905" width="3.5546875" style="123" customWidth="1"/>
    <col min="6906" max="6906" width="4.21875" style="123" customWidth="1"/>
    <col min="6907" max="6907" width="4.88671875" style="123" customWidth="1"/>
    <col min="6908" max="6908" width="4.77734375" style="123" customWidth="1"/>
    <col min="6909" max="6909" width="1.109375" style="123" customWidth="1"/>
    <col min="6910" max="6910" width="3.88671875" style="123" customWidth="1"/>
    <col min="6911" max="6911" width="9.21875" style="123" customWidth="1"/>
    <col min="6912" max="6912" width="14.77734375" style="123" customWidth="1"/>
    <col min="6913" max="6913" width="9.6640625" style="123" customWidth="1"/>
    <col min="6914" max="6914" width="16.6640625" style="123" customWidth="1"/>
    <col min="6915" max="6915" width="12.6640625" style="123" bestFit="1" customWidth="1"/>
    <col min="6916" max="7155" width="8.88671875" style="123"/>
    <col min="7156" max="7156" width="4.44140625" style="123" customWidth="1"/>
    <col min="7157" max="7157" width="3.44140625" style="123" customWidth="1"/>
    <col min="7158" max="7158" width="4.44140625" style="123" customWidth="1"/>
    <col min="7159" max="7159" width="5.5546875" style="123" customWidth="1"/>
    <col min="7160" max="7160" width="2.5546875" style="123" customWidth="1"/>
    <col min="7161" max="7161" width="3.5546875" style="123" customWidth="1"/>
    <col min="7162" max="7162" width="4.21875" style="123" customWidth="1"/>
    <col min="7163" max="7163" width="4.88671875" style="123" customWidth="1"/>
    <col min="7164" max="7164" width="4.77734375" style="123" customWidth="1"/>
    <col min="7165" max="7165" width="1.109375" style="123" customWidth="1"/>
    <col min="7166" max="7166" width="3.88671875" style="123" customWidth="1"/>
    <col min="7167" max="7167" width="9.21875" style="123" customWidth="1"/>
    <col min="7168" max="7168" width="14.77734375" style="123" customWidth="1"/>
    <col min="7169" max="7169" width="9.6640625" style="123" customWidth="1"/>
    <col min="7170" max="7170" width="16.6640625" style="123" customWidth="1"/>
    <col min="7171" max="7171" width="12.6640625" style="123" bestFit="1" customWidth="1"/>
    <col min="7172" max="7411" width="8.88671875" style="123"/>
    <col min="7412" max="7412" width="4.44140625" style="123" customWidth="1"/>
    <col min="7413" max="7413" width="3.44140625" style="123" customWidth="1"/>
    <col min="7414" max="7414" width="4.44140625" style="123" customWidth="1"/>
    <col min="7415" max="7415" width="5.5546875" style="123" customWidth="1"/>
    <col min="7416" max="7416" width="2.5546875" style="123" customWidth="1"/>
    <col min="7417" max="7417" width="3.5546875" style="123" customWidth="1"/>
    <col min="7418" max="7418" width="4.21875" style="123" customWidth="1"/>
    <col min="7419" max="7419" width="4.88671875" style="123" customWidth="1"/>
    <col min="7420" max="7420" width="4.77734375" style="123" customWidth="1"/>
    <col min="7421" max="7421" width="1.109375" style="123" customWidth="1"/>
    <col min="7422" max="7422" width="3.88671875" style="123" customWidth="1"/>
    <col min="7423" max="7423" width="9.21875" style="123" customWidth="1"/>
    <col min="7424" max="7424" width="14.77734375" style="123" customWidth="1"/>
    <col min="7425" max="7425" width="9.6640625" style="123" customWidth="1"/>
    <col min="7426" max="7426" width="16.6640625" style="123" customWidth="1"/>
    <col min="7427" max="7427" width="12.6640625" style="123" bestFit="1" customWidth="1"/>
    <col min="7428" max="7667" width="8.88671875" style="123"/>
    <col min="7668" max="7668" width="4.44140625" style="123" customWidth="1"/>
    <col min="7669" max="7669" width="3.44140625" style="123" customWidth="1"/>
    <col min="7670" max="7670" width="4.44140625" style="123" customWidth="1"/>
    <col min="7671" max="7671" width="5.5546875" style="123" customWidth="1"/>
    <col min="7672" max="7672" width="2.5546875" style="123" customWidth="1"/>
    <col min="7673" max="7673" width="3.5546875" style="123" customWidth="1"/>
    <col min="7674" max="7674" width="4.21875" style="123" customWidth="1"/>
    <col min="7675" max="7675" width="4.88671875" style="123" customWidth="1"/>
    <col min="7676" max="7676" width="4.77734375" style="123" customWidth="1"/>
    <col min="7677" max="7677" width="1.109375" style="123" customWidth="1"/>
    <col min="7678" max="7678" width="3.88671875" style="123" customWidth="1"/>
    <col min="7679" max="7679" width="9.21875" style="123" customWidth="1"/>
    <col min="7680" max="7680" width="14.77734375" style="123" customWidth="1"/>
    <col min="7681" max="7681" width="9.6640625" style="123" customWidth="1"/>
    <col min="7682" max="7682" width="16.6640625" style="123" customWidth="1"/>
    <col min="7683" max="7683" width="12.6640625" style="123" bestFit="1" customWidth="1"/>
    <col min="7684" max="7923" width="8.88671875" style="123"/>
    <col min="7924" max="7924" width="4.44140625" style="123" customWidth="1"/>
    <col min="7925" max="7925" width="3.44140625" style="123" customWidth="1"/>
    <col min="7926" max="7926" width="4.44140625" style="123" customWidth="1"/>
    <col min="7927" max="7927" width="5.5546875" style="123" customWidth="1"/>
    <col min="7928" max="7928" width="2.5546875" style="123" customWidth="1"/>
    <col min="7929" max="7929" width="3.5546875" style="123" customWidth="1"/>
    <col min="7930" max="7930" width="4.21875" style="123" customWidth="1"/>
    <col min="7931" max="7931" width="4.88671875" style="123" customWidth="1"/>
    <col min="7932" max="7932" width="4.77734375" style="123" customWidth="1"/>
    <col min="7933" max="7933" width="1.109375" style="123" customWidth="1"/>
    <col min="7934" max="7934" width="3.88671875" style="123" customWidth="1"/>
    <col min="7935" max="7935" width="9.21875" style="123" customWidth="1"/>
    <col min="7936" max="7936" width="14.77734375" style="123" customWidth="1"/>
    <col min="7937" max="7937" width="9.6640625" style="123" customWidth="1"/>
    <col min="7938" max="7938" width="16.6640625" style="123" customWidth="1"/>
    <col min="7939" max="7939" width="12.6640625" style="123" bestFit="1" customWidth="1"/>
    <col min="7940" max="8179" width="8.88671875" style="123"/>
    <col min="8180" max="8180" width="4.44140625" style="123" customWidth="1"/>
    <col min="8181" max="8181" width="3.44140625" style="123" customWidth="1"/>
    <col min="8182" max="8182" width="4.44140625" style="123" customWidth="1"/>
    <col min="8183" max="8183" width="5.5546875" style="123" customWidth="1"/>
    <col min="8184" max="8184" width="2.5546875" style="123" customWidth="1"/>
    <col min="8185" max="8185" width="3.5546875" style="123" customWidth="1"/>
    <col min="8186" max="8186" width="4.21875" style="123" customWidth="1"/>
    <col min="8187" max="8187" width="4.88671875" style="123" customWidth="1"/>
    <col min="8188" max="8188" width="4.77734375" style="123" customWidth="1"/>
    <col min="8189" max="8189" width="1.109375" style="123" customWidth="1"/>
    <col min="8190" max="8190" width="3.88671875" style="123" customWidth="1"/>
    <col min="8191" max="8191" width="9.21875" style="123" customWidth="1"/>
    <col min="8192" max="8192" width="14.77734375" style="123" customWidth="1"/>
    <col min="8193" max="8193" width="9.6640625" style="123" customWidth="1"/>
    <col min="8194" max="8194" width="16.6640625" style="123" customWidth="1"/>
    <col min="8195" max="8195" width="12.6640625" style="123" bestFit="1" customWidth="1"/>
    <col min="8196" max="8435" width="8.88671875" style="123"/>
    <col min="8436" max="8436" width="4.44140625" style="123" customWidth="1"/>
    <col min="8437" max="8437" width="3.44140625" style="123" customWidth="1"/>
    <col min="8438" max="8438" width="4.44140625" style="123" customWidth="1"/>
    <col min="8439" max="8439" width="5.5546875" style="123" customWidth="1"/>
    <col min="8440" max="8440" width="2.5546875" style="123" customWidth="1"/>
    <col min="8441" max="8441" width="3.5546875" style="123" customWidth="1"/>
    <col min="8442" max="8442" width="4.21875" style="123" customWidth="1"/>
    <col min="8443" max="8443" width="4.88671875" style="123" customWidth="1"/>
    <col min="8444" max="8444" width="4.77734375" style="123" customWidth="1"/>
    <col min="8445" max="8445" width="1.109375" style="123" customWidth="1"/>
    <col min="8446" max="8446" width="3.88671875" style="123" customWidth="1"/>
    <col min="8447" max="8447" width="9.21875" style="123" customWidth="1"/>
    <col min="8448" max="8448" width="14.77734375" style="123" customWidth="1"/>
    <col min="8449" max="8449" width="9.6640625" style="123" customWidth="1"/>
    <col min="8450" max="8450" width="16.6640625" style="123" customWidth="1"/>
    <col min="8451" max="8451" width="12.6640625" style="123" bestFit="1" customWidth="1"/>
    <col min="8452" max="8691" width="8.88671875" style="123"/>
    <col min="8692" max="8692" width="4.44140625" style="123" customWidth="1"/>
    <col min="8693" max="8693" width="3.44140625" style="123" customWidth="1"/>
    <col min="8694" max="8694" width="4.44140625" style="123" customWidth="1"/>
    <col min="8695" max="8695" width="5.5546875" style="123" customWidth="1"/>
    <col min="8696" max="8696" width="2.5546875" style="123" customWidth="1"/>
    <col min="8697" max="8697" width="3.5546875" style="123" customWidth="1"/>
    <col min="8698" max="8698" width="4.21875" style="123" customWidth="1"/>
    <col min="8699" max="8699" width="4.88671875" style="123" customWidth="1"/>
    <col min="8700" max="8700" width="4.77734375" style="123" customWidth="1"/>
    <col min="8701" max="8701" width="1.109375" style="123" customWidth="1"/>
    <col min="8702" max="8702" width="3.88671875" style="123" customWidth="1"/>
    <col min="8703" max="8703" width="9.21875" style="123" customWidth="1"/>
    <col min="8704" max="8704" width="14.77734375" style="123" customWidth="1"/>
    <col min="8705" max="8705" width="9.6640625" style="123" customWidth="1"/>
    <col min="8706" max="8706" width="16.6640625" style="123" customWidth="1"/>
    <col min="8707" max="8707" width="12.6640625" style="123" bestFit="1" customWidth="1"/>
    <col min="8708" max="8947" width="8.88671875" style="123"/>
    <col min="8948" max="8948" width="4.44140625" style="123" customWidth="1"/>
    <col min="8949" max="8949" width="3.44140625" style="123" customWidth="1"/>
    <col min="8950" max="8950" width="4.44140625" style="123" customWidth="1"/>
    <col min="8951" max="8951" width="5.5546875" style="123" customWidth="1"/>
    <col min="8952" max="8952" width="2.5546875" style="123" customWidth="1"/>
    <col min="8953" max="8953" width="3.5546875" style="123" customWidth="1"/>
    <col min="8954" max="8954" width="4.21875" style="123" customWidth="1"/>
    <col min="8955" max="8955" width="4.88671875" style="123" customWidth="1"/>
    <col min="8956" max="8956" width="4.77734375" style="123" customWidth="1"/>
    <col min="8957" max="8957" width="1.109375" style="123" customWidth="1"/>
    <col min="8958" max="8958" width="3.88671875" style="123" customWidth="1"/>
    <col min="8959" max="8959" width="9.21875" style="123" customWidth="1"/>
    <col min="8960" max="8960" width="14.77734375" style="123" customWidth="1"/>
    <col min="8961" max="8961" width="9.6640625" style="123" customWidth="1"/>
    <col min="8962" max="8962" width="16.6640625" style="123" customWidth="1"/>
    <col min="8963" max="8963" width="12.6640625" style="123" bestFit="1" customWidth="1"/>
    <col min="8964" max="9203" width="8.88671875" style="123"/>
    <col min="9204" max="9204" width="4.44140625" style="123" customWidth="1"/>
    <col min="9205" max="9205" width="3.44140625" style="123" customWidth="1"/>
    <col min="9206" max="9206" width="4.44140625" style="123" customWidth="1"/>
    <col min="9207" max="9207" width="5.5546875" style="123" customWidth="1"/>
    <col min="9208" max="9208" width="2.5546875" style="123" customWidth="1"/>
    <col min="9209" max="9209" width="3.5546875" style="123" customWidth="1"/>
    <col min="9210" max="9210" width="4.21875" style="123" customWidth="1"/>
    <col min="9211" max="9211" width="4.88671875" style="123" customWidth="1"/>
    <col min="9212" max="9212" width="4.77734375" style="123" customWidth="1"/>
    <col min="9213" max="9213" width="1.109375" style="123" customWidth="1"/>
    <col min="9214" max="9214" width="3.88671875" style="123" customWidth="1"/>
    <col min="9215" max="9215" width="9.21875" style="123" customWidth="1"/>
    <col min="9216" max="9216" width="14.77734375" style="123" customWidth="1"/>
    <col min="9217" max="9217" width="9.6640625" style="123" customWidth="1"/>
    <col min="9218" max="9218" width="16.6640625" style="123" customWidth="1"/>
    <col min="9219" max="9219" width="12.6640625" style="123" bestFit="1" customWidth="1"/>
    <col min="9220" max="9459" width="8.88671875" style="123"/>
    <col min="9460" max="9460" width="4.44140625" style="123" customWidth="1"/>
    <col min="9461" max="9461" width="3.44140625" style="123" customWidth="1"/>
    <col min="9462" max="9462" width="4.44140625" style="123" customWidth="1"/>
    <col min="9463" max="9463" width="5.5546875" style="123" customWidth="1"/>
    <col min="9464" max="9464" width="2.5546875" style="123" customWidth="1"/>
    <col min="9465" max="9465" width="3.5546875" style="123" customWidth="1"/>
    <col min="9466" max="9466" width="4.21875" style="123" customWidth="1"/>
    <col min="9467" max="9467" width="4.88671875" style="123" customWidth="1"/>
    <col min="9468" max="9468" width="4.77734375" style="123" customWidth="1"/>
    <col min="9469" max="9469" width="1.109375" style="123" customWidth="1"/>
    <col min="9470" max="9470" width="3.88671875" style="123" customWidth="1"/>
    <col min="9471" max="9471" width="9.21875" style="123" customWidth="1"/>
    <col min="9472" max="9472" width="14.77734375" style="123" customWidth="1"/>
    <col min="9473" max="9473" width="9.6640625" style="123" customWidth="1"/>
    <col min="9474" max="9474" width="16.6640625" style="123" customWidth="1"/>
    <col min="9475" max="9475" width="12.6640625" style="123" bestFit="1" customWidth="1"/>
    <col min="9476" max="9715" width="8.88671875" style="123"/>
    <col min="9716" max="9716" width="4.44140625" style="123" customWidth="1"/>
    <col min="9717" max="9717" width="3.44140625" style="123" customWidth="1"/>
    <col min="9718" max="9718" width="4.44140625" style="123" customWidth="1"/>
    <col min="9719" max="9719" width="5.5546875" style="123" customWidth="1"/>
    <col min="9720" max="9720" width="2.5546875" style="123" customWidth="1"/>
    <col min="9721" max="9721" width="3.5546875" style="123" customWidth="1"/>
    <col min="9722" max="9722" width="4.21875" style="123" customWidth="1"/>
    <col min="9723" max="9723" width="4.88671875" style="123" customWidth="1"/>
    <col min="9724" max="9724" width="4.77734375" style="123" customWidth="1"/>
    <col min="9725" max="9725" width="1.109375" style="123" customWidth="1"/>
    <col min="9726" max="9726" width="3.88671875" style="123" customWidth="1"/>
    <col min="9727" max="9727" width="9.21875" style="123" customWidth="1"/>
    <col min="9728" max="9728" width="14.77734375" style="123" customWidth="1"/>
    <col min="9729" max="9729" width="9.6640625" style="123" customWidth="1"/>
    <col min="9730" max="9730" width="16.6640625" style="123" customWidth="1"/>
    <col min="9731" max="9731" width="12.6640625" style="123" bestFit="1" customWidth="1"/>
    <col min="9732" max="9971" width="8.88671875" style="123"/>
    <col min="9972" max="9972" width="4.44140625" style="123" customWidth="1"/>
    <col min="9973" max="9973" width="3.44140625" style="123" customWidth="1"/>
    <col min="9974" max="9974" width="4.44140625" style="123" customWidth="1"/>
    <col min="9975" max="9975" width="5.5546875" style="123" customWidth="1"/>
    <col min="9976" max="9976" width="2.5546875" style="123" customWidth="1"/>
    <col min="9977" max="9977" width="3.5546875" style="123" customWidth="1"/>
    <col min="9978" max="9978" width="4.21875" style="123" customWidth="1"/>
    <col min="9979" max="9979" width="4.88671875" style="123" customWidth="1"/>
    <col min="9980" max="9980" width="4.77734375" style="123" customWidth="1"/>
    <col min="9981" max="9981" width="1.109375" style="123" customWidth="1"/>
    <col min="9982" max="9982" width="3.88671875" style="123" customWidth="1"/>
    <col min="9983" max="9983" width="9.21875" style="123" customWidth="1"/>
    <col min="9984" max="9984" width="14.77734375" style="123" customWidth="1"/>
    <col min="9985" max="9985" width="9.6640625" style="123" customWidth="1"/>
    <col min="9986" max="9986" width="16.6640625" style="123" customWidth="1"/>
    <col min="9987" max="9987" width="12.6640625" style="123" bestFit="1" customWidth="1"/>
    <col min="9988" max="10227" width="8.88671875" style="123"/>
    <col min="10228" max="10228" width="4.44140625" style="123" customWidth="1"/>
    <col min="10229" max="10229" width="3.44140625" style="123" customWidth="1"/>
    <col min="10230" max="10230" width="4.44140625" style="123" customWidth="1"/>
    <col min="10231" max="10231" width="5.5546875" style="123" customWidth="1"/>
    <col min="10232" max="10232" width="2.5546875" style="123" customWidth="1"/>
    <col min="10233" max="10233" width="3.5546875" style="123" customWidth="1"/>
    <col min="10234" max="10234" width="4.21875" style="123" customWidth="1"/>
    <col min="10235" max="10235" width="4.88671875" style="123" customWidth="1"/>
    <col min="10236" max="10236" width="4.77734375" style="123" customWidth="1"/>
    <col min="10237" max="10237" width="1.109375" style="123" customWidth="1"/>
    <col min="10238" max="10238" width="3.88671875" style="123" customWidth="1"/>
    <col min="10239" max="10239" width="9.21875" style="123" customWidth="1"/>
    <col min="10240" max="10240" width="14.77734375" style="123" customWidth="1"/>
    <col min="10241" max="10241" width="9.6640625" style="123" customWidth="1"/>
    <col min="10242" max="10242" width="16.6640625" style="123" customWidth="1"/>
    <col min="10243" max="10243" width="12.6640625" style="123" bestFit="1" customWidth="1"/>
    <col min="10244" max="10483" width="8.88671875" style="123"/>
    <col min="10484" max="10484" width="4.44140625" style="123" customWidth="1"/>
    <col min="10485" max="10485" width="3.44140625" style="123" customWidth="1"/>
    <col min="10486" max="10486" width="4.44140625" style="123" customWidth="1"/>
    <col min="10487" max="10487" width="5.5546875" style="123" customWidth="1"/>
    <col min="10488" max="10488" width="2.5546875" style="123" customWidth="1"/>
    <col min="10489" max="10489" width="3.5546875" style="123" customWidth="1"/>
    <col min="10490" max="10490" width="4.21875" style="123" customWidth="1"/>
    <col min="10491" max="10491" width="4.88671875" style="123" customWidth="1"/>
    <col min="10492" max="10492" width="4.77734375" style="123" customWidth="1"/>
    <col min="10493" max="10493" width="1.109375" style="123" customWidth="1"/>
    <col min="10494" max="10494" width="3.88671875" style="123" customWidth="1"/>
    <col min="10495" max="10495" width="9.21875" style="123" customWidth="1"/>
    <col min="10496" max="10496" width="14.77734375" style="123" customWidth="1"/>
    <col min="10497" max="10497" width="9.6640625" style="123" customWidth="1"/>
    <col min="10498" max="10498" width="16.6640625" style="123" customWidth="1"/>
    <col min="10499" max="10499" width="12.6640625" style="123" bestFit="1" customWidth="1"/>
    <col min="10500" max="10739" width="8.88671875" style="123"/>
    <col min="10740" max="10740" width="4.44140625" style="123" customWidth="1"/>
    <col min="10741" max="10741" width="3.44140625" style="123" customWidth="1"/>
    <col min="10742" max="10742" width="4.44140625" style="123" customWidth="1"/>
    <col min="10743" max="10743" width="5.5546875" style="123" customWidth="1"/>
    <col min="10744" max="10744" width="2.5546875" style="123" customWidth="1"/>
    <col min="10745" max="10745" width="3.5546875" style="123" customWidth="1"/>
    <col min="10746" max="10746" width="4.21875" style="123" customWidth="1"/>
    <col min="10747" max="10747" width="4.88671875" style="123" customWidth="1"/>
    <col min="10748" max="10748" width="4.77734375" style="123" customWidth="1"/>
    <col min="10749" max="10749" width="1.109375" style="123" customWidth="1"/>
    <col min="10750" max="10750" width="3.88671875" style="123" customWidth="1"/>
    <col min="10751" max="10751" width="9.21875" style="123" customWidth="1"/>
    <col min="10752" max="10752" width="14.77734375" style="123" customWidth="1"/>
    <col min="10753" max="10753" width="9.6640625" style="123" customWidth="1"/>
    <col min="10754" max="10754" width="16.6640625" style="123" customWidth="1"/>
    <col min="10755" max="10755" width="12.6640625" style="123" bestFit="1" customWidth="1"/>
    <col min="10756" max="10995" width="8.88671875" style="123"/>
    <col min="10996" max="10996" width="4.44140625" style="123" customWidth="1"/>
    <col min="10997" max="10997" width="3.44140625" style="123" customWidth="1"/>
    <col min="10998" max="10998" width="4.44140625" style="123" customWidth="1"/>
    <col min="10999" max="10999" width="5.5546875" style="123" customWidth="1"/>
    <col min="11000" max="11000" width="2.5546875" style="123" customWidth="1"/>
    <col min="11001" max="11001" width="3.5546875" style="123" customWidth="1"/>
    <col min="11002" max="11002" width="4.21875" style="123" customWidth="1"/>
    <col min="11003" max="11003" width="4.88671875" style="123" customWidth="1"/>
    <col min="11004" max="11004" width="4.77734375" style="123" customWidth="1"/>
    <col min="11005" max="11005" width="1.109375" style="123" customWidth="1"/>
    <col min="11006" max="11006" width="3.88671875" style="123" customWidth="1"/>
    <col min="11007" max="11007" width="9.21875" style="123" customWidth="1"/>
    <col min="11008" max="11008" width="14.77734375" style="123" customWidth="1"/>
    <col min="11009" max="11009" width="9.6640625" style="123" customWidth="1"/>
    <col min="11010" max="11010" width="16.6640625" style="123" customWidth="1"/>
    <col min="11011" max="11011" width="12.6640625" style="123" bestFit="1" customWidth="1"/>
    <col min="11012" max="11251" width="8.88671875" style="123"/>
    <col min="11252" max="11252" width="4.44140625" style="123" customWidth="1"/>
    <col min="11253" max="11253" width="3.44140625" style="123" customWidth="1"/>
    <col min="11254" max="11254" width="4.44140625" style="123" customWidth="1"/>
    <col min="11255" max="11255" width="5.5546875" style="123" customWidth="1"/>
    <col min="11256" max="11256" width="2.5546875" style="123" customWidth="1"/>
    <col min="11257" max="11257" width="3.5546875" style="123" customWidth="1"/>
    <col min="11258" max="11258" width="4.21875" style="123" customWidth="1"/>
    <col min="11259" max="11259" width="4.88671875" style="123" customWidth="1"/>
    <col min="11260" max="11260" width="4.77734375" style="123" customWidth="1"/>
    <col min="11261" max="11261" width="1.109375" style="123" customWidth="1"/>
    <col min="11262" max="11262" width="3.88671875" style="123" customWidth="1"/>
    <col min="11263" max="11263" width="9.21875" style="123" customWidth="1"/>
    <col min="11264" max="11264" width="14.77734375" style="123" customWidth="1"/>
    <col min="11265" max="11265" width="9.6640625" style="123" customWidth="1"/>
    <col min="11266" max="11266" width="16.6640625" style="123" customWidth="1"/>
    <col min="11267" max="11267" width="12.6640625" style="123" bestFit="1" customWidth="1"/>
    <col min="11268" max="11507" width="8.88671875" style="123"/>
    <col min="11508" max="11508" width="4.44140625" style="123" customWidth="1"/>
    <col min="11509" max="11509" width="3.44140625" style="123" customWidth="1"/>
    <col min="11510" max="11510" width="4.44140625" style="123" customWidth="1"/>
    <col min="11511" max="11511" width="5.5546875" style="123" customWidth="1"/>
    <col min="11512" max="11512" width="2.5546875" style="123" customWidth="1"/>
    <col min="11513" max="11513" width="3.5546875" style="123" customWidth="1"/>
    <col min="11514" max="11514" width="4.21875" style="123" customWidth="1"/>
    <col min="11515" max="11515" width="4.88671875" style="123" customWidth="1"/>
    <col min="11516" max="11516" width="4.77734375" style="123" customWidth="1"/>
    <col min="11517" max="11517" width="1.109375" style="123" customWidth="1"/>
    <col min="11518" max="11518" width="3.88671875" style="123" customWidth="1"/>
    <col min="11519" max="11519" width="9.21875" style="123" customWidth="1"/>
    <col min="11520" max="11520" width="14.77734375" style="123" customWidth="1"/>
    <col min="11521" max="11521" width="9.6640625" style="123" customWidth="1"/>
    <col min="11522" max="11522" width="16.6640625" style="123" customWidth="1"/>
    <col min="11523" max="11523" width="12.6640625" style="123" bestFit="1" customWidth="1"/>
    <col min="11524" max="11763" width="8.88671875" style="123"/>
    <col min="11764" max="11764" width="4.44140625" style="123" customWidth="1"/>
    <col min="11765" max="11765" width="3.44140625" style="123" customWidth="1"/>
    <col min="11766" max="11766" width="4.44140625" style="123" customWidth="1"/>
    <col min="11767" max="11767" width="5.5546875" style="123" customWidth="1"/>
    <col min="11768" max="11768" width="2.5546875" style="123" customWidth="1"/>
    <col min="11769" max="11769" width="3.5546875" style="123" customWidth="1"/>
    <col min="11770" max="11770" width="4.21875" style="123" customWidth="1"/>
    <col min="11771" max="11771" width="4.88671875" style="123" customWidth="1"/>
    <col min="11772" max="11772" width="4.77734375" style="123" customWidth="1"/>
    <col min="11773" max="11773" width="1.109375" style="123" customWidth="1"/>
    <col min="11774" max="11774" width="3.88671875" style="123" customWidth="1"/>
    <col min="11775" max="11775" width="9.21875" style="123" customWidth="1"/>
    <col min="11776" max="11776" width="14.77734375" style="123" customWidth="1"/>
    <col min="11777" max="11777" width="9.6640625" style="123" customWidth="1"/>
    <col min="11778" max="11778" width="16.6640625" style="123" customWidth="1"/>
    <col min="11779" max="11779" width="12.6640625" style="123" bestFit="1" customWidth="1"/>
    <col min="11780" max="12019" width="8.88671875" style="123"/>
    <col min="12020" max="12020" width="4.44140625" style="123" customWidth="1"/>
    <col min="12021" max="12021" width="3.44140625" style="123" customWidth="1"/>
    <col min="12022" max="12022" width="4.44140625" style="123" customWidth="1"/>
    <col min="12023" max="12023" width="5.5546875" style="123" customWidth="1"/>
    <col min="12024" max="12024" width="2.5546875" style="123" customWidth="1"/>
    <col min="12025" max="12025" width="3.5546875" style="123" customWidth="1"/>
    <col min="12026" max="12026" width="4.21875" style="123" customWidth="1"/>
    <col min="12027" max="12027" width="4.88671875" style="123" customWidth="1"/>
    <col min="12028" max="12028" width="4.77734375" style="123" customWidth="1"/>
    <col min="12029" max="12029" width="1.109375" style="123" customWidth="1"/>
    <col min="12030" max="12030" width="3.88671875" style="123" customWidth="1"/>
    <col min="12031" max="12031" width="9.21875" style="123" customWidth="1"/>
    <col min="12032" max="12032" width="14.77734375" style="123" customWidth="1"/>
    <col min="12033" max="12033" width="9.6640625" style="123" customWidth="1"/>
    <col min="12034" max="12034" width="16.6640625" style="123" customWidth="1"/>
    <col min="12035" max="12035" width="12.6640625" style="123" bestFit="1" customWidth="1"/>
    <col min="12036" max="12275" width="8.88671875" style="123"/>
    <col min="12276" max="12276" width="4.44140625" style="123" customWidth="1"/>
    <col min="12277" max="12277" width="3.44140625" style="123" customWidth="1"/>
    <col min="12278" max="12278" width="4.44140625" style="123" customWidth="1"/>
    <col min="12279" max="12279" width="5.5546875" style="123" customWidth="1"/>
    <col min="12280" max="12280" width="2.5546875" style="123" customWidth="1"/>
    <col min="12281" max="12281" width="3.5546875" style="123" customWidth="1"/>
    <col min="12282" max="12282" width="4.21875" style="123" customWidth="1"/>
    <col min="12283" max="12283" width="4.88671875" style="123" customWidth="1"/>
    <col min="12284" max="12284" width="4.77734375" style="123" customWidth="1"/>
    <col min="12285" max="12285" width="1.109375" style="123" customWidth="1"/>
    <col min="12286" max="12286" width="3.88671875" style="123" customWidth="1"/>
    <col min="12287" max="12287" width="9.21875" style="123" customWidth="1"/>
    <col min="12288" max="12288" width="14.77734375" style="123" customWidth="1"/>
    <col min="12289" max="12289" width="9.6640625" style="123" customWidth="1"/>
    <col min="12290" max="12290" width="16.6640625" style="123" customWidth="1"/>
    <col min="12291" max="12291" width="12.6640625" style="123" bestFit="1" customWidth="1"/>
    <col min="12292" max="12531" width="8.88671875" style="123"/>
    <col min="12532" max="12532" width="4.44140625" style="123" customWidth="1"/>
    <col min="12533" max="12533" width="3.44140625" style="123" customWidth="1"/>
    <col min="12534" max="12534" width="4.44140625" style="123" customWidth="1"/>
    <col min="12535" max="12535" width="5.5546875" style="123" customWidth="1"/>
    <col min="12536" max="12536" width="2.5546875" style="123" customWidth="1"/>
    <col min="12537" max="12537" width="3.5546875" style="123" customWidth="1"/>
    <col min="12538" max="12538" width="4.21875" style="123" customWidth="1"/>
    <col min="12539" max="12539" width="4.88671875" style="123" customWidth="1"/>
    <col min="12540" max="12540" width="4.77734375" style="123" customWidth="1"/>
    <col min="12541" max="12541" width="1.109375" style="123" customWidth="1"/>
    <col min="12542" max="12542" width="3.88671875" style="123" customWidth="1"/>
    <col min="12543" max="12543" width="9.21875" style="123" customWidth="1"/>
    <col min="12544" max="12544" width="14.77734375" style="123" customWidth="1"/>
    <col min="12545" max="12545" width="9.6640625" style="123" customWidth="1"/>
    <col min="12546" max="12546" width="16.6640625" style="123" customWidth="1"/>
    <col min="12547" max="12547" width="12.6640625" style="123" bestFit="1" customWidth="1"/>
    <col min="12548" max="12787" width="8.88671875" style="123"/>
    <col min="12788" max="12788" width="4.44140625" style="123" customWidth="1"/>
    <col min="12789" max="12789" width="3.44140625" style="123" customWidth="1"/>
    <col min="12790" max="12790" width="4.44140625" style="123" customWidth="1"/>
    <col min="12791" max="12791" width="5.5546875" style="123" customWidth="1"/>
    <col min="12792" max="12792" width="2.5546875" style="123" customWidth="1"/>
    <col min="12793" max="12793" width="3.5546875" style="123" customWidth="1"/>
    <col min="12794" max="12794" width="4.21875" style="123" customWidth="1"/>
    <col min="12795" max="12795" width="4.88671875" style="123" customWidth="1"/>
    <col min="12796" max="12796" width="4.77734375" style="123" customWidth="1"/>
    <col min="12797" max="12797" width="1.109375" style="123" customWidth="1"/>
    <col min="12798" max="12798" width="3.88671875" style="123" customWidth="1"/>
    <col min="12799" max="12799" width="9.21875" style="123" customWidth="1"/>
    <col min="12800" max="12800" width="14.77734375" style="123" customWidth="1"/>
    <col min="12801" max="12801" width="9.6640625" style="123" customWidth="1"/>
    <col min="12802" max="12802" width="16.6640625" style="123" customWidth="1"/>
    <col min="12803" max="12803" width="12.6640625" style="123" bestFit="1" customWidth="1"/>
    <col min="12804" max="13043" width="8.88671875" style="123"/>
    <col min="13044" max="13044" width="4.44140625" style="123" customWidth="1"/>
    <col min="13045" max="13045" width="3.44140625" style="123" customWidth="1"/>
    <col min="13046" max="13046" width="4.44140625" style="123" customWidth="1"/>
    <col min="13047" max="13047" width="5.5546875" style="123" customWidth="1"/>
    <col min="13048" max="13048" width="2.5546875" style="123" customWidth="1"/>
    <col min="13049" max="13049" width="3.5546875" style="123" customWidth="1"/>
    <col min="13050" max="13050" width="4.21875" style="123" customWidth="1"/>
    <col min="13051" max="13051" width="4.88671875" style="123" customWidth="1"/>
    <col min="13052" max="13052" width="4.77734375" style="123" customWidth="1"/>
    <col min="13053" max="13053" width="1.109375" style="123" customWidth="1"/>
    <col min="13054" max="13054" width="3.88671875" style="123" customWidth="1"/>
    <col min="13055" max="13055" width="9.21875" style="123" customWidth="1"/>
    <col min="13056" max="13056" width="14.77734375" style="123" customWidth="1"/>
    <col min="13057" max="13057" width="9.6640625" style="123" customWidth="1"/>
    <col min="13058" max="13058" width="16.6640625" style="123" customWidth="1"/>
    <col min="13059" max="13059" width="12.6640625" style="123" bestFit="1" customWidth="1"/>
    <col min="13060" max="13299" width="8.88671875" style="123"/>
    <col min="13300" max="13300" width="4.44140625" style="123" customWidth="1"/>
    <col min="13301" max="13301" width="3.44140625" style="123" customWidth="1"/>
    <col min="13302" max="13302" width="4.44140625" style="123" customWidth="1"/>
    <col min="13303" max="13303" width="5.5546875" style="123" customWidth="1"/>
    <col min="13304" max="13304" width="2.5546875" style="123" customWidth="1"/>
    <col min="13305" max="13305" width="3.5546875" style="123" customWidth="1"/>
    <col min="13306" max="13306" width="4.21875" style="123" customWidth="1"/>
    <col min="13307" max="13307" width="4.88671875" style="123" customWidth="1"/>
    <col min="13308" max="13308" width="4.77734375" style="123" customWidth="1"/>
    <col min="13309" max="13309" width="1.109375" style="123" customWidth="1"/>
    <col min="13310" max="13310" width="3.88671875" style="123" customWidth="1"/>
    <col min="13311" max="13311" width="9.21875" style="123" customWidth="1"/>
    <col min="13312" max="13312" width="14.77734375" style="123" customWidth="1"/>
    <col min="13313" max="13313" width="9.6640625" style="123" customWidth="1"/>
    <col min="13314" max="13314" width="16.6640625" style="123" customWidth="1"/>
    <col min="13315" max="13315" width="12.6640625" style="123" bestFit="1" customWidth="1"/>
    <col min="13316" max="13555" width="8.88671875" style="123"/>
    <col min="13556" max="13556" width="4.44140625" style="123" customWidth="1"/>
    <col min="13557" max="13557" width="3.44140625" style="123" customWidth="1"/>
    <col min="13558" max="13558" width="4.44140625" style="123" customWidth="1"/>
    <col min="13559" max="13559" width="5.5546875" style="123" customWidth="1"/>
    <col min="13560" max="13560" width="2.5546875" style="123" customWidth="1"/>
    <col min="13561" max="13561" width="3.5546875" style="123" customWidth="1"/>
    <col min="13562" max="13562" width="4.21875" style="123" customWidth="1"/>
    <col min="13563" max="13563" width="4.88671875" style="123" customWidth="1"/>
    <col min="13564" max="13564" width="4.77734375" style="123" customWidth="1"/>
    <col min="13565" max="13565" width="1.109375" style="123" customWidth="1"/>
    <col min="13566" max="13566" width="3.88671875" style="123" customWidth="1"/>
    <col min="13567" max="13567" width="9.21875" style="123" customWidth="1"/>
    <col min="13568" max="13568" width="14.77734375" style="123" customWidth="1"/>
    <col min="13569" max="13569" width="9.6640625" style="123" customWidth="1"/>
    <col min="13570" max="13570" width="16.6640625" style="123" customWidth="1"/>
    <col min="13571" max="13571" width="12.6640625" style="123" bestFit="1" customWidth="1"/>
    <col min="13572" max="13811" width="8.88671875" style="123"/>
    <col min="13812" max="13812" width="4.44140625" style="123" customWidth="1"/>
    <col min="13813" max="13813" width="3.44140625" style="123" customWidth="1"/>
    <col min="13814" max="13814" width="4.44140625" style="123" customWidth="1"/>
    <col min="13815" max="13815" width="5.5546875" style="123" customWidth="1"/>
    <col min="13816" max="13816" width="2.5546875" style="123" customWidth="1"/>
    <col min="13817" max="13817" width="3.5546875" style="123" customWidth="1"/>
    <col min="13818" max="13818" width="4.21875" style="123" customWidth="1"/>
    <col min="13819" max="13819" width="4.88671875" style="123" customWidth="1"/>
    <col min="13820" max="13820" width="4.77734375" style="123" customWidth="1"/>
    <col min="13821" max="13821" width="1.109375" style="123" customWidth="1"/>
    <col min="13822" max="13822" width="3.88671875" style="123" customWidth="1"/>
    <col min="13823" max="13823" width="9.21875" style="123" customWidth="1"/>
    <col min="13824" max="13824" width="14.77734375" style="123" customWidth="1"/>
    <col min="13825" max="13825" width="9.6640625" style="123" customWidth="1"/>
    <col min="13826" max="13826" width="16.6640625" style="123" customWidth="1"/>
    <col min="13827" max="13827" width="12.6640625" style="123" bestFit="1" customWidth="1"/>
    <col min="13828" max="14067" width="8.88671875" style="123"/>
    <col min="14068" max="14068" width="4.44140625" style="123" customWidth="1"/>
    <col min="14069" max="14069" width="3.44140625" style="123" customWidth="1"/>
    <col min="14070" max="14070" width="4.44140625" style="123" customWidth="1"/>
    <col min="14071" max="14071" width="5.5546875" style="123" customWidth="1"/>
    <col min="14072" max="14072" width="2.5546875" style="123" customWidth="1"/>
    <col min="14073" max="14073" width="3.5546875" style="123" customWidth="1"/>
    <col min="14074" max="14074" width="4.21875" style="123" customWidth="1"/>
    <col min="14075" max="14075" width="4.88671875" style="123" customWidth="1"/>
    <col min="14076" max="14076" width="4.77734375" style="123" customWidth="1"/>
    <col min="14077" max="14077" width="1.109375" style="123" customWidth="1"/>
    <col min="14078" max="14078" width="3.88671875" style="123" customWidth="1"/>
    <col min="14079" max="14079" width="9.21875" style="123" customWidth="1"/>
    <col min="14080" max="14080" width="14.77734375" style="123" customWidth="1"/>
    <col min="14081" max="14081" width="9.6640625" style="123" customWidth="1"/>
    <col min="14082" max="14082" width="16.6640625" style="123" customWidth="1"/>
    <col min="14083" max="14083" width="12.6640625" style="123" bestFit="1" customWidth="1"/>
    <col min="14084" max="14323" width="8.88671875" style="123"/>
    <col min="14324" max="14324" width="4.44140625" style="123" customWidth="1"/>
    <col min="14325" max="14325" width="3.44140625" style="123" customWidth="1"/>
    <col min="14326" max="14326" width="4.44140625" style="123" customWidth="1"/>
    <col min="14327" max="14327" width="5.5546875" style="123" customWidth="1"/>
    <col min="14328" max="14328" width="2.5546875" style="123" customWidth="1"/>
    <col min="14329" max="14329" width="3.5546875" style="123" customWidth="1"/>
    <col min="14330" max="14330" width="4.21875" style="123" customWidth="1"/>
    <col min="14331" max="14331" width="4.88671875" style="123" customWidth="1"/>
    <col min="14332" max="14332" width="4.77734375" style="123" customWidth="1"/>
    <col min="14333" max="14333" width="1.109375" style="123" customWidth="1"/>
    <col min="14334" max="14334" width="3.88671875" style="123" customWidth="1"/>
    <col min="14335" max="14335" width="9.21875" style="123" customWidth="1"/>
    <col min="14336" max="14336" width="14.77734375" style="123" customWidth="1"/>
    <col min="14337" max="14337" width="9.6640625" style="123" customWidth="1"/>
    <col min="14338" max="14338" width="16.6640625" style="123" customWidth="1"/>
    <col min="14339" max="14339" width="12.6640625" style="123" bestFit="1" customWidth="1"/>
    <col min="14340" max="14579" width="8.88671875" style="123"/>
    <col min="14580" max="14580" width="4.44140625" style="123" customWidth="1"/>
    <col min="14581" max="14581" width="3.44140625" style="123" customWidth="1"/>
    <col min="14582" max="14582" width="4.44140625" style="123" customWidth="1"/>
    <col min="14583" max="14583" width="5.5546875" style="123" customWidth="1"/>
    <col min="14584" max="14584" width="2.5546875" style="123" customWidth="1"/>
    <col min="14585" max="14585" width="3.5546875" style="123" customWidth="1"/>
    <col min="14586" max="14586" width="4.21875" style="123" customWidth="1"/>
    <col min="14587" max="14587" width="4.88671875" style="123" customWidth="1"/>
    <col min="14588" max="14588" width="4.77734375" style="123" customWidth="1"/>
    <col min="14589" max="14589" width="1.109375" style="123" customWidth="1"/>
    <col min="14590" max="14590" width="3.88671875" style="123" customWidth="1"/>
    <col min="14591" max="14591" width="9.21875" style="123" customWidth="1"/>
    <col min="14592" max="14592" width="14.77734375" style="123" customWidth="1"/>
    <col min="14593" max="14593" width="9.6640625" style="123" customWidth="1"/>
    <col min="14594" max="14594" width="16.6640625" style="123" customWidth="1"/>
    <col min="14595" max="14595" width="12.6640625" style="123" bestFit="1" customWidth="1"/>
    <col min="14596" max="14835" width="8.88671875" style="123"/>
    <col min="14836" max="14836" width="4.44140625" style="123" customWidth="1"/>
    <col min="14837" max="14837" width="3.44140625" style="123" customWidth="1"/>
    <col min="14838" max="14838" width="4.44140625" style="123" customWidth="1"/>
    <col min="14839" max="14839" width="5.5546875" style="123" customWidth="1"/>
    <col min="14840" max="14840" width="2.5546875" style="123" customWidth="1"/>
    <col min="14841" max="14841" width="3.5546875" style="123" customWidth="1"/>
    <col min="14842" max="14842" width="4.21875" style="123" customWidth="1"/>
    <col min="14843" max="14843" width="4.88671875" style="123" customWidth="1"/>
    <col min="14844" max="14844" width="4.77734375" style="123" customWidth="1"/>
    <col min="14845" max="14845" width="1.109375" style="123" customWidth="1"/>
    <col min="14846" max="14846" width="3.88671875" style="123" customWidth="1"/>
    <col min="14847" max="14847" width="9.21875" style="123" customWidth="1"/>
    <col min="14848" max="14848" width="14.77734375" style="123" customWidth="1"/>
    <col min="14849" max="14849" width="9.6640625" style="123" customWidth="1"/>
    <col min="14850" max="14850" width="16.6640625" style="123" customWidth="1"/>
    <col min="14851" max="14851" width="12.6640625" style="123" bestFit="1" customWidth="1"/>
    <col min="14852" max="15091" width="8.88671875" style="123"/>
    <col min="15092" max="15092" width="4.44140625" style="123" customWidth="1"/>
    <col min="15093" max="15093" width="3.44140625" style="123" customWidth="1"/>
    <col min="15094" max="15094" width="4.44140625" style="123" customWidth="1"/>
    <col min="15095" max="15095" width="5.5546875" style="123" customWidth="1"/>
    <col min="15096" max="15096" width="2.5546875" style="123" customWidth="1"/>
    <col min="15097" max="15097" width="3.5546875" style="123" customWidth="1"/>
    <col min="15098" max="15098" width="4.21875" style="123" customWidth="1"/>
    <col min="15099" max="15099" width="4.88671875" style="123" customWidth="1"/>
    <col min="15100" max="15100" width="4.77734375" style="123" customWidth="1"/>
    <col min="15101" max="15101" width="1.109375" style="123" customWidth="1"/>
    <col min="15102" max="15102" width="3.88671875" style="123" customWidth="1"/>
    <col min="15103" max="15103" width="9.21875" style="123" customWidth="1"/>
    <col min="15104" max="15104" width="14.77734375" style="123" customWidth="1"/>
    <col min="15105" max="15105" width="9.6640625" style="123" customWidth="1"/>
    <col min="15106" max="15106" width="16.6640625" style="123" customWidth="1"/>
    <col min="15107" max="15107" width="12.6640625" style="123" bestFit="1" customWidth="1"/>
    <col min="15108" max="15347" width="8.88671875" style="123"/>
    <col min="15348" max="15348" width="4.44140625" style="123" customWidth="1"/>
    <col min="15349" max="15349" width="3.44140625" style="123" customWidth="1"/>
    <col min="15350" max="15350" width="4.44140625" style="123" customWidth="1"/>
    <col min="15351" max="15351" width="5.5546875" style="123" customWidth="1"/>
    <col min="15352" max="15352" width="2.5546875" style="123" customWidth="1"/>
    <col min="15353" max="15353" width="3.5546875" style="123" customWidth="1"/>
    <col min="15354" max="15354" width="4.21875" style="123" customWidth="1"/>
    <col min="15355" max="15355" width="4.88671875" style="123" customWidth="1"/>
    <col min="15356" max="15356" width="4.77734375" style="123" customWidth="1"/>
    <col min="15357" max="15357" width="1.109375" style="123" customWidth="1"/>
    <col min="15358" max="15358" width="3.88671875" style="123" customWidth="1"/>
    <col min="15359" max="15359" width="9.21875" style="123" customWidth="1"/>
    <col min="15360" max="15360" width="14.77734375" style="123" customWidth="1"/>
    <col min="15361" max="15361" width="9.6640625" style="123" customWidth="1"/>
    <col min="15362" max="15362" width="16.6640625" style="123" customWidth="1"/>
    <col min="15363" max="15363" width="12.6640625" style="123" bestFit="1" customWidth="1"/>
    <col min="15364" max="15603" width="8.88671875" style="123"/>
    <col min="15604" max="15604" width="4.44140625" style="123" customWidth="1"/>
    <col min="15605" max="15605" width="3.44140625" style="123" customWidth="1"/>
    <col min="15606" max="15606" width="4.44140625" style="123" customWidth="1"/>
    <col min="15607" max="15607" width="5.5546875" style="123" customWidth="1"/>
    <col min="15608" max="15608" width="2.5546875" style="123" customWidth="1"/>
    <col min="15609" max="15609" width="3.5546875" style="123" customWidth="1"/>
    <col min="15610" max="15610" width="4.21875" style="123" customWidth="1"/>
    <col min="15611" max="15611" width="4.88671875" style="123" customWidth="1"/>
    <col min="15612" max="15612" width="4.77734375" style="123" customWidth="1"/>
    <col min="15613" max="15613" width="1.109375" style="123" customWidth="1"/>
    <col min="15614" max="15614" width="3.88671875" style="123" customWidth="1"/>
    <col min="15615" max="15615" width="9.21875" style="123" customWidth="1"/>
    <col min="15616" max="15616" width="14.77734375" style="123" customWidth="1"/>
    <col min="15617" max="15617" width="9.6640625" style="123" customWidth="1"/>
    <col min="15618" max="15618" width="16.6640625" style="123" customWidth="1"/>
    <col min="15619" max="15619" width="12.6640625" style="123" bestFit="1" customWidth="1"/>
    <col min="15620" max="15859" width="8.88671875" style="123"/>
    <col min="15860" max="15860" width="4.44140625" style="123" customWidth="1"/>
    <col min="15861" max="15861" width="3.44140625" style="123" customWidth="1"/>
    <col min="15862" max="15862" width="4.44140625" style="123" customWidth="1"/>
    <col min="15863" max="15863" width="5.5546875" style="123" customWidth="1"/>
    <col min="15864" max="15864" width="2.5546875" style="123" customWidth="1"/>
    <col min="15865" max="15865" width="3.5546875" style="123" customWidth="1"/>
    <col min="15866" max="15866" width="4.21875" style="123" customWidth="1"/>
    <col min="15867" max="15867" width="4.88671875" style="123" customWidth="1"/>
    <col min="15868" max="15868" width="4.77734375" style="123" customWidth="1"/>
    <col min="15869" max="15869" width="1.109375" style="123" customWidth="1"/>
    <col min="15870" max="15870" width="3.88671875" style="123" customWidth="1"/>
    <col min="15871" max="15871" width="9.21875" style="123" customWidth="1"/>
    <col min="15872" max="15872" width="14.77734375" style="123" customWidth="1"/>
    <col min="15873" max="15873" width="9.6640625" style="123" customWidth="1"/>
    <col min="15874" max="15874" width="16.6640625" style="123" customWidth="1"/>
    <col min="15875" max="15875" width="12.6640625" style="123" bestFit="1" customWidth="1"/>
    <col min="15876" max="16115" width="8.88671875" style="123"/>
    <col min="16116" max="16116" width="4.44140625" style="123" customWidth="1"/>
    <col min="16117" max="16117" width="3.44140625" style="123" customWidth="1"/>
    <col min="16118" max="16118" width="4.44140625" style="123" customWidth="1"/>
    <col min="16119" max="16119" width="5.5546875" style="123" customWidth="1"/>
    <col min="16120" max="16120" width="2.5546875" style="123" customWidth="1"/>
    <col min="16121" max="16121" width="3.5546875" style="123" customWidth="1"/>
    <col min="16122" max="16122" width="4.21875" style="123" customWidth="1"/>
    <col min="16123" max="16123" width="4.88671875" style="123" customWidth="1"/>
    <col min="16124" max="16124" width="4.77734375" style="123" customWidth="1"/>
    <col min="16125" max="16125" width="1.109375" style="123" customWidth="1"/>
    <col min="16126" max="16126" width="3.88671875" style="123" customWidth="1"/>
    <col min="16127" max="16127" width="9.21875" style="123" customWidth="1"/>
    <col min="16128" max="16128" width="14.77734375" style="123" customWidth="1"/>
    <col min="16129" max="16129" width="9.6640625" style="123" customWidth="1"/>
    <col min="16130" max="16130" width="16.6640625" style="123" customWidth="1"/>
    <col min="16131" max="16131" width="12.6640625" style="123" bestFit="1" customWidth="1"/>
    <col min="16132" max="16384" width="8.88671875" style="123"/>
  </cols>
  <sheetData>
    <row r="1" spans="1:15" ht="9" customHeight="1" x14ac:dyDescent="0.15">
      <c r="A1" s="269"/>
      <c r="B1" s="270"/>
      <c r="C1" s="270"/>
      <c r="D1" s="270"/>
      <c r="E1" s="270"/>
      <c r="F1" s="270"/>
      <c r="G1" s="270"/>
      <c r="H1" s="270"/>
      <c r="I1" s="270"/>
      <c r="J1" s="270"/>
      <c r="K1" s="270"/>
      <c r="L1" s="270"/>
      <c r="M1" s="270"/>
      <c r="N1" s="270"/>
      <c r="O1" s="271"/>
    </row>
    <row r="2" spans="1:15" ht="9.75" customHeight="1" x14ac:dyDescent="0.15">
      <c r="A2" s="124"/>
      <c r="B2" s="125"/>
      <c r="C2" s="125"/>
      <c r="D2" s="125"/>
      <c r="E2" s="125"/>
      <c r="F2" s="125"/>
      <c r="G2" s="125"/>
      <c r="H2" s="125"/>
      <c r="I2" s="125"/>
      <c r="J2" s="125"/>
      <c r="K2" s="125"/>
      <c r="L2" s="125"/>
      <c r="M2" s="125"/>
      <c r="N2" s="125"/>
      <c r="O2" s="126"/>
    </row>
    <row r="3" spans="1:15" ht="45" x14ac:dyDescent="0.15">
      <c r="A3" s="272" t="s">
        <v>69</v>
      </c>
      <c r="B3" s="273"/>
      <c r="C3" s="273"/>
      <c r="D3" s="273"/>
      <c r="E3" s="273"/>
      <c r="F3" s="273"/>
      <c r="G3" s="273"/>
      <c r="H3" s="273"/>
      <c r="I3" s="273"/>
      <c r="J3" s="273"/>
      <c r="K3" s="273"/>
      <c r="L3" s="273"/>
      <c r="M3" s="273"/>
      <c r="N3" s="273"/>
      <c r="O3" s="274"/>
    </row>
    <row r="4" spans="1:15" ht="16.5" customHeight="1" x14ac:dyDescent="0.15">
      <c r="A4" s="127" t="s">
        <v>70</v>
      </c>
      <c r="B4" s="128"/>
      <c r="C4" s="128"/>
      <c r="D4" s="128"/>
      <c r="E4" s="128"/>
      <c r="F4" s="128"/>
      <c r="G4" s="128"/>
      <c r="H4" s="128"/>
      <c r="I4" s="129"/>
      <c r="J4" s="129"/>
      <c r="K4" s="130"/>
      <c r="L4" s="130"/>
      <c r="M4" s="130"/>
      <c r="N4" s="130"/>
      <c r="O4" s="131"/>
    </row>
    <row r="5" spans="1:15" ht="21" customHeight="1" x14ac:dyDescent="0.15">
      <c r="A5" s="132"/>
      <c r="B5" s="188" t="s">
        <v>134</v>
      </c>
      <c r="C5" s="188"/>
      <c r="D5" s="188"/>
      <c r="E5" s="188"/>
      <c r="F5" s="188"/>
      <c r="G5" s="133"/>
      <c r="H5" s="133"/>
      <c r="I5" s="133"/>
      <c r="J5" s="133"/>
      <c r="K5" s="133"/>
      <c r="L5" s="133"/>
      <c r="M5" s="134"/>
      <c r="N5" s="134"/>
      <c r="O5" s="135"/>
    </row>
    <row r="6" spans="1:15" ht="12" customHeight="1" thickBot="1" x14ac:dyDescent="0.2">
      <c r="A6" s="136"/>
      <c r="B6" s="137"/>
      <c r="C6" s="137"/>
      <c r="D6" s="137"/>
      <c r="E6" s="137"/>
      <c r="F6" s="137"/>
      <c r="G6" s="137"/>
      <c r="H6" s="137"/>
      <c r="I6" s="137"/>
      <c r="J6" s="137"/>
      <c r="K6" s="138"/>
      <c r="L6" s="138"/>
      <c r="M6" s="138"/>
      <c r="N6" s="138"/>
      <c r="O6" s="139"/>
    </row>
    <row r="7" spans="1:15" ht="23.25" customHeight="1" x14ac:dyDescent="0.15">
      <c r="A7" s="275" t="s">
        <v>71</v>
      </c>
      <c r="B7" s="276"/>
      <c r="C7" s="277"/>
      <c r="D7" s="189">
        <v>2025</v>
      </c>
      <c r="E7" s="140" t="s">
        <v>72</v>
      </c>
      <c r="F7" s="140">
        <v>10</v>
      </c>
      <c r="G7" s="140" t="s">
        <v>73</v>
      </c>
      <c r="H7" s="140">
        <v>24</v>
      </c>
      <c r="I7" s="140" t="s">
        <v>74</v>
      </c>
      <c r="J7" s="141"/>
      <c r="K7" s="278" t="s">
        <v>75</v>
      </c>
      <c r="L7" s="142" t="s">
        <v>1</v>
      </c>
      <c r="M7" s="142" t="s">
        <v>76</v>
      </c>
      <c r="N7" s="142" t="s">
        <v>77</v>
      </c>
      <c r="O7" s="143" t="s">
        <v>78</v>
      </c>
    </row>
    <row r="8" spans="1:15" ht="23.25" customHeight="1" x14ac:dyDescent="0.15">
      <c r="A8" s="281" t="s">
        <v>79</v>
      </c>
      <c r="B8" s="282"/>
      <c r="C8" s="283"/>
      <c r="D8" s="284" t="s">
        <v>80</v>
      </c>
      <c r="E8" s="285"/>
      <c r="F8" s="285"/>
      <c r="G8" s="286"/>
      <c r="H8" s="287" t="s">
        <v>81</v>
      </c>
      <c r="I8" s="285"/>
      <c r="J8" s="288"/>
      <c r="K8" s="279"/>
      <c r="L8" s="144" t="s">
        <v>82</v>
      </c>
      <c r="M8" s="144" t="s">
        <v>83</v>
      </c>
      <c r="N8" s="144" t="s">
        <v>84</v>
      </c>
      <c r="O8" s="145" t="s">
        <v>85</v>
      </c>
    </row>
    <row r="9" spans="1:15" ht="23.25" customHeight="1" x14ac:dyDescent="0.15">
      <c r="A9" s="281" t="s">
        <v>86</v>
      </c>
      <c r="B9" s="282"/>
      <c r="C9" s="283"/>
      <c r="D9" s="289" t="s">
        <v>87</v>
      </c>
      <c r="E9" s="290"/>
      <c r="F9" s="290"/>
      <c r="G9" s="290"/>
      <c r="H9" s="290"/>
      <c r="I9" s="290"/>
      <c r="J9" s="291"/>
      <c r="K9" s="279"/>
      <c r="L9" s="144" t="s">
        <v>88</v>
      </c>
      <c r="M9" s="292" t="s">
        <v>89</v>
      </c>
      <c r="N9" s="282"/>
      <c r="O9" s="283"/>
    </row>
    <row r="10" spans="1:15" ht="23.25" customHeight="1" thickBot="1" x14ac:dyDescent="0.2">
      <c r="A10" s="293" t="s">
        <v>90</v>
      </c>
      <c r="B10" s="294"/>
      <c r="C10" s="295"/>
      <c r="D10" s="296" t="s">
        <v>91</v>
      </c>
      <c r="E10" s="297"/>
      <c r="F10" s="297"/>
      <c r="G10" s="297"/>
      <c r="H10" s="297"/>
      <c r="I10" s="297"/>
      <c r="J10" s="298"/>
      <c r="K10" s="280"/>
      <c r="L10" s="146" t="s">
        <v>92</v>
      </c>
      <c r="M10" s="146" t="s">
        <v>93</v>
      </c>
      <c r="N10" s="146" t="s">
        <v>94</v>
      </c>
      <c r="O10" s="147" t="s">
        <v>95</v>
      </c>
    </row>
    <row r="11" spans="1:15" ht="21.75" customHeight="1" x14ac:dyDescent="0.15">
      <c r="A11" s="148"/>
      <c r="B11" s="149"/>
      <c r="C11" s="149"/>
      <c r="D11" s="150"/>
      <c r="E11" s="150"/>
      <c r="F11" s="150"/>
      <c r="G11" s="150"/>
      <c r="H11" s="150"/>
      <c r="I11" s="150"/>
      <c r="J11" s="150"/>
      <c r="K11" s="151"/>
      <c r="L11" s="151"/>
      <c r="M11" s="151"/>
      <c r="N11" s="151"/>
      <c r="O11" s="131"/>
    </row>
    <row r="12" spans="1:15" ht="21.75" customHeight="1" x14ac:dyDescent="0.15">
      <c r="A12" s="152"/>
      <c r="B12" s="134"/>
      <c r="C12" s="134"/>
      <c r="D12" s="134"/>
      <c r="E12" s="134"/>
      <c r="F12" s="134"/>
      <c r="G12" s="134"/>
      <c r="H12" s="134"/>
      <c r="I12" s="151"/>
      <c r="J12" s="151"/>
      <c r="K12" s="151"/>
      <c r="L12" s="151"/>
      <c r="M12" s="151"/>
      <c r="N12" s="151"/>
      <c r="O12" s="153"/>
    </row>
    <row r="13" spans="1:15" ht="24" customHeight="1" x14ac:dyDescent="0.15">
      <c r="A13" s="154"/>
      <c r="B13" s="268" t="s">
        <v>133</v>
      </c>
      <c r="C13" s="268"/>
      <c r="D13" s="268"/>
      <c r="E13" s="268"/>
      <c r="F13" s="268"/>
      <c r="G13" s="268"/>
      <c r="H13" s="268"/>
      <c r="I13" s="268"/>
      <c r="J13" s="268"/>
      <c r="K13" s="268"/>
      <c r="L13" s="268"/>
      <c r="M13" s="268"/>
      <c r="N13" s="155" t="s">
        <v>96</v>
      </c>
      <c r="O13" s="153"/>
    </row>
    <row r="14" spans="1:15" ht="9" customHeight="1" x14ac:dyDescent="0.15">
      <c r="A14" s="154"/>
      <c r="B14" s="134"/>
      <c r="C14" s="134"/>
      <c r="D14" s="134"/>
      <c r="E14" s="134"/>
      <c r="F14" s="134"/>
      <c r="G14" s="134"/>
      <c r="H14" s="134"/>
      <c r="I14" s="151"/>
      <c r="J14" s="151"/>
      <c r="K14" s="151"/>
      <c r="L14" s="151"/>
      <c r="M14" s="151"/>
      <c r="N14" s="151"/>
      <c r="O14" s="153"/>
    </row>
    <row r="15" spans="1:15" ht="25.5" customHeight="1" x14ac:dyDescent="0.15">
      <c r="A15" s="154"/>
      <c r="B15" s="251" t="str">
        <f>"견 적 금 액 : 一金"&amp;NUMBERSTRING(M32,1) &amp; "원정""(\"&amp; TEXT(M32,"#,###")&amp;"원) [VAT 별도]"</f>
        <v>견 적 금 액 : 一金구십사만칠천구백오십사원정"(\947,954원) [VAT 별도]</v>
      </c>
      <c r="C15" s="251"/>
      <c r="D15" s="251"/>
      <c r="E15" s="251"/>
      <c r="F15" s="251"/>
      <c r="G15" s="251"/>
      <c r="H15" s="251"/>
      <c r="I15" s="251"/>
      <c r="J15" s="251"/>
      <c r="K15" s="251"/>
      <c r="L15" s="251"/>
      <c r="M15" s="251"/>
      <c r="N15" s="251"/>
      <c r="O15" s="252"/>
    </row>
    <row r="16" spans="1:15" ht="15" thickBot="1" x14ac:dyDescent="0.2">
      <c r="A16" s="152"/>
      <c r="B16" s="151"/>
      <c r="C16" s="151"/>
      <c r="D16" s="151"/>
      <c r="E16" s="151"/>
      <c r="F16" s="151"/>
      <c r="G16" s="151"/>
      <c r="H16" s="151"/>
      <c r="I16" s="134"/>
      <c r="J16" s="134"/>
      <c r="K16" s="253"/>
      <c r="L16" s="253"/>
      <c r="M16" s="253"/>
      <c r="N16" s="253"/>
      <c r="O16" s="254"/>
    </row>
    <row r="17" spans="1:17" ht="27.75" customHeight="1" thickBot="1" x14ac:dyDescent="0.2">
      <c r="A17" s="156" t="s">
        <v>97</v>
      </c>
      <c r="B17" s="261" t="s">
        <v>98</v>
      </c>
      <c r="C17" s="262"/>
      <c r="D17" s="262"/>
      <c r="E17" s="262"/>
      <c r="F17" s="262"/>
      <c r="G17" s="263"/>
      <c r="H17" s="157" t="s">
        <v>99</v>
      </c>
      <c r="I17" s="158" t="s">
        <v>100</v>
      </c>
      <c r="J17" s="264" t="s">
        <v>101</v>
      </c>
      <c r="K17" s="265"/>
      <c r="L17" s="265"/>
      <c r="M17" s="266"/>
      <c r="N17" s="261" t="s">
        <v>102</v>
      </c>
      <c r="O17" s="267"/>
    </row>
    <row r="18" spans="1:17" ht="28.5" customHeight="1" x14ac:dyDescent="0.15">
      <c r="A18" s="159">
        <v>1</v>
      </c>
      <c r="B18" s="255" t="s">
        <v>103</v>
      </c>
      <c r="C18" s="256"/>
      <c r="D18" s="256"/>
      <c r="E18" s="256"/>
      <c r="F18" s="256"/>
      <c r="G18" s="257"/>
      <c r="H18" s="190">
        <v>1</v>
      </c>
      <c r="I18" s="191" t="s">
        <v>67</v>
      </c>
      <c r="J18" s="258">
        <f>IFERROR(LOOKUP(2, 1/(TRIM('내역서(표준단가)'!O4:O100)&lt;&gt;""), '내역서(표준단가)'!O4:O100), "-")</f>
        <v>719091</v>
      </c>
      <c r="K18" s="258"/>
      <c r="L18" s="258"/>
      <c r="M18" s="258"/>
      <c r="N18" s="259"/>
      <c r="O18" s="260"/>
    </row>
    <row r="19" spans="1:17" ht="28.5" customHeight="1" x14ac:dyDescent="0.15">
      <c r="A19" s="160">
        <v>2</v>
      </c>
      <c r="B19" s="238" t="s">
        <v>104</v>
      </c>
      <c r="C19" s="239"/>
      <c r="D19" s="239"/>
      <c r="E19" s="239"/>
      <c r="F19" s="239"/>
      <c r="G19" s="240"/>
      <c r="H19" s="192">
        <v>1</v>
      </c>
      <c r="I19" s="192" t="s">
        <v>67</v>
      </c>
      <c r="J19" s="241">
        <f>IFERROR(LOOKUP(2, 1/(TRIM('내역서(표준단가)'!Q4:Q100)&lt;&gt;""), '내역서(표준단가)'!Q4:Q100), "-")</f>
        <v>162727</v>
      </c>
      <c r="K19" s="242"/>
      <c r="L19" s="242"/>
      <c r="M19" s="243"/>
      <c r="N19" s="244"/>
      <c r="O19" s="245"/>
    </row>
    <row r="20" spans="1:17" ht="28.5" customHeight="1" x14ac:dyDescent="0.15">
      <c r="A20" s="160">
        <v>3</v>
      </c>
      <c r="B20" s="238" t="s">
        <v>105</v>
      </c>
      <c r="C20" s="239"/>
      <c r="D20" s="239"/>
      <c r="E20" s="239"/>
      <c r="F20" s="239"/>
      <c r="G20" s="240"/>
      <c r="H20" s="161">
        <v>1</v>
      </c>
      <c r="I20" s="161" t="s">
        <v>67</v>
      </c>
      <c r="J20" s="246">
        <f>IFERROR(SUM(J21:M29),"-")</f>
        <v>48699.593893425001</v>
      </c>
      <c r="K20" s="247"/>
      <c r="L20" s="247"/>
      <c r="M20" s="248"/>
      <c r="N20" s="249"/>
      <c r="O20" s="250"/>
      <c r="P20" s="162"/>
    </row>
    <row r="21" spans="1:17" ht="28.5" customHeight="1" x14ac:dyDescent="0.15">
      <c r="A21" s="159"/>
      <c r="B21" s="163"/>
      <c r="C21" s="230" t="s">
        <v>106</v>
      </c>
      <c r="D21" s="231"/>
      <c r="E21" s="231"/>
      <c r="F21" s="231"/>
      <c r="G21" s="232"/>
      <c r="H21" s="193">
        <v>1</v>
      </c>
      <c r="I21" s="193" t="s">
        <v>67</v>
      </c>
      <c r="J21" s="233" t="str">
        <f>IFERROR(LOOKUP(2, 1/(TRIM('내역서(표준단가)'!S4:S100)&lt;&gt;""), '내역서(표준단가)'!S4:S100) + LOOKUP(2, 1/(TRIM('내역서(표준단가)'!U4:U100)&lt;&gt;""), '내역서(표준단가)'!U4:U100), "-")</f>
        <v>-</v>
      </c>
      <c r="K21" s="234"/>
      <c r="L21" s="234"/>
      <c r="M21" s="235"/>
      <c r="N21" s="236" t="s">
        <v>107</v>
      </c>
      <c r="O21" s="237"/>
    </row>
    <row r="22" spans="1:17" ht="28.5" customHeight="1" x14ac:dyDescent="0.15">
      <c r="A22" s="159"/>
      <c r="B22" s="163"/>
      <c r="C22" s="224" t="s">
        <v>0</v>
      </c>
      <c r="D22" s="225"/>
      <c r="E22" s="225"/>
      <c r="F22" s="225"/>
      <c r="G22" s="226"/>
      <c r="H22" s="164">
        <v>3.11</v>
      </c>
      <c r="I22" s="164" t="s">
        <v>108</v>
      </c>
      <c r="J22" s="227">
        <f>IFERROR((J18+J19)*H22%,"-")</f>
        <v>27424.539799999999</v>
      </c>
      <c r="K22" s="228"/>
      <c r="L22" s="228"/>
      <c r="M22" s="229"/>
      <c r="N22" s="220" t="s">
        <v>109</v>
      </c>
      <c r="O22" s="221"/>
    </row>
    <row r="23" spans="1:17" ht="28.5" customHeight="1" x14ac:dyDescent="0.15">
      <c r="A23" s="159"/>
      <c r="B23" s="163"/>
      <c r="C23" s="224" t="s">
        <v>110</v>
      </c>
      <c r="D23" s="225"/>
      <c r="E23" s="225"/>
      <c r="F23" s="225"/>
      <c r="G23" s="226"/>
      <c r="H23" s="164">
        <v>3.56</v>
      </c>
      <c r="I23" s="164" t="s">
        <v>111</v>
      </c>
      <c r="J23" s="227">
        <f>IFERROR(J19*H23%,"-")</f>
        <v>5793.0811999999996</v>
      </c>
      <c r="K23" s="228"/>
      <c r="L23" s="228"/>
      <c r="M23" s="229"/>
      <c r="N23" s="220" t="s">
        <v>112</v>
      </c>
      <c r="O23" s="221"/>
    </row>
    <row r="24" spans="1:17" ht="28.5" customHeight="1" x14ac:dyDescent="0.15">
      <c r="A24" s="159"/>
      <c r="B24" s="163"/>
      <c r="C24" s="224" t="s">
        <v>113</v>
      </c>
      <c r="D24" s="225"/>
      <c r="E24" s="225"/>
      <c r="F24" s="225"/>
      <c r="G24" s="226"/>
      <c r="H24" s="164">
        <v>1.01</v>
      </c>
      <c r="I24" s="164" t="s">
        <v>111</v>
      </c>
      <c r="J24" s="227">
        <f>IFERROR(J19*H24%,"-")</f>
        <v>1643.5427</v>
      </c>
      <c r="K24" s="228"/>
      <c r="L24" s="228"/>
      <c r="M24" s="229"/>
      <c r="N24" s="220" t="s">
        <v>114</v>
      </c>
      <c r="O24" s="221"/>
    </row>
    <row r="25" spans="1:17" ht="28.5" customHeight="1" x14ac:dyDescent="0.15">
      <c r="A25" s="159"/>
      <c r="B25" s="163"/>
      <c r="C25" s="224" t="s">
        <v>115</v>
      </c>
      <c r="D25" s="225"/>
      <c r="E25" s="225"/>
      <c r="F25" s="225"/>
      <c r="G25" s="226"/>
      <c r="H25" s="165">
        <v>3.5449999999999999</v>
      </c>
      <c r="I25" s="164" t="s">
        <v>111</v>
      </c>
      <c r="J25" s="227">
        <f>IFERROR(J19*H25%,"-")</f>
        <v>5768.6721500000003</v>
      </c>
      <c r="K25" s="228"/>
      <c r="L25" s="228"/>
      <c r="M25" s="229"/>
      <c r="N25" s="220" t="s">
        <v>116</v>
      </c>
      <c r="O25" s="221"/>
      <c r="Q25" s="162"/>
    </row>
    <row r="26" spans="1:17" ht="28.5" customHeight="1" x14ac:dyDescent="0.15">
      <c r="A26" s="159"/>
      <c r="B26" s="163"/>
      <c r="C26" s="224" t="s">
        <v>117</v>
      </c>
      <c r="D26" s="225"/>
      <c r="E26" s="225"/>
      <c r="F26" s="225"/>
      <c r="G26" s="226"/>
      <c r="H26" s="164">
        <v>4.5</v>
      </c>
      <c r="I26" s="164" t="s">
        <v>111</v>
      </c>
      <c r="J26" s="227">
        <f>IFERROR(J19*H26%,"-")</f>
        <v>7322.7150000000001</v>
      </c>
      <c r="K26" s="228"/>
      <c r="L26" s="228"/>
      <c r="M26" s="229"/>
      <c r="N26" s="220" t="s">
        <v>118</v>
      </c>
      <c r="O26" s="221"/>
      <c r="Q26" s="166"/>
    </row>
    <row r="27" spans="1:17" ht="28.5" customHeight="1" x14ac:dyDescent="0.15">
      <c r="A27" s="159"/>
      <c r="B27" s="163"/>
      <c r="C27" s="214" t="s">
        <v>119</v>
      </c>
      <c r="D27" s="215"/>
      <c r="E27" s="215"/>
      <c r="F27" s="215"/>
      <c r="G27" s="216"/>
      <c r="H27" s="167">
        <v>12.95</v>
      </c>
      <c r="I27" s="168" t="s">
        <v>111</v>
      </c>
      <c r="J27" s="217">
        <f>IFERROR($H$27*J25%,"-")</f>
        <v>747.04304342500006</v>
      </c>
      <c r="K27" s="218"/>
      <c r="L27" s="218"/>
      <c r="M27" s="219"/>
      <c r="N27" s="220" t="s">
        <v>120</v>
      </c>
      <c r="O27" s="221"/>
    </row>
    <row r="28" spans="1:17" ht="28.5" customHeight="1" x14ac:dyDescent="0.15">
      <c r="A28" s="159"/>
      <c r="B28" s="163"/>
      <c r="C28" s="214" t="s">
        <v>121</v>
      </c>
      <c r="D28" s="215"/>
      <c r="E28" s="215"/>
      <c r="F28" s="215"/>
      <c r="G28" s="216"/>
      <c r="H28" s="167">
        <v>8.1000000000000003E-2</v>
      </c>
      <c r="I28" s="168" t="s">
        <v>111</v>
      </c>
      <c r="J28" s="217" t="str">
        <f>IFERROR(IF(SUM(J21:J27,J18:J19)&gt;=10000000,SUM(J21:J27,J18:J19)*H28%,"-"),"-")</f>
        <v>-</v>
      </c>
      <c r="K28" s="218"/>
      <c r="L28" s="218"/>
      <c r="M28" s="219"/>
      <c r="N28" s="222" t="s">
        <v>122</v>
      </c>
      <c r="O28" s="223"/>
    </row>
    <row r="29" spans="1:17" ht="28.5" customHeight="1" x14ac:dyDescent="0.15">
      <c r="A29" s="169"/>
      <c r="B29" s="170"/>
      <c r="C29" s="194" t="s">
        <v>123</v>
      </c>
      <c r="D29" s="195"/>
      <c r="E29" s="195"/>
      <c r="F29" s="195"/>
      <c r="G29" s="196"/>
      <c r="H29" s="171">
        <v>1</v>
      </c>
      <c r="I29" s="172" t="s">
        <v>124</v>
      </c>
      <c r="J29" s="197">
        <f>34*0</f>
        <v>0</v>
      </c>
      <c r="K29" s="198"/>
      <c r="L29" s="198"/>
      <c r="M29" s="199"/>
      <c r="N29" s="200" t="s">
        <v>125</v>
      </c>
      <c r="O29" s="201"/>
    </row>
    <row r="30" spans="1:17" ht="28.5" customHeight="1" x14ac:dyDescent="0.15">
      <c r="A30" s="169">
        <v>4</v>
      </c>
      <c r="B30" s="170"/>
      <c r="C30" s="194" t="s">
        <v>126</v>
      </c>
      <c r="D30" s="195"/>
      <c r="E30" s="195"/>
      <c r="F30" s="195"/>
      <c r="G30" s="196"/>
      <c r="H30" s="172">
        <v>5</v>
      </c>
      <c r="I30" s="173" t="s">
        <v>127</v>
      </c>
      <c r="J30" s="207">
        <f>IFERROR(IF(ISNUMBER(H30), SUM(J18:M20) * (H30 / 100), "-"), "-")</f>
        <v>46525.879694671254</v>
      </c>
      <c r="K30" s="208"/>
      <c r="L30" s="208"/>
      <c r="M30" s="209"/>
      <c r="N30" s="210" t="s">
        <v>128</v>
      </c>
      <c r="O30" s="211"/>
    </row>
    <row r="31" spans="1:17" ht="28.5" customHeight="1" thickBot="1" x14ac:dyDescent="0.2">
      <c r="A31" s="169">
        <v>5</v>
      </c>
      <c r="B31" s="170"/>
      <c r="C31" s="194" t="s">
        <v>129</v>
      </c>
      <c r="D31" s="195"/>
      <c r="E31" s="195"/>
      <c r="F31" s="195"/>
      <c r="G31" s="196"/>
      <c r="H31" s="172">
        <v>7.5</v>
      </c>
      <c r="I31" s="173" t="s">
        <v>111</v>
      </c>
      <c r="J31" s="197">
        <f>IFERROR(SUM(J18:M20, J30) * (H31 / 100), "-")+-102367</f>
        <v>-29088.739480892793</v>
      </c>
      <c r="K31" s="198"/>
      <c r="L31" s="198"/>
      <c r="M31" s="199"/>
      <c r="N31" s="212" t="s">
        <v>130</v>
      </c>
      <c r="O31" s="213"/>
      <c r="Q31" s="174"/>
    </row>
    <row r="32" spans="1:17" ht="28.5" customHeight="1" thickBot="1" x14ac:dyDescent="0.2">
      <c r="A32" s="202" t="s">
        <v>131</v>
      </c>
      <c r="B32" s="203"/>
      <c r="C32" s="203"/>
      <c r="D32" s="203"/>
      <c r="E32" s="203"/>
      <c r="F32" s="203"/>
      <c r="G32" s="203"/>
      <c r="H32" s="203"/>
      <c r="I32" s="204"/>
      <c r="J32" s="175"/>
      <c r="K32" s="176"/>
      <c r="L32" s="176"/>
      <c r="M32" s="177">
        <f>IFERROR(ROUNDDOWN(SUM(J18:M20)+J30+J31,0),"-")</f>
        <v>947954</v>
      </c>
      <c r="N32" s="205"/>
      <c r="O32" s="206"/>
      <c r="P32" s="178"/>
    </row>
    <row r="33" spans="1:15" x14ac:dyDescent="0.15">
      <c r="A33" s="179" t="s">
        <v>132</v>
      </c>
      <c r="B33" s="180"/>
      <c r="C33" s="180"/>
      <c r="D33" s="180"/>
      <c r="E33" s="180"/>
      <c r="F33" s="180"/>
      <c r="G33" s="180"/>
      <c r="H33" s="180"/>
      <c r="I33" s="180"/>
      <c r="J33" s="180"/>
      <c r="K33" s="180"/>
      <c r="L33" s="180"/>
      <c r="M33" s="180"/>
      <c r="N33" s="180"/>
      <c r="O33" s="181"/>
    </row>
    <row r="34" spans="1:15" x14ac:dyDescent="0.15">
      <c r="A34" s="182"/>
      <c r="B34" s="180"/>
      <c r="C34" s="180"/>
      <c r="D34" s="180"/>
      <c r="E34" s="180"/>
      <c r="F34" s="180"/>
      <c r="G34" s="180"/>
      <c r="H34" s="180"/>
      <c r="I34" s="180"/>
      <c r="J34" s="180"/>
      <c r="K34" s="180"/>
      <c r="L34" s="180"/>
      <c r="M34" s="180"/>
      <c r="N34" s="180"/>
      <c r="O34" s="181"/>
    </row>
    <row r="35" spans="1:15" x14ac:dyDescent="0.15">
      <c r="A35" s="182"/>
      <c r="B35" s="180"/>
      <c r="C35" s="180"/>
      <c r="D35" s="180"/>
      <c r="E35" s="180"/>
      <c r="F35" s="180"/>
      <c r="G35" s="180"/>
      <c r="H35" s="180"/>
      <c r="I35" s="180"/>
      <c r="J35" s="180"/>
      <c r="K35" s="180"/>
      <c r="L35" s="180"/>
      <c r="M35" s="180"/>
      <c r="N35" s="180"/>
      <c r="O35" s="181"/>
    </row>
    <row r="36" spans="1:15" x14ac:dyDescent="0.15">
      <c r="A36" s="182"/>
      <c r="B36" s="180"/>
      <c r="C36" s="180"/>
      <c r="D36" s="180"/>
      <c r="E36" s="180"/>
      <c r="F36" s="180"/>
      <c r="G36" s="180"/>
      <c r="H36" s="180"/>
      <c r="I36" s="180"/>
      <c r="J36" s="180"/>
      <c r="K36" s="180"/>
      <c r="L36" s="180"/>
      <c r="M36" s="180"/>
      <c r="N36" s="180"/>
      <c r="O36" s="181"/>
    </row>
    <row r="37" spans="1:15" ht="15.75" x14ac:dyDescent="0.15">
      <c r="A37" s="182"/>
      <c r="B37" s="183"/>
      <c r="C37" s="183"/>
      <c r="D37" s="183"/>
      <c r="E37" s="183"/>
      <c r="F37" s="183"/>
      <c r="G37" s="183"/>
      <c r="H37" s="183"/>
      <c r="I37" s="183"/>
      <c r="J37" s="183"/>
      <c r="K37" s="183"/>
      <c r="L37" s="183"/>
      <c r="M37" s="183"/>
      <c r="N37" s="183"/>
      <c r="O37" s="184"/>
    </row>
    <row r="38" spans="1:15" ht="15.75" x14ac:dyDescent="0.15">
      <c r="A38" s="182"/>
      <c r="B38" s="183"/>
      <c r="C38" s="183"/>
      <c r="D38" s="183"/>
      <c r="E38" s="183"/>
      <c r="F38" s="183"/>
      <c r="G38" s="183"/>
      <c r="H38" s="183"/>
      <c r="I38" s="183"/>
      <c r="J38" s="183"/>
      <c r="K38" s="183"/>
      <c r="L38" s="183"/>
      <c r="M38" s="183"/>
      <c r="N38" s="183"/>
      <c r="O38" s="184"/>
    </row>
    <row r="39" spans="1:15" ht="15.75" x14ac:dyDescent="0.15">
      <c r="A39" s="182"/>
      <c r="B39" s="183"/>
      <c r="C39" s="183"/>
      <c r="D39" s="183"/>
      <c r="E39" s="183"/>
      <c r="F39" s="183"/>
      <c r="G39" s="183"/>
      <c r="H39" s="183"/>
      <c r="I39" s="183"/>
      <c r="J39" s="183"/>
      <c r="K39" s="183"/>
      <c r="L39" s="183"/>
      <c r="M39" s="183"/>
      <c r="N39" s="183"/>
      <c r="O39" s="184"/>
    </row>
    <row r="40" spans="1:15" ht="15" thickBot="1" x14ac:dyDescent="0.2">
      <c r="A40" s="185"/>
      <c r="B40" s="186"/>
      <c r="C40" s="186"/>
      <c r="D40" s="186"/>
      <c r="E40" s="186"/>
      <c r="F40" s="186"/>
      <c r="G40" s="186"/>
      <c r="H40" s="186"/>
      <c r="I40" s="186"/>
      <c r="J40" s="186"/>
      <c r="K40" s="186"/>
      <c r="L40" s="186"/>
      <c r="M40" s="186"/>
      <c r="N40" s="186"/>
      <c r="O40" s="187"/>
    </row>
    <row r="42" spans="1:15" x14ac:dyDescent="0.15">
      <c r="M42" s="174"/>
    </row>
    <row r="43" spans="1:15" x14ac:dyDescent="0.15">
      <c r="M43" s="17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3"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BA33-0748-40E7-A8CC-4FE356AA12EF}">
  <sheetPr>
    <tabColor rgb="FF0000FF"/>
  </sheetPr>
  <dimension ref="J1:V24"/>
  <sheetViews>
    <sheetView view="pageBreakPreview" zoomScaleNormal="100" zoomScaleSheetLayoutView="100" workbookViewId="0">
      <pane xSplit="12" ySplit="3" topLeftCell="M4" activePane="bottomRight" state="frozen"/>
      <selection pane="topRight" activeCell="D1" sqref="D1"/>
      <selection pane="bottomLeft" activeCell="A3" sqref="A3"/>
      <selection pane="bottomRight" activeCell="Q11" sqref="Q11"/>
    </sheetView>
  </sheetViews>
  <sheetFormatPr defaultRowHeight="20.100000000000001" customHeight="1" x14ac:dyDescent="0.15"/>
  <cols>
    <col min="1" max="9" width="0" style="5" hidden="1" customWidth="1"/>
    <col min="10" max="10" width="18.109375" style="5" customWidth="1"/>
    <col min="11" max="11" width="24.77734375" style="2" customWidth="1"/>
    <col min="12" max="12" width="6.77734375" style="2" customWidth="1"/>
    <col min="13" max="13" width="5.33203125" style="3" bestFit="1" customWidth="1"/>
    <col min="14" max="14" width="11.33203125" style="4" customWidth="1"/>
    <col min="15" max="15" width="9.5546875" style="4" customWidth="1"/>
    <col min="16" max="16" width="8.44140625" style="4" customWidth="1"/>
    <col min="17" max="17" width="11.109375" style="4" customWidth="1"/>
    <col min="18" max="18" width="10.77734375" style="4" customWidth="1"/>
    <col min="19" max="19" width="38.77734375" style="5" bestFit="1" customWidth="1"/>
    <col min="20" max="20" width="9.33203125" style="5" bestFit="1" customWidth="1"/>
    <col min="21" max="23" width="8.88671875" style="5" customWidth="1"/>
    <col min="24" max="16384" width="8.88671875" style="5"/>
  </cols>
  <sheetData>
    <row r="1" spans="10:22" ht="20.100000000000001" customHeight="1" x14ac:dyDescent="0.15">
      <c r="J1" s="1" t="s">
        <v>3</v>
      </c>
    </row>
    <row r="2" spans="10:22" s="6" customFormat="1" ht="27.95" customHeight="1" x14ac:dyDescent="0.15">
      <c r="J2" s="301" t="s">
        <v>5</v>
      </c>
      <c r="K2" s="301" t="s">
        <v>6</v>
      </c>
      <c r="L2" s="301" t="s">
        <v>7</v>
      </c>
      <c r="M2" s="304" t="s">
        <v>8</v>
      </c>
      <c r="N2" s="306" t="s">
        <v>12</v>
      </c>
      <c r="O2" s="307"/>
      <c r="P2" s="306" t="s">
        <v>11</v>
      </c>
      <c r="Q2" s="307"/>
      <c r="R2" s="299" t="s">
        <v>13</v>
      </c>
      <c r="S2" s="301" t="s">
        <v>14</v>
      </c>
    </row>
    <row r="3" spans="10:22" s="6" customFormat="1" ht="27.95" customHeight="1" x14ac:dyDescent="0.15">
      <c r="J3" s="303"/>
      <c r="K3" s="303"/>
      <c r="L3" s="303"/>
      <c r="M3" s="305"/>
      <c r="N3" s="7" t="s">
        <v>9</v>
      </c>
      <c r="O3" s="7" t="s">
        <v>10</v>
      </c>
      <c r="P3" s="7" t="s">
        <v>9</v>
      </c>
      <c r="Q3" s="7" t="s">
        <v>10</v>
      </c>
      <c r="R3" s="300"/>
      <c r="S3" s="302"/>
    </row>
    <row r="4" spans="10:22" ht="24" customHeight="1" x14ac:dyDescent="0.15">
      <c r="J4" s="8" t="e">
        <f>#REF!</f>
        <v>#REF!</v>
      </c>
      <c r="K4" s="9"/>
      <c r="L4" s="10"/>
      <c r="M4" s="11"/>
      <c r="N4" s="11"/>
      <c r="O4" s="12"/>
      <c r="P4" s="13"/>
      <c r="Q4" s="14"/>
      <c r="R4" s="17"/>
      <c r="S4" s="35"/>
    </row>
    <row r="5" spans="10:22" ht="30" customHeight="1" x14ac:dyDescent="0.15">
      <c r="J5" s="31" t="str">
        <f>을지!B19</f>
        <v>실외기 PCB</v>
      </c>
      <c r="K5" s="32" t="s">
        <v>54</v>
      </c>
      <c r="L5" s="30" t="s">
        <v>4</v>
      </c>
      <c r="M5" s="34">
        <v>1</v>
      </c>
      <c r="N5" s="15">
        <f>을지!D19</f>
        <v>572727</v>
      </c>
      <c r="O5" s="12">
        <f>N5*M5</f>
        <v>572727</v>
      </c>
      <c r="P5" s="16">
        <v>0</v>
      </c>
      <c r="Q5" s="14">
        <f>M5*P5</f>
        <v>0</v>
      </c>
      <c r="R5" s="14">
        <f t="shared" ref="R5:R11" si="0">O5+Q5</f>
        <v>572727</v>
      </c>
      <c r="S5" s="78"/>
      <c r="V5" s="33"/>
    </row>
    <row r="6" spans="10:22" ht="30" customHeight="1" x14ac:dyDescent="0.15">
      <c r="J6" s="31" t="str">
        <f>을지!B20</f>
        <v>실외기 모터</v>
      </c>
      <c r="K6" s="32" t="s">
        <v>55</v>
      </c>
      <c r="L6" s="30" t="s">
        <v>53</v>
      </c>
      <c r="M6" s="34">
        <v>1</v>
      </c>
      <c r="N6" s="15">
        <f>을지!D20</f>
        <v>146364</v>
      </c>
      <c r="O6" s="12">
        <f>N6*M6</f>
        <v>146364</v>
      </c>
      <c r="P6" s="16">
        <v>0</v>
      </c>
      <c r="Q6" s="14">
        <f>M6*P6</f>
        <v>0</v>
      </c>
      <c r="R6" s="14">
        <f t="shared" si="0"/>
        <v>146364</v>
      </c>
      <c r="S6" s="78"/>
      <c r="V6" s="33"/>
    </row>
    <row r="7" spans="10:22" ht="30" customHeight="1" x14ac:dyDescent="0.15">
      <c r="J7" s="31" t="str">
        <f>을지!B21</f>
        <v>공임비</v>
      </c>
      <c r="K7" s="32" t="s">
        <v>56</v>
      </c>
      <c r="L7" s="30" t="s">
        <v>4</v>
      </c>
      <c r="M7" s="34">
        <v>1</v>
      </c>
      <c r="N7" s="15">
        <f>을지!D24/1.1</f>
        <v>0</v>
      </c>
      <c r="O7" s="12">
        <f>N7*M7</f>
        <v>0</v>
      </c>
      <c r="P7" s="16">
        <f>을지!D21</f>
        <v>162727</v>
      </c>
      <c r="Q7" s="14">
        <f>M7*P7</f>
        <v>162727</v>
      </c>
      <c r="R7" s="14">
        <f t="shared" si="0"/>
        <v>162727</v>
      </c>
      <c r="S7" s="78"/>
      <c r="V7" s="33"/>
    </row>
    <row r="8" spans="10:22" ht="30" customHeight="1" x14ac:dyDescent="0.15">
      <c r="J8" s="31"/>
      <c r="K8" s="32"/>
      <c r="L8" s="30"/>
      <c r="M8" s="34"/>
      <c r="N8" s="15"/>
      <c r="O8" s="12"/>
      <c r="P8" s="16"/>
      <c r="Q8" s="14"/>
      <c r="R8" s="14"/>
      <c r="S8" s="78"/>
      <c r="V8" s="33"/>
    </row>
    <row r="9" spans="10:22" ht="30" customHeight="1" x14ac:dyDescent="0.15">
      <c r="J9" s="31"/>
      <c r="K9" s="32"/>
      <c r="L9" s="30"/>
      <c r="M9" s="34"/>
      <c r="N9" s="15"/>
      <c r="O9" s="12"/>
      <c r="P9" s="16"/>
      <c r="Q9" s="14"/>
      <c r="R9" s="14"/>
      <c r="S9" s="78"/>
      <c r="V9" s="33"/>
    </row>
    <row r="10" spans="10:22" ht="30" customHeight="1" x14ac:dyDescent="0.15">
      <c r="J10" s="31"/>
      <c r="K10" s="32"/>
      <c r="L10" s="30"/>
      <c r="M10" s="34"/>
      <c r="N10" s="15"/>
      <c r="O10" s="12"/>
      <c r="P10" s="16"/>
      <c r="Q10" s="14"/>
      <c r="R10" s="14"/>
      <c r="S10" s="78"/>
      <c r="V10" s="33"/>
    </row>
    <row r="11" spans="10:22" s="2" customFormat="1" ht="24" customHeight="1" x14ac:dyDescent="0.15">
      <c r="J11" s="18" t="s">
        <v>2</v>
      </c>
      <c r="K11" s="18"/>
      <c r="L11" s="19"/>
      <c r="M11" s="20"/>
      <c r="N11" s="21"/>
      <c r="O11" s="114">
        <f>SUM(O4:O10)</f>
        <v>719091</v>
      </c>
      <c r="P11" s="22"/>
      <c r="Q11" s="22">
        <f>SUM(Q4:Q10)</f>
        <v>162727</v>
      </c>
      <c r="R11" s="22">
        <f t="shared" si="0"/>
        <v>881818</v>
      </c>
      <c r="S11" s="23"/>
    </row>
    <row r="12" spans="10:22" ht="20.100000000000001" customHeight="1" x14ac:dyDescent="0.15">
      <c r="J12" s="24"/>
      <c r="K12" s="25"/>
      <c r="L12" s="25"/>
      <c r="M12" s="26"/>
      <c r="N12" s="27"/>
      <c r="O12" s="27"/>
      <c r="P12" s="27"/>
      <c r="Q12" s="27"/>
      <c r="R12" s="27"/>
      <c r="S12" s="24"/>
    </row>
    <row r="13" spans="10:22" ht="20.100000000000001" customHeight="1" x14ac:dyDescent="0.15">
      <c r="M13" s="28"/>
      <c r="N13" s="29"/>
      <c r="O13" s="29"/>
      <c r="P13" s="29"/>
      <c r="Q13" s="29"/>
      <c r="R13" s="29"/>
    </row>
    <row r="14" spans="10:22" ht="20.100000000000001" customHeight="1" x14ac:dyDescent="0.15">
      <c r="M14" s="28"/>
      <c r="N14" s="29"/>
      <c r="O14" s="29"/>
      <c r="P14" s="29"/>
      <c r="Q14" s="29"/>
      <c r="R14" s="29"/>
    </row>
    <row r="15" spans="10:22" ht="20.100000000000001" customHeight="1" x14ac:dyDescent="0.15">
      <c r="M15" s="28"/>
      <c r="N15" s="29"/>
      <c r="O15" s="29"/>
      <c r="P15" s="29"/>
      <c r="Q15" s="29"/>
      <c r="R15" s="29"/>
    </row>
    <row r="16" spans="10:22" ht="20.100000000000001" customHeight="1" x14ac:dyDescent="0.15">
      <c r="M16" s="28"/>
      <c r="N16" s="29"/>
      <c r="O16" s="29"/>
      <c r="P16" s="29"/>
      <c r="Q16" s="29"/>
      <c r="R16" s="29"/>
    </row>
    <row r="17" spans="13:18" ht="20.100000000000001" customHeight="1" x14ac:dyDescent="0.15">
      <c r="M17" s="28"/>
      <c r="N17" s="29"/>
      <c r="O17" s="29"/>
      <c r="P17" s="29"/>
      <c r="Q17" s="29"/>
      <c r="R17" s="29"/>
    </row>
    <row r="18" spans="13:18" ht="20.100000000000001" customHeight="1" x14ac:dyDescent="0.15">
      <c r="M18" s="28"/>
      <c r="N18" s="29"/>
      <c r="O18" s="29"/>
      <c r="P18" s="29"/>
      <c r="Q18" s="29"/>
      <c r="R18" s="29"/>
    </row>
    <row r="19" spans="13:18" ht="20.100000000000001" customHeight="1" x14ac:dyDescent="0.15">
      <c r="M19" s="28"/>
      <c r="N19" s="29"/>
      <c r="O19" s="29"/>
      <c r="P19" s="29"/>
      <c r="Q19" s="29"/>
      <c r="R19" s="29"/>
    </row>
    <row r="20" spans="13:18" ht="20.100000000000001" customHeight="1" x14ac:dyDescent="0.15">
      <c r="M20" s="28"/>
      <c r="N20" s="29"/>
      <c r="O20" s="29"/>
      <c r="P20" s="29"/>
      <c r="Q20" s="29"/>
      <c r="R20" s="29"/>
    </row>
    <row r="21" spans="13:18" ht="20.100000000000001" customHeight="1" x14ac:dyDescent="0.15">
      <c r="M21" s="28"/>
      <c r="N21" s="29"/>
      <c r="O21" s="29"/>
      <c r="P21" s="29"/>
      <c r="Q21" s="29"/>
      <c r="R21" s="29"/>
    </row>
    <row r="22" spans="13:18" ht="20.100000000000001" customHeight="1" x14ac:dyDescent="0.15">
      <c r="M22" s="28"/>
      <c r="N22" s="29"/>
      <c r="O22" s="29"/>
      <c r="P22" s="29"/>
      <c r="Q22" s="29"/>
      <c r="R22" s="29"/>
    </row>
    <row r="23" spans="13:18" ht="20.100000000000001" customHeight="1" x14ac:dyDescent="0.15">
      <c r="M23" s="28"/>
      <c r="N23" s="29"/>
      <c r="O23" s="29"/>
      <c r="P23" s="29"/>
      <c r="Q23" s="29"/>
      <c r="R23" s="29"/>
    </row>
    <row r="24" spans="13:18" ht="20.100000000000001" customHeight="1" x14ac:dyDescent="0.15">
      <c r="M24" s="28"/>
      <c r="N24" s="29"/>
      <c r="O24" s="29"/>
      <c r="P24" s="29"/>
      <c r="Q24" s="29"/>
      <c r="R24" s="29"/>
    </row>
  </sheetData>
  <mergeCells count="8">
    <mergeCell ref="R2:R3"/>
    <mergeCell ref="S2:S3"/>
    <mergeCell ref="J2:J3"/>
    <mergeCell ref="K2:K3"/>
    <mergeCell ref="L2:L3"/>
    <mergeCell ref="M2:M3"/>
    <mergeCell ref="N2:O2"/>
    <mergeCell ref="P2:Q2"/>
  </mergeCells>
  <phoneticPr fontId="3" type="noConversion"/>
  <printOptions horizontalCentered="1"/>
  <pageMargins left="0.39370078740157483" right="0.51181102362204722" top="0.31496062992125984" bottom="0.23622047244094491" header="0.23622047244094491" footer="0.11811023622047245"/>
  <pageSetup paperSize="9" scale="54" orientation="portrait" r:id="rId1"/>
  <headerFooter alignWithMargins="0">
    <oddFooter>&amp;C&amp;"돋움체,보통"&amp;9&amp;P&amp;R&amp;"돋움체,보통"&amp;9A4(210*297)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0963-EF08-4474-A55E-B9DA4EFF5AA0}">
  <dimension ref="A1:O42"/>
  <sheetViews>
    <sheetView view="pageBreakPreview" topLeftCell="A18" zoomScale="70" zoomScaleNormal="100" zoomScaleSheetLayoutView="70" workbookViewId="0">
      <selection activeCell="N23" sqref="N23"/>
    </sheetView>
  </sheetViews>
  <sheetFormatPr defaultRowHeight="16.5" x14ac:dyDescent="0.15"/>
  <cols>
    <col min="1" max="1" width="8.5546875" style="342" customWidth="1"/>
    <col min="2" max="2" width="6.5546875" style="342" customWidth="1"/>
    <col min="3" max="3" width="11" style="342" customWidth="1"/>
    <col min="4" max="4" width="9.109375" style="342" customWidth="1"/>
    <col min="5" max="5" width="11" style="342" customWidth="1"/>
    <col min="6" max="6" width="15.6640625" style="342" customWidth="1"/>
    <col min="7" max="7" width="10.5546875" style="342" customWidth="1"/>
    <col min="8" max="10" width="8.77734375" style="342" customWidth="1"/>
    <col min="11" max="11" width="7.5546875" style="342" customWidth="1"/>
    <col min="12" max="13" width="9.109375" style="342" customWidth="1"/>
    <col min="14" max="14" width="8.88671875" style="342"/>
    <col min="15" max="15" width="13.33203125" style="342" bestFit="1" customWidth="1"/>
    <col min="16" max="256" width="8.88671875" style="342"/>
    <col min="257" max="257" width="8.5546875" style="342" customWidth="1"/>
    <col min="258" max="258" width="6.5546875" style="342" customWidth="1"/>
    <col min="259" max="259" width="11" style="342" customWidth="1"/>
    <col min="260" max="260" width="9.109375" style="342" customWidth="1"/>
    <col min="261" max="261" width="11" style="342" customWidth="1"/>
    <col min="262" max="262" width="15.6640625" style="342" customWidth="1"/>
    <col min="263" max="263" width="10.5546875" style="342" customWidth="1"/>
    <col min="264" max="266" width="8.77734375" style="342" customWidth="1"/>
    <col min="267" max="267" width="7.5546875" style="342" customWidth="1"/>
    <col min="268" max="269" width="9.109375" style="342" customWidth="1"/>
    <col min="270" max="270" width="8.88671875" style="342"/>
    <col min="271" max="271" width="13.33203125" style="342" bestFit="1" customWidth="1"/>
    <col min="272" max="512" width="8.88671875" style="342"/>
    <col min="513" max="513" width="8.5546875" style="342" customWidth="1"/>
    <col min="514" max="514" width="6.5546875" style="342" customWidth="1"/>
    <col min="515" max="515" width="11" style="342" customWidth="1"/>
    <col min="516" max="516" width="9.109375" style="342" customWidth="1"/>
    <col min="517" max="517" width="11" style="342" customWidth="1"/>
    <col min="518" max="518" width="15.6640625" style="342" customWidth="1"/>
    <col min="519" max="519" width="10.5546875" style="342" customWidth="1"/>
    <col min="520" max="522" width="8.77734375" style="342" customWidth="1"/>
    <col min="523" max="523" width="7.5546875" style="342" customWidth="1"/>
    <col min="524" max="525" width="9.109375" style="342" customWidth="1"/>
    <col min="526" max="526" width="8.88671875" style="342"/>
    <col min="527" max="527" width="13.33203125" style="342" bestFit="1" customWidth="1"/>
    <col min="528" max="768" width="8.88671875" style="342"/>
    <col min="769" max="769" width="8.5546875" style="342" customWidth="1"/>
    <col min="770" max="770" width="6.5546875" style="342" customWidth="1"/>
    <col min="771" max="771" width="11" style="342" customWidth="1"/>
    <col min="772" max="772" width="9.109375" style="342" customWidth="1"/>
    <col min="773" max="773" width="11" style="342" customWidth="1"/>
    <col min="774" max="774" width="15.6640625" style="342" customWidth="1"/>
    <col min="775" max="775" width="10.5546875" style="342" customWidth="1"/>
    <col min="776" max="778" width="8.77734375" style="342" customWidth="1"/>
    <col min="779" max="779" width="7.5546875" style="342" customWidth="1"/>
    <col min="780" max="781" width="9.109375" style="342" customWidth="1"/>
    <col min="782" max="782" width="8.88671875" style="342"/>
    <col min="783" max="783" width="13.33203125" style="342" bestFit="1" customWidth="1"/>
    <col min="784" max="1024" width="8.88671875" style="342"/>
    <col min="1025" max="1025" width="8.5546875" style="342" customWidth="1"/>
    <col min="1026" max="1026" width="6.5546875" style="342" customWidth="1"/>
    <col min="1027" max="1027" width="11" style="342" customWidth="1"/>
    <col min="1028" max="1028" width="9.109375" style="342" customWidth="1"/>
    <col min="1029" max="1029" width="11" style="342" customWidth="1"/>
    <col min="1030" max="1030" width="15.6640625" style="342" customWidth="1"/>
    <col min="1031" max="1031" width="10.5546875" style="342" customWidth="1"/>
    <col min="1032" max="1034" width="8.77734375" style="342" customWidth="1"/>
    <col min="1035" max="1035" width="7.5546875" style="342" customWidth="1"/>
    <col min="1036" max="1037" width="9.109375" style="342" customWidth="1"/>
    <col min="1038" max="1038" width="8.88671875" style="342"/>
    <col min="1039" max="1039" width="13.33203125" style="342" bestFit="1" customWidth="1"/>
    <col min="1040" max="1280" width="8.88671875" style="342"/>
    <col min="1281" max="1281" width="8.5546875" style="342" customWidth="1"/>
    <col min="1282" max="1282" width="6.5546875" style="342" customWidth="1"/>
    <col min="1283" max="1283" width="11" style="342" customWidth="1"/>
    <col min="1284" max="1284" width="9.109375" style="342" customWidth="1"/>
    <col min="1285" max="1285" width="11" style="342" customWidth="1"/>
    <col min="1286" max="1286" width="15.6640625" style="342" customWidth="1"/>
    <col min="1287" max="1287" width="10.5546875" style="342" customWidth="1"/>
    <col min="1288" max="1290" width="8.77734375" style="342" customWidth="1"/>
    <col min="1291" max="1291" width="7.5546875" style="342" customWidth="1"/>
    <col min="1292" max="1293" width="9.109375" style="342" customWidth="1"/>
    <col min="1294" max="1294" width="8.88671875" style="342"/>
    <col min="1295" max="1295" width="13.33203125" style="342" bestFit="1" customWidth="1"/>
    <col min="1296" max="1536" width="8.88671875" style="342"/>
    <col min="1537" max="1537" width="8.5546875" style="342" customWidth="1"/>
    <col min="1538" max="1538" width="6.5546875" style="342" customWidth="1"/>
    <col min="1539" max="1539" width="11" style="342" customWidth="1"/>
    <col min="1540" max="1540" width="9.109375" style="342" customWidth="1"/>
    <col min="1541" max="1541" width="11" style="342" customWidth="1"/>
    <col min="1542" max="1542" width="15.6640625" style="342" customWidth="1"/>
    <col min="1543" max="1543" width="10.5546875" style="342" customWidth="1"/>
    <col min="1544" max="1546" width="8.77734375" style="342" customWidth="1"/>
    <col min="1547" max="1547" width="7.5546875" style="342" customWidth="1"/>
    <col min="1548" max="1549" width="9.109375" style="342" customWidth="1"/>
    <col min="1550" max="1550" width="8.88671875" style="342"/>
    <col min="1551" max="1551" width="13.33203125" style="342" bestFit="1" customWidth="1"/>
    <col min="1552" max="1792" width="8.88671875" style="342"/>
    <col min="1793" max="1793" width="8.5546875" style="342" customWidth="1"/>
    <col min="1794" max="1794" width="6.5546875" style="342" customWidth="1"/>
    <col min="1795" max="1795" width="11" style="342" customWidth="1"/>
    <col min="1796" max="1796" width="9.109375" style="342" customWidth="1"/>
    <col min="1797" max="1797" width="11" style="342" customWidth="1"/>
    <col min="1798" max="1798" width="15.6640625" style="342" customWidth="1"/>
    <col min="1799" max="1799" width="10.5546875" style="342" customWidth="1"/>
    <col min="1800" max="1802" width="8.77734375" style="342" customWidth="1"/>
    <col min="1803" max="1803" width="7.5546875" style="342" customWidth="1"/>
    <col min="1804" max="1805" width="9.109375" style="342" customWidth="1"/>
    <col min="1806" max="1806" width="8.88671875" style="342"/>
    <col min="1807" max="1807" width="13.33203125" style="342" bestFit="1" customWidth="1"/>
    <col min="1808" max="2048" width="8.88671875" style="342"/>
    <col min="2049" max="2049" width="8.5546875" style="342" customWidth="1"/>
    <col min="2050" max="2050" width="6.5546875" style="342" customWidth="1"/>
    <col min="2051" max="2051" width="11" style="342" customWidth="1"/>
    <col min="2052" max="2052" width="9.109375" style="342" customWidth="1"/>
    <col min="2053" max="2053" width="11" style="342" customWidth="1"/>
    <col min="2054" max="2054" width="15.6640625" style="342" customWidth="1"/>
    <col min="2055" max="2055" width="10.5546875" style="342" customWidth="1"/>
    <col min="2056" max="2058" width="8.77734375" style="342" customWidth="1"/>
    <col min="2059" max="2059" width="7.5546875" style="342" customWidth="1"/>
    <col min="2060" max="2061" width="9.109375" style="342" customWidth="1"/>
    <col min="2062" max="2062" width="8.88671875" style="342"/>
    <col min="2063" max="2063" width="13.33203125" style="342" bestFit="1" customWidth="1"/>
    <col min="2064" max="2304" width="8.88671875" style="342"/>
    <col min="2305" max="2305" width="8.5546875" style="342" customWidth="1"/>
    <col min="2306" max="2306" width="6.5546875" style="342" customWidth="1"/>
    <col min="2307" max="2307" width="11" style="342" customWidth="1"/>
    <col min="2308" max="2308" width="9.109375" style="342" customWidth="1"/>
    <col min="2309" max="2309" width="11" style="342" customWidth="1"/>
    <col min="2310" max="2310" width="15.6640625" style="342" customWidth="1"/>
    <col min="2311" max="2311" width="10.5546875" style="342" customWidth="1"/>
    <col min="2312" max="2314" width="8.77734375" style="342" customWidth="1"/>
    <col min="2315" max="2315" width="7.5546875" style="342" customWidth="1"/>
    <col min="2316" max="2317" width="9.109375" style="342" customWidth="1"/>
    <col min="2318" max="2318" width="8.88671875" style="342"/>
    <col min="2319" max="2319" width="13.33203125" style="342" bestFit="1" customWidth="1"/>
    <col min="2320" max="2560" width="8.88671875" style="342"/>
    <col min="2561" max="2561" width="8.5546875" style="342" customWidth="1"/>
    <col min="2562" max="2562" width="6.5546875" style="342" customWidth="1"/>
    <col min="2563" max="2563" width="11" style="342" customWidth="1"/>
    <col min="2564" max="2564" width="9.109375" style="342" customWidth="1"/>
    <col min="2565" max="2565" width="11" style="342" customWidth="1"/>
    <col min="2566" max="2566" width="15.6640625" style="342" customWidth="1"/>
    <col min="2567" max="2567" width="10.5546875" style="342" customWidth="1"/>
    <col min="2568" max="2570" width="8.77734375" style="342" customWidth="1"/>
    <col min="2571" max="2571" width="7.5546875" style="342" customWidth="1"/>
    <col min="2572" max="2573" width="9.109375" style="342" customWidth="1"/>
    <col min="2574" max="2574" width="8.88671875" style="342"/>
    <col min="2575" max="2575" width="13.33203125" style="342" bestFit="1" customWidth="1"/>
    <col min="2576" max="2816" width="8.88671875" style="342"/>
    <col min="2817" max="2817" width="8.5546875" style="342" customWidth="1"/>
    <col min="2818" max="2818" width="6.5546875" style="342" customWidth="1"/>
    <col min="2819" max="2819" width="11" style="342" customWidth="1"/>
    <col min="2820" max="2820" width="9.109375" style="342" customWidth="1"/>
    <col min="2821" max="2821" width="11" style="342" customWidth="1"/>
    <col min="2822" max="2822" width="15.6640625" style="342" customWidth="1"/>
    <col min="2823" max="2823" width="10.5546875" style="342" customWidth="1"/>
    <col min="2824" max="2826" width="8.77734375" style="342" customWidth="1"/>
    <col min="2827" max="2827" width="7.5546875" style="342" customWidth="1"/>
    <col min="2828" max="2829" width="9.109375" style="342" customWidth="1"/>
    <col min="2830" max="2830" width="8.88671875" style="342"/>
    <col min="2831" max="2831" width="13.33203125" style="342" bestFit="1" customWidth="1"/>
    <col min="2832" max="3072" width="8.88671875" style="342"/>
    <col min="3073" max="3073" width="8.5546875" style="342" customWidth="1"/>
    <col min="3074" max="3074" width="6.5546875" style="342" customWidth="1"/>
    <col min="3075" max="3075" width="11" style="342" customWidth="1"/>
    <col min="3076" max="3076" width="9.109375" style="342" customWidth="1"/>
    <col min="3077" max="3077" width="11" style="342" customWidth="1"/>
    <col min="3078" max="3078" width="15.6640625" style="342" customWidth="1"/>
    <col min="3079" max="3079" width="10.5546875" style="342" customWidth="1"/>
    <col min="3080" max="3082" width="8.77734375" style="342" customWidth="1"/>
    <col min="3083" max="3083" width="7.5546875" style="342" customWidth="1"/>
    <col min="3084" max="3085" width="9.109375" style="342" customWidth="1"/>
    <col min="3086" max="3086" width="8.88671875" style="342"/>
    <col min="3087" max="3087" width="13.33203125" style="342" bestFit="1" customWidth="1"/>
    <col min="3088" max="3328" width="8.88671875" style="342"/>
    <col min="3329" max="3329" width="8.5546875" style="342" customWidth="1"/>
    <col min="3330" max="3330" width="6.5546875" style="342" customWidth="1"/>
    <col min="3331" max="3331" width="11" style="342" customWidth="1"/>
    <col min="3332" max="3332" width="9.109375" style="342" customWidth="1"/>
    <col min="3333" max="3333" width="11" style="342" customWidth="1"/>
    <col min="3334" max="3334" width="15.6640625" style="342" customWidth="1"/>
    <col min="3335" max="3335" width="10.5546875" style="342" customWidth="1"/>
    <col min="3336" max="3338" width="8.77734375" style="342" customWidth="1"/>
    <col min="3339" max="3339" width="7.5546875" style="342" customWidth="1"/>
    <col min="3340" max="3341" width="9.109375" style="342" customWidth="1"/>
    <col min="3342" max="3342" width="8.88671875" style="342"/>
    <col min="3343" max="3343" width="13.33203125" style="342" bestFit="1" customWidth="1"/>
    <col min="3344" max="3584" width="8.88671875" style="342"/>
    <col min="3585" max="3585" width="8.5546875" style="342" customWidth="1"/>
    <col min="3586" max="3586" width="6.5546875" style="342" customWidth="1"/>
    <col min="3587" max="3587" width="11" style="342" customWidth="1"/>
    <col min="3588" max="3588" width="9.109375" style="342" customWidth="1"/>
    <col min="3589" max="3589" width="11" style="342" customWidth="1"/>
    <col min="3590" max="3590" width="15.6640625" style="342" customWidth="1"/>
    <col min="3591" max="3591" width="10.5546875" style="342" customWidth="1"/>
    <col min="3592" max="3594" width="8.77734375" style="342" customWidth="1"/>
    <col min="3595" max="3595" width="7.5546875" style="342" customWidth="1"/>
    <col min="3596" max="3597" width="9.109375" style="342" customWidth="1"/>
    <col min="3598" max="3598" width="8.88671875" style="342"/>
    <col min="3599" max="3599" width="13.33203125" style="342" bestFit="1" customWidth="1"/>
    <col min="3600" max="3840" width="8.88671875" style="342"/>
    <col min="3841" max="3841" width="8.5546875" style="342" customWidth="1"/>
    <col min="3842" max="3842" width="6.5546875" style="342" customWidth="1"/>
    <col min="3843" max="3843" width="11" style="342" customWidth="1"/>
    <col min="3844" max="3844" width="9.109375" style="342" customWidth="1"/>
    <col min="3845" max="3845" width="11" style="342" customWidth="1"/>
    <col min="3846" max="3846" width="15.6640625" style="342" customWidth="1"/>
    <col min="3847" max="3847" width="10.5546875" style="342" customWidth="1"/>
    <col min="3848" max="3850" width="8.77734375" style="342" customWidth="1"/>
    <col min="3851" max="3851" width="7.5546875" style="342" customWidth="1"/>
    <col min="3852" max="3853" width="9.109375" style="342" customWidth="1"/>
    <col min="3854" max="3854" width="8.88671875" style="342"/>
    <col min="3855" max="3855" width="13.33203125" style="342" bestFit="1" customWidth="1"/>
    <col min="3856" max="4096" width="8.88671875" style="342"/>
    <col min="4097" max="4097" width="8.5546875" style="342" customWidth="1"/>
    <col min="4098" max="4098" width="6.5546875" style="342" customWidth="1"/>
    <col min="4099" max="4099" width="11" style="342" customWidth="1"/>
    <col min="4100" max="4100" width="9.109375" style="342" customWidth="1"/>
    <col min="4101" max="4101" width="11" style="342" customWidth="1"/>
    <col min="4102" max="4102" width="15.6640625" style="342" customWidth="1"/>
    <col min="4103" max="4103" width="10.5546875" style="342" customWidth="1"/>
    <col min="4104" max="4106" width="8.77734375" style="342" customWidth="1"/>
    <col min="4107" max="4107" width="7.5546875" style="342" customWidth="1"/>
    <col min="4108" max="4109" width="9.109375" style="342" customWidth="1"/>
    <col min="4110" max="4110" width="8.88671875" style="342"/>
    <col min="4111" max="4111" width="13.33203125" style="342" bestFit="1" customWidth="1"/>
    <col min="4112" max="4352" width="8.88671875" style="342"/>
    <col min="4353" max="4353" width="8.5546875" style="342" customWidth="1"/>
    <col min="4354" max="4354" width="6.5546875" style="342" customWidth="1"/>
    <col min="4355" max="4355" width="11" style="342" customWidth="1"/>
    <col min="4356" max="4356" width="9.109375" style="342" customWidth="1"/>
    <col min="4357" max="4357" width="11" style="342" customWidth="1"/>
    <col min="4358" max="4358" width="15.6640625" style="342" customWidth="1"/>
    <col min="4359" max="4359" width="10.5546875" style="342" customWidth="1"/>
    <col min="4360" max="4362" width="8.77734375" style="342" customWidth="1"/>
    <col min="4363" max="4363" width="7.5546875" style="342" customWidth="1"/>
    <col min="4364" max="4365" width="9.109375" style="342" customWidth="1"/>
    <col min="4366" max="4366" width="8.88671875" style="342"/>
    <col min="4367" max="4367" width="13.33203125" style="342" bestFit="1" customWidth="1"/>
    <col min="4368" max="4608" width="8.88671875" style="342"/>
    <col min="4609" max="4609" width="8.5546875" style="342" customWidth="1"/>
    <col min="4610" max="4610" width="6.5546875" style="342" customWidth="1"/>
    <col min="4611" max="4611" width="11" style="342" customWidth="1"/>
    <col min="4612" max="4612" width="9.109375" style="342" customWidth="1"/>
    <col min="4613" max="4613" width="11" style="342" customWidth="1"/>
    <col min="4614" max="4614" width="15.6640625" style="342" customWidth="1"/>
    <col min="4615" max="4615" width="10.5546875" style="342" customWidth="1"/>
    <col min="4616" max="4618" width="8.77734375" style="342" customWidth="1"/>
    <col min="4619" max="4619" width="7.5546875" style="342" customWidth="1"/>
    <col min="4620" max="4621" width="9.109375" style="342" customWidth="1"/>
    <col min="4622" max="4622" width="8.88671875" style="342"/>
    <col min="4623" max="4623" width="13.33203125" style="342" bestFit="1" customWidth="1"/>
    <col min="4624" max="4864" width="8.88671875" style="342"/>
    <col min="4865" max="4865" width="8.5546875" style="342" customWidth="1"/>
    <col min="4866" max="4866" width="6.5546875" style="342" customWidth="1"/>
    <col min="4867" max="4867" width="11" style="342" customWidth="1"/>
    <col min="4868" max="4868" width="9.109375" style="342" customWidth="1"/>
    <col min="4869" max="4869" width="11" style="342" customWidth="1"/>
    <col min="4870" max="4870" width="15.6640625" style="342" customWidth="1"/>
    <col min="4871" max="4871" width="10.5546875" style="342" customWidth="1"/>
    <col min="4872" max="4874" width="8.77734375" style="342" customWidth="1"/>
    <col min="4875" max="4875" width="7.5546875" style="342" customWidth="1"/>
    <col min="4876" max="4877" width="9.109375" style="342" customWidth="1"/>
    <col min="4878" max="4878" width="8.88671875" style="342"/>
    <col min="4879" max="4879" width="13.33203125" style="342" bestFit="1" customWidth="1"/>
    <col min="4880" max="5120" width="8.88671875" style="342"/>
    <col min="5121" max="5121" width="8.5546875" style="342" customWidth="1"/>
    <col min="5122" max="5122" width="6.5546875" style="342" customWidth="1"/>
    <col min="5123" max="5123" width="11" style="342" customWidth="1"/>
    <col min="5124" max="5124" width="9.109375" style="342" customWidth="1"/>
    <col min="5125" max="5125" width="11" style="342" customWidth="1"/>
    <col min="5126" max="5126" width="15.6640625" style="342" customWidth="1"/>
    <col min="5127" max="5127" width="10.5546875" style="342" customWidth="1"/>
    <col min="5128" max="5130" width="8.77734375" style="342" customWidth="1"/>
    <col min="5131" max="5131" width="7.5546875" style="342" customWidth="1"/>
    <col min="5132" max="5133" width="9.109375" style="342" customWidth="1"/>
    <col min="5134" max="5134" width="8.88671875" style="342"/>
    <col min="5135" max="5135" width="13.33203125" style="342" bestFit="1" customWidth="1"/>
    <col min="5136" max="5376" width="8.88671875" style="342"/>
    <col min="5377" max="5377" width="8.5546875" style="342" customWidth="1"/>
    <col min="5378" max="5378" width="6.5546875" style="342" customWidth="1"/>
    <col min="5379" max="5379" width="11" style="342" customWidth="1"/>
    <col min="5380" max="5380" width="9.109375" style="342" customWidth="1"/>
    <col min="5381" max="5381" width="11" style="342" customWidth="1"/>
    <col min="5382" max="5382" width="15.6640625" style="342" customWidth="1"/>
    <col min="5383" max="5383" width="10.5546875" style="342" customWidth="1"/>
    <col min="5384" max="5386" width="8.77734375" style="342" customWidth="1"/>
    <col min="5387" max="5387" width="7.5546875" style="342" customWidth="1"/>
    <col min="5388" max="5389" width="9.109375" style="342" customWidth="1"/>
    <col min="5390" max="5390" width="8.88671875" style="342"/>
    <col min="5391" max="5391" width="13.33203125" style="342" bestFit="1" customWidth="1"/>
    <col min="5392" max="5632" width="8.88671875" style="342"/>
    <col min="5633" max="5633" width="8.5546875" style="342" customWidth="1"/>
    <col min="5634" max="5634" width="6.5546875" style="342" customWidth="1"/>
    <col min="5635" max="5635" width="11" style="342" customWidth="1"/>
    <col min="5636" max="5636" width="9.109375" style="342" customWidth="1"/>
    <col min="5637" max="5637" width="11" style="342" customWidth="1"/>
    <col min="5638" max="5638" width="15.6640625" style="342" customWidth="1"/>
    <col min="5639" max="5639" width="10.5546875" style="342" customWidth="1"/>
    <col min="5640" max="5642" width="8.77734375" style="342" customWidth="1"/>
    <col min="5643" max="5643" width="7.5546875" style="342" customWidth="1"/>
    <col min="5644" max="5645" width="9.109375" style="342" customWidth="1"/>
    <col min="5646" max="5646" width="8.88671875" style="342"/>
    <col min="5647" max="5647" width="13.33203125" style="342" bestFit="1" customWidth="1"/>
    <col min="5648" max="5888" width="8.88671875" style="342"/>
    <col min="5889" max="5889" width="8.5546875" style="342" customWidth="1"/>
    <col min="5890" max="5890" width="6.5546875" style="342" customWidth="1"/>
    <col min="5891" max="5891" width="11" style="342" customWidth="1"/>
    <col min="5892" max="5892" width="9.109375" style="342" customWidth="1"/>
    <col min="5893" max="5893" width="11" style="342" customWidth="1"/>
    <col min="5894" max="5894" width="15.6640625" style="342" customWidth="1"/>
    <col min="5895" max="5895" width="10.5546875" style="342" customWidth="1"/>
    <col min="5896" max="5898" width="8.77734375" style="342" customWidth="1"/>
    <col min="5899" max="5899" width="7.5546875" style="342" customWidth="1"/>
    <col min="5900" max="5901" width="9.109375" style="342" customWidth="1"/>
    <col min="5902" max="5902" width="8.88671875" style="342"/>
    <col min="5903" max="5903" width="13.33203125" style="342" bestFit="1" customWidth="1"/>
    <col min="5904" max="6144" width="8.88671875" style="342"/>
    <col min="6145" max="6145" width="8.5546875" style="342" customWidth="1"/>
    <col min="6146" max="6146" width="6.5546875" style="342" customWidth="1"/>
    <col min="6147" max="6147" width="11" style="342" customWidth="1"/>
    <col min="6148" max="6148" width="9.109375" style="342" customWidth="1"/>
    <col min="6149" max="6149" width="11" style="342" customWidth="1"/>
    <col min="6150" max="6150" width="15.6640625" style="342" customWidth="1"/>
    <col min="6151" max="6151" width="10.5546875" style="342" customWidth="1"/>
    <col min="6152" max="6154" width="8.77734375" style="342" customWidth="1"/>
    <col min="6155" max="6155" width="7.5546875" style="342" customWidth="1"/>
    <col min="6156" max="6157" width="9.109375" style="342" customWidth="1"/>
    <col min="6158" max="6158" width="8.88671875" style="342"/>
    <col min="6159" max="6159" width="13.33203125" style="342" bestFit="1" customWidth="1"/>
    <col min="6160" max="6400" width="8.88671875" style="342"/>
    <col min="6401" max="6401" width="8.5546875" style="342" customWidth="1"/>
    <col min="6402" max="6402" width="6.5546875" style="342" customWidth="1"/>
    <col min="6403" max="6403" width="11" style="342" customWidth="1"/>
    <col min="6404" max="6404" width="9.109375" style="342" customWidth="1"/>
    <col min="6405" max="6405" width="11" style="342" customWidth="1"/>
    <col min="6406" max="6406" width="15.6640625" style="342" customWidth="1"/>
    <col min="6407" max="6407" width="10.5546875" style="342" customWidth="1"/>
    <col min="6408" max="6410" width="8.77734375" style="342" customWidth="1"/>
    <col min="6411" max="6411" width="7.5546875" style="342" customWidth="1"/>
    <col min="6412" max="6413" width="9.109375" style="342" customWidth="1"/>
    <col min="6414" max="6414" width="8.88671875" style="342"/>
    <col min="6415" max="6415" width="13.33203125" style="342" bestFit="1" customWidth="1"/>
    <col min="6416" max="6656" width="8.88671875" style="342"/>
    <col min="6657" max="6657" width="8.5546875" style="342" customWidth="1"/>
    <col min="6658" max="6658" width="6.5546875" style="342" customWidth="1"/>
    <col min="6659" max="6659" width="11" style="342" customWidth="1"/>
    <col min="6660" max="6660" width="9.109375" style="342" customWidth="1"/>
    <col min="6661" max="6661" width="11" style="342" customWidth="1"/>
    <col min="6662" max="6662" width="15.6640625" style="342" customWidth="1"/>
    <col min="6663" max="6663" width="10.5546875" style="342" customWidth="1"/>
    <col min="6664" max="6666" width="8.77734375" style="342" customWidth="1"/>
    <col min="6667" max="6667" width="7.5546875" style="342" customWidth="1"/>
    <col min="6668" max="6669" width="9.109375" style="342" customWidth="1"/>
    <col min="6670" max="6670" width="8.88671875" style="342"/>
    <col min="6671" max="6671" width="13.33203125" style="342" bestFit="1" customWidth="1"/>
    <col min="6672" max="6912" width="8.88671875" style="342"/>
    <col min="6913" max="6913" width="8.5546875" style="342" customWidth="1"/>
    <col min="6914" max="6914" width="6.5546875" style="342" customWidth="1"/>
    <col min="6915" max="6915" width="11" style="342" customWidth="1"/>
    <col min="6916" max="6916" width="9.109375" style="342" customWidth="1"/>
    <col min="6917" max="6917" width="11" style="342" customWidth="1"/>
    <col min="6918" max="6918" width="15.6640625" style="342" customWidth="1"/>
    <col min="6919" max="6919" width="10.5546875" style="342" customWidth="1"/>
    <col min="6920" max="6922" width="8.77734375" style="342" customWidth="1"/>
    <col min="6923" max="6923" width="7.5546875" style="342" customWidth="1"/>
    <col min="6924" max="6925" width="9.109375" style="342" customWidth="1"/>
    <col min="6926" max="6926" width="8.88671875" style="342"/>
    <col min="6927" max="6927" width="13.33203125" style="342" bestFit="1" customWidth="1"/>
    <col min="6928" max="7168" width="8.88671875" style="342"/>
    <col min="7169" max="7169" width="8.5546875" style="342" customWidth="1"/>
    <col min="7170" max="7170" width="6.5546875" style="342" customWidth="1"/>
    <col min="7171" max="7171" width="11" style="342" customWidth="1"/>
    <col min="7172" max="7172" width="9.109375" style="342" customWidth="1"/>
    <col min="7173" max="7173" width="11" style="342" customWidth="1"/>
    <col min="7174" max="7174" width="15.6640625" style="342" customWidth="1"/>
    <col min="7175" max="7175" width="10.5546875" style="342" customWidth="1"/>
    <col min="7176" max="7178" width="8.77734375" style="342" customWidth="1"/>
    <col min="7179" max="7179" width="7.5546875" style="342" customWidth="1"/>
    <col min="7180" max="7181" width="9.109375" style="342" customWidth="1"/>
    <col min="7182" max="7182" width="8.88671875" style="342"/>
    <col min="7183" max="7183" width="13.33203125" style="342" bestFit="1" customWidth="1"/>
    <col min="7184" max="7424" width="8.88671875" style="342"/>
    <col min="7425" max="7425" width="8.5546875" style="342" customWidth="1"/>
    <col min="7426" max="7426" width="6.5546875" style="342" customWidth="1"/>
    <col min="7427" max="7427" width="11" style="342" customWidth="1"/>
    <col min="7428" max="7428" width="9.109375" style="342" customWidth="1"/>
    <col min="7429" max="7429" width="11" style="342" customWidth="1"/>
    <col min="7430" max="7430" width="15.6640625" style="342" customWidth="1"/>
    <col min="7431" max="7431" width="10.5546875" style="342" customWidth="1"/>
    <col min="7432" max="7434" width="8.77734375" style="342" customWidth="1"/>
    <col min="7435" max="7435" width="7.5546875" style="342" customWidth="1"/>
    <col min="7436" max="7437" width="9.109375" style="342" customWidth="1"/>
    <col min="7438" max="7438" width="8.88671875" style="342"/>
    <col min="7439" max="7439" width="13.33203125" style="342" bestFit="1" customWidth="1"/>
    <col min="7440" max="7680" width="8.88671875" style="342"/>
    <col min="7681" max="7681" width="8.5546875" style="342" customWidth="1"/>
    <col min="7682" max="7682" width="6.5546875" style="342" customWidth="1"/>
    <col min="7683" max="7683" width="11" style="342" customWidth="1"/>
    <col min="7684" max="7684" width="9.109375" style="342" customWidth="1"/>
    <col min="7685" max="7685" width="11" style="342" customWidth="1"/>
    <col min="7686" max="7686" width="15.6640625" style="342" customWidth="1"/>
    <col min="7687" max="7687" width="10.5546875" style="342" customWidth="1"/>
    <col min="7688" max="7690" width="8.77734375" style="342" customWidth="1"/>
    <col min="7691" max="7691" width="7.5546875" style="342" customWidth="1"/>
    <col min="7692" max="7693" width="9.109375" style="342" customWidth="1"/>
    <col min="7694" max="7694" width="8.88671875" style="342"/>
    <col min="7695" max="7695" width="13.33203125" style="342" bestFit="1" customWidth="1"/>
    <col min="7696" max="7936" width="8.88671875" style="342"/>
    <col min="7937" max="7937" width="8.5546875" style="342" customWidth="1"/>
    <col min="7938" max="7938" width="6.5546875" style="342" customWidth="1"/>
    <col min="7939" max="7939" width="11" style="342" customWidth="1"/>
    <col min="7940" max="7940" width="9.109375" style="342" customWidth="1"/>
    <col min="7941" max="7941" width="11" style="342" customWidth="1"/>
    <col min="7942" max="7942" width="15.6640625" style="342" customWidth="1"/>
    <col min="7943" max="7943" width="10.5546875" style="342" customWidth="1"/>
    <col min="7944" max="7946" width="8.77734375" style="342" customWidth="1"/>
    <col min="7947" max="7947" width="7.5546875" style="342" customWidth="1"/>
    <col min="7948" max="7949" width="9.109375" style="342" customWidth="1"/>
    <col min="7950" max="7950" width="8.88671875" style="342"/>
    <col min="7951" max="7951" width="13.33203125" style="342" bestFit="1" customWidth="1"/>
    <col min="7952" max="8192" width="8.88671875" style="342"/>
    <col min="8193" max="8193" width="8.5546875" style="342" customWidth="1"/>
    <col min="8194" max="8194" width="6.5546875" style="342" customWidth="1"/>
    <col min="8195" max="8195" width="11" style="342" customWidth="1"/>
    <col min="8196" max="8196" width="9.109375" style="342" customWidth="1"/>
    <col min="8197" max="8197" width="11" style="342" customWidth="1"/>
    <col min="8198" max="8198" width="15.6640625" style="342" customWidth="1"/>
    <col min="8199" max="8199" width="10.5546875" style="342" customWidth="1"/>
    <col min="8200" max="8202" width="8.77734375" style="342" customWidth="1"/>
    <col min="8203" max="8203" width="7.5546875" style="342" customWidth="1"/>
    <col min="8204" max="8205" width="9.109375" style="342" customWidth="1"/>
    <col min="8206" max="8206" width="8.88671875" style="342"/>
    <col min="8207" max="8207" width="13.33203125" style="342" bestFit="1" customWidth="1"/>
    <col min="8208" max="8448" width="8.88671875" style="342"/>
    <col min="8449" max="8449" width="8.5546875" style="342" customWidth="1"/>
    <col min="8450" max="8450" width="6.5546875" style="342" customWidth="1"/>
    <col min="8451" max="8451" width="11" style="342" customWidth="1"/>
    <col min="8452" max="8452" width="9.109375" style="342" customWidth="1"/>
    <col min="8453" max="8453" width="11" style="342" customWidth="1"/>
    <col min="8454" max="8454" width="15.6640625" style="342" customWidth="1"/>
    <col min="8455" max="8455" width="10.5546875" style="342" customWidth="1"/>
    <col min="8456" max="8458" width="8.77734375" style="342" customWidth="1"/>
    <col min="8459" max="8459" width="7.5546875" style="342" customWidth="1"/>
    <col min="8460" max="8461" width="9.109375" style="342" customWidth="1"/>
    <col min="8462" max="8462" width="8.88671875" style="342"/>
    <col min="8463" max="8463" width="13.33203125" style="342" bestFit="1" customWidth="1"/>
    <col min="8464" max="8704" width="8.88671875" style="342"/>
    <col min="8705" max="8705" width="8.5546875" style="342" customWidth="1"/>
    <col min="8706" max="8706" width="6.5546875" style="342" customWidth="1"/>
    <col min="8707" max="8707" width="11" style="342" customWidth="1"/>
    <col min="8708" max="8708" width="9.109375" style="342" customWidth="1"/>
    <col min="8709" max="8709" width="11" style="342" customWidth="1"/>
    <col min="8710" max="8710" width="15.6640625" style="342" customWidth="1"/>
    <col min="8711" max="8711" width="10.5546875" style="342" customWidth="1"/>
    <col min="8712" max="8714" width="8.77734375" style="342" customWidth="1"/>
    <col min="8715" max="8715" width="7.5546875" style="342" customWidth="1"/>
    <col min="8716" max="8717" width="9.109375" style="342" customWidth="1"/>
    <col min="8718" max="8718" width="8.88671875" style="342"/>
    <col min="8719" max="8719" width="13.33203125" style="342" bestFit="1" customWidth="1"/>
    <col min="8720" max="8960" width="8.88671875" style="342"/>
    <col min="8961" max="8961" width="8.5546875" style="342" customWidth="1"/>
    <col min="8962" max="8962" width="6.5546875" style="342" customWidth="1"/>
    <col min="8963" max="8963" width="11" style="342" customWidth="1"/>
    <col min="8964" max="8964" width="9.109375" style="342" customWidth="1"/>
    <col min="8965" max="8965" width="11" style="342" customWidth="1"/>
    <col min="8966" max="8966" width="15.6640625" style="342" customWidth="1"/>
    <col min="8967" max="8967" width="10.5546875" style="342" customWidth="1"/>
    <col min="8968" max="8970" width="8.77734375" style="342" customWidth="1"/>
    <col min="8971" max="8971" width="7.5546875" style="342" customWidth="1"/>
    <col min="8972" max="8973" width="9.109375" style="342" customWidth="1"/>
    <col min="8974" max="8974" width="8.88671875" style="342"/>
    <col min="8975" max="8975" width="13.33203125" style="342" bestFit="1" customWidth="1"/>
    <col min="8976" max="9216" width="8.88671875" style="342"/>
    <col min="9217" max="9217" width="8.5546875" style="342" customWidth="1"/>
    <col min="9218" max="9218" width="6.5546875" style="342" customWidth="1"/>
    <col min="9219" max="9219" width="11" style="342" customWidth="1"/>
    <col min="9220" max="9220" width="9.109375" style="342" customWidth="1"/>
    <col min="9221" max="9221" width="11" style="342" customWidth="1"/>
    <col min="9222" max="9222" width="15.6640625" style="342" customWidth="1"/>
    <col min="9223" max="9223" width="10.5546875" style="342" customWidth="1"/>
    <col min="9224" max="9226" width="8.77734375" style="342" customWidth="1"/>
    <col min="9227" max="9227" width="7.5546875" style="342" customWidth="1"/>
    <col min="9228" max="9229" width="9.109375" style="342" customWidth="1"/>
    <col min="9230" max="9230" width="8.88671875" style="342"/>
    <col min="9231" max="9231" width="13.33203125" style="342" bestFit="1" customWidth="1"/>
    <col min="9232" max="9472" width="8.88671875" style="342"/>
    <col min="9473" max="9473" width="8.5546875" style="342" customWidth="1"/>
    <col min="9474" max="9474" width="6.5546875" style="342" customWidth="1"/>
    <col min="9475" max="9475" width="11" style="342" customWidth="1"/>
    <col min="9476" max="9476" width="9.109375" style="342" customWidth="1"/>
    <col min="9477" max="9477" width="11" style="342" customWidth="1"/>
    <col min="9478" max="9478" width="15.6640625" style="342" customWidth="1"/>
    <col min="9479" max="9479" width="10.5546875" style="342" customWidth="1"/>
    <col min="9480" max="9482" width="8.77734375" style="342" customWidth="1"/>
    <col min="9483" max="9483" width="7.5546875" style="342" customWidth="1"/>
    <col min="9484" max="9485" width="9.109375" style="342" customWidth="1"/>
    <col min="9486" max="9486" width="8.88671875" style="342"/>
    <col min="9487" max="9487" width="13.33203125" style="342" bestFit="1" customWidth="1"/>
    <col min="9488" max="9728" width="8.88671875" style="342"/>
    <col min="9729" max="9729" width="8.5546875" style="342" customWidth="1"/>
    <col min="9730" max="9730" width="6.5546875" style="342" customWidth="1"/>
    <col min="9731" max="9731" width="11" style="342" customWidth="1"/>
    <col min="9732" max="9732" width="9.109375" style="342" customWidth="1"/>
    <col min="9733" max="9733" width="11" style="342" customWidth="1"/>
    <col min="9734" max="9734" width="15.6640625" style="342" customWidth="1"/>
    <col min="9735" max="9735" width="10.5546875" style="342" customWidth="1"/>
    <col min="9736" max="9738" width="8.77734375" style="342" customWidth="1"/>
    <col min="9739" max="9739" width="7.5546875" style="342" customWidth="1"/>
    <col min="9740" max="9741" width="9.109375" style="342" customWidth="1"/>
    <col min="9742" max="9742" width="8.88671875" style="342"/>
    <col min="9743" max="9743" width="13.33203125" style="342" bestFit="1" customWidth="1"/>
    <col min="9744" max="9984" width="8.88671875" style="342"/>
    <col min="9985" max="9985" width="8.5546875" style="342" customWidth="1"/>
    <col min="9986" max="9986" width="6.5546875" style="342" customWidth="1"/>
    <col min="9987" max="9987" width="11" style="342" customWidth="1"/>
    <col min="9988" max="9988" width="9.109375" style="342" customWidth="1"/>
    <col min="9989" max="9989" width="11" style="342" customWidth="1"/>
    <col min="9990" max="9990" width="15.6640625" style="342" customWidth="1"/>
    <col min="9991" max="9991" width="10.5546875" style="342" customWidth="1"/>
    <col min="9992" max="9994" width="8.77734375" style="342" customWidth="1"/>
    <col min="9995" max="9995" width="7.5546875" style="342" customWidth="1"/>
    <col min="9996" max="9997" width="9.109375" style="342" customWidth="1"/>
    <col min="9998" max="9998" width="8.88671875" style="342"/>
    <col min="9999" max="9999" width="13.33203125" style="342" bestFit="1" customWidth="1"/>
    <col min="10000" max="10240" width="8.88671875" style="342"/>
    <col min="10241" max="10241" width="8.5546875" style="342" customWidth="1"/>
    <col min="10242" max="10242" width="6.5546875" style="342" customWidth="1"/>
    <col min="10243" max="10243" width="11" style="342" customWidth="1"/>
    <col min="10244" max="10244" width="9.109375" style="342" customWidth="1"/>
    <col min="10245" max="10245" width="11" style="342" customWidth="1"/>
    <col min="10246" max="10246" width="15.6640625" style="342" customWidth="1"/>
    <col min="10247" max="10247" width="10.5546875" style="342" customWidth="1"/>
    <col min="10248" max="10250" width="8.77734375" style="342" customWidth="1"/>
    <col min="10251" max="10251" width="7.5546875" style="342" customWidth="1"/>
    <col min="10252" max="10253" width="9.109375" style="342" customWidth="1"/>
    <col min="10254" max="10254" width="8.88671875" style="342"/>
    <col min="10255" max="10255" width="13.33203125" style="342" bestFit="1" customWidth="1"/>
    <col min="10256" max="10496" width="8.88671875" style="342"/>
    <col min="10497" max="10497" width="8.5546875" style="342" customWidth="1"/>
    <col min="10498" max="10498" width="6.5546875" style="342" customWidth="1"/>
    <col min="10499" max="10499" width="11" style="342" customWidth="1"/>
    <col min="10500" max="10500" width="9.109375" style="342" customWidth="1"/>
    <col min="10501" max="10501" width="11" style="342" customWidth="1"/>
    <col min="10502" max="10502" width="15.6640625" style="342" customWidth="1"/>
    <col min="10503" max="10503" width="10.5546875" style="342" customWidth="1"/>
    <col min="10504" max="10506" width="8.77734375" style="342" customWidth="1"/>
    <col min="10507" max="10507" width="7.5546875" style="342" customWidth="1"/>
    <col min="10508" max="10509" width="9.109375" style="342" customWidth="1"/>
    <col min="10510" max="10510" width="8.88671875" style="342"/>
    <col min="10511" max="10511" width="13.33203125" style="342" bestFit="1" customWidth="1"/>
    <col min="10512" max="10752" width="8.88671875" style="342"/>
    <col min="10753" max="10753" width="8.5546875" style="342" customWidth="1"/>
    <col min="10754" max="10754" width="6.5546875" style="342" customWidth="1"/>
    <col min="10755" max="10755" width="11" style="342" customWidth="1"/>
    <col min="10756" max="10756" width="9.109375" style="342" customWidth="1"/>
    <col min="10757" max="10757" width="11" style="342" customWidth="1"/>
    <col min="10758" max="10758" width="15.6640625" style="342" customWidth="1"/>
    <col min="10759" max="10759" width="10.5546875" style="342" customWidth="1"/>
    <col min="10760" max="10762" width="8.77734375" style="342" customWidth="1"/>
    <col min="10763" max="10763" width="7.5546875" style="342" customWidth="1"/>
    <col min="10764" max="10765" width="9.109375" style="342" customWidth="1"/>
    <col min="10766" max="10766" width="8.88671875" style="342"/>
    <col min="10767" max="10767" width="13.33203125" style="342" bestFit="1" customWidth="1"/>
    <col min="10768" max="11008" width="8.88671875" style="342"/>
    <col min="11009" max="11009" width="8.5546875" style="342" customWidth="1"/>
    <col min="11010" max="11010" width="6.5546875" style="342" customWidth="1"/>
    <col min="11011" max="11011" width="11" style="342" customWidth="1"/>
    <col min="11012" max="11012" width="9.109375" style="342" customWidth="1"/>
    <col min="11013" max="11013" width="11" style="342" customWidth="1"/>
    <col min="11014" max="11014" width="15.6640625" style="342" customWidth="1"/>
    <col min="11015" max="11015" width="10.5546875" style="342" customWidth="1"/>
    <col min="11016" max="11018" width="8.77734375" style="342" customWidth="1"/>
    <col min="11019" max="11019" width="7.5546875" style="342" customWidth="1"/>
    <col min="11020" max="11021" width="9.109375" style="342" customWidth="1"/>
    <col min="11022" max="11022" width="8.88671875" style="342"/>
    <col min="11023" max="11023" width="13.33203125" style="342" bestFit="1" customWidth="1"/>
    <col min="11024" max="11264" width="8.88671875" style="342"/>
    <col min="11265" max="11265" width="8.5546875" style="342" customWidth="1"/>
    <col min="11266" max="11266" width="6.5546875" style="342" customWidth="1"/>
    <col min="11267" max="11267" width="11" style="342" customWidth="1"/>
    <col min="11268" max="11268" width="9.109375" style="342" customWidth="1"/>
    <col min="11269" max="11269" width="11" style="342" customWidth="1"/>
    <col min="11270" max="11270" width="15.6640625" style="342" customWidth="1"/>
    <col min="11271" max="11271" width="10.5546875" style="342" customWidth="1"/>
    <col min="11272" max="11274" width="8.77734375" style="342" customWidth="1"/>
    <col min="11275" max="11275" width="7.5546875" style="342" customWidth="1"/>
    <col min="11276" max="11277" width="9.109375" style="342" customWidth="1"/>
    <col min="11278" max="11278" width="8.88671875" style="342"/>
    <col min="11279" max="11279" width="13.33203125" style="342" bestFit="1" customWidth="1"/>
    <col min="11280" max="11520" width="8.88671875" style="342"/>
    <col min="11521" max="11521" width="8.5546875" style="342" customWidth="1"/>
    <col min="11522" max="11522" width="6.5546875" style="342" customWidth="1"/>
    <col min="11523" max="11523" width="11" style="342" customWidth="1"/>
    <col min="11524" max="11524" width="9.109375" style="342" customWidth="1"/>
    <col min="11525" max="11525" width="11" style="342" customWidth="1"/>
    <col min="11526" max="11526" width="15.6640625" style="342" customWidth="1"/>
    <col min="11527" max="11527" width="10.5546875" style="342" customWidth="1"/>
    <col min="11528" max="11530" width="8.77734375" style="342" customWidth="1"/>
    <col min="11531" max="11531" width="7.5546875" style="342" customWidth="1"/>
    <col min="11532" max="11533" width="9.109375" style="342" customWidth="1"/>
    <col min="11534" max="11534" width="8.88671875" style="342"/>
    <col min="11535" max="11535" width="13.33203125" style="342" bestFit="1" customWidth="1"/>
    <col min="11536" max="11776" width="8.88671875" style="342"/>
    <col min="11777" max="11777" width="8.5546875" style="342" customWidth="1"/>
    <col min="11778" max="11778" width="6.5546875" style="342" customWidth="1"/>
    <col min="11779" max="11779" width="11" style="342" customWidth="1"/>
    <col min="11780" max="11780" width="9.109375" style="342" customWidth="1"/>
    <col min="11781" max="11781" width="11" style="342" customWidth="1"/>
    <col min="11782" max="11782" width="15.6640625" style="342" customWidth="1"/>
    <col min="11783" max="11783" width="10.5546875" style="342" customWidth="1"/>
    <col min="11784" max="11786" width="8.77734375" style="342" customWidth="1"/>
    <col min="11787" max="11787" width="7.5546875" style="342" customWidth="1"/>
    <col min="11788" max="11789" width="9.109375" style="342" customWidth="1"/>
    <col min="11790" max="11790" width="8.88671875" style="342"/>
    <col min="11791" max="11791" width="13.33203125" style="342" bestFit="1" customWidth="1"/>
    <col min="11792" max="12032" width="8.88671875" style="342"/>
    <col min="12033" max="12033" width="8.5546875" style="342" customWidth="1"/>
    <col min="12034" max="12034" width="6.5546875" style="342" customWidth="1"/>
    <col min="12035" max="12035" width="11" style="342" customWidth="1"/>
    <col min="12036" max="12036" width="9.109375" style="342" customWidth="1"/>
    <col min="12037" max="12037" width="11" style="342" customWidth="1"/>
    <col min="12038" max="12038" width="15.6640625" style="342" customWidth="1"/>
    <col min="12039" max="12039" width="10.5546875" style="342" customWidth="1"/>
    <col min="12040" max="12042" width="8.77734375" style="342" customWidth="1"/>
    <col min="12043" max="12043" width="7.5546875" style="342" customWidth="1"/>
    <col min="12044" max="12045" width="9.109375" style="342" customWidth="1"/>
    <col min="12046" max="12046" width="8.88671875" style="342"/>
    <col min="12047" max="12047" width="13.33203125" style="342" bestFit="1" customWidth="1"/>
    <col min="12048" max="12288" width="8.88671875" style="342"/>
    <col min="12289" max="12289" width="8.5546875" style="342" customWidth="1"/>
    <col min="12290" max="12290" width="6.5546875" style="342" customWidth="1"/>
    <col min="12291" max="12291" width="11" style="342" customWidth="1"/>
    <col min="12292" max="12292" width="9.109375" style="342" customWidth="1"/>
    <col min="12293" max="12293" width="11" style="342" customWidth="1"/>
    <col min="12294" max="12294" width="15.6640625" style="342" customWidth="1"/>
    <col min="12295" max="12295" width="10.5546875" style="342" customWidth="1"/>
    <col min="12296" max="12298" width="8.77734375" style="342" customWidth="1"/>
    <col min="12299" max="12299" width="7.5546875" style="342" customWidth="1"/>
    <col min="12300" max="12301" width="9.109375" style="342" customWidth="1"/>
    <col min="12302" max="12302" width="8.88671875" style="342"/>
    <col min="12303" max="12303" width="13.33203125" style="342" bestFit="1" customWidth="1"/>
    <col min="12304" max="12544" width="8.88671875" style="342"/>
    <col min="12545" max="12545" width="8.5546875" style="342" customWidth="1"/>
    <col min="12546" max="12546" width="6.5546875" style="342" customWidth="1"/>
    <col min="12547" max="12547" width="11" style="342" customWidth="1"/>
    <col min="12548" max="12548" width="9.109375" style="342" customWidth="1"/>
    <col min="12549" max="12549" width="11" style="342" customWidth="1"/>
    <col min="12550" max="12550" width="15.6640625" style="342" customWidth="1"/>
    <col min="12551" max="12551" width="10.5546875" style="342" customWidth="1"/>
    <col min="12552" max="12554" width="8.77734375" style="342" customWidth="1"/>
    <col min="12555" max="12555" width="7.5546875" style="342" customWidth="1"/>
    <col min="12556" max="12557" width="9.109375" style="342" customWidth="1"/>
    <col min="12558" max="12558" width="8.88671875" style="342"/>
    <col min="12559" max="12559" width="13.33203125" style="342" bestFit="1" customWidth="1"/>
    <col min="12560" max="12800" width="8.88671875" style="342"/>
    <col min="12801" max="12801" width="8.5546875" style="342" customWidth="1"/>
    <col min="12802" max="12802" width="6.5546875" style="342" customWidth="1"/>
    <col min="12803" max="12803" width="11" style="342" customWidth="1"/>
    <col min="12804" max="12804" width="9.109375" style="342" customWidth="1"/>
    <col min="12805" max="12805" width="11" style="342" customWidth="1"/>
    <col min="12806" max="12806" width="15.6640625" style="342" customWidth="1"/>
    <col min="12807" max="12807" width="10.5546875" style="342" customWidth="1"/>
    <col min="12808" max="12810" width="8.77734375" style="342" customWidth="1"/>
    <col min="12811" max="12811" width="7.5546875" style="342" customWidth="1"/>
    <col min="12812" max="12813" width="9.109375" style="342" customWidth="1"/>
    <col min="12814" max="12814" width="8.88671875" style="342"/>
    <col min="12815" max="12815" width="13.33203125" style="342" bestFit="1" customWidth="1"/>
    <col min="12816" max="13056" width="8.88671875" style="342"/>
    <col min="13057" max="13057" width="8.5546875" style="342" customWidth="1"/>
    <col min="13058" max="13058" width="6.5546875" style="342" customWidth="1"/>
    <col min="13059" max="13059" width="11" style="342" customWidth="1"/>
    <col min="13060" max="13060" width="9.109375" style="342" customWidth="1"/>
    <col min="13061" max="13061" width="11" style="342" customWidth="1"/>
    <col min="13062" max="13062" width="15.6640625" style="342" customWidth="1"/>
    <col min="13063" max="13063" width="10.5546875" style="342" customWidth="1"/>
    <col min="13064" max="13066" width="8.77734375" style="342" customWidth="1"/>
    <col min="13067" max="13067" width="7.5546875" style="342" customWidth="1"/>
    <col min="13068" max="13069" width="9.109375" style="342" customWidth="1"/>
    <col min="13070" max="13070" width="8.88671875" style="342"/>
    <col min="13071" max="13071" width="13.33203125" style="342" bestFit="1" customWidth="1"/>
    <col min="13072" max="13312" width="8.88671875" style="342"/>
    <col min="13313" max="13313" width="8.5546875" style="342" customWidth="1"/>
    <col min="13314" max="13314" width="6.5546875" style="342" customWidth="1"/>
    <col min="13315" max="13315" width="11" style="342" customWidth="1"/>
    <col min="13316" max="13316" width="9.109375" style="342" customWidth="1"/>
    <col min="13317" max="13317" width="11" style="342" customWidth="1"/>
    <col min="13318" max="13318" width="15.6640625" style="342" customWidth="1"/>
    <col min="13319" max="13319" width="10.5546875" style="342" customWidth="1"/>
    <col min="13320" max="13322" width="8.77734375" style="342" customWidth="1"/>
    <col min="13323" max="13323" width="7.5546875" style="342" customWidth="1"/>
    <col min="13324" max="13325" width="9.109375" style="342" customWidth="1"/>
    <col min="13326" max="13326" width="8.88671875" style="342"/>
    <col min="13327" max="13327" width="13.33203125" style="342" bestFit="1" customWidth="1"/>
    <col min="13328" max="13568" width="8.88671875" style="342"/>
    <col min="13569" max="13569" width="8.5546875" style="342" customWidth="1"/>
    <col min="13570" max="13570" width="6.5546875" style="342" customWidth="1"/>
    <col min="13571" max="13571" width="11" style="342" customWidth="1"/>
    <col min="13572" max="13572" width="9.109375" style="342" customWidth="1"/>
    <col min="13573" max="13573" width="11" style="342" customWidth="1"/>
    <col min="13574" max="13574" width="15.6640625" style="342" customWidth="1"/>
    <col min="13575" max="13575" width="10.5546875" style="342" customWidth="1"/>
    <col min="13576" max="13578" width="8.77734375" style="342" customWidth="1"/>
    <col min="13579" max="13579" width="7.5546875" style="342" customWidth="1"/>
    <col min="13580" max="13581" width="9.109375" style="342" customWidth="1"/>
    <col min="13582" max="13582" width="8.88671875" style="342"/>
    <col min="13583" max="13583" width="13.33203125" style="342" bestFit="1" customWidth="1"/>
    <col min="13584" max="13824" width="8.88671875" style="342"/>
    <col min="13825" max="13825" width="8.5546875" style="342" customWidth="1"/>
    <col min="13826" max="13826" width="6.5546875" style="342" customWidth="1"/>
    <col min="13827" max="13827" width="11" style="342" customWidth="1"/>
    <col min="13828" max="13828" width="9.109375" style="342" customWidth="1"/>
    <col min="13829" max="13829" width="11" style="342" customWidth="1"/>
    <col min="13830" max="13830" width="15.6640625" style="342" customWidth="1"/>
    <col min="13831" max="13831" width="10.5546875" style="342" customWidth="1"/>
    <col min="13832" max="13834" width="8.77734375" style="342" customWidth="1"/>
    <col min="13835" max="13835" width="7.5546875" style="342" customWidth="1"/>
    <col min="13836" max="13837" width="9.109375" style="342" customWidth="1"/>
    <col min="13838" max="13838" width="8.88671875" style="342"/>
    <col min="13839" max="13839" width="13.33203125" style="342" bestFit="1" customWidth="1"/>
    <col min="13840" max="14080" width="8.88671875" style="342"/>
    <col min="14081" max="14081" width="8.5546875" style="342" customWidth="1"/>
    <col min="14082" max="14082" width="6.5546875" style="342" customWidth="1"/>
    <col min="14083" max="14083" width="11" style="342" customWidth="1"/>
    <col min="14084" max="14084" width="9.109375" style="342" customWidth="1"/>
    <col min="14085" max="14085" width="11" style="342" customWidth="1"/>
    <col min="14086" max="14086" width="15.6640625" style="342" customWidth="1"/>
    <col min="14087" max="14087" width="10.5546875" style="342" customWidth="1"/>
    <col min="14088" max="14090" width="8.77734375" style="342" customWidth="1"/>
    <col min="14091" max="14091" width="7.5546875" style="342" customWidth="1"/>
    <col min="14092" max="14093" width="9.109375" style="342" customWidth="1"/>
    <col min="14094" max="14094" width="8.88671875" style="342"/>
    <col min="14095" max="14095" width="13.33203125" style="342" bestFit="1" customWidth="1"/>
    <col min="14096" max="14336" width="8.88671875" style="342"/>
    <col min="14337" max="14337" width="8.5546875" style="342" customWidth="1"/>
    <col min="14338" max="14338" width="6.5546875" style="342" customWidth="1"/>
    <col min="14339" max="14339" width="11" style="342" customWidth="1"/>
    <col min="14340" max="14340" width="9.109375" style="342" customWidth="1"/>
    <col min="14341" max="14341" width="11" style="342" customWidth="1"/>
    <col min="14342" max="14342" width="15.6640625" style="342" customWidth="1"/>
    <col min="14343" max="14343" width="10.5546875" style="342" customWidth="1"/>
    <col min="14344" max="14346" width="8.77734375" style="342" customWidth="1"/>
    <col min="14347" max="14347" width="7.5546875" style="342" customWidth="1"/>
    <col min="14348" max="14349" width="9.109375" style="342" customWidth="1"/>
    <col min="14350" max="14350" width="8.88671875" style="342"/>
    <col min="14351" max="14351" width="13.33203125" style="342" bestFit="1" customWidth="1"/>
    <col min="14352" max="14592" width="8.88671875" style="342"/>
    <col min="14593" max="14593" width="8.5546875" style="342" customWidth="1"/>
    <col min="14594" max="14594" width="6.5546875" style="342" customWidth="1"/>
    <col min="14595" max="14595" width="11" style="342" customWidth="1"/>
    <col min="14596" max="14596" width="9.109375" style="342" customWidth="1"/>
    <col min="14597" max="14597" width="11" style="342" customWidth="1"/>
    <col min="14598" max="14598" width="15.6640625" style="342" customWidth="1"/>
    <col min="14599" max="14599" width="10.5546875" style="342" customWidth="1"/>
    <col min="14600" max="14602" width="8.77734375" style="342" customWidth="1"/>
    <col min="14603" max="14603" width="7.5546875" style="342" customWidth="1"/>
    <col min="14604" max="14605" width="9.109375" style="342" customWidth="1"/>
    <col min="14606" max="14606" width="8.88671875" style="342"/>
    <col min="14607" max="14607" width="13.33203125" style="342" bestFit="1" customWidth="1"/>
    <col min="14608" max="14848" width="8.88671875" style="342"/>
    <col min="14849" max="14849" width="8.5546875" style="342" customWidth="1"/>
    <col min="14850" max="14850" width="6.5546875" style="342" customWidth="1"/>
    <col min="14851" max="14851" width="11" style="342" customWidth="1"/>
    <col min="14852" max="14852" width="9.109375" style="342" customWidth="1"/>
    <col min="14853" max="14853" width="11" style="342" customWidth="1"/>
    <col min="14854" max="14854" width="15.6640625" style="342" customWidth="1"/>
    <col min="14855" max="14855" width="10.5546875" style="342" customWidth="1"/>
    <col min="14856" max="14858" width="8.77734375" style="342" customWidth="1"/>
    <col min="14859" max="14859" width="7.5546875" style="342" customWidth="1"/>
    <col min="14860" max="14861" width="9.109375" style="342" customWidth="1"/>
    <col min="14862" max="14862" width="8.88671875" style="342"/>
    <col min="14863" max="14863" width="13.33203125" style="342" bestFit="1" customWidth="1"/>
    <col min="14864" max="15104" width="8.88671875" style="342"/>
    <col min="15105" max="15105" width="8.5546875" style="342" customWidth="1"/>
    <col min="15106" max="15106" width="6.5546875" style="342" customWidth="1"/>
    <col min="15107" max="15107" width="11" style="342" customWidth="1"/>
    <col min="15108" max="15108" width="9.109375" style="342" customWidth="1"/>
    <col min="15109" max="15109" width="11" style="342" customWidth="1"/>
    <col min="15110" max="15110" width="15.6640625" style="342" customWidth="1"/>
    <col min="15111" max="15111" width="10.5546875" style="342" customWidth="1"/>
    <col min="15112" max="15114" width="8.77734375" style="342" customWidth="1"/>
    <col min="15115" max="15115" width="7.5546875" style="342" customWidth="1"/>
    <col min="15116" max="15117" width="9.109375" style="342" customWidth="1"/>
    <col min="15118" max="15118" width="8.88671875" style="342"/>
    <col min="15119" max="15119" width="13.33203125" style="342" bestFit="1" customWidth="1"/>
    <col min="15120" max="15360" width="8.88671875" style="342"/>
    <col min="15361" max="15361" width="8.5546875" style="342" customWidth="1"/>
    <col min="15362" max="15362" width="6.5546875" style="342" customWidth="1"/>
    <col min="15363" max="15363" width="11" style="342" customWidth="1"/>
    <col min="15364" max="15364" width="9.109375" style="342" customWidth="1"/>
    <col min="15365" max="15365" width="11" style="342" customWidth="1"/>
    <col min="15366" max="15366" width="15.6640625" style="342" customWidth="1"/>
    <col min="15367" max="15367" width="10.5546875" style="342" customWidth="1"/>
    <col min="15368" max="15370" width="8.77734375" style="342" customWidth="1"/>
    <col min="15371" max="15371" width="7.5546875" style="342" customWidth="1"/>
    <col min="15372" max="15373" width="9.109375" style="342" customWidth="1"/>
    <col min="15374" max="15374" width="8.88671875" style="342"/>
    <col min="15375" max="15375" width="13.33203125" style="342" bestFit="1" customWidth="1"/>
    <col min="15376" max="15616" width="8.88671875" style="342"/>
    <col min="15617" max="15617" width="8.5546875" style="342" customWidth="1"/>
    <col min="15618" max="15618" width="6.5546875" style="342" customWidth="1"/>
    <col min="15619" max="15619" width="11" style="342" customWidth="1"/>
    <col min="15620" max="15620" width="9.109375" style="342" customWidth="1"/>
    <col min="15621" max="15621" width="11" style="342" customWidth="1"/>
    <col min="15622" max="15622" width="15.6640625" style="342" customWidth="1"/>
    <col min="15623" max="15623" width="10.5546875" style="342" customWidth="1"/>
    <col min="15624" max="15626" width="8.77734375" style="342" customWidth="1"/>
    <col min="15627" max="15627" width="7.5546875" style="342" customWidth="1"/>
    <col min="15628" max="15629" width="9.109375" style="342" customWidth="1"/>
    <col min="15630" max="15630" width="8.88671875" style="342"/>
    <col min="15631" max="15631" width="13.33203125" style="342" bestFit="1" customWidth="1"/>
    <col min="15632" max="15872" width="8.88671875" style="342"/>
    <col min="15873" max="15873" width="8.5546875" style="342" customWidth="1"/>
    <col min="15874" max="15874" width="6.5546875" style="342" customWidth="1"/>
    <col min="15875" max="15875" width="11" style="342" customWidth="1"/>
    <col min="15876" max="15876" width="9.109375" style="342" customWidth="1"/>
    <col min="15877" max="15877" width="11" style="342" customWidth="1"/>
    <col min="15878" max="15878" width="15.6640625" style="342" customWidth="1"/>
    <col min="15879" max="15879" width="10.5546875" style="342" customWidth="1"/>
    <col min="15880" max="15882" width="8.77734375" style="342" customWidth="1"/>
    <col min="15883" max="15883" width="7.5546875" style="342" customWidth="1"/>
    <col min="15884" max="15885" width="9.109375" style="342" customWidth="1"/>
    <col min="15886" max="15886" width="8.88671875" style="342"/>
    <col min="15887" max="15887" width="13.33203125" style="342" bestFit="1" customWidth="1"/>
    <col min="15888" max="16128" width="8.88671875" style="342"/>
    <col min="16129" max="16129" width="8.5546875" style="342" customWidth="1"/>
    <col min="16130" max="16130" width="6.5546875" style="342" customWidth="1"/>
    <col min="16131" max="16131" width="11" style="342" customWidth="1"/>
    <col min="16132" max="16132" width="9.109375" style="342" customWidth="1"/>
    <col min="16133" max="16133" width="11" style="342" customWidth="1"/>
    <col min="16134" max="16134" width="15.6640625" style="342" customWidth="1"/>
    <col min="16135" max="16135" width="10.5546875" style="342" customWidth="1"/>
    <col min="16136" max="16138" width="8.77734375" style="342" customWidth="1"/>
    <col min="16139" max="16139" width="7.5546875" style="342" customWidth="1"/>
    <col min="16140" max="16141" width="9.109375" style="342" customWidth="1"/>
    <col min="16142" max="16142" width="8.88671875" style="342"/>
    <col min="16143" max="16143" width="13.33203125" style="342" bestFit="1" customWidth="1"/>
    <col min="16144" max="16384" width="8.88671875" style="342"/>
  </cols>
  <sheetData>
    <row r="1" spans="1:14" s="343" customFormat="1" ht="14.25" customHeight="1" x14ac:dyDescent="0.15">
      <c r="A1" s="340"/>
      <c r="B1" s="340"/>
      <c r="C1" s="340"/>
      <c r="D1" s="340"/>
      <c r="E1" s="340"/>
      <c r="F1" s="340"/>
      <c r="G1" s="340"/>
      <c r="H1" s="340"/>
      <c r="I1" s="340"/>
      <c r="J1" s="340"/>
      <c r="K1" s="340"/>
      <c r="L1" s="340"/>
      <c r="M1" s="341"/>
      <c r="N1" s="342"/>
    </row>
    <row r="2" spans="1:14" s="346" customFormat="1" ht="39" customHeight="1" x14ac:dyDescent="0.15">
      <c r="A2" s="344" t="s">
        <v>135</v>
      </c>
      <c r="B2" s="344"/>
      <c r="C2" s="344"/>
      <c r="D2" s="344"/>
      <c r="E2" s="344"/>
      <c r="F2" s="344"/>
      <c r="G2" s="344"/>
      <c r="H2" s="344"/>
      <c r="I2" s="344"/>
      <c r="J2" s="344"/>
      <c r="K2" s="344"/>
      <c r="L2" s="344"/>
      <c r="M2" s="345"/>
      <c r="N2" s="342"/>
    </row>
    <row r="3" spans="1:14" s="349" customFormat="1" ht="33" customHeight="1" thickBot="1" x14ac:dyDescent="0.2">
      <c r="A3" s="346"/>
      <c r="B3" s="346"/>
      <c r="C3" s="346"/>
      <c r="D3" s="346"/>
      <c r="E3" s="346"/>
      <c r="F3" s="346"/>
      <c r="G3" s="347"/>
      <c r="H3" s="347"/>
      <c r="I3" s="347"/>
      <c r="J3" s="347"/>
      <c r="K3" s="347"/>
      <c r="L3" s="346"/>
      <c r="M3" s="348"/>
      <c r="N3" s="342"/>
    </row>
    <row r="4" spans="1:14" s="358" customFormat="1" ht="24" customHeight="1" thickBot="1" x14ac:dyDescent="0.2">
      <c r="A4" s="350" t="s">
        <v>136</v>
      </c>
      <c r="B4" s="350"/>
      <c r="C4" s="350"/>
      <c r="D4" s="351"/>
      <c r="E4" s="352"/>
      <c r="F4" s="353"/>
      <c r="G4" s="354" t="s">
        <v>1</v>
      </c>
      <c r="H4" s="355" t="s">
        <v>137</v>
      </c>
      <c r="I4" s="355"/>
      <c r="J4" s="355"/>
      <c r="K4" s="355"/>
      <c r="L4" s="356"/>
      <c r="M4" s="357"/>
      <c r="N4" s="342"/>
    </row>
    <row r="5" spans="1:14" s="358" customFormat="1" ht="24" customHeight="1" x14ac:dyDescent="0.15">
      <c r="A5" s="359" t="s">
        <v>138</v>
      </c>
      <c r="B5" s="360"/>
      <c r="C5" s="361">
        <v>45954</v>
      </c>
      <c r="D5" s="362"/>
      <c r="E5" s="363"/>
      <c r="F5" s="353"/>
      <c r="G5" s="364" t="s">
        <v>139</v>
      </c>
      <c r="H5" s="365" t="s">
        <v>140</v>
      </c>
      <c r="I5" s="365"/>
      <c r="J5" s="366"/>
      <c r="K5" s="367" t="s">
        <v>141</v>
      </c>
      <c r="L5" s="368" t="s">
        <v>142</v>
      </c>
      <c r="M5" s="369"/>
      <c r="N5" s="342"/>
    </row>
    <row r="6" spans="1:14" s="358" customFormat="1" ht="24" customHeight="1" x14ac:dyDescent="0.15">
      <c r="A6" s="370" t="s">
        <v>143</v>
      </c>
      <c r="B6" s="371"/>
      <c r="C6" s="372" t="s">
        <v>144</v>
      </c>
      <c r="D6" s="373"/>
      <c r="E6" s="374"/>
      <c r="F6" s="375"/>
      <c r="G6" s="376" t="s">
        <v>145</v>
      </c>
      <c r="H6" s="377" t="s">
        <v>146</v>
      </c>
      <c r="I6" s="377"/>
      <c r="J6" s="377"/>
      <c r="K6" s="377"/>
      <c r="L6" s="378"/>
      <c r="M6" s="379"/>
      <c r="N6" s="342"/>
    </row>
    <row r="7" spans="1:14" s="383" customFormat="1" ht="24" customHeight="1" x14ac:dyDescent="0.15">
      <c r="A7" s="380" t="s">
        <v>147</v>
      </c>
      <c r="B7" s="381"/>
      <c r="C7" s="382" t="s">
        <v>148</v>
      </c>
      <c r="D7" s="373"/>
      <c r="E7" s="374"/>
      <c r="F7" s="375"/>
      <c r="G7" s="376"/>
      <c r="H7" s="377"/>
      <c r="I7" s="377"/>
      <c r="J7" s="377"/>
      <c r="K7" s="377"/>
      <c r="L7" s="378"/>
      <c r="M7" s="379"/>
      <c r="N7" s="342"/>
    </row>
    <row r="8" spans="1:14" s="392" customFormat="1" ht="24" customHeight="1" x14ac:dyDescent="0.15">
      <c r="A8" s="384" t="s">
        <v>149</v>
      </c>
      <c r="B8" s="385"/>
      <c r="C8" s="386">
        <f>H31</f>
        <v>881818</v>
      </c>
      <c r="D8" s="387"/>
      <c r="E8" s="388"/>
      <c r="F8" s="352"/>
      <c r="G8" s="364" t="s">
        <v>150</v>
      </c>
      <c r="H8" s="365" t="s">
        <v>151</v>
      </c>
      <c r="I8" s="365"/>
      <c r="J8" s="377"/>
      <c r="K8" s="389" t="s">
        <v>152</v>
      </c>
      <c r="L8" s="390" t="s">
        <v>153</v>
      </c>
      <c r="M8" s="391"/>
      <c r="N8" s="342"/>
    </row>
    <row r="9" spans="1:14" s="403" customFormat="1" ht="24" customHeight="1" thickBot="1" x14ac:dyDescent="0.2">
      <c r="A9" s="393"/>
      <c r="B9" s="394"/>
      <c r="C9" s="395"/>
      <c r="D9" s="396"/>
      <c r="E9" s="397"/>
      <c r="F9" s="352"/>
      <c r="G9" s="398" t="s">
        <v>154</v>
      </c>
      <c r="H9" s="399" t="s">
        <v>155</v>
      </c>
      <c r="I9" s="399"/>
      <c r="J9" s="399"/>
      <c r="K9" s="400" t="s">
        <v>156</v>
      </c>
      <c r="L9" s="401" t="s">
        <v>157</v>
      </c>
      <c r="M9" s="402"/>
      <c r="N9" s="342"/>
    </row>
    <row r="10" spans="1:14" s="410" customFormat="1" ht="26.25" customHeight="1" x14ac:dyDescent="0.15">
      <c r="A10" s="404"/>
      <c r="B10" s="404"/>
      <c r="C10" s="405"/>
      <c r="D10" s="406"/>
      <c r="E10" s="407"/>
      <c r="F10" s="408"/>
      <c r="G10" s="408"/>
      <c r="H10" s="408"/>
      <c r="I10" s="408"/>
      <c r="J10" s="408"/>
      <c r="K10" s="408"/>
      <c r="L10" s="408"/>
      <c r="M10" s="409"/>
      <c r="N10" s="342"/>
    </row>
    <row r="11" spans="1:14" s="410" customFormat="1" ht="24.75" customHeight="1" x14ac:dyDescent="0.15">
      <c r="A11" s="392" t="s">
        <v>158</v>
      </c>
      <c r="D11" s="411"/>
      <c r="K11" s="408"/>
      <c r="L11" s="408"/>
      <c r="M11" s="409"/>
      <c r="N11" s="342"/>
    </row>
    <row r="12" spans="1:14" s="412" customFormat="1" ht="27" customHeight="1" x14ac:dyDescent="0.15">
      <c r="A12" s="410"/>
      <c r="B12" s="410"/>
      <c r="C12" s="410"/>
      <c r="D12" s="410"/>
      <c r="E12" s="410"/>
      <c r="F12" s="410"/>
      <c r="G12" s="410"/>
      <c r="H12" s="410"/>
      <c r="I12" s="410"/>
      <c r="J12" s="410"/>
      <c r="K12" s="408"/>
      <c r="L12" s="408"/>
      <c r="M12" s="409"/>
      <c r="N12" s="342"/>
    </row>
    <row r="13" spans="1:14" s="417" customFormat="1" ht="22.5" customHeight="1" x14ac:dyDescent="0.15">
      <c r="A13" s="413" t="s">
        <v>159</v>
      </c>
      <c r="B13" s="414"/>
      <c r="C13" s="414"/>
      <c r="D13" s="410"/>
      <c r="E13" s="410"/>
      <c r="F13" s="410"/>
      <c r="G13" s="410"/>
      <c r="H13" s="410"/>
      <c r="I13" s="410"/>
      <c r="J13" s="410"/>
      <c r="K13" s="408"/>
      <c r="L13" s="415"/>
      <c r="M13" s="416"/>
      <c r="N13" s="342"/>
    </row>
    <row r="14" spans="1:14" s="422" customFormat="1" ht="27" customHeight="1" thickBot="1" x14ac:dyDescent="0.2">
      <c r="A14" s="418" t="s">
        <v>160</v>
      </c>
      <c r="B14" s="419" t="s">
        <v>161</v>
      </c>
      <c r="C14" s="420"/>
      <c r="D14" s="421"/>
      <c r="E14" s="419" t="s">
        <v>162</v>
      </c>
      <c r="F14" s="420"/>
      <c r="G14" s="421"/>
      <c r="H14" s="419" t="s">
        <v>163</v>
      </c>
      <c r="I14" s="420"/>
      <c r="J14" s="421"/>
      <c r="K14" s="421" t="s">
        <v>164</v>
      </c>
      <c r="L14" s="421"/>
      <c r="M14" s="419"/>
      <c r="N14" s="342"/>
    </row>
    <row r="15" spans="1:14" ht="27" customHeight="1" thickTop="1" x14ac:dyDescent="0.15">
      <c r="A15" s="423" t="s">
        <v>165</v>
      </c>
      <c r="B15" s="424" t="s">
        <v>166</v>
      </c>
      <c r="C15" s="424"/>
      <c r="D15" s="425"/>
      <c r="E15" s="426" t="s">
        <v>167</v>
      </c>
      <c r="F15" s="427"/>
      <c r="G15" s="428"/>
      <c r="H15" s="426">
        <f>[6]을지!F11</f>
        <v>719091</v>
      </c>
      <c r="I15" s="427"/>
      <c r="J15" s="428"/>
      <c r="K15" s="426"/>
      <c r="L15" s="427"/>
      <c r="M15" s="427"/>
      <c r="N15" s="429"/>
    </row>
    <row r="16" spans="1:14" ht="27" customHeight="1" x14ac:dyDescent="0.15">
      <c r="A16" s="430"/>
      <c r="B16" s="431" t="s">
        <v>168</v>
      </c>
      <c r="C16" s="432"/>
      <c r="D16" s="433"/>
      <c r="E16" s="434"/>
      <c r="F16" s="435"/>
      <c r="G16" s="436"/>
      <c r="H16" s="437">
        <v>0</v>
      </c>
      <c r="I16" s="438"/>
      <c r="J16" s="439"/>
      <c r="K16" s="437"/>
      <c r="L16" s="438"/>
      <c r="M16" s="438"/>
      <c r="N16" s="429"/>
    </row>
    <row r="17" spans="1:15" ht="27" customHeight="1" x14ac:dyDescent="0.15">
      <c r="A17" s="440"/>
      <c r="B17" s="441" t="s">
        <v>169</v>
      </c>
      <c r="C17" s="442"/>
      <c r="D17" s="443"/>
      <c r="E17" s="444"/>
      <c r="F17" s="445"/>
      <c r="G17" s="446"/>
      <c r="H17" s="444">
        <f>SUM(H15:J16)</f>
        <v>719091</v>
      </c>
      <c r="I17" s="445"/>
      <c r="J17" s="446"/>
      <c r="K17" s="444"/>
      <c r="L17" s="445"/>
      <c r="M17" s="445"/>
      <c r="N17" s="429"/>
    </row>
    <row r="18" spans="1:15" ht="27" customHeight="1" x14ac:dyDescent="0.15">
      <c r="A18" s="447" t="s">
        <v>170</v>
      </c>
      <c r="B18" s="431" t="s">
        <v>171</v>
      </c>
      <c r="C18" s="432"/>
      <c r="D18" s="433"/>
      <c r="E18" s="434" t="s">
        <v>172</v>
      </c>
      <c r="F18" s="435"/>
      <c r="G18" s="436"/>
      <c r="H18" s="437">
        <f>[6]을지!H11</f>
        <v>162727</v>
      </c>
      <c r="I18" s="438"/>
      <c r="J18" s="439"/>
      <c r="K18" s="437"/>
      <c r="L18" s="438"/>
      <c r="M18" s="438"/>
      <c r="N18" s="429"/>
    </row>
    <row r="19" spans="1:15" ht="27" customHeight="1" x14ac:dyDescent="0.15">
      <c r="A19" s="430"/>
      <c r="B19" s="448" t="s">
        <v>173</v>
      </c>
      <c r="C19" s="449"/>
      <c r="D19" s="450"/>
      <c r="E19" s="434"/>
      <c r="F19" s="435"/>
      <c r="G19" s="436"/>
      <c r="H19" s="437">
        <v>0</v>
      </c>
      <c r="I19" s="438"/>
      <c r="J19" s="439"/>
      <c r="K19" s="437"/>
      <c r="L19" s="438"/>
      <c r="M19" s="438"/>
      <c r="N19" s="429"/>
    </row>
    <row r="20" spans="1:15" ht="27" customHeight="1" x14ac:dyDescent="0.15">
      <c r="A20" s="440"/>
      <c r="B20" s="441" t="s">
        <v>169</v>
      </c>
      <c r="C20" s="442"/>
      <c r="D20" s="443"/>
      <c r="E20" s="444"/>
      <c r="F20" s="445"/>
      <c r="G20" s="446"/>
      <c r="H20" s="444">
        <f>SUM(H18:J19)</f>
        <v>162727</v>
      </c>
      <c r="I20" s="445"/>
      <c r="J20" s="446"/>
      <c r="K20" s="444"/>
      <c r="L20" s="445"/>
      <c r="M20" s="445"/>
      <c r="N20" s="429"/>
    </row>
    <row r="21" spans="1:15" ht="27" customHeight="1" x14ac:dyDescent="0.15">
      <c r="A21" s="451" t="s">
        <v>174</v>
      </c>
      <c r="B21" s="448" t="s">
        <v>0</v>
      </c>
      <c r="C21" s="449"/>
      <c r="D21" s="450"/>
      <c r="E21" s="434" t="s">
        <v>175</v>
      </c>
      <c r="F21" s="435"/>
      <c r="G21" s="436"/>
      <c r="H21" s="437"/>
      <c r="I21" s="438"/>
      <c r="J21" s="439"/>
      <c r="K21" s="437"/>
      <c r="L21" s="438"/>
      <c r="M21" s="438"/>
      <c r="N21" s="429"/>
    </row>
    <row r="22" spans="1:15" ht="27" customHeight="1" x14ac:dyDescent="0.15">
      <c r="A22" s="452"/>
      <c r="B22" s="448" t="s">
        <v>176</v>
      </c>
      <c r="C22" s="449"/>
      <c r="D22" s="450"/>
      <c r="E22" s="434" t="s">
        <v>177</v>
      </c>
      <c r="F22" s="435"/>
      <c r="G22" s="436"/>
      <c r="H22" s="437"/>
      <c r="I22" s="438"/>
      <c r="J22" s="439"/>
      <c r="K22" s="437"/>
      <c r="L22" s="438"/>
      <c r="M22" s="438"/>
      <c r="N22" s="429"/>
    </row>
    <row r="23" spans="1:15" ht="27" customHeight="1" x14ac:dyDescent="0.15">
      <c r="A23" s="452"/>
      <c r="B23" s="448" t="s">
        <v>178</v>
      </c>
      <c r="C23" s="449"/>
      <c r="D23" s="450"/>
      <c r="E23" s="434" t="s">
        <v>179</v>
      </c>
      <c r="F23" s="435"/>
      <c r="G23" s="436"/>
      <c r="H23" s="437"/>
      <c r="I23" s="438"/>
      <c r="J23" s="439"/>
      <c r="K23" s="453"/>
      <c r="L23" s="454"/>
      <c r="M23" s="454"/>
      <c r="N23" s="429"/>
    </row>
    <row r="24" spans="1:15" ht="27" customHeight="1" x14ac:dyDescent="0.15">
      <c r="A24" s="452"/>
      <c r="B24" s="448" t="s">
        <v>180</v>
      </c>
      <c r="C24" s="449"/>
      <c r="D24" s="450"/>
      <c r="E24" s="434" t="s">
        <v>181</v>
      </c>
      <c r="F24" s="435"/>
      <c r="G24" s="436"/>
      <c r="H24" s="437"/>
      <c r="I24" s="438"/>
      <c r="J24" s="439"/>
      <c r="K24" s="453"/>
      <c r="L24" s="454"/>
      <c r="M24" s="454"/>
      <c r="N24" s="429"/>
    </row>
    <row r="25" spans="1:15" ht="27" customHeight="1" x14ac:dyDescent="0.15">
      <c r="A25" s="452"/>
      <c r="B25" s="448" t="s">
        <v>182</v>
      </c>
      <c r="C25" s="449"/>
      <c r="D25" s="450"/>
      <c r="E25" s="434" t="s">
        <v>183</v>
      </c>
      <c r="F25" s="435"/>
      <c r="G25" s="436"/>
      <c r="H25" s="437"/>
      <c r="I25" s="438"/>
      <c r="J25" s="439"/>
      <c r="K25" s="453"/>
      <c r="L25" s="454"/>
      <c r="M25" s="454"/>
      <c r="N25" s="429"/>
    </row>
    <row r="26" spans="1:15" ht="27" customHeight="1" x14ac:dyDescent="0.15">
      <c r="A26" s="452"/>
      <c r="B26" s="448" t="s">
        <v>184</v>
      </c>
      <c r="C26" s="449"/>
      <c r="D26" s="450"/>
      <c r="E26" s="434" t="s">
        <v>185</v>
      </c>
      <c r="F26" s="435"/>
      <c r="G26" s="436"/>
      <c r="H26" s="437"/>
      <c r="I26" s="438"/>
      <c r="J26" s="439"/>
      <c r="K26" s="453"/>
      <c r="L26" s="454"/>
      <c r="M26" s="454"/>
      <c r="N26" s="429"/>
    </row>
    <row r="27" spans="1:15" ht="27" customHeight="1" x14ac:dyDescent="0.15">
      <c r="A27" s="455"/>
      <c r="B27" s="441" t="s">
        <v>169</v>
      </c>
      <c r="C27" s="442"/>
      <c r="D27" s="443"/>
      <c r="E27" s="444"/>
      <c r="F27" s="445"/>
      <c r="G27" s="446"/>
      <c r="H27" s="444">
        <f>SUM(H21:J26)</f>
        <v>0</v>
      </c>
      <c r="I27" s="445"/>
      <c r="J27" s="446"/>
      <c r="K27" s="444"/>
      <c r="L27" s="445"/>
      <c r="M27" s="445"/>
      <c r="N27" s="429"/>
    </row>
    <row r="28" spans="1:15" ht="27" customHeight="1" x14ac:dyDescent="0.15">
      <c r="A28" s="456" t="s">
        <v>186</v>
      </c>
      <c r="B28" s="457"/>
      <c r="C28" s="457"/>
      <c r="D28" s="371"/>
      <c r="E28" s="434" t="s">
        <v>187</v>
      </c>
      <c r="F28" s="435"/>
      <c r="G28" s="436"/>
      <c r="H28" s="444"/>
      <c r="I28" s="445"/>
      <c r="J28" s="446"/>
      <c r="K28" s="444"/>
      <c r="L28" s="445"/>
      <c r="M28" s="445"/>
      <c r="N28" s="429"/>
    </row>
    <row r="29" spans="1:15" ht="27" customHeight="1" x14ac:dyDescent="0.15">
      <c r="A29" s="456" t="s">
        <v>188</v>
      </c>
      <c r="B29" s="457"/>
      <c r="C29" s="457"/>
      <c r="D29" s="371"/>
      <c r="E29" s="458" t="s">
        <v>189</v>
      </c>
      <c r="F29" s="459"/>
      <c r="G29" s="460"/>
      <c r="H29" s="444"/>
      <c r="I29" s="445"/>
      <c r="J29" s="446"/>
      <c r="K29" s="461"/>
      <c r="L29" s="462"/>
      <c r="M29" s="462"/>
      <c r="N29" s="429"/>
    </row>
    <row r="30" spans="1:15" ht="27" customHeight="1" x14ac:dyDescent="0.15">
      <c r="A30" s="463" t="s">
        <v>190</v>
      </c>
      <c r="B30" s="464"/>
      <c r="C30" s="464"/>
      <c r="D30" s="465"/>
      <c r="E30" s="466"/>
      <c r="F30" s="467"/>
      <c r="G30" s="468"/>
      <c r="H30" s="469"/>
      <c r="I30" s="470"/>
      <c r="J30" s="471"/>
      <c r="K30" s="472"/>
      <c r="L30" s="473"/>
      <c r="M30" s="473"/>
      <c r="N30" s="429"/>
    </row>
    <row r="31" spans="1:15" ht="27" customHeight="1" x14ac:dyDescent="0.15">
      <c r="A31" s="456" t="s">
        <v>191</v>
      </c>
      <c r="B31" s="457"/>
      <c r="C31" s="457"/>
      <c r="D31" s="371"/>
      <c r="E31" s="474"/>
      <c r="F31" s="475">
        <f>H31</f>
        <v>881818</v>
      </c>
      <c r="G31" s="476"/>
      <c r="H31" s="444">
        <f>H17+H20+H27+H28+H30+H29</f>
        <v>881818</v>
      </c>
      <c r="I31" s="445"/>
      <c r="J31" s="446"/>
      <c r="K31" s="477" t="s">
        <v>192</v>
      </c>
      <c r="L31" s="478"/>
      <c r="M31" s="478"/>
      <c r="N31" s="429"/>
      <c r="O31" s="479"/>
    </row>
    <row r="32" spans="1:15" ht="11.25" customHeight="1" x14ac:dyDescent="0.15">
      <c r="A32" s="480"/>
      <c r="B32" s="481"/>
      <c r="C32" s="481"/>
      <c r="D32" s="481"/>
      <c r="E32" s="481"/>
      <c r="F32" s="481"/>
      <c r="G32" s="481"/>
      <c r="H32" s="481"/>
      <c r="I32" s="481"/>
      <c r="J32" s="481"/>
      <c r="K32" s="481"/>
      <c r="L32" s="481"/>
      <c r="M32" s="481"/>
      <c r="N32" s="429"/>
    </row>
    <row r="33" spans="1:14" ht="30" customHeight="1" x14ac:dyDescent="0.15">
      <c r="A33" s="482" t="s">
        <v>193</v>
      </c>
      <c r="B33" s="483"/>
      <c r="C33" s="481"/>
      <c r="D33" s="481"/>
      <c r="E33" s="481"/>
      <c r="F33" s="481"/>
      <c r="G33" s="481"/>
      <c r="H33" s="481"/>
      <c r="I33" s="481"/>
      <c r="J33" s="481"/>
      <c r="K33" s="481"/>
      <c r="L33" s="481"/>
      <c r="M33" s="481"/>
      <c r="N33" s="429"/>
    </row>
    <row r="34" spans="1:14" ht="6" customHeight="1" x14ac:dyDescent="0.15">
      <c r="A34" s="484" t="s">
        <v>194</v>
      </c>
      <c r="B34" s="485"/>
      <c r="C34" s="485"/>
      <c r="D34" s="485"/>
      <c r="E34" s="485"/>
      <c r="F34" s="485"/>
      <c r="G34" s="485"/>
      <c r="H34" s="485"/>
      <c r="I34" s="485"/>
      <c r="J34" s="485"/>
      <c r="K34" s="485"/>
      <c r="L34" s="485"/>
      <c r="M34" s="485"/>
    </row>
    <row r="35" spans="1:14" ht="86.25" customHeight="1" x14ac:dyDescent="0.15">
      <c r="A35" s="486"/>
      <c r="B35" s="487"/>
      <c r="C35" s="487"/>
      <c r="D35" s="487"/>
      <c r="E35" s="487"/>
      <c r="F35" s="487"/>
      <c r="G35" s="487"/>
      <c r="H35" s="487"/>
      <c r="I35" s="487"/>
      <c r="J35" s="487"/>
      <c r="K35" s="487"/>
      <c r="L35" s="487"/>
      <c r="M35" s="487"/>
    </row>
    <row r="36" spans="1:14" ht="64.5" customHeight="1" x14ac:dyDescent="0.15">
      <c r="A36" s="486"/>
      <c r="B36" s="487"/>
      <c r="C36" s="487"/>
      <c r="D36" s="487"/>
      <c r="E36" s="487"/>
      <c r="F36" s="487"/>
      <c r="G36" s="487"/>
      <c r="H36" s="487"/>
      <c r="I36" s="487"/>
      <c r="J36" s="487"/>
      <c r="K36" s="487"/>
      <c r="L36" s="487"/>
      <c r="M36" s="487"/>
    </row>
    <row r="37" spans="1:14" ht="30" customHeight="1" x14ac:dyDescent="0.15">
      <c r="A37" s="488" t="s">
        <v>195</v>
      </c>
      <c r="B37" s="489"/>
      <c r="C37" s="490" t="s">
        <v>196</v>
      </c>
      <c r="D37" s="491"/>
      <c r="E37" s="492" t="s">
        <v>197</v>
      </c>
      <c r="F37" s="490" t="s">
        <v>155</v>
      </c>
      <c r="G37" s="491"/>
      <c r="H37" s="492"/>
      <c r="I37" s="490"/>
      <c r="J37" s="491"/>
      <c r="K37" s="492" t="s">
        <v>198</v>
      </c>
      <c r="L37" s="493" t="s">
        <v>157</v>
      </c>
      <c r="M37" s="493"/>
    </row>
    <row r="38" spans="1:14" ht="18" customHeight="1" x14ac:dyDescent="0.15">
      <c r="A38" s="480"/>
      <c r="B38" s="481"/>
      <c r="C38" s="481"/>
      <c r="D38" s="481"/>
      <c r="E38" s="481"/>
      <c r="F38" s="481"/>
      <c r="G38" s="481"/>
      <c r="H38" s="481"/>
      <c r="I38" s="481"/>
      <c r="J38" s="481"/>
      <c r="K38" s="481"/>
      <c r="L38" s="481"/>
      <c r="M38" s="481"/>
    </row>
    <row r="39" spans="1:14" ht="18" customHeight="1" x14ac:dyDescent="0.15">
      <c r="A39" s="480"/>
      <c r="B39" s="481"/>
      <c r="C39" s="481"/>
      <c r="D39" s="481"/>
      <c r="E39" s="481"/>
      <c r="F39" s="481"/>
      <c r="G39" s="481"/>
      <c r="H39" s="481"/>
      <c r="I39" s="481"/>
      <c r="J39" s="481"/>
      <c r="K39" s="481"/>
      <c r="L39" s="481"/>
      <c r="M39" s="481"/>
    </row>
    <row r="40" spans="1:14" ht="18" customHeight="1" x14ac:dyDescent="0.15">
      <c r="A40" s="480"/>
      <c r="B40" s="481"/>
      <c r="C40" s="481"/>
      <c r="D40" s="481"/>
      <c r="E40" s="494"/>
      <c r="F40" s="495"/>
      <c r="G40" s="495"/>
      <c r="H40" s="496"/>
      <c r="I40" s="497"/>
      <c r="J40" s="498"/>
      <c r="K40" s="497"/>
      <c r="L40" s="494"/>
      <c r="M40" s="494"/>
    </row>
    <row r="41" spans="1:14" ht="18" customHeight="1" x14ac:dyDescent="0.15">
      <c r="A41" s="499"/>
      <c r="B41" s="500"/>
      <c r="C41" s="500"/>
      <c r="D41" s="500"/>
      <c r="E41" s="501"/>
      <c r="F41" s="502"/>
      <c r="G41" s="502"/>
      <c r="H41" s="503"/>
      <c r="I41" s="504"/>
      <c r="J41" s="505"/>
      <c r="K41" s="504"/>
      <c r="L41" s="501"/>
      <c r="M41" s="501"/>
    </row>
    <row r="42" spans="1:14" ht="31.5" customHeight="1" x14ac:dyDescent="0.15">
      <c r="A42" s="481"/>
      <c r="B42" s="481"/>
      <c r="C42" s="481"/>
      <c r="D42" s="481"/>
      <c r="E42" s="481"/>
      <c r="F42" s="481"/>
      <c r="G42" s="481"/>
      <c r="H42" s="481"/>
      <c r="I42" s="481"/>
      <c r="J42" s="481"/>
      <c r="K42" s="481"/>
      <c r="L42" s="481"/>
      <c r="M42" s="481"/>
    </row>
  </sheetData>
  <mergeCells count="99">
    <mergeCell ref="F40:G40"/>
    <mergeCell ref="F41:G41"/>
    <mergeCell ref="A34:M36"/>
    <mergeCell ref="A37:B37"/>
    <mergeCell ref="C37:D37"/>
    <mergeCell ref="F37:G37"/>
    <mergeCell ref="I37:J37"/>
    <mergeCell ref="L37:M37"/>
    <mergeCell ref="A30:D30"/>
    <mergeCell ref="H30:J30"/>
    <mergeCell ref="A31:D31"/>
    <mergeCell ref="H31:J31"/>
    <mergeCell ref="K31:M31"/>
    <mergeCell ref="A33:B33"/>
    <mergeCell ref="K27:M27"/>
    <mergeCell ref="A28:D28"/>
    <mergeCell ref="E28:G28"/>
    <mergeCell ref="H28:J28"/>
    <mergeCell ref="K28:M28"/>
    <mergeCell ref="A29:D29"/>
    <mergeCell ref="E29:G29"/>
    <mergeCell ref="H29:J29"/>
    <mergeCell ref="B26:D26"/>
    <mergeCell ref="E26:G26"/>
    <mergeCell ref="H26:J26"/>
    <mergeCell ref="B27:D27"/>
    <mergeCell ref="E27:G27"/>
    <mergeCell ref="H27:J27"/>
    <mergeCell ref="E23:G23"/>
    <mergeCell ref="H23:J23"/>
    <mergeCell ref="B24:D24"/>
    <mergeCell ref="E24:G24"/>
    <mergeCell ref="H24:J24"/>
    <mergeCell ref="B25:D25"/>
    <mergeCell ref="E25:G25"/>
    <mergeCell ref="H25:J25"/>
    <mergeCell ref="A21:A27"/>
    <mergeCell ref="B21:D21"/>
    <mergeCell ref="E21:G21"/>
    <mergeCell ref="H21:J21"/>
    <mergeCell ref="K21:M21"/>
    <mergeCell ref="B22:D22"/>
    <mergeCell ref="E22:G22"/>
    <mergeCell ref="H22:J22"/>
    <mergeCell ref="K22:M22"/>
    <mergeCell ref="B23:D23"/>
    <mergeCell ref="H19:J19"/>
    <mergeCell ref="K19:M19"/>
    <mergeCell ref="B20:D20"/>
    <mergeCell ref="E20:G20"/>
    <mergeCell ref="H20:J20"/>
    <mergeCell ref="K20:M20"/>
    <mergeCell ref="E17:G17"/>
    <mergeCell ref="H17:J17"/>
    <mergeCell ref="K17:M17"/>
    <mergeCell ref="A18:A20"/>
    <mergeCell ref="B18:D18"/>
    <mergeCell ref="E18:G18"/>
    <mergeCell ref="H18:J18"/>
    <mergeCell ref="K18:M18"/>
    <mergeCell ref="B19:D19"/>
    <mergeCell ref="E19:G19"/>
    <mergeCell ref="A15:A17"/>
    <mergeCell ref="B15:D15"/>
    <mergeCell ref="E15:G15"/>
    <mergeCell ref="H15:J15"/>
    <mergeCell ref="K15:M15"/>
    <mergeCell ref="B16:D16"/>
    <mergeCell ref="E16:G16"/>
    <mergeCell ref="H16:J16"/>
    <mergeCell ref="K16:M16"/>
    <mergeCell ref="B17:D17"/>
    <mergeCell ref="C10:E10"/>
    <mergeCell ref="A13:C13"/>
    <mergeCell ref="B14:D14"/>
    <mergeCell ref="E14:G14"/>
    <mergeCell ref="H14:J14"/>
    <mergeCell ref="K14:M14"/>
    <mergeCell ref="A8:B9"/>
    <mergeCell ref="C8:E9"/>
    <mergeCell ref="F8:F9"/>
    <mergeCell ref="H8:J8"/>
    <mergeCell ref="L8:M8"/>
    <mergeCell ref="H9:J9"/>
    <mergeCell ref="L9:M9"/>
    <mergeCell ref="A6:B6"/>
    <mergeCell ref="C6:E6"/>
    <mergeCell ref="G6:G7"/>
    <mergeCell ref="H6:M7"/>
    <mergeCell ref="A7:B7"/>
    <mergeCell ref="C7:E7"/>
    <mergeCell ref="A1:M1"/>
    <mergeCell ref="A2:M2"/>
    <mergeCell ref="A4:E4"/>
    <mergeCell ref="H4:M4"/>
    <mergeCell ref="A5:B5"/>
    <mergeCell ref="C5:E5"/>
    <mergeCell ref="H5:J5"/>
    <mergeCell ref="L5:M5"/>
  </mergeCells>
  <phoneticPr fontId="3" type="noConversion"/>
  <pageMargins left="0.31496062992125984" right="0.31496062992125984" top="0.59055118110236227" bottom="0.59055118110236227" header="0" footer="0"/>
  <pageSetup paperSize="9" scale="67"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DC8F-29C5-42F3-AD40-C2267AC3D7A7}">
  <dimension ref="A1:I42"/>
  <sheetViews>
    <sheetView view="pageBreakPreview" topLeftCell="A4" zoomScale="85" zoomScaleNormal="100" zoomScaleSheetLayoutView="85" workbookViewId="0">
      <selection activeCell="A42" sqref="A42"/>
    </sheetView>
  </sheetViews>
  <sheetFormatPr defaultRowHeight="13.5" x14ac:dyDescent="0.15"/>
  <cols>
    <col min="1" max="1" width="14.109375" customWidth="1"/>
    <col min="2" max="2" width="14.77734375" customWidth="1"/>
    <col min="3" max="3" width="18.77734375" customWidth="1"/>
    <col min="4" max="4" width="11.109375" style="92" customWidth="1"/>
    <col min="5" max="6" width="11.88671875" customWidth="1"/>
    <col min="7" max="7" width="24" customWidth="1"/>
    <col min="8" max="8" width="16.109375" bestFit="1" customWidth="1"/>
    <col min="9" max="9" width="13.44140625" bestFit="1" customWidth="1"/>
  </cols>
  <sheetData>
    <row r="1" spans="1:9" x14ac:dyDescent="0.15">
      <c r="A1" s="308" t="s">
        <v>20</v>
      </c>
      <c r="B1" s="309"/>
      <c r="C1" s="309"/>
      <c r="D1" s="309"/>
      <c r="E1" s="309"/>
      <c r="F1" s="309"/>
      <c r="G1" s="310"/>
    </row>
    <row r="2" spans="1:9" x14ac:dyDescent="0.15">
      <c r="A2" s="311"/>
      <c r="B2" s="312"/>
      <c r="C2" s="312"/>
      <c r="D2" s="312"/>
      <c r="E2" s="312"/>
      <c r="F2" s="312"/>
      <c r="G2" s="313"/>
    </row>
    <row r="3" spans="1:9" ht="26.1" customHeight="1" thickBot="1" x14ac:dyDescent="0.2">
      <c r="A3" s="314"/>
      <c r="B3" s="315"/>
      <c r="C3" s="315"/>
      <c r="D3" s="315"/>
      <c r="E3" s="315"/>
      <c r="F3" s="315"/>
      <c r="G3" s="316"/>
    </row>
    <row r="4" spans="1:9" ht="20.25" x14ac:dyDescent="0.15">
      <c r="A4" s="36" t="s">
        <v>21</v>
      </c>
      <c r="B4" s="37" t="s">
        <v>15</v>
      </c>
      <c r="C4" s="37" t="s">
        <v>22</v>
      </c>
      <c r="D4" s="85"/>
      <c r="E4" s="37"/>
      <c r="F4" s="38"/>
      <c r="G4" s="39"/>
    </row>
    <row r="5" spans="1:9" ht="21" thickBot="1" x14ac:dyDescent="0.2">
      <c r="A5" s="317" t="s">
        <v>58</v>
      </c>
      <c r="B5" s="318"/>
      <c r="C5" s="318"/>
      <c r="D5" s="86"/>
      <c r="E5" s="37" t="s">
        <v>23</v>
      </c>
      <c r="F5" s="37"/>
      <c r="G5" s="40"/>
    </row>
    <row r="6" spans="1:9" ht="23.45" customHeight="1" x14ac:dyDescent="0.15">
      <c r="A6" s="41" t="s">
        <v>16</v>
      </c>
      <c r="B6" s="319">
        <v>45954</v>
      </c>
      <c r="C6" s="320"/>
      <c r="D6" s="87"/>
      <c r="E6" s="42" t="s">
        <v>24</v>
      </c>
      <c r="F6" s="42"/>
      <c r="G6" s="43"/>
    </row>
    <row r="7" spans="1:9" ht="23.45" customHeight="1" x14ac:dyDescent="0.15">
      <c r="A7" s="44" t="s">
        <v>25</v>
      </c>
      <c r="B7" s="321" t="e">
        <f>#REF!</f>
        <v>#REF!</v>
      </c>
      <c r="C7" s="322"/>
      <c r="D7" s="88" t="s">
        <v>26</v>
      </c>
      <c r="E7" s="45"/>
      <c r="F7" s="46"/>
      <c r="G7" s="43"/>
    </row>
    <row r="8" spans="1:9" ht="15.6" customHeight="1" x14ac:dyDescent="0.15">
      <c r="A8" s="44" t="s">
        <v>27</v>
      </c>
      <c r="B8" s="321" t="s">
        <v>28</v>
      </c>
      <c r="C8" s="322"/>
      <c r="D8" s="89" t="s">
        <v>29</v>
      </c>
      <c r="E8" s="47"/>
      <c r="F8" s="47"/>
      <c r="G8" s="48"/>
    </row>
    <row r="9" spans="1:9" ht="15.6" customHeight="1" x14ac:dyDescent="0.15">
      <c r="A9" s="44" t="s">
        <v>30</v>
      </c>
      <c r="B9" s="321" t="s">
        <v>31</v>
      </c>
      <c r="C9" s="322"/>
      <c r="D9" s="89" t="s">
        <v>32</v>
      </c>
      <c r="E9" s="47"/>
      <c r="F9" s="47"/>
      <c r="G9" s="48"/>
    </row>
    <row r="10" spans="1:9" ht="19.899999999999999" customHeight="1" thickBot="1" x14ac:dyDescent="0.2">
      <c r="A10" s="49" t="s">
        <v>17</v>
      </c>
      <c r="B10" s="326">
        <f>G34</f>
        <v>881818</v>
      </c>
      <c r="C10" s="327"/>
      <c r="D10" s="90" t="s">
        <v>33</v>
      </c>
      <c r="E10" s="47"/>
      <c r="F10" s="47"/>
      <c r="G10" s="48"/>
    </row>
    <row r="11" spans="1:9" ht="16.149999999999999" customHeight="1" x14ac:dyDescent="0.15">
      <c r="A11" s="50"/>
      <c r="B11" s="51"/>
      <c r="C11" s="52"/>
      <c r="D11" s="90" t="s">
        <v>33</v>
      </c>
      <c r="E11" s="47" t="s">
        <v>34</v>
      </c>
      <c r="F11" s="47"/>
      <c r="G11" s="48"/>
    </row>
    <row r="12" spans="1:9" ht="16.149999999999999" customHeight="1" x14ac:dyDescent="0.15">
      <c r="A12" s="50"/>
      <c r="B12" s="51"/>
      <c r="C12" s="51"/>
      <c r="D12" s="91"/>
      <c r="E12" s="47"/>
      <c r="F12" s="47"/>
      <c r="G12" s="53"/>
    </row>
    <row r="13" spans="1:9" ht="16.149999999999999" customHeight="1" x14ac:dyDescent="0.15">
      <c r="A13" s="328" t="s">
        <v>35</v>
      </c>
      <c r="B13" s="329"/>
      <c r="C13" s="329"/>
      <c r="D13" s="329"/>
      <c r="E13" s="329"/>
      <c r="F13" s="329"/>
      <c r="G13" s="330"/>
      <c r="I13" s="92"/>
    </row>
    <row r="14" spans="1:9" ht="15" customHeight="1" x14ac:dyDescent="0.15">
      <c r="A14" s="54"/>
      <c r="B14" s="46"/>
      <c r="C14" s="46"/>
      <c r="D14" s="93"/>
      <c r="E14" s="46"/>
      <c r="F14" s="46"/>
      <c r="G14" s="53"/>
      <c r="I14" s="79"/>
    </row>
    <row r="15" spans="1:9" ht="18" x14ac:dyDescent="0.15">
      <c r="A15" s="331" t="s">
        <v>18</v>
      </c>
      <c r="B15" s="332"/>
      <c r="C15" s="332"/>
      <c r="D15" s="332"/>
      <c r="E15" s="332"/>
      <c r="F15" s="332"/>
      <c r="G15" s="333"/>
    </row>
    <row r="16" spans="1:9" ht="15" thickBot="1" x14ac:dyDescent="0.2">
      <c r="A16" s="55"/>
      <c r="B16" s="56"/>
      <c r="C16" s="56"/>
      <c r="D16" s="94"/>
      <c r="E16" s="56"/>
      <c r="F16" s="56"/>
      <c r="G16" s="57" t="s">
        <v>57</v>
      </c>
    </row>
    <row r="17" spans="1:9" ht="14.25" x14ac:dyDescent="0.15">
      <c r="A17" s="334" t="s">
        <v>36</v>
      </c>
      <c r="B17" s="58" t="s">
        <v>37</v>
      </c>
      <c r="C17" s="59" t="s">
        <v>38</v>
      </c>
      <c r="D17" s="338" t="s">
        <v>39</v>
      </c>
      <c r="E17" s="336" t="s">
        <v>40</v>
      </c>
      <c r="F17" s="60" t="s">
        <v>41</v>
      </c>
      <c r="G17" s="61" t="s">
        <v>42</v>
      </c>
    </row>
    <row r="18" spans="1:9" ht="15" thickBot="1" x14ac:dyDescent="0.2">
      <c r="A18" s="335"/>
      <c r="B18" s="62" t="s">
        <v>43</v>
      </c>
      <c r="C18" s="63" t="s">
        <v>44</v>
      </c>
      <c r="D18" s="339"/>
      <c r="E18" s="337"/>
      <c r="F18" s="64" t="s">
        <v>45</v>
      </c>
      <c r="G18" s="65" t="s">
        <v>46</v>
      </c>
    </row>
    <row r="19" spans="1:9" x14ac:dyDescent="0.15">
      <c r="A19" s="116">
        <v>1</v>
      </c>
      <c r="B19" s="121" t="s">
        <v>59</v>
      </c>
      <c r="C19" s="117" t="s">
        <v>61</v>
      </c>
      <c r="D19" s="95">
        <v>572727</v>
      </c>
      <c r="E19" s="83" t="s">
        <v>65</v>
      </c>
      <c r="F19" s="84">
        <v>1</v>
      </c>
      <c r="G19" s="110">
        <f t="shared" ref="G19:G25" si="0">F19*D19</f>
        <v>572727</v>
      </c>
      <c r="H19" s="79">
        <f>G19/1.1</f>
        <v>520660.90909090906</v>
      </c>
      <c r="I19" s="115">
        <v>572727</v>
      </c>
    </row>
    <row r="20" spans="1:9" ht="14.25" x14ac:dyDescent="0.15">
      <c r="A20" s="68">
        <v>2</v>
      </c>
      <c r="B20" s="66" t="s">
        <v>60</v>
      </c>
      <c r="C20" s="118" t="s">
        <v>62</v>
      </c>
      <c r="D20" s="107">
        <v>146364</v>
      </c>
      <c r="E20" s="106" t="s">
        <v>66</v>
      </c>
      <c r="F20" s="108">
        <v>1</v>
      </c>
      <c r="G20" s="111">
        <f t="shared" si="0"/>
        <v>146364</v>
      </c>
      <c r="H20" s="79">
        <f t="shared" ref="H20:H25" si="1">G20/1.1</f>
        <v>133058.18181818179</v>
      </c>
      <c r="I20" s="115">
        <v>146364</v>
      </c>
    </row>
    <row r="21" spans="1:9" ht="14.25" x14ac:dyDescent="0.15">
      <c r="A21" s="68">
        <v>3</v>
      </c>
      <c r="B21" s="66" t="s">
        <v>63</v>
      </c>
      <c r="C21" s="119" t="s">
        <v>64</v>
      </c>
      <c r="D21" s="109">
        <v>162727</v>
      </c>
      <c r="E21" s="105" t="s">
        <v>67</v>
      </c>
      <c r="F21" s="112">
        <v>1</v>
      </c>
      <c r="G21" s="113">
        <f t="shared" si="0"/>
        <v>162727</v>
      </c>
      <c r="H21" s="79">
        <f t="shared" si="1"/>
        <v>147933.63636363635</v>
      </c>
      <c r="I21" s="115">
        <v>162727</v>
      </c>
    </row>
    <row r="22" spans="1:9" ht="14.25" x14ac:dyDescent="0.15">
      <c r="A22" s="68"/>
      <c r="B22" s="80"/>
      <c r="C22" s="119"/>
      <c r="D22" s="109"/>
      <c r="E22" s="105"/>
      <c r="F22" s="112"/>
      <c r="G22" s="113">
        <f t="shared" si="0"/>
        <v>0</v>
      </c>
      <c r="H22" s="79">
        <f t="shared" si="1"/>
        <v>0</v>
      </c>
      <c r="I22" s="115">
        <f>SUM(I19:I21)</f>
        <v>881818</v>
      </c>
    </row>
    <row r="23" spans="1:9" ht="14.25" x14ac:dyDescent="0.15">
      <c r="A23" s="68"/>
      <c r="B23" s="80"/>
      <c r="C23" s="119"/>
      <c r="D23" s="109"/>
      <c r="E23" s="105"/>
      <c r="F23" s="112"/>
      <c r="G23" s="113">
        <f t="shared" si="0"/>
        <v>0</v>
      </c>
      <c r="H23" s="79">
        <f t="shared" si="1"/>
        <v>0</v>
      </c>
      <c r="I23" s="122">
        <f>I22*1.1</f>
        <v>969999.8</v>
      </c>
    </row>
    <row r="24" spans="1:9" ht="14.25" x14ac:dyDescent="0.15">
      <c r="A24" s="68"/>
      <c r="B24" s="80"/>
      <c r="C24" s="119"/>
      <c r="D24" s="97"/>
      <c r="E24" s="66"/>
      <c r="F24" s="98"/>
      <c r="G24" s="113">
        <f t="shared" si="0"/>
        <v>0</v>
      </c>
      <c r="H24" s="79">
        <f t="shared" si="1"/>
        <v>0</v>
      </c>
    </row>
    <row r="25" spans="1:9" ht="14.25" x14ac:dyDescent="0.15">
      <c r="A25" s="68"/>
      <c r="B25" s="80"/>
      <c r="C25" s="120"/>
      <c r="D25" s="97"/>
      <c r="E25" s="66"/>
      <c r="F25" s="67"/>
      <c r="G25" s="113">
        <f t="shared" si="0"/>
        <v>0</v>
      </c>
      <c r="H25" s="79">
        <f t="shared" si="1"/>
        <v>0</v>
      </c>
    </row>
    <row r="26" spans="1:9" ht="14.25" x14ac:dyDescent="0.15">
      <c r="A26" s="68"/>
      <c r="B26" s="80"/>
      <c r="C26" s="66"/>
      <c r="D26" s="97"/>
      <c r="E26" s="66"/>
      <c r="F26" s="67"/>
      <c r="G26" s="96"/>
    </row>
    <row r="27" spans="1:9" ht="14.25" x14ac:dyDescent="0.15">
      <c r="A27" s="68"/>
      <c r="B27" s="80"/>
      <c r="C27" s="80"/>
      <c r="D27" s="99"/>
      <c r="E27" s="80"/>
      <c r="F27" s="80"/>
      <c r="G27" s="96"/>
    </row>
    <row r="28" spans="1:9" ht="14.25" x14ac:dyDescent="0.15">
      <c r="A28" s="68"/>
      <c r="B28" s="80"/>
      <c r="C28" s="80"/>
      <c r="D28" s="99"/>
      <c r="E28" s="80"/>
      <c r="F28" s="80"/>
      <c r="G28" s="96"/>
    </row>
    <row r="29" spans="1:9" ht="14.25" x14ac:dyDescent="0.15">
      <c r="A29" s="68"/>
      <c r="B29" s="80"/>
      <c r="C29" s="80"/>
      <c r="D29" s="99"/>
      <c r="E29" s="80"/>
      <c r="F29" s="80"/>
      <c r="G29" s="96"/>
    </row>
    <row r="30" spans="1:9" ht="14.25" x14ac:dyDescent="0.15">
      <c r="A30" s="68"/>
      <c r="B30" s="80"/>
      <c r="C30" s="80"/>
      <c r="D30" s="99"/>
      <c r="E30" s="80"/>
      <c r="F30" s="80"/>
      <c r="G30" s="96"/>
    </row>
    <row r="31" spans="1:9" ht="14.25" x14ac:dyDescent="0.15">
      <c r="A31" s="68"/>
      <c r="B31" s="80"/>
      <c r="C31" s="80"/>
      <c r="D31" s="99"/>
      <c r="E31" s="80"/>
      <c r="F31" s="80"/>
      <c r="G31" s="96"/>
    </row>
    <row r="32" spans="1:9" ht="14.25" x14ac:dyDescent="0.15">
      <c r="A32" s="68"/>
      <c r="B32" s="80"/>
      <c r="C32" s="80"/>
      <c r="D32" s="99"/>
      <c r="E32" s="80"/>
      <c r="F32" s="80"/>
      <c r="G32" s="96"/>
      <c r="H32" s="79">
        <f>H33*1.1</f>
        <v>2332000</v>
      </c>
    </row>
    <row r="33" spans="1:8" ht="14.25" x14ac:dyDescent="0.15">
      <c r="A33" s="68"/>
      <c r="B33" s="80"/>
      <c r="C33" s="80"/>
      <c r="D33" s="99"/>
      <c r="E33" s="80"/>
      <c r="F33" s="80"/>
      <c r="G33" s="96"/>
      <c r="H33" s="115">
        <v>2120000</v>
      </c>
    </row>
    <row r="34" spans="1:8" ht="15" thickBot="1" x14ac:dyDescent="0.2">
      <c r="A34" s="81" t="s">
        <v>47</v>
      </c>
      <c r="B34" s="82"/>
      <c r="C34" s="82"/>
      <c r="D34" s="100"/>
      <c r="E34" s="82"/>
      <c r="F34" s="82"/>
      <c r="G34" s="101">
        <f>SUM(G19:G33)</f>
        <v>881818</v>
      </c>
      <c r="H34" s="122">
        <f>G34*1.1</f>
        <v>969999.8</v>
      </c>
    </row>
    <row r="35" spans="1:8" ht="15" thickBot="1" x14ac:dyDescent="0.2">
      <c r="A35" s="69" t="s">
        <v>48</v>
      </c>
      <c r="B35" s="70"/>
      <c r="C35" s="70"/>
      <c r="D35" s="102"/>
      <c r="E35" s="70"/>
      <c r="F35" s="70"/>
      <c r="G35" s="71"/>
      <c r="H35" s="115"/>
    </row>
    <row r="36" spans="1:8" ht="14.25" x14ac:dyDescent="0.15">
      <c r="A36" s="323"/>
      <c r="B36" s="324"/>
      <c r="C36" s="324"/>
      <c r="D36" s="324"/>
      <c r="E36" s="324"/>
      <c r="F36" s="324"/>
      <c r="G36" s="325"/>
    </row>
    <row r="37" spans="1:8" ht="14.25" x14ac:dyDescent="0.15">
      <c r="A37" s="72" t="s">
        <v>49</v>
      </c>
      <c r="B37" s="73"/>
      <c r="C37" s="73"/>
      <c r="D37" s="103"/>
      <c r="E37" s="73"/>
      <c r="F37" s="73"/>
      <c r="G37" s="74"/>
    </row>
    <row r="38" spans="1:8" ht="14.25" x14ac:dyDescent="0.15">
      <c r="A38" s="72" t="s">
        <v>50</v>
      </c>
      <c r="B38" s="73"/>
      <c r="C38" s="73"/>
      <c r="D38" s="103"/>
      <c r="E38" s="73"/>
      <c r="F38" s="73"/>
      <c r="G38" s="53"/>
    </row>
    <row r="39" spans="1:8" ht="14.25" x14ac:dyDescent="0.15">
      <c r="A39" s="72" t="s">
        <v>19</v>
      </c>
      <c r="B39" s="73"/>
      <c r="C39" s="73"/>
      <c r="D39" s="103"/>
      <c r="E39" s="73"/>
      <c r="F39" s="73"/>
      <c r="G39" s="53"/>
    </row>
    <row r="40" spans="1:8" ht="14.25" x14ac:dyDescent="0.15">
      <c r="A40" s="72" t="s">
        <v>68</v>
      </c>
      <c r="B40" s="73"/>
      <c r="C40" s="73"/>
      <c r="D40" s="103"/>
      <c r="E40" s="73"/>
      <c r="F40" s="73"/>
      <c r="G40" s="53"/>
    </row>
    <row r="41" spans="1:8" ht="14.25" x14ac:dyDescent="0.15">
      <c r="A41" s="72" t="s">
        <v>51</v>
      </c>
      <c r="B41" s="73"/>
      <c r="C41" s="73"/>
      <c r="D41" s="103"/>
      <c r="E41" s="73"/>
      <c r="F41" s="73"/>
      <c r="G41" s="53"/>
    </row>
    <row r="42" spans="1:8" ht="15" thickBot="1" x14ac:dyDescent="0.2">
      <c r="A42" s="75" t="s">
        <v>52</v>
      </c>
      <c r="B42" s="76"/>
      <c r="C42" s="76"/>
      <c r="D42" s="104"/>
      <c r="E42" s="76"/>
      <c r="F42" s="76"/>
      <c r="G42" s="77"/>
    </row>
  </sheetData>
  <mergeCells count="13">
    <mergeCell ref="B9:C9"/>
    <mergeCell ref="A36:G36"/>
    <mergeCell ref="B10:C10"/>
    <mergeCell ref="A13:G13"/>
    <mergeCell ref="A15:G15"/>
    <mergeCell ref="A17:A18"/>
    <mergeCell ref="E17:E18"/>
    <mergeCell ref="D17:D18"/>
    <mergeCell ref="A1:G3"/>
    <mergeCell ref="A5:C5"/>
    <mergeCell ref="B6:C6"/>
    <mergeCell ref="B7:C7"/>
    <mergeCell ref="B8:C8"/>
  </mergeCells>
  <phoneticPr fontId="3" type="noConversion"/>
  <pageMargins left="0.7" right="0.7" top="0.75" bottom="0.75" header="0.3" footer="0.3"/>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4</vt:i4>
      </vt:variant>
    </vt:vector>
  </HeadingPairs>
  <TitlesOfParts>
    <vt:vector size="8" baseType="lpstr">
      <vt:lpstr>PR당사안</vt:lpstr>
      <vt:lpstr>내역서(표준단가)</vt:lpstr>
      <vt:lpstr>갑지 수리</vt:lpstr>
      <vt:lpstr>을지</vt:lpstr>
      <vt:lpstr>'갑지 수리'!Print_Area</vt:lpstr>
      <vt:lpstr>'내역서(표준단가)'!Print_Area</vt:lpstr>
      <vt:lpstr>을지!Print_Area</vt:lpstr>
      <vt:lpstr>'내역서(표준단가)'!Print_Titles</vt:lpstr>
    </vt:vector>
  </TitlesOfParts>
  <Company>지하철공사</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권남흥</dc:creator>
  <cp:lastModifiedBy>종근 이</cp:lastModifiedBy>
  <cp:lastPrinted>2023-04-18T10:06:14Z</cp:lastPrinted>
  <dcterms:created xsi:type="dcterms:W3CDTF">1990-04-12T21:49:40Z</dcterms:created>
  <dcterms:modified xsi:type="dcterms:W3CDTF">2025-10-24T03:39:34Z</dcterms:modified>
</cp:coreProperties>
</file>
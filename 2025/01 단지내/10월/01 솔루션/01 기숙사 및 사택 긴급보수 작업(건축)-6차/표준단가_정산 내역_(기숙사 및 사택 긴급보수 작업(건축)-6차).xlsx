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현재_통합_문서"/>
  <mc:AlternateContent xmlns:mc="http://schemas.openxmlformats.org/markup-compatibility/2006">
    <mc:Choice Requires="x15">
      <x15ac:absPath xmlns:x15ac="http://schemas.microsoft.com/office/spreadsheetml/2010/11/ac" url="D:\02 기숙사 및 사택\05 기숙사 및 사택 월마감\25년-사택 작업\00 연간 긴급대응\01 정산 현황\01 건축\[정산중]기숙사 및 사택 긴급보수 작업(건축)-6차\"/>
    </mc:Choice>
  </mc:AlternateContent>
  <xr:revisionPtr revIDLastSave="0" documentId="13_ncr:1_{DDBCF716-1C9C-4F50-93F7-17A1106CEBB9}" xr6:coauthVersionLast="47" xr6:coauthVersionMax="47" xr10:uidLastSave="{00000000-0000-0000-0000-000000000000}"/>
  <bookViews>
    <workbookView xWindow="-60" yWindow="-60" windowWidth="28920" windowHeight="16320" activeTab="2" xr2:uid="{00000000-000D-0000-FFFF-FFFF00000000}"/>
  </bookViews>
  <sheets>
    <sheet name="갑지" sheetId="20" r:id="rId1"/>
    <sheet name="내역서(표준단가)-6차" sheetId="19" r:id="rId2"/>
    <sheet name="관리소 접수 입력" sheetId="16" r:id="rId3"/>
  </sheets>
  <externalReferences>
    <externalReference r:id="rId4"/>
    <externalReference r:id="rId5"/>
    <externalReference r:id="rId6"/>
    <externalReference r:id="rId7"/>
    <externalReference r:id="rId8"/>
    <externalReference r:id="rId9"/>
    <externalReference r:id="rId10"/>
  </externalReferences>
  <definedNames>
    <definedName name="_" hidden="1">#REF!</definedName>
    <definedName name="_Fill" hidden="1">[1]암거날개벽!#REF!</definedName>
    <definedName name="_Key1" hidden="1">[2]내역서!#REF!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[2]내역서!#REF!</definedName>
    <definedName name="a\" localSheetId="0" hidden="1">{#N/A,#N/A,TRUE,"자재관리";#N/A,#N/A,TRUE,"품질"}</definedName>
    <definedName name="a\" localSheetId="2" hidden="1">{#N/A,#N/A,TRUE,"자재관리";#N/A,#N/A,TRUE,"품질"}</definedName>
    <definedName name="a\" localSheetId="1" hidden="1">{#N/A,#N/A,TRUE,"자재관리";#N/A,#N/A,TRUE,"품질"}</definedName>
    <definedName name="a\" hidden="1">{#N/A,#N/A,TRUE,"자재관리";#N/A,#N/A,TRUE,"품질"}</definedName>
    <definedName name="A1C1" hidden="1">#REF!</definedName>
    <definedName name="AccessDatabase" hidden="1">"D:\공무jaje\98년품의-수불\98146.mdb"</definedName>
    <definedName name="a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localSheetId="0" hidden="1">{#N/A,#N/A,FALSE,"CCTV"}</definedName>
    <definedName name="asdfasdf" localSheetId="2" hidden="1">{#N/A,#N/A,FALSE,"CCTV"}</definedName>
    <definedName name="asdfasdf" localSheetId="1" hidden="1">{#N/A,#N/A,FALSE,"CCTV"}</definedName>
    <definedName name="asdfasdf" hidden="1">{#N/A,#N/A,FALSE,"CCTV"}</definedName>
    <definedName name="as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localSheetId="0" hidden="1">{"'Sheet1'!$E$23","'Sheet1'!$A$3:$H$19","'Sheet1'!$A$1:$H$19"}</definedName>
    <definedName name="BUSH" localSheetId="2" hidden="1">{"'Sheet1'!$E$23","'Sheet1'!$A$3:$H$19","'Sheet1'!$A$1:$H$19"}</definedName>
    <definedName name="BUSH" localSheetId="1" hidden="1">{"'Sheet1'!$E$23","'Sheet1'!$A$3:$H$19","'Sheet1'!$A$1:$H$19"}</definedName>
    <definedName name="BUSH" hidden="1">{"'Sheet1'!$E$23","'Sheet1'!$A$3:$H$19","'Sheet1'!$A$1:$H$19"}</definedName>
    <definedName name="copy2" localSheetId="0" hidden="1">{#N/A,#N/A,TRUE,"자재관리";#N/A,#N/A,TRUE,"품질"}</definedName>
    <definedName name="copy2" localSheetId="2" hidden="1">{#N/A,#N/A,TRUE,"자재관리";#N/A,#N/A,TRUE,"품질"}</definedName>
    <definedName name="copy2" localSheetId="1" hidden="1">{#N/A,#N/A,TRUE,"자재관리";#N/A,#N/A,TRUE,"품질"}</definedName>
    <definedName name="copy2" hidden="1">{#N/A,#N/A,TRUE,"자재관리";#N/A,#N/A,TRUE,"품질"}</definedName>
    <definedName name="copy3" localSheetId="0" hidden="1">{#N/A,#N/A,TRUE,"자재관리";#N/A,#N/A,TRUE,"품질"}</definedName>
    <definedName name="copy3" localSheetId="2" hidden="1">{#N/A,#N/A,TRUE,"자재관리";#N/A,#N/A,TRUE,"품질"}</definedName>
    <definedName name="copy3" localSheetId="1" hidden="1">{#N/A,#N/A,TRUE,"자재관리";#N/A,#N/A,TRUE,"품질"}</definedName>
    <definedName name="copy3" hidden="1">{#N/A,#N/A,TRUE,"자재관리";#N/A,#N/A,TRUE,"품질"}</definedName>
    <definedName name="copy4" localSheetId="0" hidden="1">{#N/A,#N/A,FALSE,"자재관리";#N/A,#N/A,FALSE,"자재관리";#N/A,#N/A,FALSE,"자재관리"}</definedName>
    <definedName name="copy4" localSheetId="2" hidden="1">{#N/A,#N/A,FALSE,"자재관리";#N/A,#N/A,FALSE,"자재관리";#N/A,#N/A,FALSE,"자재관리"}</definedName>
    <definedName name="copy4" localSheetId="1" hidden="1">{#N/A,#N/A,FALSE,"자재관리";#N/A,#N/A,FALSE,"자재관리";#N/A,#N/A,FALSE,"자재관리"}</definedName>
    <definedName name="copy4" hidden="1">{#N/A,#N/A,FALSE,"자재관리";#N/A,#N/A,FALSE,"자재관리";#N/A,#N/A,FALSE,"자재관리"}</definedName>
    <definedName name="cx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localSheetId="0" hidden="1">{#N/A,#N/A,FALSE,"자재관리";#N/A,#N/A,FALSE,"자재관리";#N/A,#N/A,FALSE,"자재관리"}</definedName>
    <definedName name="D" localSheetId="2" hidden="1">{#N/A,#N/A,FALSE,"자재관리";#N/A,#N/A,FALSE,"자재관리";#N/A,#N/A,FALSE,"자재관리"}</definedName>
    <definedName name="D" localSheetId="1" hidden="1">{#N/A,#N/A,FALSE,"자재관리";#N/A,#N/A,FALSE,"자재관리";#N/A,#N/A,FALSE,"자재관리"}</definedName>
    <definedName name="D" hidden="1">{#N/A,#N/A,FALSE,"자재관리";#N/A,#N/A,FALSE,"자재관리";#N/A,#N/A,FALSE,"자재관리"}</definedName>
    <definedName name="DDD" hidden="1">#REF!</definedName>
    <definedName name="ddddd" hidden="1">#REF!</definedName>
    <definedName name="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localSheetId="0" hidden="1">{#N/A,#N/A,FALSE,"자재관리";#N/A,#N/A,FALSE,"자재관리";#N/A,#N/A,FALSE,"자재관리"}</definedName>
    <definedName name="DFV" localSheetId="2" hidden="1">{#N/A,#N/A,FALSE,"자재관리";#N/A,#N/A,FALSE,"자재관리";#N/A,#N/A,FALSE,"자재관리"}</definedName>
    <definedName name="DFV" localSheetId="1" hidden="1">{#N/A,#N/A,FALSE,"자재관리";#N/A,#N/A,FALSE,"자재관리";#N/A,#N/A,FALSE,"자재관리"}</definedName>
    <definedName name="DFV" hidden="1">{#N/A,#N/A,FALSE,"자재관리";#N/A,#N/A,FALSE,"자재관리";#N/A,#N/A,FALSE,"자재관리"}</definedName>
    <definedName name="D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localSheetId="0" hidden="1">{#N/A,#N/A,FALSE,"자재관리";#N/A,#N/A,FALSE,"자재관리";#N/A,#N/A,FALSE,"자재관리"}</definedName>
    <definedName name="dkd" localSheetId="2" hidden="1">{#N/A,#N/A,FALSE,"자재관리";#N/A,#N/A,FALSE,"자재관리";#N/A,#N/A,FALSE,"자재관리"}</definedName>
    <definedName name="dkd" localSheetId="1" hidden="1">{#N/A,#N/A,FALSE,"자재관리";#N/A,#N/A,FALSE,"자재관리";#N/A,#N/A,FALSE,"자재관리"}</definedName>
    <definedName name="dkd" hidden="1">{#N/A,#N/A,FALSE,"자재관리";#N/A,#N/A,FALSE,"자재관리";#N/A,#N/A,FALSE,"자재관리"}</definedName>
    <definedName name="DKFDK" localSheetId="0" hidden="1">{#N/A,#N/A,FALSE,"전력간선"}</definedName>
    <definedName name="DKFDK" localSheetId="2" hidden="1">{#N/A,#N/A,FALSE,"전력간선"}</definedName>
    <definedName name="DKFDK" localSheetId="1" hidden="1">{#N/A,#N/A,FALSE,"전력간선"}</definedName>
    <definedName name="DKFDK" hidden="1">{#N/A,#N/A,FALSE,"전력간선"}</definedName>
    <definedName name="DW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localSheetId="0" hidden="1">{#N/A,#N/A,FALSE,"CCTV"}</definedName>
    <definedName name="FFF" localSheetId="2" hidden="1">{#N/A,#N/A,FALSE,"CCTV"}</definedName>
    <definedName name="FFF" localSheetId="1" hidden="1">{#N/A,#N/A,FALSE,"CCTV"}</definedName>
    <definedName name="FFF" hidden="1">{#N/A,#N/A,FALSE,"CCTV"}</definedName>
    <definedName name="FFFF" localSheetId="0" hidden="1">{#N/A,#N/A,FALSE,"자재관리";#N/A,#N/A,FALSE,"자재관리";#N/A,#N/A,FALSE,"자재관리"}</definedName>
    <definedName name="FFFF" localSheetId="2" hidden="1">{#N/A,#N/A,FALSE,"자재관리";#N/A,#N/A,FALSE,"자재관리";#N/A,#N/A,FALSE,"자재관리"}</definedName>
    <definedName name="FFFF" localSheetId="1" hidden="1">{#N/A,#N/A,FALSE,"자재관리";#N/A,#N/A,FALSE,"자재관리";#N/A,#N/A,FALSE,"자재관리"}</definedName>
    <definedName name="FFFF" hidden="1">{#N/A,#N/A,FALSE,"자재관리";#N/A,#N/A,FALSE,"자재관리";#N/A,#N/A,FALSE,"자재관리"}</definedName>
    <definedName name="FFFFFF" localSheetId="0" hidden="1">{#N/A,#N/A,FALSE,"자재관리";#N/A,#N/A,FALSE,"자재관리";#N/A,#N/A,FALSE,"자재관리"}</definedName>
    <definedName name="FFFFFF" localSheetId="2" hidden="1">{#N/A,#N/A,FALSE,"자재관리";#N/A,#N/A,FALSE,"자재관리";#N/A,#N/A,FALSE,"자재관리"}</definedName>
    <definedName name="FFFFFF" localSheetId="1" hidden="1">{#N/A,#N/A,FALSE,"자재관리";#N/A,#N/A,FALSE,"자재관리";#N/A,#N/A,FALSE,"자재관리"}</definedName>
    <definedName name="FFFFFF" hidden="1">{#N/A,#N/A,FALSE,"자재관리";#N/A,#N/A,FALSE,"자재관리";#N/A,#N/A,FALSE,"자재관리"}</definedName>
    <definedName name="fffffff" localSheetId="0" hidden="1">{#N/A,#N/A,FALSE,"자재관리";#N/A,#N/A,FALSE,"자재관리";#N/A,#N/A,FALSE,"자재관리"}</definedName>
    <definedName name="fffffff" localSheetId="2" hidden="1">{#N/A,#N/A,FALSE,"자재관리";#N/A,#N/A,FALSE,"자재관리";#N/A,#N/A,FALSE,"자재관리"}</definedName>
    <definedName name="fffffff" localSheetId="1" hidden="1">{#N/A,#N/A,FALSE,"자재관리";#N/A,#N/A,FALSE,"자재관리";#N/A,#N/A,FALSE,"자재관리"}</definedName>
    <definedName name="fffffff" hidden="1">{#N/A,#N/A,FALSE,"자재관리";#N/A,#N/A,FALSE,"자재관리";#N/A,#N/A,FALSE,"자재관리"}</definedName>
    <definedName name="fffffff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localSheetId="0" hidden="1">{#N/A,#N/A,FALSE,"전력간선"}</definedName>
    <definedName name="fg" localSheetId="2" hidden="1">{#N/A,#N/A,FALSE,"전력간선"}</definedName>
    <definedName name="fg" localSheetId="1" hidden="1">{#N/A,#N/A,FALSE,"전력간선"}</definedName>
    <definedName name="fg" hidden="1">{#N/A,#N/A,FALSE,"전력간선"}</definedName>
    <definedName name="F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[3]수량산출!$A$1:$A$8561</definedName>
    <definedName name="FHFK" hidden="1">[3]수량산출!#REF!</definedName>
    <definedName name="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localSheetId="0" hidden="1">{#N/A,#N/A,FALSE,"자재관리";#N/A,#N/A,FALSE,"자재관리";#N/A,#N/A,FALSE,"자재관리"}</definedName>
    <definedName name="HHHHH" localSheetId="2" hidden="1">{#N/A,#N/A,FALSE,"자재관리";#N/A,#N/A,FALSE,"자재관리";#N/A,#N/A,FALSE,"자재관리"}</definedName>
    <definedName name="HHHHH" localSheetId="1" hidden="1">{#N/A,#N/A,FALSE,"자재관리";#N/A,#N/A,FALSE,"자재관리";#N/A,#N/A,FALSE,"자재관리"}</definedName>
    <definedName name="HHHHH" hidden="1">{#N/A,#N/A,FALSE,"자재관리";#N/A,#N/A,FALSE,"자재관리";#N/A,#N/A,FALSE,"자재관리"}</definedName>
    <definedName name="HHHHHH" localSheetId="0" hidden="1">{#N/A,#N/A,FALSE,"자재관리";#N/A,#N/A,FALSE,"자재관리";#N/A,#N/A,FALSE,"자재관리"}</definedName>
    <definedName name="HHHHHH" localSheetId="2" hidden="1">{#N/A,#N/A,FALSE,"자재관리";#N/A,#N/A,FALSE,"자재관리";#N/A,#N/A,FALSE,"자재관리"}</definedName>
    <definedName name="HHHHHH" localSheetId="1" hidden="1">{#N/A,#N/A,FALSE,"자재관리";#N/A,#N/A,FALSE,"자재관리";#N/A,#N/A,FALSE,"자재관리"}</definedName>
    <definedName name="HHHHHH" hidden="1">{#N/A,#N/A,FALSE,"자재관리";#N/A,#N/A,FALSE,"자재관리";#N/A,#N/A,FALSE,"자재관리"}</definedName>
    <definedName name="HMH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localSheetId="0" hidden="1">{"'Sheet1'!$E$23","'Sheet1'!$A$3:$H$19","'Sheet1'!$A$1:$H$19"}</definedName>
    <definedName name="HTML_Control" localSheetId="2" hidden="1">{"'Sheet1'!$E$23","'Sheet1'!$A$3:$H$19","'Sheet1'!$A$1:$H$19"}</definedName>
    <definedName name="HTML_Control" localSheetId="1" hidden="1">{"'Sheet1'!$E$23","'Sheet1'!$A$3:$H$19","'Sheet1'!$A$1:$H$19"}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localSheetId="0" hidden="1">{#N/A,#N/A,FALSE,"자재관리";#N/A,#N/A,FALSE,"자재관리";#N/A,#N/A,FALSE,"자재관리"}</definedName>
    <definedName name="JJJJ" localSheetId="2" hidden="1">{#N/A,#N/A,FALSE,"자재관리";#N/A,#N/A,FALSE,"자재관리";#N/A,#N/A,FALSE,"자재관리"}</definedName>
    <definedName name="JJJJ" localSheetId="1" hidden="1">{#N/A,#N/A,FALSE,"자재관리";#N/A,#N/A,FALSE,"자재관리";#N/A,#N/A,FALSE,"자재관리"}</definedName>
    <definedName name="JJJJ" hidden="1">{#N/A,#N/A,FALSE,"자재관리";#N/A,#N/A,FALSE,"자재관리";#N/A,#N/A,FALSE,"자재관리"}</definedName>
    <definedName name="JYJ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localSheetId="0" hidden="1">{#N/A,#N/A,FALSE,"자재관리";#N/A,#N/A,FALSE,"자재관리";#N/A,#N/A,FALSE,"자재관리"}</definedName>
    <definedName name="K" localSheetId="2" hidden="1">{#N/A,#N/A,FALSE,"자재관리";#N/A,#N/A,FALSE,"자재관리";#N/A,#N/A,FALSE,"자재관리"}</definedName>
    <definedName name="K" localSheetId="1" hidden="1">{#N/A,#N/A,FALSE,"자재관리";#N/A,#N/A,FALSE,"자재관리";#N/A,#N/A,FALSE,"자재관리"}</definedName>
    <definedName name="K" hidden="1">{#N/A,#N/A,FALSE,"자재관리";#N/A,#N/A,FALSE,"자재관리";#N/A,#N/A,FALSE,"자재관리"}</definedName>
    <definedName name="kd"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localSheetId="0" hidden="1">{#N/A,#N/A,FALSE,"자재관리";#N/A,#N/A,FALSE,"자재관리";#N/A,#N/A,FALSE,"자재관리"}</definedName>
    <definedName name="kkkkk" localSheetId="2" hidden="1">{#N/A,#N/A,FALSE,"자재관리";#N/A,#N/A,FALSE,"자재관리";#N/A,#N/A,FALSE,"자재관리"}</definedName>
    <definedName name="kkkkk" localSheetId="1" hidden="1">{#N/A,#N/A,FALSE,"자재관리";#N/A,#N/A,FALSE,"자재관리";#N/A,#N/A,FALSE,"자재관리"}</definedName>
    <definedName name="kkkkk" hidden="1">{#N/A,#N/A,FALSE,"자재관리";#N/A,#N/A,FALSE,"자재관리";#N/A,#N/A,FALSE,"자재관리"}</definedName>
    <definedName name="knauf" localSheetId="0" hidden="1">{#N/A,#N/A,FALSE,"자재관리";#N/A,#N/A,FALSE,"자재관리";#N/A,#N/A,FALSE,"자재관리"}</definedName>
    <definedName name="knauf" localSheetId="2" hidden="1">{#N/A,#N/A,FALSE,"자재관리";#N/A,#N/A,FALSE,"자재관리";#N/A,#N/A,FALSE,"자재관리"}</definedName>
    <definedName name="knauf" localSheetId="1" hidden="1">{#N/A,#N/A,FALSE,"자재관리";#N/A,#N/A,FALSE,"자재관리";#N/A,#N/A,FALSE,"자재관리"}</definedName>
    <definedName name="knauf" hidden="1">{#N/A,#N/A,FALSE,"자재관리";#N/A,#N/A,FALSE,"자재관리";#N/A,#N/A,FALSE,"자재관리"}</definedName>
    <definedName name="KUK"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localSheetId="0" hidden="1">{#N/A,#N/A,TRUE,"자재관리";#N/A,#N/A,TRUE,"품질"}</definedName>
    <definedName name="L" localSheetId="2" hidden="1">{#N/A,#N/A,TRUE,"자재관리";#N/A,#N/A,TRUE,"품질"}</definedName>
    <definedName name="L" localSheetId="1" hidden="1">{#N/A,#N/A,TRUE,"자재관리";#N/A,#N/A,TRUE,"품질"}</definedName>
    <definedName name="L" hidden="1">{#N/A,#N/A,TRUE,"자재관리";#N/A,#N/A,TRUE,"품질"}</definedName>
    <definedName name="lj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localSheetId="0" hidden="1">{#N/A,#N/A,FALSE,"자재관리";#N/A,#N/A,FALSE,"자재관리";#N/A,#N/A,FALSE,"자재관리"}</definedName>
    <definedName name="MC" localSheetId="2" hidden="1">{#N/A,#N/A,FALSE,"자재관리";#N/A,#N/A,FALSE,"자재관리";#N/A,#N/A,FALSE,"자재관리"}</definedName>
    <definedName name="MC" localSheetId="1" hidden="1">{#N/A,#N/A,FALSE,"자재관리";#N/A,#N/A,FALSE,"자재관리";#N/A,#N/A,FALSE,"자재관리"}</definedName>
    <definedName name="MC" hidden="1">{#N/A,#N/A,FALSE,"자재관리";#N/A,#N/A,FALSE,"자재관리";#N/A,#N/A,FALSE,"자재관리"}</definedName>
    <definedName name="MMM"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localSheetId="0" hidden="1">{#N/A,#N/A,FALSE,"자재관리";#N/A,#N/A,FALSE,"자재관리";#N/A,#N/A,FALSE,"자재관리"}</definedName>
    <definedName name="Neotech" localSheetId="2" hidden="1">{#N/A,#N/A,FALSE,"자재관리";#N/A,#N/A,FALSE,"자재관리";#N/A,#N/A,FALSE,"자재관리"}</definedName>
    <definedName name="Neotech" localSheetId="1" hidden="1">{#N/A,#N/A,FALSE,"자재관리";#N/A,#N/A,FALSE,"자재관리";#N/A,#N/A,FALSE,"자재관리"}</definedName>
    <definedName name="Neotech" hidden="1">{#N/A,#N/A,FALSE,"자재관리";#N/A,#N/A,FALSE,"자재관리";#N/A,#N/A,FALSE,"자재관리"}</definedName>
    <definedName name="NEWNAME" localSheetId="0" hidden="1">{#N/A,#N/A,FALSE,"CCTV"}</definedName>
    <definedName name="NEWNAME" localSheetId="2" hidden="1">{#N/A,#N/A,FALSE,"CCTV"}</definedName>
    <definedName name="NEWNAME" localSheetId="1" hidden="1">{#N/A,#N/A,FALSE,"CCTV"}</definedName>
    <definedName name="NEWNAME" hidden="1">{#N/A,#N/A,FALSE,"CCTV"}</definedName>
    <definedName name="ngf"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localSheetId="0" hidden="1">{#N/A,#N/A,FALSE,"자재관리";#N/A,#N/A,FALSE,"자재관리";#N/A,#N/A,FALSE,"자재관리"}</definedName>
    <definedName name="OOOOOO" localSheetId="2" hidden="1">{#N/A,#N/A,FALSE,"자재관리";#N/A,#N/A,FALSE,"자재관리";#N/A,#N/A,FALSE,"자재관리"}</definedName>
    <definedName name="OOOOOO" localSheetId="1" hidden="1">{#N/A,#N/A,FALSE,"자재관리";#N/A,#N/A,FALSE,"자재관리";#N/A,#N/A,FALSE,"자재관리"}</definedName>
    <definedName name="OOOOOO" hidden="1">{#N/A,#N/A,FALSE,"자재관리";#N/A,#N/A,FALSE,"자재관리";#N/A,#N/A,FALSE,"자재관리"}</definedName>
    <definedName name="PRESS" localSheetId="0" hidden="1">{"'Sheet1'!$E$23","'Sheet1'!$A$3:$H$19","'Sheet1'!$A$1:$H$19"}</definedName>
    <definedName name="PRESS" localSheetId="2" hidden="1">{"'Sheet1'!$E$23","'Sheet1'!$A$3:$H$19","'Sheet1'!$A$1:$H$19"}</definedName>
    <definedName name="PRESS" localSheetId="1" hidden="1">{"'Sheet1'!$E$23","'Sheet1'!$A$3:$H$19","'Sheet1'!$A$1:$H$19"}</definedName>
    <definedName name="PRESS" hidden="1">{"'Sheet1'!$E$23","'Sheet1'!$A$3:$H$19","'Sheet1'!$A$1:$H$19"}</definedName>
    <definedName name="press1" localSheetId="0" hidden="1">{"'Sheet1'!$E$23","'Sheet1'!$A$3:$H$19","'Sheet1'!$A$1:$H$19"}</definedName>
    <definedName name="press1" localSheetId="2" hidden="1">{"'Sheet1'!$E$23","'Sheet1'!$A$3:$H$19","'Sheet1'!$A$1:$H$19"}</definedName>
    <definedName name="press1" localSheetId="1" hidden="1">{"'Sheet1'!$E$23","'Sheet1'!$A$3:$H$19","'Sheet1'!$A$1:$H$19"}</definedName>
    <definedName name="press1" hidden="1">{"'Sheet1'!$E$23","'Sheet1'!$A$3:$H$19","'Sheet1'!$A$1:$H$19"}</definedName>
    <definedName name="_xlnm.Print_Area">#REF!</definedName>
    <definedName name="_xlnm.Print_Titles">#REF!,#REF!</definedName>
    <definedName name="Q" localSheetId="0" hidden="1">{#N/A,#N/A,FALSE,"자재관리";#N/A,#N/A,FALSE,"자재관리";#N/A,#N/A,FALSE,"자재관리"}</definedName>
    <definedName name="Q" localSheetId="2" hidden="1">{#N/A,#N/A,FALSE,"자재관리";#N/A,#N/A,FALSE,"자재관리";#N/A,#N/A,FALSE,"자재관리"}</definedName>
    <definedName name="Q" localSheetId="1" hidden="1">{#N/A,#N/A,FALSE,"자재관리";#N/A,#N/A,FALSE,"자재관리";#N/A,#N/A,FALSE,"자재관리"}</definedName>
    <definedName name="Q" hidden="1">{#N/A,#N/A,FALSE,"자재관리";#N/A,#N/A,FALSE,"자재관리";#N/A,#N/A,FALSE,"자재관리"}</definedName>
    <definedName name="qqq" localSheetId="0" hidden="1">{#N/A,#N/A,FALSE,"전력간선"}</definedName>
    <definedName name="qqq" localSheetId="2" hidden="1">{#N/A,#N/A,FALSE,"전력간선"}</definedName>
    <definedName name="qqq" localSheetId="1" hidden="1">{#N/A,#N/A,FALSE,"전력간선"}</definedName>
    <definedName name="qqq" hidden="1">{#N/A,#N/A,FALSE,"전력간선"}</definedName>
    <definedName name="QQQW" localSheetId="0" hidden="1">{#N/A,#N/A,FALSE,"전력간선"}</definedName>
    <definedName name="QQQW" localSheetId="2" hidden="1">{#N/A,#N/A,FALSE,"전력간선"}</definedName>
    <definedName name="QQQW" localSheetId="1" hidden="1">{#N/A,#N/A,FALSE,"전력간선"}</definedName>
    <definedName name="QQQW" hidden="1">{#N/A,#N/A,FALSE,"전력간선"}</definedName>
    <definedName name="ret" localSheetId="0" hidden="1">{#N/A,#N/A,FALSE,"전력간선"}</definedName>
    <definedName name="ret" localSheetId="2" hidden="1">{#N/A,#N/A,FALSE,"전력간선"}</definedName>
    <definedName name="ret" localSheetId="1" hidden="1">{#N/A,#N/A,FALSE,"전력간선"}</definedName>
    <definedName name="ret" hidden="1">{#N/A,#N/A,FALSE,"전력간선"}</definedName>
    <definedName name="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localSheetId="0" hidden="1">{#N/A,#N/A,FALSE,"전력간선"}</definedName>
    <definedName name="RIRI" localSheetId="2" hidden="1">{#N/A,#N/A,FALSE,"전력간선"}</definedName>
    <definedName name="RIRI" localSheetId="1" hidden="1">{#N/A,#N/A,FALSE,"전력간선"}</definedName>
    <definedName name="RIRI" hidden="1">{#N/A,#N/A,FALSE,"전력간선"}</definedName>
    <definedName name="RK" hidden="1">[3]수량산출!#REF!</definedName>
    <definedName name="rP"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localSheetId="0" hidden="1">{#N/A,#N/A,FALSE,"전력간선"}</definedName>
    <definedName name="rr" localSheetId="2" hidden="1">{#N/A,#N/A,FALSE,"전력간선"}</definedName>
    <definedName name="rr" localSheetId="1" hidden="1">{#N/A,#N/A,FALSE,"전력간선"}</definedName>
    <definedName name="rr" hidden="1">{#N/A,#N/A,FALSE,"전력간선"}</definedName>
    <definedName name="RRR"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localSheetId="0" hidden="1">{#N/A,#N/A,TRUE,"자재관리";#N/A,#N/A,TRUE,"품질"}</definedName>
    <definedName name="rthyetyuety" localSheetId="2" hidden="1">{#N/A,#N/A,TRUE,"자재관리";#N/A,#N/A,TRUE,"품질"}</definedName>
    <definedName name="rthyetyuety" localSheetId="1" hidden="1">{#N/A,#N/A,TRUE,"자재관리";#N/A,#N/A,TRUE,"품질"}</definedName>
    <definedName name="rthyetyuety" hidden="1">{#N/A,#N/A,TRUE,"자재관리";#N/A,#N/A,TRUE,"품질"}</definedName>
    <definedName name="SD" localSheetId="0" hidden="1">{#N/A,#N/A,FALSE,"자재관리";#N/A,#N/A,FALSE,"자재관리";#N/A,#N/A,FALSE,"자재관리"}</definedName>
    <definedName name="SD" localSheetId="2" hidden="1">{#N/A,#N/A,FALSE,"자재관리";#N/A,#N/A,FALSE,"자재관리";#N/A,#N/A,FALSE,"자재관리"}</definedName>
    <definedName name="SD" localSheetId="1" hidden="1">{#N/A,#N/A,FALSE,"자재관리";#N/A,#N/A,FALSE,"자재관리";#N/A,#N/A,FALSE,"자재관리"}</definedName>
    <definedName name="SD" hidden="1">{#N/A,#N/A,FALSE,"자재관리";#N/A,#N/A,FALSE,"자재관리";#N/A,#N/A,FALSE,"자재관리"}</definedName>
    <definedName name="SG"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localSheetId="0" hidden="1">{#N/A,#N/A,FALSE,"전력간선"}</definedName>
    <definedName name="sss" localSheetId="2" hidden="1">{#N/A,#N/A,FALSE,"전력간선"}</definedName>
    <definedName name="sss" localSheetId="1" hidden="1">{#N/A,#N/A,FALSE,"전력간선"}</definedName>
    <definedName name="sss" hidden="1">{#N/A,#N/A,FALSE,"전력간선"}</definedName>
    <definedName name="SVSV"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localSheetId="0" hidden="1">{#N/A,#N/A,TRUE,"자재관리";#N/A,#N/A,TRUE,"품질"}</definedName>
    <definedName name="t" localSheetId="2" hidden="1">{#N/A,#N/A,TRUE,"자재관리";#N/A,#N/A,TRUE,"품질"}</definedName>
    <definedName name="t" localSheetId="1" hidden="1">{#N/A,#N/A,TRUE,"자재관리";#N/A,#N/A,TRUE,"품질"}</definedName>
    <definedName name="t" hidden="1">{#N/A,#N/A,TRUE,"자재관리";#N/A,#N/A,TRUE,"품질"}</definedName>
    <definedName name="tka" localSheetId="0" hidden="1">{#N/A,#N/A,FALSE,"전력간선"}</definedName>
    <definedName name="tka" localSheetId="2" hidden="1">{#N/A,#N/A,FALSE,"전력간선"}</definedName>
    <definedName name="tka" localSheetId="1" hidden="1">{#N/A,#N/A,FALSE,"전력간선"}</definedName>
    <definedName name="tka" hidden="1">{#N/A,#N/A,FALSE,"전력간선"}</definedName>
    <definedName name="TTTT" hidden="1">#REF!</definedName>
    <definedName name="uwehdiueih" localSheetId="0" hidden="1">{#N/A,#N/A,FALSE,"자재관리";#N/A,#N/A,FALSE,"자재관리";#N/A,#N/A,FALSE,"자재관리"}</definedName>
    <definedName name="uwehdiueih" localSheetId="2" hidden="1">{#N/A,#N/A,FALSE,"자재관리";#N/A,#N/A,FALSE,"자재관리";#N/A,#N/A,FALSE,"자재관리"}</definedName>
    <definedName name="uwehdiueih" localSheetId="1" hidden="1">{#N/A,#N/A,FALSE,"자재관리";#N/A,#N/A,FALSE,"자재관리";#N/A,#N/A,FALSE,"자재관리"}</definedName>
    <definedName name="uwehdiueih" hidden="1">{#N/A,#N/A,FALSE,"자재관리";#N/A,#N/A,FALSE,"자재관리";#N/A,#N/A,FALSE,"자재관리"}</definedName>
    <definedName name="VSV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localSheetId="0" hidden="1">{#N/A,#N/A,FALSE,"CCTV"}</definedName>
    <definedName name="WJDEHDRHS" localSheetId="2" hidden="1">{#N/A,#N/A,FALSE,"CCTV"}</definedName>
    <definedName name="WJDEHDRHS" localSheetId="1" hidden="1">{#N/A,#N/A,FALSE,"CCTV"}</definedName>
    <definedName name="WJDEHDRHS" hidden="1">{#N/A,#N/A,FALSE,"CCTV"}</definedName>
    <definedName name="WQ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localSheetId="0" hidden="1">{#N/A,#N/A,FALSE,"CCTV"}</definedName>
    <definedName name="WRITE" localSheetId="2" hidden="1">{#N/A,#N/A,FALSE,"CCTV"}</definedName>
    <definedName name="WRITE" localSheetId="1" hidden="1">{#N/A,#N/A,FALSE,"CCTV"}</definedName>
    <definedName name="WRITE" hidden="1">{#N/A,#N/A,FALSE,"CCTV"}</definedName>
    <definedName name="wrn.0812ESC."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localSheetId="0" hidden="1">{#N/A,#N/A,FALSE,"집계";#N/A,#N/A,FALSE,"표지";#N/A,#N/A,FALSE,"터빈집계";#N/A,#N/A,FALSE,"터빈내역";#N/A,#N/A,FALSE,"주제어집계";#N/A,#N/A,FALSE,"주제어내역";#N/A,#N/A,FALSE,"보일러집계";#N/A,#N/A,FALSE,"보일러내역"}</definedName>
    <definedName name="wrn.34건물기초." localSheetId="2" hidden="1">{#N/A,#N/A,FALSE,"집계";#N/A,#N/A,FALSE,"표지";#N/A,#N/A,FALSE,"터빈집계";#N/A,#N/A,FALSE,"터빈내역";#N/A,#N/A,FALSE,"주제어집계";#N/A,#N/A,FALSE,"주제어내역";#N/A,#N/A,FALSE,"보일러집계";#N/A,#N/A,FALSE,"보일러내역"}</definedName>
    <definedName name="wrn.34건물기초." localSheetId="1" hidden="1">{#N/A,#N/A,FALSE,"집계";#N/A,#N/A,FALSE,"표지";#N/A,#N/A,FALSE,"터빈집계";#N/A,#N/A,FALSE,"터빈내역";#N/A,#N/A,FALSE,"주제어집계";#N/A,#N/A,FALSE,"주제어내역";#N/A,#N/A,FALSE,"보일러집계";#N/A,#N/A,FALSE,"보일러내역"}</definedName>
    <definedName name="wrn.34건물기초." hidden="1">{#N/A,#N/A,FALSE,"집계";#N/A,#N/A,FALSE,"표지";#N/A,#N/A,FALSE,"터빈집계";#N/A,#N/A,FALSE,"터빈내역";#N/A,#N/A,FALSE,"주제어집계";#N/A,#N/A,FALSE,"주제어내역";#N/A,#N/A,FALSE,"보일러집계";#N/A,#N/A,FALSE,"보일러내역"}</definedName>
    <definedName name="wrn.6월._.자재관리._.현황." localSheetId="0" hidden="1">{#N/A,#N/A,FALSE,"자재관리";#N/A,#N/A,FALSE,"자재관리";#N/A,#N/A,FALSE,"자재관리"}</definedName>
    <definedName name="wrn.6월._.자재관리._.현황." localSheetId="2" hidden="1">{#N/A,#N/A,FALSE,"자재관리";#N/A,#N/A,FALSE,"자재관리";#N/A,#N/A,FALSE,"자재관리"}</definedName>
    <definedName name="wrn.6월._.자재관리._.현황." localSheetId="1" hidden="1">{#N/A,#N/A,FALSE,"자재관리";#N/A,#N/A,FALSE,"자재관리";#N/A,#N/A,FALSE,"자재관리"}</definedName>
    <definedName name="wrn.6월._.자재관리._.현황." hidden="1">{#N/A,#N/A,FALSE,"자재관리";#N/A,#N/A,FALSE,"자재관리";#N/A,#N/A,FALSE,"자재관리"}</definedName>
    <definedName name="wrn.abc." localSheetId="0" hidden="1">{#N/A,#N/A,TRUE,"천상그린44PY"}</definedName>
    <definedName name="wrn.abc." localSheetId="2" hidden="1">{#N/A,#N/A,TRUE,"천상그린44PY"}</definedName>
    <definedName name="wrn.abc." localSheetId="1" hidden="1">{#N/A,#N/A,TRUE,"천상그린44PY"}</definedName>
    <definedName name="wrn.abc." hidden="1">{#N/A,#N/A,TRUE,"천상그린44PY"}</definedName>
    <definedName name="wrn.ac30prn." localSheetId="0" hidden="1">{#N/A,#N/A,FALSE,"별표20 ";#N/A,#N/A,FALSE,"부표";#N/A,#N/A,FALSE,"품셈내역";#N/A,#N/A,FALSE,"품셈집계";#N/A,#N/A,FALSE,"내역서";#N/A,#N/A,FALSE,"집계표";#N/A,#N/A,FALSE,"표지";#N/A,#N/A,FALSE,"별표총괄표"}</definedName>
    <definedName name="wrn.ac30prn." localSheetId="2" hidden="1">{#N/A,#N/A,FALSE,"별표20 ";#N/A,#N/A,FALSE,"부표";#N/A,#N/A,FALSE,"품셈내역";#N/A,#N/A,FALSE,"품셈집계";#N/A,#N/A,FALSE,"내역서";#N/A,#N/A,FALSE,"집계표";#N/A,#N/A,FALSE,"표지";#N/A,#N/A,FALSE,"별표총괄표"}</definedName>
    <definedName name="wrn.ac30prn." localSheetId="1"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BM." localSheetId="0" hidden="1">{#N/A,#N/A,FALSE,"CCTV"}</definedName>
    <definedName name="wrn.BM." localSheetId="2" hidden="1">{#N/A,#N/A,FALSE,"CCTV"}</definedName>
    <definedName name="wrn.BM." localSheetId="1" hidden="1">{#N/A,#N/A,FALSE,"CCTV"}</definedName>
    <definedName name="wrn.BM." hidden="1">{#N/A,#N/A,FALSE,"CCTV"}</definedName>
    <definedName name="wrn.건물기초."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localSheetId="0" hidden="1">{#N/A,#N/A,FALSE,"전력간선"}</definedName>
    <definedName name="wrn.교육청." localSheetId="2" hidden="1">{#N/A,#N/A,FALSE,"전력간선"}</definedName>
    <definedName name="wrn.교육청." localSheetId="1" hidden="1">{#N/A,#N/A,FALSE,"전력간선"}</definedName>
    <definedName name="wrn.교육청." hidden="1">{#N/A,#N/A,FALSE,"전력간선"}</definedName>
    <definedName name="wrn.기성." localSheetId="0" hidden="1">{#N/A,#N/A,FALSE,"신청통보";#N/A,#N/A,FALSE,"기성확인서";#N/A,#N/A,FALSE,"기성내역서"}</definedName>
    <definedName name="wrn.기성." localSheetId="2" hidden="1">{#N/A,#N/A,FALSE,"신청통보";#N/A,#N/A,FALSE,"기성확인서";#N/A,#N/A,FALSE,"기성내역서"}</definedName>
    <definedName name="wrn.기성." localSheetId="1" hidden="1">{#N/A,#N/A,FALSE,"신청통보";#N/A,#N/A,FALSE,"기성확인서";#N/A,#N/A,FALSE,"기성내역서"}</definedName>
    <definedName name="wrn.기성." hidden="1">{#N/A,#N/A,FALSE,"신청통보";#N/A,#N/A,FALSE,"기성확인서";#N/A,#N/A,FALSE,"기성내역서"}</definedName>
    <definedName name="wrn.기초." localSheetId="0" hidden="1">{#N/A,#N/A,FALSE,"터빈집계";#N/A,#N/A,FALSE,"터빈내역";#N/A,#N/A,FALSE,"보일러집계";#N/A,#N/A,FALSE,"보일러내역"}</definedName>
    <definedName name="wrn.기초." localSheetId="2" hidden="1">{#N/A,#N/A,FALSE,"터빈집계";#N/A,#N/A,FALSE,"터빈내역";#N/A,#N/A,FALSE,"보일러집계";#N/A,#N/A,FALSE,"보일러내역"}</definedName>
    <definedName name="wrn.기초." localSheetId="1" hidden="1">{#N/A,#N/A,FALSE,"터빈집계";#N/A,#N/A,FALSE,"터빈내역";#N/A,#N/A,FALSE,"보일러집계";#N/A,#N/A,FALSE,"보일러내역"}</definedName>
    <definedName name="wrn.기초." hidden="1">{#N/A,#N/A,FALSE,"터빈집계";#N/A,#N/A,FALSE,"터빈내역";#N/A,#N/A,FALSE,"보일러집계";#N/A,#N/A,FALSE,"보일러내역"}</definedName>
    <definedName name="wrn.보고서." localSheetId="0" hidden="1">{#N/A,#N/A,TRUE,"자재관리";#N/A,#N/A,TRUE,"품질"}</definedName>
    <definedName name="wrn.보고서." localSheetId="2" hidden="1">{#N/A,#N/A,TRUE,"자재관리";#N/A,#N/A,TRUE,"품질"}</definedName>
    <definedName name="wrn.보고서." localSheetId="1" hidden="1">{#N/A,#N/A,TRUE,"자재관리";#N/A,#N/A,TRUE,"품질"}</definedName>
    <definedName name="wrn.보고서." hidden="1">{#N/A,#N/A,TRUE,"자재관리";#N/A,#N/A,TRUE,"품질"}</definedName>
    <definedName name="wrn.보일러마감." localSheetId="0" hidden="1">{#N/A,#N/A,FALSE,"물가변동 (2)";#N/A,#N/A,FALSE,"공사비";#N/A,#N/A,FALSE,"사급";#N/A,#N/A,FALSE,"도급집계";#N/A,#N/A,FALSE,"재료비";#N/A,#N/A,FALSE,"노무비";#N/A,#N/A,FALSE,"경비"}</definedName>
    <definedName name="wrn.보일러마감." localSheetId="2" hidden="1">{#N/A,#N/A,FALSE,"물가변동 (2)";#N/A,#N/A,FALSE,"공사비";#N/A,#N/A,FALSE,"사급";#N/A,#N/A,FALSE,"도급집계";#N/A,#N/A,FALSE,"재료비";#N/A,#N/A,FALSE,"노무비";#N/A,#N/A,FALSE,"경비"}</definedName>
    <definedName name="wrn.보일러마감." localSheetId="1" hidden="1">{#N/A,#N/A,FALSE,"물가변동 (2)";#N/A,#N/A,FALSE,"공사비";#N/A,#N/A,FALSE,"사급";#N/A,#N/A,FALSE,"도급집계";#N/A,#N/A,FALSE,"재료비";#N/A,#N/A,FALSE,"노무비";#N/A,#N/A,FALSE,"경비"}</definedName>
    <definedName name="wrn.보일러마감." hidden="1">{#N/A,#N/A,FALSE,"물가변동 (2)";#N/A,#N/A,FALSE,"공사비";#N/A,#N/A,FALSE,"사급";#N/A,#N/A,FALSE,"도급집계";#N/A,#N/A,FALSE,"재료비";#N/A,#N/A,FALSE,"노무비";#N/A,#N/A,FALSE,"경비"}</definedName>
    <definedName name="wrn.시행결의." localSheetId="0" hidden="1">{#N/A,#N/A,FALSE,"도급대비시행율";#N/A,#N/A,FALSE,"결의서";#N/A,#N/A,FALSE,"내역서";#N/A,#N/A,FALSE,"도급예상"}</definedName>
    <definedName name="wrn.시행결의." localSheetId="2" hidden="1">{#N/A,#N/A,FALSE,"도급대비시행율";#N/A,#N/A,FALSE,"결의서";#N/A,#N/A,FALSE,"내역서";#N/A,#N/A,FALSE,"도급예상"}</definedName>
    <definedName name="wrn.시행결의." localSheetId="1" hidden="1">{#N/A,#N/A,FALSE,"도급대비시행율";#N/A,#N/A,FALSE,"결의서";#N/A,#N/A,FALSE,"내역서";#N/A,#N/A,FALSE,"도급예상"}</definedName>
    <definedName name="wrn.시행결의." hidden="1">{#N/A,#N/A,FALSE,"도급대비시행율";#N/A,#N/A,FALSE,"결의서";#N/A,#N/A,FALSE,"내역서";#N/A,#N/A,FALSE,"도급예상"}</definedName>
    <definedName name="wrn.외주기성." localSheetId="0" hidden="1">{#N/A,#N/A,FALSE,"신청통보";#N/A,#N/A,FALSE,"기성확인서";#N/A,#N/A,FALSE,"기성내역서"}</definedName>
    <definedName name="wrn.외주기성." localSheetId="2" hidden="1">{#N/A,#N/A,FALSE,"신청통보";#N/A,#N/A,FALSE,"기성확인서";#N/A,#N/A,FALSE,"기성내역서"}</definedName>
    <definedName name="wrn.외주기성." localSheetId="1" hidden="1">{#N/A,#N/A,FALSE,"신청통보";#N/A,#N/A,FALSE,"기성확인서";#N/A,#N/A,FALSE,"기성내역서"}</definedName>
    <definedName name="wrn.외주기성." hidden="1">{#N/A,#N/A,FALSE,"신청통보";#N/A,#N/A,FALSE,"기성확인서";#N/A,#N/A,FALSE,"기성내역서"}</definedName>
    <definedName name="wrn.일위대가." localSheetId="0" hidden="1">{#N/A,#N/A,TRUE,"대가1"}</definedName>
    <definedName name="wrn.일위대가." localSheetId="2" hidden="1">{#N/A,#N/A,TRUE,"대가1"}</definedName>
    <definedName name="wrn.일위대가." localSheetId="1" hidden="1">{#N/A,#N/A,TRUE,"대가1"}</definedName>
    <definedName name="wrn.일위대가." hidden="1">{#N/A,#N/A,TRUE,"대가1"}</definedName>
    <definedName name="WW"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localSheetId="0" hidden="1">{#N/A,#N/A,TRUE,"자재관리";#N/A,#N/A,TRUE,"품질"}</definedName>
    <definedName name="X" localSheetId="2" hidden="1">{#N/A,#N/A,TRUE,"자재관리";#N/A,#N/A,TRUE,"품질"}</definedName>
    <definedName name="X" localSheetId="1" hidden="1">{#N/A,#N/A,TRUE,"자재관리";#N/A,#N/A,TRUE,"품질"}</definedName>
    <definedName name="X" hidden="1">{#N/A,#N/A,TRUE,"자재관리";#N/A,#N/A,TRUE,"품질"}</definedName>
    <definedName name="yy" localSheetId="0" hidden="1">{#N/A,#N/A,FALSE,"전력간선"}</definedName>
    <definedName name="yy" localSheetId="2" hidden="1">{#N/A,#N/A,FALSE,"전력간선"}</definedName>
    <definedName name="yy" localSheetId="1" hidden="1">{#N/A,#N/A,FALSE,"전력간선"}</definedName>
    <definedName name="yy" hidden="1">{#N/A,#N/A,FALSE,"전력간선"}</definedName>
    <definedName name="YY0" localSheetId="0" hidden="1">{#N/A,#N/A,FALSE,"전력간선"}</definedName>
    <definedName name="YY0" localSheetId="2" hidden="1">{#N/A,#N/A,FALSE,"전력간선"}</definedName>
    <definedName name="YY0" localSheetId="1" hidden="1">{#N/A,#N/A,FALSE,"전력간선"}</definedName>
    <definedName name="YY0" hidden="1">{#N/A,#N/A,FALSE,"전력간선"}</definedName>
    <definedName name="yyy" hidden="1">[4]수량산출!$A$1:$A$8561</definedName>
    <definedName name="yyyy"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localSheetId="0" hidden="1">{#N/A,#N/A,FALSE,"CCTV"}</definedName>
    <definedName name="가스" localSheetId="2" hidden="1">{#N/A,#N/A,FALSE,"CCTV"}</definedName>
    <definedName name="가스" localSheetId="1" hidden="1">{#N/A,#N/A,FALSE,"CCTV"}</definedName>
    <definedName name="가스" hidden="1">{#N/A,#N/A,FALSE,"CCTV"}</definedName>
    <definedName name="가스실행내역" localSheetId="0" hidden="1">{#N/A,#N/A,FALSE,"전력간선"}</definedName>
    <definedName name="가스실행내역" localSheetId="2" hidden="1">{#N/A,#N/A,FALSE,"전력간선"}</definedName>
    <definedName name="가스실행내역" localSheetId="1" hidden="1">{#N/A,#N/A,FALSE,"전력간선"}</definedName>
    <definedName name="가스실행내역" hidden="1">{#N/A,#N/A,FALSE,"전력간선"}</definedName>
    <definedName name="가실" localSheetId="0" hidden="1">{#N/A,#N/A,FALSE,"전력간선"}</definedName>
    <definedName name="가실" localSheetId="2" hidden="1">{#N/A,#N/A,FALSE,"전력간선"}</definedName>
    <definedName name="가실" localSheetId="1" hidden="1">{#N/A,#N/A,FALSE,"전력간선"}</definedName>
    <definedName name="가실" hidden="1">{#N/A,#N/A,FALSE,"전력간선"}</definedName>
    <definedName name="가아" hidden="1">[5]수량산출!#REF!</definedName>
    <definedName name="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[6]수량산출!$A$3:$H$8539</definedName>
    <definedName name="건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'[7]내역서1999.8최종'!$A$1:$A$2438</definedName>
    <definedName name="경"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localSheetId="0" hidden="1">{#N/A,#N/A,FALSE,"도급대비시행율";#N/A,#N/A,FALSE,"결의서";#N/A,#N/A,FALSE,"내역서";#N/A,#N/A,FALSE,"도급예상"}</definedName>
    <definedName name="경수" localSheetId="2" hidden="1">{#N/A,#N/A,FALSE,"도급대비시행율";#N/A,#N/A,FALSE,"결의서";#N/A,#N/A,FALSE,"내역서";#N/A,#N/A,FALSE,"도급예상"}</definedName>
    <definedName name="경수" localSheetId="1" hidden="1">{#N/A,#N/A,FALSE,"도급대비시행율";#N/A,#N/A,FALSE,"결의서";#N/A,#N/A,FALSE,"내역서";#N/A,#N/A,FALSE,"도급예상"}</definedName>
    <definedName name="경수" hidden="1">{#N/A,#N/A,FALSE,"도급대비시행율";#N/A,#N/A,FALSE,"결의서";#N/A,#N/A,FALSE,"내역서";#N/A,#N/A,FALSE,"도급예상"}</definedName>
    <definedName name="경수을지"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localSheetId="0" hidden="1">{#N/A,#N/A,FALSE,"자재관리";#N/A,#N/A,FALSE,"자재관리";#N/A,#N/A,FALSE,"자재관리"}</definedName>
    <definedName name="경영목표2" localSheetId="2" hidden="1">{#N/A,#N/A,FALSE,"자재관리";#N/A,#N/A,FALSE,"자재관리";#N/A,#N/A,FALSE,"자재관리"}</definedName>
    <definedName name="경영목표2" localSheetId="1" hidden="1">{#N/A,#N/A,FALSE,"자재관리";#N/A,#N/A,FALSE,"자재관리";#N/A,#N/A,FALSE,"자재관리"}</definedName>
    <definedName name="경영목표2" hidden="1">{#N/A,#N/A,FALSE,"자재관리";#N/A,#N/A,FALSE,"자재관리";#N/A,#N/A,FALSE,"자재관리"}</definedName>
    <definedName name="계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localSheetId="0" hidden="1">{#N/A,#N/A,FALSE,"CCTV"}</definedName>
    <definedName name="공내역" localSheetId="2" hidden="1">{#N/A,#N/A,FALSE,"CCTV"}</definedName>
    <definedName name="공내역" localSheetId="1" hidden="1">{#N/A,#N/A,FALSE,"CCTV"}</definedName>
    <definedName name="공내역" hidden="1">{#N/A,#N/A,FALSE,"CCTV"}</definedName>
    <definedName name="공문" localSheetId="0" hidden="1">{#N/A,#N/A,FALSE,"자재관리";#N/A,#N/A,FALSE,"자재관리";#N/A,#N/A,FALSE,"자재관리"}</definedName>
    <definedName name="공문" localSheetId="2" hidden="1">{#N/A,#N/A,FALSE,"자재관리";#N/A,#N/A,FALSE,"자재관리";#N/A,#N/A,FALSE,"자재관리"}</definedName>
    <definedName name="공문" localSheetId="1" hidden="1">{#N/A,#N/A,FALSE,"자재관리";#N/A,#N/A,FALSE,"자재관리";#N/A,#N/A,FALSE,"자재관리"}</definedName>
    <definedName name="공문" hidden="1">{#N/A,#N/A,FALSE,"자재관리";#N/A,#N/A,FALSE,"자재관리";#N/A,#N/A,FALSE,"자재관리"}</definedName>
    <definedName name="공문1" localSheetId="0" hidden="1">{#N/A,#N/A,FALSE,"자재관리";#N/A,#N/A,FALSE,"자재관리";#N/A,#N/A,FALSE,"자재관리"}</definedName>
    <definedName name="공문1" localSheetId="2" hidden="1">{#N/A,#N/A,FALSE,"자재관리";#N/A,#N/A,FALSE,"자재관리";#N/A,#N/A,FALSE,"자재관리"}</definedName>
    <definedName name="공문1" localSheetId="1" hidden="1">{#N/A,#N/A,FALSE,"자재관리";#N/A,#N/A,FALSE,"자재관리";#N/A,#N/A,FALSE,"자재관리"}</definedName>
    <definedName name="공문1" hidden="1">{#N/A,#N/A,FALSE,"자재관리";#N/A,#N/A,FALSE,"자재관리";#N/A,#N/A,FALSE,"자재관리"}</definedName>
    <definedName name="공장동" hidden="1">#REF!</definedName>
    <definedName name="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localSheetId="0"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localSheetId="1"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localSheetId="0" hidden="1">{#N/A,#N/A,FALSE,"신청통보";#N/A,#N/A,FALSE,"기성확인서";#N/A,#N/A,FALSE,"기성내역서"}</definedName>
    <definedName name="구자관" localSheetId="2" hidden="1">{#N/A,#N/A,FALSE,"신청통보";#N/A,#N/A,FALSE,"기성확인서";#N/A,#N/A,FALSE,"기성내역서"}</definedName>
    <definedName name="구자관" localSheetId="1" hidden="1">{#N/A,#N/A,FALSE,"신청통보";#N/A,#N/A,FALSE,"기성확인서";#N/A,#N/A,FALSE,"기성내역서"}</definedName>
    <definedName name="구자관" hidden="1">{#N/A,#N/A,FALSE,"신청통보";#N/A,#N/A,FALSE,"기성확인서";#N/A,#N/A,FALSE,"기성내역서"}</definedName>
    <definedName name="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localSheetId="0" hidden="1">{#N/A,#N/A,TRUE,"자재관리";#N/A,#N/A,TRUE,"품질"}</definedName>
    <definedName name="기" localSheetId="2" hidden="1">{#N/A,#N/A,TRUE,"자재관리";#N/A,#N/A,TRUE,"품질"}</definedName>
    <definedName name="기" localSheetId="1" hidden="1">{#N/A,#N/A,TRUE,"자재관리";#N/A,#N/A,TRUE,"품질"}</definedName>
    <definedName name="기" hidden="1">{#N/A,#N/A,TRUE,"자재관리";#N/A,#N/A,TRUE,"품질"}</definedName>
    <definedName name="기계단가1" localSheetId="0" hidden="1">{#N/A,#N/A,FALSE,"전력간선"}</definedName>
    <definedName name="기계단가1" localSheetId="2" hidden="1">{#N/A,#N/A,FALSE,"전력간선"}</definedName>
    <definedName name="기계단가1" localSheetId="1" hidden="1">{#N/A,#N/A,FALSE,"전력간선"}</definedName>
    <definedName name="기계단가1" hidden="1">{#N/A,#N/A,FALSE,"전력간선"}</definedName>
    <definedName name="기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localSheetId="0" hidden="1">{#N/A,#N/A,FALSE,"도급대비시행율";#N/A,#N/A,FALSE,"결의서";#N/A,#N/A,FALSE,"내역서";#N/A,#N/A,FALSE,"도급예상"}</definedName>
    <definedName name="길화건" localSheetId="2" hidden="1">{#N/A,#N/A,FALSE,"도급대비시행율";#N/A,#N/A,FALSE,"결의서";#N/A,#N/A,FALSE,"내역서";#N/A,#N/A,FALSE,"도급예상"}</definedName>
    <definedName name="길화건" localSheetId="1" hidden="1">{#N/A,#N/A,FALSE,"도급대비시행율";#N/A,#N/A,FALSE,"결의서";#N/A,#N/A,FALSE,"내역서";#N/A,#N/A,FALSE,"도급예상"}</definedName>
    <definedName name="길화건" hidden="1">{#N/A,#N/A,FALSE,"도급대비시행율";#N/A,#N/A,FALSE,"결의서";#N/A,#N/A,FALSE,"내역서";#N/A,#N/A,FALSE,"도급예상"}</definedName>
    <definedName name="길화건업" localSheetId="0" hidden="1">{#N/A,#N/A,FALSE,"집계";#N/A,#N/A,FALSE,"표지";#N/A,#N/A,FALSE,"터빈집계";#N/A,#N/A,FALSE,"터빈내역";#N/A,#N/A,FALSE,"주제어집계";#N/A,#N/A,FALSE,"주제어내역";#N/A,#N/A,FALSE,"보일러집계";#N/A,#N/A,FALSE,"보일러내역"}</definedName>
    <definedName name="길화건업" localSheetId="2" hidden="1">{#N/A,#N/A,FALSE,"집계";#N/A,#N/A,FALSE,"표지";#N/A,#N/A,FALSE,"터빈집계";#N/A,#N/A,FALSE,"터빈내역";#N/A,#N/A,FALSE,"주제어집계";#N/A,#N/A,FALSE,"주제어내역";#N/A,#N/A,FALSE,"보일러집계";#N/A,#N/A,FALSE,"보일러내역"}</definedName>
    <definedName name="길화건업" localSheetId="1" hidden="1">{#N/A,#N/A,FALSE,"집계";#N/A,#N/A,FALSE,"표지";#N/A,#N/A,FALSE,"터빈집계";#N/A,#N/A,FALSE,"터빈내역";#N/A,#N/A,FALSE,"주제어집계";#N/A,#N/A,FALSE,"주제어내역";#N/A,#N/A,FALSE,"보일러집계";#N/A,#N/A,FALSE,"보일러내역"}</definedName>
    <definedName name="길화건업" hidden="1">{#N/A,#N/A,FALSE,"집계";#N/A,#N/A,FALSE,"표지";#N/A,#N/A,FALSE,"터빈집계";#N/A,#N/A,FALSE,"터빈내역";#N/A,#N/A,FALSE,"주제어집계";#N/A,#N/A,FALSE,"주제어내역";#N/A,#N/A,FALSE,"보일러집계";#N/A,#N/A,FALSE,"보일러내역"}</definedName>
    <definedName name="김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localSheetId="0" hidden="1">{#N/A,#N/A,TRUE,"자재관리";#N/A,#N/A,TRUE,"품질"}</definedName>
    <definedName name="ㄴ" localSheetId="2" hidden="1">{#N/A,#N/A,TRUE,"자재관리";#N/A,#N/A,TRUE,"품질"}</definedName>
    <definedName name="ㄴ" localSheetId="1" hidden="1">{#N/A,#N/A,TRUE,"자재관리";#N/A,#N/A,TRUE,"품질"}</definedName>
    <definedName name="ㄴ" hidden="1">{#N/A,#N/A,TRUE,"자재관리";#N/A,#N/A,TRUE,"품질"}</definedName>
    <definedName name="ㄴㄴㄴ" localSheetId="0" hidden="1">{#N/A,#N/A,FALSE,"자재관리";#N/A,#N/A,FALSE,"자재관리";#N/A,#N/A,FALSE,"자재관리"}</definedName>
    <definedName name="ㄴㄴㄴ" localSheetId="2" hidden="1">{#N/A,#N/A,FALSE,"자재관리";#N/A,#N/A,FALSE,"자재관리";#N/A,#N/A,FALSE,"자재관리"}</definedName>
    <definedName name="ㄴㄴㄴ" localSheetId="1" hidden="1">{#N/A,#N/A,FALSE,"자재관리";#N/A,#N/A,FALSE,"자재관리";#N/A,#N/A,FALSE,"자재관리"}</definedName>
    <definedName name="ㄴㄴㄴ" hidden="1">{#N/A,#N/A,FALSE,"자재관리";#N/A,#N/A,FALSE,"자재관리";#N/A,#N/A,FALSE,"자재관리"}</definedName>
    <definedName name="ㄴㄴㄴㄴ" hidden="1">#REF!</definedName>
    <definedName name="ㄴㄴㄴㄴㄴ" localSheetId="0" hidden="1">{#N/A,#N/A,TRUE,"자재관리";#N/A,#N/A,TRUE,"품질"}</definedName>
    <definedName name="ㄴㄴㄴㄴㄴ" localSheetId="2" hidden="1">{#N/A,#N/A,TRUE,"자재관리";#N/A,#N/A,TRUE,"품질"}</definedName>
    <definedName name="ㄴㄴㄴㄴㄴ" localSheetId="1" hidden="1">{#N/A,#N/A,TRUE,"자재관리";#N/A,#N/A,TRUE,"품질"}</definedName>
    <definedName name="ㄴㄴㄴㄴㄴ" hidden="1">{#N/A,#N/A,TRUE,"자재관리";#N/A,#N/A,TRUE,"품질"}</definedName>
    <definedName name="ㄴㄹㄴ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localSheetId="0" hidden="1">{#N/A,#N/A,FALSE,"자재관리";#N/A,#N/A,FALSE,"자재관리";#N/A,#N/A,FALSE,"자재관리"}</definedName>
    <definedName name="ㄴㅁㅁㅁ" localSheetId="2" hidden="1">{#N/A,#N/A,FALSE,"자재관리";#N/A,#N/A,FALSE,"자재관리";#N/A,#N/A,FALSE,"자재관리"}</definedName>
    <definedName name="ㄴㅁㅁㅁ" localSheetId="1" hidden="1">{#N/A,#N/A,FALSE,"자재관리";#N/A,#N/A,FALSE,"자재관리";#N/A,#N/A,FALSE,"자재관리"}</definedName>
    <definedName name="ㄴㅁㅁㅁ" hidden="1">{#N/A,#N/A,FALSE,"자재관리";#N/A,#N/A,FALSE,"자재관리";#N/A,#N/A,FALSE,"자재관리"}</definedName>
    <definedName name="ㄴㅌㄴㅌ" localSheetId="0" hidden="1">{#N/A,#N/A,FALSE,"CCTV"}</definedName>
    <definedName name="ㄴㅌㄴㅌ" localSheetId="2" hidden="1">{#N/A,#N/A,FALSE,"CCTV"}</definedName>
    <definedName name="ㄴㅌㄴㅌ" localSheetId="1" hidden="1">{#N/A,#N/A,FALSE,"CCTV"}</definedName>
    <definedName name="ㄴㅌㄴㅌ" hidden="1">{#N/A,#N/A,FALSE,"CCTV"}</definedName>
    <definedName name="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localSheetId="0" hidden="1">{#N/A,#N/A,FALSE,"CCTV"}</definedName>
    <definedName name="내역" localSheetId="2" hidden="1">{#N/A,#N/A,FALSE,"CCTV"}</definedName>
    <definedName name="내역" localSheetId="1" hidden="1">{#N/A,#N/A,FALSE,"CCTV"}</definedName>
    <definedName name="내역" hidden="1">{#N/A,#N/A,FALSE,"CCTV"}</definedName>
    <definedName name="내역점검" localSheetId="0" hidden="1">{#N/A,#N/A,FALSE,"전력간선"}</definedName>
    <definedName name="내역점검" localSheetId="2" hidden="1">{#N/A,#N/A,FALSE,"전력간선"}</definedName>
    <definedName name="내역점검" localSheetId="1" hidden="1">{#N/A,#N/A,FALSE,"전력간선"}</definedName>
    <definedName name="내역점검" hidden="1">{#N/A,#N/A,FALSE,"전력간선"}</definedName>
    <definedName name="내작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localSheetId="0" hidden="1">{#N/A,#N/A,FALSE,"전력간선"}</definedName>
    <definedName name="단가산출서" localSheetId="2" hidden="1">{#N/A,#N/A,FALSE,"전력간선"}</definedName>
    <definedName name="단가산출서" localSheetId="1" hidden="1">{#N/A,#N/A,FALSE,"전력간선"}</definedName>
    <definedName name="단가산출서" hidden="1">{#N/A,#N/A,FALSE,"전력간선"}</definedName>
    <definedName name="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localSheetId="0" hidden="1">{#N/A,#N/A,FALSE,"도급대비시행율";#N/A,#N/A,FALSE,"결의서";#N/A,#N/A,FALSE,"내역서";#N/A,#N/A,FALSE,"도급예상"}</definedName>
    <definedName name="러헐" localSheetId="2" hidden="1">{#N/A,#N/A,FALSE,"도급대비시행율";#N/A,#N/A,FALSE,"결의서";#N/A,#N/A,FALSE,"내역서";#N/A,#N/A,FALSE,"도급예상"}</definedName>
    <definedName name="러헐" localSheetId="1" hidden="1">{#N/A,#N/A,FALSE,"도급대비시행율";#N/A,#N/A,FALSE,"결의서";#N/A,#N/A,FALSE,"내역서";#N/A,#N/A,FALSE,"도급예상"}</definedName>
    <definedName name="러헐" hidden="1">{#N/A,#N/A,FALSE,"도급대비시행율";#N/A,#N/A,FALSE,"결의서";#N/A,#N/A,FALSE,"내역서";#N/A,#N/A,FALSE,"도급예상"}</definedName>
    <definedName name="럭키" localSheetId="0" hidden="1">{#N/A,#N/A,FALSE,"전력간선"}</definedName>
    <definedName name="럭키" localSheetId="2" hidden="1">{#N/A,#N/A,FALSE,"전력간선"}</definedName>
    <definedName name="럭키" localSheetId="1" hidden="1">{#N/A,#N/A,FALSE,"전력간선"}</definedName>
    <definedName name="럭키" hidden="1">{#N/A,#N/A,FALSE,"전력간선"}</definedName>
    <definedName name="롯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localSheetId="0" hidden="1">{#N/A,#N/A,FALSE,"자재관리";#N/A,#N/A,FALSE,"자재관리";#N/A,#N/A,FALSE,"자재관리"}</definedName>
    <definedName name="ㅁ" localSheetId="2" hidden="1">{#N/A,#N/A,FALSE,"자재관리";#N/A,#N/A,FALSE,"자재관리";#N/A,#N/A,FALSE,"자재관리"}</definedName>
    <definedName name="ㅁ" localSheetId="1" hidden="1">{#N/A,#N/A,FALSE,"자재관리";#N/A,#N/A,FALSE,"자재관리";#N/A,#N/A,FALSE,"자재관리"}</definedName>
    <definedName name="ㅁ" hidden="1">{#N/A,#N/A,FALSE,"자재관리";#N/A,#N/A,FALSE,"자재관리";#N/A,#N/A,FALSE,"자재관리"}</definedName>
    <definedName name="ㅁㄱㄷ" localSheetId="0" hidden="1">{#N/A,#N/A,FALSE,"자재관리";#N/A,#N/A,FALSE,"자재관리";#N/A,#N/A,FALSE,"자재관리"}</definedName>
    <definedName name="ㅁㄱㄷ" localSheetId="2" hidden="1">{#N/A,#N/A,FALSE,"자재관리";#N/A,#N/A,FALSE,"자재관리";#N/A,#N/A,FALSE,"자재관리"}</definedName>
    <definedName name="ㅁㄱㄷ" localSheetId="1" hidden="1">{#N/A,#N/A,FALSE,"자재관리";#N/A,#N/A,FALSE,"자재관리";#N/A,#N/A,FALSE,"자재관리"}</definedName>
    <definedName name="ㅁㄱㄷ" hidden="1">{#N/A,#N/A,FALSE,"자재관리";#N/A,#N/A,FALSE,"자재관리";#N/A,#N/A,FALSE,"자재관리"}</definedName>
    <definedName name="ㅁㅁ" localSheetId="0" hidden="1">{#N/A,#N/A,FALSE,"전력간선"}</definedName>
    <definedName name="ㅁㅁ" localSheetId="2" hidden="1">{#N/A,#N/A,FALSE,"전력간선"}</definedName>
    <definedName name="ㅁㅁ" localSheetId="1" hidden="1">{#N/A,#N/A,FALSE,"전력간선"}</definedName>
    <definedName name="ㅁㅁ" hidden="1">{#N/A,#N/A,FALSE,"전력간선"}</definedName>
    <definedName name="ㅁㅇ" localSheetId="0" hidden="1">{#N/A,#N/A,FALSE,"자재관리";#N/A,#N/A,FALSE,"자재관리";#N/A,#N/A,FALSE,"자재관리"}</definedName>
    <definedName name="ㅁㅇ" localSheetId="2" hidden="1">{#N/A,#N/A,FALSE,"자재관리";#N/A,#N/A,FALSE,"자재관리";#N/A,#N/A,FALSE,"자재관리"}</definedName>
    <definedName name="ㅁㅇ" localSheetId="1" hidden="1">{#N/A,#N/A,FALSE,"자재관리";#N/A,#N/A,FALSE,"자재관리";#N/A,#N/A,FALSE,"자재관리"}</definedName>
    <definedName name="ㅁㅇ" hidden="1">{#N/A,#N/A,FALSE,"자재관리";#N/A,#N/A,FALSE,"자재관리";#N/A,#N/A,FALSE,"자재관리"}</definedName>
    <definedName name="마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localSheetId="0" hidden="1">{#N/A,#N/A,FALSE,"전력간선"}</definedName>
    <definedName name="명신" localSheetId="2" hidden="1">{#N/A,#N/A,FALSE,"전력간선"}</definedName>
    <definedName name="명신" localSheetId="1" hidden="1">{#N/A,#N/A,FALSE,"전력간선"}</definedName>
    <definedName name="명신" hidden="1">{#N/A,#N/A,FALSE,"전력간선"}</definedName>
    <definedName name="목표" localSheetId="0" hidden="1">{#N/A,#N/A,FALSE,"자재관리";#N/A,#N/A,FALSE,"자재관리";#N/A,#N/A,FALSE,"자재관리"}</definedName>
    <definedName name="목표" localSheetId="2" hidden="1">{#N/A,#N/A,FALSE,"자재관리";#N/A,#N/A,FALSE,"자재관리";#N/A,#N/A,FALSE,"자재관리"}</definedName>
    <definedName name="목표" localSheetId="1" hidden="1">{#N/A,#N/A,FALSE,"자재관리";#N/A,#N/A,FALSE,"자재관리";#N/A,#N/A,FALSE,"자재관리"}</definedName>
    <definedName name="목표" hidden="1">{#N/A,#N/A,FALSE,"자재관리";#N/A,#N/A,FALSE,"자재관리";#N/A,#N/A,FALSE,"자재관리"}</definedName>
    <definedName name="뮹ㅊ"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localSheetId="0" hidden="1">{#N/A,#N/A,FALSE,"전력간선"}</definedName>
    <definedName name="ㅂ" localSheetId="2" hidden="1">{#N/A,#N/A,FALSE,"전력간선"}</definedName>
    <definedName name="ㅂ" localSheetId="1" hidden="1">{#N/A,#N/A,FALSE,"전력간선"}</definedName>
    <definedName name="ㅂ" hidden="1">{#N/A,#N/A,FALSE,"전력간선"}</definedName>
    <definedName name="ㅂㄷ"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localSheetId="0" hidden="1">{#N/A,#N/A,FALSE,"자재관리";#N/A,#N/A,FALSE,"자재관리";#N/A,#N/A,FALSE,"자재관리"}</definedName>
    <definedName name="ㅅ" localSheetId="2" hidden="1">{#N/A,#N/A,FALSE,"자재관리";#N/A,#N/A,FALSE,"자재관리";#N/A,#N/A,FALSE,"자재관리"}</definedName>
    <definedName name="ㅅ" localSheetId="1" hidden="1">{#N/A,#N/A,FALSE,"자재관리";#N/A,#N/A,FALSE,"자재관리";#N/A,#N/A,FALSE,"자재관리"}</definedName>
    <definedName name="ㅅ" hidden="1">{#N/A,#N/A,FALSE,"자재관리";#N/A,#N/A,FALSE,"자재관리";#N/A,#N/A,FALSE,"자재관리"}</definedName>
    <definedName name="ㅅㅅ" hidden="1">#REF!</definedName>
    <definedName name="산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localSheetId="0" hidden="1">{#N/A,#N/A,FALSE,"자재관리";#N/A,#N/A,FALSE,"자재관리";#N/A,#N/A,FALSE,"자재관리"}</definedName>
    <definedName name="서원열" localSheetId="2" hidden="1">{#N/A,#N/A,FALSE,"자재관리";#N/A,#N/A,FALSE,"자재관리";#N/A,#N/A,FALSE,"자재관리"}</definedName>
    <definedName name="서원열" localSheetId="1" hidden="1">{#N/A,#N/A,FALSE,"자재관리";#N/A,#N/A,FALSE,"자재관리";#N/A,#N/A,FALSE,"자재관리"}</definedName>
    <definedName name="서원열" hidden="1">{#N/A,#N/A,FALSE,"자재관리";#N/A,#N/A,FALSE,"자재관리";#N/A,#N/A,FALSE,"자재관리"}</definedName>
    <definedName name="서원영" localSheetId="0" hidden="1">{#N/A,#N/A,FALSE,"자재관리";#N/A,#N/A,FALSE,"자재관리";#N/A,#N/A,FALSE,"자재관리"}</definedName>
    <definedName name="서원영" localSheetId="2" hidden="1">{#N/A,#N/A,FALSE,"자재관리";#N/A,#N/A,FALSE,"자재관리";#N/A,#N/A,FALSE,"자재관리"}</definedName>
    <definedName name="서원영" localSheetId="1" hidden="1">{#N/A,#N/A,FALSE,"자재관리";#N/A,#N/A,FALSE,"자재관리";#N/A,#N/A,FALSE,"자재관리"}</definedName>
    <definedName name="서원영" hidden="1">{#N/A,#N/A,FALSE,"자재관리";#N/A,#N/A,FALSE,"자재관리";#N/A,#N/A,FALSE,"자재관리"}</definedName>
    <definedName name="석"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localSheetId="0" hidden="1">{#N/A,#N/A,FALSE,"자재관리";#N/A,#N/A,FALSE,"자재관리";#N/A,#N/A,FALSE,"자재관리"}</definedName>
    <definedName name="세현" localSheetId="2" hidden="1">{#N/A,#N/A,FALSE,"자재관리";#N/A,#N/A,FALSE,"자재관리";#N/A,#N/A,FALSE,"자재관리"}</definedName>
    <definedName name="세현" localSheetId="1" hidden="1">{#N/A,#N/A,FALSE,"자재관리";#N/A,#N/A,FALSE,"자재관리";#N/A,#N/A,FALSE,"자재관리"}</definedName>
    <definedName name="세현" hidden="1">{#N/A,#N/A,FALSE,"자재관리";#N/A,#N/A,FALSE,"자재관리";#N/A,#N/A,FALSE,"자재관리"}</definedName>
    <definedName name="소화갑지" localSheetId="0" hidden="1">{#N/A,#N/A,FALSE,"CCTV"}</definedName>
    <definedName name="소화갑지" localSheetId="2" hidden="1">{#N/A,#N/A,FALSE,"CCTV"}</definedName>
    <definedName name="소화갑지" localSheetId="1" hidden="1">{#N/A,#N/A,FALSE,"CCTV"}</definedName>
    <definedName name="소화갑지" hidden="1">{#N/A,#N/A,FALSE,"CCTV"}</definedName>
    <definedName name="수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localSheetId="0" hidden="1">{#N/A,#N/A,TRUE,"자재관리";#N/A,#N/A,TRUE,"품질"}</definedName>
    <definedName name="ㅇ" localSheetId="2" hidden="1">{#N/A,#N/A,TRUE,"자재관리";#N/A,#N/A,TRUE,"품질"}</definedName>
    <definedName name="ㅇ" localSheetId="1" hidden="1">{#N/A,#N/A,TRUE,"자재관리";#N/A,#N/A,TRUE,"품질"}</definedName>
    <definedName name="ㅇ" hidden="1">{#N/A,#N/A,TRUE,"자재관리";#N/A,#N/A,TRUE,"품질"}</definedName>
    <definedName name="ㅇㄴㅇㄴ" localSheetId="0" hidden="1">{#N/A,#N/A,FALSE,"CCTV"}</definedName>
    <definedName name="ㅇㄴㅇㄴ" localSheetId="2" hidden="1">{#N/A,#N/A,FALSE,"CCTV"}</definedName>
    <definedName name="ㅇㄴㅇㄴ" localSheetId="1" hidden="1">{#N/A,#N/A,FALSE,"CCTV"}</definedName>
    <definedName name="ㅇㄴㅇㄴ" hidden="1">{#N/A,#N/A,FALSE,"CCTV"}</definedName>
    <definedName name="ㅇㄹㅇㄹ" hidden="1">#REF!</definedName>
    <definedName name="ㅇㅀ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localSheetId="0" hidden="1">{#N/A,#N/A,FALSE,"자재관리";#N/A,#N/A,FALSE,"자재관리";#N/A,#N/A,FALSE,"자재관리"}</definedName>
    <definedName name="ㅇㅇ" localSheetId="2" hidden="1">{#N/A,#N/A,FALSE,"자재관리";#N/A,#N/A,FALSE,"자재관리";#N/A,#N/A,FALSE,"자재관리"}</definedName>
    <definedName name="ㅇㅇ" localSheetId="1" hidden="1">{#N/A,#N/A,FALSE,"자재관리";#N/A,#N/A,FALSE,"자재관리";#N/A,#N/A,FALSE,"자재관리"}</definedName>
    <definedName name="ㅇㅇ" hidden="1">{#N/A,#N/A,FALSE,"자재관리";#N/A,#N/A,FALSE,"자재관리";#N/A,#N/A,FALSE,"자재관리"}</definedName>
    <definedName name="ㅇㅇㄹ" hidden="1">#REF!</definedName>
    <definedName name="ㅇㅇㄹㄴㅁㄹ" localSheetId="0" hidden="1">{#N/A,#N/A,FALSE,"자재관리";#N/A,#N/A,FALSE,"자재관리";#N/A,#N/A,FALSE,"자재관리"}</definedName>
    <definedName name="ㅇㅇㄹㄴㅁㄹ" localSheetId="2" hidden="1">{#N/A,#N/A,FALSE,"자재관리";#N/A,#N/A,FALSE,"자재관리";#N/A,#N/A,FALSE,"자재관리"}</definedName>
    <definedName name="ㅇㅇㄹㄴㅁㄹ" localSheetId="1" hidden="1">{#N/A,#N/A,FALSE,"자재관리";#N/A,#N/A,FALSE,"자재관리";#N/A,#N/A,FALSE,"자재관리"}</definedName>
    <definedName name="ㅇㅇㄹㄴㅁㄹ" hidden="1">{#N/A,#N/A,FALSE,"자재관리";#N/A,#N/A,FALSE,"자재관리";#N/A,#N/A,FALSE,"자재관리"}</definedName>
    <definedName name="ㅇㅇㅇㅇㅇ" localSheetId="0" hidden="1">{#N/A,#N/A,TRUE,"자재관리";#N/A,#N/A,TRUE,"품질"}</definedName>
    <definedName name="ㅇㅇㅇㅇㅇ" localSheetId="2" hidden="1">{#N/A,#N/A,TRUE,"자재관리";#N/A,#N/A,TRUE,"품질"}</definedName>
    <definedName name="ㅇㅇㅇㅇㅇ" localSheetId="1" hidden="1">{#N/A,#N/A,TRUE,"자재관리";#N/A,#N/A,TRUE,"품질"}</definedName>
    <definedName name="ㅇㅇㅇㅇㅇ" hidden="1">{#N/A,#N/A,TRUE,"자재관리";#N/A,#N/A,TRUE,"품질"}</definedName>
    <definedName name="아" localSheetId="0" hidden="1">{#N/A,#N/A,FALSE,"자재관리";#N/A,#N/A,FALSE,"자재관리";#N/A,#N/A,FALSE,"자재관리"}</definedName>
    <definedName name="아" localSheetId="2" hidden="1">{#N/A,#N/A,FALSE,"자재관리";#N/A,#N/A,FALSE,"자재관리";#N/A,#N/A,FALSE,"자재관리"}</definedName>
    <definedName name="아" localSheetId="1" hidden="1">{#N/A,#N/A,FALSE,"자재관리";#N/A,#N/A,FALSE,"자재관리";#N/A,#N/A,FALSE,"자재관리"}</definedName>
    <definedName name="아" hidden="1">{#N/A,#N/A,FALSE,"자재관리";#N/A,#N/A,FALSE,"자재관리";#N/A,#N/A,FALSE,"자재관리"}</definedName>
    <definedName name="아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localSheetId="0" hidden="1">{#N/A,#N/A,FALSE,"자재관리";#N/A,#N/A,FALSE,"자재관리";#N/A,#N/A,FALSE,"자재관리"}</definedName>
    <definedName name="아이템별투자" localSheetId="2" hidden="1">{#N/A,#N/A,FALSE,"자재관리";#N/A,#N/A,FALSE,"자재관리";#N/A,#N/A,FALSE,"자재관리"}</definedName>
    <definedName name="아이템별투자" localSheetId="1" hidden="1">{#N/A,#N/A,FALSE,"자재관리";#N/A,#N/A,FALSE,"자재관리";#N/A,#N/A,FALSE,"자재관리"}</definedName>
    <definedName name="아이템별투자" hidden="1">{#N/A,#N/A,FALSE,"자재관리";#N/A,#N/A,FALSE,"자재관리";#N/A,#N/A,FALSE,"자재관리"}</definedName>
    <definedName name="안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localSheetId="0" hidden="1">{#N/A,#N/A,FALSE,"자재관리";#N/A,#N/A,FALSE,"자재관리";#N/A,#N/A,FALSE,"자재관리"}</definedName>
    <definedName name="앙" localSheetId="2" hidden="1">{#N/A,#N/A,FALSE,"자재관리";#N/A,#N/A,FALSE,"자재관리";#N/A,#N/A,FALSE,"자재관리"}</definedName>
    <definedName name="앙" localSheetId="1" hidden="1">{#N/A,#N/A,FALSE,"자재관리";#N/A,#N/A,FALSE,"자재관리";#N/A,#N/A,FALSE,"자재관리"}</definedName>
    <definedName name="앙" hidden="1">{#N/A,#N/A,FALSE,"자재관리";#N/A,#N/A,FALSE,"자재관리";#N/A,#N/A,FALSE,"자재관리"}</definedName>
    <definedName name="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localSheetId="0" hidden="1">{#N/A,#N/A,FALSE,"자재관리";#N/A,#N/A,FALSE,"자재관리";#N/A,#N/A,FALSE,"자재관리"}</definedName>
    <definedName name="양" localSheetId="2" hidden="1">{#N/A,#N/A,FALSE,"자재관리";#N/A,#N/A,FALSE,"자재관리";#N/A,#N/A,FALSE,"자재관리"}</definedName>
    <definedName name="양" localSheetId="1" hidden="1">{#N/A,#N/A,FALSE,"자재관리";#N/A,#N/A,FALSE,"자재관리";#N/A,#N/A,FALSE,"자재관리"}</definedName>
    <definedName name="양" hidden="1">{#N/A,#N/A,FALSE,"자재관리";#N/A,#N/A,FALSE,"자재관리";#N/A,#N/A,FALSE,"자재관리"}</definedName>
    <definedName name="양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localSheetId="0" hidden="1">{#N/A,#N/A,FALSE,"집계";#N/A,#N/A,FALSE,"표지";#N/A,#N/A,FALSE,"터빈집계";#N/A,#N/A,FALSE,"터빈내역";#N/A,#N/A,FALSE,"주제어집계";#N/A,#N/A,FALSE,"주제어내역";#N/A,#N/A,FALSE,"보일러집계";#N/A,#N/A,FALSE,"보일러내역"}</definedName>
    <definedName name="업" localSheetId="2" hidden="1">{#N/A,#N/A,FALSE,"집계";#N/A,#N/A,FALSE,"표지";#N/A,#N/A,FALSE,"터빈집계";#N/A,#N/A,FALSE,"터빈내역";#N/A,#N/A,FALSE,"주제어집계";#N/A,#N/A,FALSE,"주제어내역";#N/A,#N/A,FALSE,"보일러집계";#N/A,#N/A,FALSE,"보일러내역"}</definedName>
    <definedName name="업" localSheetId="1" hidden="1">{#N/A,#N/A,FALSE,"집계";#N/A,#N/A,FALSE,"표지";#N/A,#N/A,FALSE,"터빈집계";#N/A,#N/A,FALSE,"터빈내역";#N/A,#N/A,FALSE,"주제어집계";#N/A,#N/A,FALSE,"주제어내역";#N/A,#N/A,FALSE,"보일러집계";#N/A,#N/A,FALSE,"보일러내역"}</definedName>
    <definedName name="업" hidden="1">{#N/A,#N/A,FALSE,"집계";#N/A,#N/A,FALSE,"표지";#N/A,#N/A,FALSE,"터빈집계";#N/A,#N/A,FALSE,"터빈내역";#N/A,#N/A,FALSE,"주제어집계";#N/A,#N/A,FALSE,"주제어내역";#N/A,#N/A,FALSE,"보일러집계";#N/A,#N/A,FALSE,"보일러내역"}</definedName>
    <definedName name="업소용" localSheetId="0" hidden="1">{#N/A,#N/A,TRUE,"자재관리";#N/A,#N/A,TRUE,"품질"}</definedName>
    <definedName name="업소용" localSheetId="2" hidden="1">{#N/A,#N/A,TRUE,"자재관리";#N/A,#N/A,TRUE,"품질"}</definedName>
    <definedName name="업소용" localSheetId="1" hidden="1">{#N/A,#N/A,TRUE,"자재관리";#N/A,#N/A,TRUE,"품질"}</definedName>
    <definedName name="업소용" hidden="1">{#N/A,#N/A,TRUE,"자재관리";#N/A,#N/A,TRUE,"품질"}</definedName>
    <definedName name="업소용생산1팀" localSheetId="0" hidden="1">{#N/A,#N/A,FALSE,"자재관리";#N/A,#N/A,FALSE,"자재관리";#N/A,#N/A,FALSE,"자재관리"}</definedName>
    <definedName name="업소용생산1팀" localSheetId="2" hidden="1">{#N/A,#N/A,FALSE,"자재관리";#N/A,#N/A,FALSE,"자재관리";#N/A,#N/A,FALSE,"자재관리"}</definedName>
    <definedName name="업소용생산1팀" localSheetId="1" hidden="1">{#N/A,#N/A,FALSE,"자재관리";#N/A,#N/A,FALSE,"자재관리";#N/A,#N/A,FALSE,"자재관리"}</definedName>
    <definedName name="업소용생산1팀" hidden="1">{#N/A,#N/A,FALSE,"자재관리";#N/A,#N/A,FALSE,"자재관리";#N/A,#N/A,FALSE,"자재관리"}</definedName>
    <definedName name="역"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localSheetId="0" hidden="1">{#N/A,#N/A,FALSE,"전력간선"}</definedName>
    <definedName name="염" localSheetId="2" hidden="1">{#N/A,#N/A,FALSE,"전력간선"}</definedName>
    <definedName name="염" localSheetId="1" hidden="1">{#N/A,#N/A,FALSE,"전력간선"}</definedName>
    <definedName name="염" hidden="1">{#N/A,#N/A,FALSE,"전력간선"}</definedName>
    <definedName name="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localSheetId="0" hidden="1">{#N/A,#N/A,FALSE,"전력간선"}</definedName>
    <definedName name="영조" localSheetId="2" hidden="1">{#N/A,#N/A,FALSE,"전력간선"}</definedName>
    <definedName name="영조" localSheetId="1" hidden="1">{#N/A,#N/A,FALSE,"전력간선"}</definedName>
    <definedName name="영조" hidden="1">{#N/A,#N/A,FALSE,"전력간선"}</definedName>
    <definedName name="예상도급내역" localSheetId="0" hidden="1">{#N/A,#N/A,FALSE,"CCTV"}</definedName>
    <definedName name="예상도급내역" localSheetId="2" hidden="1">{#N/A,#N/A,FALSE,"CCTV"}</definedName>
    <definedName name="예상도급내역" localSheetId="1" hidden="1">{#N/A,#N/A,FALSE,"CCTV"}</definedName>
    <definedName name="예상도급내역" hidden="1">{#N/A,#N/A,FALSE,"CCTV"}</definedName>
    <definedName name="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localSheetId="0" hidden="1">{#N/A,#N/A,FALSE,"자재관리";#N/A,#N/A,FALSE,"자재관리";#N/A,#N/A,FALSE,"자재관리"}</definedName>
    <definedName name="우인보고표지" localSheetId="2" hidden="1">{#N/A,#N/A,FALSE,"자재관리";#N/A,#N/A,FALSE,"자재관리";#N/A,#N/A,FALSE,"자재관리"}</definedName>
    <definedName name="우인보고표지" localSheetId="1" hidden="1">{#N/A,#N/A,FALSE,"자재관리";#N/A,#N/A,FALSE,"자재관리";#N/A,#N/A,FALSE,"자재관리"}</definedName>
    <definedName name="우인보고표지" hidden="1">{#N/A,#N/A,FALSE,"자재관리";#N/A,#N/A,FALSE,"자재관리";#N/A,#N/A,FALSE,"자재관리"}</definedName>
    <definedName name="우인표지" localSheetId="0" hidden="1">{#N/A,#N/A,TRUE,"자재관리";#N/A,#N/A,TRUE,"품질"}</definedName>
    <definedName name="우인표지" localSheetId="2" hidden="1">{#N/A,#N/A,TRUE,"자재관리";#N/A,#N/A,TRUE,"품질"}</definedName>
    <definedName name="우인표지" localSheetId="1" hidden="1">{#N/A,#N/A,TRUE,"자재관리";#N/A,#N/A,TRUE,"품질"}</definedName>
    <definedName name="우인표지" hidden="1">{#N/A,#N/A,TRUE,"자재관리";#N/A,#N/A,TRUE,"품질"}</definedName>
    <definedName name="원가TABLE" localSheetId="0" hidden="1">{#N/A,#N/A,TRUE,"자재관리";#N/A,#N/A,TRUE,"품질"}</definedName>
    <definedName name="원가TABLE" localSheetId="2" hidden="1">{#N/A,#N/A,TRUE,"자재관리";#N/A,#N/A,TRUE,"품질"}</definedName>
    <definedName name="원가TABLE" localSheetId="1" hidden="1">{#N/A,#N/A,TRUE,"자재관리";#N/A,#N/A,TRUE,"품질"}</definedName>
    <definedName name="원가TABLE" hidden="1">{#N/A,#N/A,TRUE,"자재관리";#N/A,#N/A,TRUE,"품질"}</definedName>
    <definedName name="원동"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localSheetId="0" hidden="1">{#N/A,#N/A,FALSE,"도급대비시행율";#N/A,#N/A,FALSE,"결의서";#N/A,#N/A,FALSE,"내역서";#N/A,#N/A,FALSE,"도급예상"}</definedName>
    <definedName name="을" localSheetId="2" hidden="1">{#N/A,#N/A,FALSE,"도급대비시행율";#N/A,#N/A,FALSE,"결의서";#N/A,#N/A,FALSE,"내역서";#N/A,#N/A,FALSE,"도급예상"}</definedName>
    <definedName name="을" localSheetId="1" hidden="1">{#N/A,#N/A,FALSE,"도급대비시행율";#N/A,#N/A,FALSE,"결의서";#N/A,#N/A,FALSE,"내역서";#N/A,#N/A,FALSE,"도급예상"}</definedName>
    <definedName name="을" hidden="1">{#N/A,#N/A,FALSE,"도급대비시행율";#N/A,#N/A,FALSE,"결의서";#N/A,#N/A,FALSE,"내역서";#N/A,#N/A,FALSE,"도급예상"}</definedName>
    <definedName name="이" localSheetId="0" hidden="1">{#N/A,#N/A,FALSE,"자재관리";#N/A,#N/A,FALSE,"자재관리";#N/A,#N/A,FALSE,"자재관리"}</definedName>
    <definedName name="이" localSheetId="2" hidden="1">{#N/A,#N/A,FALSE,"자재관리";#N/A,#N/A,FALSE,"자재관리";#N/A,#N/A,FALSE,"자재관리"}</definedName>
    <definedName name="이" localSheetId="1" hidden="1">{#N/A,#N/A,FALSE,"자재관리";#N/A,#N/A,FALSE,"자재관리";#N/A,#N/A,FALSE,"자재관리"}</definedName>
    <definedName name="이" hidden="1">{#N/A,#N/A,FALSE,"자재관리";#N/A,#N/A,FALSE,"자재관리";#N/A,#N/A,FALSE,"자재관리"}</definedName>
    <definedName name="이름" localSheetId="0" hidden="1">{#N/A,#N/A,FALSE,"전력간선"}</definedName>
    <definedName name="이름" localSheetId="2" hidden="1">{#N/A,#N/A,FALSE,"전력간선"}</definedName>
    <definedName name="이름" localSheetId="1" hidden="1">{#N/A,#N/A,FALSE,"전력간선"}</definedName>
    <definedName name="이름" hidden="1">{#N/A,#N/A,FALSE,"전력간선"}</definedName>
    <definedName name="이봉해" localSheetId="0" hidden="1">{#N/A,#N/A,FALSE,"자재관리";#N/A,#N/A,FALSE,"자재관리";#N/A,#N/A,FALSE,"자재관리"}</definedName>
    <definedName name="이봉해" localSheetId="2" hidden="1">{#N/A,#N/A,FALSE,"자재관리";#N/A,#N/A,FALSE,"자재관리";#N/A,#N/A,FALSE,"자재관리"}</definedName>
    <definedName name="이봉해" localSheetId="1" hidden="1">{#N/A,#N/A,FALSE,"자재관리";#N/A,#N/A,FALSE,"자재관리";#N/A,#N/A,FALSE,"자재관리"}</definedName>
    <definedName name="이봉해" hidden="1">{#N/A,#N/A,FALSE,"자재관리";#N/A,#N/A,FALSE,"자재관리";#N/A,#N/A,FALSE,"자재관리"}</definedName>
    <definedName name="이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localSheetId="0" hidden="1">{#N/A,#N/A,FALSE,"도급대비시행율";#N/A,#N/A,FALSE,"결의서";#N/A,#N/A,FALSE,"내역서";#N/A,#N/A,FALSE,"도급예상"}</definedName>
    <definedName name="일" localSheetId="2" hidden="1">{#N/A,#N/A,FALSE,"도급대비시행율";#N/A,#N/A,FALSE,"결의서";#N/A,#N/A,FALSE,"내역서";#N/A,#N/A,FALSE,"도급예상"}</definedName>
    <definedName name="일" localSheetId="1" hidden="1">{#N/A,#N/A,FALSE,"도급대비시행율";#N/A,#N/A,FALSE,"결의서";#N/A,#N/A,FALSE,"내역서";#N/A,#N/A,FALSE,"도급예상"}</definedName>
    <definedName name="일" hidden="1">{#N/A,#N/A,FALSE,"도급대비시행율";#N/A,#N/A,FALSE,"결의서";#N/A,#N/A,FALSE,"내역서";#N/A,#N/A,FALSE,"도급예상"}</definedName>
    <definedName name="ㅈ" localSheetId="0" hidden="1">{#N/A,#N/A,FALSE,"자재관리";#N/A,#N/A,FALSE,"자재관리";#N/A,#N/A,FALSE,"자재관리"}</definedName>
    <definedName name="ㅈ" localSheetId="2" hidden="1">{#N/A,#N/A,FALSE,"자재관리";#N/A,#N/A,FALSE,"자재관리";#N/A,#N/A,FALSE,"자재관리"}</definedName>
    <definedName name="ㅈ" localSheetId="1" hidden="1">{#N/A,#N/A,FALSE,"자재관리";#N/A,#N/A,FALSE,"자재관리";#N/A,#N/A,FALSE,"자재관리"}</definedName>
    <definedName name="ㅈ" hidden="1">{#N/A,#N/A,FALSE,"자재관리";#N/A,#N/A,FALSE,"자재관리";#N/A,#N/A,FALSE,"자재관리"}</definedName>
    <definedName name="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localSheetId="0" hidden="1">{#N/A,#N/A,FALSE,"자재관리";#N/A,#N/A,FALSE,"자재관리";#N/A,#N/A,FALSE,"자재관리"}</definedName>
    <definedName name="재료" localSheetId="2" hidden="1">{#N/A,#N/A,FALSE,"자재관리";#N/A,#N/A,FALSE,"자재관리";#N/A,#N/A,FALSE,"자재관리"}</definedName>
    <definedName name="재료" localSheetId="1" hidden="1">{#N/A,#N/A,FALSE,"자재관리";#N/A,#N/A,FALSE,"자재관리";#N/A,#N/A,FALSE,"자재관리"}</definedName>
    <definedName name="재료" hidden="1">{#N/A,#N/A,FALSE,"자재관리";#N/A,#N/A,FALSE,"자재관리";#N/A,#N/A,FALSE,"자재관리"}</definedName>
    <definedName name="재료비1" localSheetId="0" hidden="1">{#N/A,#N/A,FALSE,"자재관리";#N/A,#N/A,FALSE,"자재관리";#N/A,#N/A,FALSE,"자재관리"}</definedName>
    <definedName name="재료비1" localSheetId="2" hidden="1">{#N/A,#N/A,FALSE,"자재관리";#N/A,#N/A,FALSE,"자재관리";#N/A,#N/A,FALSE,"자재관리"}</definedName>
    <definedName name="재료비1" localSheetId="1" hidden="1">{#N/A,#N/A,FALSE,"자재관리";#N/A,#N/A,FALSE,"자재관리";#N/A,#N/A,FALSE,"자재관리"}</definedName>
    <definedName name="재료비1" hidden="1">{#N/A,#N/A,FALSE,"자재관리";#N/A,#N/A,FALSE,"자재관리";#N/A,#N/A,FALSE,"자재관리"}</definedName>
    <definedName name="전기" localSheetId="0" hidden="1">{#N/A,#N/A,FALSE,"전력간선"}</definedName>
    <definedName name="전기" localSheetId="2" hidden="1">{#N/A,#N/A,FALSE,"전력간선"}</definedName>
    <definedName name="전기" localSheetId="1" hidden="1">{#N/A,#N/A,FALSE,"전력간선"}</definedName>
    <definedName name="전기" hidden="1">{#N/A,#N/A,FALSE,"전력간선"}</definedName>
    <definedName name="전년" localSheetId="0" hidden="1">{#N/A,#N/A,FALSE,"자재관리";#N/A,#N/A,FALSE,"자재관리";#N/A,#N/A,FALSE,"자재관리"}</definedName>
    <definedName name="전년" localSheetId="2" hidden="1">{#N/A,#N/A,FALSE,"자재관리";#N/A,#N/A,FALSE,"자재관리";#N/A,#N/A,FALSE,"자재관리"}</definedName>
    <definedName name="전년" localSheetId="1" hidden="1">{#N/A,#N/A,FALSE,"자재관리";#N/A,#N/A,FALSE,"자재관리";#N/A,#N/A,FALSE,"자재관리"}</definedName>
    <definedName name="전년" hidden="1">{#N/A,#N/A,FALSE,"자재관리";#N/A,#N/A,FALSE,"자재관리";#N/A,#N/A,FALSE,"자재관리"}</definedName>
    <definedName name="전년월" localSheetId="0" hidden="1">{#N/A,#N/A,FALSE,"자재관리";#N/A,#N/A,FALSE,"자재관리";#N/A,#N/A,FALSE,"자재관리"}</definedName>
    <definedName name="전년월" localSheetId="2" hidden="1">{#N/A,#N/A,FALSE,"자재관리";#N/A,#N/A,FALSE,"자재관리";#N/A,#N/A,FALSE,"자재관리"}</definedName>
    <definedName name="전년월" localSheetId="1" hidden="1">{#N/A,#N/A,FALSE,"자재관리";#N/A,#N/A,FALSE,"자재관리";#N/A,#N/A,FALSE,"자재관리"}</definedName>
    <definedName name="전년월" hidden="1">{#N/A,#N/A,FALSE,"자재관리";#N/A,#N/A,FALSE,"자재관리";#N/A,#N/A,FALSE,"자재관리"}</definedName>
    <definedName name="정"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localSheetId="0" hidden="1">{#N/A,#N/A,FALSE,"CCTV"}</definedName>
    <definedName name="정화조" localSheetId="2" hidden="1">{#N/A,#N/A,FALSE,"CCTV"}</definedName>
    <definedName name="정화조" localSheetId="1" hidden="1">{#N/A,#N/A,FALSE,"CCTV"}</definedName>
    <definedName name="정화조" hidden="1">{#N/A,#N/A,FALSE,"CCTV"}</definedName>
    <definedName name="조정내역2" localSheetId="0" hidden="1">{#N/A,#N/A,FALSE,"전력간선"}</definedName>
    <definedName name="조정내역2" localSheetId="2" hidden="1">{#N/A,#N/A,FALSE,"전력간선"}</definedName>
    <definedName name="조정내역2" localSheetId="1" hidden="1">{#N/A,#N/A,FALSE,"전력간선"}</definedName>
    <definedName name="조정내역2" hidden="1">{#N/A,#N/A,FALSE,"전력간선"}</definedName>
    <definedName name="주"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localSheetId="0" hidden="1">{#N/A,#N/A,FALSE,"자재관리";#N/A,#N/A,FALSE,"자재관리";#N/A,#N/A,FALSE,"자재관리"}</definedName>
    <definedName name="진우1" localSheetId="2" hidden="1">{#N/A,#N/A,FALSE,"자재관리";#N/A,#N/A,FALSE,"자재관리";#N/A,#N/A,FALSE,"자재관리"}</definedName>
    <definedName name="진우1" localSheetId="1" hidden="1">{#N/A,#N/A,FALSE,"자재관리";#N/A,#N/A,FALSE,"자재관리";#N/A,#N/A,FALSE,"자재관리"}</definedName>
    <definedName name="진우1" hidden="1">{#N/A,#N/A,FALSE,"자재관리";#N/A,#N/A,FALSE,"자재관리";#N/A,#N/A,FALSE,"자재관리"}</definedName>
    <definedName name="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localSheetId="0" hidden="1">{#N/A,#N/A,FALSE,"전력간선"}</definedName>
    <definedName name="최종갑지1" localSheetId="2" hidden="1">{#N/A,#N/A,FALSE,"전력간선"}</definedName>
    <definedName name="최종갑지1" localSheetId="1" hidden="1">{#N/A,#N/A,FALSE,"전력간선"}</definedName>
    <definedName name="최종갑지1" hidden="1">{#N/A,#N/A,FALSE,"전력간선"}</definedName>
    <definedName name="추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localSheetId="0"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2"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localSheetId="1"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localSheetId="0" hidden="1">{#N/A,#N/A,FALSE,"도급대비시행율";#N/A,#N/A,FALSE,"결의서";#N/A,#N/A,FALSE,"내역서";#N/A,#N/A,FALSE,"도급예상"}</definedName>
    <definedName name="ㅌㅍㅊㅇㅌㅎ" localSheetId="2" hidden="1">{#N/A,#N/A,FALSE,"도급대비시행율";#N/A,#N/A,FALSE,"결의서";#N/A,#N/A,FALSE,"내역서";#N/A,#N/A,FALSE,"도급예상"}</definedName>
    <definedName name="ㅌㅍㅊㅇㅌㅎ" localSheetId="1" hidden="1">{#N/A,#N/A,FALSE,"도급대비시행율";#N/A,#N/A,FALSE,"결의서";#N/A,#N/A,FALSE,"내역서";#N/A,#N/A,FALSE,"도급예상"}</definedName>
    <definedName name="ㅌㅍㅊㅇㅌㅎ" hidden="1">{#N/A,#N/A,FALSE,"도급대비시행율";#N/A,#N/A,FALSE,"결의서";#N/A,#N/A,FALSE,"내역서";#N/A,#N/A,FALSE,"도급예상"}</definedName>
    <definedName name="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localSheetId="0" hidden="1">{#N/A,#N/A,FALSE,"자재관리";#N/A,#N/A,FALSE,"자재관리";#N/A,#N/A,FALSE,"자재관리"}</definedName>
    <definedName name="투자및자재" localSheetId="2" hidden="1">{#N/A,#N/A,FALSE,"자재관리";#N/A,#N/A,FALSE,"자재관리";#N/A,#N/A,FALSE,"자재관리"}</definedName>
    <definedName name="투자및자재" localSheetId="1" hidden="1">{#N/A,#N/A,FALSE,"자재관리";#N/A,#N/A,FALSE,"자재관리";#N/A,#N/A,FALSE,"자재관리"}</definedName>
    <definedName name="투자및자재" hidden="1">{#N/A,#N/A,FALSE,"자재관리";#N/A,#N/A,FALSE,"자재관리";#N/A,#N/A,FALSE,"자재관리"}</definedName>
    <definedName name="투자비내역" localSheetId="0" hidden="1">{#N/A,#N/A,TRUE,"자재관리";#N/A,#N/A,TRUE,"품질"}</definedName>
    <definedName name="투자비내역" localSheetId="2" hidden="1">{#N/A,#N/A,TRUE,"자재관리";#N/A,#N/A,TRUE,"품질"}</definedName>
    <definedName name="투자비내역" localSheetId="1" hidden="1">{#N/A,#N/A,TRUE,"자재관리";#N/A,#N/A,TRUE,"품질"}</definedName>
    <definedName name="투자비내역" hidden="1">{#N/A,#N/A,TRUE,"자재관리";#N/A,#N/A,TRUE,"품질"}</definedName>
    <definedName name="팀별" localSheetId="0" hidden="1">{#N/A,#N/A,FALSE,"자재관리";#N/A,#N/A,FALSE,"자재관리";#N/A,#N/A,FALSE,"자재관리"}</definedName>
    <definedName name="팀별" localSheetId="2" hidden="1">{#N/A,#N/A,FALSE,"자재관리";#N/A,#N/A,FALSE,"자재관리";#N/A,#N/A,FALSE,"자재관리"}</definedName>
    <definedName name="팀별" localSheetId="1" hidden="1">{#N/A,#N/A,FALSE,"자재관리";#N/A,#N/A,FALSE,"자재관리";#N/A,#N/A,FALSE,"자재관리"}</definedName>
    <definedName name="팀별" hidden="1">{#N/A,#N/A,FALSE,"자재관리";#N/A,#N/A,FALSE,"자재관리";#N/A,#N/A,FALSE,"자재관리"}</definedName>
    <definedName name="ㅍㅍ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localSheetId="0" hidden="1">{#N/A,#N/A,FALSE,"자재관리";#N/A,#N/A,FALSE,"자재관리";#N/A,#N/A,FALSE,"자재관리"}</definedName>
    <definedName name="표지1" localSheetId="2" hidden="1">{#N/A,#N/A,FALSE,"자재관리";#N/A,#N/A,FALSE,"자재관리";#N/A,#N/A,FALSE,"자재관리"}</definedName>
    <definedName name="표지1" localSheetId="1" hidden="1">{#N/A,#N/A,FALSE,"자재관리";#N/A,#N/A,FALSE,"자재관리";#N/A,#N/A,FALSE,"자재관리"}</definedName>
    <definedName name="표지1" hidden="1">{#N/A,#N/A,FALSE,"자재관리";#N/A,#N/A,FALSE,"자재관리";#N/A,#N/A,FALSE,"자재관리"}</definedName>
    <definedName name="ㅎ" localSheetId="0" hidden="1">{#N/A,#N/A,TRUE,"자재관리";#N/A,#N/A,TRUE,"품질"}</definedName>
    <definedName name="ㅎ" localSheetId="2" hidden="1">{#N/A,#N/A,TRUE,"자재관리";#N/A,#N/A,TRUE,"품질"}</definedName>
    <definedName name="ㅎ" localSheetId="1" hidden="1">{#N/A,#N/A,TRUE,"자재관리";#N/A,#N/A,TRUE,"품질"}</definedName>
    <definedName name="ㅎ" hidden="1">{#N/A,#N/A,TRUE,"자재관리";#N/A,#N/A,TRUE,"품질"}</definedName>
    <definedName name="ㅎㅀㄹ"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localSheetId="0" hidden="1">{#N/A,#N/A,FALSE,"CCTV"}</definedName>
    <definedName name="ㅎㅀㅀㅀㅀㄹ" localSheetId="2" hidden="1">{#N/A,#N/A,FALSE,"CCTV"}</definedName>
    <definedName name="ㅎㅀㅀㅀㅀㄹ" localSheetId="1" hidden="1">{#N/A,#N/A,FALSE,"CCTV"}</definedName>
    <definedName name="ㅎㅀㅀㅀㅀㄹ" hidden="1">{#N/A,#N/A,FALSE,"CCTV"}</definedName>
    <definedName name="하행터널" localSheetId="0" hidden="1">{#N/A,#N/A,TRUE,"대가1"}</definedName>
    <definedName name="하행터널" localSheetId="2" hidden="1">{#N/A,#N/A,TRUE,"대가1"}</definedName>
    <definedName name="하행터널" localSheetId="1" hidden="1">{#N/A,#N/A,TRUE,"대가1"}</definedName>
    <definedName name="하행터널" hidden="1">{#N/A,#N/A,TRUE,"대가1"}</definedName>
    <definedName name="한무"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localSheetId="0" hidden="1">{#N/A,#N/A,FALSE,"전력간선"}</definedName>
    <definedName name="현설자재수량검토" localSheetId="2" hidden="1">{#N/A,#N/A,FALSE,"전력간선"}</definedName>
    <definedName name="현설자재수량검토" localSheetId="1" hidden="1">{#N/A,#N/A,FALSE,"전력간선"}</definedName>
    <definedName name="현설자재수량검토" hidden="1">{#N/A,#N/A,FALSE,"전력간선"}</definedName>
    <definedName name="호ㅎ"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localSheetId="0" hidden="1">{"'Sheet1'!$E$23","'Sheet1'!$A$3:$H$19","'Sheet1'!$A$1:$H$19"}</definedName>
    <definedName name="ㅏㅏㅏ" localSheetId="2" hidden="1">{"'Sheet1'!$E$23","'Sheet1'!$A$3:$H$19","'Sheet1'!$A$1:$H$19"}</definedName>
    <definedName name="ㅏㅏㅏ" localSheetId="1" hidden="1">{"'Sheet1'!$E$23","'Sheet1'!$A$3:$H$19","'Sheet1'!$A$1:$H$19"}</definedName>
    <definedName name="ㅏㅏㅏ" hidden="1">{"'Sheet1'!$E$23","'Sheet1'!$A$3:$H$19","'Sheet1'!$A$1:$H$19"}</definedName>
    <definedName name="ㅏㅓㅏ" localSheetId="0" hidden="1">{#N/A,#N/A,FALSE,"물가변동 (2)";#N/A,#N/A,FALSE,"공사비";#N/A,#N/A,FALSE,"사급";#N/A,#N/A,FALSE,"도급집계";#N/A,#N/A,FALSE,"재료비";#N/A,#N/A,FALSE,"노무비";#N/A,#N/A,FALSE,"경비"}</definedName>
    <definedName name="ㅏㅓㅏ" localSheetId="2" hidden="1">{#N/A,#N/A,FALSE,"물가변동 (2)";#N/A,#N/A,FALSE,"공사비";#N/A,#N/A,FALSE,"사급";#N/A,#N/A,FALSE,"도급집계";#N/A,#N/A,FALSE,"재료비";#N/A,#N/A,FALSE,"노무비";#N/A,#N/A,FALSE,"경비"}</definedName>
    <definedName name="ㅏㅓㅏ" localSheetId="1" hidden="1">{#N/A,#N/A,FALSE,"물가변동 (2)";#N/A,#N/A,FALSE,"공사비";#N/A,#N/A,FALSE,"사급";#N/A,#N/A,FALSE,"도급집계";#N/A,#N/A,FALSE,"재료비";#N/A,#N/A,FALSE,"노무비";#N/A,#N/A,FALSE,"경비"}</definedName>
    <definedName name="ㅏㅓㅏ" hidden="1">{#N/A,#N/A,FALSE,"물가변동 (2)";#N/A,#N/A,FALSE,"공사비";#N/A,#N/A,FALSE,"사급";#N/A,#N/A,FALSE,"도급집계";#N/A,#N/A,FALSE,"재료비";#N/A,#N/A,FALSE,"노무비";#N/A,#N/A,FALSE,"경비"}</definedName>
    <definedName name="ㅏㅓㅗ" localSheetId="0" hidden="1">{#N/A,#N/A,FALSE,"전력간선"}</definedName>
    <definedName name="ㅏㅓㅗ" localSheetId="2" hidden="1">{#N/A,#N/A,FALSE,"전력간선"}</definedName>
    <definedName name="ㅏㅓㅗ" localSheetId="1" hidden="1">{#N/A,#N/A,FALSE,"전력간선"}</definedName>
    <definedName name="ㅏㅓㅗ" hidden="1">{#N/A,#N/A,FALSE,"전력간선"}</definedName>
    <definedName name="ㅓ" localSheetId="0" hidden="1">{#N/A,#N/A,TRUE,"자재관리";#N/A,#N/A,TRUE,"품질"}</definedName>
    <definedName name="ㅓ" localSheetId="2" hidden="1">{#N/A,#N/A,TRUE,"자재관리";#N/A,#N/A,TRUE,"품질"}</definedName>
    <definedName name="ㅓ" localSheetId="1" hidden="1">{#N/A,#N/A,TRUE,"자재관리";#N/A,#N/A,TRUE,"품질"}</definedName>
    <definedName name="ㅓ" hidden="1">{#N/A,#N/A,TRUE,"자재관리";#N/A,#N/A,TRUE,"품질"}</definedName>
    <definedName name="ㅗㅗㅗ"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localSheetId="0" hidden="1">{#N/A,#N/A,FALSE,"자재관리";#N/A,#N/A,FALSE,"자재관리";#N/A,#N/A,FALSE,"자재관리"}</definedName>
    <definedName name="ㅛ" localSheetId="2" hidden="1">{#N/A,#N/A,FALSE,"자재관리";#N/A,#N/A,FALSE,"자재관리";#N/A,#N/A,FALSE,"자재관리"}</definedName>
    <definedName name="ㅛ" localSheetId="1" hidden="1">{#N/A,#N/A,FALSE,"자재관리";#N/A,#N/A,FALSE,"자재관리";#N/A,#N/A,FALSE,"자재관리"}</definedName>
    <definedName name="ㅛ" hidden="1">{#N/A,#N/A,FALSE,"자재관리";#N/A,#N/A,FALSE,"자재관리";#N/A,#N/A,FALSE,"자재관리"}</definedName>
    <definedName name="ㅛㅛㅛㅛ" hidden="1">[4]수량산출!$A$1:$A$8561</definedName>
    <definedName name="ㅜ" hidden="1">[6]수량산출!#REF!</definedName>
    <definedName name="ㅜㅜㅜㅜㅜㅜㅜㅜㅜㅜㅜㅜㅜㅜㅜㅜㅜㅜㅜㅜㅜㅜㅜㅜㅜㅜㅜㅜㅜㅜㅜㅜㅜㅜㅜㅜㅜㅜㅜㅜㅜㅜ" localSheetId="0" hidden="1">{#N/A,#N/A,FALSE,"CCTV"}</definedName>
    <definedName name="ㅜㅜㅜㅜㅜㅜㅜㅜㅜㅜㅜㅜㅜㅜㅜㅜㅜㅜㅜㅜㅜㅜㅜㅜㅜㅜㅜㅜㅜㅜㅜㅜㅜㅜㅜㅜㅜㅜㅜㅜㅜㅜ" localSheetId="2" hidden="1">{#N/A,#N/A,FALSE,"CCTV"}</definedName>
    <definedName name="ㅜㅜㅜㅜㅜㅜㅜㅜㅜㅜㅜㅜㅜㅜㅜㅜㅜㅜㅜㅜㅜㅜㅜㅜㅜㅜㅜㅜㅜㅜㅜㅜㅜㅜㅜㅜㅜㅜㅜㅜㅜㅜ" localSheetId="1" hidden="1">{#N/A,#N/A,FALSE,"CCTV"}</definedName>
    <definedName name="ㅜㅜㅜㅜㅜㅜㅜㅜㅜㅜㅜㅜㅜㅜㅜㅜㅜㅜㅜㅜㅜㅜㅜㅜㅜㅜㅜㅜㅜㅜㅜㅜㅜㅜㅜㅜㅜㅜㅜㅜㅜㅜ" hidden="1">{#N/A,#N/A,FALSE,"CCTV"}</definedName>
    <definedName name="ㅠㅍ" localSheetId="0"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localSheetId="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localSheetId="0" hidden="1">{#N/A,#N/A,FALSE,"전력간선"}</definedName>
    <definedName name="ㅡㅗ" localSheetId="2" hidden="1">{#N/A,#N/A,FALSE,"전력간선"}</definedName>
    <definedName name="ㅡㅗ" localSheetId="1" hidden="1">{#N/A,#N/A,FALSE,"전력간선"}</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93" i="16" l="1"/>
  <c r="Q93" i="16"/>
  <c r="P93" i="16"/>
  <c r="R114" i="16"/>
  <c r="Q114" i="16"/>
  <c r="P114" i="16"/>
  <c r="O114" i="16"/>
  <c r="O18" i="16"/>
  <c r="D18" i="16"/>
  <c r="R18" i="16"/>
  <c r="Q18" i="16"/>
  <c r="P18" i="16"/>
  <c r="O19" i="16" l="1"/>
  <c r="D114" i="16"/>
  <c r="D93" i="16"/>
  <c r="O115" i="16" l="1"/>
  <c r="M6" i="19"/>
  <c r="O93" i="16"/>
  <c r="U9" i="19" l="1"/>
  <c r="S9" i="19"/>
  <c r="Q9" i="19"/>
  <c r="O9" i="19"/>
  <c r="V9" i="19" s="1"/>
  <c r="A9" i="19"/>
  <c r="A7" i="19"/>
  <c r="A8" i="19"/>
  <c r="U7" i="19" l="1"/>
  <c r="O7" i="19"/>
  <c r="Q7" i="19"/>
  <c r="S7" i="19"/>
  <c r="V7" i="19" l="1"/>
  <c r="P80" i="16"/>
  <c r="V80" i="16"/>
  <c r="U80" i="16"/>
  <c r="T80" i="16"/>
  <c r="S80" i="16"/>
  <c r="R80" i="16"/>
  <c r="Q80" i="16"/>
  <c r="D80" i="16"/>
  <c r="Y80" i="16"/>
  <c r="X80" i="16"/>
  <c r="W80" i="16"/>
  <c r="U8" i="19" l="1"/>
  <c r="Q8" i="19"/>
  <c r="O8" i="19"/>
  <c r="S8" i="19"/>
  <c r="O79" i="16"/>
  <c r="I79" i="16"/>
  <c r="J79" i="16" s="1"/>
  <c r="O78" i="16"/>
  <c r="I78" i="16"/>
  <c r="J78" i="16" s="1"/>
  <c r="O77" i="16"/>
  <c r="I77" i="16"/>
  <c r="J77" i="16" s="1"/>
  <c r="O76" i="16"/>
  <c r="I76" i="16"/>
  <c r="J76" i="16" s="1"/>
  <c r="I75" i="16"/>
  <c r="J75" i="16" s="1"/>
  <c r="I74" i="16"/>
  <c r="J74" i="16" s="1"/>
  <c r="I73" i="16"/>
  <c r="J73" i="16" s="1"/>
  <c r="I72" i="16"/>
  <c r="J72" i="16" s="1"/>
  <c r="O71" i="16"/>
  <c r="I71" i="16"/>
  <c r="J71" i="16" s="1"/>
  <c r="I70" i="16"/>
  <c r="J70" i="16" s="1"/>
  <c r="I69" i="16"/>
  <c r="J69" i="16" s="1"/>
  <c r="O68" i="16"/>
  <c r="I68" i="16"/>
  <c r="J68" i="16" s="1"/>
  <c r="P54" i="16"/>
  <c r="P64" i="16" s="1"/>
  <c r="V8" i="19" l="1"/>
  <c r="O80" i="16"/>
  <c r="O81" i="16" s="1"/>
  <c r="O64" i="16"/>
  <c r="Y64" i="16"/>
  <c r="X64" i="16"/>
  <c r="W64" i="16"/>
  <c r="V64" i="16"/>
  <c r="U64" i="16"/>
  <c r="T64" i="16"/>
  <c r="S64" i="16"/>
  <c r="R64" i="16"/>
  <c r="Q64" i="16"/>
  <c r="D64" i="16"/>
  <c r="I63" i="16"/>
  <c r="J63" i="16" s="1"/>
  <c r="I62" i="16"/>
  <c r="J62" i="16" s="1"/>
  <c r="I61" i="16"/>
  <c r="J61" i="16" s="1"/>
  <c r="I60" i="16"/>
  <c r="J60" i="16" s="1"/>
  <c r="I59" i="16"/>
  <c r="J59" i="16" s="1"/>
  <c r="I58" i="16"/>
  <c r="J58" i="16" s="1"/>
  <c r="I57" i="16"/>
  <c r="J57" i="16" s="1"/>
  <c r="I56" i="16"/>
  <c r="J56" i="16" s="1"/>
  <c r="I55" i="16"/>
  <c r="J55" i="16" s="1"/>
  <c r="S50" i="16"/>
  <c r="O65" i="16" l="1"/>
  <c r="W50" i="16"/>
  <c r="U6" i="19" l="1"/>
  <c r="S6" i="19"/>
  <c r="Q6" i="19"/>
  <c r="O6" i="19"/>
  <c r="A6" i="19"/>
  <c r="A5" i="19"/>
  <c r="Y50" i="16"/>
  <c r="X50" i="16"/>
  <c r="V50" i="16"/>
  <c r="U50" i="16"/>
  <c r="T50" i="16"/>
  <c r="R50" i="16"/>
  <c r="Q50" i="16"/>
  <c r="P50" i="16"/>
  <c r="D50" i="16"/>
  <c r="I48" i="16"/>
  <c r="J48" i="16" s="1"/>
  <c r="I47" i="16"/>
  <c r="J47" i="16" s="1"/>
  <c r="I46" i="16"/>
  <c r="J46" i="16" s="1"/>
  <c r="I45" i="16"/>
  <c r="I44" i="16"/>
  <c r="J44" i="16" s="1"/>
  <c r="I43" i="16"/>
  <c r="J43" i="16" s="1"/>
  <c r="I42" i="16"/>
  <c r="J42" i="16" s="1"/>
  <c r="I41" i="16"/>
  <c r="J41" i="16" s="1"/>
  <c r="I40" i="16"/>
  <c r="J40" i="16" s="1"/>
  <c r="I39" i="16"/>
  <c r="J39" i="16" s="1"/>
  <c r="I38" i="16"/>
  <c r="J38" i="16" s="1"/>
  <c r="I37" i="16"/>
  <c r="J37" i="16" s="1"/>
  <c r="I36" i="16"/>
  <c r="J36" i="16" s="1"/>
  <c r="I35" i="16"/>
  <c r="J35" i="16" s="1"/>
  <c r="I34" i="16"/>
  <c r="J34" i="16" s="1"/>
  <c r="O33" i="16"/>
  <c r="O50" i="16" s="1"/>
  <c r="I33" i="16"/>
  <c r="D29" i="16"/>
  <c r="V29" i="16"/>
  <c r="U29" i="16"/>
  <c r="T29" i="16"/>
  <c r="Q29" i="16"/>
  <c r="P29" i="16"/>
  <c r="J45" i="16" l="1"/>
  <c r="V6" i="19"/>
  <c r="J33" i="16"/>
  <c r="O27" i="16" l="1"/>
  <c r="O26" i="16"/>
  <c r="O25" i="16"/>
  <c r="O24" i="16"/>
  <c r="O23" i="16"/>
  <c r="O22" i="16"/>
  <c r="I27" i="16"/>
  <c r="J27" i="16" s="1"/>
  <c r="I26" i="16"/>
  <c r="J26" i="16" s="1"/>
  <c r="I25" i="16"/>
  <c r="J25" i="16" s="1"/>
  <c r="I24" i="16"/>
  <c r="J24" i="16" s="1"/>
  <c r="I23" i="16"/>
  <c r="J23" i="16" s="1"/>
  <c r="I22" i="16"/>
  <c r="J22" i="16" s="1"/>
  <c r="O29" i="16" l="1"/>
  <c r="I17" i="16"/>
  <c r="J17" i="16" s="1"/>
  <c r="I16" i="16"/>
  <c r="J16" i="16" s="1"/>
  <c r="I15" i="16"/>
  <c r="J15" i="16" s="1"/>
  <c r="I14" i="16"/>
  <c r="J14" i="16" s="1"/>
  <c r="I13" i="16"/>
  <c r="I12" i="16"/>
  <c r="J12" i="16" s="1"/>
  <c r="I11" i="16"/>
  <c r="J11" i="16" s="1"/>
  <c r="I10" i="16"/>
  <c r="J10" i="16" s="1"/>
  <c r="I9" i="16"/>
  <c r="J9" i="16" s="1"/>
  <c r="I8" i="16"/>
  <c r="J8" i="16" s="1"/>
  <c r="I7" i="16"/>
  <c r="J7" i="16" s="1"/>
  <c r="I6" i="16"/>
  <c r="J13" i="16" l="1"/>
  <c r="J6" i="16"/>
  <c r="M5" i="19" l="1"/>
  <c r="Q5" i="19" s="1"/>
  <c r="Q10" i="19" l="1"/>
  <c r="F17" i="20" s="1"/>
  <c r="O5" i="19"/>
  <c r="U5" i="19"/>
  <c r="U10" i="19" s="1"/>
  <c r="S5" i="19"/>
  <c r="S10" i="19" s="1"/>
  <c r="F18" i="20" l="1"/>
  <c r="V5" i="19"/>
  <c r="V10" i="19" s="1"/>
  <c r="O10" i="19"/>
  <c r="F16" i="20" s="1"/>
  <c r="F24" i="20"/>
  <c r="F21" i="20"/>
  <c r="F22" i="20"/>
  <c r="F23" i="20" s="1"/>
  <c r="F25" i="20"/>
  <c r="F19" i="20" l="1"/>
  <c r="F26" i="20"/>
  <c r="F27" i="20" s="1"/>
  <c r="F28" i="20" l="1"/>
  <c r="F30" i="20" s="1"/>
  <c r="F31" i="20" s="1"/>
  <c r="B12"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B770651C-E310-4FB7-8C4B-243EDE6CE231}">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<sst xmlns="http://schemas.openxmlformats.org/spreadsheetml/2006/main" count="659" uniqueCount="316">
  <si>
    <t>수량</t>
  </si>
  <si>
    <t>견 적 서</t>
    <phoneticPr fontId="15" type="noConversion"/>
  </si>
  <si>
    <t xml:space="preserve">금액: </t>
    <phoneticPr fontId="15" type="noConversion"/>
  </si>
  <si>
    <t>원정</t>
    <phoneticPr fontId="17" type="noConversion"/>
  </si>
  <si>
    <t xml:space="preserve">  </t>
  </si>
  <si>
    <t>NO</t>
  </si>
  <si>
    <t>품명</t>
    <phoneticPr fontId="17" type="noConversion"/>
  </si>
  <si>
    <t>규격</t>
    <phoneticPr fontId="17" type="noConversion"/>
  </si>
  <si>
    <t>수량</t>
    <phoneticPr fontId="17" type="noConversion"/>
  </si>
  <si>
    <t>단위</t>
    <phoneticPr fontId="17" type="noConversion"/>
  </si>
  <si>
    <t>금액</t>
    <phoneticPr fontId="17" type="noConversion"/>
  </si>
  <si>
    <t>비고</t>
    <phoneticPr fontId="17" type="noConversion"/>
  </si>
  <si>
    <t>직접비</t>
    <phoneticPr fontId="15" type="noConversion"/>
  </si>
  <si>
    <t>재료비</t>
    <phoneticPr fontId="15" type="noConversion"/>
  </si>
  <si>
    <t>노무비</t>
    <phoneticPr fontId="17" type="noConversion"/>
  </si>
  <si>
    <t>기계/기타경비</t>
    <phoneticPr fontId="15" type="noConversion"/>
  </si>
  <si>
    <t>소계</t>
    <phoneticPr fontId="15" type="noConversion"/>
  </si>
  <si>
    <t>간접비</t>
    <phoneticPr fontId="15" type="noConversion"/>
  </si>
  <si>
    <t>  국민연금</t>
    <phoneticPr fontId="17" type="noConversion"/>
  </si>
  <si>
    <t> 노무비*4.5%</t>
    <phoneticPr fontId="17" type="noConversion"/>
  </si>
  <si>
    <t>식</t>
    <phoneticPr fontId="17" type="noConversion"/>
  </si>
  <si>
    <t>모든공사에 적용</t>
    <phoneticPr fontId="17" type="noConversion"/>
  </si>
  <si>
    <t>  건강보험료</t>
    <phoneticPr fontId="17" type="noConversion"/>
  </si>
  <si>
    <t>  장기요양보험료</t>
    <phoneticPr fontId="17" type="noConversion"/>
  </si>
  <si>
    <t>  고용보험료</t>
    <phoneticPr fontId="17" type="noConversion"/>
  </si>
  <si>
    <t>  산재보험료</t>
    <phoneticPr fontId="17" type="noConversion"/>
  </si>
  <si>
    <t xml:space="preserve">  산업안전보건관리비</t>
    <phoneticPr fontId="17" type="noConversion"/>
  </si>
  <si>
    <t>합계(단수조정)</t>
    <phoneticPr fontId="15" type="noConversion"/>
  </si>
  <si>
    <t>VAT별도</t>
    <phoneticPr fontId="17" type="noConversion"/>
  </si>
  <si>
    <t>일반관리비/이윤</t>
    <phoneticPr fontId="17" type="noConversion"/>
  </si>
  <si>
    <t> (노무비+간접공사비)*5%</t>
    <phoneticPr fontId="17" type="noConversion"/>
  </si>
  <si>
    <t>등록번호</t>
    <phoneticPr fontId="11" type="noConversion"/>
  </si>
  <si>
    <t>종 목</t>
    <phoneticPr fontId="11" type="noConversion"/>
  </si>
  <si>
    <t>TEL, FAX</t>
    <phoneticPr fontId="11" type="noConversion"/>
  </si>
  <si>
    <t>상 호</t>
    <phoneticPr fontId="11" type="noConversion"/>
  </si>
  <si>
    <t>대표 이사</t>
    <phoneticPr fontId="11" type="noConversion"/>
  </si>
  <si>
    <t>사업장</t>
    <phoneticPr fontId="11" type="noConversion"/>
  </si>
  <si>
    <t>업 태</t>
    <phoneticPr fontId="11" type="noConversion"/>
  </si>
  <si>
    <t>할증기준</t>
    <phoneticPr fontId="9" type="noConversion"/>
  </si>
  <si>
    <t> 노무비*1.01%</t>
    <phoneticPr fontId="17" type="noConversion"/>
  </si>
  <si>
    <t>단위</t>
  </si>
  <si>
    <t xml:space="preserve"> 수신인 : 주식회사 에스엔아이 코퍼레이션</t>
    <phoneticPr fontId="15" type="noConversion"/>
  </si>
  <si>
    <t> 노무비*3.545%</t>
    <phoneticPr fontId="17" type="noConversion"/>
  </si>
  <si>
    <t> 건강보험료*12.95%</t>
    <phoneticPr fontId="17" type="noConversion"/>
  </si>
  <si>
    <t> 노무비*3.56%</t>
    <phoneticPr fontId="17" type="noConversion"/>
  </si>
  <si>
    <t>314-86-35718</t>
    <phoneticPr fontId="9" type="noConversion"/>
  </si>
  <si>
    <t>㈜일성건축</t>
    <phoneticPr fontId="9" type="noConversion"/>
  </si>
  <si>
    <t>상 석 희</t>
    <phoneticPr fontId="9" type="noConversion"/>
  </si>
  <si>
    <t>대전 서구 도마6길 107 (도마동)</t>
    <phoneticPr fontId="9" type="noConversion"/>
  </si>
  <si>
    <t>건설업</t>
    <phoneticPr fontId="9" type="noConversion"/>
  </si>
  <si>
    <t>실내건축,인테리어공사</t>
    <phoneticPr fontId="9" type="noConversion"/>
  </si>
  <si>
    <t>042)527-0995, 042)527-0996</t>
    <phoneticPr fontId="9" type="noConversion"/>
  </si>
  <si>
    <t>▼낙찰율</t>
    <phoneticPr fontId="11" type="noConversion"/>
  </si>
  <si>
    <t>▶ 표준 Code(표준단가/품셈/물정/노임) 순서별 입력(Upload 자동반영)</t>
    <phoneticPr fontId="9" type="noConversion"/>
  </si>
  <si>
    <t>주요내역</t>
    <phoneticPr fontId="9" type="noConversion"/>
  </si>
  <si>
    <t>재료비</t>
    <phoneticPr fontId="11" type="noConversion"/>
  </si>
  <si>
    <t>노무비</t>
    <phoneticPr fontId="11" type="noConversion"/>
  </si>
  <si>
    <t>기계경비</t>
  </si>
  <si>
    <t>기타경비(부자재비)</t>
  </si>
  <si>
    <t>합계</t>
    <phoneticPr fontId="11" type="noConversion"/>
  </si>
  <si>
    <t>노무비 할증</t>
    <phoneticPr fontId="9" type="noConversion"/>
  </si>
  <si>
    <t>합계</t>
    <phoneticPr fontId="9" type="noConversion"/>
  </si>
  <si>
    <t>표준단가 D</t>
    <phoneticPr fontId="9" type="noConversion"/>
  </si>
  <si>
    <t>표준품셈 E</t>
    <phoneticPr fontId="9" type="noConversion"/>
  </si>
  <si>
    <t>물가정보 M</t>
    <phoneticPr fontId="9" type="noConversion"/>
  </si>
  <si>
    <t>노임단가 L</t>
    <phoneticPr fontId="9" type="noConversion"/>
  </si>
  <si>
    <t>품목</t>
    <phoneticPr fontId="9" type="noConversion"/>
  </si>
  <si>
    <t>규격</t>
    <phoneticPr fontId="9" type="noConversion"/>
  </si>
  <si>
    <t>품셈/표단</t>
    <phoneticPr fontId="9" type="noConversion"/>
  </si>
  <si>
    <t>금액</t>
  </si>
  <si>
    <t>단가</t>
    <phoneticPr fontId="11" type="noConversion"/>
  </si>
  <si>
    <t>단가</t>
  </si>
  <si>
    <t> (재료비+노무비)*3.11%</t>
    <phoneticPr fontId="17" type="noConversion"/>
  </si>
  <si>
    <t>사택 5동</t>
    <phoneticPr fontId="11" type="noConversion"/>
  </si>
  <si>
    <t>관리소
담당자</t>
    <phoneticPr fontId="11" type="noConversion"/>
  </si>
  <si>
    <t xml:space="preserve">- 문끌림 4개소/ 방충망 7개소/ 신발장 시트지 1개소
- 빨래건조 4개소 /  누수 천장 임시 철거 및 보수 </t>
    <phoneticPr fontId="11" type="noConversion"/>
  </si>
  <si>
    <t>시작</t>
    <phoneticPr fontId="11" type="noConversion"/>
  </si>
  <si>
    <t>종료</t>
    <phoneticPr fontId="11" type="noConversion"/>
  </si>
  <si>
    <t>건물동</t>
    <phoneticPr fontId="11" type="noConversion"/>
  </si>
  <si>
    <t>호실</t>
    <phoneticPr fontId="11" type="noConversion"/>
  </si>
  <si>
    <t>작업지시</t>
    <phoneticPr fontId="11" type="noConversion"/>
  </si>
  <si>
    <t>보수 내용</t>
    <phoneticPr fontId="11" type="noConversion"/>
  </si>
  <si>
    <t xml:space="preserve"> </t>
    <phoneticPr fontId="9" type="noConversion"/>
  </si>
  <si>
    <t>8
9</t>
    <phoneticPr fontId="9" type="noConversion"/>
  </si>
  <si>
    <t>206
303</t>
    <phoneticPr fontId="9" type="noConversion"/>
  </si>
  <si>
    <t>남해원</t>
    <phoneticPr fontId="11" type="noConversion"/>
  </si>
  <si>
    <t>뒤베란다 창고 누수점검 및 실리콘 작업 완료
뒤베란다 창고문 철거 완료
화장실 우측방 입구 바닥 평탄작업 완료
화장실문 시트지 보수 1개소 완료</t>
    <phoneticPr fontId="11" type="noConversion"/>
  </si>
  <si>
    <t>9
102</t>
    <phoneticPr fontId="9" type="noConversion"/>
  </si>
  <si>
    <t>303
201</t>
    <phoneticPr fontId="9" type="noConversion"/>
  </si>
  <si>
    <t>401-6
503-4
504-2
504-5</t>
    <phoneticPr fontId="9" type="noConversion"/>
  </si>
  <si>
    <t>703-3
703-4  
902-3</t>
    <phoneticPr fontId="9" type="noConversion"/>
  </si>
  <si>
    <t>화장실 도어 , 방 도어보수2개소 완료
화장실 도어 , 방 도어보수2개소 완료 
방 도어 보수완료</t>
    <phoneticPr fontId="11" type="noConversion"/>
  </si>
  <si>
    <t>블라인드 설치 완료
방도어 보수완료
뒤베란다 창고 문틀 설치작업
방충망7개소 완료</t>
    <phoneticPr fontId="11" type="noConversion"/>
  </si>
  <si>
    <t>206
703-4  
902-3</t>
    <phoneticPr fontId="9" type="noConversion"/>
  </si>
  <si>
    <t>뒤베란다 창고문 재설치 완료
방충망7개소 완료 
앞베란다 내.외부 실리콘 제거 및 재시공 완료</t>
    <phoneticPr fontId="11" type="noConversion"/>
  </si>
  <si>
    <t>501
401  
303</t>
    <phoneticPr fontId="9" type="noConversion"/>
  </si>
  <si>
    <t>현관문 도어 가스켓 교체 완료
현관문 도어 가스켓 교체 완료
방충망 7개소 완료</t>
    <phoneticPr fontId="11" type="noConversion"/>
  </si>
  <si>
    <t>문보수 1개소 완료, 방충망 7개소 완료
뒤베란다 천장 패임 보수 작업 완료
문보수 1개소 완료</t>
    <phoneticPr fontId="11" type="noConversion"/>
  </si>
  <si>
    <t>방충망 3개소 완료
화장실문 시트지 교체 완료
뒤베란다 벽면 및 바닥 크렉보수,실리콘 작업
문보수 1개소 완료</t>
    <phoneticPr fontId="11" type="noConversion"/>
  </si>
  <si>
    <t>걸레받이 파손 2개소 교체 완료
도어보수 2개소 보수완료
안방 문틀 보수 완료
방충망 3개소 교체 완료</t>
    <phoneticPr fontId="11" type="noConversion"/>
  </si>
  <si>
    <t>방충망 7개소 완료</t>
    <phoneticPr fontId="11" type="noConversion"/>
  </si>
  <si>
    <t>샘플&gt;</t>
    <phoneticPr fontId="11" type="noConversion"/>
  </si>
  <si>
    <t>일성</t>
    <phoneticPr fontId="11" type="noConversion"/>
  </si>
  <si>
    <t>3
(관리제외)</t>
    <phoneticPr fontId="11" type="noConversion"/>
  </si>
  <si>
    <t>1월1일</t>
    <phoneticPr fontId="11" type="noConversion"/>
  </si>
  <si>
    <t>14시30분</t>
    <phoneticPr fontId="11" type="noConversion"/>
  </si>
  <si>
    <t>1월2일</t>
    <phoneticPr fontId="11" type="noConversion"/>
  </si>
  <si>
    <t>15시30분</t>
    <phoneticPr fontId="11" type="noConversion"/>
  </si>
  <si>
    <t>건수</t>
    <phoneticPr fontId="11" type="noConversion"/>
  </si>
  <si>
    <t>업체명</t>
    <phoneticPr fontId="11" type="noConversion"/>
  </si>
  <si>
    <t>일자</t>
    <phoneticPr fontId="11" type="noConversion"/>
  </si>
  <si>
    <t>시간</t>
    <phoneticPr fontId="11" type="noConversion"/>
  </si>
  <si>
    <t>(종료-시간)</t>
    <phoneticPr fontId="11" type="noConversion"/>
  </si>
  <si>
    <t>(인원*작업시간)</t>
    <phoneticPr fontId="11" type="noConversion"/>
  </si>
  <si>
    <t>일성건축</t>
    <phoneticPr fontId="11" type="noConversion"/>
  </si>
  <si>
    <t>비고</t>
    <phoneticPr fontId="9" type="noConversion"/>
  </si>
  <si>
    <t>근로자 
(직접 서명)</t>
    <phoneticPr fontId="11" type="noConversion"/>
  </si>
  <si>
    <t>자재 내역</t>
    <phoneticPr fontId="9" type="noConversion"/>
  </si>
  <si>
    <t>문보수용 엣지 
필름 구매(10매)
전동 대패날 교체(1set)</t>
    <phoneticPr fontId="9" type="noConversion"/>
  </si>
  <si>
    <t>화장실문 시트지 보수 1개소 완료
안방 걸레받이 들뜸 보수 완료
문보수1개소 완료
거실 걸레받이 2개소 교체 완료</t>
    <phoneticPr fontId="11" type="noConversion"/>
  </si>
  <si>
    <t>특별인부
(시공사 입력)</t>
    <phoneticPr fontId="9" type="noConversion"/>
  </si>
  <si>
    <t>누수 탐지(미래설비)
대기 인원 (일성건축) 
→ 씽크대 철거,원복 하지 않음</t>
    <phoneticPr fontId="11" type="noConversion"/>
  </si>
  <si>
    <t>화장실 도어 보수완료
방 도어 보수완료
화장실 도어 , 방 도어보수2개소 완료
화장실 도어 , 방 도어보수2개소 완료</t>
    <phoneticPr fontId="11" type="noConversion"/>
  </si>
  <si>
    <t>503-4
702-1 
206</t>
    <phoneticPr fontId="9" type="noConversion"/>
  </si>
  <si>
    <t>503
 501</t>
    <phoneticPr fontId="9" type="noConversion"/>
  </si>
  <si>
    <t xml:space="preserve">A </t>
  </si>
  <si>
    <t xml:space="preserve">A 
B </t>
  </si>
  <si>
    <t xml:space="preserve">A 
B 
8 </t>
  </si>
  <si>
    <t xml:space="preserve">8 
9 </t>
  </si>
  <si>
    <t xml:space="preserve">8 
5 </t>
  </si>
  <si>
    <t>작업시간(인당)</t>
    <phoneticPr fontId="9" type="noConversion"/>
  </si>
  <si>
    <t>전체 시간</t>
    <phoneticPr fontId="9" type="noConversion"/>
  </si>
  <si>
    <t>코킹재
(개)</t>
    <phoneticPr fontId="9" type="noConversion"/>
  </si>
  <si>
    <t>걸레받이
(m)</t>
    <phoneticPr fontId="9" type="noConversion"/>
  </si>
  <si>
    <t>일성건축</t>
    <phoneticPr fontId="9" type="noConversion"/>
  </si>
  <si>
    <t>A</t>
    <phoneticPr fontId="9" type="noConversion"/>
  </si>
  <si>
    <t>A
B</t>
    <phoneticPr fontId="9" type="noConversion"/>
  </si>
  <si>
    <t>903-4
701-5
503-5
401-3
303-5</t>
    <phoneticPr fontId="9" type="noConversion"/>
  </si>
  <si>
    <t>남해원</t>
    <phoneticPr fontId="9" type="noConversion"/>
  </si>
  <si>
    <t>303-5
901-4
704-4</t>
    <phoneticPr fontId="9" type="noConversion"/>
  </si>
  <si>
    <t>701-5
702-1
1002-2</t>
    <phoneticPr fontId="9" type="noConversion"/>
  </si>
  <si>
    <t>앞뒤 베란다 천장.벽면 들뜸보수 및 크랙 전체보수
앞뒤 베란다 창고 곰팡이 제거 및 천장 단열작업</t>
    <phoneticPr fontId="9" type="noConversion"/>
  </si>
  <si>
    <t>방 및 화장실 도어 보수
방 도어 보수
방 도어 보수
화장실 도어 보수
방 도어 보수</t>
    <phoneticPr fontId="9" type="noConversion"/>
  </si>
  <si>
    <t>화장실 도어 보수
화장실 도어 보수
방 및 화장실 도어 보수
버티컬 설치 완료</t>
    <phoneticPr fontId="9" type="noConversion"/>
  </si>
  <si>
    <t>화장실 우측 석고보드 교체
버티컬 설치 완료
화장실 우측 석고 보드 교체 완료
발코니 창문 우측벽 단열재 들뜸 보수</t>
    <phoneticPr fontId="9" type="noConversion"/>
  </si>
  <si>
    <t>화장실 좌측방 천장 누수 점검 및 보수
씽크대 상판 전체 실리콘 제거후 재설치 작업</t>
    <phoneticPr fontId="9" type="noConversion"/>
  </si>
  <si>
    <t>걸레받이 8군데 교체 완료
씽크대 상판 실리콘 제거후 재설치 작업
뒤베란다 벽면 크랙 보수 완료
화장실 벽면 모서리 4군데 실리콘 작업</t>
    <phoneticPr fontId="9" type="noConversion"/>
  </si>
  <si>
    <t>1차분 (정산 완료)</t>
    <phoneticPr fontId="9" type="noConversion"/>
  </si>
  <si>
    <t>L003</t>
  </si>
  <si>
    <t>M/D</t>
    <phoneticPr fontId="9" type="noConversion"/>
  </si>
  <si>
    <t>㎡</t>
  </si>
  <si>
    <t>열반사 단열재 (m2)</t>
    <phoneticPr fontId="9" type="noConversion"/>
  </si>
  <si>
    <t>석고보드 12.5t(매)</t>
    <phoneticPr fontId="9" type="noConversion"/>
  </si>
  <si>
    <t>블라인드
개소
(5㎡)</t>
    <phoneticPr fontId="9" type="noConversion"/>
  </si>
  <si>
    <t>이보드 23t
(m2)</t>
    <phoneticPr fontId="9" type="noConversion"/>
  </si>
  <si>
    <t>1.38
(m2)</t>
    <phoneticPr fontId="9" type="noConversion"/>
  </si>
  <si>
    <t>방화문 
가스켓 구매
(3세대)</t>
    <phoneticPr fontId="9" type="noConversion"/>
  </si>
  <si>
    <t>(5)
m2
금회이월</t>
    <phoneticPr fontId="11" type="noConversion"/>
  </si>
  <si>
    <t>(3.62)
m2
금회이월</t>
    <phoneticPr fontId="11" type="noConversion"/>
  </si>
  <si>
    <t>석고보드
(12.5T) 
2장</t>
    <phoneticPr fontId="9" type="noConversion"/>
  </si>
  <si>
    <t>=&gt;금회 이월</t>
    <phoneticPr fontId="11" type="noConversion"/>
  </si>
  <si>
    <t xml:space="preserve"> 2
103</t>
    <phoneticPr fontId="9" type="noConversion"/>
  </si>
  <si>
    <t>108
303</t>
    <phoneticPr fontId="9" type="noConversion"/>
  </si>
  <si>
    <t>안방,작은방 코너 단열작업
화장실 벽타일 보수 완료
걸레받이 2개소 교체 완료
방충망 3개소 완료</t>
    <phoneticPr fontId="9" type="noConversion"/>
  </si>
  <si>
    <t>이보드(13T) 2장, 열반사 단열재 5.0m2</t>
    <phoneticPr fontId="9" type="noConversion"/>
  </si>
  <si>
    <t>103
9
2</t>
    <phoneticPr fontId="9" type="noConversion"/>
  </si>
  <si>
    <t>303
304
108</t>
    <phoneticPr fontId="9" type="noConversion"/>
  </si>
  <si>
    <t>씽크대 상판 실리콘 재코킹 작업 완료
창문 시트지 6개소 제거 완료
방충망 3개소 교체 완료
도어보수 2개소 완료
방충망 4개소 완료
빨래건조대 설치 완료</t>
    <phoneticPr fontId="9" type="noConversion"/>
  </si>
  <si>
    <t>누수 부분 도배</t>
    <phoneticPr fontId="9" type="noConversion"/>
  </si>
  <si>
    <t>도어 보수2개소 완료
씽크대 상판 실리콘 재코킹 작업 완료
앞베란다 외부샤시 바닥 실리콘 작업 완료
방충망 3개소 완료</t>
    <phoneticPr fontId="9" type="noConversion"/>
  </si>
  <si>
    <t xml:space="preserve"> 8
103</t>
    <phoneticPr fontId="9" type="noConversion"/>
  </si>
  <si>
    <t>401
204</t>
    <phoneticPr fontId="9" type="noConversion"/>
  </si>
  <si>
    <t>도어보수 1개소 완료
방충망 2개소 완료 
방충망 1개소 완료
작은방 커텐박스 아티론+이보드 작업 완료
작은방 창문 하단 실리콘 재시공 완료
걸레받이 3개소 교체 완료</t>
    <phoneticPr fontId="9" type="noConversion"/>
  </si>
  <si>
    <t>103
A
A
102</t>
    <phoneticPr fontId="9" type="noConversion"/>
  </si>
  <si>
    <t>204
701-6
303-1
205</t>
    <phoneticPr fontId="9" type="noConversion"/>
  </si>
  <si>
    <t>방충망 3개소 완료
도어보수 1개소 완료
화장실 좌측 석고보드 들뜸 교체 완료
화장실 도어 보수 완료
화장실 도어 보수 완료
씽크대 측판 교체 (이동원)</t>
    <phoneticPr fontId="9" type="noConversion"/>
  </si>
  <si>
    <t>3
(-0.09)
[감액]</t>
    <phoneticPr fontId="9" type="noConversion"/>
  </si>
  <si>
    <t xml:space="preserve"> A
B</t>
    <phoneticPr fontId="9" type="noConversion"/>
  </si>
  <si>
    <t xml:space="preserve"> 301-1
1001-3</t>
    <phoneticPr fontId="9" type="noConversion"/>
  </si>
  <si>
    <t>화장실 좌측,우측 석고보드 들뜸보수 2개소 완료
버티컬 교체 완료
벽단열재 들뜸 재시공 완료</t>
    <phoneticPr fontId="9" type="noConversion"/>
  </si>
  <si>
    <t>씽크대 상판 실리콘 재코킹
천장 곰팡이 제거
방충망 5개소 완료
앞뒤 베란다 전체 크랙 보수
화장실문 시트지 재시공</t>
    <phoneticPr fontId="9" type="noConversion"/>
  </si>
  <si>
    <t>기숙사 AB동 문보수용
엣지 필름 구매
(영수증 첨부)</t>
    <phoneticPr fontId="9" type="noConversion"/>
  </si>
  <si>
    <r>
      <t xml:space="preserve">앞뒤 베란다 전체 크랙 보수 완료
</t>
    </r>
    <r>
      <rPr>
        <sz val="15"/>
        <color theme="1"/>
        <rFont val="맑은 고딕"/>
        <family val="3"/>
        <charset val="129"/>
        <scheme val="minor"/>
      </rPr>
      <t>붙박이장 시트지 보수 3개소 완료</t>
    </r>
    <r>
      <rPr>
        <sz val="15"/>
        <rFont val="맑은 고딕"/>
        <family val="3"/>
        <charset val="129"/>
        <scheme val="minor"/>
      </rPr>
      <t xml:space="preserve">
도어 보수 3개소 완료</t>
    </r>
    <phoneticPr fontId="9" type="noConversion"/>
  </si>
  <si>
    <t>방충망 7개소 완료</t>
    <phoneticPr fontId="9" type="noConversion"/>
  </si>
  <si>
    <t>0</t>
    <phoneticPr fontId="9" type="noConversion"/>
  </si>
  <si>
    <t>뒤베란다 창고앞 외부샤시 천장 누수점검 및 실리콘
작업 완료
앞베란다 샤시 천장 실리콘 작업 완료
문보수 3개소 완료(합판들뜸 포함)
씽크대 상판 보수 완료
방충망 4개소 완료</t>
    <phoneticPr fontId="9" type="noConversion"/>
  </si>
  <si>
    <t>8
5</t>
    <phoneticPr fontId="9" type="noConversion"/>
  </si>
  <si>
    <t>209
204</t>
    <phoneticPr fontId="9" type="noConversion"/>
  </si>
  <si>
    <t>방충망 3개소 완료
뒤베란다 창고옆 벽면 창틀 누수점검및 실리콘 작업
앞베란다 외부샤시 하단 실리콘 작업 완료
문보수 2개소 완료
방충망 6개소 완료</t>
    <phoneticPr fontId="9" type="noConversion"/>
  </si>
  <si>
    <t>9
7</t>
    <phoneticPr fontId="9" type="noConversion"/>
  </si>
  <si>
    <t>302
405</t>
    <phoneticPr fontId="9" type="noConversion"/>
  </si>
  <si>
    <t>방충망 3개소 교체 완료
씽크대 상판 실리콘 제거 및 재코킹 작업 완료
앞,뒤 베란다 벽면 크렉 전체 보수 완료
도어 보수1개소 완료
걸레받이 1개소 교체 완료</t>
    <phoneticPr fontId="9" type="noConversion"/>
  </si>
  <si>
    <r>
      <rPr>
        <sz val="15"/>
        <color theme="1"/>
        <rFont val="맑은 고딕"/>
        <family val="3"/>
        <charset val="129"/>
        <scheme val="minor"/>
      </rPr>
      <t>신발장 시트지</t>
    </r>
    <r>
      <rPr>
        <sz val="15"/>
        <rFont val="맑은 고딕"/>
        <family val="3"/>
        <charset val="129"/>
        <scheme val="minor"/>
      </rPr>
      <t xml:space="preserve"> 제거 및 교체 완료
화장실 문측면 시트지 교체완료
씽크대 상판 실리콘 제거및 재코킹 작업 완료
방충망 2개소 교체 완료
뒤베란다 크렉 보수 완료</t>
    </r>
    <phoneticPr fontId="9" type="noConversion"/>
  </si>
  <si>
    <t>101
2</t>
    <phoneticPr fontId="9" type="noConversion"/>
  </si>
  <si>
    <t>204
306</t>
    <phoneticPr fontId="9" type="noConversion"/>
  </si>
  <si>
    <t>걸레받이 6개소 교체 완료
씽크대 상판 실리콘 제거 및 재코킹 작업 완료
방충망 3개소 교체 완료
방충망 2개소 교체 완료
씽크대 상판 실리콘 제거 및 재코킹 작업 완료</t>
    <phoneticPr fontId="9" type="noConversion"/>
  </si>
  <si>
    <t>306
106</t>
    <phoneticPr fontId="9" type="noConversion"/>
  </si>
  <si>
    <r>
      <t xml:space="preserve">도어보수 1개소 완료
</t>
    </r>
    <r>
      <rPr>
        <sz val="15"/>
        <color theme="1"/>
        <rFont val="맑은 고딕"/>
        <family val="3"/>
        <charset val="129"/>
        <scheme val="minor"/>
      </rPr>
      <t>신발장 시트지</t>
    </r>
    <r>
      <rPr>
        <sz val="15"/>
        <rFont val="맑은 고딕"/>
        <family val="3"/>
        <charset val="129"/>
        <scheme val="minor"/>
      </rPr>
      <t xml:space="preserve"> 제거 및 교체 완료
도어보수 1개소 완료
씽크대 상판 실리콘 제거 및 재코킹 작업 완료
앞,뒤 베란다 벽면 크렉 전체 보수 완료
뒤베란다 곰팡이 제거 롼료
방충망 3개소 교체 완료</t>
    </r>
    <phoneticPr fontId="9" type="noConversion"/>
  </si>
  <si>
    <r>
      <rPr>
        <sz val="10"/>
        <rFont val="HY견고딕"/>
        <family val="1"/>
        <charset val="129"/>
      </rPr>
      <t>긴급보수</t>
    </r>
    <r>
      <rPr>
        <sz val="10"/>
        <rFont val="Arial"/>
        <family val="2"/>
      </rPr>
      <t xml:space="preserve"> </t>
    </r>
    <r>
      <rPr>
        <sz val="10"/>
        <rFont val="HY견고딕"/>
        <family val="1"/>
        <charset val="129"/>
      </rPr>
      <t>대응</t>
    </r>
    <phoneticPr fontId="9" type="noConversion"/>
  </si>
  <si>
    <t>특별인부(</t>
    <phoneticPr fontId="9" type="noConversion"/>
  </si>
  <si>
    <t>M020450310340103</t>
  </si>
  <si>
    <t>방충망 AL</t>
  </si>
  <si>
    <t>MFA, 1,000×1,000㎜, AL도장</t>
  </si>
  <si>
    <t>2차분 (정산 완료)</t>
    <phoneticPr fontId="9" type="noConversion"/>
  </si>
  <si>
    <t>씽크대
보수</t>
    <phoneticPr fontId="9" type="noConversion"/>
  </si>
  <si>
    <t>빨레
건조대</t>
    <phoneticPr fontId="9" type="noConversion"/>
  </si>
  <si>
    <t>신발장
필름 (6m2)</t>
    <phoneticPr fontId="9" type="noConversion"/>
  </si>
  <si>
    <t>0.3
(2.7)
전회이월</t>
    <phoneticPr fontId="9" type="noConversion"/>
  </si>
  <si>
    <t>빨래건조대 1개(설비 업체 미지정으로 대응)
(영수증 첨부)</t>
    <phoneticPr fontId="9" type="noConversion"/>
  </si>
  <si>
    <t>소 계</t>
    <phoneticPr fontId="9" type="noConversion"/>
  </si>
  <si>
    <t>102-205 씽크대 
가스렌지 다이 양측판 교체
 (세금계산서 첨부)</t>
    <phoneticPr fontId="9" type="noConversion"/>
  </si>
  <si>
    <t>문보수용 
경첩피스 구매
(영수증 첨부)</t>
    <phoneticPr fontId="9" type="noConversion"/>
  </si>
  <si>
    <t>=&gt;금회 정산</t>
    <phoneticPr fontId="11" type="noConversion"/>
  </si>
  <si>
    <t>3차분 (정산 완료)</t>
    <phoneticPr fontId="9" type="noConversion"/>
  </si>
  <si>
    <t>방충망
(㎡=개)</t>
    <phoneticPr fontId="9" type="noConversion"/>
  </si>
  <si>
    <t>4차분 (정산 완료)</t>
    <phoneticPr fontId="9" type="noConversion"/>
  </si>
  <si>
    <t xml:space="preserve">5
7
8
</t>
    <phoneticPr fontId="9" type="noConversion"/>
  </si>
  <si>
    <t xml:space="preserve">401
504
405
</t>
    <phoneticPr fontId="9" type="noConversion"/>
  </si>
  <si>
    <t>방충망 1개소 교체 완료
뒤베란다 앙카 제거 완료
앞뒤 베란다 천정,벽 크렉 전체 보수 완료
뒤베란다 곰팡이 제거 완료
화장실 벽면 모서리 4군데 실리콘 작업 완료
문보수 2개소 완료
씽크대 상판 실리콘 제거 및 재코킹 작업 완료</t>
    <phoneticPr fontId="9" type="noConversion"/>
  </si>
  <si>
    <t>101
9</t>
    <phoneticPr fontId="9" type="noConversion"/>
  </si>
  <si>
    <t>404
204</t>
    <phoneticPr fontId="9" type="noConversion"/>
  </si>
  <si>
    <t xml:space="preserve">걸레받이 4개소 교체 완료
창문 시트지 6개소 제거 완료
방충망 3개소 교체 완료
도어보수 2개소 완료
방충망 4개소 완료
앞베란다 외부샤시 창문 2개 시트지 제거 완료 </t>
    <phoneticPr fontId="9" type="noConversion"/>
  </si>
  <si>
    <t>9
9</t>
    <phoneticPr fontId="9" type="noConversion"/>
  </si>
  <si>
    <t xml:space="preserve">
204
103
</t>
    <phoneticPr fontId="9" type="noConversion"/>
  </si>
  <si>
    <t>문보수 5개소 완료
방충망 3개소 완료</t>
    <phoneticPr fontId="9" type="noConversion"/>
  </si>
  <si>
    <t>9
7
2
5</t>
    <phoneticPr fontId="9" type="noConversion"/>
  </si>
  <si>
    <t>103
105
202
406</t>
    <phoneticPr fontId="9" type="noConversion"/>
  </si>
  <si>
    <t xml:space="preserve"> 방충망 4개소 완료
문보수 1개소 완료
뒤베란다 벽면 크렉보수 완료
씽크대 상판 실리콘 제거 및 재시공 완료
문보수 2개소 완료</t>
    <phoneticPr fontId="9" type="noConversion"/>
  </si>
  <si>
    <t>103
7</t>
    <phoneticPr fontId="9" type="noConversion"/>
  </si>
  <si>
    <t>206
503</t>
    <phoneticPr fontId="9" type="noConversion"/>
  </si>
  <si>
    <t>씽크대 상판 실리콘 제거 및 재코킹 완료
걸레받이 1개소 교체 완료
문보수 2개소 완료
방충망 2개소 완료
문보수 1개소 완료</t>
    <phoneticPr fontId="9" type="noConversion"/>
  </si>
  <si>
    <t>기숙사
7
7
A</t>
    <phoneticPr fontId="9" type="noConversion"/>
  </si>
  <si>
    <t>3동
503
404
702-3</t>
    <phoneticPr fontId="9" type="noConversion"/>
  </si>
  <si>
    <t>계단 창틀 누수보수 공사 완료
문보수 1개소 완료
문보수 1개소 완료
버티컬 제거 및 재설치 완료</t>
    <phoneticPr fontId="9" type="noConversion"/>
  </si>
  <si>
    <t>씽크문 1개 교체 (최해수)</t>
    <phoneticPr fontId="9" type="noConversion"/>
  </si>
  <si>
    <t>2
2</t>
    <phoneticPr fontId="9" type="noConversion"/>
  </si>
  <si>
    <t xml:space="preserve">
1-2
7-8
</t>
    <phoneticPr fontId="9" type="noConversion"/>
  </si>
  <si>
    <t>우편함 철거 및 이동 설치  완료
벽면 도색 작업 완료</t>
    <phoneticPr fontId="9" type="noConversion"/>
  </si>
  <si>
    <t>지하</t>
    <phoneticPr fontId="9" type="noConversion"/>
  </si>
  <si>
    <t>5동 지하주차장 타공 부위 구멍 메꿈</t>
    <phoneticPr fontId="9" type="noConversion"/>
  </si>
  <si>
    <t xml:space="preserve">
310
105
</t>
    <phoneticPr fontId="9" type="noConversion"/>
  </si>
  <si>
    <t>뒷베란다 창틀 누수보수 작업 완료
뒷베란다 창틀 누수보수 작업 완료</t>
    <phoneticPr fontId="9" type="noConversion"/>
  </si>
  <si>
    <t>주차장 타공 부위 구멍 메꿈 시멘트 작업 및 페인트</t>
    <phoneticPr fontId="9" type="noConversion"/>
  </si>
  <si>
    <r>
      <t xml:space="preserve">3차 정산시
이월(2.91개)
</t>
    </r>
    <r>
      <rPr>
        <b/>
        <sz val="28"/>
        <color theme="0" tint="-0.249977111117893"/>
        <rFont val="맑은 고딕"/>
        <family val="3"/>
        <charset val="129"/>
        <scheme val="minor"/>
      </rPr>
      <t>4차 정산시
이월(2.62개)</t>
    </r>
    <phoneticPr fontId="9" type="noConversion"/>
  </si>
  <si>
    <t>5차분 (정산 완료)</t>
    <phoneticPr fontId="9" type="noConversion"/>
  </si>
  <si>
    <t xml:space="preserve"> 공사명 : 기숙사 및 사택 긴급 보수작업(건축)-6차</t>
    <phoneticPr fontId="15" type="noConversion"/>
  </si>
  <si>
    <t>M020533113070101</t>
  </si>
  <si>
    <t>걸레받이</t>
  </si>
  <si>
    <t>SHWB-100, W:100×2T</t>
  </si>
  <si>
    <t>m</t>
  </si>
  <si>
    <t>M020251411670101</t>
  </si>
  <si>
    <t>다우실 1000</t>
  </si>
  <si>
    <t>1액형 실리콘, 발코니 창호 주위 조인트용(창틀용)</t>
  </si>
  <si>
    <t>270㎖</t>
  </si>
  <si>
    <t>M020852810150101</t>
  </si>
  <si>
    <t>롤스크린(단면암막)</t>
  </si>
  <si>
    <t>방염, 기본면적: 2㎡</t>
  </si>
  <si>
    <t>매입계약 : 4,556,000</t>
    <phoneticPr fontId="9" type="noConversion"/>
  </si>
  <si>
    <t xml:space="preserve"> 견적일 : 2025년  10월    일</t>
    <phoneticPr fontId="15" type="noConversion"/>
  </si>
  <si>
    <t>일성건축</t>
  </si>
  <si>
    <t>5
102</t>
  </si>
  <si>
    <t xml:space="preserve">
지하
506
</t>
  </si>
  <si>
    <t>남해원</t>
  </si>
  <si>
    <t>주차장 타공 부위 구멍 메꿈 시멘트 작업 및 페인트
씽크대 상판 실리콘 제거 및 재시공 완료</t>
  </si>
  <si>
    <t xml:space="preserve"> </t>
  </si>
  <si>
    <t xml:space="preserve"> 걸레받이 5개소 교체 완료
거실 외부샤시 벽면 단열재 들뜸 보수 완료
문보수 2개소 완료
방충망 3개소 완료</t>
  </si>
  <si>
    <t>5
5</t>
  </si>
  <si>
    <t>105
504</t>
  </si>
  <si>
    <t>씽크대 상판 실리콘 제거 및 재코킹 완료
앞,뒤 베란다 창측 벽면 누수 점검 및 보수 완료
방충망 4개소 교체 완료
씽크대 상판 실리콘 제거 및 재시공 완료
문보수 1개소 완료
걸레받이 1개소 교체 완료</t>
  </si>
  <si>
    <t>2
2
5</t>
  </si>
  <si>
    <t>408
305
105</t>
  </si>
  <si>
    <t>거실 좌측방 벽면 단열 작업 완료
뒤베란다 벽면 크렉 전체 보수 완료
걸레받이 1개소 완료
씽크대 상판 실리콘 제거 및 재코킹 작업 완료
씽크대 상판 실리콘 제거 및 재코킹 작업 완료
방충망 3개소 교체 완료</t>
  </si>
  <si>
    <t>102
103</t>
  </si>
  <si>
    <t>402
201</t>
  </si>
  <si>
    <t>걸레받이 5개소 교체 완료
문보수 2개소 완료
방충망 1개소 완료
걸레받이 3개소 교체 완료
방충망 3개소 교체 완료
문보수 1개소 완료</t>
  </si>
  <si>
    <t>103
2</t>
  </si>
  <si>
    <t>201
408</t>
  </si>
  <si>
    <t>문보수 4개소 완료
씽크대 상판 실리콘 제거 및 재코킹 작업 완료
씽크대 가스레인지 좌우측 시트지 교체 작업 완료
방충망 2개소 완료</t>
  </si>
  <si>
    <t>9
7
2
7</t>
  </si>
  <si>
    <t>506
202
305
301</t>
  </si>
  <si>
    <t>뒤베란다 좌측벽면 가스배관 틈새 막음 작업 완료
뒤베란다 우측벽면 앙카볼트 구멍 실리콘 메움 작업
씽크대 상판 실리콘 제거 및 재코킹 작업 완료
문보수 3개소 완료
씽크대 상판 실리콘 제거 및 재코킹 작업 완료 
문보수 1개소 완료
방충망 3개소 완료
문보수 1개소 완료</t>
  </si>
  <si>
    <t>7
A
A
B</t>
  </si>
  <si>
    <t>301
1001-4
501-6
703-6</t>
  </si>
  <si>
    <t>문보수 2개소 완료
씽크대 상판 실리콘 제거 및 재시공 완료
문보수 1개소 완료
문보수 1개소 완료
문보수 1개소 완료</t>
  </si>
  <si>
    <t>방충망 7개소 완료</t>
  </si>
  <si>
    <t>방충망 5개소 완료</t>
  </si>
  <si>
    <t>2
9</t>
  </si>
  <si>
    <t xml:space="preserve">
1-8
1-6
</t>
  </si>
  <si>
    <t>우편함 이동 설치  완료
우편함 이동 설치  완료</t>
  </si>
  <si>
    <t>우편함 이전설치 페인트 작업</t>
  </si>
  <si>
    <t xml:space="preserve"> 입구</t>
  </si>
  <si>
    <t xml:space="preserve"> 보도블럭 수리 (김용칠)</t>
  </si>
  <si>
    <t>견적 처리</t>
  </si>
  <si>
    <t xml:space="preserve"> 보도블럭 수리 (김용칠,구진회)</t>
  </si>
  <si>
    <t>AB동</t>
  </si>
  <si>
    <t>10층</t>
  </si>
  <si>
    <t>외부 베란다 난간 외벽 크랙 보수(구진회)</t>
  </si>
  <si>
    <t xml:space="preserve"> 외부 베란다 자재 양중 (김용칠 , 구진회)</t>
  </si>
  <si>
    <t>8
7</t>
  </si>
  <si>
    <t>503
408</t>
  </si>
  <si>
    <t xml:space="preserve">문보수 4개소 완료
방충망 3개소 완료
문보수 1개소 완료 </t>
  </si>
  <si>
    <t>7
5
2</t>
  </si>
  <si>
    <t xml:space="preserve">408
101
304
</t>
  </si>
  <si>
    <t>뒤베란다 크랙 보수 완료
씽크대 상판 실리콘 제거 및 재코킹 작업 완료
씽크대 상판 실리콘 제거 및 재코킹 작업 완료
방충망 2개소 완료
걸레받이 6개소 교체 완료
뒤베란다 크랙 보수 완료</t>
  </si>
  <si>
    <t xml:space="preserve">2
8
102
</t>
  </si>
  <si>
    <t xml:space="preserve">304
505
206
</t>
  </si>
  <si>
    <t>문보수 2개소 완료
방충망 2개소 완료
방충망 1개소 완료
걸레받이 6개소 교체 완료
문보수 1개소 완료</t>
  </si>
  <si>
    <t>씽크대 상판 실리콘 제거 및 재코킹 작업 완료
방충망 4개소 교체 완료
방충망 4개소 교체 완료
방충망 3개소 교체 완료
걸레받이 1개소 교체 완
씽크대 상판 실리콘 제거 및 재코킹 작업 완료
방충망 3개소 교체 완료</t>
  </si>
  <si>
    <t>6차분 (정산 완료)</t>
    <phoneticPr fontId="9" type="noConversion"/>
  </si>
  <si>
    <t>방화실리콘 2개
강화몰탈 1통
방화패드 1매</t>
    <phoneticPr fontId="9" type="noConversion"/>
  </si>
  <si>
    <r>
      <rPr>
        <sz val="12"/>
        <color theme="1" tint="0.499984740745262"/>
        <rFont val="LG스마트체 Regular"/>
        <family val="3"/>
        <charset val="129"/>
      </rPr>
      <t xml:space="preserve">4차분 이월 방충망
2.62개 정산
5차분 정산 방충망
3.73개
</t>
    </r>
    <r>
      <rPr>
        <b/>
        <sz val="12"/>
        <color rgb="FFFF00FF"/>
        <rFont val="LG스마트체 Regular"/>
        <family val="3"/>
        <charset val="129"/>
      </rPr>
      <t>6차분 이월 방충망</t>
    </r>
    <r>
      <rPr>
        <sz val="12"/>
        <color rgb="FFFF00FF"/>
        <rFont val="LG스마트체 Regular"/>
        <family val="3"/>
        <charset val="129"/>
      </rPr>
      <t xml:space="preserve">
</t>
    </r>
    <r>
      <rPr>
        <b/>
        <sz val="12"/>
        <color rgb="FFFF00FF"/>
        <rFont val="LG스마트체 Regular"/>
        <family val="3"/>
        <charset val="129"/>
      </rPr>
      <t>20.27(5차 이월분)+10.94</t>
    </r>
    <phoneticPr fontId="9" type="noConversion"/>
  </si>
  <si>
    <r>
      <t xml:space="preserve">방충망 총 24개 에서 
</t>
    </r>
    <r>
      <rPr>
        <b/>
        <sz val="23"/>
        <color rgb="FFFF0000"/>
        <rFont val="맑은 고딕"/>
        <family val="3"/>
        <charset val="129"/>
        <scheme val="minor"/>
      </rPr>
      <t>3.73</t>
    </r>
    <r>
      <rPr>
        <b/>
        <sz val="20"/>
        <color rgb="FFFF0000"/>
        <rFont val="맑은 고딕"/>
        <family val="3"/>
        <charset val="129"/>
        <scheme val="minor"/>
      </rPr>
      <t>개 금회 정산</t>
    </r>
    <phoneticPr fontId="9" type="noConversion"/>
  </si>
  <si>
    <t>절감</t>
    <phoneticPr fontId="9" type="noConversion"/>
  </si>
  <si>
    <t>7차분 (정산 예정)</t>
    <phoneticPr fontId="9" type="noConversion"/>
  </si>
  <si>
    <t>방충망 10개
(10.94개) 금회 정산</t>
    <phoneticPr fontId="9" type="noConversion"/>
  </si>
  <si>
    <t>이보드(23T) 
1장,  열반사 단열재
2.5m2</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</si>
</sst>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176" formatCode="_(&quot;₩&quot;* #,##0_);_(&quot;₩&quot;* \(#,##0\);_(&quot;₩&quot;* &quot;-&quot;_);_(@_)"/>
    <numFmt numFmtId="177" formatCode="_(* #,##0_);_(* \(#,##0\);_(* &quot;-&quot;_);_(@_)"/>
    <numFmt numFmtId="178" formatCode="_ * #,##0_ ;_ * \-#,##0_ ;_ * &quot;-&quot;_ ;_ @_ "/>
    <numFmt numFmtId="179" formatCode="###,#00,000"/>
    <numFmt numFmtId="180" formatCode="_-* #,##0_-;&quot;₩&quot;\!\-* #,##0_-;_-* &quot;-&quot;_-;_-@_-"/>
    <numFmt numFmtId="181" formatCode="0.0%"/>
    <numFmt numFmtId="182" formatCode="#,##0.000_ "/>
    <numFmt numFmtId="183" formatCode="#,##0;\-#,##0;"/>
    <numFmt numFmtId="184" formatCode="[hh]\ &quot;시간&quot;\ mm\ &quot;분&quot;"/>
    <numFmt numFmtId="185" formatCode="0.00_);[Red]\(0.00\)"/>
    <numFmt numFmtId="186" formatCode="mm&quot;월&quot;\ dd&quot;일&quot;"/>
    <numFmt numFmtId="187" formatCode="0.0_);[Red]\(0.0\)"/>
    <numFmt numFmtId="188" formatCode="_ * #,##0_ ;_ * \-#,##0_ ;_ * &quot;0&quot;_ ;_ @_ "/>
    <numFmt numFmtId="189" formatCode="#,##0_);\(#,##0\)"/>
    <numFmt numFmtId="190" formatCode="#,##0_ "/>
  </numFmts>
  <fonts count="15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sz val="11"/>
      <name val="바탕체"/>
      <family val="1"/>
      <charset val="129"/>
    </font>
    <font>
      <sz val="8"/>
      <name val="바탕체"/>
      <family val="1"/>
      <charset val="129"/>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b/>
      <sz val="26"/>
      <color rgb="FF000000"/>
      <name val="LG스마트체 Regular"/>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11"/>
      <color rgb="FF000000"/>
      <name val="LG스마트체 Regular"/>
      <family val="3"/>
      <charset val="129"/>
    </font>
    <font>
      <b/>
      <sz val="10"/>
      <color theme="1"/>
      <name val="맑은 고딕"/>
      <family val="3"/>
      <charset val="129"/>
      <scheme val="minor"/>
    </font>
    <font>
      <sz val="11"/>
      <color theme="1"/>
      <name val="LG스마트체 Regular"/>
      <family val="3"/>
      <charset val="129"/>
    </font>
    <font>
      <sz val="10"/>
      <color theme="0" tint="-0.34998626667073579"/>
      <name val="LG스마트체 Regular"/>
      <family val="3"/>
      <charset val="129"/>
    </font>
    <font>
      <b/>
      <sz val="10"/>
      <color theme="1" tint="0.34998626667073579"/>
      <name val="맑은 고딕"/>
      <family val="3"/>
      <charset val="129"/>
      <scheme val="minor"/>
    </font>
    <font>
      <b/>
      <sz val="15"/>
      <color theme="0" tint="-0.249977111117893"/>
      <name val="맑은 고딕"/>
      <family val="3"/>
      <charset val="129"/>
      <scheme val="minor"/>
    </font>
    <font>
      <sz val="14"/>
      <color theme="0" tint="-0.34998626667073579"/>
      <name val="맑은 고딕"/>
      <family val="3"/>
      <charset val="129"/>
      <scheme val="minor"/>
    </font>
    <font>
      <sz val="15"/>
      <color theme="0" tint="-0.34998626667073579"/>
      <name val="맑은 고딕"/>
      <family val="3"/>
      <charset val="129"/>
      <scheme val="minor"/>
    </font>
    <font>
      <sz val="15"/>
      <name val="맑은 고딕"/>
      <family val="3"/>
      <charset val="129"/>
      <scheme val="minor"/>
    </font>
    <font>
      <sz val="15"/>
      <color theme="1" tint="0.499984740745262"/>
      <name val="맑은 고딕"/>
      <family val="3"/>
      <charset val="129"/>
      <scheme val="minor"/>
    </font>
    <font>
      <b/>
      <sz val="15"/>
      <color theme="1"/>
      <name val="LG스마트체 Regular"/>
      <family val="3"/>
      <charset val="129"/>
    </font>
    <font>
      <b/>
      <sz val="15"/>
      <color theme="1" tint="0.34998626667073579"/>
      <name val="LG스마트체 Regular"/>
      <family val="3"/>
      <charset val="129"/>
    </font>
    <font>
      <b/>
      <sz val="15"/>
      <name val="맑은 고딕"/>
      <family val="3"/>
      <charset val="129"/>
      <scheme val="minor"/>
    </font>
    <font>
      <b/>
      <sz val="20"/>
      <color theme="1"/>
      <name val="맑은 고딕"/>
      <family val="3"/>
      <charset val="129"/>
      <scheme val="minor"/>
    </font>
    <font>
      <b/>
      <sz val="20"/>
      <color rgb="FFFF00FF"/>
      <name val="맑은 고딕"/>
      <family val="3"/>
      <charset val="129"/>
      <scheme val="minor"/>
    </font>
    <font>
      <sz val="14"/>
      <name val="맑은 고딕"/>
      <family val="3"/>
      <charset val="129"/>
      <scheme val="minor"/>
    </font>
    <font>
      <sz val="17"/>
      <name val="맑은 고딕"/>
      <family val="3"/>
      <charset val="129"/>
      <scheme val="minor"/>
    </font>
    <font>
      <sz val="11"/>
      <name val="맑은 고딕"/>
      <family val="3"/>
      <charset val="129"/>
      <scheme val="minor"/>
    </font>
    <font>
      <b/>
      <sz val="20"/>
      <color theme="1" tint="0.34998626667073579"/>
      <name val="맑은 고딕"/>
      <family val="3"/>
      <charset val="129"/>
      <scheme val="minor"/>
    </font>
    <font>
      <b/>
      <sz val="20"/>
      <color theme="0" tint="-0.34998626667073579"/>
      <name val="맑은 고딕"/>
      <family val="3"/>
      <charset val="129"/>
      <scheme val="minor"/>
    </font>
    <font>
      <sz val="20"/>
      <color theme="1"/>
      <name val="맑은 고딕"/>
      <family val="3"/>
      <charset val="129"/>
      <scheme val="minor"/>
    </font>
    <font>
      <b/>
      <sz val="15"/>
      <color theme="0" tint="-0.34998626667073579"/>
      <name val="맑은 고딕"/>
      <family val="3"/>
      <charset val="129"/>
      <scheme val="minor"/>
    </font>
    <font>
      <sz val="17"/>
      <color theme="0" tint="-0.34998626667073579"/>
      <name val="맑은 고딕"/>
      <family val="3"/>
      <charset val="129"/>
      <scheme val="minor"/>
    </font>
    <font>
      <sz val="11"/>
      <color theme="0" tint="-0.34998626667073579"/>
      <name val="맑은 고딕"/>
      <family val="3"/>
      <charset val="129"/>
      <scheme val="minor"/>
    </font>
    <font>
      <sz val="10"/>
      <color rgb="FF000000"/>
      <name val="Arial"/>
      <family val="2"/>
    </font>
    <font>
      <sz val="10"/>
      <color theme="1"/>
      <name val="Arial"/>
      <family val="2"/>
    </font>
    <font>
      <sz val="10"/>
      <name val="Arial"/>
      <family val="2"/>
    </font>
    <font>
      <sz val="10"/>
      <color indexed="8"/>
      <name val="Malgun Gothic"/>
      <family val="3"/>
      <charset val="129"/>
    </font>
    <font>
      <sz val="20"/>
      <color rgb="FFFF0000"/>
      <name val="LG스마트체 Regular"/>
      <family val="3"/>
      <charset val="129"/>
    </font>
    <font>
      <b/>
      <sz val="20"/>
      <color rgb="FFFF00FF"/>
      <name val="LG스마트체 Regular"/>
      <family val="3"/>
      <charset val="129"/>
    </font>
    <font>
      <b/>
      <sz val="22"/>
      <color rgb="FFFF00FF"/>
      <name val="맑은 고딕"/>
      <family val="3"/>
      <charset val="129"/>
      <scheme val="minor"/>
    </font>
    <font>
      <b/>
      <sz val="22"/>
      <name val="맑은 고딕"/>
      <family val="3"/>
      <charset val="129"/>
      <scheme val="minor"/>
    </font>
    <font>
      <b/>
      <sz val="22"/>
      <color theme="0" tint="-0.34998626667073579"/>
      <name val="맑은 고딕"/>
      <family val="3"/>
      <charset val="129"/>
      <scheme val="minor"/>
    </font>
    <font>
      <b/>
      <sz val="15"/>
      <color theme="1"/>
      <name val="맑은 고딕"/>
      <family val="3"/>
      <charset val="129"/>
      <scheme val="minor"/>
    </font>
    <font>
      <sz val="15"/>
      <color rgb="FFFF00FF"/>
      <name val="맑은 고딕"/>
      <family val="3"/>
      <charset val="129"/>
      <scheme val="minor"/>
    </font>
    <font>
      <b/>
      <sz val="15"/>
      <color rgb="FFFF0000"/>
      <name val="맑은 고딕"/>
      <family val="3"/>
      <charset val="129"/>
      <scheme val="minor"/>
    </font>
    <font>
      <b/>
      <sz val="22"/>
      <color theme="1"/>
      <name val="맑은 고딕"/>
      <family val="3"/>
      <charset val="129"/>
      <scheme val="minor"/>
    </font>
    <font>
      <sz val="22"/>
      <name val="맑은 고딕"/>
      <family val="3"/>
      <charset val="129"/>
      <scheme val="minor"/>
    </font>
    <font>
      <b/>
      <sz val="14"/>
      <color theme="1" tint="0.499984740745262"/>
      <name val="맑은 고딕"/>
      <family val="3"/>
      <charset val="129"/>
      <scheme val="minor"/>
    </font>
    <font>
      <sz val="22"/>
      <color theme="0" tint="-0.34998626667073579"/>
      <name val="맑은 고딕"/>
      <family val="3"/>
      <charset val="129"/>
      <scheme val="minor"/>
    </font>
    <font>
      <b/>
      <sz val="22"/>
      <color theme="0" tint="-0.14999847407452621"/>
      <name val="맑은 고딕"/>
      <family val="3"/>
      <charset val="129"/>
      <scheme val="minor"/>
    </font>
    <font>
      <sz val="18"/>
      <color theme="0" tint="-0.499984740745262"/>
      <name val="LG스마트체 Regular"/>
      <family val="3"/>
      <charset val="129"/>
    </font>
    <font>
      <b/>
      <sz val="20"/>
      <color theme="0" tint="-0.499984740745262"/>
      <name val="LG스마트체 Regular"/>
      <family val="3"/>
      <charset val="129"/>
    </font>
    <font>
      <sz val="15"/>
      <color theme="1"/>
      <name val="맑은 고딕"/>
      <family val="3"/>
      <charset val="129"/>
      <scheme val="minor"/>
    </font>
    <font>
      <b/>
      <sz val="17"/>
      <name val="맑은 고딕"/>
      <family val="3"/>
      <charset val="129"/>
      <scheme val="minor"/>
    </font>
    <font>
      <sz val="14"/>
      <color theme="1"/>
      <name val="맑은 고딕"/>
      <family val="3"/>
      <charset val="129"/>
      <scheme val="minor"/>
    </font>
    <font>
      <sz val="10"/>
      <name val="HY견고딕"/>
      <family val="1"/>
      <charset val="129"/>
    </font>
    <font>
      <sz val="17"/>
      <color theme="1"/>
      <name val="맑은 고딕"/>
      <family val="3"/>
      <charset val="129"/>
      <scheme val="minor"/>
    </font>
    <font>
      <b/>
      <sz val="17"/>
      <color theme="1"/>
      <name val="LG스마트체 Regular"/>
      <family val="3"/>
      <charset val="129"/>
    </font>
    <font>
      <sz val="30"/>
      <name val="맑은 고딕"/>
      <family val="3"/>
      <charset val="129"/>
      <scheme val="minor"/>
    </font>
    <font>
      <sz val="10"/>
      <color rgb="FFFF0000"/>
      <name val="LG스마트체 Regular"/>
      <family val="3"/>
      <charset val="129"/>
    </font>
    <font>
      <sz val="26"/>
      <color rgb="FFFF0000"/>
      <name val="LG스마트체 Regular"/>
      <family val="3"/>
      <charset val="129"/>
    </font>
    <font>
      <sz val="22"/>
      <color theme="0" tint="-0.14999847407452621"/>
      <name val="맑은 고딕"/>
      <family val="3"/>
      <charset val="129"/>
      <scheme val="minor"/>
    </font>
    <font>
      <b/>
      <sz val="22"/>
      <color theme="0" tint="-0.249977111117893"/>
      <name val="맑은 고딕"/>
      <family val="3"/>
      <charset val="129"/>
      <scheme val="minor"/>
    </font>
    <font>
      <sz val="22"/>
      <color theme="1" tint="0.499984740745262"/>
      <name val="맑은 고딕"/>
      <family val="3"/>
      <charset val="129"/>
      <scheme val="minor"/>
    </font>
    <font>
      <sz val="22"/>
      <color theme="1"/>
      <name val="맑은 고딕"/>
      <family val="3"/>
      <charset val="129"/>
      <scheme val="minor"/>
    </font>
    <font>
      <sz val="22"/>
      <color indexed="8"/>
      <name val="맑은 고딕"/>
      <family val="3"/>
      <charset val="129"/>
      <scheme val="minor"/>
    </font>
    <font>
      <b/>
      <sz val="28"/>
      <color rgb="FF0000FF"/>
      <name val="맑은 고딕"/>
      <family val="3"/>
      <charset val="129"/>
      <scheme val="minor"/>
    </font>
    <font>
      <b/>
      <sz val="28"/>
      <color theme="1"/>
      <name val="맑은 고딕"/>
      <family val="3"/>
      <charset val="129"/>
      <scheme val="minor"/>
    </font>
    <font>
      <b/>
      <sz val="28"/>
      <color rgb="FFFF00FF"/>
      <name val="맑은 고딕"/>
      <family val="3"/>
      <charset val="129"/>
      <scheme val="minor"/>
    </font>
    <font>
      <b/>
      <sz val="28"/>
      <name val="맑은 고딕"/>
      <family val="3"/>
      <charset val="129"/>
      <scheme val="minor"/>
    </font>
    <font>
      <sz val="10"/>
      <color rgb="FFFF00FF"/>
      <name val="LG스마트체 Regular"/>
      <family val="3"/>
      <charset val="129"/>
    </font>
    <font>
      <sz val="26"/>
      <color rgb="FFFF00FF"/>
      <name val="LG스마트체 Regular"/>
      <family val="3"/>
      <charset val="129"/>
    </font>
    <font>
      <b/>
      <sz val="15"/>
      <color rgb="FFFF00FF"/>
      <name val="Arial"/>
      <family val="2"/>
    </font>
    <font>
      <b/>
      <sz val="14"/>
      <color rgb="FFFF00FF"/>
      <name val="LG스마트체 Regular"/>
      <family val="3"/>
      <charset val="129"/>
    </font>
    <font>
      <b/>
      <sz val="19"/>
      <color rgb="FFFF00FF"/>
      <name val="LG스마트체 Regular"/>
      <family val="3"/>
      <charset val="129"/>
    </font>
    <font>
      <b/>
      <sz val="20"/>
      <name val="맑은 고딕"/>
      <family val="3"/>
      <charset val="129"/>
      <scheme val="minor"/>
    </font>
    <font>
      <sz val="12"/>
      <name val="LG스마트체 Regular"/>
      <family val="3"/>
      <charset val="129"/>
    </font>
    <font>
      <sz val="20"/>
      <color indexed="8"/>
      <name val="맑은 고딕"/>
      <family val="2"/>
      <scheme val="minor"/>
    </font>
    <font>
      <sz val="20"/>
      <color theme="0" tint="-0.249977111117893"/>
      <name val="맑은 고딕"/>
      <family val="3"/>
      <charset val="129"/>
      <scheme val="minor"/>
    </font>
    <font>
      <b/>
      <sz val="20"/>
      <color theme="0" tint="-0.249977111117893"/>
      <name val="맑은 고딕"/>
      <family val="3"/>
      <charset val="129"/>
      <scheme val="minor"/>
    </font>
    <font>
      <b/>
      <sz val="28"/>
      <color theme="0" tint="-0.249977111117893"/>
      <name val="맑은 고딕"/>
      <family val="3"/>
      <charset val="129"/>
      <scheme val="minor"/>
    </font>
    <font>
      <b/>
      <sz val="23"/>
      <color theme="0" tint="-0.249977111117893"/>
      <name val="맑은 고딕"/>
      <family val="3"/>
      <charset val="129"/>
      <scheme val="minor"/>
    </font>
    <font>
      <sz val="23"/>
      <color theme="0" tint="-0.249977111117893"/>
      <name val="맑은 고딕"/>
      <family val="3"/>
      <charset val="129"/>
      <scheme val="minor"/>
    </font>
    <font>
      <b/>
      <sz val="15"/>
      <color rgb="FFFF00FF"/>
      <name val="맑은 고딕"/>
      <family val="3"/>
      <charset val="129"/>
      <scheme val="minor"/>
    </font>
    <font>
      <sz val="24"/>
      <color rgb="FFFF00FF"/>
      <name val="LG스마트체 Regular"/>
      <family val="3"/>
      <charset val="129"/>
    </font>
    <font>
      <b/>
      <sz val="30"/>
      <color rgb="FFFF00FF"/>
      <name val="맑은 고딕"/>
      <family val="3"/>
      <charset val="129"/>
      <scheme val="minor"/>
    </font>
    <font>
      <b/>
      <sz val="23"/>
      <color rgb="FFFF00FF"/>
      <name val="맑은 고딕"/>
      <family val="3"/>
      <charset val="129"/>
      <scheme val="minor"/>
    </font>
    <font>
      <b/>
      <sz val="30"/>
      <color theme="0" tint="-0.249977111117893"/>
      <name val="맑은 고딕"/>
      <family val="3"/>
      <charset val="129"/>
      <scheme val="minor"/>
    </font>
    <font>
      <sz val="28"/>
      <color theme="0" tint="-0.249977111117893"/>
      <name val="맑은 고딕"/>
      <family val="3"/>
      <charset val="129"/>
      <scheme val="minor"/>
    </font>
    <font>
      <sz val="12"/>
      <color rgb="FFFF00FF"/>
      <name val="LG스마트체 Regular"/>
      <family val="3"/>
      <charset val="129"/>
    </font>
    <font>
      <b/>
      <sz val="11"/>
      <color rgb="FFFF00FF"/>
      <name val="LG스마트체 Regular"/>
      <family val="3"/>
      <charset val="129"/>
    </font>
    <font>
      <sz val="20"/>
      <color theme="1"/>
      <name val="LG스마트체 Regular"/>
      <family val="3"/>
      <charset val="129"/>
    </font>
    <font>
      <sz val="16"/>
      <color theme="1"/>
      <name val="LG스마트체 Regular"/>
      <family val="3"/>
      <charset val="129"/>
    </font>
    <font>
      <b/>
      <sz val="28"/>
      <color theme="0" tint="-0.499984740745262"/>
      <name val="맑은 고딕"/>
      <family val="3"/>
      <charset val="129"/>
      <scheme val="minor"/>
    </font>
    <font>
      <b/>
      <sz val="23"/>
      <color theme="0" tint="-0.499984740745262"/>
      <name val="맑은 고딕"/>
      <family val="3"/>
      <charset val="129"/>
      <scheme val="minor"/>
    </font>
    <font>
      <sz val="10"/>
      <color theme="1"/>
      <name val="LG스마트체 Regular"/>
      <family val="3"/>
      <charset val="129"/>
    </font>
    <font>
      <sz val="10"/>
      <color indexed="8"/>
      <name val="LG스마트체 Regular"/>
      <family val="3"/>
      <charset val="129"/>
    </font>
    <font>
      <sz val="10"/>
      <name val="LG스마트체 Regular"/>
      <family val="3"/>
      <charset val="129"/>
    </font>
    <font>
      <sz val="12"/>
      <color theme="1" tint="0.499984740745262"/>
      <name val="LG스마트체 Regular"/>
      <family val="3"/>
      <charset val="129"/>
    </font>
    <font>
      <sz val="20"/>
      <color rgb="FF000000"/>
      <name val="LG스마트체 Regular"/>
      <family val="3"/>
      <charset val="129"/>
    </font>
    <font>
      <b/>
      <sz val="28"/>
      <color theme="1" tint="0.499984740745262"/>
      <name val="맑은 고딕"/>
      <family val="3"/>
      <charset val="129"/>
      <scheme val="minor"/>
    </font>
    <font>
      <b/>
      <sz val="30"/>
      <color theme="1" tint="0.499984740745262"/>
      <name val="맑은 고딕"/>
      <family val="3"/>
      <charset val="129"/>
      <scheme val="minor"/>
    </font>
    <font>
      <b/>
      <sz val="23"/>
      <color theme="1" tint="0.499984740745262"/>
      <name val="맑은 고딕"/>
      <family val="3"/>
      <charset val="129"/>
      <scheme val="minor"/>
    </font>
    <font>
      <b/>
      <sz val="12"/>
      <color rgb="FFFF00FF"/>
      <name val="LG스마트체 Regular"/>
      <family val="3"/>
      <charset val="129"/>
    </font>
    <font>
      <b/>
      <sz val="30"/>
      <color rgb="FF000000"/>
      <name val="맑은 고딕"/>
      <family val="3"/>
      <charset val="129"/>
      <scheme val="minor"/>
    </font>
    <font>
      <b/>
      <sz val="28"/>
      <color rgb="FF000000"/>
      <name val="맑은 고딕"/>
      <family val="3"/>
      <charset val="129"/>
      <scheme val="minor"/>
    </font>
    <font>
      <b/>
      <sz val="18"/>
      <color rgb="FFFF00FF"/>
      <name val="맑은 고딕"/>
      <family val="3"/>
      <charset val="129"/>
      <scheme val="minor"/>
    </font>
    <font>
      <b/>
      <sz val="28"/>
      <color theme="2" tint="-0.249977111117893"/>
      <name val="맑은 고딕"/>
      <family val="3"/>
      <charset val="129"/>
      <scheme val="minor"/>
    </font>
    <font>
      <b/>
      <strike/>
      <sz val="15"/>
      <name val="맑은 고딕"/>
      <family val="3"/>
      <charset val="129"/>
      <scheme val="minor"/>
    </font>
    <font>
      <b/>
      <strike/>
      <sz val="28"/>
      <color rgb="FFFF00FF"/>
      <name val="맑은 고딕"/>
      <family val="3"/>
      <charset val="129"/>
      <scheme val="minor"/>
    </font>
    <font>
      <sz val="18"/>
      <color rgb="FFFF0000"/>
      <name val="맑은 고딕"/>
      <family val="2"/>
      <scheme val="minor"/>
    </font>
    <font>
      <b/>
      <sz val="28"/>
      <color rgb="FFFF0000"/>
      <name val="맑은 고딕"/>
      <family val="3"/>
      <charset val="129"/>
      <scheme val="minor"/>
    </font>
    <font>
      <b/>
      <sz val="30"/>
      <color rgb="FFFF0000"/>
      <name val="맑은 고딕"/>
      <family val="3"/>
      <charset val="129"/>
      <scheme val="minor"/>
    </font>
    <font>
      <b/>
      <strike/>
      <sz val="28"/>
      <color theme="2" tint="-0.249977111117893"/>
      <name val="맑은 고딕"/>
      <family val="3"/>
      <charset val="129"/>
      <scheme val="minor"/>
    </font>
    <font>
      <b/>
      <strike/>
      <sz val="18"/>
      <color theme="2" tint="-0.249977111117893"/>
      <name val="맑은 고딕"/>
      <family val="3"/>
      <charset val="129"/>
      <scheme val="minor"/>
    </font>
    <font>
      <strike/>
      <sz val="18"/>
      <color theme="2" tint="-0.249977111117893"/>
      <name val="맑은 고딕"/>
      <family val="3"/>
      <charset val="129"/>
      <scheme val="minor"/>
    </font>
    <font>
      <strike/>
      <sz val="14"/>
      <color theme="2" tint="-0.249977111117893"/>
      <name val="맑은 고딕"/>
      <family val="3"/>
      <charset val="129"/>
      <scheme val="minor"/>
    </font>
    <font>
      <b/>
      <strike/>
      <sz val="23"/>
      <color theme="2" tint="-0.249977111117893"/>
      <name val="맑은 고딕"/>
      <family val="3"/>
      <charset val="129"/>
      <scheme val="minor"/>
    </font>
    <font>
      <strike/>
      <sz val="17"/>
      <color theme="2" tint="-0.249977111117893"/>
      <name val="맑은 고딕"/>
      <family val="3"/>
      <charset val="129"/>
      <scheme val="minor"/>
    </font>
    <font>
      <strike/>
      <sz val="15"/>
      <color theme="2" tint="-0.249977111117893"/>
      <name val="맑은 고딕"/>
      <family val="3"/>
      <charset val="129"/>
      <scheme val="minor"/>
    </font>
    <font>
      <b/>
      <sz val="20"/>
      <color rgb="FFFF0000"/>
      <name val="맑은 고딕"/>
      <family val="3"/>
      <charset val="129"/>
      <scheme val="minor"/>
    </font>
    <font>
      <b/>
      <sz val="23"/>
      <color rgb="FFFF0000"/>
      <name val="맑은 고딕"/>
      <family val="3"/>
      <charset val="129"/>
      <scheme val="minor"/>
    </font>
    <font>
      <b/>
      <sz val="17"/>
      <color theme="0" tint="-0.34998626667073579"/>
      <name val="맑은 고딕"/>
      <family val="3"/>
      <charset val="129"/>
      <scheme val="minor"/>
    </font>
    <font>
      <b/>
      <sz val="35"/>
      <color rgb="FFFF00FF"/>
      <name val="맑은 고딕"/>
      <family val="3"/>
      <charset val="129"/>
      <scheme val="minor"/>
    </font>
    <font>
      <b/>
      <sz val="33"/>
      <color rgb="FFFF0000"/>
      <name val="맑은 고딕"/>
      <family val="3"/>
      <charset val="129"/>
      <scheme val="minor"/>
    </font>
    <font>
      <b/>
      <sz val="45"/>
      <color rgb="FF0000FF"/>
      <name val="맑은 고딕"/>
      <family val="3"/>
      <charset val="129"/>
      <scheme val="minor"/>
    </font>
    <font>
      <b/>
      <sz val="28"/>
      <color rgb="FF248883"/>
      <name val="맑은 고딕"/>
      <family val="3"/>
      <charset val="129"/>
      <scheme val="minor"/>
    </font>
    <font>
      <b/>
      <strike/>
      <sz val="28"/>
      <color rgb="FFFF0000"/>
      <name val="맑은 고딕"/>
      <family val="3"/>
      <charset val="129"/>
      <scheme val="minor"/>
    </font>
    <font>
      <b/>
      <sz val="35"/>
      <color rgb="FFFF0000"/>
      <name val="맑은 고딕"/>
      <family val="3"/>
      <charset val="129"/>
      <scheme val="minor"/>
    </font>
    <font>
      <b/>
      <sz val="30"/>
      <color rgb="FF248883"/>
      <name val="맑은 고딕"/>
      <family val="3"/>
      <charset val="129"/>
      <scheme val="minor"/>
    </font>
    <font>
      <b/>
      <sz val="33"/>
      <color rgb="FFFF00FF"/>
      <name val="맑은 고딕"/>
      <family val="3"/>
      <charset val="129"/>
      <scheme val="minor"/>
    </font>
  </fonts>
  <fills count="22">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lightUp">
        <fgColor theme="0" tint="-0.14996795556505021"/>
        <bgColor indexed="65"/>
      </patternFill>
    </fill>
    <fill>
      <patternFill patternType="lightUp">
        <fgColor theme="0" tint="-0.14996795556505021"/>
        <bgColor rgb="FFFFFF00"/>
      </patternFill>
    </fill>
    <fill>
      <patternFill patternType="lightUp">
        <fgColor theme="0" tint="-0.14996795556505021"/>
        <bgColor theme="0" tint="-4.9989318521683403E-2"/>
      </patternFill>
    </fill>
    <fill>
      <patternFill patternType="lightUp">
        <fgColor theme="0" tint="-0.14996795556505021"/>
        <bgColor theme="9" tint="0.79998168889431442"/>
      </patternFill>
    </fill>
    <fill>
      <patternFill patternType="lightUp">
        <fgColor theme="0" tint="-0.14996795556505021"/>
        <bgColor theme="0"/>
      </patternFill>
    </fill>
    <fill>
      <patternFill patternType="lightUp">
        <fgColor theme="0" tint="-0.499984740745262"/>
        <bgColor theme="9" tint="0.79998168889431442"/>
      </patternFill>
    </fill>
    <fill>
      <patternFill patternType="lightUp">
        <fgColor theme="0" tint="-0.499984740745262"/>
        <bgColor rgb="FFFFFF00"/>
      </patternFill>
    </fill>
    <fill>
      <patternFill patternType="solid">
        <fgColor rgb="FFFF0000"/>
        <bgColor indexed="64"/>
      </patternFill>
    </fill>
    <fill>
      <patternFill patternType="solid">
        <fgColor rgb="FFFF00FF"/>
        <bgColor indexed="64"/>
      </patternFill>
    </fill>
    <fill>
      <patternFill patternType="solid">
        <fgColor rgb="FF92D050"/>
        <bgColor indexed="64"/>
      </patternFill>
    </fill>
  </fills>
  <borders count="112">
    <border>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double">
        <color theme="0" tint="-0.24994659260841701"/>
      </bottom>
      <diagonal/>
    </border>
    <border>
      <left style="medium">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thin">
        <color theme="0" tint="-0.24994659260841701"/>
      </right>
      <top style="medium">
        <color theme="0" tint="-0.24994659260841701"/>
      </top>
      <bottom style="double">
        <color theme="0" tint="-0.24994659260841701"/>
      </bottom>
      <diagonal/>
    </border>
    <border>
      <left style="thin">
        <color theme="0" tint="-0.24994659260841701"/>
      </left>
      <right style="medium">
        <color theme="0" tint="-0.24994659260841701"/>
      </right>
      <top style="medium">
        <color theme="0" tint="-0.24994659260841701"/>
      </top>
      <bottom style="double">
        <color theme="0" tint="-0.24994659260841701"/>
      </bottom>
      <diagonal/>
    </border>
    <border>
      <left style="medium">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medium">
        <color theme="0" tint="-0.24994659260841701"/>
      </right>
      <top/>
      <bottom style="thin">
        <color theme="0" tint="-0.24994659260841701"/>
      </bottom>
      <diagonal/>
    </border>
    <border>
      <left style="medium">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medium">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top style="thin">
        <color theme="0" tint="-0.24994659260841701"/>
      </top>
      <bottom style="medium">
        <color theme="0" tint="-0.24994659260841701"/>
      </bottom>
      <diagonal/>
    </border>
    <border>
      <left/>
      <right/>
      <top style="thin">
        <color theme="0" tint="-0.24994659260841701"/>
      </top>
      <bottom style="medium">
        <color theme="0" tint="-0.24994659260841701"/>
      </bottom>
      <diagonal/>
    </border>
    <border>
      <left/>
      <right style="medium">
        <color theme="0" tint="-0.24994659260841701"/>
      </right>
      <top style="thin">
        <color theme="0" tint="-0.24994659260841701"/>
      </top>
      <bottom style="medium">
        <color theme="0" tint="-0.24994659260841701"/>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hair">
        <color indexed="64"/>
      </left>
      <right style="medium">
        <color indexed="64"/>
      </right>
      <top style="medium">
        <color indexed="64"/>
      </top>
      <bottom style="hair">
        <color indexed="64"/>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indexed="64"/>
      </top>
      <bottom/>
      <diagonal/>
    </border>
    <border>
      <left/>
      <right style="thin">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diagonal/>
    </border>
    <border>
      <left style="medium">
        <color indexed="64"/>
      </left>
      <right style="thin">
        <color theme="1" tint="0.499984740745262"/>
      </right>
      <top style="medium">
        <color indexed="64"/>
      </top>
      <bottom style="thin">
        <color theme="0" tint="-0.24994659260841701"/>
      </bottom>
      <diagonal/>
    </border>
    <border>
      <left style="thin">
        <color theme="1" tint="0.499984740745262"/>
      </left>
      <right style="thin">
        <color theme="1" tint="0.499984740745262"/>
      </right>
      <top style="medium">
        <color indexed="64"/>
      </top>
      <bottom style="thin">
        <color theme="0" tint="-0.2499465926084170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theme="0" tint="-0.24994659260841701"/>
      </right>
      <top style="thin">
        <color indexed="64"/>
      </top>
      <bottom style="thin">
        <color theme="0" tint="-0.24994659260841701"/>
      </bottom>
      <diagonal/>
    </border>
    <border>
      <left style="thin">
        <color indexed="64"/>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medium">
        <color indexed="64"/>
      </left>
      <right/>
      <top style="thin">
        <color indexed="64"/>
      </top>
      <bottom style="medium">
        <color indexed="64"/>
      </bottom>
      <diagonal/>
    </border>
    <border>
      <left/>
      <right style="thin">
        <color theme="0" tint="-0.24994659260841701"/>
      </right>
      <top style="thin">
        <color indexed="64"/>
      </top>
      <bottom style="medium">
        <color indexed="64"/>
      </bottom>
      <diagonal/>
    </border>
    <border>
      <left style="thin">
        <color theme="0" tint="-0.24994659260841701"/>
      </left>
      <right style="thin">
        <color theme="0" tint="-0.24994659260841701"/>
      </right>
      <top style="thin">
        <color indexed="64"/>
      </top>
      <bottom style="medium">
        <color indexed="64"/>
      </bottom>
      <diagonal/>
    </border>
    <border>
      <left style="thin">
        <color theme="0" tint="-0.24994659260841701"/>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0" tint="-0.24994659260841701"/>
      </right>
      <top/>
      <bottom/>
      <diagonal/>
    </border>
    <border>
      <left style="medium">
        <color indexed="64"/>
      </left>
      <right style="thin">
        <color theme="1" tint="0.499984740745262"/>
      </right>
      <top style="thin">
        <color theme="0" tint="-0.24994659260841701"/>
      </top>
      <bottom style="medium">
        <color indexed="64"/>
      </bottom>
      <diagonal/>
    </border>
    <border>
      <left style="thin">
        <color theme="1" tint="0.499984740745262"/>
      </left>
      <right style="thin">
        <color theme="1" tint="0.499984740745262"/>
      </right>
      <top style="thin">
        <color theme="0" tint="-0.24994659260841701"/>
      </top>
      <bottom style="medium">
        <color indexed="64"/>
      </bottom>
      <diagonal/>
    </border>
    <border>
      <left style="thin">
        <color theme="1" tint="0.499984740745262"/>
      </left>
      <right style="thin">
        <color theme="0" tint="-0.24994659260841701"/>
      </right>
      <top style="thin">
        <color theme="0" tint="-0.24994659260841701"/>
      </top>
      <bottom style="medium">
        <color indexed="64"/>
      </bottom>
      <diagonal/>
    </border>
    <border>
      <left style="thin">
        <color theme="0" tint="-0.24994659260841701"/>
      </left>
      <right style="thin">
        <color theme="1" tint="0.499984740745262"/>
      </right>
      <top style="thin">
        <color theme="0" tint="-0.24994659260841701"/>
      </top>
      <bottom style="medium">
        <color indexed="64"/>
      </bottom>
      <diagonal/>
    </border>
    <border>
      <left style="thin">
        <color indexed="64"/>
      </left>
      <right style="medium">
        <color indexed="64"/>
      </right>
      <top/>
      <bottom style="medium">
        <color indexed="64"/>
      </bottom>
      <diagonal/>
    </border>
    <border>
      <left style="medium">
        <color indexed="64"/>
      </left>
      <right style="thin">
        <color theme="0" tint="-0.24994659260841701"/>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diagonal/>
    </border>
    <border>
      <left/>
      <right/>
      <top style="thin">
        <color theme="0" tint="-0.24994659260841701"/>
      </top>
      <bottom style="thin">
        <color theme="0" tint="-0.24994659260841701"/>
      </bottom>
      <diagonal/>
    </border>
    <border>
      <left style="thin">
        <color theme="0" tint="-0.24994659260841701"/>
      </left>
      <right/>
      <top/>
      <bottom style="thin">
        <color theme="0" tint="-0.24994659260841701"/>
      </bottom>
      <diagonal/>
    </border>
    <border>
      <left style="medium">
        <color indexed="64"/>
      </left>
      <right/>
      <top/>
      <bottom/>
      <diagonal/>
    </border>
    <border>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top/>
      <bottom/>
      <diagonal/>
    </border>
    <border>
      <left style="thin">
        <color theme="1" tint="0.499984740745262"/>
      </left>
      <right/>
      <top style="medium">
        <color indexed="64"/>
      </top>
      <bottom/>
      <diagonal/>
    </border>
    <border>
      <left style="thin">
        <color theme="1" tint="0.499984740745262"/>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thin">
        <color indexed="64"/>
      </right>
      <top style="thin">
        <color theme="0" tint="-0.499984740745262"/>
      </top>
      <bottom style="medium">
        <color indexed="64"/>
      </bottom>
      <diagonal/>
    </border>
    <border>
      <left style="thin">
        <color theme="0" tint="-0.24994659260841701"/>
      </left>
      <right style="thin">
        <color theme="0" tint="-0.24994659260841701"/>
      </right>
      <top/>
      <bottom style="medium">
        <color indexed="64"/>
      </bottom>
      <diagonal/>
    </border>
    <border>
      <left/>
      <right/>
      <top style="medium">
        <color indexed="64"/>
      </top>
      <bottom/>
      <diagonal/>
    </border>
    <border>
      <left/>
      <right/>
      <top style="thin">
        <color indexed="64"/>
      </top>
      <bottom style="medium">
        <color indexed="64"/>
      </bottom>
      <diagonal/>
    </border>
    <border>
      <left/>
      <right style="thin">
        <color indexed="64"/>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right style="thin">
        <color theme="0" tint="-0.24994659260841701"/>
      </right>
      <top style="medium">
        <color indexed="64"/>
      </top>
      <bottom/>
      <diagonal/>
    </border>
    <border>
      <left style="thin">
        <color theme="0" tint="-0.24994659260841701"/>
      </left>
      <right style="thin">
        <color theme="0" tint="-0.24994659260841701"/>
      </right>
      <top style="medium">
        <color indexed="64"/>
      </top>
      <bottom/>
      <diagonal/>
    </border>
    <border>
      <left style="thin">
        <color theme="0" tint="-0.24994659260841701"/>
      </left>
      <right style="thin">
        <color indexed="64"/>
      </right>
      <top style="medium">
        <color indexed="64"/>
      </top>
      <bottom/>
      <diagonal/>
    </border>
    <border>
      <left style="thin">
        <color theme="0" tint="-0.24994659260841701"/>
      </left>
      <right style="thin">
        <color indexed="64"/>
      </right>
      <top style="thin">
        <color indexed="64"/>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theme="0" tint="-0.24994659260841701"/>
      </left>
      <right style="thin">
        <color theme="0" tint="-0.24994659260841701"/>
      </right>
      <top/>
      <bottom style="thin">
        <color indexed="64"/>
      </bottom>
      <diagonal/>
    </border>
    <border>
      <left style="thin">
        <color theme="0" tint="-0.24994659260841701"/>
      </left>
      <right style="thin">
        <color indexed="64"/>
      </right>
      <top/>
      <bottom style="thin">
        <color indexed="64"/>
      </bottom>
      <diagonal/>
    </border>
    <border>
      <left style="thick">
        <color theme="0" tint="-0.499984740745262"/>
      </left>
      <right style="thick">
        <color theme="0" tint="-0.499984740745262"/>
      </right>
      <top style="thick">
        <color theme="0" tint="-0.499984740745262"/>
      </top>
      <bottom style="thick">
        <color theme="0" tint="-0.499984740745262"/>
      </bottom>
      <diagonal/>
    </border>
    <border>
      <left style="medium">
        <color indexed="64"/>
      </left>
      <right style="thin">
        <color theme="0" tint="-0.24994659260841701"/>
      </right>
      <top/>
      <bottom style="thin">
        <color theme="0" tint="-0.24994659260841701"/>
      </bottom>
      <diagonal/>
    </border>
    <border>
      <left/>
      <right style="thin">
        <color theme="0" tint="-0.24994659260841701"/>
      </right>
      <top/>
      <bottom style="thin">
        <color theme="0" tint="-0.24994659260841701"/>
      </bottom>
      <diagonal/>
    </border>
    <border>
      <left/>
      <right style="thin">
        <color theme="0" tint="-0.24994659260841701"/>
      </right>
      <top style="thick">
        <color theme="0" tint="-0.499984740745262"/>
      </top>
      <bottom style="thin">
        <color theme="0" tint="-0.24994659260841701"/>
      </bottom>
      <diagonal/>
    </border>
    <border>
      <left style="thin">
        <color theme="0" tint="-0.24994659260841701"/>
      </left>
      <right style="thin">
        <color theme="0" tint="-0.24994659260841701"/>
      </right>
      <top style="thick">
        <color theme="0" tint="-0.499984740745262"/>
      </top>
      <bottom style="thin">
        <color theme="0" tint="-0.24994659260841701"/>
      </bottom>
      <diagonal/>
    </border>
    <border>
      <left style="thin">
        <color theme="0" tint="-0.24994659260841701"/>
      </left>
      <right style="thick">
        <color theme="0" tint="-0.499984740745262"/>
      </right>
      <top style="thick">
        <color theme="0" tint="-0.499984740745262"/>
      </top>
      <bottom style="thin">
        <color theme="0" tint="-0.24994659260841701"/>
      </bottom>
      <diagonal/>
    </border>
    <border>
      <left style="thin">
        <color theme="0" tint="-0.24994659260841701"/>
      </left>
      <right style="thick">
        <color theme="0" tint="-0.499984740745262"/>
      </right>
      <top style="thin">
        <color theme="0" tint="-0.24994659260841701"/>
      </top>
      <bottom style="thin">
        <color theme="0" tint="-0.24994659260841701"/>
      </bottom>
      <diagonal/>
    </border>
    <border>
      <left/>
      <right style="thin">
        <color theme="0" tint="-0.24994659260841701"/>
      </right>
      <top style="thin">
        <color theme="0" tint="-0.24994659260841701"/>
      </top>
      <bottom style="thick">
        <color theme="0" tint="-0.499984740745262"/>
      </bottom>
      <diagonal/>
    </border>
    <border>
      <left style="thin">
        <color theme="0" tint="-0.24994659260841701"/>
      </left>
      <right style="thin">
        <color theme="0" tint="-0.24994659260841701"/>
      </right>
      <top style="thin">
        <color theme="0" tint="-0.24994659260841701"/>
      </top>
      <bottom style="thick">
        <color theme="0" tint="-0.499984740745262"/>
      </bottom>
      <diagonal/>
    </border>
    <border>
      <left style="thin">
        <color theme="0" tint="-0.24994659260841701"/>
      </left>
      <right style="thick">
        <color theme="0" tint="-0.499984740745262"/>
      </right>
      <top style="thin">
        <color theme="0" tint="-0.24994659260841701"/>
      </top>
      <bottom style="thick">
        <color theme="0" tint="-0.499984740745262"/>
      </bottom>
      <diagonal/>
    </border>
    <border>
      <left style="medium">
        <color indexed="64"/>
      </left>
      <right/>
      <top style="medium">
        <color indexed="64"/>
      </top>
      <bottom style="medium">
        <color indexed="64"/>
      </bottom>
      <diagonal/>
    </border>
    <border>
      <left/>
      <right style="thin">
        <color theme="0" tint="-0.24994659260841701"/>
      </right>
      <top style="medium">
        <color indexed="64"/>
      </top>
      <bottom style="medium">
        <color indexed="64"/>
      </bottom>
      <diagonal/>
    </border>
    <border>
      <left style="thin">
        <color theme="0" tint="-0.24994659260841701"/>
      </left>
      <right style="thin">
        <color theme="0" tint="-0.24994659260841701"/>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style="thin">
        <color theme="0" tint="-0.24994659260841701"/>
      </right>
      <top style="medium">
        <color auto="1"/>
      </top>
      <bottom/>
      <diagonal/>
    </border>
    <border>
      <left style="thin">
        <color theme="0" tint="-0.24994659260841701"/>
      </left>
      <right/>
      <top style="medium">
        <color auto="1"/>
      </top>
      <bottom/>
      <diagonal/>
    </border>
    <border>
      <left style="thin">
        <color theme="0" tint="-0.24994659260841701"/>
      </left>
      <right style="medium">
        <color auto="1"/>
      </right>
      <top style="thin">
        <color theme="0" tint="-0.24994659260841701"/>
      </top>
      <bottom style="thin">
        <color theme="0" tint="-0.24994659260841701"/>
      </bottom>
      <diagonal/>
    </border>
    <border>
      <left style="thin">
        <color theme="0" tint="-0.24994659260841701"/>
      </left>
      <right style="medium">
        <color auto="1"/>
      </right>
      <top style="thin">
        <color theme="0" tint="-0.24994659260841701"/>
      </top>
      <bottom/>
      <diagonal/>
    </border>
    <border>
      <left style="thin">
        <color theme="0" tint="-0.24994659260841701"/>
      </left>
      <right style="medium">
        <color auto="1"/>
      </right>
      <top/>
      <bottom style="thin">
        <color theme="0" tint="-0.24994659260841701"/>
      </bottom>
      <diagonal/>
    </border>
    <border>
      <left style="thick">
        <color theme="0" tint="-0.499984740745262"/>
      </left>
      <right style="thick">
        <color theme="0" tint="-0.499984740745262"/>
      </right>
      <top style="thick">
        <color theme="0" tint="-0.499984740745262"/>
      </top>
      <bottom style="thin">
        <color theme="0" tint="-0.24994659260841701"/>
      </bottom>
      <diagonal/>
    </border>
    <border>
      <left style="thick">
        <color theme="0" tint="-0.499984740745262"/>
      </left>
      <right style="thick">
        <color theme="0" tint="-0.499984740745262"/>
      </right>
      <top style="thin">
        <color theme="0" tint="-0.24994659260841701"/>
      </top>
      <bottom style="thick">
        <color theme="0" tint="-0.499984740745262"/>
      </bottom>
      <diagonal/>
    </border>
    <border>
      <left style="thick">
        <color theme="0" tint="-0.499984740745262"/>
      </left>
      <right style="thick">
        <color theme="0" tint="-0.499984740745262"/>
      </right>
      <top style="thin">
        <color theme="0" tint="-0.24994659260841701"/>
      </top>
      <bottom style="thin">
        <color theme="0" tint="-0.24994659260841701"/>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style="thick">
        <color theme="0" tint="-0.499984740745262"/>
      </top>
      <bottom style="thin">
        <color theme="0" tint="-0.24994659260841701"/>
      </bottom>
      <diagonal/>
    </border>
    <border>
      <left style="thick">
        <color theme="0" tint="-0.499984740745262"/>
      </left>
      <right/>
      <top style="thin">
        <color theme="0" tint="-0.24994659260841701"/>
      </top>
      <bottom style="thin">
        <color theme="0" tint="-0.24994659260841701"/>
      </bottom>
      <diagonal/>
    </border>
    <border>
      <left style="thick">
        <color theme="0" tint="-0.499984740745262"/>
      </left>
      <right/>
      <top/>
      <bottom style="thick">
        <color theme="0" tint="-0.499984740745262"/>
      </bottom>
      <diagonal/>
    </border>
    <border>
      <left style="medium">
        <color indexed="64"/>
      </left>
      <right style="thin">
        <color theme="0" tint="-0.24994659260841701"/>
      </right>
      <top style="thick">
        <color theme="0" tint="-0.499984740745262"/>
      </top>
      <bottom style="thin">
        <color theme="0" tint="-0.24994659260841701"/>
      </bottom>
      <diagonal/>
    </border>
    <border>
      <left style="medium">
        <color indexed="64"/>
      </left>
      <right style="thin">
        <color theme="0" tint="-0.24994659260841701"/>
      </right>
      <top style="thin">
        <color theme="0" tint="-0.24994659260841701"/>
      </top>
      <bottom style="thick">
        <color theme="0" tint="-0.499984740745262"/>
      </bottom>
      <diagonal/>
    </border>
    <border>
      <left style="thick">
        <color rgb="FFFF0000"/>
      </left>
      <right style="medium">
        <color indexed="64"/>
      </right>
      <top style="thick">
        <color rgb="FFFF0000"/>
      </top>
      <bottom style="thick">
        <color rgb="FFFF0000"/>
      </bottom>
      <diagonal/>
    </border>
    <border>
      <left style="thin">
        <color indexed="64"/>
      </left>
      <right style="medium">
        <color auto="1"/>
      </right>
      <top/>
      <bottom style="thin">
        <color theme="0" tint="-0.24994659260841701"/>
      </bottom>
      <diagonal/>
    </border>
    <border>
      <left/>
      <right/>
      <top/>
      <bottom style="thin">
        <color theme="0" tint="-0.24994659260841701"/>
      </bottom>
      <diagonal/>
    </border>
  </borders>
  <cellStyleXfs count="26">
    <xf numFmtId="0" fontId="0" fillId="0" borderId="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2" fillId="0" borderId="0"/>
    <xf numFmtId="177" fontId="8" fillId="0" borderId="0" applyFont="0" applyFill="0" applyBorder="0" applyAlignment="0" applyProtection="0">
      <alignment vertical="center"/>
    </xf>
    <xf numFmtId="178" fontId="13" fillId="0" borderId="0" applyFont="0" applyFill="0" applyBorder="0" applyAlignment="0" applyProtection="0"/>
    <xf numFmtId="0" fontId="14" fillId="0" borderId="0"/>
    <xf numFmtId="180" fontId="14" fillId="0" borderId="0" applyFont="0" applyFill="0" applyBorder="0" applyAlignment="0" applyProtection="0"/>
    <xf numFmtId="0" fontId="8" fillId="0" borderId="0">
      <alignment vertical="center"/>
    </xf>
    <xf numFmtId="9" fontId="13" fillId="0" borderId="0" applyFont="0" applyFill="0" applyBorder="0" applyAlignment="0" applyProtection="0"/>
    <xf numFmtId="0" fontId="12" fillId="0" borderId="0"/>
    <xf numFmtId="0" fontId="21" fillId="0" borderId="0"/>
    <xf numFmtId="176" fontId="21" fillId="0" borderId="0" applyFont="0" applyFill="0" applyBorder="0" applyAlignment="0" applyProtection="0"/>
    <xf numFmtId="177" fontId="21" fillId="0" borderId="0" applyFont="0" applyFill="0" applyBorder="0" applyAlignment="0" applyProtection="0">
      <alignment vertical="center"/>
    </xf>
    <xf numFmtId="0" fontId="7" fillId="0" borderId="0">
      <alignment vertical="center"/>
    </xf>
    <xf numFmtId="0" fontId="6" fillId="0" borderId="0">
      <alignment vertical="center"/>
    </xf>
    <xf numFmtId="177" fontId="6" fillId="0" borderId="0" applyFont="0" applyFill="0" applyBorder="0" applyAlignment="0" applyProtection="0">
      <alignment vertical="center"/>
    </xf>
    <xf numFmtId="0" fontId="5" fillId="0" borderId="0">
      <alignment vertical="center"/>
    </xf>
    <xf numFmtId="177" fontId="5" fillId="0" borderId="0" applyFont="0" applyFill="0" applyBorder="0" applyAlignment="0" applyProtection="0">
      <alignment vertical="center"/>
    </xf>
    <xf numFmtId="0" fontId="4" fillId="0" borderId="0">
      <alignment vertical="center"/>
    </xf>
    <xf numFmtId="177" fontId="3" fillId="0" borderId="0" applyFont="0" applyFill="0" applyBorder="0" applyAlignment="0" applyProtection="0">
      <alignment vertical="center"/>
    </xf>
    <xf numFmtId="41" fontId="10" fillId="0" borderId="0" applyFont="0" applyFill="0" applyBorder="0" applyAlignment="0" applyProtection="0">
      <alignment vertical="center"/>
    </xf>
    <xf numFmtId="0" fontId="2" fillId="0" borderId="0">
      <alignment vertical="center"/>
    </xf>
    <xf numFmtId="177" fontId="1" fillId="0" borderId="0" applyFont="0" applyFill="0" applyBorder="0" applyAlignment="0" applyProtection="0">
      <alignment vertical="center"/>
    </xf>
    <xf numFmtId="177" fontId="1" fillId="0" borderId="0" applyFont="0" applyFill="0" applyBorder="0" applyAlignment="0" applyProtection="0">
      <alignment vertical="center"/>
    </xf>
    <xf numFmtId="0" fontId="1" fillId="0" borderId="0">
      <alignment vertical="center"/>
    </xf>
  </cellStyleXfs>
  <cellXfs count="590">
    <xf numFmtId="0" fontId="0" fillId="0" borderId="0" xfId="0">
      <alignment vertical="center"/>
    </xf>
    <xf numFmtId="0" fontId="16" fillId="0" borderId="6" xfId="6" applyFont="1" applyBorder="1" applyAlignment="1">
      <alignment horizontal="right" vertical="center"/>
    </xf>
    <xf numFmtId="0" fontId="22" fillId="0" borderId="0" xfId="6" applyFont="1" applyAlignment="1">
      <alignment vertical="center"/>
    </xf>
    <xf numFmtId="0" fontId="23" fillId="0" borderId="0" xfId="3" applyFont="1"/>
    <xf numFmtId="0" fontId="24" fillId="0" borderId="4" xfId="6" applyFont="1" applyBorder="1" applyAlignment="1">
      <alignment horizontal="center" vertical="center"/>
    </xf>
    <xf numFmtId="0" fontId="16" fillId="0" borderId="5" xfId="6" applyFont="1" applyBorder="1" applyAlignment="1">
      <alignment horizontal="right" vertical="center"/>
    </xf>
    <xf numFmtId="0" fontId="16" fillId="4" borderId="24" xfId="6" applyFont="1" applyFill="1" applyBorder="1" applyAlignment="1">
      <alignment horizontal="center" vertical="center"/>
    </xf>
    <xf numFmtId="0" fontId="16" fillId="4" borderId="25" xfId="6" applyFont="1" applyFill="1" applyBorder="1" applyAlignment="1">
      <alignment vertical="center" shrinkToFit="1"/>
    </xf>
    <xf numFmtId="0" fontId="16" fillId="4" borderId="1" xfId="6" applyFont="1" applyFill="1" applyBorder="1" applyAlignment="1">
      <alignment horizontal="center" vertical="center"/>
    </xf>
    <xf numFmtId="0" fontId="16" fillId="4" borderId="26" xfId="6" applyFont="1" applyFill="1" applyBorder="1" applyAlignment="1">
      <alignment vertical="center" shrinkToFit="1"/>
    </xf>
    <xf numFmtId="0" fontId="25" fillId="0" borderId="0" xfId="6" applyFont="1" applyAlignment="1">
      <alignment vertical="center" shrinkToFit="1"/>
    </xf>
    <xf numFmtId="0" fontId="16" fillId="4" borderId="1" xfId="6" applyFont="1" applyFill="1" applyBorder="1" applyAlignment="1">
      <alignment horizontal="center" vertical="center" shrinkToFit="1"/>
    </xf>
    <xf numFmtId="0" fontId="16" fillId="0" borderId="1" xfId="6" applyFont="1" applyBorder="1" applyAlignment="1">
      <alignment horizontal="center" vertical="center"/>
    </xf>
    <xf numFmtId="0" fontId="16" fillId="0" borderId="26" xfId="6" applyFont="1" applyBorder="1" applyAlignment="1">
      <alignment vertical="center"/>
    </xf>
    <xf numFmtId="0" fontId="24" fillId="0" borderId="0" xfId="6" applyFont="1" applyAlignment="1">
      <alignment horizontal="center" vertical="center" shrinkToFit="1"/>
    </xf>
    <xf numFmtId="0" fontId="16" fillId="0" borderId="27" xfId="6" applyFont="1" applyBorder="1" applyAlignment="1">
      <alignment horizontal="center" vertical="center" shrinkToFit="1"/>
    </xf>
    <xf numFmtId="0" fontId="16" fillId="0" borderId="28" xfId="6" applyFont="1" applyBorder="1" applyAlignment="1">
      <alignment vertical="center" shrinkToFit="1"/>
    </xf>
    <xf numFmtId="0" fontId="25" fillId="0" borderId="6" xfId="6" applyFont="1" applyBorder="1" applyAlignment="1">
      <alignment vertical="center"/>
    </xf>
    <xf numFmtId="179" fontId="24" fillId="0" borderId="6" xfId="6" applyNumberFormat="1" applyFont="1" applyBorder="1" applyAlignment="1">
      <alignment vertical="center"/>
    </xf>
    <xf numFmtId="0" fontId="24" fillId="0" borderId="0" xfId="6" applyFont="1" applyAlignment="1">
      <alignment vertical="center" shrinkToFit="1"/>
    </xf>
    <xf numFmtId="0" fontId="16" fillId="0" borderId="7" xfId="6" applyFont="1" applyBorder="1" applyAlignment="1">
      <alignment horizontal="center" vertical="center"/>
    </xf>
    <xf numFmtId="0" fontId="16" fillId="0" borderId="8" xfId="6" applyFont="1" applyBorder="1" applyAlignment="1">
      <alignment horizontal="center" vertical="center"/>
    </xf>
    <xf numFmtId="0" fontId="16" fillId="0" borderId="9" xfId="6" applyFont="1" applyBorder="1" applyAlignment="1">
      <alignment horizontal="center" vertical="center"/>
    </xf>
    <xf numFmtId="0" fontId="26" fillId="0" borderId="10" xfId="6" applyFont="1" applyBorder="1" applyAlignment="1">
      <alignment horizontal="center" vertical="center"/>
    </xf>
    <xf numFmtId="0" fontId="16" fillId="0" borderId="11" xfId="6" applyFont="1" applyBorder="1" applyAlignment="1">
      <alignment vertical="center"/>
    </xf>
    <xf numFmtId="0" fontId="26" fillId="0" borderId="11" xfId="6" applyFont="1" applyBorder="1" applyAlignment="1">
      <alignment vertical="center"/>
    </xf>
    <xf numFmtId="1" fontId="26" fillId="0" borderId="11" xfId="6" applyNumberFormat="1" applyFont="1" applyBorder="1" applyAlignment="1">
      <alignment horizontal="center" vertical="center"/>
    </xf>
    <xf numFmtId="180" fontId="26" fillId="0" borderId="11" xfId="7" applyFont="1" applyBorder="1" applyAlignment="1">
      <alignment horizontal="right" vertical="center"/>
    </xf>
    <xf numFmtId="0" fontId="26" fillId="0" borderId="12" xfId="6" applyFont="1" applyBorder="1" applyAlignment="1">
      <alignment vertical="center"/>
    </xf>
    <xf numFmtId="0" fontId="26" fillId="0" borderId="13" xfId="6" applyFont="1" applyBorder="1" applyAlignment="1">
      <alignment horizontal="center" vertical="center"/>
    </xf>
    <xf numFmtId="0" fontId="26" fillId="0" borderId="14" xfId="6" applyFont="1" applyBorder="1" applyAlignment="1">
      <alignment horizontal="center" vertical="center"/>
    </xf>
    <xf numFmtId="0" fontId="26" fillId="0" borderId="14" xfId="3" applyFont="1" applyBorder="1" applyAlignment="1">
      <alignment horizontal="center" vertical="center"/>
    </xf>
    <xf numFmtId="1" fontId="26" fillId="0" borderId="14" xfId="6" applyNumberFormat="1" applyFont="1" applyBorder="1" applyAlignment="1">
      <alignment horizontal="center" vertical="center"/>
    </xf>
    <xf numFmtId="180" fontId="26" fillId="0" borderId="14" xfId="7" applyFont="1" applyBorder="1" applyAlignment="1">
      <alignment horizontal="right" vertical="center"/>
    </xf>
    <xf numFmtId="0" fontId="26" fillId="0" borderId="15" xfId="6" quotePrefix="1" applyFont="1" applyBorder="1" applyAlignment="1">
      <alignment vertical="center"/>
    </xf>
    <xf numFmtId="0" fontId="26" fillId="0" borderId="15" xfId="6" applyFont="1" applyBorder="1" applyAlignment="1">
      <alignment vertical="center"/>
    </xf>
    <xf numFmtId="0" fontId="16" fillId="7" borderId="14" xfId="6" applyFont="1" applyFill="1" applyBorder="1" applyAlignment="1">
      <alignment vertical="center"/>
    </xf>
    <xf numFmtId="1" fontId="16" fillId="7" borderId="14" xfId="6" applyNumberFormat="1" applyFont="1" applyFill="1" applyBorder="1" applyAlignment="1">
      <alignment horizontal="center" vertical="center"/>
    </xf>
    <xf numFmtId="180" fontId="16" fillId="7" borderId="14" xfId="7" applyFont="1" applyFill="1" applyBorder="1" applyAlignment="1">
      <alignment horizontal="right" vertical="center"/>
    </xf>
    <xf numFmtId="0" fontId="16" fillId="0" borderId="14" xfId="6" applyFont="1" applyBorder="1" applyAlignment="1">
      <alignment vertical="center"/>
    </xf>
    <xf numFmtId="0" fontId="26" fillId="0" borderId="14" xfId="6" applyFont="1" applyBorder="1" applyAlignment="1">
      <alignment vertical="center"/>
    </xf>
    <xf numFmtId="180" fontId="16" fillId="0" borderId="14" xfId="7" applyFont="1" applyFill="1" applyBorder="1" applyAlignment="1">
      <alignment horizontal="right" vertical="center"/>
    </xf>
    <xf numFmtId="178" fontId="26" fillId="0" borderId="14" xfId="5" applyFont="1" applyFill="1" applyBorder="1" applyAlignment="1">
      <alignment horizontal="right" vertical="center"/>
    </xf>
    <xf numFmtId="0" fontId="26" fillId="4" borderId="14" xfId="6" applyFont="1" applyFill="1" applyBorder="1" applyAlignment="1">
      <alignment vertical="center"/>
    </xf>
    <xf numFmtId="0" fontId="26" fillId="4" borderId="14" xfId="6" applyFont="1" applyFill="1" applyBorder="1" applyAlignment="1">
      <alignment horizontal="center" vertical="center"/>
    </xf>
    <xf numFmtId="178" fontId="26" fillId="4" borderId="14" xfId="5" applyFont="1" applyFill="1" applyBorder="1" applyAlignment="1">
      <alignment horizontal="right" vertical="center"/>
    </xf>
    <xf numFmtId="0" fontId="26" fillId="4" borderId="15" xfId="6" applyFont="1" applyFill="1" applyBorder="1" applyAlignment="1">
      <alignment vertical="center"/>
    </xf>
    <xf numFmtId="0" fontId="26" fillId="0" borderId="14" xfId="3" applyFont="1" applyBorder="1" applyAlignment="1">
      <alignment horizontal="left" vertical="center"/>
    </xf>
    <xf numFmtId="9" fontId="16" fillId="7" borderId="14" xfId="3" applyNumberFormat="1" applyFont="1" applyFill="1" applyBorder="1" applyAlignment="1">
      <alignment horizontal="right" vertical="center"/>
    </xf>
    <xf numFmtId="1" fontId="16" fillId="7" borderId="14" xfId="9" applyNumberFormat="1" applyFont="1" applyFill="1" applyBorder="1" applyAlignment="1">
      <alignment horizontal="center" vertical="center"/>
    </xf>
    <xf numFmtId="177" fontId="16" fillId="7" borderId="14" xfId="7" applyNumberFormat="1" applyFont="1" applyFill="1" applyBorder="1" applyAlignment="1">
      <alignment horizontal="right" vertical="center"/>
    </xf>
    <xf numFmtId="9" fontId="26" fillId="0" borderId="14" xfId="3" applyNumberFormat="1" applyFont="1" applyBorder="1" applyAlignment="1">
      <alignment horizontal="right" vertical="center"/>
    </xf>
    <xf numFmtId="1" fontId="26" fillId="0" borderId="14" xfId="9" applyNumberFormat="1" applyFont="1" applyFill="1" applyBorder="1" applyAlignment="1">
      <alignment horizontal="center" vertical="center"/>
    </xf>
    <xf numFmtId="177" fontId="16" fillId="0" borderId="14" xfId="7" applyNumberFormat="1" applyFont="1" applyFill="1" applyBorder="1" applyAlignment="1">
      <alignment horizontal="right" vertical="center"/>
    </xf>
    <xf numFmtId="0" fontId="26" fillId="0" borderId="14" xfId="3" applyFont="1" applyBorder="1" applyAlignment="1">
      <alignment vertical="center"/>
    </xf>
    <xf numFmtId="180" fontId="26" fillId="4" borderId="14" xfId="7" applyFont="1" applyFill="1" applyBorder="1" applyAlignment="1">
      <alignment horizontal="right" vertical="center"/>
    </xf>
    <xf numFmtId="0" fontId="16" fillId="0" borderId="16" xfId="6" applyFont="1" applyBorder="1" applyAlignment="1">
      <alignment horizontal="center" vertical="center" textRotation="255"/>
    </xf>
    <xf numFmtId="0" fontId="16" fillId="0" borderId="17" xfId="6" applyFont="1" applyBorder="1" applyAlignment="1">
      <alignment vertical="top"/>
    </xf>
    <xf numFmtId="0" fontId="26" fillId="0" borderId="18" xfId="6" applyFont="1" applyBorder="1" applyAlignment="1">
      <alignment vertical="center"/>
    </xf>
    <xf numFmtId="0" fontId="26" fillId="0" borderId="18" xfId="6" applyFont="1" applyBorder="1" applyAlignment="1">
      <alignment horizontal="right" vertical="center"/>
    </xf>
    <xf numFmtId="0" fontId="23" fillId="0" borderId="0" xfId="0" applyFont="1" applyAlignment="1">
      <alignment horizontal="center" vertical="center"/>
    </xf>
    <xf numFmtId="9" fontId="27" fillId="0" borderId="0" xfId="0" applyNumberFormat="1" applyFont="1" applyAlignment="1">
      <alignment horizontal="center" vertical="center"/>
    </xf>
    <xf numFmtId="181" fontId="27" fillId="2" borderId="0" xfId="2" applyNumberFormat="1" applyFont="1" applyFill="1" applyAlignment="1">
      <alignment horizontal="center" vertical="center"/>
    </xf>
    <xf numFmtId="0" fontId="27" fillId="3" borderId="21" xfId="0" applyFont="1" applyFill="1" applyBorder="1" applyAlignment="1">
      <alignment horizontal="center" vertical="center"/>
    </xf>
    <xf numFmtId="0" fontId="27" fillId="6" borderId="2" xfId="0" applyFont="1" applyFill="1" applyBorder="1" applyAlignment="1">
      <alignment horizontal="center" vertical="center"/>
    </xf>
    <xf numFmtId="178" fontId="27" fillId="3" borderId="2" xfId="5" applyFont="1" applyFill="1" applyBorder="1" applyAlignment="1">
      <alignment horizontal="center" vertical="center"/>
    </xf>
    <xf numFmtId="0" fontId="23" fillId="5" borderId="21" xfId="0" applyFont="1" applyFill="1" applyBorder="1" applyAlignment="1">
      <alignment horizontal="center" vertical="center"/>
    </xf>
    <xf numFmtId="177" fontId="23" fillId="5" borderId="2" xfId="1" applyFont="1" applyFill="1" applyBorder="1" applyAlignment="1">
      <alignment horizontal="center" vertical="center" wrapText="1"/>
    </xf>
    <xf numFmtId="177" fontId="23" fillId="0" borderId="2" xfId="1" applyFont="1" applyFill="1" applyBorder="1" applyAlignment="1">
      <alignment horizontal="center" vertical="center" wrapText="1"/>
    </xf>
    <xf numFmtId="0" fontId="28" fillId="0" borderId="22" xfId="0" applyFont="1" applyBorder="1" applyAlignment="1">
      <alignment horizontal="center" vertical="center"/>
    </xf>
    <xf numFmtId="0" fontId="23" fillId="5" borderId="2" xfId="0" applyFont="1" applyFill="1" applyBorder="1" applyAlignment="1">
      <alignment horizontal="center" vertical="center"/>
    </xf>
    <xf numFmtId="0" fontId="26" fillId="4" borderId="0" xfId="0" applyFont="1" applyFill="1" applyAlignment="1">
      <alignment horizontal="center" vertical="center"/>
    </xf>
    <xf numFmtId="182" fontId="23" fillId="0" borderId="2" xfId="1" applyNumberFormat="1" applyFont="1" applyFill="1" applyBorder="1" applyAlignment="1">
      <alignment horizontal="center" vertical="center"/>
    </xf>
    <xf numFmtId="183" fontId="23" fillId="4" borderId="2" xfId="0" applyNumberFormat="1" applyFont="1" applyFill="1" applyBorder="1" applyAlignment="1">
      <alignment horizontal="right" vertical="center" wrapText="1"/>
    </xf>
    <xf numFmtId="183" fontId="23" fillId="5" borderId="2" xfId="1" applyNumberFormat="1" applyFont="1" applyFill="1" applyBorder="1" applyAlignment="1">
      <alignment horizontal="right" vertical="center" wrapText="1"/>
    </xf>
    <xf numFmtId="0" fontId="23" fillId="0" borderId="0" xfId="0" applyFont="1" applyAlignment="1">
      <alignment vertical="center" wrapText="1"/>
    </xf>
    <xf numFmtId="0" fontId="27" fillId="3" borderId="2" xfId="3" applyFont="1" applyFill="1" applyBorder="1" applyAlignment="1">
      <alignment horizontal="center" vertical="center" wrapText="1"/>
    </xf>
    <xf numFmtId="0" fontId="26" fillId="4" borderId="0" xfId="0" applyFont="1" applyFill="1" applyAlignment="1">
      <alignment vertical="center" wrapText="1"/>
    </xf>
    <xf numFmtId="0" fontId="23" fillId="0" borderId="0" xfId="0" applyFont="1">
      <alignment vertical="center"/>
    </xf>
    <xf numFmtId="0" fontId="27" fillId="8" borderId="23" xfId="0" applyFont="1" applyFill="1" applyBorder="1">
      <alignment vertical="center"/>
    </xf>
    <xf numFmtId="0" fontId="27" fillId="8" borderId="20" xfId="0" applyFont="1" applyFill="1" applyBorder="1">
      <alignment vertical="center"/>
    </xf>
    <xf numFmtId="0" fontId="28" fillId="0" borderId="0" xfId="0" applyFont="1">
      <alignment vertical="center"/>
    </xf>
    <xf numFmtId="0" fontId="26" fillId="9" borderId="0" xfId="0" applyFont="1" applyFill="1">
      <alignment vertical="center"/>
    </xf>
    <xf numFmtId="0" fontId="26" fillId="4" borderId="0" xfId="0" applyFont="1" applyFill="1">
      <alignment vertical="center"/>
    </xf>
    <xf numFmtId="177" fontId="16" fillId="9" borderId="0" xfId="0" applyNumberFormat="1" applyFont="1" applyFill="1">
      <alignment vertical="center"/>
    </xf>
    <xf numFmtId="0" fontId="29" fillId="0" borderId="0" xfId="0" applyFont="1">
      <alignment vertical="center"/>
    </xf>
    <xf numFmtId="0" fontId="26" fillId="0" borderId="0" xfId="0" applyFont="1">
      <alignment vertical="center"/>
    </xf>
    <xf numFmtId="0" fontId="27" fillId="4" borderId="0" xfId="0" applyFont="1" applyFill="1">
      <alignment vertical="center"/>
    </xf>
    <xf numFmtId="0" fontId="31" fillId="0" borderId="0" xfId="22" applyFont="1">
      <alignment vertical="center"/>
    </xf>
    <xf numFmtId="0" fontId="32" fillId="0" borderId="0" xfId="22" quotePrefix="1" applyFont="1" applyAlignment="1">
      <alignment vertical="center" wrapText="1"/>
    </xf>
    <xf numFmtId="0" fontId="31" fillId="0" borderId="0" xfId="22" applyFont="1" applyAlignment="1">
      <alignment horizontal="center" vertical="center"/>
    </xf>
    <xf numFmtId="0" fontId="40" fillId="10" borderId="52" xfId="22" applyFont="1" applyFill="1" applyBorder="1" applyAlignment="1">
      <alignment horizontal="center" vertical="center"/>
    </xf>
    <xf numFmtId="0" fontId="40" fillId="10" borderId="53" xfId="22" applyFont="1" applyFill="1" applyBorder="1" applyAlignment="1">
      <alignment horizontal="center" vertical="center"/>
    </xf>
    <xf numFmtId="0" fontId="2" fillId="0" borderId="0" xfId="22">
      <alignment vertical="center"/>
    </xf>
    <xf numFmtId="0" fontId="35" fillId="0" borderId="33" xfId="22" applyFont="1" applyBorder="1" applyAlignment="1">
      <alignment horizontal="center" vertical="center"/>
    </xf>
    <xf numFmtId="0" fontId="36" fillId="0" borderId="30" xfId="22" applyFont="1" applyBorder="1" applyAlignment="1">
      <alignment horizontal="center" vertical="center" wrapText="1"/>
    </xf>
    <xf numFmtId="0" fontId="35" fillId="0" borderId="30" xfId="22" applyFont="1" applyBorder="1" applyAlignment="1">
      <alignment horizontal="center" vertical="center" wrapText="1"/>
    </xf>
    <xf numFmtId="0" fontId="35" fillId="0" borderId="30" xfId="22" applyFont="1" applyBorder="1" applyAlignment="1">
      <alignment horizontal="center" vertical="center"/>
    </xf>
    <xf numFmtId="0" fontId="35" fillId="0" borderId="34" xfId="22" applyFont="1" applyBorder="1" applyAlignment="1">
      <alignment horizontal="center" vertical="center"/>
    </xf>
    <xf numFmtId="184" fontId="38" fillId="0" borderId="14" xfId="22" applyNumberFormat="1" applyFont="1" applyBorder="1" applyAlignment="1">
      <alignment horizontal="center" vertical="center"/>
    </xf>
    <xf numFmtId="0" fontId="36" fillId="0" borderId="14" xfId="22" applyFont="1" applyBorder="1" applyAlignment="1">
      <alignment horizontal="center" vertical="center" wrapText="1"/>
    </xf>
    <xf numFmtId="0" fontId="35" fillId="0" borderId="14" xfId="22" applyFont="1" applyBorder="1" applyAlignment="1">
      <alignment horizontal="center" vertical="center" wrapText="1"/>
    </xf>
    <xf numFmtId="0" fontId="35" fillId="0" borderId="14" xfId="22" applyFont="1" applyBorder="1" applyAlignment="1">
      <alignment horizontal="center" vertical="center"/>
    </xf>
    <xf numFmtId="0" fontId="34" fillId="4" borderId="32" xfId="22" applyFont="1" applyFill="1" applyBorder="1" applyAlignment="1">
      <alignment horizontal="center" vertical="center" wrapText="1"/>
    </xf>
    <xf numFmtId="0" fontId="34" fillId="4" borderId="32" xfId="22" applyFont="1" applyFill="1" applyBorder="1" applyAlignment="1">
      <alignment horizontal="center" vertical="center"/>
    </xf>
    <xf numFmtId="0" fontId="35" fillId="0" borderId="56" xfId="22" applyFont="1" applyBorder="1" applyAlignment="1">
      <alignment horizontal="center" vertical="center"/>
    </xf>
    <xf numFmtId="0" fontId="36" fillId="0" borderId="57" xfId="22" applyFont="1" applyBorder="1" applyAlignment="1">
      <alignment horizontal="center" vertical="center" wrapText="1"/>
    </xf>
    <xf numFmtId="0" fontId="35" fillId="0" borderId="57" xfId="22" applyFont="1" applyBorder="1" applyAlignment="1">
      <alignment horizontal="center" vertical="center" wrapText="1"/>
    </xf>
    <xf numFmtId="0" fontId="35" fillId="0" borderId="57" xfId="22" applyFont="1" applyBorder="1" applyAlignment="1">
      <alignment horizontal="center" vertical="center"/>
    </xf>
    <xf numFmtId="0" fontId="34" fillId="4" borderId="58" xfId="22" applyFont="1" applyFill="1" applyBorder="1" applyAlignment="1">
      <alignment horizontal="center" vertical="center" wrapText="1"/>
    </xf>
    <xf numFmtId="0" fontId="34" fillId="4" borderId="59" xfId="22" applyFont="1" applyFill="1" applyBorder="1" applyAlignment="1">
      <alignment horizontal="center" vertical="center"/>
    </xf>
    <xf numFmtId="0" fontId="34" fillId="4" borderId="60" xfId="22" applyFont="1" applyFill="1" applyBorder="1" applyAlignment="1">
      <alignment horizontal="center" vertical="center"/>
    </xf>
    <xf numFmtId="0" fontId="44" fillId="12" borderId="34" xfId="22" applyFont="1" applyFill="1" applyBorder="1" applyAlignment="1">
      <alignment horizontal="center" vertical="center"/>
    </xf>
    <xf numFmtId="186" fontId="44" fillId="12" borderId="14" xfId="22" applyNumberFormat="1" applyFont="1" applyFill="1" applyBorder="1" applyAlignment="1">
      <alignment horizontal="center" vertical="center"/>
    </xf>
    <xf numFmtId="20" fontId="44" fillId="12" borderId="14" xfId="22" applyNumberFormat="1" applyFont="1" applyFill="1" applyBorder="1" applyAlignment="1">
      <alignment horizontal="center" vertical="center"/>
    </xf>
    <xf numFmtId="20" fontId="45" fillId="14" borderId="14" xfId="22" applyNumberFormat="1" applyFont="1" applyFill="1" applyBorder="1" applyAlignment="1">
      <alignment horizontal="center" vertical="center"/>
    </xf>
    <xf numFmtId="184" fontId="37" fillId="12" borderId="14" xfId="22" applyNumberFormat="1" applyFont="1" applyFill="1" applyBorder="1" applyAlignment="1">
      <alignment horizontal="center" vertical="center"/>
    </xf>
    <xf numFmtId="0" fontId="37" fillId="12" borderId="14" xfId="22" applyFont="1" applyFill="1" applyBorder="1" applyAlignment="1">
      <alignment horizontal="center" vertical="center"/>
    </xf>
    <xf numFmtId="0" fontId="44" fillId="12" borderId="14" xfId="22" applyFont="1" applyFill="1" applyBorder="1" applyAlignment="1">
      <alignment horizontal="center" vertical="center"/>
    </xf>
    <xf numFmtId="0" fontId="37" fillId="12" borderId="14" xfId="22" applyFont="1" applyFill="1" applyBorder="1" applyAlignment="1">
      <alignment vertical="center" wrapText="1"/>
    </xf>
    <xf numFmtId="184" fontId="38" fillId="0" borderId="63" xfId="22" applyNumberFormat="1" applyFont="1" applyBorder="1" applyAlignment="1">
      <alignment horizontal="center" vertical="center"/>
    </xf>
    <xf numFmtId="0" fontId="41" fillId="0" borderId="42" xfId="22" applyFont="1" applyBorder="1" applyAlignment="1">
      <alignment horizontal="center" vertical="center"/>
    </xf>
    <xf numFmtId="0" fontId="44" fillId="0" borderId="34" xfId="22" applyFont="1" applyBorder="1" applyAlignment="1">
      <alignment horizontal="center" vertical="center"/>
    </xf>
    <xf numFmtId="186" fontId="44" fillId="0" borderId="14" xfId="22" applyNumberFormat="1" applyFont="1" applyBorder="1" applyAlignment="1">
      <alignment horizontal="center" vertical="center"/>
    </xf>
    <xf numFmtId="20" fontId="44" fillId="0" borderId="14" xfId="22" applyNumberFormat="1" applyFont="1" applyBorder="1" applyAlignment="1">
      <alignment horizontal="center" vertical="center"/>
    </xf>
    <xf numFmtId="20" fontId="45" fillId="10" borderId="14" xfId="22" applyNumberFormat="1" applyFont="1" applyFill="1" applyBorder="1" applyAlignment="1">
      <alignment horizontal="center" vertical="center"/>
    </xf>
    <xf numFmtId="0" fontId="37" fillId="0" borderId="14" xfId="22" applyFont="1" applyBorder="1" applyAlignment="1">
      <alignment horizontal="center" vertical="center" wrapText="1"/>
    </xf>
    <xf numFmtId="0" fontId="44" fillId="0" borderId="14" xfId="22" applyFont="1" applyBorder="1" applyAlignment="1">
      <alignment horizontal="center" vertical="center" wrapText="1"/>
    </xf>
    <xf numFmtId="0" fontId="44" fillId="0" borderId="14" xfId="22" applyFont="1" applyBorder="1" applyAlignment="1">
      <alignment horizontal="center" vertical="center"/>
    </xf>
    <xf numFmtId="0" fontId="37" fillId="0" borderId="14" xfId="22" applyFont="1" applyBorder="1" applyAlignment="1">
      <alignment vertical="center" wrapText="1"/>
    </xf>
    <xf numFmtId="0" fontId="46" fillId="0" borderId="0" xfId="22" applyFont="1">
      <alignment vertical="center"/>
    </xf>
    <xf numFmtId="0" fontId="41" fillId="0" borderId="61" xfId="22" applyFont="1" applyBorder="1" applyAlignment="1">
      <alignment horizontal="center" vertical="center"/>
    </xf>
    <xf numFmtId="0" fontId="44" fillId="0" borderId="62" xfId="22" applyFont="1" applyBorder="1" applyAlignment="1">
      <alignment horizontal="center" vertical="center"/>
    </xf>
    <xf numFmtId="186" fontId="44" fillId="0" borderId="63" xfId="22" applyNumberFormat="1" applyFont="1" applyBorder="1" applyAlignment="1">
      <alignment horizontal="center" vertical="center"/>
    </xf>
    <xf numFmtId="20" fontId="44" fillId="0" borderId="63" xfId="22" applyNumberFormat="1" applyFont="1" applyBorder="1" applyAlignment="1">
      <alignment horizontal="center" vertical="center"/>
    </xf>
    <xf numFmtId="20" fontId="45" fillId="10" borderId="63" xfId="22" applyNumberFormat="1" applyFont="1" applyFill="1" applyBorder="1" applyAlignment="1">
      <alignment horizontal="center" vertical="center"/>
    </xf>
    <xf numFmtId="0" fontId="37" fillId="0" borderId="63" xfId="22" applyFont="1" applyBorder="1" applyAlignment="1">
      <alignment horizontal="center" vertical="center"/>
    </xf>
    <xf numFmtId="0" fontId="44" fillId="0" borderId="63" xfId="22" applyFont="1" applyBorder="1" applyAlignment="1">
      <alignment horizontal="center" vertical="center"/>
    </xf>
    <xf numFmtId="0" fontId="37" fillId="0" borderId="63" xfId="22" applyFont="1" applyBorder="1" applyAlignment="1">
      <alignment vertical="center" wrapText="1"/>
    </xf>
    <xf numFmtId="186" fontId="47" fillId="0" borderId="46" xfId="22" applyNumberFormat="1" applyFont="1" applyBorder="1" applyAlignment="1">
      <alignment horizontal="center" vertical="center"/>
    </xf>
    <xf numFmtId="20" fontId="47" fillId="0" borderId="46" xfId="22" applyNumberFormat="1" applyFont="1" applyBorder="1" applyAlignment="1">
      <alignment horizontal="center" vertical="center"/>
    </xf>
    <xf numFmtId="0" fontId="49" fillId="0" borderId="0" xfId="22" applyFont="1">
      <alignment vertical="center"/>
    </xf>
    <xf numFmtId="0" fontId="50" fillId="0" borderId="40" xfId="22" applyFont="1" applyBorder="1" applyAlignment="1">
      <alignment horizontal="center" vertical="center"/>
    </xf>
    <xf numFmtId="186" fontId="35" fillId="0" borderId="30" xfId="22" applyNumberFormat="1" applyFont="1" applyBorder="1" applyAlignment="1">
      <alignment horizontal="center" vertical="center"/>
    </xf>
    <xf numFmtId="20" fontId="35" fillId="0" borderId="14" xfId="22" applyNumberFormat="1" applyFont="1" applyBorder="1" applyAlignment="1">
      <alignment horizontal="center" vertical="center"/>
    </xf>
    <xf numFmtId="20" fontId="35" fillId="0" borderId="30" xfId="22" applyNumberFormat="1" applyFont="1" applyBorder="1" applyAlignment="1">
      <alignment horizontal="center" vertical="center"/>
    </xf>
    <xf numFmtId="20" fontId="51" fillId="10" borderId="30" xfId="22" applyNumberFormat="1" applyFont="1" applyFill="1" applyBorder="1" applyAlignment="1">
      <alignment horizontal="center" vertical="center"/>
    </xf>
    <xf numFmtId="184" fontId="36" fillId="0" borderId="30" xfId="22" applyNumberFormat="1" applyFont="1" applyBorder="1" applyAlignment="1">
      <alignment horizontal="center" vertical="center"/>
    </xf>
    <xf numFmtId="0" fontId="36" fillId="0" borderId="30" xfId="22" applyFont="1" applyBorder="1" applyAlignment="1">
      <alignment vertical="center" wrapText="1"/>
    </xf>
    <xf numFmtId="0" fontId="52" fillId="0" borderId="0" xfId="22" applyFont="1">
      <alignment vertical="center"/>
    </xf>
    <xf numFmtId="0" fontId="50" fillId="0" borderId="42" xfId="22" applyFont="1" applyBorder="1" applyAlignment="1">
      <alignment horizontal="center" vertical="center"/>
    </xf>
    <xf numFmtId="186" fontId="35" fillId="0" borderId="14" xfId="22" applyNumberFormat="1" applyFont="1" applyBorder="1" applyAlignment="1">
      <alignment horizontal="center" vertical="center"/>
    </xf>
    <xf numFmtId="20" fontId="51" fillId="10" borderId="14" xfId="22" applyNumberFormat="1" applyFont="1" applyFill="1" applyBorder="1" applyAlignment="1">
      <alignment horizontal="center" vertical="center"/>
    </xf>
    <xf numFmtId="184" fontId="36" fillId="0" borderId="14" xfId="22" applyNumberFormat="1" applyFont="1" applyBorder="1" applyAlignment="1">
      <alignment horizontal="center" vertical="center"/>
    </xf>
    <xf numFmtId="0" fontId="36" fillId="0" borderId="14" xfId="22" applyFont="1" applyBorder="1" applyAlignment="1">
      <alignment horizontal="left" vertical="center" wrapText="1"/>
    </xf>
    <xf numFmtId="0" fontId="50" fillId="4" borderId="32" xfId="22" applyFont="1" applyFill="1" applyBorder="1" applyAlignment="1">
      <alignment horizontal="center" vertical="center" wrapText="1"/>
    </xf>
    <xf numFmtId="0" fontId="36" fillId="0" borderId="14" xfId="22" applyFont="1" applyBorder="1" applyAlignment="1">
      <alignment vertical="center" wrapText="1"/>
    </xf>
    <xf numFmtId="0" fontId="50" fillId="0" borderId="55" xfId="22" applyFont="1" applyBorder="1" applyAlignment="1">
      <alignment horizontal="center" vertical="center"/>
    </xf>
    <xf numFmtId="186" fontId="35" fillId="0" borderId="57" xfId="22" applyNumberFormat="1" applyFont="1" applyBorder="1" applyAlignment="1">
      <alignment horizontal="center" vertical="center"/>
    </xf>
    <xf numFmtId="20" fontId="35" fillId="0" borderId="57" xfId="22" applyNumberFormat="1" applyFont="1" applyBorder="1" applyAlignment="1">
      <alignment horizontal="center" vertical="center"/>
    </xf>
    <xf numFmtId="20" fontId="51" fillId="10" borderId="57" xfId="22" applyNumberFormat="1" applyFont="1" applyFill="1" applyBorder="1" applyAlignment="1">
      <alignment horizontal="center" vertical="center"/>
    </xf>
    <xf numFmtId="184" fontId="36" fillId="0" borderId="57" xfId="22" applyNumberFormat="1" applyFont="1" applyBorder="1" applyAlignment="1">
      <alignment horizontal="center" vertical="center"/>
    </xf>
    <xf numFmtId="0" fontId="36" fillId="0" borderId="57" xfId="22" applyFont="1" applyBorder="1" applyAlignment="1">
      <alignment vertical="center" wrapText="1"/>
    </xf>
    <xf numFmtId="49" fontId="53" fillId="6" borderId="2" xfId="0" applyNumberFormat="1" applyFont="1" applyFill="1" applyBorder="1" applyAlignment="1">
      <alignment horizontal="center" vertical="center" wrapText="1"/>
    </xf>
    <xf numFmtId="0" fontId="54" fillId="6" borderId="2" xfId="0" applyFont="1" applyFill="1" applyBorder="1" applyAlignment="1">
      <alignment horizontal="center" vertical="center"/>
    </xf>
    <xf numFmtId="0" fontId="56" fillId="4" borderId="2" xfId="0" applyFont="1" applyFill="1" applyBorder="1" applyAlignment="1">
      <alignment horizontal="center" vertical="center"/>
    </xf>
    <xf numFmtId="49" fontId="56" fillId="4" borderId="2" xfId="0" applyNumberFormat="1" applyFont="1" applyFill="1" applyBorder="1" applyAlignment="1">
      <alignment horizontal="center" vertical="center"/>
    </xf>
    <xf numFmtId="177" fontId="56" fillId="4" borderId="2" xfId="1" applyFont="1" applyFill="1" applyBorder="1" applyAlignment="1">
      <alignment horizontal="center" vertical="center"/>
    </xf>
    <xf numFmtId="0" fontId="43" fillId="0" borderId="46" xfId="22" applyFont="1" applyBorder="1" applyAlignment="1">
      <alignment horizontal="center" vertical="center"/>
    </xf>
    <xf numFmtId="0" fontId="43" fillId="0" borderId="46" xfId="22" applyFont="1" applyBorder="1" applyAlignment="1">
      <alignment horizontal="center" vertical="center" wrapText="1"/>
    </xf>
    <xf numFmtId="0" fontId="43" fillId="0" borderId="46" xfId="22" applyFont="1" applyBorder="1" applyAlignment="1">
      <alignment vertical="center" wrapText="1"/>
    </xf>
    <xf numFmtId="0" fontId="24" fillId="0" borderId="0" xfId="6" applyFont="1" applyAlignment="1">
      <alignment vertical="center"/>
    </xf>
    <xf numFmtId="0" fontId="16" fillId="0" borderId="3" xfId="6" applyFont="1" applyBorder="1" applyAlignment="1">
      <alignment vertical="center"/>
    </xf>
    <xf numFmtId="0" fontId="27" fillId="0" borderId="0" xfId="0" applyFont="1" applyAlignment="1">
      <alignment horizontal="center" vertical="center"/>
    </xf>
    <xf numFmtId="0" fontId="27" fillId="3" borderId="2" xfId="0" applyFont="1" applyFill="1" applyBorder="1" applyAlignment="1">
      <alignment horizontal="center" vertical="center"/>
    </xf>
    <xf numFmtId="0" fontId="59" fillId="4" borderId="32" xfId="22" applyFont="1" applyFill="1" applyBorder="1" applyAlignment="1">
      <alignment horizontal="center" vertical="center" wrapText="1"/>
    </xf>
    <xf numFmtId="0" fontId="62" fillId="0" borderId="39" xfId="22" applyFont="1" applyBorder="1" applyAlignment="1">
      <alignment horizontal="center" vertical="center"/>
    </xf>
    <xf numFmtId="0" fontId="36" fillId="0" borderId="41" xfId="22" applyFont="1" applyBorder="1">
      <alignment vertical="center"/>
    </xf>
    <xf numFmtId="0" fontId="36" fillId="0" borderId="43" xfId="22" applyFont="1" applyBorder="1" applyAlignment="1">
      <alignment horizontal="center" vertical="center" wrapText="1"/>
    </xf>
    <xf numFmtId="184" fontId="36" fillId="0" borderId="43" xfId="22" applyNumberFormat="1" applyFont="1" applyBorder="1" applyAlignment="1">
      <alignment horizontal="center" vertical="center"/>
    </xf>
    <xf numFmtId="0" fontId="63" fillId="0" borderId="43" xfId="22" applyFont="1" applyBorder="1" applyAlignment="1">
      <alignment horizontal="center" vertical="center" wrapText="1"/>
    </xf>
    <xf numFmtId="0" fontId="37" fillId="0" borderId="39" xfId="22" applyFont="1" applyBorder="1" applyAlignment="1">
      <alignment horizontal="center" vertical="center" wrapText="1"/>
    </xf>
    <xf numFmtId="0" fontId="64" fillId="0" borderId="48" xfId="22" applyFont="1" applyBorder="1" applyAlignment="1">
      <alignment vertical="center" wrapText="1"/>
    </xf>
    <xf numFmtId="0" fontId="59" fillId="4" borderId="58" xfId="22" applyFont="1" applyFill="1" applyBorder="1" applyAlignment="1">
      <alignment horizontal="center" vertical="center" wrapText="1"/>
    </xf>
    <xf numFmtId="184" fontId="67" fillId="10" borderId="46" xfId="22" applyNumberFormat="1" applyFont="1" applyFill="1" applyBorder="1" applyAlignment="1">
      <alignment horizontal="center" vertical="center"/>
    </xf>
    <xf numFmtId="0" fontId="68" fillId="9" borderId="30" xfId="22" applyFont="1" applyFill="1" applyBorder="1" applyAlignment="1">
      <alignment horizontal="center" vertical="center"/>
    </xf>
    <xf numFmtId="0" fontId="68" fillId="9" borderId="14" xfId="22" applyFont="1" applyFill="1" applyBorder="1" applyAlignment="1">
      <alignment horizontal="center" vertical="center"/>
    </xf>
    <xf numFmtId="0" fontId="61" fillId="9" borderId="14" xfId="22" applyFont="1" applyFill="1" applyBorder="1" applyAlignment="1">
      <alignment horizontal="center" vertical="center"/>
    </xf>
    <xf numFmtId="0" fontId="61" fillId="9" borderId="57" xfId="22" applyFont="1" applyFill="1" applyBorder="1" applyAlignment="1">
      <alignment horizontal="center" vertical="center"/>
    </xf>
    <xf numFmtId="0" fontId="66" fillId="13" borderId="14" xfId="22" applyFont="1" applyFill="1" applyBorder="1" applyAlignment="1">
      <alignment horizontal="center" vertical="center"/>
    </xf>
    <xf numFmtId="0" fontId="69" fillId="10" borderId="14" xfId="22" applyFont="1" applyFill="1" applyBorder="1" applyAlignment="1">
      <alignment horizontal="centerContinuous" vertical="center"/>
    </xf>
    <xf numFmtId="0" fontId="60" fillId="9" borderId="14" xfId="22" applyFont="1" applyFill="1" applyBorder="1" applyAlignment="1">
      <alignment horizontal="center" vertical="center"/>
    </xf>
    <xf numFmtId="0" fontId="60" fillId="9" borderId="63" xfId="22" applyFont="1" applyFill="1" applyBorder="1" applyAlignment="1">
      <alignment horizontal="center" vertical="center"/>
    </xf>
    <xf numFmtId="0" fontId="70" fillId="0" borderId="35" xfId="22" applyFont="1" applyBorder="1" applyAlignment="1">
      <alignment horizontal="center" vertical="center"/>
    </xf>
    <xf numFmtId="0" fontId="70" fillId="0" borderId="35" xfId="22" applyFont="1" applyBorder="1" applyAlignment="1">
      <alignment horizontal="center" vertical="center" wrapText="1"/>
    </xf>
    <xf numFmtId="14" fontId="70" fillId="0" borderId="35" xfId="22" quotePrefix="1" applyNumberFormat="1" applyFont="1" applyBorder="1" applyAlignment="1">
      <alignment horizontal="center" vertical="center"/>
    </xf>
    <xf numFmtId="0" fontId="70" fillId="0" borderId="35" xfId="22" quotePrefix="1" applyFont="1" applyBorder="1" applyAlignment="1">
      <alignment vertical="center" wrapText="1"/>
    </xf>
    <xf numFmtId="0" fontId="71" fillId="0" borderId="0" xfId="22" applyFont="1" applyAlignment="1">
      <alignment horizontal="center" vertical="center"/>
    </xf>
    <xf numFmtId="0" fontId="73" fillId="9" borderId="14" xfId="22" applyFont="1" applyFill="1" applyBorder="1" applyAlignment="1">
      <alignment horizontal="center" vertical="center"/>
    </xf>
    <xf numFmtId="20" fontId="37" fillId="10" borderId="14" xfId="22" applyNumberFormat="1" applyFont="1" applyFill="1" applyBorder="1" applyAlignment="1">
      <alignment horizontal="center" vertical="center"/>
    </xf>
    <xf numFmtId="0" fontId="48" fillId="4" borderId="32" xfId="22" applyFont="1" applyFill="1" applyBorder="1" applyAlignment="1">
      <alignment horizontal="center" vertical="center" wrapText="1"/>
    </xf>
    <xf numFmtId="0" fontId="37" fillId="0" borderId="32" xfId="22" applyFont="1" applyBorder="1" applyAlignment="1">
      <alignment vertical="center" wrapText="1"/>
    </xf>
    <xf numFmtId="0" fontId="73" fillId="9" borderId="63" xfId="22" applyFont="1" applyFill="1" applyBorder="1" applyAlignment="1">
      <alignment horizontal="center" vertical="center"/>
    </xf>
    <xf numFmtId="20" fontId="37" fillId="10" borderId="63" xfId="22" applyNumberFormat="1" applyFont="1" applyFill="1" applyBorder="1" applyAlignment="1">
      <alignment horizontal="center" vertical="center"/>
    </xf>
    <xf numFmtId="0" fontId="37" fillId="0" borderId="64" xfId="22" applyFont="1" applyBorder="1" applyAlignment="1">
      <alignment vertical="center" wrapText="1"/>
    </xf>
    <xf numFmtId="177" fontId="27" fillId="3" borderId="2" xfId="23" applyFont="1" applyFill="1" applyBorder="1" applyAlignment="1">
      <alignment horizontal="center" vertical="center"/>
    </xf>
    <xf numFmtId="0" fontId="56" fillId="6" borderId="2" xfId="0" applyFont="1" applyFill="1" applyBorder="1" applyAlignment="1">
      <alignment horizontal="center" vertical="center"/>
    </xf>
    <xf numFmtId="0" fontId="26" fillId="0" borderId="14" xfId="25" applyFont="1" applyBorder="1" applyAlignment="1">
      <alignment horizontal="center" vertical="center"/>
    </xf>
    <xf numFmtId="0" fontId="26" fillId="4" borderId="14" xfId="25" applyFont="1" applyFill="1" applyBorder="1" applyAlignment="1">
      <alignment horizontal="center" vertical="center"/>
    </xf>
    <xf numFmtId="0" fontId="74" fillId="10" borderId="34" xfId="22" applyFont="1" applyFill="1" applyBorder="1" applyAlignment="1">
      <alignment horizontal="centerContinuous" vertical="center"/>
    </xf>
    <xf numFmtId="0" fontId="65" fillId="10" borderId="14" xfId="22" applyFont="1" applyFill="1" applyBorder="1" applyAlignment="1">
      <alignment horizontal="centerContinuous" vertical="center"/>
    </xf>
    <xf numFmtId="186" fontId="74" fillId="10" borderId="14" xfId="22" applyNumberFormat="1" applyFont="1" applyFill="1" applyBorder="1" applyAlignment="1">
      <alignment horizontal="center" vertical="center"/>
    </xf>
    <xf numFmtId="20" fontId="74" fillId="10" borderId="14" xfId="22" applyNumberFormat="1" applyFont="1" applyFill="1" applyBorder="1" applyAlignment="1">
      <alignment horizontal="center" vertical="center"/>
    </xf>
    <xf numFmtId="20" fontId="76" fillId="10" borderId="14" xfId="22" applyNumberFormat="1" applyFont="1" applyFill="1" applyBorder="1" applyAlignment="1">
      <alignment horizontal="center" vertical="center"/>
    </xf>
    <xf numFmtId="184" fontId="72" fillId="10" borderId="57" xfId="22" applyNumberFormat="1" applyFont="1" applyFill="1" applyBorder="1" applyAlignment="1">
      <alignment horizontal="center" vertical="center"/>
    </xf>
    <xf numFmtId="0" fontId="72" fillId="10" borderId="14" xfId="22" applyFont="1" applyFill="1" applyBorder="1" applyAlignment="1">
      <alignment horizontal="center" vertical="center" wrapText="1"/>
    </xf>
    <xf numFmtId="0" fontId="74" fillId="10" borderId="14" xfId="22" applyFont="1" applyFill="1" applyBorder="1" applyAlignment="1">
      <alignment horizontal="center" vertical="center" wrapText="1"/>
    </xf>
    <xf numFmtId="0" fontId="74" fillId="10" borderId="14" xfId="22" applyFont="1" applyFill="1" applyBorder="1" applyAlignment="1">
      <alignment horizontal="center" vertical="center"/>
    </xf>
    <xf numFmtId="0" fontId="72" fillId="10" borderId="14" xfId="22" applyFont="1" applyFill="1" applyBorder="1" applyAlignment="1">
      <alignment vertical="center" wrapText="1"/>
    </xf>
    <xf numFmtId="0" fontId="42" fillId="10" borderId="32" xfId="22" applyFont="1" applyFill="1" applyBorder="1" applyAlignment="1">
      <alignment horizontal="center" vertical="center" wrapText="1"/>
    </xf>
    <xf numFmtId="0" fontId="62" fillId="10" borderId="32" xfId="22" applyFont="1" applyFill="1" applyBorder="1" applyAlignment="1">
      <alignment horizontal="center" vertical="center" wrapText="1"/>
    </xf>
    <xf numFmtId="0" fontId="30" fillId="0" borderId="74" xfId="22" applyFont="1" applyBorder="1" applyAlignment="1">
      <alignment horizontal="center" vertical="center"/>
    </xf>
    <xf numFmtId="0" fontId="30" fillId="0" borderId="75" xfId="22" applyFont="1" applyBorder="1" applyAlignment="1">
      <alignment horizontal="center" vertical="center"/>
    </xf>
    <xf numFmtId="0" fontId="30" fillId="0" borderId="76" xfId="22" applyFont="1" applyBorder="1" applyAlignment="1">
      <alignment horizontal="center" vertical="center"/>
    </xf>
    <xf numFmtId="0" fontId="50" fillId="4" borderId="14" xfId="22" applyFont="1" applyFill="1" applyBorder="1" applyAlignment="1">
      <alignment horizontal="center" vertical="center" wrapText="1"/>
    </xf>
    <xf numFmtId="0" fontId="50" fillId="4" borderId="78" xfId="22" applyFont="1" applyFill="1" applyBorder="1" applyAlignment="1">
      <alignment horizontal="center" vertical="center" wrapText="1"/>
    </xf>
    <xf numFmtId="0" fontId="34" fillId="4" borderId="14" xfId="22" applyFont="1" applyFill="1" applyBorder="1" applyAlignment="1">
      <alignment horizontal="center" vertical="center" wrapText="1"/>
    </xf>
    <xf numFmtId="0" fontId="34" fillId="4" borderId="78" xfId="22" applyFont="1" applyFill="1" applyBorder="1" applyAlignment="1">
      <alignment horizontal="center" vertical="center" wrapText="1"/>
    </xf>
    <xf numFmtId="0" fontId="34" fillId="4" borderId="14" xfId="22" applyFont="1" applyFill="1" applyBorder="1" applyAlignment="1">
      <alignment horizontal="center" vertical="center"/>
    </xf>
    <xf numFmtId="0" fontId="34" fillId="4" borderId="78" xfId="22" applyFont="1" applyFill="1" applyBorder="1" applyAlignment="1">
      <alignment horizontal="center" vertical="center"/>
    </xf>
    <xf numFmtId="0" fontId="62" fillId="10" borderId="14" xfId="22" applyFont="1" applyFill="1" applyBorder="1" applyAlignment="1">
      <alignment horizontal="center" vertical="center" wrapText="1"/>
    </xf>
    <xf numFmtId="0" fontId="62" fillId="10" borderId="78" xfId="22" applyFont="1" applyFill="1" applyBorder="1" applyAlignment="1">
      <alignment horizontal="center" vertical="center" wrapText="1"/>
    </xf>
    <xf numFmtId="0" fontId="60" fillId="4" borderId="78" xfId="22" applyFont="1" applyFill="1" applyBorder="1" applyAlignment="1">
      <alignment horizontal="center" vertical="center" wrapText="1"/>
    </xf>
    <xf numFmtId="0" fontId="59" fillId="4" borderId="78" xfId="22" applyFont="1" applyFill="1" applyBorder="1" applyAlignment="1">
      <alignment horizontal="center" vertical="center" wrapText="1"/>
    </xf>
    <xf numFmtId="0" fontId="78" fillId="0" borderId="0" xfId="22" applyFont="1">
      <alignment vertical="center"/>
    </xf>
    <xf numFmtId="0" fontId="78" fillId="0" borderId="0" xfId="22" quotePrefix="1" applyFont="1">
      <alignment vertical="center"/>
    </xf>
    <xf numFmtId="0" fontId="65" fillId="0" borderId="47" xfId="22" applyFont="1" applyBorder="1" applyAlignment="1">
      <alignment horizontal="center" vertical="center" wrapText="1"/>
    </xf>
    <xf numFmtId="0" fontId="50" fillId="0" borderId="82" xfId="22" applyFont="1" applyBorder="1" applyAlignment="1">
      <alignment horizontal="center" vertical="center"/>
    </xf>
    <xf numFmtId="0" fontId="35" fillId="0" borderId="83" xfId="22" applyFont="1" applyBorder="1" applyAlignment="1">
      <alignment horizontal="center" vertical="center"/>
    </xf>
    <xf numFmtId="0" fontId="61" fillId="9" borderId="11" xfId="22" applyFont="1" applyFill="1" applyBorder="1" applyAlignment="1">
      <alignment horizontal="center" vertical="center"/>
    </xf>
    <xf numFmtId="186" fontId="35" fillId="0" borderId="11" xfId="22" applyNumberFormat="1" applyFont="1" applyBorder="1" applyAlignment="1">
      <alignment horizontal="center" vertical="center"/>
    </xf>
    <xf numFmtId="20" fontId="35" fillId="0" borderId="11" xfId="22" applyNumberFormat="1" applyFont="1" applyBorder="1" applyAlignment="1">
      <alignment horizontal="center" vertical="center"/>
    </xf>
    <xf numFmtId="20" fontId="51" fillId="10" borderId="11" xfId="22" applyNumberFormat="1" applyFont="1" applyFill="1" applyBorder="1" applyAlignment="1">
      <alignment horizontal="center" vertical="center"/>
    </xf>
    <xf numFmtId="184" fontId="36" fillId="0" borderId="11" xfId="22" applyNumberFormat="1" applyFont="1" applyBorder="1" applyAlignment="1">
      <alignment horizontal="center" vertical="center"/>
    </xf>
    <xf numFmtId="0" fontId="36" fillId="0" borderId="11" xfId="22" applyFont="1" applyBorder="1" applyAlignment="1">
      <alignment horizontal="center" vertical="center" wrapText="1"/>
    </xf>
    <xf numFmtId="0" fontId="35" fillId="0" borderId="11" xfId="22" applyFont="1" applyBorder="1" applyAlignment="1">
      <alignment horizontal="center" vertical="center" wrapText="1"/>
    </xf>
    <xf numFmtId="0" fontId="35" fillId="0" borderId="11" xfId="22" applyFont="1" applyBorder="1" applyAlignment="1">
      <alignment horizontal="center" vertical="center"/>
    </xf>
    <xf numFmtId="0" fontId="36" fillId="0" borderId="11" xfId="22" applyFont="1" applyBorder="1" applyAlignment="1">
      <alignment vertical="center" wrapText="1"/>
    </xf>
    <xf numFmtId="0" fontId="44" fillId="12" borderId="84" xfId="22" applyFont="1" applyFill="1" applyBorder="1" applyAlignment="1">
      <alignment horizontal="center" vertical="center"/>
    </xf>
    <xf numFmtId="0" fontId="60" fillId="13" borderId="85" xfId="22" applyFont="1" applyFill="1" applyBorder="1" applyAlignment="1">
      <alignment horizontal="center" vertical="center"/>
    </xf>
    <xf numFmtId="186" fontId="44" fillId="12" borderId="85" xfId="22" applyNumberFormat="1" applyFont="1" applyFill="1" applyBorder="1" applyAlignment="1">
      <alignment horizontal="center" vertical="center"/>
    </xf>
    <xf numFmtId="20" fontId="44" fillId="12" borderId="85" xfId="22" applyNumberFormat="1" applyFont="1" applyFill="1" applyBorder="1" applyAlignment="1">
      <alignment horizontal="center" vertical="center"/>
    </xf>
    <xf numFmtId="20" fontId="45" fillId="14" borderId="85" xfId="22" applyNumberFormat="1" applyFont="1" applyFill="1" applyBorder="1" applyAlignment="1">
      <alignment horizontal="center" vertical="center"/>
    </xf>
    <xf numFmtId="184" fontId="37" fillId="12" borderId="85" xfId="22" applyNumberFormat="1" applyFont="1" applyFill="1" applyBorder="1" applyAlignment="1">
      <alignment horizontal="center" vertical="center"/>
    </xf>
    <xf numFmtId="0" fontId="37" fillId="12" borderId="85" xfId="22" applyFont="1" applyFill="1" applyBorder="1" applyAlignment="1">
      <alignment horizontal="center" vertical="center" wrapText="1"/>
    </xf>
    <xf numFmtId="0" fontId="44" fillId="12" borderId="85" xfId="22" applyFont="1" applyFill="1" applyBorder="1" applyAlignment="1">
      <alignment horizontal="center" vertical="center" wrapText="1"/>
    </xf>
    <xf numFmtId="0" fontId="44" fillId="12" borderId="85" xfId="22" applyFont="1" applyFill="1" applyBorder="1" applyAlignment="1">
      <alignment horizontal="center" vertical="center"/>
    </xf>
    <xf numFmtId="0" fontId="37" fillId="12" borderId="85" xfId="22" applyFont="1" applyFill="1" applyBorder="1" applyAlignment="1">
      <alignment vertical="center" wrapText="1"/>
    </xf>
    <xf numFmtId="0" fontId="44" fillId="12" borderId="88" xfId="22" applyFont="1" applyFill="1" applyBorder="1" applyAlignment="1">
      <alignment horizontal="center" vertical="center"/>
    </xf>
    <xf numFmtId="0" fontId="60" fillId="13" borderId="89" xfId="22" applyFont="1" applyFill="1" applyBorder="1" applyAlignment="1">
      <alignment horizontal="center" vertical="center"/>
    </xf>
    <xf numFmtId="186" fontId="44" fillId="12" borderId="89" xfId="22" applyNumberFormat="1" applyFont="1" applyFill="1" applyBorder="1" applyAlignment="1">
      <alignment horizontal="center" vertical="center"/>
    </xf>
    <xf numFmtId="20" fontId="44" fillId="12" borderId="89" xfId="22" applyNumberFormat="1" applyFont="1" applyFill="1" applyBorder="1" applyAlignment="1">
      <alignment horizontal="center" vertical="center"/>
    </xf>
    <xf numFmtId="20" fontId="45" fillId="14" borderId="89" xfId="22" applyNumberFormat="1" applyFont="1" applyFill="1" applyBorder="1" applyAlignment="1">
      <alignment horizontal="center" vertical="center"/>
    </xf>
    <xf numFmtId="184" fontId="37" fillId="12" borderId="89" xfId="22" applyNumberFormat="1" applyFont="1" applyFill="1" applyBorder="1" applyAlignment="1">
      <alignment horizontal="center" vertical="center"/>
    </xf>
    <xf numFmtId="0" fontId="37" fillId="12" borderId="89" xfId="22" applyFont="1" applyFill="1" applyBorder="1" applyAlignment="1">
      <alignment horizontal="center" vertical="center"/>
    </xf>
    <xf numFmtId="0" fontId="44" fillId="12" borderId="89" xfId="22" applyFont="1" applyFill="1" applyBorder="1" applyAlignment="1">
      <alignment horizontal="center" vertical="center"/>
    </xf>
    <xf numFmtId="0" fontId="37" fillId="12" borderId="89" xfId="22" applyFont="1" applyFill="1" applyBorder="1" applyAlignment="1">
      <alignment vertical="center" wrapText="1"/>
    </xf>
    <xf numFmtId="0" fontId="79" fillId="19" borderId="0" xfId="22" quotePrefix="1" applyFont="1" applyFill="1" applyAlignment="1">
      <alignment vertical="center" wrapText="1"/>
    </xf>
    <xf numFmtId="0" fontId="80" fillId="0" borderId="35" xfId="22" quotePrefix="1" applyFont="1" applyBorder="1">
      <alignment vertical="center"/>
    </xf>
    <xf numFmtId="0" fontId="81" fillId="10" borderId="34" xfId="22" applyFont="1" applyFill="1" applyBorder="1" applyAlignment="1">
      <alignment horizontal="centerContinuous" vertical="center"/>
    </xf>
    <xf numFmtId="186" fontId="81" fillId="10" borderId="14" xfId="22" applyNumberFormat="1" applyFont="1" applyFill="1" applyBorder="1" applyAlignment="1">
      <alignment horizontal="center" vertical="center"/>
    </xf>
    <xf numFmtId="20" fontId="81" fillId="10" borderId="14" xfId="22" applyNumberFormat="1" applyFont="1" applyFill="1" applyBorder="1" applyAlignment="1">
      <alignment horizontal="center" vertical="center"/>
    </xf>
    <xf numFmtId="184" fontId="81" fillId="10" borderId="57" xfId="22" applyNumberFormat="1" applyFont="1" applyFill="1" applyBorder="1" applyAlignment="1">
      <alignment horizontal="center" vertical="center"/>
    </xf>
    <xf numFmtId="0" fontId="81" fillId="10" borderId="14" xfId="22" applyFont="1" applyFill="1" applyBorder="1" applyAlignment="1">
      <alignment horizontal="center" vertical="center" wrapText="1"/>
    </xf>
    <xf numFmtId="0" fontId="81" fillId="10" borderId="14" xfId="22" applyFont="1" applyFill="1" applyBorder="1" applyAlignment="1">
      <alignment horizontal="center" vertical="center"/>
    </xf>
    <xf numFmtId="0" fontId="81" fillId="10" borderId="14" xfId="22" applyFont="1" applyFill="1" applyBorder="1" applyAlignment="1">
      <alignment vertical="center" wrapText="1"/>
    </xf>
    <xf numFmtId="0" fontId="69" fillId="10" borderId="32" xfId="22" applyFont="1" applyFill="1" applyBorder="1" applyAlignment="1">
      <alignment horizontal="center" vertical="center" wrapText="1"/>
    </xf>
    <xf numFmtId="0" fontId="82" fillId="10" borderId="32" xfId="22" applyFont="1" applyFill="1" applyBorder="1" applyAlignment="1">
      <alignment horizontal="center" vertical="center" wrapText="1"/>
    </xf>
    <xf numFmtId="0" fontId="83" fillId="10" borderId="43" xfId="22" applyFont="1" applyFill="1" applyBorder="1" applyAlignment="1">
      <alignment horizontal="center" vertical="center" wrapText="1"/>
    </xf>
    <xf numFmtId="0" fontId="84" fillId="0" borderId="0" xfId="22" applyFont="1">
      <alignment vertical="center"/>
    </xf>
    <xf numFmtId="0" fontId="85" fillId="0" borderId="0" xfId="0" applyFont="1">
      <alignment vertical="center"/>
    </xf>
    <xf numFmtId="0" fontId="61" fillId="4" borderId="32" xfId="22" applyFont="1" applyFill="1" applyBorder="1" applyAlignment="1">
      <alignment horizontal="center" vertical="center" wrapText="1"/>
    </xf>
    <xf numFmtId="0" fontId="61" fillId="4" borderId="60" xfId="22" applyFont="1" applyFill="1" applyBorder="1" applyAlignment="1">
      <alignment horizontal="center" vertical="center" wrapText="1"/>
    </xf>
    <xf numFmtId="0" fontId="61" fillId="4" borderId="14" xfId="22" applyFont="1" applyFill="1" applyBorder="1" applyAlignment="1">
      <alignment horizontal="center" vertical="center" wrapText="1"/>
    </xf>
    <xf numFmtId="0" fontId="61" fillId="4" borderId="78" xfId="22" applyFont="1" applyFill="1" applyBorder="1" applyAlignment="1">
      <alignment horizontal="center" vertical="center" wrapText="1"/>
    </xf>
    <xf numFmtId="0" fontId="50" fillId="4" borderId="64" xfId="22" applyFont="1" applyFill="1" applyBorder="1" applyAlignment="1">
      <alignment horizontal="center" vertical="center" wrapText="1"/>
    </xf>
    <xf numFmtId="0" fontId="50" fillId="4" borderId="79" xfId="22" applyFont="1" applyFill="1" applyBorder="1" applyAlignment="1">
      <alignment horizontal="center" vertical="center" wrapText="1"/>
    </xf>
    <xf numFmtId="0" fontId="50" fillId="4" borderId="80" xfId="22" applyFont="1" applyFill="1" applyBorder="1" applyAlignment="1">
      <alignment horizontal="center" vertical="center" wrapText="1"/>
    </xf>
    <xf numFmtId="0" fontId="61" fillId="0" borderId="47" xfId="22" applyFont="1" applyBorder="1" applyAlignment="1">
      <alignment horizontal="center" vertical="center" wrapText="1"/>
    </xf>
    <xf numFmtId="0" fontId="61" fillId="0" borderId="71" xfId="22" applyFont="1" applyBorder="1" applyAlignment="1">
      <alignment horizontal="center" vertical="center" wrapText="1"/>
    </xf>
    <xf numFmtId="0" fontId="61" fillId="9" borderId="46" xfId="22" applyFont="1" applyFill="1" applyBorder="1" applyAlignment="1">
      <alignment horizontal="center" vertical="center"/>
    </xf>
    <xf numFmtId="0" fontId="61" fillId="4" borderId="59" xfId="22" applyFont="1" applyFill="1" applyBorder="1" applyAlignment="1">
      <alignment horizontal="center" vertical="center" wrapText="1"/>
    </xf>
    <xf numFmtId="0" fontId="61" fillId="4" borderId="81" xfId="22" applyFont="1" applyFill="1" applyBorder="1" applyAlignment="1">
      <alignment horizontal="center" vertical="center" wrapText="1"/>
    </xf>
    <xf numFmtId="0" fontId="68" fillId="11" borderId="31" xfId="22" applyFont="1" applyFill="1" applyBorder="1" applyAlignment="1">
      <alignment horizontal="center" vertical="center" wrapText="1"/>
    </xf>
    <xf numFmtId="0" fontId="61" fillId="4" borderId="31" xfId="22" applyFont="1" applyFill="1" applyBorder="1" applyAlignment="1">
      <alignment horizontal="center" vertical="center" wrapText="1"/>
    </xf>
    <xf numFmtId="0" fontId="61" fillId="4" borderId="30" xfId="22" applyFont="1" applyFill="1" applyBorder="1" applyAlignment="1">
      <alignment horizontal="center" vertical="center" wrapText="1"/>
    </xf>
    <xf numFmtId="0" fontId="61" fillId="4" borderId="77" xfId="22" applyFont="1" applyFill="1" applyBorder="1" applyAlignment="1">
      <alignment horizontal="center" vertical="center" wrapText="1"/>
    </xf>
    <xf numFmtId="0" fontId="68" fillId="11" borderId="32" xfId="22" applyFont="1" applyFill="1" applyBorder="1" applyAlignment="1">
      <alignment horizontal="center" vertical="center" wrapText="1"/>
    </xf>
    <xf numFmtId="0" fontId="68" fillId="11" borderId="32" xfId="22" applyFont="1" applyFill="1" applyBorder="1" applyAlignment="1">
      <alignment horizontal="center" vertical="center"/>
    </xf>
    <xf numFmtId="0" fontId="61" fillId="4" borderId="32" xfId="22" applyFont="1" applyFill="1" applyBorder="1" applyAlignment="1">
      <alignment horizontal="center" vertical="center"/>
    </xf>
    <xf numFmtId="0" fontId="61" fillId="4" borderId="14" xfId="22" applyFont="1" applyFill="1" applyBorder="1" applyAlignment="1">
      <alignment horizontal="center" vertical="center"/>
    </xf>
    <xf numFmtId="0" fontId="61" fillId="4" borderId="78" xfId="22" applyFont="1" applyFill="1" applyBorder="1" applyAlignment="1">
      <alignment horizontal="center" vertical="center"/>
    </xf>
    <xf numFmtId="0" fontId="61" fillId="11" borderId="32" xfId="22" applyFont="1" applyFill="1" applyBorder="1" applyAlignment="1">
      <alignment horizontal="center" vertical="center" wrapText="1"/>
    </xf>
    <xf numFmtId="0" fontId="61" fillId="11" borderId="60" xfId="22" applyFont="1" applyFill="1" applyBorder="1" applyAlignment="1">
      <alignment horizontal="center" vertical="center" wrapText="1"/>
    </xf>
    <xf numFmtId="0" fontId="61" fillId="15" borderId="86" xfId="22" applyFont="1" applyFill="1" applyBorder="1" applyAlignment="1">
      <alignment horizontal="center" vertical="center" wrapText="1"/>
    </xf>
    <xf numFmtId="0" fontId="61" fillId="15" borderId="87" xfId="22" applyFont="1" applyFill="1" applyBorder="1" applyAlignment="1">
      <alignment horizontal="center" vertical="center" wrapText="1"/>
    </xf>
    <xf numFmtId="0" fontId="61" fillId="15" borderId="87" xfId="22" applyFont="1" applyFill="1" applyBorder="1" applyAlignment="1">
      <alignment horizontal="center" vertical="center"/>
    </xf>
    <xf numFmtId="0" fontId="61" fillId="4" borderId="59" xfId="22" applyFont="1" applyFill="1" applyBorder="1" applyAlignment="1">
      <alignment horizontal="center" vertical="center"/>
    </xf>
    <xf numFmtId="0" fontId="61" fillId="15" borderId="90" xfId="22" applyFont="1" applyFill="1" applyBorder="1" applyAlignment="1">
      <alignment horizontal="center" vertical="center"/>
    </xf>
    <xf numFmtId="0" fontId="36" fillId="10" borderId="43" xfId="22" applyFont="1" applyFill="1" applyBorder="1" applyAlignment="1">
      <alignment horizontal="center" vertical="center" wrapText="1"/>
    </xf>
    <xf numFmtId="0" fontId="35" fillId="0" borderId="43" xfId="22" applyFont="1" applyBorder="1" applyAlignment="1">
      <alignment horizontal="center" vertical="center" wrapText="1"/>
    </xf>
    <xf numFmtId="0" fontId="35" fillId="0" borderId="39" xfId="22" applyFont="1" applyBorder="1" applyAlignment="1">
      <alignment horizontal="center" vertical="center" wrapText="1"/>
    </xf>
    <xf numFmtId="0" fontId="86" fillId="9" borderId="14" xfId="22" applyFont="1" applyFill="1" applyBorder="1" applyAlignment="1">
      <alignment horizontal="center" vertical="center"/>
    </xf>
    <xf numFmtId="0" fontId="87" fillId="10" borderId="42" xfId="22" applyFont="1" applyFill="1" applyBorder="1" applyAlignment="1">
      <alignment horizontal="centerContinuous" vertical="center"/>
    </xf>
    <xf numFmtId="0" fontId="89" fillId="0" borderId="49" xfId="22" applyFont="1" applyBorder="1" applyAlignment="1">
      <alignment horizontal="centerContinuous" vertical="center"/>
    </xf>
    <xf numFmtId="0" fontId="51" fillId="11" borderId="64" xfId="22" applyFont="1" applyFill="1" applyBorder="1" applyAlignment="1">
      <alignment horizontal="center" vertical="center" wrapText="1"/>
    </xf>
    <xf numFmtId="0" fontId="61" fillId="11" borderId="46" xfId="22" applyFont="1" applyFill="1" applyBorder="1" applyAlignment="1">
      <alignment horizontal="center" vertical="center"/>
    </xf>
    <xf numFmtId="0" fontId="90" fillId="20" borderId="0" xfId="22" quotePrefix="1" applyFont="1" applyFill="1" applyAlignment="1">
      <alignment vertical="center" wrapText="1"/>
    </xf>
    <xf numFmtId="0" fontId="91" fillId="0" borderId="35" xfId="22" quotePrefix="1" applyFont="1" applyBorder="1">
      <alignment vertical="center"/>
    </xf>
    <xf numFmtId="185" fontId="92" fillId="9" borderId="2" xfId="1" applyNumberFormat="1" applyFont="1" applyFill="1" applyBorder="1" applyAlignment="1">
      <alignment horizontal="center" vertical="center"/>
    </xf>
    <xf numFmtId="177" fontId="93" fillId="9" borderId="0" xfId="0" applyNumberFormat="1" applyFont="1" applyFill="1">
      <alignment vertical="center"/>
    </xf>
    <xf numFmtId="0" fontId="89" fillId="9" borderId="46" xfId="22" applyFont="1" applyFill="1" applyBorder="1" applyAlignment="1">
      <alignment horizontal="center" vertical="center"/>
    </xf>
    <xf numFmtId="186" fontId="95" fillId="0" borderId="46" xfId="22" applyNumberFormat="1" applyFont="1" applyBorder="1" applyAlignment="1">
      <alignment horizontal="center" vertical="center"/>
    </xf>
    <xf numFmtId="20" fontId="95" fillId="0" borderId="46" xfId="22" applyNumberFormat="1" applyFont="1" applyBorder="1" applyAlignment="1">
      <alignment horizontal="center" vertical="center"/>
    </xf>
    <xf numFmtId="184" fontId="41" fillId="10" borderId="46" xfId="22" applyNumberFormat="1" applyFont="1" applyFill="1" applyBorder="1" applyAlignment="1">
      <alignment horizontal="center" vertical="center"/>
    </xf>
    <xf numFmtId="0" fontId="95" fillId="0" borderId="46" xfId="22" applyFont="1" applyBorder="1" applyAlignment="1">
      <alignment horizontal="center" vertical="center"/>
    </xf>
    <xf numFmtId="0" fontId="95" fillId="0" borderId="46" xfId="22" applyFont="1" applyBorder="1" applyAlignment="1">
      <alignment horizontal="center" vertical="center" wrapText="1"/>
    </xf>
    <xf numFmtId="0" fontId="95" fillId="0" borderId="46" xfId="22" applyFont="1" applyBorder="1" applyAlignment="1">
      <alignment vertical="center" wrapText="1"/>
    </xf>
    <xf numFmtId="0" fontId="95" fillId="0" borderId="48" xfId="22" applyFont="1" applyBorder="1" applyAlignment="1">
      <alignment vertical="center" wrapText="1"/>
    </xf>
    <xf numFmtId="0" fontId="46" fillId="0" borderId="0" xfId="0" applyFont="1">
      <alignment vertical="center"/>
    </xf>
    <xf numFmtId="0" fontId="96" fillId="0" borderId="0" xfId="0" applyFont="1">
      <alignment vertical="center"/>
    </xf>
    <xf numFmtId="0" fontId="48" fillId="4" borderId="14" xfId="22" applyFont="1" applyFill="1" applyBorder="1" applyAlignment="1">
      <alignment horizontal="center" vertical="center" wrapText="1"/>
    </xf>
    <xf numFmtId="0" fontId="44" fillId="0" borderId="57" xfId="22" applyFont="1" applyBorder="1" applyAlignment="1">
      <alignment horizontal="center" vertical="center"/>
    </xf>
    <xf numFmtId="0" fontId="73" fillId="9" borderId="57" xfId="22" applyFont="1" applyFill="1" applyBorder="1" applyAlignment="1">
      <alignment horizontal="center" vertical="center"/>
    </xf>
    <xf numFmtId="186" fontId="44" fillId="0" borderId="57" xfId="22" applyNumberFormat="1" applyFont="1" applyBorder="1" applyAlignment="1">
      <alignment horizontal="center" vertical="center"/>
    </xf>
    <xf numFmtId="20" fontId="44" fillId="0" borderId="57" xfId="22" applyNumberFormat="1" applyFont="1" applyBorder="1" applyAlignment="1">
      <alignment horizontal="center" vertical="center"/>
    </xf>
    <xf numFmtId="20" fontId="37" fillId="10" borderId="57" xfId="22" applyNumberFormat="1" applyFont="1" applyFill="1" applyBorder="1" applyAlignment="1">
      <alignment horizontal="center" vertical="center"/>
    </xf>
    <xf numFmtId="184" fontId="38" fillId="0" borderId="57" xfId="22" applyNumberFormat="1" applyFont="1" applyBorder="1" applyAlignment="1">
      <alignment horizontal="center" vertical="center"/>
    </xf>
    <xf numFmtId="0" fontId="37" fillId="0" borderId="57" xfId="22" applyFont="1" applyBorder="1" applyAlignment="1">
      <alignment horizontal="center" vertical="center" wrapText="1"/>
    </xf>
    <xf numFmtId="0" fontId="44" fillId="0" borderId="57" xfId="22" applyFont="1" applyBorder="1" applyAlignment="1">
      <alignment horizontal="center" vertical="center" wrapText="1"/>
    </xf>
    <xf numFmtId="0" fontId="37" fillId="0" borderId="57" xfId="22" applyFont="1" applyBorder="1" applyAlignment="1">
      <alignment vertical="center" wrapText="1"/>
    </xf>
    <xf numFmtId="0" fontId="48" fillId="4" borderId="57" xfId="22" applyFont="1" applyFill="1" applyBorder="1" applyAlignment="1">
      <alignment horizontal="center" vertical="center" wrapText="1"/>
    </xf>
    <xf numFmtId="186" fontId="47" fillId="0" borderId="93" xfId="22" applyNumberFormat="1" applyFont="1" applyBorder="1" applyAlignment="1">
      <alignment horizontal="center" vertical="center"/>
    </xf>
    <xf numFmtId="20" fontId="47" fillId="0" borderId="93" xfId="22" applyNumberFormat="1" applyFont="1" applyBorder="1" applyAlignment="1">
      <alignment horizontal="center" vertical="center"/>
    </xf>
    <xf numFmtId="0" fontId="43" fillId="0" borderId="93" xfId="22" applyFont="1" applyBorder="1" applyAlignment="1">
      <alignment horizontal="center" vertical="center"/>
    </xf>
    <xf numFmtId="0" fontId="43" fillId="0" borderId="93" xfId="22" applyFont="1" applyBorder="1" applyAlignment="1">
      <alignment horizontal="center" vertical="center" wrapText="1"/>
    </xf>
    <xf numFmtId="0" fontId="43" fillId="0" borderId="93" xfId="22" applyFont="1" applyBorder="1" applyAlignment="1">
      <alignment vertical="center" wrapText="1"/>
    </xf>
    <xf numFmtId="0" fontId="88" fillId="4" borderId="93" xfId="22" applyFont="1" applyFill="1" applyBorder="1" applyAlignment="1">
      <alignment horizontal="center" vertical="center"/>
    </xf>
    <xf numFmtId="0" fontId="88" fillId="10" borderId="95" xfId="22" applyFont="1" applyFill="1" applyBorder="1" applyAlignment="1">
      <alignment horizontal="centerContinuous" vertical="center"/>
    </xf>
    <xf numFmtId="0" fontId="81" fillId="10" borderId="74" xfId="22" applyFont="1" applyFill="1" applyBorder="1" applyAlignment="1">
      <alignment horizontal="centerContinuous" vertical="center"/>
    </xf>
    <xf numFmtId="0" fontId="69" fillId="10" borderId="75" xfId="22" applyFont="1" applyFill="1" applyBorder="1" applyAlignment="1">
      <alignment horizontal="centerContinuous" vertical="center"/>
    </xf>
    <xf numFmtId="186" fontId="81" fillId="10" borderId="75" xfId="22" applyNumberFormat="1" applyFont="1" applyFill="1" applyBorder="1" applyAlignment="1">
      <alignment horizontal="center" vertical="center"/>
    </xf>
    <xf numFmtId="20" fontId="81" fillId="10" borderId="75" xfId="22" applyNumberFormat="1" applyFont="1" applyFill="1" applyBorder="1" applyAlignment="1">
      <alignment horizontal="center" vertical="center"/>
    </xf>
    <xf numFmtId="184" fontId="81" fillId="10" borderId="75" xfId="22" applyNumberFormat="1" applyFont="1" applyFill="1" applyBorder="1" applyAlignment="1">
      <alignment horizontal="center" vertical="center"/>
    </xf>
    <xf numFmtId="0" fontId="81" fillId="10" borderId="75" xfId="22" applyFont="1" applyFill="1" applyBorder="1" applyAlignment="1">
      <alignment horizontal="center" vertical="center" wrapText="1"/>
    </xf>
    <xf numFmtId="0" fontId="81" fillId="10" borderId="75" xfId="22" applyFont="1" applyFill="1" applyBorder="1" applyAlignment="1">
      <alignment horizontal="center" vertical="center"/>
    </xf>
    <xf numFmtId="0" fontId="81" fillId="10" borderId="75" xfId="22" applyFont="1" applyFill="1" applyBorder="1" applyAlignment="1">
      <alignment vertical="center" wrapText="1"/>
    </xf>
    <xf numFmtId="0" fontId="69" fillId="10" borderId="96" xfId="22" applyFont="1" applyFill="1" applyBorder="1" applyAlignment="1">
      <alignment horizontal="center" vertical="center" wrapText="1"/>
    </xf>
    <xf numFmtId="0" fontId="82" fillId="10" borderId="96" xfId="22" applyFont="1" applyFill="1" applyBorder="1" applyAlignment="1">
      <alignment horizontal="center" vertical="center" wrapText="1"/>
    </xf>
    <xf numFmtId="0" fontId="83" fillId="10" borderId="38" xfId="22" applyFont="1" applyFill="1" applyBorder="1" applyAlignment="1">
      <alignment horizontal="center" vertical="center" wrapText="1"/>
    </xf>
    <xf numFmtId="0" fontId="35" fillId="0" borderId="97" xfId="22" applyFont="1" applyBorder="1" applyAlignment="1">
      <alignment horizontal="center" vertical="center" wrapText="1"/>
    </xf>
    <xf numFmtId="0" fontId="41" fillId="0" borderId="55" xfId="22" applyFont="1" applyBorder="1" applyAlignment="1">
      <alignment horizontal="center" vertical="center"/>
    </xf>
    <xf numFmtId="0" fontId="35" fillId="0" borderId="98" xfId="22" applyFont="1" applyBorder="1" applyAlignment="1">
      <alignment horizontal="center" vertical="center" wrapText="1"/>
    </xf>
    <xf numFmtId="0" fontId="58" fillId="0" borderId="66" xfId="22" applyFont="1" applyBorder="1" applyAlignment="1">
      <alignment horizontal="center" vertical="center" wrapText="1"/>
    </xf>
    <xf numFmtId="0" fontId="97" fillId="0" borderId="0" xfId="0" applyFont="1">
      <alignment vertical="center"/>
    </xf>
    <xf numFmtId="0" fontId="35" fillId="0" borderId="99" xfId="22" applyFont="1" applyBorder="1" applyAlignment="1">
      <alignment horizontal="center" vertical="center" wrapText="1"/>
    </xf>
    <xf numFmtId="0" fontId="16" fillId="0" borderId="0" xfId="10" applyFont="1"/>
    <xf numFmtId="180" fontId="94" fillId="0" borderId="0" xfId="3" applyNumberFormat="1" applyFont="1" applyAlignment="1">
      <alignment vertical="center"/>
    </xf>
    <xf numFmtId="0" fontId="40" fillId="10" borderId="51" xfId="22" applyFont="1" applyFill="1" applyBorder="1" applyAlignment="1">
      <alignment horizontal="center" vertical="center"/>
    </xf>
    <xf numFmtId="0" fontId="40" fillId="10" borderId="37" xfId="22" applyFont="1" applyFill="1" applyBorder="1" applyAlignment="1">
      <alignment horizontal="center" vertical="center"/>
    </xf>
    <xf numFmtId="0" fontId="98" fillId="11" borderId="32" xfId="22" applyFont="1" applyFill="1" applyBorder="1" applyAlignment="1">
      <alignment horizontal="center" vertical="center" wrapText="1"/>
    </xf>
    <xf numFmtId="0" fontId="99" fillId="4" borderId="32" xfId="22" applyFont="1" applyFill="1" applyBorder="1" applyAlignment="1">
      <alignment horizontal="center" vertical="center" wrapText="1"/>
    </xf>
    <xf numFmtId="0" fontId="100" fillId="9" borderId="32" xfId="22" applyFont="1" applyFill="1" applyBorder="1" applyAlignment="1">
      <alignment horizontal="center" vertical="center" wrapText="1"/>
    </xf>
    <xf numFmtId="0" fontId="99" fillId="4" borderId="58" xfId="22" applyFont="1" applyFill="1" applyBorder="1" applyAlignment="1">
      <alignment horizontal="center" vertical="center" wrapText="1"/>
    </xf>
    <xf numFmtId="0" fontId="101" fillId="16" borderId="100" xfId="22" applyFont="1" applyFill="1" applyBorder="1" applyAlignment="1">
      <alignment horizontal="center" vertical="center" wrapText="1"/>
    </xf>
    <xf numFmtId="0" fontId="99" fillId="4" borderId="59" xfId="22" applyFont="1" applyFill="1" applyBorder="1" applyAlignment="1">
      <alignment horizontal="center" vertical="center" wrapText="1"/>
    </xf>
    <xf numFmtId="0" fontId="98" fillId="11" borderId="58" xfId="22" applyFont="1" applyFill="1" applyBorder="1" applyAlignment="1">
      <alignment horizontal="center" vertical="center" wrapText="1"/>
    </xf>
    <xf numFmtId="0" fontId="101" fillId="16" borderId="102" xfId="22" applyFont="1" applyFill="1" applyBorder="1" applyAlignment="1">
      <alignment horizontal="center" vertical="center" wrapText="1"/>
    </xf>
    <xf numFmtId="0" fontId="102" fillId="17" borderId="104" xfId="22" applyFont="1" applyFill="1" applyBorder="1" applyAlignment="1">
      <alignment horizontal="center" vertical="center" wrapText="1"/>
    </xf>
    <xf numFmtId="0" fontId="102" fillId="17" borderId="105" xfId="22" applyFont="1" applyFill="1" applyBorder="1" applyAlignment="1">
      <alignment horizontal="center" vertical="center" wrapText="1"/>
    </xf>
    <xf numFmtId="49" fontId="100" fillId="18" borderId="105" xfId="22" applyNumberFormat="1" applyFont="1" applyFill="1" applyBorder="1" applyAlignment="1">
      <alignment horizontal="center" vertical="center" wrapText="1"/>
    </xf>
    <xf numFmtId="0" fontId="100" fillId="17" borderId="105" xfId="22" applyFont="1" applyFill="1" applyBorder="1" applyAlignment="1">
      <alignment horizontal="center" vertical="center" wrapText="1"/>
    </xf>
    <xf numFmtId="0" fontId="102" fillId="17" borderId="106" xfId="22" applyFont="1" applyFill="1" applyBorder="1" applyAlignment="1">
      <alignment horizontal="center" vertical="center" wrapText="1"/>
    </xf>
    <xf numFmtId="0" fontId="101" fillId="16" borderId="103" xfId="22" applyFont="1" applyFill="1" applyBorder="1" applyAlignment="1">
      <alignment horizontal="center" vertical="center" wrapText="1"/>
    </xf>
    <xf numFmtId="0" fontId="99" fillId="4" borderId="64" xfId="22" applyFont="1" applyFill="1" applyBorder="1" applyAlignment="1">
      <alignment horizontal="center" vertical="center" wrapText="1"/>
    </xf>
    <xf numFmtId="2" fontId="100" fillId="4" borderId="69" xfId="22" applyNumberFormat="1" applyFont="1" applyFill="1" applyBorder="1" applyAlignment="1">
      <alignment horizontal="center" vertical="center"/>
    </xf>
    <xf numFmtId="0" fontId="100" fillId="4" borderId="46" xfId="22" applyFont="1" applyFill="1" applyBorder="1" applyAlignment="1">
      <alignment horizontal="center" vertical="center"/>
    </xf>
    <xf numFmtId="0" fontId="82" fillId="12" borderId="100" xfId="22" applyFont="1" applyFill="1" applyBorder="1" applyAlignment="1">
      <alignment horizontal="center" vertical="center" wrapText="1"/>
    </xf>
    <xf numFmtId="0" fontId="82" fillId="12" borderId="101" xfId="22" applyFont="1" applyFill="1" applyBorder="1" applyAlignment="1">
      <alignment horizontal="center" vertical="center" wrapText="1"/>
    </xf>
    <xf numFmtId="0" fontId="100" fillId="11" borderId="69" xfId="22" applyFont="1" applyFill="1" applyBorder="1" applyAlignment="1">
      <alignment horizontal="center" vertical="center"/>
    </xf>
    <xf numFmtId="0" fontId="89" fillId="9" borderId="93" xfId="22" applyFont="1" applyFill="1" applyBorder="1" applyAlignment="1">
      <alignment horizontal="center" vertical="center"/>
    </xf>
    <xf numFmtId="186" fontId="95" fillId="0" borderId="93" xfId="22" applyNumberFormat="1" applyFont="1" applyBorder="1" applyAlignment="1">
      <alignment horizontal="center" vertical="center"/>
    </xf>
    <xf numFmtId="20" fontId="95" fillId="0" borderId="93" xfId="22" applyNumberFormat="1" applyFont="1" applyBorder="1" applyAlignment="1">
      <alignment horizontal="center" vertical="center"/>
    </xf>
    <xf numFmtId="184" fontId="41" fillId="10" borderId="93" xfId="22" applyNumberFormat="1" applyFont="1" applyFill="1" applyBorder="1" applyAlignment="1">
      <alignment horizontal="center" vertical="center"/>
    </xf>
    <xf numFmtId="0" fontId="95" fillId="0" borderId="93" xfId="22" applyFont="1" applyBorder="1" applyAlignment="1">
      <alignment horizontal="center" vertical="center"/>
    </xf>
    <xf numFmtId="0" fontId="95" fillId="0" borderId="93" xfId="22" applyFont="1" applyBorder="1" applyAlignment="1">
      <alignment horizontal="center" vertical="center" wrapText="1"/>
    </xf>
    <xf numFmtId="0" fontId="95" fillId="0" borderId="93" xfId="22" applyFont="1" applyBorder="1" applyAlignment="1">
      <alignment vertical="center" wrapText="1"/>
    </xf>
    <xf numFmtId="0" fontId="89" fillId="4" borderId="93" xfId="22" applyFont="1" applyFill="1" applyBorder="1" applyAlignment="1">
      <alignment horizontal="center" vertical="center"/>
    </xf>
    <xf numFmtId="0" fontId="95" fillId="0" borderId="94" xfId="22" applyFont="1" applyBorder="1" applyAlignment="1">
      <alignment vertical="center" wrapText="1"/>
    </xf>
    <xf numFmtId="0" fontId="41" fillId="4" borderId="32" xfId="22" applyFont="1" applyFill="1" applyBorder="1" applyAlignment="1">
      <alignment horizontal="center" vertical="center" wrapText="1"/>
    </xf>
    <xf numFmtId="0" fontId="43" fillId="4" borderId="32" xfId="22" applyFont="1" applyFill="1" applyBorder="1" applyAlignment="1">
      <alignment horizontal="center" vertical="center" wrapText="1"/>
    </xf>
    <xf numFmtId="0" fontId="37" fillId="0" borderId="14" xfId="22" applyFont="1" applyBorder="1" applyAlignment="1">
      <alignment horizontal="center" vertical="top" wrapText="1"/>
    </xf>
    <xf numFmtId="0" fontId="42" fillId="0" borderId="0" xfId="22" applyFont="1" applyAlignment="1">
      <alignment horizontal="centerContinuous" vertical="center"/>
    </xf>
    <xf numFmtId="0" fontId="47" fillId="0" borderId="0" xfId="22" applyFont="1" applyAlignment="1">
      <alignment horizontal="centerContinuous" vertical="center"/>
    </xf>
    <xf numFmtId="0" fontId="33" fillId="0" borderId="0" xfId="22" applyFont="1" applyAlignment="1">
      <alignment horizontal="center" vertical="center"/>
    </xf>
    <xf numFmtId="0" fontId="30" fillId="0" borderId="0" xfId="22" applyFont="1" applyAlignment="1">
      <alignment horizontal="center" vertical="center"/>
    </xf>
    <xf numFmtId="0" fontId="41" fillId="12" borderId="107" xfId="22" applyFont="1" applyFill="1" applyBorder="1" applyAlignment="1">
      <alignment horizontal="center" vertical="center"/>
    </xf>
    <xf numFmtId="0" fontId="41" fillId="12" borderId="42" xfId="22" applyFont="1" applyFill="1" applyBorder="1" applyAlignment="1">
      <alignment horizontal="center" vertical="center"/>
    </xf>
    <xf numFmtId="0" fontId="41" fillId="12" borderId="108" xfId="22" applyFont="1" applyFill="1" applyBorder="1" applyAlignment="1">
      <alignment horizontal="center" vertical="center"/>
    </xf>
    <xf numFmtId="0" fontId="99" fillId="4" borderId="0" xfId="22" applyFont="1" applyFill="1" applyAlignment="1">
      <alignment horizontal="center" vertical="center" wrapText="1"/>
    </xf>
    <xf numFmtId="0" fontId="0" fillId="0" borderId="110" xfId="0" applyBorder="1">
      <alignment vertical="center"/>
    </xf>
    <xf numFmtId="0" fontId="0" fillId="0" borderId="43" xfId="0" applyBorder="1">
      <alignment vertical="center"/>
    </xf>
    <xf numFmtId="184" fontId="103" fillId="10" borderId="93" xfId="22" applyNumberFormat="1" applyFont="1" applyFill="1" applyBorder="1" applyAlignment="1">
      <alignment horizontal="center" vertical="center"/>
    </xf>
    <xf numFmtId="0" fontId="43" fillId="4" borderId="93" xfId="22" applyFont="1" applyFill="1" applyBorder="1" applyAlignment="1">
      <alignment horizontal="center" vertical="center"/>
    </xf>
    <xf numFmtId="177" fontId="104" fillId="0" borderId="15" xfId="1" applyFont="1" applyBorder="1" applyAlignment="1">
      <alignment vertical="center"/>
    </xf>
    <xf numFmtId="0" fontId="105" fillId="4" borderId="93" xfId="22" applyFont="1" applyFill="1" applyBorder="1" applyAlignment="1">
      <alignment horizontal="center" vertical="center"/>
    </xf>
    <xf numFmtId="187" fontId="92" fillId="9" borderId="2" xfId="1" applyNumberFormat="1" applyFont="1" applyFill="1" applyBorder="1" applyAlignment="1">
      <alignment horizontal="center" vertical="center"/>
    </xf>
    <xf numFmtId="0" fontId="106" fillId="4" borderId="32" xfId="22" applyFont="1" applyFill="1" applyBorder="1" applyAlignment="1">
      <alignment horizontal="center" vertical="center" wrapText="1"/>
    </xf>
    <xf numFmtId="0" fontId="98" fillId="11" borderId="14" xfId="22" applyFont="1" applyFill="1" applyBorder="1" applyAlignment="1">
      <alignment horizontal="center" vertical="center" wrapText="1"/>
    </xf>
    <xf numFmtId="0" fontId="101" fillId="0" borderId="14" xfId="22" applyFont="1" applyBorder="1" applyAlignment="1">
      <alignment horizontal="center" vertical="center" wrapText="1"/>
    </xf>
    <xf numFmtId="0" fontId="99" fillId="4" borderId="14" xfId="22" applyFont="1" applyFill="1" applyBorder="1" applyAlignment="1">
      <alignment horizontal="center" vertical="center" wrapText="1"/>
    </xf>
    <xf numFmtId="0" fontId="102" fillId="11" borderId="14" xfId="22" applyFont="1" applyFill="1" applyBorder="1" applyAlignment="1">
      <alignment horizontal="center" vertical="center" wrapText="1"/>
    </xf>
    <xf numFmtId="49" fontId="100" fillId="11" borderId="14" xfId="22" applyNumberFormat="1" applyFont="1" applyFill="1" applyBorder="1" applyAlignment="1">
      <alignment horizontal="center" vertical="center" wrapText="1"/>
    </xf>
    <xf numFmtId="0" fontId="100" fillId="11" borderId="14" xfId="22" applyFont="1" applyFill="1" applyBorder="1" applyAlignment="1">
      <alignment horizontal="center" vertical="center" wrapText="1"/>
    </xf>
    <xf numFmtId="0" fontId="102" fillId="11" borderId="57" xfId="22" applyFont="1" applyFill="1" applyBorder="1" applyAlignment="1">
      <alignment horizontal="center" vertical="center" wrapText="1"/>
    </xf>
    <xf numFmtId="0" fontId="101" fillId="0" borderId="57" xfId="22" applyFont="1" applyBorder="1" applyAlignment="1">
      <alignment horizontal="center" vertical="center" wrapText="1"/>
    </xf>
    <xf numFmtId="0" fontId="99" fillId="4" borderId="57" xfId="22" applyFont="1" applyFill="1" applyBorder="1" applyAlignment="1">
      <alignment horizontal="center" vertical="center" wrapText="1"/>
    </xf>
    <xf numFmtId="2" fontId="107" fillId="4" borderId="93" xfId="22" applyNumberFormat="1" applyFont="1" applyFill="1" applyBorder="1" applyAlignment="1">
      <alignment horizontal="center" vertical="center"/>
    </xf>
    <xf numFmtId="0" fontId="107" fillId="9" borderId="93" xfId="22" applyFont="1" applyFill="1" applyBorder="1" applyAlignment="1">
      <alignment horizontal="center" vertical="center"/>
    </xf>
    <xf numFmtId="49" fontId="108" fillId="12" borderId="109" xfId="22" quotePrefix="1" applyNumberFormat="1" applyFont="1" applyFill="1" applyBorder="1" applyAlignment="1">
      <alignment horizontal="center" vertical="center" wrapText="1"/>
    </xf>
    <xf numFmtId="0" fontId="109" fillId="9" borderId="22" xfId="0" applyFont="1" applyFill="1" applyBorder="1" applyAlignment="1">
      <alignment horizontal="center" vertical="center" wrapText="1"/>
    </xf>
    <xf numFmtId="0" fontId="110" fillId="0" borderId="0" xfId="0" applyFont="1">
      <alignment vertical="center"/>
    </xf>
    <xf numFmtId="0" fontId="111" fillId="0" borderId="67" xfId="22" applyFont="1" applyBorder="1" applyAlignment="1">
      <alignment horizontal="center" vertical="center" wrapText="1"/>
    </xf>
    <xf numFmtId="0" fontId="111" fillId="0" borderId="68" xfId="22" applyFont="1" applyBorder="1" applyAlignment="1">
      <alignment horizontal="center" vertical="center" wrapText="1"/>
    </xf>
    <xf numFmtId="0" fontId="112" fillId="0" borderId="73" xfId="22" applyFont="1" applyBorder="1" applyAlignment="1">
      <alignment horizontal="center" vertical="center" wrapText="1"/>
    </xf>
    <xf numFmtId="0" fontId="88" fillId="11" borderId="32" xfId="22" applyFont="1" applyFill="1" applyBorder="1" applyAlignment="1">
      <alignment horizontal="center" vertical="center" wrapText="1"/>
    </xf>
    <xf numFmtId="0" fontId="113" fillId="4" borderId="32" xfId="22" applyFont="1" applyFill="1" applyBorder="1" applyAlignment="1">
      <alignment horizontal="center" vertical="center" wrapText="1"/>
    </xf>
    <xf numFmtId="0" fontId="114" fillId="9" borderId="14" xfId="22" applyFont="1" applyFill="1" applyBorder="1" applyAlignment="1">
      <alignment horizontal="center" vertical="center"/>
    </xf>
    <xf numFmtId="0" fontId="41" fillId="0" borderId="59" xfId="22" applyFont="1" applyBorder="1" applyAlignment="1">
      <alignment horizontal="center" vertical="center"/>
    </xf>
    <xf numFmtId="0" fontId="44" fillId="0" borderId="59" xfId="22" applyFont="1" applyBorder="1" applyAlignment="1">
      <alignment horizontal="center" vertical="center"/>
    </xf>
    <xf numFmtId="0" fontId="73" fillId="0" borderId="59" xfId="22" applyFont="1" applyBorder="1" applyAlignment="1">
      <alignment horizontal="center" vertical="center"/>
    </xf>
    <xf numFmtId="186" fontId="44" fillId="0" borderId="59" xfId="22" applyNumberFormat="1" applyFont="1" applyBorder="1" applyAlignment="1">
      <alignment horizontal="center" vertical="center"/>
    </xf>
    <xf numFmtId="20" fontId="44" fillId="0" borderId="59" xfId="22" applyNumberFormat="1" applyFont="1" applyBorder="1" applyAlignment="1">
      <alignment horizontal="center" vertical="center"/>
    </xf>
    <xf numFmtId="20" fontId="45" fillId="0" borderId="59" xfId="22" applyNumberFormat="1" applyFont="1" applyBorder="1" applyAlignment="1">
      <alignment horizontal="center" vertical="center"/>
    </xf>
    <xf numFmtId="184" fontId="38" fillId="0" borderId="59" xfId="22" applyNumberFormat="1" applyFont="1" applyBorder="1" applyAlignment="1">
      <alignment horizontal="center" vertical="center"/>
    </xf>
    <xf numFmtId="0" fontId="37" fillId="0" borderId="59" xfId="22" applyFont="1" applyBorder="1" applyAlignment="1">
      <alignment horizontal="center" vertical="center" wrapText="1"/>
    </xf>
    <xf numFmtId="0" fontId="44" fillId="0" borderId="59" xfId="22" applyFont="1" applyBorder="1" applyAlignment="1">
      <alignment horizontal="center" vertical="center" wrapText="1"/>
    </xf>
    <xf numFmtId="0" fontId="37" fillId="0" borderId="59" xfId="22" applyFont="1" applyBorder="1" applyAlignment="1">
      <alignment vertical="center" wrapText="1"/>
    </xf>
    <xf numFmtId="0" fontId="43" fillId="0" borderId="59" xfId="22" applyFont="1" applyBorder="1" applyAlignment="1">
      <alignment horizontal="center" vertical="center" wrapText="1"/>
    </xf>
    <xf numFmtId="0" fontId="41" fillId="0" borderId="59" xfId="22" applyFont="1" applyBorder="1" applyAlignment="1">
      <alignment horizontal="center" vertical="center" wrapText="1"/>
    </xf>
    <xf numFmtId="0" fontId="0" fillId="0" borderId="59" xfId="0" applyBorder="1">
      <alignment vertical="center"/>
    </xf>
    <xf numFmtId="49" fontId="23" fillId="6" borderId="2" xfId="0" applyNumberFormat="1" applyFont="1" applyFill="1" applyBorder="1" applyAlignment="1">
      <alignment horizontal="center" vertical="center" wrapText="1"/>
    </xf>
    <xf numFmtId="0" fontId="115" fillId="6" borderId="2" xfId="0" applyFont="1" applyFill="1" applyBorder="1" applyAlignment="1">
      <alignment horizontal="center" vertical="center"/>
    </xf>
    <xf numFmtId="0" fontId="116" fillId="6" borderId="2" xfId="0" applyFont="1" applyFill="1" applyBorder="1" applyAlignment="1">
      <alignment horizontal="center" vertical="center"/>
    </xf>
    <xf numFmtId="49" fontId="116" fillId="4" borderId="2" xfId="0" applyNumberFormat="1" applyFont="1" applyFill="1" applyBorder="1" applyAlignment="1">
      <alignment horizontal="center" vertical="center"/>
    </xf>
    <xf numFmtId="177" fontId="23" fillId="4" borderId="2" xfId="1" applyFont="1" applyFill="1" applyBorder="1" applyAlignment="1">
      <alignment horizontal="center" vertical="center" wrapText="1"/>
    </xf>
    <xf numFmtId="49" fontId="117" fillId="6" borderId="2" xfId="0" applyNumberFormat="1" applyFont="1" applyFill="1" applyBorder="1" applyAlignment="1">
      <alignment horizontal="center" vertical="center" wrapText="1"/>
    </xf>
    <xf numFmtId="0" fontId="23" fillId="6" borderId="2" xfId="0" applyFont="1" applyFill="1" applyBorder="1" applyAlignment="1">
      <alignment horizontal="center" vertical="center"/>
    </xf>
    <xf numFmtId="0" fontId="116" fillId="4" borderId="2" xfId="0" applyFont="1" applyFill="1" applyBorder="1" applyAlignment="1">
      <alignment horizontal="center" vertical="center"/>
    </xf>
    <xf numFmtId="0" fontId="116" fillId="4" borderId="2" xfId="0" applyFont="1" applyFill="1" applyBorder="1" applyAlignment="1">
      <alignment horizontal="center" vertical="center" wrapText="1"/>
    </xf>
    <xf numFmtId="177" fontId="116" fillId="4" borderId="2" xfId="1" applyFont="1" applyFill="1" applyBorder="1" applyAlignment="1">
      <alignment horizontal="center" vertical="center"/>
    </xf>
    <xf numFmtId="49" fontId="23" fillId="6" borderId="2" xfId="0" applyNumberFormat="1" applyFont="1" applyFill="1" applyBorder="1" applyAlignment="1">
      <alignment horizontal="center" vertical="center"/>
    </xf>
    <xf numFmtId="49" fontId="23" fillId="4" borderId="2" xfId="0" applyNumberFormat="1" applyFont="1" applyFill="1" applyBorder="1" applyAlignment="1">
      <alignment horizontal="center" vertical="center" wrapText="1"/>
    </xf>
    <xf numFmtId="49" fontId="23" fillId="4" borderId="2" xfId="0" applyNumberFormat="1" applyFont="1" applyFill="1" applyBorder="1" applyAlignment="1">
      <alignment horizontal="center" vertical="center"/>
    </xf>
    <xf numFmtId="183" fontId="23" fillId="4" borderId="2" xfId="1" applyNumberFormat="1" applyFont="1" applyFill="1" applyBorder="1" applyAlignment="1">
      <alignment horizontal="right" vertical="center" wrapText="1"/>
    </xf>
    <xf numFmtId="182" fontId="23" fillId="4" borderId="2" xfId="1" applyNumberFormat="1" applyFont="1" applyFill="1" applyBorder="1" applyAlignment="1">
      <alignment horizontal="center" vertical="center"/>
    </xf>
    <xf numFmtId="177" fontId="25" fillId="0" borderId="0" xfId="0" applyNumberFormat="1" applyFont="1">
      <alignment vertical="center"/>
    </xf>
    <xf numFmtId="180" fontId="57" fillId="0" borderId="0" xfId="3" applyNumberFormat="1" applyFont="1" applyAlignment="1">
      <alignment horizontal="right"/>
    </xf>
    <xf numFmtId="177" fontId="119" fillId="0" borderId="19" xfId="1" applyFont="1" applyFill="1" applyBorder="1" applyAlignment="1">
      <alignment horizontal="right" vertical="center"/>
    </xf>
    <xf numFmtId="177" fontId="23" fillId="0" borderId="0" xfId="1" applyFont="1" applyAlignment="1"/>
    <xf numFmtId="180" fontId="58" fillId="7" borderId="0" xfId="3" applyNumberFormat="1" applyFont="1" applyFill="1" applyAlignment="1">
      <alignment vertical="center"/>
    </xf>
    <xf numFmtId="0" fontId="120" fillId="11" borderId="32" xfId="22" applyFont="1" applyFill="1" applyBorder="1" applyAlignment="1">
      <alignment horizontal="center" vertical="center" wrapText="1"/>
    </xf>
    <xf numFmtId="0" fontId="120" fillId="11" borderId="32" xfId="22" quotePrefix="1" applyFont="1" applyFill="1" applyBorder="1" applyAlignment="1">
      <alignment horizontal="center" vertical="center" wrapText="1"/>
    </xf>
    <xf numFmtId="0" fontId="121" fillId="9" borderId="93" xfId="22" applyFont="1" applyFill="1" applyBorder="1" applyAlignment="1">
      <alignment horizontal="center" vertical="center"/>
    </xf>
    <xf numFmtId="0" fontId="122" fillId="9" borderId="14" xfId="22" applyFont="1" applyFill="1" applyBorder="1" applyAlignment="1">
      <alignment horizontal="center" vertical="center"/>
    </xf>
    <xf numFmtId="0" fontId="121" fillId="9" borderId="14" xfId="22" applyFont="1" applyFill="1" applyBorder="1" applyAlignment="1">
      <alignment horizontal="center" vertical="center"/>
    </xf>
    <xf numFmtId="0" fontId="88" fillId="4" borderId="32" xfId="22" applyFont="1" applyFill="1" applyBorder="1" applyAlignment="1">
      <alignment horizontal="center" vertical="center" wrapText="1"/>
    </xf>
    <xf numFmtId="0" fontId="58" fillId="0" borderId="67" xfId="22" applyFont="1" applyBorder="1" applyAlignment="1">
      <alignment horizontal="center" vertical="center" wrapText="1"/>
    </xf>
    <xf numFmtId="0" fontId="125" fillId="10" borderId="95" xfId="22" applyFont="1" applyFill="1" applyBorder="1" applyAlignment="1">
      <alignment horizontal="centerContinuous" vertical="center"/>
    </xf>
    <xf numFmtId="0" fontId="126" fillId="4" borderId="32" xfId="22" applyFont="1" applyFill="1" applyBorder="1" applyAlignment="1">
      <alignment horizontal="center" vertical="center" wrapText="1"/>
    </xf>
    <xf numFmtId="0" fontId="127" fillId="4" borderId="32" xfId="22" applyFont="1" applyFill="1" applyBorder="1" applyAlignment="1">
      <alignment horizontal="center" vertical="center" wrapText="1"/>
    </xf>
    <xf numFmtId="0" fontId="128" fillId="0" borderId="42" xfId="22" applyFont="1" applyBorder="1" applyAlignment="1">
      <alignment horizontal="center" vertical="center"/>
    </xf>
    <xf numFmtId="0" fontId="130" fillId="0" borderId="43" xfId="0" applyFont="1" applyBorder="1" applyAlignment="1">
      <alignment vertical="center" wrapText="1"/>
    </xf>
    <xf numFmtId="0" fontId="131" fillId="16" borderId="32" xfId="22" applyFont="1" applyFill="1" applyBorder="1" applyAlignment="1">
      <alignment horizontal="center" vertical="center" wrapText="1"/>
    </xf>
    <xf numFmtId="0" fontId="132" fillId="12" borderId="93" xfId="22" applyFont="1" applyFill="1" applyBorder="1" applyAlignment="1">
      <alignment horizontal="center" vertical="center"/>
    </xf>
    <xf numFmtId="0" fontId="131" fillId="4" borderId="32" xfId="22" applyFont="1" applyFill="1" applyBorder="1" applyAlignment="1">
      <alignment horizontal="center" vertical="center" wrapText="1"/>
    </xf>
    <xf numFmtId="0" fontId="133" fillId="4" borderId="32" xfId="22" applyFont="1" applyFill="1" applyBorder="1" applyAlignment="1">
      <alignment horizontal="center" vertical="center" wrapText="1"/>
    </xf>
    <xf numFmtId="0" fontId="134" fillId="4" borderId="32" xfId="22" applyFont="1" applyFill="1" applyBorder="1" applyAlignment="1">
      <alignment horizontal="center" vertical="center" wrapText="1"/>
    </xf>
    <xf numFmtId="0" fontId="135" fillId="0" borderId="43" xfId="0" applyFont="1" applyBorder="1">
      <alignment vertical="center"/>
    </xf>
    <xf numFmtId="0" fontId="136" fillId="0" borderId="34" xfId="22" applyFont="1" applyBorder="1" applyAlignment="1">
      <alignment horizontal="center" vertical="center"/>
    </xf>
    <xf numFmtId="0" fontId="137" fillId="9" borderId="14" xfId="22" applyFont="1" applyFill="1" applyBorder="1" applyAlignment="1">
      <alignment horizontal="center" vertical="center"/>
    </xf>
    <xf numFmtId="186" fontId="136" fillId="0" borderId="14" xfId="22" applyNumberFormat="1" applyFont="1" applyBorder="1" applyAlignment="1">
      <alignment horizontal="center" vertical="center"/>
    </xf>
    <xf numFmtId="20" fontId="136" fillId="0" borderId="14" xfId="22" applyNumberFormat="1" applyFont="1" applyBorder="1" applyAlignment="1">
      <alignment horizontal="center" vertical="center"/>
    </xf>
    <xf numFmtId="20" fontId="138" fillId="10" borderId="14" xfId="22" applyNumberFormat="1" applyFont="1" applyFill="1" applyBorder="1" applyAlignment="1">
      <alignment horizontal="center" vertical="center"/>
    </xf>
    <xf numFmtId="184" fontId="139" fillId="0" borderId="14" xfId="22" applyNumberFormat="1" applyFont="1" applyBorder="1" applyAlignment="1">
      <alignment horizontal="center" vertical="center"/>
    </xf>
    <xf numFmtId="0" fontId="139" fillId="0" borderId="14" xfId="22" applyFont="1" applyBorder="1" applyAlignment="1">
      <alignment horizontal="center" vertical="center" wrapText="1"/>
    </xf>
    <xf numFmtId="0" fontId="136" fillId="0" borderId="14" xfId="22" applyFont="1" applyBorder="1" applyAlignment="1">
      <alignment horizontal="center" vertical="center" wrapText="1"/>
    </xf>
    <xf numFmtId="0" fontId="136" fillId="0" borderId="14" xfId="22" applyFont="1" applyBorder="1" applyAlignment="1">
      <alignment horizontal="center" vertical="center"/>
    </xf>
    <xf numFmtId="0" fontId="139" fillId="0" borderId="14" xfId="22" applyFont="1" applyBorder="1" applyAlignment="1">
      <alignment vertical="center" wrapText="1"/>
    </xf>
    <xf numFmtId="0" fontId="140" fillId="0" borderId="94" xfId="22" applyFont="1" applyBorder="1" applyAlignment="1">
      <alignment vertical="center" wrapText="1"/>
    </xf>
    <xf numFmtId="184" fontId="142" fillId="10" borderId="93" xfId="22" applyNumberFormat="1" applyFont="1" applyFill="1" applyBorder="1" applyAlignment="1">
      <alignment horizontal="center" vertical="center"/>
    </xf>
    <xf numFmtId="0" fontId="143" fillId="9" borderId="93" xfId="22" applyFont="1" applyFill="1" applyBorder="1" applyAlignment="1">
      <alignment horizontal="center" vertical="center"/>
    </xf>
    <xf numFmtId="1" fontId="144" fillId="4" borderId="93" xfId="22" applyNumberFormat="1" applyFont="1" applyFill="1" applyBorder="1" applyAlignment="1">
      <alignment horizontal="center" vertical="center"/>
    </xf>
    <xf numFmtId="0" fontId="145" fillId="21" borderId="93" xfId="22" applyFont="1" applyFill="1" applyBorder="1" applyAlignment="1">
      <alignment horizontal="center" vertical="center"/>
    </xf>
    <xf numFmtId="0" fontId="88" fillId="0" borderId="32" xfId="22" applyFont="1" applyFill="1" applyBorder="1" applyAlignment="1">
      <alignment horizontal="center" vertical="center" wrapText="1"/>
    </xf>
    <xf numFmtId="0" fontId="0" fillId="0" borderId="0" xfId="0" applyFill="1">
      <alignment vertical="center"/>
    </xf>
    <xf numFmtId="188" fontId="145" fillId="21" borderId="93" xfId="1" applyNumberFormat="1" applyFont="1" applyFill="1" applyBorder="1" applyAlignment="1">
      <alignment vertical="center"/>
    </xf>
    <xf numFmtId="0" fontId="146" fillId="10" borderId="95" xfId="22" applyFont="1" applyFill="1" applyBorder="1" applyAlignment="1">
      <alignment vertical="center"/>
    </xf>
    <xf numFmtId="0" fontId="131" fillId="11" borderId="32" xfId="22" applyFont="1" applyFill="1" applyBorder="1" applyAlignment="1">
      <alignment horizontal="center" vertical="center" wrapText="1"/>
    </xf>
    <xf numFmtId="0" fontId="147" fillId="11" borderId="32" xfId="22" applyFont="1" applyFill="1" applyBorder="1" applyAlignment="1">
      <alignment horizontal="center" vertical="center" wrapText="1"/>
    </xf>
    <xf numFmtId="0" fontId="148" fillId="9" borderId="93" xfId="22" applyFont="1" applyFill="1" applyBorder="1" applyAlignment="1">
      <alignment horizontal="center" vertical="center"/>
    </xf>
    <xf numFmtId="188" fontId="145" fillId="21" borderId="93" xfId="1" quotePrefix="1" applyNumberFormat="1" applyFont="1" applyFill="1" applyBorder="1" applyAlignment="1">
      <alignment horizontal="center" vertical="center"/>
    </xf>
    <xf numFmtId="0" fontId="131" fillId="9" borderId="32" xfId="22" applyFont="1" applyFill="1" applyBorder="1" applyAlignment="1">
      <alignment horizontal="center" vertical="center" wrapText="1"/>
    </xf>
    <xf numFmtId="0" fontId="131" fillId="9" borderId="14" xfId="22" quotePrefix="1" applyFont="1" applyFill="1" applyBorder="1" applyAlignment="1">
      <alignment horizontal="center" vertical="center"/>
    </xf>
    <xf numFmtId="0" fontId="2" fillId="0" borderId="0" xfId="22" applyFill="1">
      <alignment vertical="center"/>
    </xf>
    <xf numFmtId="188" fontId="145" fillId="0" borderId="96" xfId="1" quotePrefix="1" applyNumberFormat="1" applyFont="1" applyFill="1" applyBorder="1" applyAlignment="1">
      <alignment horizontal="center" vertical="center"/>
    </xf>
    <xf numFmtId="0" fontId="145" fillId="0" borderId="96" xfId="22" applyFont="1" applyFill="1" applyBorder="1" applyAlignment="1">
      <alignment horizontal="center" vertical="center"/>
    </xf>
    <xf numFmtId="189" fontId="144" fillId="4" borderId="93" xfId="1" applyNumberFormat="1" applyFont="1" applyFill="1" applyBorder="1" applyAlignment="1">
      <alignment horizontal="center" vertical="center"/>
    </xf>
    <xf numFmtId="0" fontId="129" fillId="0" borderId="32" xfId="22" applyFont="1" applyFill="1" applyBorder="1" applyAlignment="1">
      <alignment horizontal="center" vertical="center" wrapText="1"/>
    </xf>
    <xf numFmtId="189" fontId="150" fillId="4" borderId="93" xfId="1" applyNumberFormat="1" applyFont="1" applyFill="1" applyBorder="1" applyAlignment="1">
      <alignment horizontal="center" vertical="center"/>
    </xf>
    <xf numFmtId="0" fontId="50" fillId="0" borderId="111" xfId="22" applyFont="1" applyFill="1" applyBorder="1" applyAlignment="1">
      <alignment horizontal="center" vertical="center"/>
    </xf>
    <xf numFmtId="0" fontId="35" fillId="0" borderId="111" xfId="22" applyFont="1" applyFill="1" applyBorder="1" applyAlignment="1">
      <alignment horizontal="center" vertical="center"/>
    </xf>
    <xf numFmtId="0" fontId="61" fillId="0" borderId="111" xfId="22" applyFont="1" applyFill="1" applyBorder="1" applyAlignment="1">
      <alignment horizontal="center" vertical="center"/>
    </xf>
    <xf numFmtId="186" fontId="35" fillId="0" borderId="111" xfId="22" applyNumberFormat="1" applyFont="1" applyFill="1" applyBorder="1" applyAlignment="1">
      <alignment horizontal="center" vertical="center"/>
    </xf>
    <xf numFmtId="20" fontId="35" fillId="0" borderId="111" xfId="22" applyNumberFormat="1" applyFont="1" applyFill="1" applyBorder="1" applyAlignment="1">
      <alignment horizontal="center" vertical="center"/>
    </xf>
    <xf numFmtId="20" fontId="51" fillId="0" borderId="111" xfId="22" applyNumberFormat="1" applyFont="1" applyFill="1" applyBorder="1" applyAlignment="1">
      <alignment horizontal="center" vertical="center"/>
    </xf>
    <xf numFmtId="184" fontId="36" fillId="0" borderId="0" xfId="22" applyNumberFormat="1" applyFont="1" applyFill="1" applyBorder="1" applyAlignment="1">
      <alignment horizontal="center" vertical="center"/>
    </xf>
    <xf numFmtId="0" fontId="36" fillId="0" borderId="111" xfId="22" applyFont="1" applyFill="1" applyBorder="1" applyAlignment="1">
      <alignment horizontal="center" vertical="center" wrapText="1"/>
    </xf>
    <xf numFmtId="0" fontId="35" fillId="0" borderId="111" xfId="22" applyFont="1" applyFill="1" applyBorder="1" applyAlignment="1">
      <alignment horizontal="center" vertical="center" wrapText="1"/>
    </xf>
    <xf numFmtId="0" fontId="36" fillId="0" borderId="111" xfId="22" applyFont="1" applyFill="1" applyBorder="1" applyAlignment="1">
      <alignment vertical="center" wrapText="1"/>
    </xf>
    <xf numFmtId="0" fontId="61" fillId="0" borderId="111" xfId="22" applyFont="1" applyFill="1" applyBorder="1" applyAlignment="1">
      <alignment horizontal="center" vertical="center" wrapText="1"/>
    </xf>
    <xf numFmtId="0" fontId="61" fillId="0" borderId="59" xfId="22" applyFont="1" applyFill="1" applyBorder="1" applyAlignment="1">
      <alignment horizontal="center" vertical="center" wrapText="1"/>
    </xf>
    <xf numFmtId="0" fontId="50" fillId="0" borderId="59" xfId="22" applyFont="1" applyFill="1" applyBorder="1" applyAlignment="1">
      <alignment horizontal="center" vertical="center" wrapText="1"/>
    </xf>
    <xf numFmtId="0" fontId="36" fillId="0" borderId="59" xfId="22" applyFont="1" applyFill="1" applyBorder="1" applyAlignment="1">
      <alignment horizontal="center" vertical="center" wrapText="1"/>
    </xf>
    <xf numFmtId="0" fontId="52" fillId="0" borderId="0" xfId="22" applyFont="1" applyFill="1" applyBorder="1">
      <alignment vertical="center"/>
    </xf>
    <xf numFmtId="0" fontId="61" fillId="9" borderId="32" xfId="22" applyFont="1" applyFill="1" applyBorder="1" applyAlignment="1">
      <alignment horizontal="center" vertical="center" wrapText="1"/>
    </xf>
    <xf numFmtId="0" fontId="61" fillId="9" borderId="58" xfId="22" applyFont="1" applyFill="1" applyBorder="1" applyAlignment="1">
      <alignment horizontal="center" vertical="center" wrapText="1"/>
    </xf>
    <xf numFmtId="0" fontId="145" fillId="21" borderId="93" xfId="1" quotePrefix="1" applyNumberFormat="1" applyFont="1" applyFill="1" applyBorder="1" applyAlignment="1">
      <alignment horizontal="center" vertical="center"/>
    </xf>
    <xf numFmtId="0" fontId="2" fillId="0" borderId="0" xfId="22" applyBorder="1">
      <alignment vertical="center"/>
    </xf>
    <xf numFmtId="0" fontId="72" fillId="0" borderId="0" xfId="22" applyFont="1" applyBorder="1">
      <alignment vertical="center"/>
    </xf>
    <xf numFmtId="0" fontId="0" fillId="0" borderId="0" xfId="0" applyBorder="1">
      <alignment vertical="center"/>
    </xf>
    <xf numFmtId="190" fontId="145" fillId="21" borderId="93" xfId="1" applyNumberFormat="1" applyFont="1" applyFill="1" applyBorder="1" applyAlignment="1">
      <alignment horizontal="center" vertical="center"/>
    </xf>
    <xf numFmtId="0" fontId="46" fillId="0" borderId="0" xfId="22" applyFont="1" applyBorder="1">
      <alignment vertical="center"/>
    </xf>
    <xf numFmtId="0" fontId="120" fillId="9" borderId="32" xfId="22" quotePrefix="1" applyFont="1" applyFill="1" applyBorder="1" applyAlignment="1">
      <alignment horizontal="center" vertical="center" wrapText="1"/>
    </xf>
    <xf numFmtId="0" fontId="120" fillId="9" borderId="32" xfId="22" applyFont="1" applyFill="1" applyBorder="1" applyAlignment="1">
      <alignment horizontal="center" vertical="center" wrapText="1"/>
    </xf>
    <xf numFmtId="0" fontId="43" fillId="0" borderId="94" xfId="22" applyFont="1" applyBorder="1" applyAlignment="1">
      <alignment horizontal="center" vertical="center" wrapText="1"/>
    </xf>
    <xf numFmtId="0" fontId="22" fillId="0" borderId="0" xfId="6" applyFont="1" applyAlignment="1">
      <alignment horizontal="center" vertical="center"/>
    </xf>
    <xf numFmtId="0" fontId="16" fillId="0" borderId="3" xfId="6" applyFont="1" applyBorder="1" applyAlignment="1">
      <alignment vertical="center"/>
    </xf>
    <xf numFmtId="0" fontId="16" fillId="0" borderId="4" xfId="6" applyFont="1" applyBorder="1" applyAlignment="1">
      <alignment vertical="center"/>
    </xf>
    <xf numFmtId="0" fontId="16" fillId="0" borderId="5" xfId="6" applyFont="1" applyBorder="1" applyAlignment="1">
      <alignment vertical="center"/>
    </xf>
    <xf numFmtId="0" fontId="25" fillId="0" borderId="0" xfId="6" applyFont="1" applyAlignment="1">
      <alignment vertical="center"/>
    </xf>
    <xf numFmtId="0" fontId="24" fillId="0" borderId="0" xfId="6" applyFont="1" applyAlignment="1">
      <alignment vertical="center"/>
    </xf>
    <xf numFmtId="0" fontId="23" fillId="0" borderId="29" xfId="0" applyFont="1" applyBorder="1" applyAlignment="1">
      <alignment horizontal="center" vertical="center"/>
    </xf>
    <xf numFmtId="0" fontId="23" fillId="0" borderId="22" xfId="0" applyFont="1" applyBorder="1" applyAlignment="1">
      <alignment horizontal="center" vertical="center"/>
    </xf>
    <xf numFmtId="0" fontId="27" fillId="0" borderId="0" xfId="0" applyFont="1" applyAlignment="1">
      <alignment horizontal="center" vertical="center"/>
    </xf>
    <xf numFmtId="0" fontId="27" fillId="3" borderId="20" xfId="3" applyFont="1" applyFill="1" applyBorder="1" applyAlignment="1">
      <alignment horizontal="center" vertical="center" wrapText="1"/>
    </xf>
    <xf numFmtId="0" fontId="27" fillId="3" borderId="20" xfId="3" applyFont="1" applyFill="1" applyBorder="1" applyAlignment="1">
      <alignment horizontal="center" vertical="center"/>
    </xf>
    <xf numFmtId="0" fontId="27" fillId="3" borderId="2" xfId="3" applyFont="1" applyFill="1" applyBorder="1" applyAlignment="1">
      <alignment horizontal="center" vertical="center"/>
    </xf>
    <xf numFmtId="177" fontId="27" fillId="3" borderId="20" xfId="23" applyFont="1" applyFill="1" applyBorder="1" applyAlignment="1">
      <alignment horizontal="center" vertical="center"/>
    </xf>
    <xf numFmtId="178" fontId="27" fillId="3" borderId="20" xfId="5" applyFont="1" applyFill="1" applyBorder="1" applyAlignment="1">
      <alignment horizontal="center" vertical="center"/>
    </xf>
    <xf numFmtId="0" fontId="27" fillId="3" borderId="20" xfId="0" applyFont="1" applyFill="1" applyBorder="1" applyAlignment="1">
      <alignment horizontal="center" vertical="center"/>
    </xf>
    <xf numFmtId="0" fontId="27" fillId="3" borderId="2" xfId="0" applyFont="1" applyFill="1" applyBorder="1" applyAlignment="1">
      <alignment horizontal="center" vertical="center"/>
    </xf>
    <xf numFmtId="0" fontId="27" fillId="0" borderId="20" xfId="0" applyFont="1" applyBorder="1" applyAlignment="1">
      <alignment horizontal="center" vertical="center"/>
    </xf>
    <xf numFmtId="0" fontId="27" fillId="8" borderId="2" xfId="0" applyFont="1" applyFill="1" applyBorder="1" applyAlignment="1">
      <alignment horizontal="center" vertical="center"/>
    </xf>
    <xf numFmtId="0" fontId="39" fillId="10" borderId="38" xfId="22" applyFont="1" applyFill="1" applyBorder="1" applyAlignment="1">
      <alignment horizontal="center" vertical="center" wrapText="1"/>
    </xf>
    <xf numFmtId="0" fontId="39" fillId="10" borderId="54" xfId="22" applyFont="1" applyFill="1" applyBorder="1" applyAlignment="1">
      <alignment horizontal="center" vertical="center" wrapText="1"/>
    </xf>
    <xf numFmtId="0" fontId="39" fillId="10" borderId="36" xfId="22" applyFont="1" applyFill="1" applyBorder="1" applyAlignment="1">
      <alignment horizontal="center" vertical="center"/>
    </xf>
    <xf numFmtId="0" fontId="39" fillId="10" borderId="50" xfId="22" applyFont="1" applyFill="1" applyBorder="1" applyAlignment="1">
      <alignment horizontal="center" vertical="center"/>
    </xf>
    <xf numFmtId="0" fontId="39" fillId="10" borderId="37" xfId="22" applyFont="1" applyFill="1" applyBorder="1" applyAlignment="1">
      <alignment horizontal="center" vertical="center"/>
    </xf>
    <xf numFmtId="0" fontId="39" fillId="10" borderId="51" xfId="22" applyFont="1" applyFill="1" applyBorder="1" applyAlignment="1">
      <alignment horizontal="center" vertical="center"/>
    </xf>
    <xf numFmtId="0" fontId="40" fillId="10" borderId="37" xfId="22" applyFont="1" applyFill="1" applyBorder="1" applyAlignment="1">
      <alignment horizontal="center" vertical="center" wrapText="1"/>
    </xf>
    <xf numFmtId="0" fontId="40" fillId="10" borderId="51" xfId="22" applyFont="1" applyFill="1" applyBorder="1" applyAlignment="1">
      <alignment horizontal="center" vertical="center"/>
    </xf>
    <xf numFmtId="0" fontId="40" fillId="10" borderId="37" xfId="22" applyFont="1" applyFill="1" applyBorder="1" applyAlignment="1">
      <alignment horizontal="center" vertical="center"/>
    </xf>
    <xf numFmtId="0" fontId="77" fillId="10" borderId="65" xfId="22" applyFont="1" applyFill="1" applyBorder="1" applyAlignment="1">
      <alignment horizontal="center" vertical="center"/>
    </xf>
    <xf numFmtId="0" fontId="77" fillId="10" borderId="70" xfId="22" applyFont="1" applyFill="1" applyBorder="1" applyAlignment="1">
      <alignment horizontal="center" vertical="center"/>
    </xf>
    <xf numFmtId="0" fontId="77" fillId="10" borderId="72" xfId="22" applyFont="1" applyFill="1" applyBorder="1" applyAlignment="1">
      <alignment horizontal="center" vertical="center"/>
    </xf>
    <xf numFmtId="0" fontId="39" fillId="10" borderId="37" xfId="22" applyFont="1" applyFill="1" applyBorder="1" applyAlignment="1">
      <alignment horizontal="center" vertical="center" wrapText="1"/>
    </xf>
    <xf numFmtId="0" fontId="39" fillId="10" borderId="51" xfId="22" applyFont="1" applyFill="1" applyBorder="1" applyAlignment="1">
      <alignment horizontal="center" vertical="center" wrapText="1"/>
    </xf>
    <xf numFmtId="0" fontId="89" fillId="0" borderId="91" xfId="22" applyFont="1" applyBorder="1" applyAlignment="1">
      <alignment horizontal="center" vertical="center" wrapText="1"/>
    </xf>
    <xf numFmtId="0" fontId="89" fillId="0" borderId="92" xfId="22" applyFont="1" applyBorder="1" applyAlignment="1">
      <alignment horizontal="center" vertical="center" wrapText="1"/>
    </xf>
    <xf numFmtId="0" fontId="89" fillId="0" borderId="44" xfId="22" applyFont="1" applyBorder="1" applyAlignment="1">
      <alignment horizontal="center" vertical="center" wrapText="1"/>
    </xf>
    <xf numFmtId="0" fontId="89" fillId="0" borderId="45" xfId="22" applyFont="1" applyBorder="1" applyAlignment="1">
      <alignment horizontal="center" vertical="center" wrapText="1"/>
    </xf>
    <xf numFmtId="0" fontId="65" fillId="0" borderId="44" xfId="22" applyFont="1" applyBorder="1" applyAlignment="1">
      <alignment horizontal="center" vertical="center" wrapText="1"/>
    </xf>
    <xf numFmtId="0" fontId="65" fillId="0" borderId="45" xfId="22" applyFont="1" applyBorder="1" applyAlignment="1">
      <alignment horizontal="center" vertical="center" wrapText="1"/>
    </xf>
    <xf numFmtId="0" fontId="149" fillId="0" borderId="91" xfId="22" applyFont="1" applyBorder="1" applyAlignment="1">
      <alignment horizontal="center" vertical="center" wrapText="1"/>
    </xf>
    <xf numFmtId="0" fontId="149" fillId="0" borderId="92" xfId="22" applyFont="1" applyBorder="1" applyAlignment="1">
      <alignment horizontal="center" vertical="center" wrapText="1"/>
    </xf>
    <xf numFmtId="0" fontId="124" fillId="0" borderId="91" xfId="22" applyFont="1" applyBorder="1" applyAlignment="1">
      <alignment horizontal="center" vertical="center" wrapText="1"/>
    </xf>
    <xf numFmtId="0" fontId="124" fillId="0" borderId="92" xfId="22" applyFont="1" applyBorder="1" applyAlignment="1">
      <alignment horizontal="center" vertical="center" wrapText="1"/>
    </xf>
    <xf numFmtId="0" fontId="105" fillId="0" borderId="91" xfId="22" applyFont="1" applyBorder="1" applyAlignment="1">
      <alignment horizontal="center" vertical="center" wrapText="1"/>
    </xf>
    <xf numFmtId="0" fontId="105" fillId="0" borderId="92" xfId="22" applyFont="1" applyBorder="1" applyAlignment="1">
      <alignment horizontal="center" vertical="center" wrapText="1"/>
    </xf>
  </cellXfs>
  <cellStyles count="26">
    <cellStyle name="백분율" xfId="2" builtinId="5"/>
    <cellStyle name="백분율 2 64" xfId="9" xr:uid="{00000000-0005-0000-0000-000001000000}"/>
    <cellStyle name="쉼표 [0]" xfId="1" builtinId="6"/>
    <cellStyle name="쉼표 [0] 17" xfId="5" xr:uid="{00000000-0005-0000-0000-000003000000}"/>
    <cellStyle name="쉼표 [0] 2" xfId="4" xr:uid="{00000000-0005-0000-0000-000004000000}"/>
    <cellStyle name="쉼표 [0] 2 2" xfId="18" xr:uid="{9DE5560C-89D3-4234-A527-EA49B53D4971}"/>
    <cellStyle name="쉼표 [0] 2 2 29" xfId="13" xr:uid="{00000000-0005-0000-0000-000005000000}"/>
    <cellStyle name="쉼표 [0] 2 3" xfId="23" xr:uid="{A0E396E7-5B8D-4EC2-88B0-28904EDC08F0}"/>
    <cellStyle name="쉼표 [0] 2 4 2" xfId="20" xr:uid="{82F7DE00-7E0F-4135-9D8B-23A5F95E9E50}"/>
    <cellStyle name="쉼표 [0] 2 4 2 2" xfId="24" xr:uid="{B8232248-A1AE-4BB1-8792-160BBB967084}"/>
    <cellStyle name="쉼표 [0] 3" xfId="16" xr:uid="{8F7BE219-40E1-4BBB-A9BD-02188B74B2A3}"/>
    <cellStyle name="쉼표 [0] 4" xfId="21" xr:uid="{BDD5CECE-202B-4017-8E56-8FAE5E389DED}"/>
    <cellStyle name="쉼표 [0]_봉강빌딩신축공사" xfId="7" xr:uid="{00000000-0005-0000-0000-000006000000}"/>
    <cellStyle name="통화 [0] 2 2" xfId="12" xr:uid="{00000000-0005-0000-0000-000007000000}"/>
    <cellStyle name="표준" xfId="0" builtinId="0"/>
    <cellStyle name="표준 10 10 2" xfId="3" xr:uid="{00000000-0005-0000-0000-000009000000}"/>
    <cellStyle name="표준 10 31" xfId="11" xr:uid="{00000000-0005-0000-0000-00000A000000}"/>
    <cellStyle name="표준 2" xfId="8" xr:uid="{00000000-0005-0000-0000-00000B000000}"/>
    <cellStyle name="표준 2 10 5" xfId="10" xr:uid="{00000000-0005-0000-0000-00000C000000}"/>
    <cellStyle name="표준 2 2" xfId="25" xr:uid="{328D93E7-4E9D-4E41-B397-E75ED9AF4008}"/>
    <cellStyle name="표준 3" xfId="14" xr:uid="{00000000-0005-0000-0000-00000D000000}"/>
    <cellStyle name="표준 4" xfId="15" xr:uid="{08D43F33-5EF4-4FAF-B422-8A71947BBD29}"/>
    <cellStyle name="표준 5" xfId="17" xr:uid="{B39ACF8E-5B1E-4331-957C-34579729CB23}"/>
    <cellStyle name="표준 6" xfId="19" xr:uid="{9CF584B9-D7C1-4C34-BB5A-7191C1F61E39}"/>
    <cellStyle name="표준 6 2" xfId="22" xr:uid="{5518A5A9-AEA9-4BF7-A9FC-54C251CB787A}"/>
    <cellStyle name="표준_봉강빌딩신축공사" xfId="6" xr:uid="{00000000-0005-0000-0000-00000E000000}"/>
  </cellStyles>
  <dxfs count="0"/>
  <tableStyles count="0" defaultTableStyle="TableStyleMedium2" defaultPivotStyle="PivotStyleLight16"/>
  <colors>
    <mruColors>
      <color rgb="FFFF00FF"/>
      <color rgb="FF248883"/>
      <color rgb="FF289893"/>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5</xdr:col>
      <xdr:colOff>3295650</xdr:colOff>
      <xdr:row>8</xdr:row>
      <xdr:rowOff>200025</xdr:rowOff>
    </xdr:from>
    <xdr:to>
      <xdr:col>5</xdr:col>
      <xdr:colOff>3943350</xdr:colOff>
      <xdr:row>11</xdr:row>
      <xdr:rowOff>66675</xdr:rowOff>
    </xdr:to>
    <xdr:pic>
      <xdr:nvPicPr>
        <xdr:cNvPr id="2" name="Picture 6" descr="도장">
          <a:extLst>
            <a:ext uri="{FF2B5EF4-FFF2-40B4-BE49-F238E27FC236}">
              <a16:creationId xmlns:a16="http://schemas.microsoft.com/office/drawing/2014/main" id="{CD65BC4F-7174-4F12-BDBA-BA32E4F0D84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3" name="Picture 1" descr="세원도장">
          <a:extLst>
            <a:ext uri="{FF2B5EF4-FFF2-40B4-BE49-F238E27FC236}">
              <a16:creationId xmlns:a16="http://schemas.microsoft.com/office/drawing/2014/main" id="{620EFB75-189D-46B3-B333-D4F07EF8122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 name="Picture 6" descr="도장">
          <a:extLst>
            <a:ext uri="{FF2B5EF4-FFF2-40B4-BE49-F238E27FC236}">
              <a16:creationId xmlns:a16="http://schemas.microsoft.com/office/drawing/2014/main" id="{51BFC076-7528-4839-AE81-B6BFBA3E3F4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5" name="Picture 1" descr="세원도장">
          <a:extLst>
            <a:ext uri="{FF2B5EF4-FFF2-40B4-BE49-F238E27FC236}">
              <a16:creationId xmlns:a16="http://schemas.microsoft.com/office/drawing/2014/main" id="{93EF490C-79AD-4E9C-9DF6-1391F8AE43D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6" name="Picture 6" descr="도장">
          <a:extLst>
            <a:ext uri="{FF2B5EF4-FFF2-40B4-BE49-F238E27FC236}">
              <a16:creationId xmlns:a16="http://schemas.microsoft.com/office/drawing/2014/main" id="{9C8553C5-6CCA-48F7-AF22-E5AF55C4D72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 name="Picture 6" descr="도장">
          <a:extLst>
            <a:ext uri="{FF2B5EF4-FFF2-40B4-BE49-F238E27FC236}">
              <a16:creationId xmlns:a16="http://schemas.microsoft.com/office/drawing/2014/main" id="{98C3363E-A2D2-4B03-96C9-8EDF97B86F6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8" name="Picture 6" descr="도장">
          <a:extLst>
            <a:ext uri="{FF2B5EF4-FFF2-40B4-BE49-F238E27FC236}">
              <a16:creationId xmlns:a16="http://schemas.microsoft.com/office/drawing/2014/main" id="{8E42BDEA-A1E3-4F2F-A18F-CAB45821AE34}"/>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 name="Picture 6" descr="도장">
          <a:extLst>
            <a:ext uri="{FF2B5EF4-FFF2-40B4-BE49-F238E27FC236}">
              <a16:creationId xmlns:a16="http://schemas.microsoft.com/office/drawing/2014/main" id="{AEC03949-5F47-465B-B57F-B18EC6D0EC1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 name="Picture 6" descr="도장">
          <a:extLst>
            <a:ext uri="{FF2B5EF4-FFF2-40B4-BE49-F238E27FC236}">
              <a16:creationId xmlns:a16="http://schemas.microsoft.com/office/drawing/2014/main" id="{32C447D7-3B4F-46A5-992D-28A33AA5C2D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1" name="Picture 1" descr="세원도장">
          <a:extLst>
            <a:ext uri="{FF2B5EF4-FFF2-40B4-BE49-F238E27FC236}">
              <a16:creationId xmlns:a16="http://schemas.microsoft.com/office/drawing/2014/main" id="{327F69CD-C437-4E24-A340-984D2AA1DC55}"/>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2" name="Picture 6" descr="도장">
          <a:extLst>
            <a:ext uri="{FF2B5EF4-FFF2-40B4-BE49-F238E27FC236}">
              <a16:creationId xmlns:a16="http://schemas.microsoft.com/office/drawing/2014/main" id="{2EFB97DC-A2BF-427A-89D9-6D287021FC5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3" name="Picture 1" descr="세원도장">
          <a:extLst>
            <a:ext uri="{FF2B5EF4-FFF2-40B4-BE49-F238E27FC236}">
              <a16:creationId xmlns:a16="http://schemas.microsoft.com/office/drawing/2014/main" id="{B3D04654-324F-4AE6-B26F-C8AD2868150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4" name="Picture 1" descr="세원도장">
          <a:extLst>
            <a:ext uri="{FF2B5EF4-FFF2-40B4-BE49-F238E27FC236}">
              <a16:creationId xmlns:a16="http://schemas.microsoft.com/office/drawing/2014/main" id="{CF5C4603-A23F-46B1-9913-0458B16A7B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5" name="Picture 1" descr="세원도장">
          <a:extLst>
            <a:ext uri="{FF2B5EF4-FFF2-40B4-BE49-F238E27FC236}">
              <a16:creationId xmlns:a16="http://schemas.microsoft.com/office/drawing/2014/main" id="{32653C5B-B077-4460-8B87-3277AA1FD33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6" name="Picture 1" descr="세원도장">
          <a:extLst>
            <a:ext uri="{FF2B5EF4-FFF2-40B4-BE49-F238E27FC236}">
              <a16:creationId xmlns:a16="http://schemas.microsoft.com/office/drawing/2014/main" id="{58F41B5C-3A18-4A7A-8BC1-50924D4A474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17" name="Picture 1" descr="세원도장">
          <a:extLst>
            <a:ext uri="{FF2B5EF4-FFF2-40B4-BE49-F238E27FC236}">
              <a16:creationId xmlns:a16="http://schemas.microsoft.com/office/drawing/2014/main" id="{133EB9BA-1B8E-48BB-AED2-FC4C13F5AFF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8" name="Picture 1" descr="세원도장">
          <a:extLst>
            <a:ext uri="{FF2B5EF4-FFF2-40B4-BE49-F238E27FC236}">
              <a16:creationId xmlns:a16="http://schemas.microsoft.com/office/drawing/2014/main" id="{8F5FA13F-2F28-465C-BDF1-72C38845EF5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19" name="Picture 1" descr="세원도장">
          <a:extLst>
            <a:ext uri="{FF2B5EF4-FFF2-40B4-BE49-F238E27FC236}">
              <a16:creationId xmlns:a16="http://schemas.microsoft.com/office/drawing/2014/main" id="{F67F748F-0807-4B7E-B013-BC7DDE020BD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0" name="Picture 1" descr="세원도장">
          <a:extLst>
            <a:ext uri="{FF2B5EF4-FFF2-40B4-BE49-F238E27FC236}">
              <a16:creationId xmlns:a16="http://schemas.microsoft.com/office/drawing/2014/main" id="{CE95B637-85C6-48E5-A74F-1C83B649991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1" name="Picture 1" descr="세원도장">
          <a:extLst>
            <a:ext uri="{FF2B5EF4-FFF2-40B4-BE49-F238E27FC236}">
              <a16:creationId xmlns:a16="http://schemas.microsoft.com/office/drawing/2014/main" id="{4C5141EC-219F-474A-AE82-263806F9E49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2" name="Picture 1" descr="세원도장">
          <a:extLst>
            <a:ext uri="{FF2B5EF4-FFF2-40B4-BE49-F238E27FC236}">
              <a16:creationId xmlns:a16="http://schemas.microsoft.com/office/drawing/2014/main" id="{FA1F39CC-6F31-4602-9B1D-32C2827F3C2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3" name="Picture 1" descr="세원도장">
          <a:extLst>
            <a:ext uri="{FF2B5EF4-FFF2-40B4-BE49-F238E27FC236}">
              <a16:creationId xmlns:a16="http://schemas.microsoft.com/office/drawing/2014/main" id="{0E7791F0-39F7-4955-8374-0D2A785CE55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4" name="Picture 1" descr="세원도장">
          <a:extLst>
            <a:ext uri="{FF2B5EF4-FFF2-40B4-BE49-F238E27FC236}">
              <a16:creationId xmlns:a16="http://schemas.microsoft.com/office/drawing/2014/main" id="{5550B42B-9815-4AE4-B26B-2368FDAC5B0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5" name="Picture 1" descr="세원도장">
          <a:extLst>
            <a:ext uri="{FF2B5EF4-FFF2-40B4-BE49-F238E27FC236}">
              <a16:creationId xmlns:a16="http://schemas.microsoft.com/office/drawing/2014/main" id="{361AA554-32B0-46C3-BD40-4CF5E0DB1FB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6" name="Picture 1" descr="세원도장">
          <a:extLst>
            <a:ext uri="{FF2B5EF4-FFF2-40B4-BE49-F238E27FC236}">
              <a16:creationId xmlns:a16="http://schemas.microsoft.com/office/drawing/2014/main" id="{79E3EB47-D96A-4964-85FB-C4F4D7C65D2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7" name="Picture 1" descr="세원도장">
          <a:extLst>
            <a:ext uri="{FF2B5EF4-FFF2-40B4-BE49-F238E27FC236}">
              <a16:creationId xmlns:a16="http://schemas.microsoft.com/office/drawing/2014/main" id="{72130DCA-E4F3-4382-B749-AEA4CBFD3F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8" name="Picture 1" descr="세원도장">
          <a:extLst>
            <a:ext uri="{FF2B5EF4-FFF2-40B4-BE49-F238E27FC236}">
              <a16:creationId xmlns:a16="http://schemas.microsoft.com/office/drawing/2014/main" id="{44D0AE86-7190-42FF-95F5-5FF660530CB4}"/>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29" name="Picture 1" descr="세원도장">
          <a:extLst>
            <a:ext uri="{FF2B5EF4-FFF2-40B4-BE49-F238E27FC236}">
              <a16:creationId xmlns:a16="http://schemas.microsoft.com/office/drawing/2014/main" id="{902C9D71-E6FB-489F-8215-555ACE9A1DB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0" name="Picture 1" descr="세원도장">
          <a:extLst>
            <a:ext uri="{FF2B5EF4-FFF2-40B4-BE49-F238E27FC236}">
              <a16:creationId xmlns:a16="http://schemas.microsoft.com/office/drawing/2014/main" id="{E9ABB500-39A6-400B-A060-DB991627F88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1" name="Picture 1" descr="세원도장">
          <a:extLst>
            <a:ext uri="{FF2B5EF4-FFF2-40B4-BE49-F238E27FC236}">
              <a16:creationId xmlns:a16="http://schemas.microsoft.com/office/drawing/2014/main" id="{CBDA6906-75CB-4AF4-997D-6933370EBEB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2" name="Picture 1" descr="세원도장">
          <a:extLst>
            <a:ext uri="{FF2B5EF4-FFF2-40B4-BE49-F238E27FC236}">
              <a16:creationId xmlns:a16="http://schemas.microsoft.com/office/drawing/2014/main" id="{5C8224D5-ACE7-4DB8-89CF-6C8AB2356D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33" name="Picture 1" descr="세원도장">
          <a:extLst>
            <a:ext uri="{FF2B5EF4-FFF2-40B4-BE49-F238E27FC236}">
              <a16:creationId xmlns:a16="http://schemas.microsoft.com/office/drawing/2014/main" id="{AF5C288F-ED79-4DE7-A4F9-C8DA0599780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4" name="Picture 1" descr="세원도장">
          <a:extLst>
            <a:ext uri="{FF2B5EF4-FFF2-40B4-BE49-F238E27FC236}">
              <a16:creationId xmlns:a16="http://schemas.microsoft.com/office/drawing/2014/main" id="{031FC4D8-52F0-4A70-8F5D-467DBB02209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35" name="Picture 1" descr="세원도장">
          <a:extLst>
            <a:ext uri="{FF2B5EF4-FFF2-40B4-BE49-F238E27FC236}">
              <a16:creationId xmlns:a16="http://schemas.microsoft.com/office/drawing/2014/main" id="{9AF22594-8BC7-44AB-BE83-961B18391B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6" name="Picture 6" descr="도장">
          <a:extLst>
            <a:ext uri="{FF2B5EF4-FFF2-40B4-BE49-F238E27FC236}">
              <a16:creationId xmlns:a16="http://schemas.microsoft.com/office/drawing/2014/main" id="{EC60928C-CE7A-430B-B5B6-B6108439511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7" name="Picture 1" descr="세원도장">
          <a:extLst>
            <a:ext uri="{FF2B5EF4-FFF2-40B4-BE49-F238E27FC236}">
              <a16:creationId xmlns:a16="http://schemas.microsoft.com/office/drawing/2014/main" id="{61FAF88F-8F40-47F9-8A0E-69648B5C14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38" name="Picture 6" descr="도장">
          <a:extLst>
            <a:ext uri="{FF2B5EF4-FFF2-40B4-BE49-F238E27FC236}">
              <a16:creationId xmlns:a16="http://schemas.microsoft.com/office/drawing/2014/main" id="{C9BA604B-7D0A-4439-A80A-DD75931023A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39" name="Picture 1" descr="세원도장">
          <a:extLst>
            <a:ext uri="{FF2B5EF4-FFF2-40B4-BE49-F238E27FC236}">
              <a16:creationId xmlns:a16="http://schemas.microsoft.com/office/drawing/2014/main" id="{454DE7E6-DF21-4E77-BA49-9B423A44B9C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0" name="Picture 6" descr="도장">
          <a:extLst>
            <a:ext uri="{FF2B5EF4-FFF2-40B4-BE49-F238E27FC236}">
              <a16:creationId xmlns:a16="http://schemas.microsoft.com/office/drawing/2014/main" id="{1D66BA31-62DA-4389-8B49-CAD67185589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1" name="Picture 6" descr="도장">
          <a:extLst>
            <a:ext uri="{FF2B5EF4-FFF2-40B4-BE49-F238E27FC236}">
              <a16:creationId xmlns:a16="http://schemas.microsoft.com/office/drawing/2014/main" id="{9DAC171B-0272-4215-8008-21218889A0E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2" name="Picture 6" descr="도장">
          <a:extLst>
            <a:ext uri="{FF2B5EF4-FFF2-40B4-BE49-F238E27FC236}">
              <a16:creationId xmlns:a16="http://schemas.microsoft.com/office/drawing/2014/main" id="{410CC250-6DE4-4ED0-935A-EEF87D0901DF}"/>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3" name="Picture 6" descr="도장">
          <a:extLst>
            <a:ext uri="{FF2B5EF4-FFF2-40B4-BE49-F238E27FC236}">
              <a16:creationId xmlns:a16="http://schemas.microsoft.com/office/drawing/2014/main" id="{5EE31494-1802-41AA-A6BD-7EBFF66266C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4" name="Picture 6" descr="도장">
          <a:extLst>
            <a:ext uri="{FF2B5EF4-FFF2-40B4-BE49-F238E27FC236}">
              <a16:creationId xmlns:a16="http://schemas.microsoft.com/office/drawing/2014/main" id="{4057111E-9964-4885-931C-5C7B78F7793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5" name="Picture 1" descr="세원도장">
          <a:extLst>
            <a:ext uri="{FF2B5EF4-FFF2-40B4-BE49-F238E27FC236}">
              <a16:creationId xmlns:a16="http://schemas.microsoft.com/office/drawing/2014/main" id="{3000E5C6-A44E-4228-ABFB-4BB3ADBB9B7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46" name="Picture 6" descr="도장">
          <a:extLst>
            <a:ext uri="{FF2B5EF4-FFF2-40B4-BE49-F238E27FC236}">
              <a16:creationId xmlns:a16="http://schemas.microsoft.com/office/drawing/2014/main" id="{2C1A31B3-8F09-4B9D-A4AE-1D4E4FB7BAF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7" name="Picture 1" descr="세원도장">
          <a:extLst>
            <a:ext uri="{FF2B5EF4-FFF2-40B4-BE49-F238E27FC236}">
              <a16:creationId xmlns:a16="http://schemas.microsoft.com/office/drawing/2014/main" id="{A1471933-3280-43ED-AF91-749FE44797E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8" name="Picture 1" descr="세원도장">
          <a:extLst>
            <a:ext uri="{FF2B5EF4-FFF2-40B4-BE49-F238E27FC236}">
              <a16:creationId xmlns:a16="http://schemas.microsoft.com/office/drawing/2014/main" id="{57421D83-489E-434C-B2CC-7850B709467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49" name="Picture 1" descr="세원도장">
          <a:extLst>
            <a:ext uri="{FF2B5EF4-FFF2-40B4-BE49-F238E27FC236}">
              <a16:creationId xmlns:a16="http://schemas.microsoft.com/office/drawing/2014/main" id="{A07D52C1-3752-42D8-9693-217A3004019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0" name="Picture 1" descr="세원도장">
          <a:extLst>
            <a:ext uri="{FF2B5EF4-FFF2-40B4-BE49-F238E27FC236}">
              <a16:creationId xmlns:a16="http://schemas.microsoft.com/office/drawing/2014/main" id="{14993479-F0FE-469D-8ADB-D08D13D6025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51" name="Picture 1" descr="세원도장">
          <a:extLst>
            <a:ext uri="{FF2B5EF4-FFF2-40B4-BE49-F238E27FC236}">
              <a16:creationId xmlns:a16="http://schemas.microsoft.com/office/drawing/2014/main" id="{4C1F707A-A05D-48A3-A97F-C4ED04691C5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2" name="Picture 1" descr="세원도장">
          <a:extLst>
            <a:ext uri="{FF2B5EF4-FFF2-40B4-BE49-F238E27FC236}">
              <a16:creationId xmlns:a16="http://schemas.microsoft.com/office/drawing/2014/main" id="{FA0F34EC-D35C-4AE3-8F2D-058523D0555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53" name="Picture 1" descr="세원도장">
          <a:extLst>
            <a:ext uri="{FF2B5EF4-FFF2-40B4-BE49-F238E27FC236}">
              <a16:creationId xmlns:a16="http://schemas.microsoft.com/office/drawing/2014/main" id="{3E2EC66E-5043-4C1C-A9C0-33C33993219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4" name="Picture 1" descr="세원도장">
          <a:extLst>
            <a:ext uri="{FF2B5EF4-FFF2-40B4-BE49-F238E27FC236}">
              <a16:creationId xmlns:a16="http://schemas.microsoft.com/office/drawing/2014/main" id="{AD1CA1CA-60A8-496D-AA43-117963B4316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5" name="Picture 1" descr="세원도장">
          <a:extLst>
            <a:ext uri="{FF2B5EF4-FFF2-40B4-BE49-F238E27FC236}">
              <a16:creationId xmlns:a16="http://schemas.microsoft.com/office/drawing/2014/main" id="{57C97FE6-EF0A-45F0-BDD1-45D3C243D940}"/>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6" name="Picture 1" descr="세원도장">
          <a:extLst>
            <a:ext uri="{FF2B5EF4-FFF2-40B4-BE49-F238E27FC236}">
              <a16:creationId xmlns:a16="http://schemas.microsoft.com/office/drawing/2014/main" id="{1FABCB4C-5BD7-4809-BF93-96F036E6DF2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7" name="Picture 1" descr="세원도장">
          <a:extLst>
            <a:ext uri="{FF2B5EF4-FFF2-40B4-BE49-F238E27FC236}">
              <a16:creationId xmlns:a16="http://schemas.microsoft.com/office/drawing/2014/main" id="{950CD11F-321E-411D-A603-4B984F79E71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8" name="Picture 1" descr="세원도장">
          <a:extLst>
            <a:ext uri="{FF2B5EF4-FFF2-40B4-BE49-F238E27FC236}">
              <a16:creationId xmlns:a16="http://schemas.microsoft.com/office/drawing/2014/main" id="{9E789DA5-68AC-47D4-8E20-763BFE92D2B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59" name="Picture 1" descr="세원도장">
          <a:extLst>
            <a:ext uri="{FF2B5EF4-FFF2-40B4-BE49-F238E27FC236}">
              <a16:creationId xmlns:a16="http://schemas.microsoft.com/office/drawing/2014/main" id="{B012F44E-7E39-4A50-A8D6-5A88DC74F0E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0" name="Picture 1" descr="세원도장">
          <a:extLst>
            <a:ext uri="{FF2B5EF4-FFF2-40B4-BE49-F238E27FC236}">
              <a16:creationId xmlns:a16="http://schemas.microsoft.com/office/drawing/2014/main" id="{482E939E-4C71-4714-8920-66FF594DCB9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1" name="Picture 1" descr="세원도장">
          <a:extLst>
            <a:ext uri="{FF2B5EF4-FFF2-40B4-BE49-F238E27FC236}">
              <a16:creationId xmlns:a16="http://schemas.microsoft.com/office/drawing/2014/main" id="{9FB3329D-CCD4-436C-8B09-B10B1536771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2" name="Picture 1" descr="세원도장">
          <a:extLst>
            <a:ext uri="{FF2B5EF4-FFF2-40B4-BE49-F238E27FC236}">
              <a16:creationId xmlns:a16="http://schemas.microsoft.com/office/drawing/2014/main" id="{26288DEC-5713-4D9B-BFE6-344473A51AD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63" name="Picture 1" descr="세원도장">
          <a:extLst>
            <a:ext uri="{FF2B5EF4-FFF2-40B4-BE49-F238E27FC236}">
              <a16:creationId xmlns:a16="http://schemas.microsoft.com/office/drawing/2014/main" id="{29E22DD0-8972-4720-8F21-1FE062633CB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4" name="Picture 1" descr="세원도장">
          <a:extLst>
            <a:ext uri="{FF2B5EF4-FFF2-40B4-BE49-F238E27FC236}">
              <a16:creationId xmlns:a16="http://schemas.microsoft.com/office/drawing/2014/main" id="{A2484BA7-9849-407E-A595-CBFC886EB6D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5" name="Picture 1" descr="세원도장">
          <a:extLst>
            <a:ext uri="{FF2B5EF4-FFF2-40B4-BE49-F238E27FC236}">
              <a16:creationId xmlns:a16="http://schemas.microsoft.com/office/drawing/2014/main" id="{74A1EE7C-8A69-40A8-82EF-3E8FEB36264B}"/>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6" name="Picture 1" descr="세원도장">
          <a:extLst>
            <a:ext uri="{FF2B5EF4-FFF2-40B4-BE49-F238E27FC236}">
              <a16:creationId xmlns:a16="http://schemas.microsoft.com/office/drawing/2014/main" id="{0EF8B080-5EBC-4D5E-B23C-A70CF66A9E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67" name="Picture 1" descr="세원도장">
          <a:extLst>
            <a:ext uri="{FF2B5EF4-FFF2-40B4-BE49-F238E27FC236}">
              <a16:creationId xmlns:a16="http://schemas.microsoft.com/office/drawing/2014/main" id="{8C15EBBD-BF79-4623-8FD2-9409FB74704C}"/>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8" name="Picture 1" descr="세원도장">
          <a:extLst>
            <a:ext uri="{FF2B5EF4-FFF2-40B4-BE49-F238E27FC236}">
              <a16:creationId xmlns:a16="http://schemas.microsoft.com/office/drawing/2014/main" id="{9FFAA5C9-D6B8-4EC1-9E5B-BEB1D16B09B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69" name="Picture 1" descr="세원도장">
          <a:extLst>
            <a:ext uri="{FF2B5EF4-FFF2-40B4-BE49-F238E27FC236}">
              <a16:creationId xmlns:a16="http://schemas.microsoft.com/office/drawing/2014/main" id="{454609C0-C002-4C39-8D60-DF8A184DAB0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0" name="Picture 6" descr="도장">
          <a:extLst>
            <a:ext uri="{FF2B5EF4-FFF2-40B4-BE49-F238E27FC236}">
              <a16:creationId xmlns:a16="http://schemas.microsoft.com/office/drawing/2014/main" id="{2F34D7DB-55A2-4924-A683-ECF802276F9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1" name="Picture 1" descr="세원도장">
          <a:extLst>
            <a:ext uri="{FF2B5EF4-FFF2-40B4-BE49-F238E27FC236}">
              <a16:creationId xmlns:a16="http://schemas.microsoft.com/office/drawing/2014/main" id="{B5111709-39DD-406F-97D8-7273EE114B8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72" name="Picture 6" descr="도장">
          <a:extLst>
            <a:ext uri="{FF2B5EF4-FFF2-40B4-BE49-F238E27FC236}">
              <a16:creationId xmlns:a16="http://schemas.microsoft.com/office/drawing/2014/main" id="{B49722F1-D63D-4B86-8AEB-B057C45706A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3" name="Picture 1" descr="세원도장">
          <a:extLst>
            <a:ext uri="{FF2B5EF4-FFF2-40B4-BE49-F238E27FC236}">
              <a16:creationId xmlns:a16="http://schemas.microsoft.com/office/drawing/2014/main" id="{FE5C85CA-B640-41CD-B17F-D24B0FA7861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4" name="Picture 1" descr="세원도장">
          <a:extLst>
            <a:ext uri="{FF2B5EF4-FFF2-40B4-BE49-F238E27FC236}">
              <a16:creationId xmlns:a16="http://schemas.microsoft.com/office/drawing/2014/main" id="{4A22170C-EA73-4AA9-BF7C-9004A27B5C9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5" name="Picture 1" descr="세원도장">
          <a:extLst>
            <a:ext uri="{FF2B5EF4-FFF2-40B4-BE49-F238E27FC236}">
              <a16:creationId xmlns:a16="http://schemas.microsoft.com/office/drawing/2014/main" id="{06530AF7-75AA-4757-8676-275171FB146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6" name="Picture 1" descr="세원도장">
          <a:extLst>
            <a:ext uri="{FF2B5EF4-FFF2-40B4-BE49-F238E27FC236}">
              <a16:creationId xmlns:a16="http://schemas.microsoft.com/office/drawing/2014/main" id="{29E3D2EE-0021-4EC4-9B17-CF8EA7760E3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77" name="Picture 1" descr="세원도장">
          <a:extLst>
            <a:ext uri="{FF2B5EF4-FFF2-40B4-BE49-F238E27FC236}">
              <a16:creationId xmlns:a16="http://schemas.microsoft.com/office/drawing/2014/main" id="{803DD086-B85C-46E4-85EC-917E35BF556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8" name="Picture 1" descr="세원도장">
          <a:extLst>
            <a:ext uri="{FF2B5EF4-FFF2-40B4-BE49-F238E27FC236}">
              <a16:creationId xmlns:a16="http://schemas.microsoft.com/office/drawing/2014/main" id="{C0C472A7-BD6E-4110-B513-317730D43CA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4</xdr:row>
      <xdr:rowOff>299682</xdr:rowOff>
    </xdr:to>
    <xdr:pic>
      <xdr:nvPicPr>
        <xdr:cNvPr id="79" name="Picture 1" descr="세원도장">
          <a:extLst>
            <a:ext uri="{FF2B5EF4-FFF2-40B4-BE49-F238E27FC236}">
              <a16:creationId xmlns:a16="http://schemas.microsoft.com/office/drawing/2014/main" id="{720EA8ED-D49E-4869-BE62-869DD74EE66D}"/>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258861"/>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0" name="Picture 1" descr="세원도장">
          <a:extLst>
            <a:ext uri="{FF2B5EF4-FFF2-40B4-BE49-F238E27FC236}">
              <a16:creationId xmlns:a16="http://schemas.microsoft.com/office/drawing/2014/main" id="{6F88B3E0-622F-449B-91FE-9E6AE610135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1" name="Picture 1" descr="세원도장">
          <a:extLst>
            <a:ext uri="{FF2B5EF4-FFF2-40B4-BE49-F238E27FC236}">
              <a16:creationId xmlns:a16="http://schemas.microsoft.com/office/drawing/2014/main" id="{6378E39B-799E-4CA9-8DA5-D02C4CD6EA0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2" name="Picture 1" descr="세원도장">
          <a:extLst>
            <a:ext uri="{FF2B5EF4-FFF2-40B4-BE49-F238E27FC236}">
              <a16:creationId xmlns:a16="http://schemas.microsoft.com/office/drawing/2014/main" id="{3F83EDC3-4114-450D-9257-9A377EEAC98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3" name="Picture 1" descr="세원도장">
          <a:extLst>
            <a:ext uri="{FF2B5EF4-FFF2-40B4-BE49-F238E27FC236}">
              <a16:creationId xmlns:a16="http://schemas.microsoft.com/office/drawing/2014/main" id="{41B6ECAD-EAA8-4BF4-813A-DFF772D11853}"/>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4" name="Picture 1" descr="세원도장">
          <a:extLst>
            <a:ext uri="{FF2B5EF4-FFF2-40B4-BE49-F238E27FC236}">
              <a16:creationId xmlns:a16="http://schemas.microsoft.com/office/drawing/2014/main" id="{4E00F9BF-D2FB-403C-8DDE-0E32ACB3BE52}"/>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5" name="Picture 1" descr="세원도장">
          <a:extLst>
            <a:ext uri="{FF2B5EF4-FFF2-40B4-BE49-F238E27FC236}">
              <a16:creationId xmlns:a16="http://schemas.microsoft.com/office/drawing/2014/main" id="{674855B8-1548-4B7F-9C07-5F8CA913411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6" name="Picture 1" descr="세원도장">
          <a:extLst>
            <a:ext uri="{FF2B5EF4-FFF2-40B4-BE49-F238E27FC236}">
              <a16:creationId xmlns:a16="http://schemas.microsoft.com/office/drawing/2014/main" id="{B5890187-1EAC-46C6-BF8A-81FB967539A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7" name="Picture 1" descr="세원도장">
          <a:extLst>
            <a:ext uri="{FF2B5EF4-FFF2-40B4-BE49-F238E27FC236}">
              <a16:creationId xmlns:a16="http://schemas.microsoft.com/office/drawing/2014/main" id="{B774127F-EDE0-4E6C-A601-77BDDA5FF04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8" name="Picture 1" descr="세원도장">
          <a:extLst>
            <a:ext uri="{FF2B5EF4-FFF2-40B4-BE49-F238E27FC236}">
              <a16:creationId xmlns:a16="http://schemas.microsoft.com/office/drawing/2014/main" id="{97C9DDC1-E6DB-4AD7-9876-F0FCBF6ADB8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2028701</xdr:colOff>
      <xdr:row>5</xdr:row>
      <xdr:rowOff>39167</xdr:rowOff>
    </xdr:to>
    <xdr:pic>
      <xdr:nvPicPr>
        <xdr:cNvPr id="89" name="Picture 1" descr="세원도장">
          <a:extLst>
            <a:ext uri="{FF2B5EF4-FFF2-40B4-BE49-F238E27FC236}">
              <a16:creationId xmlns:a16="http://schemas.microsoft.com/office/drawing/2014/main" id="{1D39F937-8592-4144-B339-3582139637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238" cy="341246"/>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0" name="Picture 1" descr="세원도장">
          <a:extLst>
            <a:ext uri="{FF2B5EF4-FFF2-40B4-BE49-F238E27FC236}">
              <a16:creationId xmlns:a16="http://schemas.microsoft.com/office/drawing/2014/main" id="{C4D462D2-6F20-4C00-809E-924ACCAC43B6}"/>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1" name="Picture 1" descr="세원도장">
          <a:extLst>
            <a:ext uri="{FF2B5EF4-FFF2-40B4-BE49-F238E27FC236}">
              <a16:creationId xmlns:a16="http://schemas.microsoft.com/office/drawing/2014/main" id="{A0361023-3E12-4E02-8FFE-02930FD83ED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2" name="Picture 1" descr="세원도장">
          <a:extLst>
            <a:ext uri="{FF2B5EF4-FFF2-40B4-BE49-F238E27FC236}">
              <a16:creationId xmlns:a16="http://schemas.microsoft.com/office/drawing/2014/main" id="{7C8EF5AD-3DD7-4CC0-A0B7-348DEC3FBCA7}"/>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91121</xdr:rowOff>
    </xdr:to>
    <xdr:pic>
      <xdr:nvPicPr>
        <xdr:cNvPr id="93" name="Picture 1" descr="세원도장">
          <a:extLst>
            <a:ext uri="{FF2B5EF4-FFF2-40B4-BE49-F238E27FC236}">
              <a16:creationId xmlns:a16="http://schemas.microsoft.com/office/drawing/2014/main" id="{D172309A-AF8D-4B1B-9A13-F303DFA31518}"/>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39320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4" name="Picture 1" descr="세원도장">
          <a:extLst>
            <a:ext uri="{FF2B5EF4-FFF2-40B4-BE49-F238E27FC236}">
              <a16:creationId xmlns:a16="http://schemas.microsoft.com/office/drawing/2014/main" id="{D8767F39-77CE-4FBC-B33C-D6AEF5C150B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145549</xdr:rowOff>
    </xdr:to>
    <xdr:pic>
      <xdr:nvPicPr>
        <xdr:cNvPr id="95" name="Picture 1" descr="세원도장">
          <a:extLst>
            <a:ext uri="{FF2B5EF4-FFF2-40B4-BE49-F238E27FC236}">
              <a16:creationId xmlns:a16="http://schemas.microsoft.com/office/drawing/2014/main" id="{8A56E285-0A93-414B-A62A-72AF53D7D8CA}"/>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47628"/>
        </a:xfrm>
        <a:prstGeom prst="rect">
          <a:avLst/>
        </a:prstGeom>
        <a:noFill/>
        <a:ln w="9525">
          <a:noFill/>
          <a:miter lim="800000"/>
          <a:headEnd/>
          <a:tailEnd/>
        </a:ln>
      </xdr:spPr>
    </xdr:pic>
    <xdr:clientData/>
  </xdr:twoCellAnchor>
  <xdr:twoCellAnchor editAs="oneCell">
    <xdr:from>
      <xdr:col>6</xdr:col>
      <xdr:colOff>762000</xdr:colOff>
      <xdr:row>5</xdr:row>
      <xdr:rowOff>217714</xdr:rowOff>
    </xdr:from>
    <xdr:to>
      <xdr:col>6</xdr:col>
      <xdr:colOff>1445264</xdr:colOff>
      <xdr:row>7</xdr:row>
      <xdr:rowOff>190501</xdr:rowOff>
    </xdr:to>
    <xdr:pic>
      <xdr:nvPicPr>
        <xdr:cNvPr id="96" name="Picture 2">
          <a:extLst>
            <a:ext uri="{FF2B5EF4-FFF2-40B4-BE49-F238E27FC236}">
              <a16:creationId xmlns:a16="http://schemas.microsoft.com/office/drawing/2014/main" id="{356D911A-1D2A-46A5-BA3D-55241952BE71}"/>
            </a:ext>
          </a:extLst>
        </xdr:cNvPr>
        <xdr:cNvPicPr>
          <a:picLocks noChangeAspect="1" noChangeArrowheads="1"/>
        </xdr:cNvPicPr>
      </xdr:nvPicPr>
      <xdr:blipFill rotWithShape="1">
        <a:blip xmlns:r="http://schemas.openxmlformats.org/officeDocument/2006/relationships" r:embed="rId3">
          <a:clrChange>
            <a:clrFrom>
              <a:srgbClr val="F3F7FF"/>
            </a:clrFrom>
            <a:clrTo>
              <a:srgbClr val="F3F7FF">
                <a:alpha val="0"/>
              </a:srgbClr>
            </a:clrTo>
          </a:clrChange>
          <a:extLst>
            <a:ext uri="{28A0092B-C50C-407E-A947-70E740481C1C}">
              <a14:useLocalDpi xmlns:a14="http://schemas.microsoft.com/office/drawing/2010/main" val="0"/>
            </a:ext>
          </a:extLst>
        </a:blip>
        <a:srcRect l="5999" t="6516" r="1" b="16889"/>
        <a:stretch/>
      </xdr:blipFill>
      <xdr:spPr bwMode="auto">
        <a:xfrm>
          <a:off x="8582025" y="1503589"/>
          <a:ext cx="683264" cy="658587"/>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7" name="Picture 6" descr="도장">
          <a:extLst>
            <a:ext uri="{FF2B5EF4-FFF2-40B4-BE49-F238E27FC236}">
              <a16:creationId xmlns:a16="http://schemas.microsoft.com/office/drawing/2014/main" id="{9CF9D000-1270-4B9A-9332-ECB6973E9891}"/>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98" name="Picture 1" descr="세원도장">
          <a:extLst>
            <a:ext uri="{FF2B5EF4-FFF2-40B4-BE49-F238E27FC236}">
              <a16:creationId xmlns:a16="http://schemas.microsoft.com/office/drawing/2014/main" id="{0C05E2E5-D4FA-4C2E-932D-DC6270EA3F5E}"/>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99" name="Picture 6" descr="도장">
          <a:extLst>
            <a:ext uri="{FF2B5EF4-FFF2-40B4-BE49-F238E27FC236}">
              <a16:creationId xmlns:a16="http://schemas.microsoft.com/office/drawing/2014/main" id="{230DC387-F3C3-4C88-B9BA-277D4465321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136024</xdr:rowOff>
    </xdr:to>
    <xdr:pic>
      <xdr:nvPicPr>
        <xdr:cNvPr id="100" name="Picture 1" descr="세원도장">
          <a:extLst>
            <a:ext uri="{FF2B5EF4-FFF2-40B4-BE49-F238E27FC236}">
              <a16:creationId xmlns:a16="http://schemas.microsoft.com/office/drawing/2014/main" id="{1085FE03-0885-45C3-BF2C-5FE6EFD7A789}"/>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8103"/>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1" name="Picture 6" descr="도장">
          <a:extLst>
            <a:ext uri="{FF2B5EF4-FFF2-40B4-BE49-F238E27FC236}">
              <a16:creationId xmlns:a16="http://schemas.microsoft.com/office/drawing/2014/main" id="{B4900B3A-A822-47E3-9DE7-1708CCA637C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2" name="Picture 6" descr="도장">
          <a:extLst>
            <a:ext uri="{FF2B5EF4-FFF2-40B4-BE49-F238E27FC236}">
              <a16:creationId xmlns:a16="http://schemas.microsoft.com/office/drawing/2014/main" id="{C822E424-C9AF-4435-BCBD-798089FBB2DA}"/>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3" name="Picture 6" descr="도장">
          <a:extLst>
            <a:ext uri="{FF2B5EF4-FFF2-40B4-BE49-F238E27FC236}">
              <a16:creationId xmlns:a16="http://schemas.microsoft.com/office/drawing/2014/main" id="{F9C52948-0F7B-4D25-8514-7CAEAB257CAE}"/>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4" name="Picture 6" descr="도장">
          <a:extLst>
            <a:ext uri="{FF2B5EF4-FFF2-40B4-BE49-F238E27FC236}">
              <a16:creationId xmlns:a16="http://schemas.microsoft.com/office/drawing/2014/main" id="{8765CCD7-89F4-443B-A505-423D0CD9B589}"/>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5" name="Picture 6" descr="도장">
          <a:extLst>
            <a:ext uri="{FF2B5EF4-FFF2-40B4-BE49-F238E27FC236}">
              <a16:creationId xmlns:a16="http://schemas.microsoft.com/office/drawing/2014/main" id="{DCF220D6-E2C6-4B9D-8711-EBB4F130753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6" name="Picture 1" descr="세원도장">
          <a:extLst>
            <a:ext uri="{FF2B5EF4-FFF2-40B4-BE49-F238E27FC236}">
              <a16:creationId xmlns:a16="http://schemas.microsoft.com/office/drawing/2014/main" id="{8C724D69-BFA5-4813-9A86-8DEECA8879CF}"/>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7" name="Picture 6" descr="도장">
          <a:extLst>
            <a:ext uri="{FF2B5EF4-FFF2-40B4-BE49-F238E27FC236}">
              <a16:creationId xmlns:a16="http://schemas.microsoft.com/office/drawing/2014/main" id="{D555770B-A07A-43E1-ADA7-A79B08AD5E5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editAs="oneCell">
    <xdr:from>
      <xdr:col>6</xdr:col>
      <xdr:colOff>2027463</xdr:colOff>
      <xdr:row>4</xdr:row>
      <xdr:rowOff>40821</xdr:rowOff>
    </xdr:from>
    <xdr:to>
      <xdr:col>6</xdr:col>
      <xdr:colOff>2027464</xdr:colOff>
      <xdr:row>5</xdr:row>
      <xdr:rowOff>131942</xdr:rowOff>
    </xdr:to>
    <xdr:pic>
      <xdr:nvPicPr>
        <xdr:cNvPr id="108" name="Picture 1" descr="세원도장">
          <a:extLst>
            <a:ext uri="{FF2B5EF4-FFF2-40B4-BE49-F238E27FC236}">
              <a16:creationId xmlns:a16="http://schemas.microsoft.com/office/drawing/2014/main" id="{C8B1B46F-3CBF-4C44-9DCB-5F4D0C8EA841}"/>
            </a:ext>
          </a:extLst>
        </xdr:cNvPr>
        <xdr:cNvPicPr>
          <a:picLocks noChangeAspect="1" noChangeArrowheads="1"/>
        </xdr:cNvPicPr>
      </xdr:nvPicPr>
      <xdr:blipFill>
        <a:blip xmlns:r="http://schemas.openxmlformats.org/officeDocument/2006/relationships" r:embed="rId2" cstate="print"/>
        <a:srcRect l="51321" t="20203" r="30370" b="53198"/>
        <a:stretch>
          <a:fillRect/>
        </a:stretch>
      </xdr:blipFill>
      <xdr:spPr bwMode="auto">
        <a:xfrm>
          <a:off x="9847488" y="983796"/>
          <a:ext cx="1" cy="434021"/>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09" name="Picture 6" descr="도장">
          <a:extLst>
            <a:ext uri="{FF2B5EF4-FFF2-40B4-BE49-F238E27FC236}">
              <a16:creationId xmlns:a16="http://schemas.microsoft.com/office/drawing/2014/main" id="{47CAA389-2A0D-47FE-A523-22B3ADC73B83}"/>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0" name="Picture 6" descr="도장">
          <a:extLst>
            <a:ext uri="{FF2B5EF4-FFF2-40B4-BE49-F238E27FC236}">
              <a16:creationId xmlns:a16="http://schemas.microsoft.com/office/drawing/2014/main" id="{36DE89CA-DAF7-4D52-BF73-DF363804374D}"/>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1" name="Picture 6" descr="도장">
          <a:extLst>
            <a:ext uri="{FF2B5EF4-FFF2-40B4-BE49-F238E27FC236}">
              <a16:creationId xmlns:a16="http://schemas.microsoft.com/office/drawing/2014/main" id="{2682726D-64F6-409C-8331-96CB2C1610F8}"/>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twoCellAnchor>
    <xdr:from>
      <xdr:col>5</xdr:col>
      <xdr:colOff>3295650</xdr:colOff>
      <xdr:row>8</xdr:row>
      <xdr:rowOff>200025</xdr:rowOff>
    </xdr:from>
    <xdr:to>
      <xdr:col>5</xdr:col>
      <xdr:colOff>3943350</xdr:colOff>
      <xdr:row>11</xdr:row>
      <xdr:rowOff>66675</xdr:rowOff>
    </xdr:to>
    <xdr:pic>
      <xdr:nvPicPr>
        <xdr:cNvPr id="112" name="Picture 6" descr="도장">
          <a:extLst>
            <a:ext uri="{FF2B5EF4-FFF2-40B4-BE49-F238E27FC236}">
              <a16:creationId xmlns:a16="http://schemas.microsoft.com/office/drawing/2014/main" id="{F68211E3-65AC-4117-BC2E-7F845EFEB9C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7820025" y="2514600"/>
          <a:ext cx="0" cy="8953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49552;&#51008;&#51452;\&#51089;&#50629;&#48169;\ryu\RYU1\SINGLE\EMAIL\temp\02\980226%20&#54056;&#49496;MESA&#48716;&#4637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호안철거수량계산서"/>
      <sheetName val="기존구조물깨기_"/>
      <sheetName val="참조_세부공종코드"/>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6PILE  (돌출)"/>
      <sheetName val="북방3터널"/>
      <sheetName val="음료실행"/>
      <sheetName val="견적을지"/>
      <sheetName val="TRE TABLE"/>
      <sheetName val="SUMMARY"/>
      <sheetName val="PAINT"/>
      <sheetName val="LEGEND"/>
      <sheetName val="PARAMETER"/>
      <sheetName val="기성내역"/>
      <sheetName val="Cal_1"/>
      <sheetName val="WIND"/>
      <sheetName val="criteria"/>
      <sheetName val="샘플표지"/>
      <sheetName val="경비"/>
      <sheetName val="MASTER"/>
      <sheetName val="건축내역"/>
      <sheetName val="조명시설"/>
      <sheetName val="ETC"/>
      <sheetName val="갑지(추정)"/>
      <sheetName val="PE"/>
      <sheetName val="CAT_5"/>
      <sheetName val="인사자료총집계"/>
      <sheetName val="잡철물"/>
      <sheetName val="Piping Design Data"/>
      <sheetName val="터널조도"/>
      <sheetName val="2F_회의실견적(5_14_일대)2"/>
      <sheetName val="화재_탐지_설비2"/>
      <sheetName val="Project_Brief1"/>
      <sheetName val="_냉각수펌프"/>
      <sheetName val="1차_내역서"/>
      <sheetName val="노원열병합__건축공사기성내역서"/>
      <sheetName val="Ext__Stone-P"/>
      <sheetName val="Labor_abs-NMR"/>
      <sheetName val="8521"/>
      <sheetName val="노임"/>
      <sheetName val="XZLC004_PART2"/>
      <sheetName val="간접비내역-1"/>
      <sheetName val="예산M11A"/>
      <sheetName val="예산M12A"/>
      <sheetName val="#REF"/>
      <sheetName val="공사비 내역 (가)"/>
      <sheetName val="품셈TABLE"/>
      <sheetName val="내역"/>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 val="수량산출"/>
    </sheetNames>
    <sheetDataSet>
      <sheetData sheetId="0"/>
      <sheetData sheetId="1" refreshError="1"/>
      <sheetData sheetId="2"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90120-7B24-4D88-9175-0296412852CF}">
  <sheetPr>
    <pageSetUpPr fitToPage="1"/>
  </sheetPr>
  <dimension ref="A2:I39"/>
  <sheetViews>
    <sheetView showGridLines="0" topLeftCell="A13" zoomScale="70" zoomScaleNormal="70" workbookViewId="0">
      <selection activeCell="F31" sqref="F31"/>
    </sheetView>
  </sheetViews>
  <sheetFormatPr defaultColWidth="9" defaultRowHeight="12.75"/>
  <cols>
    <col min="1" max="1" width="9.875" style="3" customWidth="1"/>
    <col min="2" max="2" width="24.25" style="3" customWidth="1"/>
    <col min="3" max="3" width="27" style="3" customWidth="1"/>
    <col min="4" max="5" width="9" style="3"/>
    <col min="6" max="6" width="23.5" style="3" customWidth="1"/>
    <col min="7" max="7" width="44.75" style="3" customWidth="1"/>
    <col min="8" max="8" width="11.25" style="3" customWidth="1"/>
    <col min="9" max="16384" width="9" style="3"/>
  </cols>
  <sheetData>
    <row r="2" spans="1:9" ht="33">
      <c r="A2" s="546" t="s">
        <v>1</v>
      </c>
      <c r="B2" s="546"/>
      <c r="C2" s="546"/>
      <c r="D2" s="546"/>
      <c r="E2" s="546"/>
      <c r="F2" s="546"/>
      <c r="G2" s="546"/>
      <c r="H2" s="2"/>
    </row>
    <row r="3" spans="1:9" ht="14.25">
      <c r="A3" s="171"/>
      <c r="B3" s="171"/>
      <c r="C3" s="171"/>
      <c r="D3" s="171"/>
      <c r="E3" s="171"/>
      <c r="F3" s="171"/>
      <c r="G3" s="171"/>
      <c r="H3" s="171"/>
    </row>
    <row r="4" spans="1:9" ht="14.25">
      <c r="A4" s="171"/>
      <c r="B4" s="171"/>
      <c r="C4" s="171"/>
      <c r="D4" s="171"/>
      <c r="E4" s="171"/>
      <c r="H4" s="171"/>
    </row>
    <row r="5" spans="1:9" ht="27" customHeight="1">
      <c r="A5" s="172" t="s">
        <v>41</v>
      </c>
      <c r="B5" s="4"/>
      <c r="C5" s="5"/>
      <c r="D5" s="171"/>
      <c r="E5" s="171"/>
      <c r="F5" s="6" t="s">
        <v>31</v>
      </c>
      <c r="G5" s="7" t="s">
        <v>45</v>
      </c>
      <c r="H5" s="171"/>
    </row>
    <row r="6" spans="1:9" ht="27" customHeight="1">
      <c r="A6" s="171"/>
      <c r="B6" s="171"/>
      <c r="C6" s="171"/>
      <c r="D6" s="171"/>
      <c r="E6" s="171"/>
      <c r="F6" s="8" t="s">
        <v>34</v>
      </c>
      <c r="G6" s="9" t="s">
        <v>46</v>
      </c>
      <c r="H6" s="171"/>
    </row>
    <row r="7" spans="1:9" ht="27" customHeight="1">
      <c r="A7" s="547" t="s">
        <v>245</v>
      </c>
      <c r="B7" s="548"/>
      <c r="C7" s="549"/>
      <c r="D7" s="171"/>
      <c r="E7" s="10"/>
      <c r="F7" s="11" t="s">
        <v>35</v>
      </c>
      <c r="G7" s="9" t="s">
        <v>47</v>
      </c>
      <c r="H7" s="171"/>
    </row>
    <row r="8" spans="1:9" ht="27" customHeight="1">
      <c r="A8" s="171"/>
      <c r="B8" s="171"/>
      <c r="C8" s="171"/>
      <c r="D8" s="171"/>
      <c r="E8" s="171"/>
      <c r="F8" s="8" t="s">
        <v>36</v>
      </c>
      <c r="G8" s="9" t="s">
        <v>48</v>
      </c>
      <c r="H8" s="171"/>
    </row>
    <row r="9" spans="1:9" ht="27" customHeight="1">
      <c r="A9" s="547" t="s">
        <v>258</v>
      </c>
      <c r="B9" s="548"/>
      <c r="C9" s="549"/>
      <c r="D9" s="171"/>
      <c r="E9" s="171"/>
      <c r="F9" s="8" t="s">
        <v>37</v>
      </c>
      <c r="G9" s="9" t="s">
        <v>49</v>
      </c>
      <c r="H9" s="171"/>
    </row>
    <row r="10" spans="1:9" ht="27" customHeight="1">
      <c r="A10" s="171"/>
      <c r="B10" s="171"/>
      <c r="C10" s="171"/>
      <c r="D10" s="171"/>
      <c r="E10" s="171"/>
      <c r="F10" s="12" t="s">
        <v>32</v>
      </c>
      <c r="G10" s="13" t="s">
        <v>50</v>
      </c>
      <c r="H10" s="171"/>
      <c r="I10" s="171"/>
    </row>
    <row r="11" spans="1:9" ht="27" customHeight="1">
      <c r="A11" s="550"/>
      <c r="B11" s="551"/>
      <c r="C11" s="551"/>
      <c r="D11" s="171"/>
      <c r="E11" s="14"/>
      <c r="F11" s="15" t="s">
        <v>33</v>
      </c>
      <c r="G11" s="16" t="s">
        <v>51</v>
      </c>
      <c r="H11" s="14"/>
    </row>
    <row r="12" spans="1:9" ht="18.75" thickBot="1">
      <c r="A12" s="17" t="s">
        <v>2</v>
      </c>
      <c r="B12" s="17" t="str">
        <f>NUMBERSTRING(F31,1)</f>
        <v>사백오십오만육천</v>
      </c>
      <c r="C12" s="18"/>
      <c r="D12" s="1" t="s">
        <v>3</v>
      </c>
      <c r="E12" s="1" t="s">
        <v>4</v>
      </c>
      <c r="F12" s="1" t="s">
        <v>4</v>
      </c>
      <c r="G12" s="1"/>
      <c r="H12" s="19"/>
    </row>
    <row r="13" spans="1:9" ht="15.75" thickTop="1" thickBot="1">
      <c r="A13" s="171"/>
      <c r="B13" s="171"/>
      <c r="C13" s="171"/>
      <c r="D13" s="171"/>
      <c r="E13" s="171"/>
      <c r="F13" s="171"/>
      <c r="G13" s="171"/>
      <c r="H13" s="19"/>
    </row>
    <row r="14" spans="1:9" ht="33" customHeight="1" thickBot="1">
      <c r="A14" s="20" t="s">
        <v>5</v>
      </c>
      <c r="B14" s="21" t="s">
        <v>6</v>
      </c>
      <c r="C14" s="21" t="s">
        <v>7</v>
      </c>
      <c r="D14" s="21" t="s">
        <v>8</v>
      </c>
      <c r="E14" s="21" t="s">
        <v>9</v>
      </c>
      <c r="F14" s="21" t="s">
        <v>10</v>
      </c>
      <c r="G14" s="22" t="s">
        <v>11</v>
      </c>
      <c r="H14" s="19"/>
    </row>
    <row r="15" spans="1:9" ht="33" customHeight="1" thickTop="1">
      <c r="A15" s="23"/>
      <c r="B15" s="24" t="s">
        <v>12</v>
      </c>
      <c r="C15" s="25"/>
      <c r="D15" s="26"/>
      <c r="E15" s="26"/>
      <c r="F15" s="27"/>
      <c r="G15" s="28"/>
    </row>
    <row r="16" spans="1:9" ht="33" customHeight="1">
      <c r="A16" s="29"/>
      <c r="B16" s="30" t="s">
        <v>13</v>
      </c>
      <c r="C16" s="31"/>
      <c r="D16" s="32"/>
      <c r="E16" s="32"/>
      <c r="F16" s="33">
        <f>'내역서(표준단가)-6차'!O10</f>
        <v>951202.77499999991</v>
      </c>
      <c r="G16" s="34"/>
    </row>
    <row r="17" spans="1:7" ht="33" customHeight="1">
      <c r="A17" s="29"/>
      <c r="B17" s="30" t="s">
        <v>14</v>
      </c>
      <c r="C17" s="31"/>
      <c r="D17" s="32"/>
      <c r="E17" s="32"/>
      <c r="F17" s="33">
        <f>'내역서(표준단가)-6차'!Q10</f>
        <v>2930128.56</v>
      </c>
      <c r="G17" s="35"/>
    </row>
    <row r="18" spans="1:7" ht="33" customHeight="1">
      <c r="A18" s="29"/>
      <c r="B18" s="30" t="s">
        <v>15</v>
      </c>
      <c r="C18" s="31"/>
      <c r="D18" s="32"/>
      <c r="E18" s="32"/>
      <c r="F18" s="33">
        <f>'내역서(표준단가)-6차'!S10+'내역서(표준단가)-6차'!U10</f>
        <v>0</v>
      </c>
      <c r="G18" s="35"/>
    </row>
    <row r="19" spans="1:7" ht="33" customHeight="1">
      <c r="A19" s="29"/>
      <c r="B19" s="36" t="s">
        <v>16</v>
      </c>
      <c r="C19" s="36"/>
      <c r="D19" s="37"/>
      <c r="E19" s="37"/>
      <c r="F19" s="38">
        <f>F16+F17+F18</f>
        <v>3881331.335</v>
      </c>
      <c r="G19" s="35"/>
    </row>
    <row r="20" spans="1:7" ht="33" customHeight="1">
      <c r="A20" s="29"/>
      <c r="B20" s="39" t="s">
        <v>17</v>
      </c>
      <c r="C20" s="40"/>
      <c r="D20" s="32"/>
      <c r="E20" s="32"/>
      <c r="F20" s="41"/>
      <c r="G20" s="35"/>
    </row>
    <row r="21" spans="1:7" ht="33" customHeight="1">
      <c r="A21" s="29"/>
      <c r="B21" s="207" t="s">
        <v>18</v>
      </c>
      <c r="C21" s="40" t="s">
        <v>19</v>
      </c>
      <c r="D21" s="30">
        <v>1</v>
      </c>
      <c r="E21" s="30" t="s">
        <v>20</v>
      </c>
      <c r="F21" s="42">
        <f>F17*4.5%</f>
        <v>131855.78519999998</v>
      </c>
      <c r="G21" s="35" t="s">
        <v>21</v>
      </c>
    </row>
    <row r="22" spans="1:7" ht="33" customHeight="1">
      <c r="A22" s="29"/>
      <c r="B22" s="208" t="s">
        <v>22</v>
      </c>
      <c r="C22" s="43" t="s">
        <v>42</v>
      </c>
      <c r="D22" s="44">
        <v>1</v>
      </c>
      <c r="E22" s="44" t="s">
        <v>20</v>
      </c>
      <c r="F22" s="45">
        <f>F17*3.545%</f>
        <v>103873.05745200001</v>
      </c>
      <c r="G22" s="46" t="s">
        <v>21</v>
      </c>
    </row>
    <row r="23" spans="1:7" ht="33" customHeight="1">
      <c r="A23" s="29"/>
      <c r="B23" s="207" t="s">
        <v>23</v>
      </c>
      <c r="C23" s="40" t="s">
        <v>43</v>
      </c>
      <c r="D23" s="30">
        <v>1</v>
      </c>
      <c r="E23" s="30" t="s">
        <v>20</v>
      </c>
      <c r="F23" s="42">
        <f>F22*12.95%</f>
        <v>13451.560940034002</v>
      </c>
      <c r="G23" s="35" t="s">
        <v>21</v>
      </c>
    </row>
    <row r="24" spans="1:7" ht="33" customHeight="1">
      <c r="A24" s="29"/>
      <c r="B24" s="207" t="s">
        <v>24</v>
      </c>
      <c r="C24" s="40" t="s">
        <v>39</v>
      </c>
      <c r="D24" s="30">
        <v>1</v>
      </c>
      <c r="E24" s="30" t="s">
        <v>20</v>
      </c>
      <c r="F24" s="42">
        <f>F17*1.01%</f>
        <v>29594.298456</v>
      </c>
      <c r="G24" s="35" t="s">
        <v>21</v>
      </c>
    </row>
    <row r="25" spans="1:7" ht="33" customHeight="1">
      <c r="A25" s="29"/>
      <c r="B25" s="207" t="s">
        <v>25</v>
      </c>
      <c r="C25" s="40" t="s">
        <v>44</v>
      </c>
      <c r="D25" s="30">
        <v>1</v>
      </c>
      <c r="E25" s="30" t="s">
        <v>20</v>
      </c>
      <c r="F25" s="42">
        <f>F17*3.56%</f>
        <v>104312.576736</v>
      </c>
      <c r="G25" s="35" t="s">
        <v>21</v>
      </c>
    </row>
    <row r="26" spans="1:7" ht="33" customHeight="1">
      <c r="A26" s="29"/>
      <c r="B26" s="207" t="s">
        <v>26</v>
      </c>
      <c r="C26" s="47" t="s">
        <v>72</v>
      </c>
      <c r="D26" s="30">
        <v>1</v>
      </c>
      <c r="E26" s="30" t="s">
        <v>20</v>
      </c>
      <c r="F26" s="42">
        <f>(F16+F17)*3.11%</f>
        <v>120709.4045185</v>
      </c>
      <c r="G26" s="35" t="s">
        <v>21</v>
      </c>
    </row>
    <row r="27" spans="1:7" ht="33" customHeight="1">
      <c r="A27" s="29"/>
      <c r="B27" s="207" t="s">
        <v>29</v>
      </c>
      <c r="C27" s="47" t="s">
        <v>30</v>
      </c>
      <c r="D27" s="30">
        <v>1</v>
      </c>
      <c r="E27" s="30" t="s">
        <v>20</v>
      </c>
      <c r="F27" s="42">
        <f>SUM(F17+F21+F22+F23+F24+F25+F26)*5%</f>
        <v>171696.26216512674</v>
      </c>
      <c r="G27" s="35"/>
    </row>
    <row r="28" spans="1:7" ht="33" customHeight="1">
      <c r="A28" s="29"/>
      <c r="B28" s="36" t="s">
        <v>16</v>
      </c>
      <c r="C28" s="48"/>
      <c r="D28" s="49"/>
      <c r="E28" s="37"/>
      <c r="F28" s="50">
        <f>F21+F22+F23+F24+F25+F26+F27</f>
        <v>675492.94546766079</v>
      </c>
      <c r="G28" s="35"/>
    </row>
    <row r="29" spans="1:7" ht="33" customHeight="1">
      <c r="A29" s="29"/>
      <c r="B29" s="40"/>
      <c r="C29" s="51"/>
      <c r="D29" s="52"/>
      <c r="E29" s="32"/>
      <c r="F29" s="53"/>
      <c r="G29" s="35"/>
    </row>
    <row r="30" spans="1:7" ht="33" customHeight="1">
      <c r="A30" s="29"/>
      <c r="B30" s="54"/>
      <c r="C30" s="51"/>
      <c r="D30" s="52"/>
      <c r="E30" s="32"/>
      <c r="F30" s="55">
        <f>F19+F28+F29</f>
        <v>4556824.2804676611</v>
      </c>
      <c r="G30" s="35"/>
    </row>
    <row r="31" spans="1:7" ht="33" customHeight="1">
      <c r="A31" s="29"/>
      <c r="B31" s="36" t="s">
        <v>27</v>
      </c>
      <c r="C31" s="36"/>
      <c r="D31" s="37"/>
      <c r="E31" s="37"/>
      <c r="F31" s="470">
        <f>ROUNDDOWN(F30,-3)</f>
        <v>4556000</v>
      </c>
      <c r="G31" s="414"/>
    </row>
    <row r="32" spans="1:7" ht="33" customHeight="1" thickBot="1">
      <c r="A32" s="56"/>
      <c r="B32" s="57" t="s">
        <v>28</v>
      </c>
      <c r="C32" s="58"/>
      <c r="D32" s="58"/>
      <c r="E32" s="58"/>
      <c r="F32" s="59"/>
      <c r="G32" s="468" t="s">
        <v>257</v>
      </c>
    </row>
    <row r="33" spans="2:7" ht="33.75" customHeight="1">
      <c r="B33" s="366"/>
      <c r="F33" s="367"/>
      <c r="G33" s="467"/>
    </row>
    <row r="34" spans="2:7" ht="24">
      <c r="B34" s="366"/>
      <c r="F34" s="367"/>
      <c r="G34" s="469"/>
    </row>
    <row r="35" spans="2:7" ht="24">
      <c r="F35" s="367"/>
    </row>
    <row r="36" spans="2:7" ht="24">
      <c r="F36" s="367"/>
    </row>
    <row r="37" spans="2:7" ht="24">
      <c r="F37" s="367"/>
    </row>
    <row r="38" spans="2:7" ht="24">
      <c r="F38" s="367"/>
    </row>
    <row r="39" spans="2:7" ht="24">
      <c r="F39" s="367"/>
    </row>
  </sheetData>
  <mergeCells count="4">
    <mergeCell ref="A2:G2"/>
    <mergeCell ref="A7:C7"/>
    <mergeCell ref="A9:C9"/>
    <mergeCell ref="A11:C11"/>
  </mergeCells>
  <phoneticPr fontId="9" type="noConversion"/>
  <pageMargins left="0.31496062992125984" right="0.19685039370078741" top="0.94488188976377963" bottom="0.55118110236220474" header="0.31496062992125984" footer="0.31496062992125984"/>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9541C-747E-4607-A8F2-52E14B6B9D93}">
  <sheetPr>
    <pageSetUpPr fitToPage="1"/>
  </sheetPr>
  <dimension ref="A1:Z10"/>
  <sheetViews>
    <sheetView showGridLines="0" zoomScale="80" zoomScaleNormal="80" workbookViewId="0">
      <pane ySplit="4" topLeftCell="A5" activePane="bottomLeft" state="frozen"/>
      <selection pane="bottomLeft" activeCell="M6" sqref="M6"/>
    </sheetView>
  </sheetViews>
  <sheetFormatPr defaultColWidth="9" defaultRowHeight="38.1" customHeight="1"/>
  <cols>
    <col min="1" max="1" width="22.625" style="87" bestFit="1" customWidth="1"/>
    <col min="2" max="5" width="4.625" style="87" hidden="1" customWidth="1"/>
    <col min="6" max="6" width="9" style="78" hidden="1" customWidth="1"/>
    <col min="7" max="9" width="12.625" style="78" hidden="1" customWidth="1"/>
    <col min="10" max="10" width="26" style="75" customWidth="1"/>
    <col min="11" max="11" width="30.625" style="75" customWidth="1"/>
    <col min="12" max="12" width="8.75" style="78" customWidth="1"/>
    <col min="13" max="13" width="9.5" style="78" customWidth="1"/>
    <col min="14" max="14" width="10.625" style="78" bestFit="1" customWidth="1"/>
    <col min="15" max="15" width="17.25" style="78" bestFit="1" customWidth="1"/>
    <col min="16" max="16" width="12" style="78" bestFit="1" customWidth="1"/>
    <col min="17" max="17" width="17.25" style="78" bestFit="1" customWidth="1"/>
    <col min="18" max="18" width="9" style="78" hidden="1" customWidth="1"/>
    <col min="19" max="19" width="8.75" style="78" hidden="1" customWidth="1"/>
    <col min="20" max="20" width="10.5" style="78" hidden="1" customWidth="1"/>
    <col min="21" max="21" width="8.75" style="78" hidden="1" customWidth="1"/>
    <col min="22" max="22" width="17.25" style="78" bestFit="1" customWidth="1"/>
    <col min="23" max="23" width="10.625" style="60" hidden="1" customWidth="1"/>
    <col min="24" max="24" width="27.5" style="78" bestFit="1" customWidth="1"/>
    <col min="25" max="16384" width="9" style="78"/>
  </cols>
  <sheetData>
    <row r="1" spans="1:26" ht="19.899999999999999" customHeight="1">
      <c r="A1" s="554"/>
      <c r="B1" s="554"/>
      <c r="C1" s="554"/>
      <c r="D1" s="554"/>
      <c r="E1" s="554"/>
      <c r="F1" s="554"/>
      <c r="G1" s="554"/>
      <c r="H1" s="554"/>
      <c r="I1" s="554"/>
      <c r="N1" s="60"/>
      <c r="O1" s="173" t="s">
        <v>52</v>
      </c>
      <c r="Q1" s="173" t="s">
        <v>52</v>
      </c>
      <c r="S1" s="173" t="s">
        <v>52</v>
      </c>
      <c r="U1" s="173" t="s">
        <v>52</v>
      </c>
    </row>
    <row r="2" spans="1:26" ht="19.899999999999999" customHeight="1" thickBot="1">
      <c r="A2" s="554"/>
      <c r="B2" s="554"/>
      <c r="C2" s="554"/>
      <c r="D2" s="554"/>
      <c r="E2" s="554"/>
      <c r="F2" s="554"/>
      <c r="G2" s="554"/>
      <c r="H2" s="554"/>
      <c r="I2" s="554"/>
      <c r="N2" s="61"/>
      <c r="O2" s="62">
        <v>0.83499999999999996</v>
      </c>
      <c r="Q2" s="62">
        <v>0.83499999999999996</v>
      </c>
      <c r="S2" s="62">
        <v>0.83499999999999996</v>
      </c>
      <c r="U2" s="62">
        <v>0.83499999999999996</v>
      </c>
    </row>
    <row r="3" spans="1:26" ht="19.899999999999999" customHeight="1">
      <c r="A3" s="79"/>
      <c r="B3" s="80"/>
      <c r="C3" s="80"/>
      <c r="D3" s="80"/>
      <c r="E3" s="80"/>
      <c r="F3" s="80" t="s">
        <v>53</v>
      </c>
      <c r="G3" s="80"/>
      <c r="H3" s="80"/>
      <c r="I3" s="80"/>
      <c r="J3" s="555" t="s">
        <v>54</v>
      </c>
      <c r="K3" s="555"/>
      <c r="L3" s="556" t="s">
        <v>40</v>
      </c>
      <c r="M3" s="556" t="s">
        <v>0</v>
      </c>
      <c r="N3" s="558" t="s">
        <v>55</v>
      </c>
      <c r="O3" s="558"/>
      <c r="P3" s="558" t="s">
        <v>56</v>
      </c>
      <c r="Q3" s="558"/>
      <c r="R3" s="559" t="s">
        <v>57</v>
      </c>
      <c r="S3" s="559"/>
      <c r="T3" s="559" t="s">
        <v>58</v>
      </c>
      <c r="U3" s="559"/>
      <c r="V3" s="560" t="s">
        <v>59</v>
      </c>
      <c r="W3" s="562" t="s">
        <v>60</v>
      </c>
      <c r="X3" s="552" t="s">
        <v>38</v>
      </c>
    </row>
    <row r="4" spans="1:26" ht="19.899999999999999" customHeight="1">
      <c r="A4" s="63" t="s">
        <v>61</v>
      </c>
      <c r="B4" s="174"/>
      <c r="C4" s="174"/>
      <c r="D4" s="174"/>
      <c r="E4" s="174"/>
      <c r="F4" s="64" t="s">
        <v>62</v>
      </c>
      <c r="G4" s="64" t="s">
        <v>63</v>
      </c>
      <c r="H4" s="64" t="s">
        <v>64</v>
      </c>
      <c r="I4" s="64" t="s">
        <v>65</v>
      </c>
      <c r="J4" s="76" t="s">
        <v>66</v>
      </c>
      <c r="K4" s="76" t="s">
        <v>67</v>
      </c>
      <c r="L4" s="557"/>
      <c r="M4" s="557"/>
      <c r="N4" s="205" t="s">
        <v>68</v>
      </c>
      <c r="O4" s="65" t="s">
        <v>69</v>
      </c>
      <c r="P4" s="205" t="s">
        <v>70</v>
      </c>
      <c r="Q4" s="65" t="s">
        <v>69</v>
      </c>
      <c r="R4" s="65" t="s">
        <v>71</v>
      </c>
      <c r="S4" s="65" t="s">
        <v>69</v>
      </c>
      <c r="T4" s="65" t="s">
        <v>71</v>
      </c>
      <c r="U4" s="65" t="s">
        <v>69</v>
      </c>
      <c r="V4" s="561"/>
      <c r="W4" s="563"/>
      <c r="X4" s="553"/>
    </row>
    <row r="5" spans="1:26" s="81" customFormat="1" ht="38.1" customHeight="1">
      <c r="A5" s="66" t="str">
        <f t="shared" ref="A5:A9" si="0">F5&amp;G5&amp;H5&amp;I5</f>
        <v>L003</v>
      </c>
      <c r="B5" s="70"/>
      <c r="C5" s="70"/>
      <c r="D5" s="70"/>
      <c r="E5" s="70"/>
      <c r="F5" s="163"/>
      <c r="G5" s="164"/>
      <c r="H5" s="206"/>
      <c r="I5" s="163" t="s">
        <v>148</v>
      </c>
      <c r="J5" s="165" t="s">
        <v>198</v>
      </c>
      <c r="K5" s="165" t="s">
        <v>199</v>
      </c>
      <c r="L5" s="166" t="s">
        <v>149</v>
      </c>
      <c r="M5" s="416">
        <f>'관리소 접수 입력'!O93</f>
        <v>16</v>
      </c>
      <c r="N5" s="167"/>
      <c r="O5" s="74">
        <f t="shared" ref="O5" si="1">SUM(N5:N5)*M5*$O$2</f>
        <v>0</v>
      </c>
      <c r="P5" s="73">
        <v>219321</v>
      </c>
      <c r="Q5" s="67">
        <f>(P5*M5)*Q2</f>
        <v>2930128.56</v>
      </c>
      <c r="R5" s="68"/>
      <c r="S5" s="67">
        <f t="shared" ref="S5:S9" si="2">R5*M5*$S$2</f>
        <v>0</v>
      </c>
      <c r="T5" s="68"/>
      <c r="U5" s="67">
        <f t="shared" ref="U5:U9" si="3">T5*M5*$U$2</f>
        <v>0</v>
      </c>
      <c r="V5" s="68">
        <f t="shared" ref="V5:V9" si="4">SUM(O5+Q5)+S5+U5</f>
        <v>2930128.56</v>
      </c>
      <c r="W5" s="72"/>
      <c r="X5" s="69"/>
    </row>
    <row r="6" spans="1:26" s="81" customFormat="1" ht="94.5">
      <c r="A6" s="66" t="str">
        <f t="shared" si="0"/>
        <v>M020450310340103</v>
      </c>
      <c r="B6" s="70"/>
      <c r="C6" s="70"/>
      <c r="D6" s="70"/>
      <c r="E6" s="70"/>
      <c r="F6" s="163"/>
      <c r="G6" s="164"/>
      <c r="H6" s="206" t="s">
        <v>200</v>
      </c>
      <c r="I6" s="163"/>
      <c r="J6" s="165" t="s">
        <v>201</v>
      </c>
      <c r="K6" s="165" t="s">
        <v>202</v>
      </c>
      <c r="L6" s="166" t="s">
        <v>150</v>
      </c>
      <c r="M6" s="319">
        <f>20.27+10.94</f>
        <v>31.21</v>
      </c>
      <c r="N6" s="167">
        <v>36500</v>
      </c>
      <c r="O6" s="74">
        <f t="shared" ref="O6" si="5">SUM(N6:N6)*M6*$O$2</f>
        <v>951202.77499999991</v>
      </c>
      <c r="P6" s="73"/>
      <c r="Q6" s="67">
        <f t="shared" ref="Q6:Q9" si="6">(P6*M6)*$Q$2</f>
        <v>0</v>
      </c>
      <c r="R6" s="68"/>
      <c r="S6" s="67">
        <f t="shared" si="2"/>
        <v>0</v>
      </c>
      <c r="T6" s="68"/>
      <c r="U6" s="67">
        <f t="shared" si="3"/>
        <v>0</v>
      </c>
      <c r="V6" s="68">
        <f t="shared" si="4"/>
        <v>951202.77499999991</v>
      </c>
      <c r="W6" s="72"/>
      <c r="X6" s="430" t="s">
        <v>310</v>
      </c>
      <c r="Z6" s="330"/>
    </row>
    <row r="7" spans="1:26" s="81" customFormat="1" ht="38.1" customHeight="1">
      <c r="A7" s="66" t="str">
        <f>F7&amp;G7&amp;H7&amp;I7</f>
        <v>M020251411670101</v>
      </c>
      <c r="B7" s="70"/>
      <c r="C7" s="70"/>
      <c r="D7" s="70"/>
      <c r="E7" s="70"/>
      <c r="F7" s="456"/>
      <c r="G7" s="457"/>
      <c r="H7" s="453" t="s">
        <v>250</v>
      </c>
      <c r="I7" s="451"/>
      <c r="J7" s="458" t="s">
        <v>251</v>
      </c>
      <c r="K7" s="459" t="s">
        <v>252</v>
      </c>
      <c r="L7" s="458" t="s">
        <v>253</v>
      </c>
      <c r="M7" s="319"/>
      <c r="N7" s="460">
        <v>5000</v>
      </c>
      <c r="O7" s="74">
        <f>SUM(N7:N7)*M7*$O$2</f>
        <v>0</v>
      </c>
      <c r="P7" s="73"/>
      <c r="Q7" s="67">
        <f>(P7*M7)*$Q$2</f>
        <v>0</v>
      </c>
      <c r="R7" s="68"/>
      <c r="S7" s="67">
        <f>R7*M7*$S$2</f>
        <v>0</v>
      </c>
      <c r="T7" s="68"/>
      <c r="U7" s="67">
        <f>T7*M7*$U$2</f>
        <v>0</v>
      </c>
      <c r="V7" s="68">
        <f>SUM(O7+Q7)+S7+U7</f>
        <v>0</v>
      </c>
      <c r="W7" s="72"/>
      <c r="X7" s="69"/>
    </row>
    <row r="8" spans="1:26" s="81" customFormat="1" ht="38.1" customHeight="1">
      <c r="A8" s="66" t="str">
        <f t="shared" si="0"/>
        <v>M020533113070101</v>
      </c>
      <c r="B8" s="70"/>
      <c r="C8" s="70"/>
      <c r="D8" s="70"/>
      <c r="E8" s="70"/>
      <c r="F8" s="451"/>
      <c r="G8" s="452"/>
      <c r="H8" s="453" t="s">
        <v>246</v>
      </c>
      <c r="I8" s="451"/>
      <c r="J8" s="454" t="s">
        <v>247</v>
      </c>
      <c r="K8" s="454" t="s">
        <v>248</v>
      </c>
      <c r="L8" s="454" t="s">
        <v>249</v>
      </c>
      <c r="M8" s="319"/>
      <c r="N8" s="455">
        <v>3400</v>
      </c>
      <c r="O8" s="74">
        <f t="shared" ref="O8" si="7">SUM(N8:N8)*M8*$O$2</f>
        <v>0</v>
      </c>
      <c r="P8" s="73"/>
      <c r="Q8" s="67">
        <f t="shared" si="6"/>
        <v>0</v>
      </c>
      <c r="R8" s="68"/>
      <c r="S8" s="67">
        <f t="shared" si="2"/>
        <v>0</v>
      </c>
      <c r="T8" s="68"/>
      <c r="U8" s="67">
        <f t="shared" si="3"/>
        <v>0</v>
      </c>
      <c r="V8" s="68">
        <f t="shared" si="4"/>
        <v>0</v>
      </c>
      <c r="W8" s="72"/>
      <c r="X8" s="69"/>
    </row>
    <row r="9" spans="1:26" s="81" customFormat="1" ht="38.1" customHeight="1">
      <c r="A9" s="66" t="str">
        <f t="shared" si="0"/>
        <v>M020852810150101</v>
      </c>
      <c r="B9" s="70"/>
      <c r="C9" s="70"/>
      <c r="D9" s="70"/>
      <c r="E9" s="70"/>
      <c r="F9" s="461"/>
      <c r="G9" s="457"/>
      <c r="H9" s="457" t="s">
        <v>254</v>
      </c>
      <c r="I9" s="461"/>
      <c r="J9" s="462" t="s">
        <v>255</v>
      </c>
      <c r="K9" s="462" t="s">
        <v>256</v>
      </c>
      <c r="L9" s="463" t="s">
        <v>150</v>
      </c>
      <c r="M9" s="319"/>
      <c r="N9" s="464">
        <v>55000</v>
      </c>
      <c r="O9" s="74">
        <f t="shared" ref="O9" si="8">SUM(N9:N9)*M9*$O$2</f>
        <v>0</v>
      </c>
      <c r="P9" s="73"/>
      <c r="Q9" s="67">
        <f t="shared" si="6"/>
        <v>0</v>
      </c>
      <c r="R9" s="68"/>
      <c r="S9" s="67">
        <f t="shared" si="2"/>
        <v>0</v>
      </c>
      <c r="T9" s="68"/>
      <c r="U9" s="67">
        <f t="shared" si="3"/>
        <v>0</v>
      </c>
      <c r="V9" s="68">
        <f t="shared" si="4"/>
        <v>0</v>
      </c>
      <c r="W9" s="465"/>
      <c r="X9" s="69"/>
    </row>
    <row r="10" spans="1:26" s="86" customFormat="1" ht="38.1" customHeight="1">
      <c r="A10" s="82"/>
      <c r="B10" s="83"/>
      <c r="C10" s="83"/>
      <c r="D10" s="83"/>
      <c r="E10" s="83"/>
      <c r="F10" s="83"/>
      <c r="G10" s="83"/>
      <c r="H10" s="83"/>
      <c r="I10" s="83"/>
      <c r="J10" s="77"/>
      <c r="K10" s="77"/>
      <c r="L10" s="83"/>
      <c r="M10" s="83"/>
      <c r="N10" s="83"/>
      <c r="O10" s="320">
        <f>SUM(O5:O9)</f>
        <v>951202.77499999991</v>
      </c>
      <c r="P10" s="431"/>
      <c r="Q10" s="320">
        <f>SUM(Q5:Q9)</f>
        <v>2930128.56</v>
      </c>
      <c r="R10" s="85"/>
      <c r="S10" s="84">
        <f>SUM(S5:S6)</f>
        <v>0</v>
      </c>
      <c r="T10" s="85"/>
      <c r="U10" s="84">
        <f>SUM(U5:U6)</f>
        <v>0</v>
      </c>
      <c r="V10" s="466">
        <f>SUM(V5:V6)</f>
        <v>3881331.335</v>
      </c>
      <c r="W10" s="71"/>
      <c r="X10" s="83"/>
    </row>
  </sheetData>
  <mergeCells count="12">
    <mergeCell ref="X3:X4"/>
    <mergeCell ref="A1:I1"/>
    <mergeCell ref="A2:I2"/>
    <mergeCell ref="J3:K3"/>
    <mergeCell ref="L3:L4"/>
    <mergeCell ref="M3:M4"/>
    <mergeCell ref="N3:O3"/>
    <mergeCell ref="P3:Q3"/>
    <mergeCell ref="R3:S3"/>
    <mergeCell ref="T3:U3"/>
    <mergeCell ref="V3:V4"/>
    <mergeCell ref="W3:W4"/>
  </mergeCells>
  <phoneticPr fontId="9"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F8C-B206-47D6-821A-8A49FD6A6D5B}">
  <sheetPr>
    <tabColor rgb="FFFFFF00"/>
    <pageSetUpPr fitToPage="1"/>
  </sheetPr>
  <dimension ref="B1:AE115"/>
  <sheetViews>
    <sheetView showZeros="0" tabSelected="1" zoomScale="40" zoomScaleNormal="40" workbookViewId="0">
      <pane ySplit="5" topLeftCell="A98" activePane="bottomLeft" state="frozen"/>
      <selection pane="bottomLeft" activeCell="V107" sqref="V107"/>
    </sheetView>
  </sheetViews>
  <sheetFormatPr defaultRowHeight="16.5"/>
  <cols>
    <col min="1" max="1" width="1.625" customWidth="1"/>
    <col min="2" max="2" width="12" style="93" customWidth="1"/>
    <col min="3" max="3" width="11.375" style="93" bestFit="1" customWidth="1"/>
    <col min="4" max="4" width="15.25" style="93" customWidth="1"/>
    <col min="5" max="5" width="12.75" style="93" customWidth="1"/>
    <col min="6" max="6" width="11.125" style="93" bestFit="1" customWidth="1"/>
    <col min="7" max="7" width="12.75" style="93" customWidth="1"/>
    <col min="8" max="8" width="11.125" style="93" bestFit="1" customWidth="1"/>
    <col min="9" max="9" width="25.75" style="93" hidden="1" customWidth="1"/>
    <col min="10" max="10" width="22.25" style="93" hidden="1" customWidth="1"/>
    <col min="11" max="11" width="9.75" style="93" bestFit="1" customWidth="1"/>
    <col min="12" max="12" width="8" style="93" customWidth="1"/>
    <col min="13" max="13" width="11.75" style="93" bestFit="1" customWidth="1"/>
    <col min="14" max="14" width="63.25" style="93" customWidth="1"/>
    <col min="15" max="15" width="20.625" style="93" bestFit="1" customWidth="1"/>
    <col min="16" max="16" width="21.75" style="93" bestFit="1" customWidth="1"/>
    <col min="17" max="17" width="11.75" style="93" bestFit="1" customWidth="1"/>
    <col min="18" max="18" width="19.875" style="93" bestFit="1" customWidth="1"/>
    <col min="19" max="19" width="17.375" style="93" customWidth="1"/>
    <col min="20" max="20" width="13.375" style="93" bestFit="1" customWidth="1"/>
    <col min="21" max="21" width="20.125" style="93" bestFit="1" customWidth="1"/>
    <col min="22" max="22" width="19.5" style="93" bestFit="1" customWidth="1"/>
    <col min="23" max="23" width="22.625" style="93" customWidth="1"/>
    <col min="24" max="24" width="13.25" style="93" bestFit="1" customWidth="1"/>
    <col min="25" max="25" width="13.25" style="93" customWidth="1"/>
    <col min="26" max="26" width="44.375" customWidth="1"/>
    <col min="27" max="27" width="1.625" customWidth="1"/>
    <col min="28" max="28" width="36.875" customWidth="1"/>
    <col min="30" max="30" width="16.375" bestFit="1" customWidth="1"/>
  </cols>
  <sheetData>
    <row r="1" spans="2:26" s="88" customFormat="1" ht="9.9499999999999993" customHeight="1"/>
    <row r="2" spans="2:26" s="88" customFormat="1" ht="70.5" thickBot="1">
      <c r="B2" s="197" t="s">
        <v>101</v>
      </c>
      <c r="C2" s="193" t="s">
        <v>102</v>
      </c>
      <c r="D2" s="194" t="s">
        <v>103</v>
      </c>
      <c r="E2" s="195" t="s">
        <v>104</v>
      </c>
      <c r="F2" s="195" t="s">
        <v>105</v>
      </c>
      <c r="G2" s="195" t="s">
        <v>106</v>
      </c>
      <c r="H2" s="195" t="s">
        <v>107</v>
      </c>
      <c r="I2" s="195"/>
      <c r="J2" s="195"/>
      <c r="K2" s="193" t="s">
        <v>73</v>
      </c>
      <c r="L2" s="193">
        <v>201</v>
      </c>
      <c r="M2" s="194" t="s">
        <v>74</v>
      </c>
      <c r="N2" s="196" t="s">
        <v>75</v>
      </c>
      <c r="O2" s="267"/>
      <c r="P2" s="268" t="s">
        <v>160</v>
      </c>
      <c r="Q2" s="89"/>
      <c r="R2" s="317"/>
      <c r="S2" s="318" t="s">
        <v>212</v>
      </c>
      <c r="T2" s="89"/>
      <c r="U2" s="89"/>
      <c r="V2" s="89"/>
      <c r="W2" s="89"/>
      <c r="X2" s="89"/>
      <c r="Y2" s="89"/>
      <c r="Z2" s="90"/>
    </row>
    <row r="3" spans="2:26" s="88" customFormat="1" ht="39" customHeight="1">
      <c r="B3" s="566" t="s">
        <v>108</v>
      </c>
      <c r="C3" s="568" t="s">
        <v>109</v>
      </c>
      <c r="D3" s="570" t="s">
        <v>116</v>
      </c>
      <c r="E3" s="572" t="s">
        <v>76</v>
      </c>
      <c r="F3" s="572"/>
      <c r="G3" s="572" t="s">
        <v>77</v>
      </c>
      <c r="H3" s="572"/>
      <c r="I3" s="369" t="s">
        <v>130</v>
      </c>
      <c r="J3" s="369" t="s">
        <v>131</v>
      </c>
      <c r="K3" s="568" t="s">
        <v>78</v>
      </c>
      <c r="L3" s="568" t="s">
        <v>79</v>
      </c>
      <c r="M3" s="568" t="s">
        <v>80</v>
      </c>
      <c r="N3" s="568" t="s">
        <v>81</v>
      </c>
      <c r="O3" s="576" t="s">
        <v>120</v>
      </c>
      <c r="P3" s="573" t="s">
        <v>117</v>
      </c>
      <c r="Q3" s="574"/>
      <c r="R3" s="574"/>
      <c r="S3" s="574"/>
      <c r="T3" s="574"/>
      <c r="U3" s="574"/>
      <c r="V3" s="574"/>
      <c r="W3" s="574"/>
      <c r="X3" s="574"/>
      <c r="Y3" s="575"/>
      <c r="Z3" s="564" t="s">
        <v>115</v>
      </c>
    </row>
    <row r="4" spans="2:26" s="88" customFormat="1" ht="77.25" thickBot="1">
      <c r="B4" s="567"/>
      <c r="C4" s="569"/>
      <c r="D4" s="571"/>
      <c r="E4" s="91" t="s">
        <v>110</v>
      </c>
      <c r="F4" s="92" t="s">
        <v>111</v>
      </c>
      <c r="G4" s="91" t="s">
        <v>110</v>
      </c>
      <c r="H4" s="92" t="s">
        <v>111</v>
      </c>
      <c r="I4" s="368" t="s">
        <v>112</v>
      </c>
      <c r="J4" s="368" t="s">
        <v>113</v>
      </c>
      <c r="K4" s="569"/>
      <c r="L4" s="569"/>
      <c r="M4" s="569"/>
      <c r="N4" s="569"/>
      <c r="O4" s="577"/>
      <c r="P4" s="363" t="s">
        <v>214</v>
      </c>
      <c r="Q4" s="477" t="s">
        <v>132</v>
      </c>
      <c r="R4" s="477" t="s">
        <v>133</v>
      </c>
      <c r="S4" s="477" t="s">
        <v>153</v>
      </c>
      <c r="T4" s="432" t="s">
        <v>154</v>
      </c>
      <c r="U4" s="432" t="s">
        <v>151</v>
      </c>
      <c r="V4" s="433" t="s">
        <v>152</v>
      </c>
      <c r="W4" s="434" t="s">
        <v>206</v>
      </c>
      <c r="X4" s="433" t="s">
        <v>205</v>
      </c>
      <c r="Y4" s="433" t="s">
        <v>204</v>
      </c>
      <c r="Z4" s="565"/>
    </row>
    <row r="5" spans="2:26" s="93" customFormat="1" ht="41.25">
      <c r="B5" s="314" t="s">
        <v>147</v>
      </c>
      <c r="C5" s="402"/>
      <c r="D5" s="403"/>
      <c r="E5" s="404"/>
      <c r="F5" s="404"/>
      <c r="G5" s="404"/>
      <c r="H5" s="404"/>
      <c r="I5" s="404"/>
      <c r="J5" s="404"/>
      <c r="K5" s="405"/>
      <c r="L5" s="405"/>
      <c r="M5" s="405"/>
      <c r="N5" s="405"/>
      <c r="O5" s="405"/>
      <c r="P5" s="405"/>
      <c r="Q5" s="405"/>
      <c r="R5" s="405"/>
      <c r="S5" s="405"/>
      <c r="T5" s="405"/>
      <c r="U5" s="405"/>
      <c r="V5" s="221"/>
      <c r="W5" s="222"/>
      <c r="X5" s="222"/>
      <c r="Y5" s="223"/>
      <c r="Z5" s="176"/>
    </row>
    <row r="6" spans="2:26" s="149" customFormat="1" ht="96">
      <c r="B6" s="142">
        <v>1</v>
      </c>
      <c r="C6" s="94" t="s">
        <v>114</v>
      </c>
      <c r="D6" s="185">
        <v>2</v>
      </c>
      <c r="E6" s="143">
        <v>45679</v>
      </c>
      <c r="F6" s="144">
        <v>0.375</v>
      </c>
      <c r="G6" s="143">
        <v>45679</v>
      </c>
      <c r="H6" s="145">
        <v>0.69444444444444453</v>
      </c>
      <c r="I6" s="146">
        <f t="shared" ref="I6:I27" si="0">H6-F6</f>
        <v>0.31944444444444453</v>
      </c>
      <c r="J6" s="147">
        <f t="shared" ref="J6:J17" si="1">I6*D6</f>
        <v>0.63888888888888906</v>
      </c>
      <c r="K6" s="95" t="s">
        <v>83</v>
      </c>
      <c r="L6" s="96" t="s">
        <v>84</v>
      </c>
      <c r="M6" s="97" t="s">
        <v>85</v>
      </c>
      <c r="N6" s="148" t="s">
        <v>86</v>
      </c>
      <c r="O6" s="293">
        <v>2</v>
      </c>
      <c r="P6" s="294"/>
      <c r="Q6" s="294">
        <v>4</v>
      </c>
      <c r="R6" s="294"/>
      <c r="S6" s="294"/>
      <c r="T6" s="294"/>
      <c r="U6" s="294"/>
      <c r="V6" s="295"/>
      <c r="W6" s="295"/>
      <c r="X6" s="295"/>
      <c r="Y6" s="296"/>
      <c r="Z6" s="177"/>
    </row>
    <row r="7" spans="2:26" s="149" customFormat="1" ht="96">
      <c r="B7" s="150">
        <v>2</v>
      </c>
      <c r="C7" s="98" t="s">
        <v>114</v>
      </c>
      <c r="D7" s="186">
        <v>2</v>
      </c>
      <c r="E7" s="151">
        <v>45680</v>
      </c>
      <c r="F7" s="144">
        <v>0.375</v>
      </c>
      <c r="G7" s="151">
        <v>45680</v>
      </c>
      <c r="H7" s="144">
        <v>0.6875</v>
      </c>
      <c r="I7" s="152">
        <f t="shared" si="0"/>
        <v>0.3125</v>
      </c>
      <c r="J7" s="153">
        <f t="shared" si="1"/>
        <v>0.625</v>
      </c>
      <c r="K7" s="100" t="s">
        <v>87</v>
      </c>
      <c r="L7" s="101" t="s">
        <v>88</v>
      </c>
      <c r="M7" s="102" t="s">
        <v>85</v>
      </c>
      <c r="N7" s="154" t="s">
        <v>119</v>
      </c>
      <c r="O7" s="297">
        <v>2</v>
      </c>
      <c r="P7" s="281" t="s">
        <v>82</v>
      </c>
      <c r="Q7" s="281">
        <v>2</v>
      </c>
      <c r="R7" s="281">
        <v>3</v>
      </c>
      <c r="S7" s="281"/>
      <c r="T7" s="281"/>
      <c r="U7" s="281"/>
      <c r="V7" s="283"/>
      <c r="W7" s="283"/>
      <c r="X7" s="283"/>
      <c r="Y7" s="284"/>
      <c r="Z7" s="178" t="s">
        <v>118</v>
      </c>
    </row>
    <row r="8" spans="2:26" s="149" customFormat="1" ht="96">
      <c r="B8" s="150">
        <v>3</v>
      </c>
      <c r="C8" s="98" t="s">
        <v>114</v>
      </c>
      <c r="D8" s="186">
        <v>2</v>
      </c>
      <c r="E8" s="151">
        <v>45681</v>
      </c>
      <c r="F8" s="144">
        <v>0.375</v>
      </c>
      <c r="G8" s="151">
        <v>45681</v>
      </c>
      <c r="H8" s="144">
        <v>0.69444444444444442</v>
      </c>
      <c r="I8" s="152">
        <f t="shared" si="0"/>
        <v>0.31944444444444442</v>
      </c>
      <c r="J8" s="153">
        <f t="shared" si="1"/>
        <v>0.63888888888888884</v>
      </c>
      <c r="K8" s="100" t="s">
        <v>125</v>
      </c>
      <c r="L8" s="101" t="s">
        <v>89</v>
      </c>
      <c r="M8" s="102" t="s">
        <v>85</v>
      </c>
      <c r="N8" s="154" t="s">
        <v>122</v>
      </c>
      <c r="O8" s="298">
        <v>2</v>
      </c>
      <c r="P8" s="299"/>
      <c r="Q8" s="299"/>
      <c r="R8" s="299" t="s">
        <v>82</v>
      </c>
      <c r="S8" s="299"/>
      <c r="T8" s="299"/>
      <c r="U8" s="299"/>
      <c r="V8" s="300"/>
      <c r="W8" s="300"/>
      <c r="X8" s="300"/>
      <c r="Y8" s="301"/>
      <c r="Z8" s="179" t="s">
        <v>82</v>
      </c>
    </row>
    <row r="9" spans="2:26" s="149" customFormat="1" ht="72">
      <c r="B9" s="150">
        <v>4</v>
      </c>
      <c r="C9" s="98" t="s">
        <v>114</v>
      </c>
      <c r="D9" s="186">
        <v>2</v>
      </c>
      <c r="E9" s="151">
        <v>45691</v>
      </c>
      <c r="F9" s="144">
        <v>0.375</v>
      </c>
      <c r="G9" s="151">
        <v>45691</v>
      </c>
      <c r="H9" s="144">
        <v>0.6875</v>
      </c>
      <c r="I9" s="152">
        <f t="shared" si="0"/>
        <v>0.3125</v>
      </c>
      <c r="J9" s="153">
        <f t="shared" si="1"/>
        <v>0.625</v>
      </c>
      <c r="K9" s="100" t="s">
        <v>126</v>
      </c>
      <c r="L9" s="101" t="s">
        <v>90</v>
      </c>
      <c r="M9" s="102" t="s">
        <v>85</v>
      </c>
      <c r="N9" s="156" t="s">
        <v>91</v>
      </c>
      <c r="O9" s="298">
        <v>2</v>
      </c>
      <c r="P9" s="299"/>
      <c r="Q9" s="299"/>
      <c r="R9" s="299"/>
      <c r="S9" s="299"/>
      <c r="T9" s="299"/>
      <c r="U9" s="299"/>
      <c r="V9" s="300"/>
      <c r="W9" s="300"/>
      <c r="X9" s="300"/>
      <c r="Y9" s="301"/>
      <c r="Z9" s="179" t="s">
        <v>82</v>
      </c>
    </row>
    <row r="10" spans="2:26" s="149" customFormat="1" ht="96">
      <c r="B10" s="150">
        <v>5</v>
      </c>
      <c r="C10" s="98" t="s">
        <v>114</v>
      </c>
      <c r="D10" s="187">
        <v>2</v>
      </c>
      <c r="E10" s="151">
        <v>45692</v>
      </c>
      <c r="F10" s="144">
        <v>0.375</v>
      </c>
      <c r="G10" s="151">
        <v>45692</v>
      </c>
      <c r="H10" s="144">
        <v>0.6875</v>
      </c>
      <c r="I10" s="152">
        <f t="shared" si="0"/>
        <v>0.3125</v>
      </c>
      <c r="J10" s="153">
        <f t="shared" si="1"/>
        <v>0.625</v>
      </c>
      <c r="K10" s="100" t="s">
        <v>127</v>
      </c>
      <c r="L10" s="101" t="s">
        <v>123</v>
      </c>
      <c r="M10" s="102" t="s">
        <v>85</v>
      </c>
      <c r="N10" s="156" t="s">
        <v>92</v>
      </c>
      <c r="O10" s="535">
        <v>1.5</v>
      </c>
      <c r="P10" s="281">
        <v>7</v>
      </c>
      <c r="Q10" s="281"/>
      <c r="R10" s="281"/>
      <c r="S10" s="281">
        <v>1</v>
      </c>
      <c r="T10" s="281"/>
      <c r="U10" s="281"/>
      <c r="V10" s="283">
        <v>1</v>
      </c>
      <c r="W10" s="283"/>
      <c r="X10" s="283"/>
      <c r="Y10" s="284"/>
      <c r="Z10" s="178" t="s">
        <v>82</v>
      </c>
    </row>
    <row r="11" spans="2:26" s="149" customFormat="1" ht="72">
      <c r="B11" s="150">
        <v>6</v>
      </c>
      <c r="C11" s="98" t="s">
        <v>114</v>
      </c>
      <c r="D11" s="187">
        <v>2</v>
      </c>
      <c r="E11" s="151">
        <v>45694</v>
      </c>
      <c r="F11" s="144">
        <v>0.375</v>
      </c>
      <c r="G11" s="151">
        <v>45694</v>
      </c>
      <c r="H11" s="144">
        <v>0.6875</v>
      </c>
      <c r="I11" s="152">
        <f t="shared" si="0"/>
        <v>0.3125</v>
      </c>
      <c r="J11" s="153">
        <f t="shared" si="1"/>
        <v>0.625</v>
      </c>
      <c r="K11" s="100">
        <v>8</v>
      </c>
      <c r="L11" s="101" t="s">
        <v>93</v>
      </c>
      <c r="M11" s="102" t="s">
        <v>85</v>
      </c>
      <c r="N11" s="156" t="s">
        <v>94</v>
      </c>
      <c r="O11" s="535">
        <v>1.5</v>
      </c>
      <c r="P11" s="281">
        <v>7</v>
      </c>
      <c r="Q11" s="281">
        <v>7</v>
      </c>
      <c r="R11" s="281"/>
      <c r="S11" s="281"/>
      <c r="T11" s="281"/>
      <c r="U11" s="281"/>
      <c r="V11" s="283"/>
      <c r="W11" s="283"/>
      <c r="X11" s="283"/>
      <c r="Y11" s="284"/>
      <c r="Z11" s="178" t="s">
        <v>82</v>
      </c>
    </row>
    <row r="12" spans="2:26" s="149" customFormat="1" ht="72.75" thickBot="1">
      <c r="B12" s="157">
        <v>7</v>
      </c>
      <c r="C12" s="105" t="s">
        <v>114</v>
      </c>
      <c r="D12" s="188">
        <v>2</v>
      </c>
      <c r="E12" s="158">
        <v>45695</v>
      </c>
      <c r="F12" s="159">
        <v>0.375</v>
      </c>
      <c r="G12" s="158">
        <v>45695</v>
      </c>
      <c r="H12" s="159">
        <v>0.6875</v>
      </c>
      <c r="I12" s="160">
        <f t="shared" si="0"/>
        <v>0.3125</v>
      </c>
      <c r="J12" s="161">
        <f t="shared" si="1"/>
        <v>0.625</v>
      </c>
      <c r="K12" s="106" t="s">
        <v>128</v>
      </c>
      <c r="L12" s="107" t="s">
        <v>95</v>
      </c>
      <c r="M12" s="108" t="s">
        <v>85</v>
      </c>
      <c r="N12" s="162" t="s">
        <v>96</v>
      </c>
      <c r="O12" s="536">
        <v>1.5</v>
      </c>
      <c r="P12" s="281">
        <v>7</v>
      </c>
      <c r="Q12" s="281" t="s">
        <v>82</v>
      </c>
      <c r="R12" s="281"/>
      <c r="S12" s="281"/>
      <c r="T12" s="281"/>
      <c r="U12" s="281"/>
      <c r="V12" s="283"/>
      <c r="W12" s="283"/>
      <c r="X12" s="283"/>
      <c r="Y12" s="284"/>
      <c r="Z12" s="178" t="s">
        <v>156</v>
      </c>
    </row>
    <row r="13" spans="2:26" s="93" customFormat="1" ht="72.75" thickTop="1">
      <c r="B13" s="406">
        <v>8</v>
      </c>
      <c r="C13" s="248" t="s">
        <v>114</v>
      </c>
      <c r="D13" s="249">
        <v>2</v>
      </c>
      <c r="E13" s="250">
        <v>45698</v>
      </c>
      <c r="F13" s="251">
        <v>0.54166666666666663</v>
      </c>
      <c r="G13" s="250">
        <v>45698</v>
      </c>
      <c r="H13" s="251">
        <v>0.6875</v>
      </c>
      <c r="I13" s="252">
        <f t="shared" si="0"/>
        <v>0.14583333333333337</v>
      </c>
      <c r="J13" s="253">
        <f t="shared" si="1"/>
        <v>0.29166666666666674</v>
      </c>
      <c r="K13" s="254" t="s">
        <v>129</v>
      </c>
      <c r="L13" s="255" t="s">
        <v>124</v>
      </c>
      <c r="M13" s="256" t="s">
        <v>85</v>
      </c>
      <c r="N13" s="257" t="s">
        <v>97</v>
      </c>
      <c r="O13" s="304">
        <v>1.5</v>
      </c>
      <c r="P13" s="291">
        <v>7</v>
      </c>
      <c r="Q13" s="281" t="s">
        <v>82</v>
      </c>
      <c r="R13" s="103"/>
      <c r="S13" s="103"/>
      <c r="T13" s="103"/>
      <c r="U13" s="103"/>
      <c r="V13" s="226"/>
      <c r="W13" s="226"/>
      <c r="X13" s="226"/>
      <c r="Y13" s="227"/>
      <c r="Z13" s="178" t="s">
        <v>82</v>
      </c>
    </row>
    <row r="14" spans="2:26" s="93" customFormat="1" ht="96.75" thickBot="1">
      <c r="B14" s="407">
        <v>9</v>
      </c>
      <c r="C14" s="112" t="s">
        <v>114</v>
      </c>
      <c r="D14" s="189">
        <v>2</v>
      </c>
      <c r="E14" s="113">
        <v>45699</v>
      </c>
      <c r="F14" s="114">
        <v>0.375</v>
      </c>
      <c r="G14" s="113">
        <v>45699</v>
      </c>
      <c r="H14" s="114">
        <v>0.67361111111111116</v>
      </c>
      <c r="I14" s="115">
        <f t="shared" si="0"/>
        <v>0.29861111111111116</v>
      </c>
      <c r="J14" s="116">
        <f t="shared" si="1"/>
        <v>0.59722222222222232</v>
      </c>
      <c r="K14" s="117">
        <v>2</v>
      </c>
      <c r="L14" s="118">
        <v>203</v>
      </c>
      <c r="M14" s="118" t="s">
        <v>85</v>
      </c>
      <c r="N14" s="119" t="s">
        <v>98</v>
      </c>
      <c r="O14" s="305">
        <v>2</v>
      </c>
      <c r="P14" s="291">
        <v>3</v>
      </c>
      <c r="Q14" s="281"/>
      <c r="R14" s="109"/>
      <c r="S14" s="103"/>
      <c r="T14" s="103"/>
      <c r="U14" s="103"/>
      <c r="V14" s="226"/>
      <c r="W14" s="226"/>
      <c r="X14" s="226"/>
      <c r="Y14" s="227"/>
      <c r="Z14" s="178"/>
    </row>
    <row r="15" spans="2:26" s="93" customFormat="1" ht="102.75" thickTop="1" thickBot="1">
      <c r="B15" s="407">
        <v>10</v>
      </c>
      <c r="C15" s="112" t="s">
        <v>114</v>
      </c>
      <c r="D15" s="189">
        <v>2</v>
      </c>
      <c r="E15" s="113">
        <v>45701</v>
      </c>
      <c r="F15" s="114">
        <v>0.375</v>
      </c>
      <c r="G15" s="113">
        <v>45701</v>
      </c>
      <c r="H15" s="114">
        <v>0.6875</v>
      </c>
      <c r="I15" s="115">
        <f t="shared" si="0"/>
        <v>0.3125</v>
      </c>
      <c r="J15" s="116">
        <f t="shared" si="1"/>
        <v>0.625</v>
      </c>
      <c r="K15" s="117">
        <v>102</v>
      </c>
      <c r="L15" s="118">
        <v>205</v>
      </c>
      <c r="M15" s="118" t="s">
        <v>85</v>
      </c>
      <c r="N15" s="119" t="s">
        <v>99</v>
      </c>
      <c r="O15" s="306">
        <v>2</v>
      </c>
      <c r="P15" s="307">
        <v>3</v>
      </c>
      <c r="Q15" s="299">
        <v>1</v>
      </c>
      <c r="R15" s="292" t="s">
        <v>207</v>
      </c>
      <c r="S15" s="110"/>
      <c r="T15" s="104"/>
      <c r="U15" s="104"/>
      <c r="V15" s="228"/>
      <c r="W15" s="228"/>
      <c r="X15" s="228"/>
      <c r="Y15" s="229"/>
      <c r="Z15" s="178"/>
    </row>
    <row r="16" spans="2:26" s="93" customFormat="1" ht="73.5" thickTop="1" thickBot="1">
      <c r="B16" s="408">
        <v>11</v>
      </c>
      <c r="C16" s="258" t="s">
        <v>114</v>
      </c>
      <c r="D16" s="259">
        <v>2</v>
      </c>
      <c r="E16" s="260">
        <v>45702</v>
      </c>
      <c r="F16" s="261">
        <v>0.375</v>
      </c>
      <c r="G16" s="260">
        <v>45702</v>
      </c>
      <c r="H16" s="261">
        <v>0.5</v>
      </c>
      <c r="I16" s="262">
        <f t="shared" si="0"/>
        <v>0.125</v>
      </c>
      <c r="J16" s="263">
        <f t="shared" si="1"/>
        <v>0.25</v>
      </c>
      <c r="K16" s="264">
        <v>5</v>
      </c>
      <c r="L16" s="265">
        <v>301</v>
      </c>
      <c r="M16" s="265" t="s">
        <v>85</v>
      </c>
      <c r="N16" s="266" t="s">
        <v>121</v>
      </c>
      <c r="O16" s="308">
        <v>2</v>
      </c>
      <c r="P16" s="307"/>
      <c r="Q16" s="299"/>
      <c r="R16" s="111"/>
      <c r="S16" s="104"/>
      <c r="T16" s="104"/>
      <c r="U16" s="104"/>
      <c r="V16" s="228"/>
      <c r="W16" s="228"/>
      <c r="X16" s="228"/>
      <c r="Y16" s="229"/>
      <c r="Z16" s="178"/>
    </row>
    <row r="17" spans="2:31" s="149" customFormat="1" ht="72" customHeight="1" thickTop="1" thickBot="1">
      <c r="B17" s="237">
        <v>12</v>
      </c>
      <c r="C17" s="238" t="s">
        <v>114</v>
      </c>
      <c r="D17" s="239">
        <v>1</v>
      </c>
      <c r="E17" s="240">
        <v>45707</v>
      </c>
      <c r="F17" s="241">
        <v>0.54166666666666663</v>
      </c>
      <c r="G17" s="240">
        <v>45692</v>
      </c>
      <c r="H17" s="241">
        <v>0.64583333333333337</v>
      </c>
      <c r="I17" s="242">
        <f t="shared" si="0"/>
        <v>0.10416666666666674</v>
      </c>
      <c r="J17" s="243">
        <f t="shared" si="1"/>
        <v>0.10416666666666674</v>
      </c>
      <c r="K17" s="244">
        <v>5</v>
      </c>
      <c r="L17" s="245">
        <v>501</v>
      </c>
      <c r="M17" s="246" t="s">
        <v>85</v>
      </c>
      <c r="N17" s="247" t="s">
        <v>100</v>
      </c>
      <c r="O17" s="303"/>
      <c r="P17" s="281">
        <v>7</v>
      </c>
      <c r="Q17" s="281"/>
      <c r="R17" s="155"/>
      <c r="S17" s="155"/>
      <c r="T17" s="155"/>
      <c r="U17" s="155"/>
      <c r="V17" s="224"/>
      <c r="W17" s="224"/>
      <c r="X17" s="224"/>
      <c r="Y17" s="225"/>
      <c r="Z17" s="178"/>
    </row>
    <row r="18" spans="2:31" ht="95.1" customHeight="1" thickBot="1">
      <c r="B18" s="584" t="s">
        <v>209</v>
      </c>
      <c r="C18" s="585"/>
      <c r="D18" s="473">
        <f>SUM(D6:D17)</f>
        <v>23</v>
      </c>
      <c r="E18" s="342"/>
      <c r="F18" s="343"/>
      <c r="G18" s="342"/>
      <c r="H18" s="343"/>
      <c r="I18" s="500"/>
      <c r="J18" s="412"/>
      <c r="K18" s="344"/>
      <c r="L18" s="345"/>
      <c r="M18" s="344"/>
      <c r="N18" s="346"/>
      <c r="O18" s="501">
        <f>SUM(O6:O17)</f>
        <v>20</v>
      </c>
      <c r="P18" s="519">
        <f>SUM(P5:P17)</f>
        <v>41</v>
      </c>
      <c r="Q18" s="517">
        <f>SUM(Q5:Q17)</f>
        <v>14</v>
      </c>
      <c r="R18" s="517">
        <f>SUM(R5:R17)</f>
        <v>3</v>
      </c>
      <c r="S18" s="415"/>
      <c r="T18" s="413"/>
      <c r="U18" s="413"/>
      <c r="V18" s="413"/>
      <c r="W18" s="347"/>
      <c r="X18" s="347"/>
      <c r="Y18" s="347"/>
      <c r="Z18" s="499"/>
      <c r="AA18" s="130"/>
    </row>
    <row r="19" spans="2:31" ht="66.75" thickBot="1">
      <c r="O19" s="541">
        <f>O18-D18</f>
        <v>-3</v>
      </c>
      <c r="P19" s="503" t="s">
        <v>312</v>
      </c>
    </row>
    <row r="20" spans="2:31" s="534" customFormat="1" ht="21" customHeight="1">
      <c r="B20" s="520"/>
      <c r="C20" s="521"/>
      <c r="D20" s="522"/>
      <c r="E20" s="523"/>
      <c r="F20" s="524"/>
      <c r="G20" s="523"/>
      <c r="H20" s="524"/>
      <c r="I20" s="525"/>
      <c r="J20" s="526"/>
      <c r="K20" s="527"/>
      <c r="L20" s="528"/>
      <c r="M20" s="521"/>
      <c r="N20" s="529"/>
      <c r="O20" s="530"/>
      <c r="P20" s="531"/>
      <c r="Q20" s="531"/>
      <c r="R20" s="532"/>
      <c r="S20" s="532"/>
      <c r="T20" s="532"/>
      <c r="U20" s="532"/>
      <c r="V20" s="532"/>
      <c r="W20" s="532"/>
      <c r="X20" s="532"/>
      <c r="Y20" s="532"/>
      <c r="Z20" s="533"/>
    </row>
    <row r="21" spans="2:31" s="93" customFormat="1" ht="41.25">
      <c r="B21" s="313" t="s">
        <v>203</v>
      </c>
      <c r="C21" s="209"/>
      <c r="D21" s="210"/>
      <c r="E21" s="211"/>
      <c r="F21" s="212"/>
      <c r="G21" s="211"/>
      <c r="H21" s="212"/>
      <c r="I21" s="213"/>
      <c r="J21" s="214"/>
      <c r="K21" s="215"/>
      <c r="L21" s="216"/>
      <c r="M21" s="217"/>
      <c r="N21" s="218"/>
      <c r="O21" s="219"/>
      <c r="P21" s="220"/>
      <c r="Q21" s="220"/>
      <c r="R21" s="220"/>
      <c r="S21" s="220"/>
      <c r="T21" s="220"/>
      <c r="U21" s="220"/>
      <c r="V21" s="230"/>
      <c r="W21" s="230"/>
      <c r="X21" s="230"/>
      <c r="Y21" s="231"/>
      <c r="Z21" s="309"/>
    </row>
    <row r="22" spans="2:31" s="130" customFormat="1" ht="72" customHeight="1">
      <c r="B22" s="121">
        <v>13</v>
      </c>
      <c r="C22" s="122" t="s">
        <v>134</v>
      </c>
      <c r="D22" s="191">
        <v>2</v>
      </c>
      <c r="E22" s="123">
        <v>45741</v>
      </c>
      <c r="F22" s="124">
        <v>0.375</v>
      </c>
      <c r="G22" s="123">
        <v>45741</v>
      </c>
      <c r="H22" s="124">
        <v>0.67708333333333337</v>
      </c>
      <c r="I22" s="125">
        <f t="shared" si="0"/>
        <v>0.30208333333333337</v>
      </c>
      <c r="J22" s="99">
        <f t="shared" ref="J22:J27" si="2">I22*D22</f>
        <v>0.60416666666666674</v>
      </c>
      <c r="K22" s="126">
        <v>7</v>
      </c>
      <c r="L22" s="127">
        <v>506</v>
      </c>
      <c r="M22" s="128" t="s">
        <v>138</v>
      </c>
      <c r="N22" s="156" t="s">
        <v>141</v>
      </c>
      <c r="O22" s="302">
        <f t="shared" ref="O22:O27" si="3">D22</f>
        <v>2</v>
      </c>
      <c r="P22" s="281"/>
      <c r="Q22" s="281">
        <v>4</v>
      </c>
      <c r="R22" s="281"/>
      <c r="S22" s="175"/>
      <c r="T22" s="281">
        <v>2.5</v>
      </c>
      <c r="U22" s="281">
        <v>2.5</v>
      </c>
      <c r="V22" s="283"/>
      <c r="W22" s="283"/>
      <c r="X22" s="283"/>
      <c r="Y22" s="232"/>
      <c r="Z22" s="178" t="s">
        <v>315</v>
      </c>
    </row>
    <row r="23" spans="2:31" s="130" customFormat="1" ht="120.75" thickBot="1">
      <c r="B23" s="121">
        <v>14</v>
      </c>
      <c r="C23" s="122" t="s">
        <v>134</v>
      </c>
      <c r="D23" s="191">
        <v>2</v>
      </c>
      <c r="E23" s="123">
        <v>45744</v>
      </c>
      <c r="F23" s="124">
        <v>0.375</v>
      </c>
      <c r="G23" s="123">
        <v>45744</v>
      </c>
      <c r="H23" s="124">
        <v>0.68055555555555558</v>
      </c>
      <c r="I23" s="125">
        <f t="shared" si="0"/>
        <v>0.30555555555555558</v>
      </c>
      <c r="J23" s="99">
        <f t="shared" si="2"/>
        <v>0.61111111111111116</v>
      </c>
      <c r="K23" s="126" t="s">
        <v>135</v>
      </c>
      <c r="L23" s="127" t="s">
        <v>137</v>
      </c>
      <c r="M23" s="128" t="s">
        <v>138</v>
      </c>
      <c r="N23" s="156" t="s">
        <v>142</v>
      </c>
      <c r="O23" s="302">
        <f t="shared" si="3"/>
        <v>2</v>
      </c>
      <c r="P23" s="281"/>
      <c r="Q23" s="281"/>
      <c r="R23" s="281"/>
      <c r="S23" s="183"/>
      <c r="T23" s="281"/>
      <c r="U23" s="281"/>
      <c r="V23" s="283"/>
      <c r="W23" s="283"/>
      <c r="X23" s="283"/>
      <c r="Y23" s="232"/>
      <c r="Z23" s="178"/>
    </row>
    <row r="24" spans="2:31" s="130" customFormat="1" ht="102" thickTop="1">
      <c r="B24" s="121">
        <v>15</v>
      </c>
      <c r="C24" s="122" t="s">
        <v>134</v>
      </c>
      <c r="D24" s="191">
        <v>2</v>
      </c>
      <c r="E24" s="123">
        <v>45747</v>
      </c>
      <c r="F24" s="124">
        <v>0.375</v>
      </c>
      <c r="G24" s="123">
        <v>45747</v>
      </c>
      <c r="H24" s="124">
        <v>0.6875</v>
      </c>
      <c r="I24" s="125">
        <f t="shared" si="0"/>
        <v>0.3125</v>
      </c>
      <c r="J24" s="99">
        <f t="shared" si="2"/>
        <v>0.625</v>
      </c>
      <c r="K24" s="126" t="s">
        <v>136</v>
      </c>
      <c r="L24" s="127" t="s">
        <v>139</v>
      </c>
      <c r="M24" s="128" t="s">
        <v>138</v>
      </c>
      <c r="N24" s="156" t="s">
        <v>143</v>
      </c>
      <c r="O24" s="302">
        <f t="shared" si="3"/>
        <v>2</v>
      </c>
      <c r="P24" s="281"/>
      <c r="Q24" s="281"/>
      <c r="R24" s="281"/>
      <c r="S24" s="387" t="s">
        <v>157</v>
      </c>
      <c r="T24" s="291"/>
      <c r="U24" s="281"/>
      <c r="V24" s="283"/>
      <c r="W24" s="283"/>
      <c r="X24" s="283"/>
      <c r="Y24" s="232"/>
      <c r="Z24" s="178"/>
    </row>
    <row r="25" spans="2:31" s="130" customFormat="1" ht="102" thickBot="1">
      <c r="B25" s="121">
        <v>16</v>
      </c>
      <c r="C25" s="122" t="s">
        <v>134</v>
      </c>
      <c r="D25" s="191">
        <v>2</v>
      </c>
      <c r="E25" s="123">
        <v>45749</v>
      </c>
      <c r="F25" s="124">
        <v>0.375</v>
      </c>
      <c r="G25" s="123">
        <v>45749</v>
      </c>
      <c r="H25" s="124">
        <v>0.6875</v>
      </c>
      <c r="I25" s="125">
        <f t="shared" si="0"/>
        <v>0.3125</v>
      </c>
      <c r="J25" s="99">
        <f t="shared" si="2"/>
        <v>0.625</v>
      </c>
      <c r="K25" s="126" t="s">
        <v>136</v>
      </c>
      <c r="L25" s="127" t="s">
        <v>140</v>
      </c>
      <c r="M25" s="128" t="s">
        <v>138</v>
      </c>
      <c r="N25" s="156" t="s">
        <v>144</v>
      </c>
      <c r="O25" s="302">
        <f t="shared" si="3"/>
        <v>2</v>
      </c>
      <c r="P25" s="281"/>
      <c r="Q25" s="281"/>
      <c r="R25" s="281"/>
      <c r="S25" s="388" t="s">
        <v>158</v>
      </c>
      <c r="T25" s="291"/>
      <c r="U25" s="281"/>
      <c r="V25" s="283">
        <v>2</v>
      </c>
      <c r="W25" s="283"/>
      <c r="X25" s="283"/>
      <c r="Y25" s="233"/>
      <c r="Z25" s="178" t="s">
        <v>159</v>
      </c>
    </row>
    <row r="26" spans="2:31" s="130" customFormat="1" ht="72" customHeight="1" thickTop="1">
      <c r="B26" s="121">
        <v>17</v>
      </c>
      <c r="C26" s="122" t="s">
        <v>134</v>
      </c>
      <c r="D26" s="191">
        <v>2</v>
      </c>
      <c r="E26" s="123">
        <v>45750</v>
      </c>
      <c r="F26" s="124">
        <v>0.375</v>
      </c>
      <c r="G26" s="123">
        <v>45750</v>
      </c>
      <c r="H26" s="124">
        <v>0.6875</v>
      </c>
      <c r="I26" s="125">
        <f t="shared" si="0"/>
        <v>0.3125</v>
      </c>
      <c r="J26" s="99">
        <f t="shared" si="2"/>
        <v>0.625</v>
      </c>
      <c r="K26" s="126">
        <v>8</v>
      </c>
      <c r="L26" s="127">
        <v>502</v>
      </c>
      <c r="M26" s="128" t="s">
        <v>138</v>
      </c>
      <c r="N26" s="156" t="s">
        <v>145</v>
      </c>
      <c r="O26" s="302">
        <f t="shared" si="3"/>
        <v>2</v>
      </c>
      <c r="P26" s="281"/>
      <c r="Q26" s="281">
        <v>2</v>
      </c>
      <c r="R26" s="281"/>
      <c r="S26" s="282"/>
      <c r="T26" s="281"/>
      <c r="U26" s="281"/>
      <c r="V26" s="283"/>
      <c r="W26" s="283"/>
      <c r="X26" s="283"/>
      <c r="Y26" s="284"/>
      <c r="Z26" s="178"/>
    </row>
    <row r="27" spans="2:31" s="130" customFormat="1" ht="96">
      <c r="B27" s="121">
        <v>18</v>
      </c>
      <c r="C27" s="122" t="s">
        <v>134</v>
      </c>
      <c r="D27" s="191">
        <v>2</v>
      </c>
      <c r="E27" s="123">
        <v>45755</v>
      </c>
      <c r="F27" s="124">
        <v>0.375</v>
      </c>
      <c r="G27" s="123">
        <v>45755</v>
      </c>
      <c r="H27" s="124">
        <v>0.6875</v>
      </c>
      <c r="I27" s="125">
        <f t="shared" si="0"/>
        <v>0.3125</v>
      </c>
      <c r="J27" s="99">
        <f t="shared" si="2"/>
        <v>0.625</v>
      </c>
      <c r="K27" s="126">
        <v>2</v>
      </c>
      <c r="L27" s="127">
        <v>108</v>
      </c>
      <c r="M27" s="128" t="s">
        <v>138</v>
      </c>
      <c r="N27" s="156" t="s">
        <v>146</v>
      </c>
      <c r="O27" s="302">
        <f t="shared" si="3"/>
        <v>2</v>
      </c>
      <c r="P27" s="281"/>
      <c r="Q27" s="281">
        <v>6</v>
      </c>
      <c r="R27" s="281">
        <v>9</v>
      </c>
      <c r="S27" s="200"/>
      <c r="T27" s="155"/>
      <c r="U27" s="155"/>
      <c r="V27" s="224"/>
      <c r="W27" s="224"/>
      <c r="X27" s="224"/>
      <c r="Y27" s="225"/>
      <c r="Z27" s="180"/>
      <c r="AD27" s="235"/>
      <c r="AE27" s="234"/>
    </row>
    <row r="28" spans="2:31" s="130" customFormat="1" ht="72" customHeight="1">
      <c r="B28" s="131"/>
      <c r="C28" s="132"/>
      <c r="D28" s="192"/>
      <c r="E28" s="133"/>
      <c r="F28" s="134"/>
      <c r="G28" s="133"/>
      <c r="H28" s="134"/>
      <c r="I28" s="135"/>
      <c r="J28" s="120"/>
      <c r="K28" s="136"/>
      <c r="L28" s="137"/>
      <c r="M28" s="137"/>
      <c r="N28" s="138"/>
      <c r="O28" s="315"/>
      <c r="P28" s="285"/>
      <c r="Q28" s="285"/>
      <c r="R28" s="285"/>
      <c r="S28" s="285"/>
      <c r="T28" s="285"/>
      <c r="U28" s="285"/>
      <c r="V28" s="286"/>
      <c r="W28" s="286"/>
      <c r="X28" s="286"/>
      <c r="Y28" s="287"/>
      <c r="Z28" s="181"/>
      <c r="AD28" s="234"/>
    </row>
    <row r="29" spans="2:31" s="141" customFormat="1" ht="68.25" thickBot="1">
      <c r="B29" s="582" t="s">
        <v>209</v>
      </c>
      <c r="C29" s="583"/>
      <c r="D29" s="290">
        <f>SUM(D13:D16,D22:D27)</f>
        <v>20</v>
      </c>
      <c r="E29" s="139"/>
      <c r="F29" s="140"/>
      <c r="G29" s="139"/>
      <c r="H29" s="140"/>
      <c r="I29" s="184"/>
      <c r="J29" s="184"/>
      <c r="K29" s="168"/>
      <c r="L29" s="169"/>
      <c r="M29" s="168"/>
      <c r="N29" s="170"/>
      <c r="O29" s="316">
        <f>SUM(O13:O28)</f>
        <v>36.5</v>
      </c>
      <c r="P29" s="236">
        <f>SUM(P22:P28)</f>
        <v>0</v>
      </c>
      <c r="Q29" s="288">
        <f>SUM(Q22:Q28)</f>
        <v>12</v>
      </c>
      <c r="R29" s="288">
        <v>9.3000000000000007</v>
      </c>
      <c r="S29" s="288" t="s">
        <v>155</v>
      </c>
      <c r="T29" s="288">
        <f t="shared" ref="T29:V29" si="4">SUM(T22:T28)</f>
        <v>2.5</v>
      </c>
      <c r="U29" s="288">
        <f t="shared" si="4"/>
        <v>2.5</v>
      </c>
      <c r="V29" s="288">
        <f t="shared" si="4"/>
        <v>2</v>
      </c>
      <c r="W29" s="289"/>
      <c r="X29" s="289"/>
      <c r="Y29" s="289"/>
      <c r="Z29" s="182"/>
    </row>
    <row r="30" spans="2:31" ht="66.75" thickBot="1">
      <c r="O30" s="537" t="s">
        <v>184</v>
      </c>
      <c r="P30" s="503" t="s">
        <v>312</v>
      </c>
    </row>
    <row r="31" spans="2:31" s="540" customFormat="1" ht="24">
      <c r="B31" s="538"/>
      <c r="C31" s="538"/>
      <c r="D31" s="538"/>
      <c r="E31" s="538"/>
      <c r="F31" s="538"/>
      <c r="G31" s="538"/>
      <c r="H31" s="538"/>
      <c r="I31" s="539"/>
      <c r="J31" s="538"/>
      <c r="K31" s="538"/>
      <c r="L31" s="538"/>
      <c r="M31" s="538"/>
      <c r="N31" s="538"/>
      <c r="O31" s="538"/>
      <c r="P31" s="538"/>
      <c r="Q31" s="538"/>
      <c r="R31" s="538"/>
      <c r="S31" s="538"/>
      <c r="T31" s="538"/>
      <c r="U31" s="538"/>
      <c r="V31" s="538"/>
      <c r="W31" s="538"/>
      <c r="X31" s="538"/>
      <c r="Y31" s="538"/>
      <c r="Z31" s="538"/>
      <c r="AA31" s="538"/>
      <c r="AB31" s="538"/>
      <c r="AC31" s="538"/>
    </row>
    <row r="32" spans="2:31" s="280" customFormat="1" ht="41.25">
      <c r="B32" s="313" t="s">
        <v>213</v>
      </c>
      <c r="C32" s="269"/>
      <c r="D32" s="190"/>
      <c r="E32" s="270"/>
      <c r="F32" s="271"/>
      <c r="G32" s="270"/>
      <c r="H32" s="271"/>
      <c r="I32" s="271"/>
      <c r="J32" s="272"/>
      <c r="K32" s="273"/>
      <c r="L32" s="273"/>
      <c r="M32" s="274"/>
      <c r="N32" s="275"/>
      <c r="O32" s="276"/>
      <c r="P32" s="277"/>
      <c r="Q32" s="277"/>
      <c r="R32" s="277"/>
      <c r="S32" s="277"/>
      <c r="T32" s="277"/>
      <c r="U32" s="277"/>
      <c r="V32" s="277"/>
      <c r="W32" s="277"/>
      <c r="X32" s="277"/>
      <c r="Y32" s="277"/>
      <c r="Z32" s="278"/>
      <c r="AA32" s="279"/>
    </row>
    <row r="33" spans="2:27" ht="96">
      <c r="B33" s="121">
        <v>19</v>
      </c>
      <c r="C33" s="122" t="s">
        <v>134</v>
      </c>
      <c r="D33" s="198">
        <v>2</v>
      </c>
      <c r="E33" s="123">
        <v>45756</v>
      </c>
      <c r="F33" s="124">
        <v>0.375</v>
      </c>
      <c r="G33" s="123">
        <v>45756</v>
      </c>
      <c r="H33" s="124">
        <v>0.6875</v>
      </c>
      <c r="I33" s="199">
        <f t="shared" ref="I33:I48" si="5">H33-F33</f>
        <v>0.3125</v>
      </c>
      <c r="J33" s="99">
        <f t="shared" ref="J33:J48" si="6">I33*D33</f>
        <v>0.625</v>
      </c>
      <c r="K33" s="127" t="s">
        <v>161</v>
      </c>
      <c r="L33" s="127" t="s">
        <v>162</v>
      </c>
      <c r="M33" s="128" t="s">
        <v>138</v>
      </c>
      <c r="N33" s="129" t="s">
        <v>163</v>
      </c>
      <c r="O33" s="370">
        <f t="shared" ref="O33" si="7">D33</f>
        <v>2</v>
      </c>
      <c r="P33" s="371">
        <v>3</v>
      </c>
      <c r="Q33" s="371">
        <v>3</v>
      </c>
      <c r="R33" s="371">
        <v>3</v>
      </c>
      <c r="S33" s="371"/>
      <c r="T33" s="371">
        <v>5</v>
      </c>
      <c r="U33" s="371">
        <v>5</v>
      </c>
      <c r="V33" s="371"/>
      <c r="W33" s="371"/>
      <c r="X33" s="371"/>
      <c r="Y33" s="371"/>
      <c r="Z33" s="310" t="s">
        <v>164</v>
      </c>
      <c r="AA33" s="149"/>
    </row>
    <row r="34" spans="2:27" ht="144">
      <c r="B34" s="121">
        <v>20</v>
      </c>
      <c r="C34" s="122" t="s">
        <v>134</v>
      </c>
      <c r="D34" s="312">
        <v>2</v>
      </c>
      <c r="E34" s="123">
        <v>45757</v>
      </c>
      <c r="F34" s="124">
        <v>0.375</v>
      </c>
      <c r="G34" s="123">
        <v>45757</v>
      </c>
      <c r="H34" s="124">
        <v>0.6875</v>
      </c>
      <c r="I34" s="199">
        <f t="shared" si="5"/>
        <v>0.3125</v>
      </c>
      <c r="J34" s="99">
        <f t="shared" si="6"/>
        <v>0.625</v>
      </c>
      <c r="K34" s="127" t="s">
        <v>165</v>
      </c>
      <c r="L34" s="127" t="s">
        <v>166</v>
      </c>
      <c r="M34" s="128" t="s">
        <v>138</v>
      </c>
      <c r="N34" s="129" t="s">
        <v>167</v>
      </c>
      <c r="O34" s="372">
        <v>1.5</v>
      </c>
      <c r="P34" s="371">
        <v>7</v>
      </c>
      <c r="Q34" s="371">
        <v>2</v>
      </c>
      <c r="R34" s="371"/>
      <c r="S34" s="371"/>
      <c r="T34" s="371"/>
      <c r="U34" s="371"/>
      <c r="V34" s="371"/>
      <c r="W34" s="371"/>
      <c r="X34" s="371">
        <v>1</v>
      </c>
      <c r="Y34" s="371"/>
      <c r="Z34" s="310" t="s">
        <v>208</v>
      </c>
      <c r="AA34" s="149"/>
    </row>
    <row r="35" spans="2:27" ht="168" customHeight="1">
      <c r="B35" s="121">
        <v>21</v>
      </c>
      <c r="C35" s="122" t="s">
        <v>134</v>
      </c>
      <c r="D35" s="312">
        <v>1</v>
      </c>
      <c r="E35" s="123">
        <v>45765</v>
      </c>
      <c r="F35" s="124">
        <v>0.4375</v>
      </c>
      <c r="G35" s="123">
        <v>45765</v>
      </c>
      <c r="H35" s="124">
        <v>0.47916666666666669</v>
      </c>
      <c r="I35" s="199">
        <f t="shared" si="5"/>
        <v>4.1666666666666685E-2</v>
      </c>
      <c r="J35" s="99">
        <f t="shared" si="6"/>
        <v>4.1666666666666685E-2</v>
      </c>
      <c r="K35" s="126">
        <v>5</v>
      </c>
      <c r="L35" s="127">
        <v>104</v>
      </c>
      <c r="M35" s="128" t="s">
        <v>138</v>
      </c>
      <c r="N35" s="129" t="s">
        <v>168</v>
      </c>
      <c r="O35" s="372">
        <v>0.5</v>
      </c>
      <c r="P35" s="371"/>
      <c r="Q35" s="371"/>
      <c r="R35" s="371"/>
      <c r="S35" s="371" t="s">
        <v>82</v>
      </c>
      <c r="T35" s="371"/>
      <c r="U35" s="371"/>
      <c r="V35" s="371"/>
      <c r="W35" s="371"/>
      <c r="X35" s="371"/>
      <c r="Y35" s="371"/>
      <c r="Z35" s="310"/>
      <c r="AA35" s="149"/>
    </row>
    <row r="36" spans="2:27" ht="96">
      <c r="B36" s="121">
        <v>22</v>
      </c>
      <c r="C36" s="122" t="s">
        <v>134</v>
      </c>
      <c r="D36" s="198">
        <v>2</v>
      </c>
      <c r="E36" s="123">
        <v>45775</v>
      </c>
      <c r="F36" s="124">
        <v>0.375</v>
      </c>
      <c r="G36" s="123">
        <v>45775</v>
      </c>
      <c r="H36" s="124">
        <v>0.69444444444444442</v>
      </c>
      <c r="I36" s="199">
        <f t="shared" si="5"/>
        <v>0.31944444444444442</v>
      </c>
      <c r="J36" s="99">
        <f t="shared" si="6"/>
        <v>0.63888888888888884</v>
      </c>
      <c r="K36" s="126">
        <v>8</v>
      </c>
      <c r="L36" s="127">
        <v>401</v>
      </c>
      <c r="M36" s="128" t="s">
        <v>138</v>
      </c>
      <c r="N36" s="129" t="s">
        <v>169</v>
      </c>
      <c r="O36" s="370">
        <v>2</v>
      </c>
      <c r="P36" s="371">
        <v>3</v>
      </c>
      <c r="Q36" s="371">
        <v>4</v>
      </c>
      <c r="R36" s="371"/>
      <c r="S36" s="371" t="s">
        <v>82</v>
      </c>
      <c r="T36" s="371"/>
      <c r="U36" s="371"/>
      <c r="V36" s="371" t="s">
        <v>82</v>
      </c>
      <c r="W36" s="371"/>
      <c r="X36" s="371"/>
      <c r="Y36" s="371"/>
      <c r="Z36" s="310" t="s">
        <v>82</v>
      </c>
      <c r="AA36" s="149"/>
    </row>
    <row r="37" spans="2:27" ht="144.75" thickBot="1">
      <c r="B37" s="121">
        <v>23</v>
      </c>
      <c r="C37" s="122" t="s">
        <v>134</v>
      </c>
      <c r="D37" s="198">
        <v>2</v>
      </c>
      <c r="E37" s="123">
        <v>45776</v>
      </c>
      <c r="F37" s="124">
        <v>0.375</v>
      </c>
      <c r="G37" s="123">
        <v>45776</v>
      </c>
      <c r="H37" s="124">
        <v>0.6875</v>
      </c>
      <c r="I37" s="199">
        <f t="shared" si="5"/>
        <v>0.3125</v>
      </c>
      <c r="J37" s="99">
        <f t="shared" si="6"/>
        <v>0.625</v>
      </c>
      <c r="K37" s="127" t="s">
        <v>170</v>
      </c>
      <c r="L37" s="127" t="s">
        <v>171</v>
      </c>
      <c r="M37" s="128" t="s">
        <v>138</v>
      </c>
      <c r="N37" s="129" t="s">
        <v>172</v>
      </c>
      <c r="O37" s="370">
        <v>2</v>
      </c>
      <c r="P37" s="373">
        <v>3</v>
      </c>
      <c r="Q37" s="371">
        <v>3</v>
      </c>
      <c r="R37" s="371">
        <v>6</v>
      </c>
      <c r="S37" s="371"/>
      <c r="T37" s="371"/>
      <c r="U37" s="371"/>
      <c r="V37" s="371"/>
      <c r="W37" s="371"/>
      <c r="X37" s="371"/>
      <c r="Y37" s="371"/>
      <c r="Z37" s="310"/>
      <c r="AA37" s="149"/>
    </row>
    <row r="38" spans="2:27" ht="144.75" thickTop="1">
      <c r="B38" s="121">
        <v>24</v>
      </c>
      <c r="C38" s="122" t="s">
        <v>134</v>
      </c>
      <c r="D38" s="198">
        <v>2</v>
      </c>
      <c r="E38" s="123">
        <v>45777</v>
      </c>
      <c r="F38" s="124">
        <v>0.375</v>
      </c>
      <c r="G38" s="123">
        <v>45777</v>
      </c>
      <c r="H38" s="124">
        <v>0.6875</v>
      </c>
      <c r="I38" s="199">
        <f t="shared" si="5"/>
        <v>0.3125</v>
      </c>
      <c r="J38" s="99">
        <f t="shared" si="6"/>
        <v>0.625</v>
      </c>
      <c r="K38" s="126" t="s">
        <v>173</v>
      </c>
      <c r="L38" s="126" t="s">
        <v>174</v>
      </c>
      <c r="M38" s="128" t="s">
        <v>138</v>
      </c>
      <c r="N38" s="129" t="s">
        <v>175</v>
      </c>
      <c r="O38" s="370">
        <v>2</v>
      </c>
      <c r="P38" s="374" t="s">
        <v>176</v>
      </c>
      <c r="Q38" s="375"/>
      <c r="R38" s="371"/>
      <c r="S38" s="371"/>
      <c r="T38" s="371"/>
      <c r="U38" s="371"/>
      <c r="V38" s="371">
        <v>1</v>
      </c>
      <c r="W38" s="371"/>
      <c r="X38" s="371"/>
      <c r="Y38" s="371">
        <v>1</v>
      </c>
      <c r="Z38" s="310" t="s">
        <v>210</v>
      </c>
      <c r="AA38" s="149"/>
    </row>
    <row r="39" spans="2:27" ht="81.75" thickBot="1">
      <c r="B39" s="121">
        <v>25</v>
      </c>
      <c r="C39" s="122" t="s">
        <v>134</v>
      </c>
      <c r="D39" s="198">
        <v>2</v>
      </c>
      <c r="E39" s="123">
        <v>45784</v>
      </c>
      <c r="F39" s="124">
        <v>0.375</v>
      </c>
      <c r="G39" s="123">
        <v>45784</v>
      </c>
      <c r="H39" s="124">
        <v>0.6875</v>
      </c>
      <c r="I39" s="199">
        <f t="shared" si="5"/>
        <v>0.3125</v>
      </c>
      <c r="J39" s="99">
        <f t="shared" si="6"/>
        <v>0.625</v>
      </c>
      <c r="K39" s="127" t="s">
        <v>177</v>
      </c>
      <c r="L39" s="127" t="s">
        <v>178</v>
      </c>
      <c r="M39" s="128" t="s">
        <v>138</v>
      </c>
      <c r="N39" s="129" t="s">
        <v>179</v>
      </c>
      <c r="O39" s="376">
        <v>2</v>
      </c>
      <c r="P39" s="377"/>
      <c r="Q39" s="375"/>
      <c r="R39" s="371"/>
      <c r="S39" s="371">
        <v>5</v>
      </c>
      <c r="T39" s="371"/>
      <c r="U39" s="371"/>
      <c r="V39" s="371">
        <v>2</v>
      </c>
      <c r="W39" s="371"/>
      <c r="X39" s="371"/>
      <c r="Y39" s="371"/>
      <c r="Z39" s="310"/>
      <c r="AA39" s="149"/>
    </row>
    <row r="40" spans="2:27" ht="120.75" thickTop="1">
      <c r="B40" s="121">
        <v>26</v>
      </c>
      <c r="C40" s="122" t="s">
        <v>134</v>
      </c>
      <c r="D40" s="198">
        <v>2</v>
      </c>
      <c r="E40" s="123">
        <v>45789</v>
      </c>
      <c r="F40" s="124">
        <v>0.375</v>
      </c>
      <c r="G40" s="123">
        <v>45789</v>
      </c>
      <c r="H40" s="124">
        <v>0.6875</v>
      </c>
      <c r="I40" s="199">
        <f t="shared" si="5"/>
        <v>0.3125</v>
      </c>
      <c r="J40" s="99">
        <f t="shared" si="6"/>
        <v>0.625</v>
      </c>
      <c r="K40" s="126">
        <v>2</v>
      </c>
      <c r="L40" s="127">
        <v>404</v>
      </c>
      <c r="M40" s="128" t="s">
        <v>138</v>
      </c>
      <c r="N40" s="201" t="s">
        <v>180</v>
      </c>
      <c r="O40" s="378">
        <v>2</v>
      </c>
      <c r="P40" s="377">
        <v>5</v>
      </c>
      <c r="Q40" s="375">
        <v>3</v>
      </c>
      <c r="R40" s="371"/>
      <c r="S40" s="371"/>
      <c r="T40" s="371"/>
      <c r="U40" s="371"/>
      <c r="V40" s="371"/>
      <c r="W40" s="371"/>
      <c r="X40" s="371"/>
      <c r="Y40" s="371"/>
      <c r="Z40" s="310" t="s">
        <v>181</v>
      </c>
      <c r="AA40" s="93"/>
    </row>
    <row r="41" spans="2:27" ht="72">
      <c r="B41" s="121">
        <v>27</v>
      </c>
      <c r="C41" s="122" t="s">
        <v>134</v>
      </c>
      <c r="D41" s="198">
        <v>2</v>
      </c>
      <c r="E41" s="123">
        <v>45790</v>
      </c>
      <c r="F41" s="124">
        <v>0.375</v>
      </c>
      <c r="G41" s="123">
        <v>45790</v>
      </c>
      <c r="H41" s="124">
        <v>0.6875</v>
      </c>
      <c r="I41" s="199">
        <f t="shared" si="5"/>
        <v>0.3125</v>
      </c>
      <c r="J41" s="99">
        <f t="shared" si="6"/>
        <v>0.625</v>
      </c>
      <c r="K41" s="126">
        <v>2</v>
      </c>
      <c r="L41" s="127">
        <v>301</v>
      </c>
      <c r="M41" s="128" t="s">
        <v>138</v>
      </c>
      <c r="N41" s="201" t="s">
        <v>182</v>
      </c>
      <c r="O41" s="379">
        <v>2</v>
      </c>
      <c r="P41" s="377"/>
      <c r="Q41" s="375">
        <v>2</v>
      </c>
      <c r="R41" s="371"/>
      <c r="S41" s="371"/>
      <c r="T41" s="371"/>
      <c r="U41" s="371"/>
      <c r="V41" s="371"/>
      <c r="W41" s="371"/>
      <c r="X41" s="371"/>
      <c r="Y41" s="371"/>
      <c r="Z41" s="310" t="s">
        <v>211</v>
      </c>
      <c r="AA41" s="93"/>
    </row>
    <row r="42" spans="2:27" ht="168" customHeight="1">
      <c r="B42" s="121">
        <v>28</v>
      </c>
      <c r="C42" s="122" t="s">
        <v>134</v>
      </c>
      <c r="D42" s="191">
        <v>2</v>
      </c>
      <c r="E42" s="123">
        <v>45792</v>
      </c>
      <c r="F42" s="124">
        <v>0.5625</v>
      </c>
      <c r="G42" s="123">
        <v>45792</v>
      </c>
      <c r="H42" s="124">
        <v>0.625</v>
      </c>
      <c r="I42" s="199">
        <f t="shared" si="5"/>
        <v>6.25E-2</v>
      </c>
      <c r="J42" s="99">
        <f t="shared" si="6"/>
        <v>0.125</v>
      </c>
      <c r="K42" s="126">
        <v>9</v>
      </c>
      <c r="L42" s="127">
        <v>306</v>
      </c>
      <c r="M42" s="128" t="s">
        <v>138</v>
      </c>
      <c r="N42" s="201" t="s">
        <v>183</v>
      </c>
      <c r="O42" s="380" t="s">
        <v>184</v>
      </c>
      <c r="P42" s="377">
        <v>7</v>
      </c>
      <c r="Q42" s="375"/>
      <c r="R42" s="371"/>
      <c r="S42" s="371"/>
      <c r="T42" s="371"/>
      <c r="U42" s="371"/>
      <c r="V42" s="371"/>
      <c r="W42" s="371"/>
      <c r="X42" s="371"/>
      <c r="Y42" s="371"/>
      <c r="Z42" s="310"/>
      <c r="AA42" s="93"/>
    </row>
    <row r="43" spans="2:27" ht="168" customHeight="1">
      <c r="B43" s="121">
        <v>29</v>
      </c>
      <c r="C43" s="122" t="s">
        <v>134</v>
      </c>
      <c r="D43" s="198">
        <v>2</v>
      </c>
      <c r="E43" s="123">
        <v>45796</v>
      </c>
      <c r="F43" s="124">
        <v>0.375</v>
      </c>
      <c r="G43" s="123">
        <v>45796</v>
      </c>
      <c r="H43" s="124">
        <v>0.6875</v>
      </c>
      <c r="I43" s="199">
        <f t="shared" si="5"/>
        <v>0.3125</v>
      </c>
      <c r="J43" s="99">
        <f t="shared" si="6"/>
        <v>0.625</v>
      </c>
      <c r="K43" s="126">
        <v>8</v>
      </c>
      <c r="L43" s="127">
        <v>209</v>
      </c>
      <c r="M43" s="128" t="s">
        <v>138</v>
      </c>
      <c r="N43" s="201" t="s">
        <v>185</v>
      </c>
      <c r="O43" s="379">
        <v>2</v>
      </c>
      <c r="P43" s="377">
        <v>4</v>
      </c>
      <c r="Q43" s="375">
        <v>4</v>
      </c>
      <c r="R43" s="371"/>
      <c r="S43" s="371"/>
      <c r="T43" s="371"/>
      <c r="U43" s="371"/>
      <c r="V43" s="371"/>
      <c r="W43" s="371"/>
      <c r="X43" s="371"/>
      <c r="Y43" s="371"/>
      <c r="Z43" s="310"/>
      <c r="AA43" s="93"/>
    </row>
    <row r="44" spans="2:27" ht="142.5" customHeight="1">
      <c r="B44" s="121">
        <v>30</v>
      </c>
      <c r="C44" s="122" t="s">
        <v>134</v>
      </c>
      <c r="D44" s="312">
        <v>2</v>
      </c>
      <c r="E44" s="123">
        <v>45797</v>
      </c>
      <c r="F44" s="124">
        <v>0.375</v>
      </c>
      <c r="G44" s="123">
        <v>45797</v>
      </c>
      <c r="H44" s="124">
        <v>0.68055555555555558</v>
      </c>
      <c r="I44" s="199">
        <f t="shared" si="5"/>
        <v>0.30555555555555558</v>
      </c>
      <c r="J44" s="99">
        <f t="shared" si="6"/>
        <v>0.61111111111111116</v>
      </c>
      <c r="K44" s="127" t="s">
        <v>186</v>
      </c>
      <c r="L44" s="127" t="s">
        <v>187</v>
      </c>
      <c r="M44" s="128" t="s">
        <v>138</v>
      </c>
      <c r="N44" s="201" t="s">
        <v>188</v>
      </c>
      <c r="O44" s="381">
        <v>1.5</v>
      </c>
      <c r="P44" s="377">
        <v>9</v>
      </c>
      <c r="Q44" s="375">
        <v>4</v>
      </c>
      <c r="R44" s="371"/>
      <c r="S44" s="371"/>
      <c r="T44" s="371"/>
      <c r="U44" s="371"/>
      <c r="V44" s="371"/>
      <c r="W44" s="371"/>
      <c r="X44" s="371"/>
      <c r="Y44" s="371"/>
      <c r="Z44" s="310"/>
      <c r="AA44" s="149"/>
    </row>
    <row r="45" spans="2:27" ht="120">
      <c r="B45" s="121">
        <v>31</v>
      </c>
      <c r="C45" s="122" t="s">
        <v>134</v>
      </c>
      <c r="D45" s="198">
        <v>2</v>
      </c>
      <c r="E45" s="123">
        <v>45806</v>
      </c>
      <c r="F45" s="124">
        <v>0.375</v>
      </c>
      <c r="G45" s="123">
        <v>45806</v>
      </c>
      <c r="H45" s="124">
        <v>0.69444444444444442</v>
      </c>
      <c r="I45" s="199">
        <f t="shared" si="5"/>
        <v>0.31944444444444442</v>
      </c>
      <c r="J45" s="99">
        <f t="shared" si="6"/>
        <v>0.63888888888888884</v>
      </c>
      <c r="K45" s="127" t="s">
        <v>189</v>
      </c>
      <c r="L45" s="127" t="s">
        <v>190</v>
      </c>
      <c r="M45" s="128" t="s">
        <v>138</v>
      </c>
      <c r="N45" s="201" t="s">
        <v>191</v>
      </c>
      <c r="O45" s="379">
        <v>2</v>
      </c>
      <c r="P45" s="377">
        <v>3</v>
      </c>
      <c r="Q45" s="375">
        <v>3</v>
      </c>
      <c r="R45" s="371">
        <v>3</v>
      </c>
      <c r="S45" s="371"/>
      <c r="T45" s="371"/>
      <c r="U45" s="371"/>
      <c r="V45" s="371"/>
      <c r="W45" s="371"/>
      <c r="X45" s="371"/>
      <c r="Y45" s="371"/>
      <c r="Z45" s="310"/>
      <c r="AA45" s="93"/>
    </row>
    <row r="46" spans="2:27" ht="120">
      <c r="B46" s="121">
        <v>32</v>
      </c>
      <c r="C46" s="122" t="s">
        <v>134</v>
      </c>
      <c r="D46" s="198">
        <v>2</v>
      </c>
      <c r="E46" s="123">
        <v>45807</v>
      </c>
      <c r="F46" s="124">
        <v>0.375</v>
      </c>
      <c r="G46" s="123">
        <v>45807</v>
      </c>
      <c r="H46" s="124">
        <v>0.67361111111111116</v>
      </c>
      <c r="I46" s="199">
        <f t="shared" si="5"/>
        <v>0.29861111111111116</v>
      </c>
      <c r="J46" s="99">
        <f t="shared" si="6"/>
        <v>0.59722222222222232</v>
      </c>
      <c r="K46" s="126">
        <v>2</v>
      </c>
      <c r="L46" s="127">
        <v>201</v>
      </c>
      <c r="M46" s="128" t="s">
        <v>138</v>
      </c>
      <c r="N46" s="201" t="s">
        <v>192</v>
      </c>
      <c r="O46" s="379">
        <v>2</v>
      </c>
      <c r="P46" s="377">
        <v>2</v>
      </c>
      <c r="Q46" s="375">
        <v>1</v>
      </c>
      <c r="R46" s="371"/>
      <c r="S46" s="371"/>
      <c r="T46" s="371"/>
      <c r="U46" s="371"/>
      <c r="V46" s="371"/>
      <c r="W46" s="371">
        <v>1</v>
      </c>
      <c r="X46" s="371"/>
      <c r="Y46" s="371"/>
      <c r="Z46" s="310"/>
      <c r="AA46" s="130"/>
    </row>
    <row r="47" spans="2:27" ht="120">
      <c r="B47" s="121">
        <v>33</v>
      </c>
      <c r="C47" s="122" t="s">
        <v>134</v>
      </c>
      <c r="D47" s="312">
        <v>2</v>
      </c>
      <c r="E47" s="123">
        <v>45824</v>
      </c>
      <c r="F47" s="124">
        <v>0.375</v>
      </c>
      <c r="G47" s="123">
        <v>45824</v>
      </c>
      <c r="H47" s="124">
        <v>0.6875</v>
      </c>
      <c r="I47" s="199">
        <f t="shared" si="5"/>
        <v>0.3125</v>
      </c>
      <c r="J47" s="99">
        <f t="shared" si="6"/>
        <v>0.625</v>
      </c>
      <c r="K47" s="127" t="s">
        <v>193</v>
      </c>
      <c r="L47" s="127" t="s">
        <v>194</v>
      </c>
      <c r="M47" s="128" t="s">
        <v>138</v>
      </c>
      <c r="N47" s="201" t="s">
        <v>195</v>
      </c>
      <c r="O47" s="381">
        <v>1.5</v>
      </c>
      <c r="P47" s="377">
        <v>5</v>
      </c>
      <c r="Q47" s="375">
        <v>2</v>
      </c>
      <c r="R47" s="371">
        <v>12</v>
      </c>
      <c r="S47" s="371"/>
      <c r="T47" s="371"/>
      <c r="U47" s="371"/>
      <c r="V47" s="371"/>
      <c r="W47" s="371"/>
      <c r="X47" s="371"/>
      <c r="Y47" s="371"/>
      <c r="Z47" s="310"/>
      <c r="AA47" s="130"/>
    </row>
    <row r="48" spans="2:27" ht="168">
      <c r="B48" s="121">
        <v>34</v>
      </c>
      <c r="C48" s="122" t="s">
        <v>134</v>
      </c>
      <c r="D48" s="198">
        <v>2</v>
      </c>
      <c r="E48" s="123">
        <v>45825</v>
      </c>
      <c r="F48" s="124">
        <v>0.375</v>
      </c>
      <c r="G48" s="123">
        <v>45825</v>
      </c>
      <c r="H48" s="124">
        <v>0.6875</v>
      </c>
      <c r="I48" s="199">
        <f t="shared" si="5"/>
        <v>0.3125</v>
      </c>
      <c r="J48" s="99">
        <f t="shared" si="6"/>
        <v>0.625</v>
      </c>
      <c r="K48" s="126">
        <v>2</v>
      </c>
      <c r="L48" s="127" t="s">
        <v>196</v>
      </c>
      <c r="M48" s="128" t="s">
        <v>138</v>
      </c>
      <c r="N48" s="201" t="s">
        <v>197</v>
      </c>
      <c r="O48" s="379">
        <v>2</v>
      </c>
      <c r="P48" s="377">
        <v>3</v>
      </c>
      <c r="Q48" s="375">
        <v>1</v>
      </c>
      <c r="R48" s="371"/>
      <c r="S48" s="371"/>
      <c r="T48" s="371"/>
      <c r="U48" s="371"/>
      <c r="V48" s="371"/>
      <c r="W48" s="371">
        <v>1</v>
      </c>
      <c r="X48" s="371"/>
      <c r="Y48" s="371"/>
      <c r="Z48" s="310"/>
      <c r="AA48" s="130"/>
    </row>
    <row r="49" spans="2:29" ht="17.25" customHeight="1" thickBot="1">
      <c r="B49" s="131" t="s">
        <v>82</v>
      </c>
      <c r="C49" s="132"/>
      <c r="D49" s="202"/>
      <c r="E49" s="133"/>
      <c r="F49" s="134"/>
      <c r="G49" s="133"/>
      <c r="H49" s="134"/>
      <c r="I49" s="203"/>
      <c r="J49" s="120"/>
      <c r="K49" s="136"/>
      <c r="L49" s="137"/>
      <c r="M49" s="137"/>
      <c r="N49" s="204"/>
      <c r="O49" s="382"/>
      <c r="P49" s="383"/>
      <c r="Q49" s="409"/>
      <c r="R49" s="384"/>
      <c r="S49" s="384"/>
      <c r="T49" s="384"/>
      <c r="U49" s="384"/>
      <c r="V49" s="384"/>
      <c r="W49" s="384"/>
      <c r="X49" s="384"/>
      <c r="Y49" s="384"/>
      <c r="Z49" s="311"/>
      <c r="AA49" s="130"/>
    </row>
    <row r="50" spans="2:29" s="329" customFormat="1" ht="69.95" customHeight="1" thickTop="1" thickBot="1">
      <c r="B50" s="580" t="s">
        <v>209</v>
      </c>
      <c r="C50" s="581"/>
      <c r="D50" s="321">
        <f>SUM(D33:D49)</f>
        <v>31</v>
      </c>
      <c r="E50" s="322"/>
      <c r="F50" s="323"/>
      <c r="G50" s="322"/>
      <c r="H50" s="323"/>
      <c r="I50" s="324"/>
      <c r="J50" s="324"/>
      <c r="K50" s="325"/>
      <c r="L50" s="326"/>
      <c r="M50" s="325"/>
      <c r="N50" s="327"/>
      <c r="O50" s="389">
        <f>SUM(O33:O39)</f>
        <v>12</v>
      </c>
      <c r="P50" s="385">
        <f>SUM(P33:P37)+0.09</f>
        <v>16.09</v>
      </c>
      <c r="Q50" s="386">
        <f t="shared" ref="Q50:Y50" si="8">SUM(Q33:Q49)</f>
        <v>32</v>
      </c>
      <c r="R50" s="386">
        <f t="shared" si="8"/>
        <v>24</v>
      </c>
      <c r="S50" s="386">
        <f t="shared" si="8"/>
        <v>5</v>
      </c>
      <c r="T50" s="386">
        <f t="shared" si="8"/>
        <v>5</v>
      </c>
      <c r="U50" s="386">
        <f t="shared" si="8"/>
        <v>5</v>
      </c>
      <c r="V50" s="386">
        <f t="shared" si="8"/>
        <v>3</v>
      </c>
      <c r="W50" s="386">
        <f t="shared" si="8"/>
        <v>2</v>
      </c>
      <c r="X50" s="386">
        <f t="shared" si="8"/>
        <v>1</v>
      </c>
      <c r="Y50" s="386">
        <f t="shared" si="8"/>
        <v>1</v>
      </c>
      <c r="Z50" s="328"/>
      <c r="AA50" s="130"/>
    </row>
    <row r="51" spans="2:29" ht="66.75" thickBot="1">
      <c r="O51" s="537">
        <v>-4</v>
      </c>
      <c r="P51" s="503" t="s">
        <v>312</v>
      </c>
    </row>
    <row r="52" spans="2:29" s="540" customFormat="1">
      <c r="B52" s="538"/>
      <c r="C52" s="538"/>
      <c r="D52" s="538"/>
      <c r="E52" s="538"/>
      <c r="F52" s="538"/>
      <c r="G52" s="538"/>
      <c r="H52" s="538"/>
      <c r="I52" s="538"/>
      <c r="J52" s="538"/>
      <c r="K52" s="538"/>
      <c r="L52" s="538"/>
      <c r="M52" s="538"/>
      <c r="N52" s="538"/>
      <c r="O52" s="538"/>
      <c r="P52" s="538"/>
      <c r="Q52" s="538"/>
      <c r="R52" s="538"/>
      <c r="S52" s="538"/>
      <c r="T52" s="538"/>
      <c r="U52" s="538"/>
      <c r="V52" s="538"/>
      <c r="W52" s="538"/>
      <c r="X52" s="538"/>
      <c r="Y52" s="538"/>
      <c r="Z52" s="538"/>
      <c r="AA52" s="542"/>
      <c r="AB52" s="538"/>
      <c r="AC52" s="538"/>
    </row>
    <row r="53" spans="2:29" s="280" customFormat="1" ht="42" thickBot="1">
      <c r="B53" s="313" t="s">
        <v>215</v>
      </c>
      <c r="C53" s="269"/>
      <c r="D53" s="190"/>
      <c r="E53" s="270"/>
      <c r="F53" s="271"/>
      <c r="G53" s="270"/>
      <c r="H53" s="271"/>
      <c r="I53" s="271"/>
      <c r="J53" s="272"/>
      <c r="K53" s="273"/>
      <c r="L53" s="273"/>
      <c r="M53" s="274"/>
      <c r="N53" s="275"/>
      <c r="O53" s="276"/>
      <c r="P53" s="277"/>
      <c r="Q53" s="277"/>
      <c r="R53" s="277"/>
      <c r="S53" s="277"/>
      <c r="T53" s="277"/>
      <c r="U53" s="277"/>
      <c r="V53" s="277"/>
      <c r="W53" s="277"/>
      <c r="X53" s="277"/>
      <c r="Y53" s="277"/>
      <c r="Z53" s="278"/>
      <c r="AA53" s="279"/>
    </row>
    <row r="54" spans="2:29" ht="166.5" thickTop="1" thickBot="1">
      <c r="B54" s="121">
        <v>24</v>
      </c>
      <c r="C54" s="128" t="s">
        <v>134</v>
      </c>
      <c r="D54" s="198"/>
      <c r="E54" s="123"/>
      <c r="F54" s="124"/>
      <c r="G54" s="123"/>
      <c r="H54" s="124"/>
      <c r="I54" s="199"/>
      <c r="J54" s="99"/>
      <c r="K54" s="126"/>
      <c r="L54" s="126"/>
      <c r="M54" s="128"/>
      <c r="N54" s="129" t="s">
        <v>175</v>
      </c>
      <c r="O54" s="418"/>
      <c r="P54" s="419">
        <f>2.91-2.62</f>
        <v>0.29000000000000004</v>
      </c>
      <c r="Q54" s="420"/>
      <c r="R54" s="420"/>
      <c r="S54" s="420"/>
      <c r="T54" s="331"/>
      <c r="U54" s="331"/>
      <c r="V54" s="331"/>
      <c r="W54" s="331"/>
      <c r="X54" s="331"/>
      <c r="Y54" s="200"/>
      <c r="Z54" s="429" t="s">
        <v>243</v>
      </c>
      <c r="AA54" s="149"/>
      <c r="AB54" s="364"/>
    </row>
    <row r="55" spans="2:29" ht="120.75" thickTop="1">
      <c r="B55" s="121">
        <v>26</v>
      </c>
      <c r="C55" s="128" t="s">
        <v>134</v>
      </c>
      <c r="D55" s="198">
        <v>2</v>
      </c>
      <c r="E55" s="123">
        <v>45789</v>
      </c>
      <c r="F55" s="124">
        <v>0.375</v>
      </c>
      <c r="G55" s="123">
        <v>45789</v>
      </c>
      <c r="H55" s="124">
        <v>0.6875</v>
      </c>
      <c r="I55" s="199">
        <f t="shared" ref="I55:I63" si="9">H55-F55</f>
        <v>0.3125</v>
      </c>
      <c r="J55" s="99">
        <f t="shared" ref="J55:J63" si="10">I55*D55</f>
        <v>0.625</v>
      </c>
      <c r="K55" s="126">
        <v>2</v>
      </c>
      <c r="L55" s="127">
        <v>404</v>
      </c>
      <c r="M55" s="128" t="s">
        <v>138</v>
      </c>
      <c r="N55" s="129" t="s">
        <v>180</v>
      </c>
      <c r="O55" s="421">
        <v>2</v>
      </c>
      <c r="P55" s="419">
        <v>5</v>
      </c>
      <c r="Q55" s="420"/>
      <c r="R55" s="420"/>
      <c r="S55" s="420"/>
      <c r="T55" s="331"/>
      <c r="U55" s="331"/>
      <c r="V55" s="331"/>
      <c r="W55" s="331"/>
      <c r="X55" s="331"/>
      <c r="Y55" s="331"/>
      <c r="Z55" s="365"/>
      <c r="AA55" s="93"/>
    </row>
    <row r="56" spans="2:29" ht="72">
      <c r="B56" s="121">
        <v>27</v>
      </c>
      <c r="C56" s="128" t="s">
        <v>134</v>
      </c>
      <c r="D56" s="198">
        <v>2</v>
      </c>
      <c r="E56" s="123">
        <v>45790</v>
      </c>
      <c r="F56" s="124">
        <v>0.375</v>
      </c>
      <c r="G56" s="123">
        <v>45790</v>
      </c>
      <c r="H56" s="124">
        <v>0.6875</v>
      </c>
      <c r="I56" s="199">
        <f t="shared" si="9"/>
        <v>0.3125</v>
      </c>
      <c r="J56" s="99">
        <f t="shared" si="10"/>
        <v>0.625</v>
      </c>
      <c r="K56" s="126">
        <v>2</v>
      </c>
      <c r="L56" s="127">
        <v>301</v>
      </c>
      <c r="M56" s="128" t="s">
        <v>138</v>
      </c>
      <c r="N56" s="129" t="s">
        <v>182</v>
      </c>
      <c r="O56" s="421">
        <v>2</v>
      </c>
      <c r="P56" s="419"/>
      <c r="Q56" s="420"/>
      <c r="R56" s="420"/>
      <c r="S56" s="420"/>
      <c r="T56" s="331"/>
      <c r="U56" s="331"/>
      <c r="V56" s="331"/>
      <c r="W56" s="331"/>
      <c r="X56" s="331"/>
      <c r="Y56" s="331"/>
      <c r="Z56" s="360"/>
      <c r="AA56" s="93"/>
    </row>
    <row r="57" spans="2:29" ht="168" customHeight="1">
      <c r="B57" s="121">
        <v>28</v>
      </c>
      <c r="C57" s="128" t="s">
        <v>134</v>
      </c>
      <c r="D57" s="191">
        <v>2</v>
      </c>
      <c r="E57" s="123">
        <v>45792</v>
      </c>
      <c r="F57" s="124">
        <v>0.5625</v>
      </c>
      <c r="G57" s="123">
        <v>45792</v>
      </c>
      <c r="H57" s="124">
        <v>0.625</v>
      </c>
      <c r="I57" s="199">
        <f t="shared" si="9"/>
        <v>6.25E-2</v>
      </c>
      <c r="J57" s="99">
        <f t="shared" si="10"/>
        <v>0.125</v>
      </c>
      <c r="K57" s="126">
        <v>9</v>
      </c>
      <c r="L57" s="127">
        <v>306</v>
      </c>
      <c r="M57" s="128" t="s">
        <v>138</v>
      </c>
      <c r="N57" s="129" t="s">
        <v>183</v>
      </c>
      <c r="O57" s="422" t="s">
        <v>184</v>
      </c>
      <c r="P57" s="419">
        <v>7</v>
      </c>
      <c r="Q57" s="420"/>
      <c r="R57" s="420"/>
      <c r="S57" s="420"/>
      <c r="T57" s="331"/>
      <c r="U57" s="331"/>
      <c r="V57" s="331"/>
      <c r="W57" s="331"/>
      <c r="X57" s="331"/>
      <c r="Y57" s="331"/>
      <c r="Z57" s="360"/>
      <c r="AA57" s="93"/>
    </row>
    <row r="58" spans="2:29" ht="168" customHeight="1">
      <c r="B58" s="121">
        <v>29</v>
      </c>
      <c r="C58" s="128" t="s">
        <v>134</v>
      </c>
      <c r="D58" s="198">
        <v>2</v>
      </c>
      <c r="E58" s="123">
        <v>45796</v>
      </c>
      <c r="F58" s="124">
        <v>0.375</v>
      </c>
      <c r="G58" s="123">
        <v>45796</v>
      </c>
      <c r="H58" s="124">
        <v>0.6875</v>
      </c>
      <c r="I58" s="199">
        <f t="shared" si="9"/>
        <v>0.3125</v>
      </c>
      <c r="J58" s="99">
        <f t="shared" si="10"/>
        <v>0.625</v>
      </c>
      <c r="K58" s="126">
        <v>8</v>
      </c>
      <c r="L58" s="127">
        <v>209</v>
      </c>
      <c r="M58" s="128" t="s">
        <v>138</v>
      </c>
      <c r="N58" s="129" t="s">
        <v>185</v>
      </c>
      <c r="O58" s="421">
        <v>2</v>
      </c>
      <c r="P58" s="419">
        <v>4</v>
      </c>
      <c r="Q58" s="420"/>
      <c r="R58" s="420"/>
      <c r="S58" s="420"/>
      <c r="T58" s="331"/>
      <c r="U58" s="331"/>
      <c r="V58" s="331"/>
      <c r="W58" s="331"/>
      <c r="X58" s="331"/>
      <c r="Y58" s="331"/>
      <c r="Z58" s="360"/>
      <c r="AA58" s="93"/>
    </row>
    <row r="59" spans="2:29" ht="142.5" customHeight="1">
      <c r="B59" s="121">
        <v>30</v>
      </c>
      <c r="C59" s="128" t="s">
        <v>134</v>
      </c>
      <c r="D59" s="312">
        <v>2</v>
      </c>
      <c r="E59" s="123">
        <v>45797</v>
      </c>
      <c r="F59" s="124">
        <v>0.375</v>
      </c>
      <c r="G59" s="123">
        <v>45797</v>
      </c>
      <c r="H59" s="124">
        <v>0.68055555555555558</v>
      </c>
      <c r="I59" s="199">
        <f t="shared" si="9"/>
        <v>0.30555555555555558</v>
      </c>
      <c r="J59" s="99">
        <f t="shared" si="10"/>
        <v>0.61111111111111116</v>
      </c>
      <c r="K59" s="127" t="s">
        <v>186</v>
      </c>
      <c r="L59" s="127" t="s">
        <v>187</v>
      </c>
      <c r="M59" s="128" t="s">
        <v>138</v>
      </c>
      <c r="N59" s="129" t="s">
        <v>188</v>
      </c>
      <c r="O59" s="423">
        <v>1.5</v>
      </c>
      <c r="P59" s="419">
        <v>9</v>
      </c>
      <c r="Q59" s="420"/>
      <c r="R59" s="420"/>
      <c r="S59" s="420"/>
      <c r="T59" s="331"/>
      <c r="U59" s="331"/>
      <c r="V59" s="331"/>
      <c r="W59" s="331"/>
      <c r="X59" s="331"/>
      <c r="Y59" s="331"/>
      <c r="Z59" s="360"/>
      <c r="AA59" s="149"/>
    </row>
    <row r="60" spans="2:29" ht="120">
      <c r="B60" s="121">
        <v>31</v>
      </c>
      <c r="C60" s="128" t="s">
        <v>134</v>
      </c>
      <c r="D60" s="198">
        <v>2</v>
      </c>
      <c r="E60" s="123">
        <v>45806</v>
      </c>
      <c r="F60" s="124">
        <v>0.375</v>
      </c>
      <c r="G60" s="123">
        <v>45806</v>
      </c>
      <c r="H60" s="124">
        <v>0.69444444444444442</v>
      </c>
      <c r="I60" s="199">
        <f t="shared" si="9"/>
        <v>0.31944444444444442</v>
      </c>
      <c r="J60" s="99">
        <f t="shared" si="10"/>
        <v>0.63888888888888884</v>
      </c>
      <c r="K60" s="127" t="s">
        <v>189</v>
      </c>
      <c r="L60" s="127" t="s">
        <v>190</v>
      </c>
      <c r="M60" s="128" t="s">
        <v>138</v>
      </c>
      <c r="N60" s="129" t="s">
        <v>191</v>
      </c>
      <c r="O60" s="421">
        <v>2</v>
      </c>
      <c r="P60" s="419">
        <v>3</v>
      </c>
      <c r="Q60" s="420"/>
      <c r="R60" s="420"/>
      <c r="S60" s="420"/>
      <c r="T60" s="331"/>
      <c r="U60" s="331"/>
      <c r="V60" s="331"/>
      <c r="W60" s="331"/>
      <c r="X60" s="331"/>
      <c r="Y60" s="331"/>
      <c r="Z60" s="360"/>
      <c r="AA60" s="93"/>
    </row>
    <row r="61" spans="2:29" ht="120">
      <c r="B61" s="121">
        <v>32</v>
      </c>
      <c r="C61" s="128" t="s">
        <v>134</v>
      </c>
      <c r="D61" s="198">
        <v>2</v>
      </c>
      <c r="E61" s="123">
        <v>45807</v>
      </c>
      <c r="F61" s="124">
        <v>0.375</v>
      </c>
      <c r="G61" s="123">
        <v>45807</v>
      </c>
      <c r="H61" s="124">
        <v>0.67361111111111116</v>
      </c>
      <c r="I61" s="199">
        <f t="shared" si="9"/>
        <v>0.29861111111111116</v>
      </c>
      <c r="J61" s="99">
        <f t="shared" si="10"/>
        <v>0.59722222222222232</v>
      </c>
      <c r="K61" s="126">
        <v>2</v>
      </c>
      <c r="L61" s="127">
        <v>201</v>
      </c>
      <c r="M61" s="128" t="s">
        <v>138</v>
      </c>
      <c r="N61" s="129" t="s">
        <v>192</v>
      </c>
      <c r="O61" s="421">
        <v>2</v>
      </c>
      <c r="P61" s="419">
        <v>2</v>
      </c>
      <c r="Q61" s="420"/>
      <c r="R61" s="420"/>
      <c r="S61" s="420"/>
      <c r="T61" s="331"/>
      <c r="U61" s="331"/>
      <c r="V61" s="331"/>
      <c r="W61" s="331"/>
      <c r="X61" s="331"/>
      <c r="Y61" s="331"/>
      <c r="Z61" s="360"/>
      <c r="AA61" s="130"/>
    </row>
    <row r="62" spans="2:29" ht="120">
      <c r="B62" s="121">
        <v>33</v>
      </c>
      <c r="C62" s="128" t="s">
        <v>134</v>
      </c>
      <c r="D62" s="312">
        <v>2</v>
      </c>
      <c r="E62" s="123">
        <v>45824</v>
      </c>
      <c r="F62" s="124">
        <v>0.375</v>
      </c>
      <c r="G62" s="123">
        <v>45824</v>
      </c>
      <c r="H62" s="124">
        <v>0.6875</v>
      </c>
      <c r="I62" s="199">
        <f t="shared" si="9"/>
        <v>0.3125</v>
      </c>
      <c r="J62" s="99">
        <f t="shared" si="10"/>
        <v>0.625</v>
      </c>
      <c r="K62" s="127" t="s">
        <v>193</v>
      </c>
      <c r="L62" s="127" t="s">
        <v>194</v>
      </c>
      <c r="M62" s="128" t="s">
        <v>138</v>
      </c>
      <c r="N62" s="129" t="s">
        <v>195</v>
      </c>
      <c r="O62" s="423">
        <v>1.5</v>
      </c>
      <c r="P62" s="419">
        <v>5</v>
      </c>
      <c r="Q62" s="420"/>
      <c r="R62" s="420"/>
      <c r="S62" s="420"/>
      <c r="T62" s="331"/>
      <c r="U62" s="331"/>
      <c r="V62" s="331"/>
      <c r="W62" s="331"/>
      <c r="X62" s="331"/>
      <c r="Y62" s="331"/>
      <c r="Z62" s="360"/>
      <c r="AA62" s="130"/>
    </row>
    <row r="63" spans="2:29" ht="168.75" thickBot="1">
      <c r="B63" s="361">
        <v>34</v>
      </c>
      <c r="C63" s="332" t="s">
        <v>134</v>
      </c>
      <c r="D63" s="333">
        <v>2</v>
      </c>
      <c r="E63" s="334">
        <v>45825</v>
      </c>
      <c r="F63" s="335">
        <v>0.375</v>
      </c>
      <c r="G63" s="334">
        <v>45825</v>
      </c>
      <c r="H63" s="335">
        <v>0.6875</v>
      </c>
      <c r="I63" s="336">
        <f t="shared" si="9"/>
        <v>0.3125</v>
      </c>
      <c r="J63" s="337">
        <f t="shared" si="10"/>
        <v>0.625</v>
      </c>
      <c r="K63" s="338">
        <v>2</v>
      </c>
      <c r="L63" s="339" t="s">
        <v>196</v>
      </c>
      <c r="M63" s="332" t="s">
        <v>138</v>
      </c>
      <c r="N63" s="340" t="s">
        <v>197</v>
      </c>
      <c r="O63" s="424">
        <v>2</v>
      </c>
      <c r="P63" s="425">
        <v>3</v>
      </c>
      <c r="Q63" s="426"/>
      <c r="R63" s="426"/>
      <c r="S63" s="426"/>
      <c r="T63" s="341"/>
      <c r="U63" s="341"/>
      <c r="V63" s="341"/>
      <c r="W63" s="341"/>
      <c r="X63" s="341"/>
      <c r="Y63" s="341"/>
      <c r="Z63" s="362"/>
      <c r="AA63" s="130"/>
    </row>
    <row r="64" spans="2:29" s="329" customFormat="1" ht="69.95" customHeight="1" thickBot="1">
      <c r="B64" s="578" t="s">
        <v>209</v>
      </c>
      <c r="C64" s="579"/>
      <c r="D64" s="390">
        <f>SUM(D54:D63)</f>
        <v>18</v>
      </c>
      <c r="E64" s="391"/>
      <c r="F64" s="392"/>
      <c r="G64" s="391"/>
      <c r="H64" s="392"/>
      <c r="I64" s="393"/>
      <c r="J64" s="393"/>
      <c r="K64" s="394"/>
      <c r="L64" s="395"/>
      <c r="M64" s="394"/>
      <c r="N64" s="396"/>
      <c r="O64" s="428">
        <f>SUM(O55:O63)</f>
        <v>15</v>
      </c>
      <c r="P64" s="427">
        <f t="shared" ref="P64:Y64" si="11">SUM(P54:P63)</f>
        <v>38.29</v>
      </c>
      <c r="Q64" s="397">
        <f t="shared" si="11"/>
        <v>0</v>
      </c>
      <c r="R64" s="397">
        <f t="shared" si="11"/>
        <v>0</v>
      </c>
      <c r="S64" s="397">
        <f t="shared" si="11"/>
        <v>0</v>
      </c>
      <c r="T64" s="397">
        <f t="shared" si="11"/>
        <v>0</v>
      </c>
      <c r="U64" s="397">
        <f t="shared" si="11"/>
        <v>0</v>
      </c>
      <c r="V64" s="397">
        <f t="shared" si="11"/>
        <v>0</v>
      </c>
      <c r="W64" s="397">
        <f t="shared" si="11"/>
        <v>0</v>
      </c>
      <c r="X64" s="397">
        <f t="shared" si="11"/>
        <v>0</v>
      </c>
      <c r="Y64" s="397">
        <f t="shared" si="11"/>
        <v>0</v>
      </c>
      <c r="Z64" s="398"/>
      <c r="AA64" s="130"/>
    </row>
    <row r="65" spans="2:27" ht="66.75" thickBot="1">
      <c r="O65" s="537">
        <f>O64-D64</f>
        <v>-3</v>
      </c>
      <c r="P65" s="503" t="s">
        <v>312</v>
      </c>
    </row>
    <row r="66" spans="2:27" ht="50.1" customHeight="1" thickBot="1"/>
    <row r="67" spans="2:27" s="280" customFormat="1" ht="41.25">
      <c r="B67" s="478" t="s">
        <v>244</v>
      </c>
      <c r="C67" s="349"/>
      <c r="D67" s="350"/>
      <c r="E67" s="351"/>
      <c r="F67" s="352"/>
      <c r="G67" s="351"/>
      <c r="H67" s="352"/>
      <c r="I67" s="352"/>
      <c r="J67" s="353"/>
      <c r="K67" s="354"/>
      <c r="L67" s="354"/>
      <c r="M67" s="355"/>
      <c r="N67" s="356"/>
      <c r="O67" s="357"/>
      <c r="P67" s="358"/>
      <c r="Q67" s="358"/>
      <c r="R67" s="358"/>
      <c r="S67" s="358"/>
      <c r="T67" s="358"/>
      <c r="U67" s="358"/>
      <c r="V67" s="358"/>
      <c r="W67" s="358"/>
      <c r="X67" s="358"/>
      <c r="Y67" s="358"/>
      <c r="Z67" s="359"/>
      <c r="AA67" s="279"/>
    </row>
    <row r="68" spans="2:27" ht="168">
      <c r="B68" s="121">
        <v>35</v>
      </c>
      <c r="C68" s="122" t="s">
        <v>134</v>
      </c>
      <c r="D68" s="474">
        <v>2</v>
      </c>
      <c r="E68" s="123">
        <v>45852</v>
      </c>
      <c r="F68" s="124">
        <v>0.375</v>
      </c>
      <c r="G68" s="123">
        <v>45852</v>
      </c>
      <c r="H68" s="124">
        <v>0.68055555555555558</v>
      </c>
      <c r="I68" s="125">
        <f t="shared" ref="I68:I79" si="12">H68-F68</f>
        <v>0.30555555555555558</v>
      </c>
      <c r="J68" s="99">
        <f t="shared" ref="J68:J79" si="13">I68*D68</f>
        <v>0.61111111111111116</v>
      </c>
      <c r="K68" s="126" t="s">
        <v>216</v>
      </c>
      <c r="L68" s="127" t="s">
        <v>217</v>
      </c>
      <c r="M68" s="128" t="s">
        <v>138</v>
      </c>
      <c r="N68" s="129" t="s">
        <v>218</v>
      </c>
      <c r="O68" s="471">
        <f t="shared" ref="O68" si="14">D68</f>
        <v>2</v>
      </c>
      <c r="P68" s="483">
        <v>1</v>
      </c>
      <c r="Q68" s="483">
        <v>5</v>
      </c>
      <c r="R68" s="480" t="s">
        <v>82</v>
      </c>
      <c r="S68" s="480"/>
      <c r="T68" s="476" t="s">
        <v>82</v>
      </c>
      <c r="U68" s="417" t="s">
        <v>82</v>
      </c>
      <c r="V68" s="417"/>
      <c r="W68" s="417" t="s">
        <v>82</v>
      </c>
      <c r="X68" s="400" t="s">
        <v>82</v>
      </c>
      <c r="Y68" s="399"/>
      <c r="Z68" s="410"/>
    </row>
    <row r="69" spans="2:27" ht="144">
      <c r="B69" s="121">
        <v>36</v>
      </c>
      <c r="C69" s="122" t="s">
        <v>134</v>
      </c>
      <c r="D69" s="475">
        <v>2</v>
      </c>
      <c r="E69" s="123">
        <v>45853</v>
      </c>
      <c r="F69" s="124">
        <v>0.375</v>
      </c>
      <c r="G69" s="123">
        <v>45853</v>
      </c>
      <c r="H69" s="124">
        <v>0.6875</v>
      </c>
      <c r="I69" s="125">
        <f t="shared" si="12"/>
        <v>0.3125</v>
      </c>
      <c r="J69" s="99">
        <f t="shared" si="13"/>
        <v>0.625</v>
      </c>
      <c r="K69" s="401" t="s">
        <v>219</v>
      </c>
      <c r="L69" s="127" t="s">
        <v>220</v>
      </c>
      <c r="M69" s="128" t="s">
        <v>138</v>
      </c>
      <c r="N69" s="129" t="s">
        <v>221</v>
      </c>
      <c r="O69" s="544">
        <v>1.5</v>
      </c>
      <c r="P69" s="483">
        <v>7</v>
      </c>
      <c r="Q69" s="483">
        <v>4</v>
      </c>
      <c r="R69" s="483">
        <v>3</v>
      </c>
      <c r="S69" s="480"/>
      <c r="T69" s="476"/>
      <c r="U69" s="417"/>
      <c r="V69" s="417"/>
      <c r="W69" s="417"/>
      <c r="X69" s="399"/>
      <c r="Y69" s="399"/>
      <c r="Z69" s="411"/>
    </row>
    <row r="70" spans="2:27" ht="45">
      <c r="B70" s="121">
        <v>37</v>
      </c>
      <c r="C70" s="122" t="s">
        <v>134</v>
      </c>
      <c r="D70" s="475">
        <v>2</v>
      </c>
      <c r="E70" s="123">
        <v>45854</v>
      </c>
      <c r="F70" s="124">
        <v>0.375</v>
      </c>
      <c r="G70" s="123">
        <v>45854</v>
      </c>
      <c r="H70" s="124">
        <v>0.68055555555555558</v>
      </c>
      <c r="I70" s="125">
        <f t="shared" si="12"/>
        <v>0.30555555555555558</v>
      </c>
      <c r="J70" s="99">
        <f t="shared" si="13"/>
        <v>0.61111111111111116</v>
      </c>
      <c r="K70" s="126">
        <v>9</v>
      </c>
      <c r="L70" s="127">
        <v>204</v>
      </c>
      <c r="M70" s="128" t="s">
        <v>138</v>
      </c>
      <c r="N70" s="129" t="s">
        <v>183</v>
      </c>
      <c r="O70" s="543" t="s">
        <v>184</v>
      </c>
      <c r="P70" s="483">
        <v>7</v>
      </c>
      <c r="Q70" s="480" t="s">
        <v>82</v>
      </c>
      <c r="R70" s="480" t="s">
        <v>82</v>
      </c>
      <c r="S70" s="480"/>
      <c r="T70" s="476" t="s">
        <v>82</v>
      </c>
      <c r="U70" s="417" t="s">
        <v>82</v>
      </c>
      <c r="V70" s="417"/>
      <c r="W70" s="417" t="s">
        <v>82</v>
      </c>
      <c r="X70" s="400" t="s">
        <v>82</v>
      </c>
      <c r="Y70" s="399"/>
      <c r="Z70" s="411"/>
    </row>
    <row r="71" spans="2:27" ht="81">
      <c r="B71" s="121">
        <v>38</v>
      </c>
      <c r="C71" s="122" t="s">
        <v>134</v>
      </c>
      <c r="D71" s="474">
        <v>2</v>
      </c>
      <c r="E71" s="123">
        <v>45855</v>
      </c>
      <c r="F71" s="124">
        <v>0.375</v>
      </c>
      <c r="G71" s="123">
        <v>45855</v>
      </c>
      <c r="H71" s="124">
        <v>0.6875</v>
      </c>
      <c r="I71" s="125">
        <f t="shared" si="12"/>
        <v>0.3125</v>
      </c>
      <c r="J71" s="99">
        <f t="shared" si="13"/>
        <v>0.625</v>
      </c>
      <c r="K71" s="126" t="s">
        <v>222</v>
      </c>
      <c r="L71" s="127" t="s">
        <v>223</v>
      </c>
      <c r="M71" s="128" t="s">
        <v>138</v>
      </c>
      <c r="N71" s="129" t="s">
        <v>224</v>
      </c>
      <c r="O71" s="471">
        <f t="shared" ref="O71" si="15">D71</f>
        <v>2</v>
      </c>
      <c r="P71" s="483">
        <v>3</v>
      </c>
      <c r="Q71" s="480" t="s">
        <v>82</v>
      </c>
      <c r="R71" s="480" t="s">
        <v>82</v>
      </c>
      <c r="S71" s="480"/>
      <c r="T71" s="476" t="s">
        <v>82</v>
      </c>
      <c r="U71" s="417" t="s">
        <v>82</v>
      </c>
      <c r="V71" s="417"/>
      <c r="W71" s="417" t="s">
        <v>82</v>
      </c>
      <c r="X71" s="400" t="s">
        <v>82</v>
      </c>
      <c r="Y71" s="399"/>
      <c r="Z71" s="411"/>
    </row>
    <row r="72" spans="2:27" ht="120">
      <c r="B72" s="121">
        <v>39</v>
      </c>
      <c r="C72" s="122" t="s">
        <v>134</v>
      </c>
      <c r="D72" s="474">
        <v>2</v>
      </c>
      <c r="E72" s="123">
        <v>45856</v>
      </c>
      <c r="F72" s="124">
        <v>0.375</v>
      </c>
      <c r="G72" s="123">
        <v>45856</v>
      </c>
      <c r="H72" s="124">
        <v>0.68055555555555558</v>
      </c>
      <c r="I72" s="125">
        <f t="shared" si="12"/>
        <v>0.30555555555555558</v>
      </c>
      <c r="J72" s="99">
        <f t="shared" si="13"/>
        <v>0.61111111111111116</v>
      </c>
      <c r="K72" s="401" t="s">
        <v>225</v>
      </c>
      <c r="L72" s="127" t="s">
        <v>226</v>
      </c>
      <c r="M72" s="128" t="s">
        <v>138</v>
      </c>
      <c r="N72" s="129" t="s">
        <v>227</v>
      </c>
      <c r="O72" s="471">
        <v>2</v>
      </c>
      <c r="P72" s="483">
        <v>4</v>
      </c>
      <c r="Q72" s="480" t="s">
        <v>82</v>
      </c>
      <c r="R72" s="480"/>
      <c r="S72" s="480"/>
      <c r="T72" s="476"/>
      <c r="U72" s="417"/>
      <c r="V72" s="417"/>
      <c r="W72" s="417"/>
      <c r="X72" s="399"/>
      <c r="Y72" s="399"/>
      <c r="Z72" s="411"/>
    </row>
    <row r="73" spans="2:27" ht="120">
      <c r="B73" s="121">
        <v>40</v>
      </c>
      <c r="C73" s="122" t="s">
        <v>134</v>
      </c>
      <c r="D73" s="474">
        <v>2</v>
      </c>
      <c r="E73" s="123">
        <v>45859</v>
      </c>
      <c r="F73" s="124">
        <v>0.375</v>
      </c>
      <c r="G73" s="123">
        <v>45859</v>
      </c>
      <c r="H73" s="124">
        <v>0.6875</v>
      </c>
      <c r="I73" s="125">
        <f t="shared" si="12"/>
        <v>0.3125</v>
      </c>
      <c r="J73" s="99">
        <f t="shared" si="13"/>
        <v>0.625</v>
      </c>
      <c r="K73" s="401" t="s">
        <v>228</v>
      </c>
      <c r="L73" s="127" t="s">
        <v>229</v>
      </c>
      <c r="M73" s="128" t="s">
        <v>138</v>
      </c>
      <c r="N73" s="129" t="s">
        <v>230</v>
      </c>
      <c r="O73" s="471">
        <v>2</v>
      </c>
      <c r="P73" s="483">
        <v>2</v>
      </c>
      <c r="Q73" s="480" t="s">
        <v>82</v>
      </c>
      <c r="R73" s="480"/>
      <c r="S73" s="480"/>
      <c r="T73" s="476"/>
      <c r="U73" s="417"/>
      <c r="V73" s="417"/>
      <c r="W73" s="417"/>
      <c r="X73" s="399"/>
      <c r="Y73" s="399"/>
      <c r="Z73" s="411"/>
    </row>
    <row r="74" spans="2:27" ht="96">
      <c r="B74" s="121">
        <v>41</v>
      </c>
      <c r="C74" s="122" t="s">
        <v>134</v>
      </c>
      <c r="D74" s="474">
        <v>2</v>
      </c>
      <c r="E74" s="123">
        <v>45860</v>
      </c>
      <c r="F74" s="124">
        <v>0.375</v>
      </c>
      <c r="G74" s="123">
        <v>45860</v>
      </c>
      <c r="H74" s="124">
        <v>0.68055555555555558</v>
      </c>
      <c r="I74" s="125">
        <f t="shared" si="12"/>
        <v>0.30555555555555558</v>
      </c>
      <c r="J74" s="99">
        <f t="shared" si="13"/>
        <v>0.61111111111111116</v>
      </c>
      <c r="K74" s="401" t="s">
        <v>231</v>
      </c>
      <c r="L74" s="127" t="s">
        <v>232</v>
      </c>
      <c r="M74" s="128" t="s">
        <v>138</v>
      </c>
      <c r="N74" s="129" t="s">
        <v>233</v>
      </c>
      <c r="O74" s="471">
        <v>2</v>
      </c>
      <c r="P74" s="480" t="s">
        <v>82</v>
      </c>
      <c r="Q74" s="483">
        <v>2</v>
      </c>
      <c r="R74" s="480"/>
      <c r="S74" s="483">
        <v>1</v>
      </c>
      <c r="T74" s="476"/>
      <c r="U74" s="417"/>
      <c r="V74" s="417"/>
      <c r="W74" s="417"/>
      <c r="X74" s="399"/>
      <c r="Y74" s="399"/>
      <c r="Z74" s="411"/>
    </row>
    <row r="75" spans="2:27" ht="40.5" customHeight="1">
      <c r="B75" s="121">
        <v>42</v>
      </c>
      <c r="C75" s="122" t="s">
        <v>134</v>
      </c>
      <c r="D75" s="475">
        <v>1</v>
      </c>
      <c r="E75" s="123">
        <v>45881</v>
      </c>
      <c r="F75" s="124">
        <v>0.625</v>
      </c>
      <c r="G75" s="123">
        <v>45881</v>
      </c>
      <c r="H75" s="124">
        <v>0.64236111111111116</v>
      </c>
      <c r="I75" s="125">
        <f t="shared" si="12"/>
        <v>1.736111111111116E-2</v>
      </c>
      <c r="J75" s="99">
        <f t="shared" si="13"/>
        <v>1.736111111111116E-2</v>
      </c>
      <c r="K75" s="126">
        <v>7</v>
      </c>
      <c r="L75" s="127">
        <v>107</v>
      </c>
      <c r="M75" s="128" t="s">
        <v>138</v>
      </c>
      <c r="N75" s="129" t="s">
        <v>234</v>
      </c>
      <c r="O75" s="472" t="s">
        <v>184</v>
      </c>
      <c r="P75" s="480" t="s">
        <v>82</v>
      </c>
      <c r="Q75" s="480" t="s">
        <v>82</v>
      </c>
      <c r="R75" s="480" t="s">
        <v>82</v>
      </c>
      <c r="S75" s="480"/>
      <c r="T75" s="476" t="s">
        <v>82</v>
      </c>
      <c r="U75" s="417" t="s">
        <v>82</v>
      </c>
      <c r="V75" s="417"/>
      <c r="W75" s="417" t="s">
        <v>82</v>
      </c>
      <c r="X75" s="400" t="s">
        <v>82</v>
      </c>
      <c r="Y75" s="399"/>
      <c r="Z75" s="411"/>
    </row>
    <row r="76" spans="2:27" ht="81">
      <c r="B76" s="121">
        <v>43</v>
      </c>
      <c r="C76" s="122" t="s">
        <v>134</v>
      </c>
      <c r="D76" s="474">
        <v>2</v>
      </c>
      <c r="E76" s="123">
        <v>45887</v>
      </c>
      <c r="F76" s="124">
        <v>0.375</v>
      </c>
      <c r="G76" s="123">
        <v>45887</v>
      </c>
      <c r="H76" s="124">
        <v>0.68055555555555558</v>
      </c>
      <c r="I76" s="125">
        <f t="shared" si="12"/>
        <v>0.30555555555555558</v>
      </c>
      <c r="J76" s="99">
        <f t="shared" si="13"/>
        <v>0.61111111111111116</v>
      </c>
      <c r="K76" s="126" t="s">
        <v>235</v>
      </c>
      <c r="L76" s="127" t="s">
        <v>236</v>
      </c>
      <c r="M76" s="128" t="s">
        <v>138</v>
      </c>
      <c r="N76" s="129" t="s">
        <v>237</v>
      </c>
      <c r="O76" s="471">
        <f t="shared" ref="O76:O79" si="16">D76</f>
        <v>2</v>
      </c>
      <c r="P76" s="480" t="s">
        <v>82</v>
      </c>
      <c r="Q76" s="480" t="s">
        <v>82</v>
      </c>
      <c r="R76" s="480" t="s">
        <v>82</v>
      </c>
      <c r="S76" s="480"/>
      <c r="T76" s="476" t="s">
        <v>82</v>
      </c>
      <c r="U76" s="417" t="s">
        <v>82</v>
      </c>
      <c r="V76" s="417"/>
      <c r="W76" s="417" t="s">
        <v>82</v>
      </c>
      <c r="X76" s="400" t="s">
        <v>82</v>
      </c>
      <c r="Y76" s="399"/>
      <c r="Z76" s="411"/>
    </row>
    <row r="77" spans="2:27" ht="41.25">
      <c r="B77" s="121">
        <v>44</v>
      </c>
      <c r="C77" s="122" t="s">
        <v>134</v>
      </c>
      <c r="D77" s="474">
        <v>2</v>
      </c>
      <c r="E77" s="123">
        <v>45889</v>
      </c>
      <c r="F77" s="124">
        <v>0.375</v>
      </c>
      <c r="G77" s="123">
        <v>45889</v>
      </c>
      <c r="H77" s="124">
        <v>0.6875</v>
      </c>
      <c r="I77" s="125">
        <f t="shared" si="12"/>
        <v>0.3125</v>
      </c>
      <c r="J77" s="99">
        <f t="shared" si="13"/>
        <v>0.625</v>
      </c>
      <c r="K77" s="126">
        <v>5</v>
      </c>
      <c r="L77" s="127" t="s">
        <v>238</v>
      </c>
      <c r="M77" s="128" t="s">
        <v>138</v>
      </c>
      <c r="N77" s="129" t="s">
        <v>239</v>
      </c>
      <c r="O77" s="471">
        <f t="shared" si="16"/>
        <v>2</v>
      </c>
      <c r="P77" s="480" t="s">
        <v>82</v>
      </c>
      <c r="Q77" s="480" t="s">
        <v>82</v>
      </c>
      <c r="R77" s="480" t="s">
        <v>82</v>
      </c>
      <c r="S77" s="480"/>
      <c r="T77" s="476" t="s">
        <v>82</v>
      </c>
      <c r="U77" s="417" t="s">
        <v>82</v>
      </c>
      <c r="V77" s="417"/>
      <c r="W77" s="417" t="s">
        <v>82</v>
      </c>
      <c r="X77" s="400" t="s">
        <v>82</v>
      </c>
      <c r="Y77" s="399"/>
      <c r="Z77" s="411"/>
    </row>
    <row r="78" spans="2:27" ht="81">
      <c r="B78" s="121">
        <v>45</v>
      </c>
      <c r="C78" s="122" t="s">
        <v>134</v>
      </c>
      <c r="D78" s="474">
        <v>2</v>
      </c>
      <c r="E78" s="123">
        <v>45890</v>
      </c>
      <c r="F78" s="124">
        <v>0.375</v>
      </c>
      <c r="G78" s="123">
        <v>45890</v>
      </c>
      <c r="H78" s="124">
        <v>0.6875</v>
      </c>
      <c r="I78" s="125">
        <f t="shared" si="12"/>
        <v>0.3125</v>
      </c>
      <c r="J78" s="99">
        <f t="shared" si="13"/>
        <v>0.625</v>
      </c>
      <c r="K78" s="126" t="s">
        <v>83</v>
      </c>
      <c r="L78" s="127" t="s">
        <v>240</v>
      </c>
      <c r="M78" s="128" t="s">
        <v>138</v>
      </c>
      <c r="N78" s="129" t="s">
        <v>241</v>
      </c>
      <c r="O78" s="471">
        <f t="shared" si="16"/>
        <v>2</v>
      </c>
      <c r="P78" s="480" t="s">
        <v>82</v>
      </c>
      <c r="Q78" s="483">
        <v>6</v>
      </c>
      <c r="R78" s="480" t="s">
        <v>82</v>
      </c>
      <c r="S78" s="480"/>
      <c r="T78" s="476" t="s">
        <v>82</v>
      </c>
      <c r="U78" s="417" t="s">
        <v>82</v>
      </c>
      <c r="V78" s="417"/>
      <c r="W78" s="417" t="s">
        <v>82</v>
      </c>
      <c r="X78" s="400" t="s">
        <v>82</v>
      </c>
      <c r="Y78" s="399"/>
      <c r="Z78" s="411"/>
    </row>
    <row r="79" spans="2:27" ht="42" thickBot="1">
      <c r="B79" s="121">
        <v>46</v>
      </c>
      <c r="C79" s="122" t="s">
        <v>134</v>
      </c>
      <c r="D79" s="474">
        <v>2</v>
      </c>
      <c r="E79" s="123">
        <v>45891</v>
      </c>
      <c r="F79" s="124">
        <v>0.375</v>
      </c>
      <c r="G79" s="123">
        <v>45891</v>
      </c>
      <c r="H79" s="124">
        <v>0.69444444444444442</v>
      </c>
      <c r="I79" s="125">
        <f t="shared" si="12"/>
        <v>0.31944444444444442</v>
      </c>
      <c r="J79" s="99">
        <f t="shared" si="13"/>
        <v>0.63888888888888884</v>
      </c>
      <c r="K79" s="126">
        <v>5</v>
      </c>
      <c r="L79" s="127" t="s">
        <v>238</v>
      </c>
      <c r="M79" s="128" t="s">
        <v>138</v>
      </c>
      <c r="N79" s="129" t="s">
        <v>242</v>
      </c>
      <c r="O79" s="471">
        <f t="shared" si="16"/>
        <v>2</v>
      </c>
      <c r="P79" s="476" t="s">
        <v>82</v>
      </c>
      <c r="Q79" s="476" t="s">
        <v>82</v>
      </c>
      <c r="R79" s="476" t="s">
        <v>82</v>
      </c>
      <c r="S79" s="476"/>
      <c r="T79" s="476" t="s">
        <v>82</v>
      </c>
      <c r="U79" s="400" t="s">
        <v>82</v>
      </c>
      <c r="V79" s="399"/>
      <c r="W79" s="400" t="s">
        <v>82</v>
      </c>
      <c r="X79" s="400" t="s">
        <v>82</v>
      </c>
      <c r="Y79" s="399"/>
      <c r="Z79" s="411"/>
    </row>
    <row r="80" spans="2:27" ht="67.5" thickBot="1">
      <c r="B80" s="586" t="s">
        <v>209</v>
      </c>
      <c r="C80" s="587"/>
      <c r="D80" s="473">
        <f>SUM(D68:D79)</f>
        <v>23</v>
      </c>
      <c r="E80" s="342"/>
      <c r="F80" s="343"/>
      <c r="G80" s="342"/>
      <c r="H80" s="343"/>
      <c r="I80" s="393"/>
      <c r="J80" s="393"/>
      <c r="K80" s="344"/>
      <c r="L80" s="345"/>
      <c r="M80" s="344"/>
      <c r="N80" s="346"/>
      <c r="O80" s="473">
        <f>SUM(O68:O79)</f>
        <v>19.5</v>
      </c>
      <c r="P80" s="484">
        <f>SUM(P68:P79)-3.73</f>
        <v>20.27</v>
      </c>
      <c r="Q80" s="484">
        <f t="shared" ref="Q80:V80" si="17">SUM(Q68:Q79)</f>
        <v>17</v>
      </c>
      <c r="R80" s="484">
        <f t="shared" si="17"/>
        <v>3</v>
      </c>
      <c r="S80" s="484">
        <f t="shared" si="17"/>
        <v>1</v>
      </c>
      <c r="T80" s="415">
        <f t="shared" si="17"/>
        <v>0</v>
      </c>
      <c r="U80" s="415">
        <f t="shared" si="17"/>
        <v>0</v>
      </c>
      <c r="V80" s="415">
        <f t="shared" si="17"/>
        <v>0</v>
      </c>
      <c r="W80" s="347">
        <f>SUM(W79:W79)</f>
        <v>0</v>
      </c>
      <c r="X80" s="347">
        <f>SUM(X79:X79)</f>
        <v>0</v>
      </c>
      <c r="Y80" s="347">
        <f>SUM(Y79:Y79)</f>
        <v>0</v>
      </c>
      <c r="Z80" s="499" t="s">
        <v>311</v>
      </c>
      <c r="AA80" s="130"/>
    </row>
    <row r="81" spans="2:27" ht="66.75" thickBot="1">
      <c r="O81" s="537">
        <f>O80-D80</f>
        <v>-3.5</v>
      </c>
      <c r="P81" s="503" t="s">
        <v>312</v>
      </c>
    </row>
    <row r="82" spans="2:27" ht="15" customHeight="1" thickBot="1">
      <c r="B82" s="438"/>
      <c r="C82" s="439"/>
      <c r="D82" s="440"/>
      <c r="E82" s="441"/>
      <c r="F82" s="442"/>
      <c r="G82" s="441"/>
      <c r="H82" s="442"/>
      <c r="I82" s="443"/>
      <c r="J82" s="444"/>
      <c r="K82" s="445"/>
      <c r="L82" s="446"/>
      <c r="M82" s="439"/>
      <c r="N82" s="447"/>
      <c r="O82" s="448"/>
      <c r="P82" s="449"/>
      <c r="Q82" s="448"/>
      <c r="R82" s="448"/>
      <c r="S82" s="448"/>
      <c r="T82" s="448"/>
      <c r="U82" s="448"/>
      <c r="V82" s="449"/>
      <c r="W82" s="448"/>
      <c r="X82" s="448"/>
      <c r="Y82" s="449"/>
      <c r="Z82" s="450"/>
    </row>
    <row r="83" spans="2:27" s="280" customFormat="1" ht="41.25">
      <c r="B83" s="348" t="s">
        <v>308</v>
      </c>
      <c r="C83" s="349"/>
      <c r="D83" s="350"/>
      <c r="E83" s="351"/>
      <c r="F83" s="352"/>
      <c r="G83" s="351"/>
      <c r="H83" s="352"/>
      <c r="I83" s="352"/>
      <c r="J83" s="353"/>
      <c r="K83" s="354"/>
      <c r="L83" s="354"/>
      <c r="M83" s="355"/>
      <c r="N83" s="356"/>
      <c r="O83" s="357"/>
      <c r="P83" s="358"/>
      <c r="Q83" s="358"/>
      <c r="R83" s="358"/>
      <c r="S83" s="358"/>
      <c r="T83" s="358"/>
      <c r="U83" s="358"/>
      <c r="V83" s="358"/>
      <c r="W83" s="358"/>
      <c r="X83" s="358"/>
      <c r="Y83" s="358"/>
      <c r="Z83" s="359"/>
      <c r="AA83" s="279"/>
    </row>
    <row r="84" spans="2:27" ht="41.25">
      <c r="B84" s="121"/>
      <c r="C84" s="122"/>
      <c r="D84" s="437"/>
      <c r="E84" s="123"/>
      <c r="F84" s="124"/>
      <c r="G84" s="123"/>
      <c r="H84" s="124"/>
      <c r="I84" s="125"/>
      <c r="J84" s="99"/>
      <c r="K84" s="126"/>
      <c r="L84" s="127"/>
      <c r="M84" s="128"/>
      <c r="N84" s="129"/>
      <c r="O84" s="435"/>
      <c r="P84" s="476"/>
      <c r="Q84" s="476"/>
      <c r="R84" s="436"/>
      <c r="S84" s="417"/>
      <c r="T84" s="417"/>
      <c r="U84" s="417"/>
      <c r="V84" s="417"/>
      <c r="W84" s="417"/>
      <c r="X84" s="417"/>
      <c r="Y84" s="399"/>
      <c r="Z84" s="411"/>
    </row>
    <row r="85" spans="2:27" ht="81">
      <c r="B85" s="121">
        <v>47</v>
      </c>
      <c r="C85" s="122" t="s">
        <v>259</v>
      </c>
      <c r="D85" s="437">
        <v>2</v>
      </c>
      <c r="E85" s="123">
        <v>45895</v>
      </c>
      <c r="F85" s="124">
        <v>0.375</v>
      </c>
      <c r="G85" s="123">
        <v>45895</v>
      </c>
      <c r="H85" s="124">
        <v>0.6875</v>
      </c>
      <c r="I85" s="125">
        <v>0.3125</v>
      </c>
      <c r="J85" s="99">
        <v>0.625</v>
      </c>
      <c r="K85" s="126" t="s">
        <v>260</v>
      </c>
      <c r="L85" s="127" t="s">
        <v>261</v>
      </c>
      <c r="M85" s="128" t="s">
        <v>262</v>
      </c>
      <c r="N85" s="129" t="s">
        <v>263</v>
      </c>
      <c r="O85" s="435">
        <v>2</v>
      </c>
      <c r="P85" s="476" t="s">
        <v>264</v>
      </c>
      <c r="Q85" s="483">
        <v>2</v>
      </c>
      <c r="R85" s="476" t="s">
        <v>264</v>
      </c>
      <c r="S85" s="417"/>
      <c r="T85" s="417" t="s">
        <v>264</v>
      </c>
      <c r="U85" s="417" t="s">
        <v>264</v>
      </c>
      <c r="V85" s="417"/>
      <c r="W85" s="479"/>
      <c r="X85" s="417"/>
      <c r="Y85" s="399"/>
      <c r="Z85" s="482" t="s">
        <v>309</v>
      </c>
    </row>
    <row r="86" spans="2:27" ht="96">
      <c r="B86" s="121">
        <v>48</v>
      </c>
      <c r="C86" s="122" t="s">
        <v>259</v>
      </c>
      <c r="D86" s="437">
        <v>2</v>
      </c>
      <c r="E86" s="123">
        <v>45896</v>
      </c>
      <c r="F86" s="124">
        <v>0.375</v>
      </c>
      <c r="G86" s="123">
        <v>45896</v>
      </c>
      <c r="H86" s="124">
        <v>0.6875</v>
      </c>
      <c r="I86" s="125">
        <v>0.3125</v>
      </c>
      <c r="J86" s="99">
        <v>0.625</v>
      </c>
      <c r="K86" s="126">
        <v>102</v>
      </c>
      <c r="L86" s="127">
        <v>506</v>
      </c>
      <c r="M86" s="128" t="s">
        <v>262</v>
      </c>
      <c r="N86" s="129" t="s">
        <v>265</v>
      </c>
      <c r="O86" s="435">
        <v>2</v>
      </c>
      <c r="P86" s="476">
        <v>3</v>
      </c>
      <c r="Q86" s="483">
        <v>2</v>
      </c>
      <c r="R86" s="483">
        <v>12</v>
      </c>
      <c r="S86" s="417"/>
      <c r="T86" s="417"/>
      <c r="U86" s="417"/>
      <c r="V86" s="417"/>
      <c r="W86" s="417" t="s">
        <v>264</v>
      </c>
      <c r="X86" s="417"/>
      <c r="Y86" s="399"/>
      <c r="Z86" s="411"/>
    </row>
    <row r="87" spans="2:27" ht="144">
      <c r="B87" s="121">
        <v>49</v>
      </c>
      <c r="C87" s="122" t="s">
        <v>259</v>
      </c>
      <c r="D87" s="437">
        <v>2</v>
      </c>
      <c r="E87" s="123">
        <v>45897</v>
      </c>
      <c r="F87" s="124">
        <v>0.375</v>
      </c>
      <c r="G87" s="123">
        <v>45897</v>
      </c>
      <c r="H87" s="124">
        <v>0.6875</v>
      </c>
      <c r="I87" s="125">
        <v>0.3125</v>
      </c>
      <c r="J87" s="99">
        <v>0.625</v>
      </c>
      <c r="K87" s="126" t="s">
        <v>266</v>
      </c>
      <c r="L87" s="127" t="s">
        <v>267</v>
      </c>
      <c r="M87" s="128" t="s">
        <v>262</v>
      </c>
      <c r="N87" s="129" t="s">
        <v>268</v>
      </c>
      <c r="O87" s="435">
        <v>2</v>
      </c>
      <c r="P87" s="476">
        <v>4</v>
      </c>
      <c r="Q87" s="483">
        <v>4</v>
      </c>
      <c r="R87" s="476"/>
      <c r="S87" s="417"/>
      <c r="T87" s="417"/>
      <c r="U87" s="417"/>
      <c r="V87" s="417"/>
      <c r="W87" s="417" t="s">
        <v>264</v>
      </c>
      <c r="X87" s="417"/>
      <c r="Y87" s="399"/>
      <c r="Z87" s="411"/>
    </row>
    <row r="88" spans="2:27" ht="144">
      <c r="B88" s="121">
        <v>50</v>
      </c>
      <c r="C88" s="122" t="s">
        <v>259</v>
      </c>
      <c r="D88" s="437">
        <v>2</v>
      </c>
      <c r="E88" s="123">
        <v>45898</v>
      </c>
      <c r="F88" s="124">
        <v>0.375</v>
      </c>
      <c r="G88" s="123">
        <v>45898</v>
      </c>
      <c r="H88" s="124">
        <v>0.6875</v>
      </c>
      <c r="I88" s="125">
        <v>0.3125</v>
      </c>
      <c r="J88" s="99">
        <v>0.625</v>
      </c>
      <c r="K88" s="126" t="s">
        <v>269</v>
      </c>
      <c r="L88" s="127" t="s">
        <v>270</v>
      </c>
      <c r="M88" s="128" t="s">
        <v>262</v>
      </c>
      <c r="N88" s="129" t="s">
        <v>271</v>
      </c>
      <c r="O88" s="435">
        <v>2</v>
      </c>
      <c r="P88" s="476">
        <v>3</v>
      </c>
      <c r="Q88" s="483">
        <v>4</v>
      </c>
      <c r="R88" s="476"/>
      <c r="S88" s="417"/>
      <c r="T88" s="417"/>
      <c r="U88" s="417"/>
      <c r="V88" s="417"/>
      <c r="W88" s="417" t="s">
        <v>264</v>
      </c>
      <c r="X88" s="417"/>
      <c r="Y88" s="399"/>
      <c r="Z88" s="411"/>
    </row>
    <row r="89" spans="2:27" ht="144">
      <c r="B89" s="121">
        <v>51</v>
      </c>
      <c r="C89" s="122" t="s">
        <v>259</v>
      </c>
      <c r="D89" s="437">
        <v>2</v>
      </c>
      <c r="E89" s="123">
        <v>45901</v>
      </c>
      <c r="F89" s="124">
        <v>0.375</v>
      </c>
      <c r="G89" s="123">
        <v>45901</v>
      </c>
      <c r="H89" s="124">
        <v>0.6875</v>
      </c>
      <c r="I89" s="125">
        <v>0.3125</v>
      </c>
      <c r="J89" s="99">
        <v>0.625</v>
      </c>
      <c r="K89" s="126" t="s">
        <v>272</v>
      </c>
      <c r="L89" s="127" t="s">
        <v>273</v>
      </c>
      <c r="M89" s="128" t="s">
        <v>262</v>
      </c>
      <c r="N89" s="129" t="s">
        <v>274</v>
      </c>
      <c r="O89" s="435">
        <v>2</v>
      </c>
      <c r="P89" s="483">
        <v>4</v>
      </c>
      <c r="Q89" s="483">
        <v>2</v>
      </c>
      <c r="R89" s="483">
        <v>16</v>
      </c>
      <c r="S89" s="417"/>
      <c r="T89" s="417"/>
      <c r="U89" s="417"/>
      <c r="V89" s="417"/>
      <c r="W89" s="417" t="s">
        <v>264</v>
      </c>
      <c r="X89" s="417"/>
      <c r="Y89" s="399"/>
      <c r="Z89" s="411"/>
    </row>
    <row r="90" spans="2:27" ht="96">
      <c r="B90" s="121">
        <v>52</v>
      </c>
      <c r="C90" s="122" t="s">
        <v>259</v>
      </c>
      <c r="D90" s="437">
        <v>2</v>
      </c>
      <c r="E90" s="123">
        <v>45902</v>
      </c>
      <c r="F90" s="124">
        <v>0.375</v>
      </c>
      <c r="G90" s="123">
        <v>45902</v>
      </c>
      <c r="H90" s="124">
        <v>0.6875</v>
      </c>
      <c r="I90" s="125">
        <v>0.3125</v>
      </c>
      <c r="J90" s="99">
        <v>0.625</v>
      </c>
      <c r="K90" s="126" t="s">
        <v>275</v>
      </c>
      <c r="L90" s="127" t="s">
        <v>276</v>
      </c>
      <c r="M90" s="128" t="s">
        <v>262</v>
      </c>
      <c r="N90" s="129" t="s">
        <v>277</v>
      </c>
      <c r="O90" s="435">
        <v>2</v>
      </c>
      <c r="P90" s="483">
        <v>2</v>
      </c>
      <c r="Q90" s="483">
        <v>2</v>
      </c>
      <c r="R90" s="476"/>
      <c r="S90" s="417"/>
      <c r="T90" s="417"/>
      <c r="U90" s="417"/>
      <c r="V90" s="417"/>
      <c r="W90" s="417" t="s">
        <v>264</v>
      </c>
      <c r="X90" s="417"/>
      <c r="Y90" s="399"/>
      <c r="Z90" s="411"/>
    </row>
    <row r="91" spans="2:27" ht="192">
      <c r="B91" s="121">
        <v>53</v>
      </c>
      <c r="C91" s="122" t="s">
        <v>259</v>
      </c>
      <c r="D91" s="437">
        <v>2</v>
      </c>
      <c r="E91" s="123">
        <v>45903</v>
      </c>
      <c r="F91" s="124">
        <v>0.375</v>
      </c>
      <c r="G91" s="123">
        <v>45903</v>
      </c>
      <c r="H91" s="124">
        <v>0.6875</v>
      </c>
      <c r="I91" s="125">
        <v>0.3125</v>
      </c>
      <c r="J91" s="99">
        <v>0.625</v>
      </c>
      <c r="K91" s="126" t="s">
        <v>278</v>
      </c>
      <c r="L91" s="127" t="s">
        <v>279</v>
      </c>
      <c r="M91" s="128" t="s">
        <v>262</v>
      </c>
      <c r="N91" s="129" t="s">
        <v>280</v>
      </c>
      <c r="O91" s="435">
        <v>2</v>
      </c>
      <c r="P91" s="483">
        <v>3</v>
      </c>
      <c r="Q91" s="483">
        <v>4</v>
      </c>
      <c r="R91" s="476"/>
      <c r="S91" s="417"/>
      <c r="T91" s="417"/>
      <c r="U91" s="417"/>
      <c r="V91" s="417"/>
      <c r="W91" s="417" t="s">
        <v>264</v>
      </c>
      <c r="X91" s="417"/>
      <c r="Y91" s="399"/>
      <c r="Z91" s="411"/>
    </row>
    <row r="92" spans="2:27" ht="122.25" thickBot="1">
      <c r="B92" s="121">
        <v>54</v>
      </c>
      <c r="C92" s="122" t="s">
        <v>259</v>
      </c>
      <c r="D92" s="437">
        <v>2</v>
      </c>
      <c r="E92" s="123">
        <v>45904</v>
      </c>
      <c r="F92" s="124">
        <v>0.375</v>
      </c>
      <c r="G92" s="123">
        <v>45904</v>
      </c>
      <c r="H92" s="124">
        <v>0.68055555555555558</v>
      </c>
      <c r="I92" s="125">
        <v>0.30555555555555558</v>
      </c>
      <c r="J92" s="99">
        <v>0.61111111111111116</v>
      </c>
      <c r="K92" s="126" t="s">
        <v>281</v>
      </c>
      <c r="L92" s="127" t="s">
        <v>282</v>
      </c>
      <c r="M92" s="128" t="s">
        <v>262</v>
      </c>
      <c r="N92" s="129" t="s">
        <v>283</v>
      </c>
      <c r="O92" s="435">
        <v>2</v>
      </c>
      <c r="P92" s="476" t="s">
        <v>264</v>
      </c>
      <c r="Q92" s="476" t="s">
        <v>264</v>
      </c>
      <c r="R92" s="476"/>
      <c r="S92" s="417"/>
      <c r="T92" s="417"/>
      <c r="U92" s="417"/>
      <c r="V92" s="417"/>
      <c r="W92" s="417" t="s">
        <v>264</v>
      </c>
      <c r="X92" s="417"/>
      <c r="Y92" s="399"/>
      <c r="Z92" s="411"/>
    </row>
    <row r="93" spans="2:27" ht="63.75" thickBot="1">
      <c r="B93" s="588" t="s">
        <v>209</v>
      </c>
      <c r="C93" s="589"/>
      <c r="D93" s="473">
        <f>SUM(D84:D92)</f>
        <v>16</v>
      </c>
      <c r="E93" s="342"/>
      <c r="F93" s="343"/>
      <c r="G93" s="342"/>
      <c r="H93" s="343"/>
      <c r="I93" s="500"/>
      <c r="J93" s="412"/>
      <c r="K93" s="344"/>
      <c r="L93" s="345"/>
      <c r="M93" s="344"/>
      <c r="N93" s="346"/>
      <c r="O93" s="501">
        <f>SUM(O85:O92)</f>
        <v>16</v>
      </c>
      <c r="P93" s="502">
        <f>SUM(P89:P92)</f>
        <v>9</v>
      </c>
      <c r="Q93" s="502">
        <f>SUM(Q84:Q92)</f>
        <v>20</v>
      </c>
      <c r="R93" s="502">
        <f>SUM(R84:R92)</f>
        <v>28</v>
      </c>
      <c r="S93" s="415"/>
      <c r="T93" s="413"/>
      <c r="U93" s="413"/>
      <c r="V93" s="413"/>
      <c r="W93" s="347"/>
      <c r="X93" s="347"/>
      <c r="Y93" s="347"/>
      <c r="Z93" s="545" t="s">
        <v>314</v>
      </c>
      <c r="AA93" s="130"/>
    </row>
    <row r="94" spans="2:27" ht="66.75" thickBot="1">
      <c r="O94" s="511" t="s">
        <v>184</v>
      </c>
      <c r="P94" s="503" t="s">
        <v>312</v>
      </c>
    </row>
    <row r="95" spans="2:27" s="505" customFormat="1" ht="27" customHeight="1" thickBot="1">
      <c r="B95" s="514"/>
      <c r="C95" s="514"/>
      <c r="D95" s="514"/>
      <c r="E95" s="514"/>
      <c r="F95" s="514"/>
      <c r="G95" s="514"/>
      <c r="H95" s="514"/>
      <c r="I95" s="514"/>
      <c r="J95" s="514"/>
      <c r="K95" s="514"/>
      <c r="L95" s="514"/>
      <c r="M95" s="514"/>
      <c r="N95" s="514"/>
      <c r="O95" s="515"/>
      <c r="P95" s="516"/>
      <c r="Q95" s="514"/>
      <c r="R95" s="514"/>
      <c r="S95" s="514"/>
      <c r="T95" s="514"/>
      <c r="U95" s="514"/>
      <c r="V95" s="514"/>
      <c r="W95" s="514"/>
      <c r="X95" s="514"/>
      <c r="Y95" s="514"/>
    </row>
    <row r="96" spans="2:27" s="280" customFormat="1" ht="41.25">
      <c r="B96" s="507" t="s">
        <v>313</v>
      </c>
      <c r="C96" s="349"/>
      <c r="D96" s="350"/>
      <c r="E96" s="351"/>
      <c r="F96" s="352"/>
      <c r="G96" s="351"/>
      <c r="H96" s="352"/>
      <c r="I96" s="352"/>
      <c r="J96" s="353"/>
      <c r="K96" s="354"/>
      <c r="L96" s="354"/>
      <c r="M96" s="355"/>
      <c r="N96" s="356"/>
      <c r="O96" s="357"/>
      <c r="P96" s="358"/>
      <c r="Q96" s="358"/>
      <c r="R96" s="358"/>
      <c r="S96" s="358"/>
      <c r="T96" s="358"/>
      <c r="U96" s="358"/>
      <c r="V96" s="358"/>
      <c r="W96" s="358"/>
      <c r="X96" s="358"/>
      <c r="Y96" s="358"/>
      <c r="Z96" s="359"/>
      <c r="AA96" s="279"/>
    </row>
    <row r="97" spans="2:26" ht="41.25">
      <c r="B97" s="121">
        <v>55</v>
      </c>
      <c r="C97" s="122" t="s">
        <v>259</v>
      </c>
      <c r="D97" s="437">
        <v>1</v>
      </c>
      <c r="E97" s="123">
        <v>45909</v>
      </c>
      <c r="F97" s="124">
        <v>0.54166666666666663</v>
      </c>
      <c r="G97" s="123">
        <v>45909</v>
      </c>
      <c r="H97" s="124">
        <v>0.67361111111111116</v>
      </c>
      <c r="I97" s="125">
        <v>0.13194444444444453</v>
      </c>
      <c r="J97" s="99">
        <v>0.13194444444444453</v>
      </c>
      <c r="K97" s="126">
        <v>9</v>
      </c>
      <c r="L97" s="127">
        <v>506</v>
      </c>
      <c r="M97" s="128" t="s">
        <v>262</v>
      </c>
      <c r="N97" s="129" t="s">
        <v>284</v>
      </c>
      <c r="O97" s="513" t="s">
        <v>184</v>
      </c>
      <c r="P97" s="483">
        <v>7</v>
      </c>
      <c r="Q97" s="476" t="s">
        <v>264</v>
      </c>
      <c r="R97" s="476" t="s">
        <v>264</v>
      </c>
      <c r="S97" s="417"/>
      <c r="T97" s="417" t="s">
        <v>264</v>
      </c>
      <c r="U97" s="417" t="s">
        <v>264</v>
      </c>
      <c r="V97" s="417"/>
      <c r="W97" s="417" t="s">
        <v>264</v>
      </c>
      <c r="X97" s="417"/>
      <c r="Y97" s="399"/>
      <c r="Z97" s="411"/>
    </row>
    <row r="98" spans="2:26" ht="41.25">
      <c r="B98" s="121">
        <v>56</v>
      </c>
      <c r="C98" s="122" t="s">
        <v>259</v>
      </c>
      <c r="D98" s="437">
        <v>1</v>
      </c>
      <c r="E98" s="123">
        <v>45910</v>
      </c>
      <c r="F98" s="124">
        <v>0.58333333333333337</v>
      </c>
      <c r="G98" s="123">
        <v>45910</v>
      </c>
      <c r="H98" s="124">
        <v>0.68055555555555558</v>
      </c>
      <c r="I98" s="125">
        <v>9.722222222222221E-2</v>
      </c>
      <c r="J98" s="99">
        <v>9.722222222222221E-2</v>
      </c>
      <c r="K98" s="126">
        <v>5</v>
      </c>
      <c r="L98" s="127">
        <v>504</v>
      </c>
      <c r="M98" s="128" t="s">
        <v>262</v>
      </c>
      <c r="N98" s="129" t="s">
        <v>285</v>
      </c>
      <c r="O98" s="513" t="s">
        <v>184</v>
      </c>
      <c r="P98" s="483">
        <v>5</v>
      </c>
      <c r="Q98" s="476" t="s">
        <v>264</v>
      </c>
      <c r="R98" s="476" t="s">
        <v>264</v>
      </c>
      <c r="S98" s="417"/>
      <c r="T98" s="417" t="s">
        <v>264</v>
      </c>
      <c r="U98" s="417" t="s">
        <v>264</v>
      </c>
      <c r="V98" s="417"/>
      <c r="W98" s="417" t="s">
        <v>264</v>
      </c>
      <c r="X98" s="417"/>
      <c r="Y98" s="399"/>
      <c r="Z98" s="411"/>
    </row>
    <row r="99" spans="2:26" ht="81">
      <c r="B99" s="121">
        <v>57</v>
      </c>
      <c r="C99" s="122" t="s">
        <v>259</v>
      </c>
      <c r="D99" s="437">
        <v>2</v>
      </c>
      <c r="E99" s="123">
        <v>45912</v>
      </c>
      <c r="F99" s="124">
        <v>0.375</v>
      </c>
      <c r="G99" s="123">
        <v>45912</v>
      </c>
      <c r="H99" s="124">
        <v>0.6875</v>
      </c>
      <c r="I99" s="125">
        <v>0.3125</v>
      </c>
      <c r="J99" s="99">
        <v>0.625</v>
      </c>
      <c r="K99" s="126" t="s">
        <v>286</v>
      </c>
      <c r="L99" s="127" t="s">
        <v>287</v>
      </c>
      <c r="M99" s="128" t="s">
        <v>262</v>
      </c>
      <c r="N99" s="129" t="s">
        <v>288</v>
      </c>
      <c r="O99" s="508">
        <v>2</v>
      </c>
      <c r="P99" s="504" t="s">
        <v>264</v>
      </c>
      <c r="Q99" s="476" t="s">
        <v>264</v>
      </c>
      <c r="R99" s="476" t="s">
        <v>264</v>
      </c>
      <c r="S99" s="417"/>
      <c r="T99" s="417" t="s">
        <v>264</v>
      </c>
      <c r="U99" s="417" t="s">
        <v>264</v>
      </c>
      <c r="V99" s="417"/>
      <c r="W99" s="417" t="s">
        <v>264</v>
      </c>
      <c r="X99" s="417"/>
      <c r="Y99" s="399"/>
      <c r="Z99" s="411"/>
    </row>
    <row r="100" spans="2:26" ht="81">
      <c r="B100" s="121">
        <v>58</v>
      </c>
      <c r="C100" s="122" t="s">
        <v>259</v>
      </c>
      <c r="D100" s="437">
        <v>1</v>
      </c>
      <c r="E100" s="123">
        <v>45915</v>
      </c>
      <c r="F100" s="124">
        <v>0.375</v>
      </c>
      <c r="G100" s="123">
        <v>45915</v>
      </c>
      <c r="H100" s="124">
        <v>0.6875</v>
      </c>
      <c r="I100" s="125">
        <v>0.3125</v>
      </c>
      <c r="J100" s="99">
        <v>0.3125</v>
      </c>
      <c r="K100" s="126" t="s">
        <v>286</v>
      </c>
      <c r="L100" s="127" t="s">
        <v>287</v>
      </c>
      <c r="M100" s="128" t="s">
        <v>262</v>
      </c>
      <c r="N100" s="129" t="s">
        <v>289</v>
      </c>
      <c r="O100" s="508">
        <v>1</v>
      </c>
      <c r="P100" s="504" t="s">
        <v>264</v>
      </c>
      <c r="Q100" s="483">
        <v>1</v>
      </c>
      <c r="R100" s="476" t="s">
        <v>264</v>
      </c>
      <c r="S100" s="417"/>
      <c r="T100" s="417" t="s">
        <v>264</v>
      </c>
      <c r="U100" s="417" t="s">
        <v>264</v>
      </c>
      <c r="V100" s="417"/>
      <c r="W100" s="417" t="s">
        <v>264</v>
      </c>
      <c r="X100" s="417"/>
      <c r="Y100" s="399"/>
      <c r="Z100" s="411"/>
    </row>
    <row r="101" spans="2:26" ht="41.25">
      <c r="B101" s="481">
        <v>59</v>
      </c>
      <c r="C101" s="489" t="s">
        <v>259</v>
      </c>
      <c r="D101" s="490">
        <v>0</v>
      </c>
      <c r="E101" s="491">
        <v>45916</v>
      </c>
      <c r="F101" s="492">
        <v>0.375</v>
      </c>
      <c r="G101" s="491">
        <v>45916</v>
      </c>
      <c r="H101" s="492">
        <v>0.69097222222222221</v>
      </c>
      <c r="I101" s="493">
        <v>0.31597222222222221</v>
      </c>
      <c r="J101" s="494">
        <v>0</v>
      </c>
      <c r="K101" s="495">
        <v>102</v>
      </c>
      <c r="L101" s="496" t="s">
        <v>290</v>
      </c>
      <c r="M101" s="497" t="s">
        <v>262</v>
      </c>
      <c r="N101" s="498" t="s">
        <v>291</v>
      </c>
      <c r="O101" s="509"/>
      <c r="P101" s="518"/>
      <c r="Q101" s="486"/>
      <c r="R101" s="486"/>
      <c r="S101" s="487" t="s">
        <v>292</v>
      </c>
      <c r="T101" s="487"/>
      <c r="U101" s="487"/>
      <c r="V101" s="487"/>
      <c r="W101" s="487" t="s">
        <v>292</v>
      </c>
      <c r="X101" s="487"/>
      <c r="Y101" s="487"/>
      <c r="Z101" s="488" t="s">
        <v>292</v>
      </c>
    </row>
    <row r="102" spans="2:26" ht="41.25">
      <c r="B102" s="481">
        <v>60</v>
      </c>
      <c r="C102" s="489" t="s">
        <v>259</v>
      </c>
      <c r="D102" s="490">
        <v>0</v>
      </c>
      <c r="E102" s="491">
        <v>45917</v>
      </c>
      <c r="F102" s="492">
        <v>0.375</v>
      </c>
      <c r="G102" s="491">
        <v>45917</v>
      </c>
      <c r="H102" s="492">
        <v>0.6875</v>
      </c>
      <c r="I102" s="493">
        <v>0.3125</v>
      </c>
      <c r="J102" s="494">
        <v>0</v>
      </c>
      <c r="K102" s="495">
        <v>102</v>
      </c>
      <c r="L102" s="496" t="s">
        <v>290</v>
      </c>
      <c r="M102" s="497" t="s">
        <v>262</v>
      </c>
      <c r="N102" s="498" t="s">
        <v>291</v>
      </c>
      <c r="O102" s="509"/>
      <c r="P102" s="518"/>
      <c r="Q102" s="486"/>
      <c r="R102" s="486"/>
      <c r="S102" s="487" t="s">
        <v>292</v>
      </c>
      <c r="T102" s="487"/>
      <c r="U102" s="487"/>
      <c r="V102" s="487"/>
      <c r="W102" s="487" t="s">
        <v>292</v>
      </c>
      <c r="X102" s="487"/>
      <c r="Y102" s="487"/>
      <c r="Z102" s="488" t="s">
        <v>292</v>
      </c>
    </row>
    <row r="103" spans="2:26" ht="41.25">
      <c r="B103" s="481">
        <v>61</v>
      </c>
      <c r="C103" s="489" t="s">
        <v>259</v>
      </c>
      <c r="D103" s="490">
        <v>0</v>
      </c>
      <c r="E103" s="491">
        <v>45918</v>
      </c>
      <c r="F103" s="492">
        <v>0.375</v>
      </c>
      <c r="G103" s="491">
        <v>45918</v>
      </c>
      <c r="H103" s="492">
        <v>0.68055555555555558</v>
      </c>
      <c r="I103" s="493">
        <v>0.30555555555555558</v>
      </c>
      <c r="J103" s="494">
        <v>0</v>
      </c>
      <c r="K103" s="495">
        <v>102</v>
      </c>
      <c r="L103" s="496" t="s">
        <v>290</v>
      </c>
      <c r="M103" s="497" t="s">
        <v>262</v>
      </c>
      <c r="N103" s="498" t="s">
        <v>293</v>
      </c>
      <c r="O103" s="509"/>
      <c r="P103" s="518"/>
      <c r="Q103" s="486"/>
      <c r="R103" s="486"/>
      <c r="S103" s="487" t="s">
        <v>292</v>
      </c>
      <c r="T103" s="487"/>
      <c r="U103" s="487"/>
      <c r="V103" s="487"/>
      <c r="W103" s="487" t="s">
        <v>292</v>
      </c>
      <c r="X103" s="487"/>
      <c r="Y103" s="487"/>
      <c r="Z103" s="488" t="s">
        <v>292</v>
      </c>
    </row>
    <row r="104" spans="2:26" ht="41.25">
      <c r="B104" s="121">
        <v>62</v>
      </c>
      <c r="C104" s="122" t="s">
        <v>259</v>
      </c>
      <c r="D104" s="437">
        <v>1</v>
      </c>
      <c r="E104" s="123">
        <v>45923</v>
      </c>
      <c r="F104" s="124">
        <v>0.375</v>
      </c>
      <c r="G104" s="123">
        <v>45923</v>
      </c>
      <c r="H104" s="124">
        <v>0.6875</v>
      </c>
      <c r="I104" s="125">
        <v>0.3125</v>
      </c>
      <c r="J104" s="99">
        <v>0.3125</v>
      </c>
      <c r="K104" s="126" t="s">
        <v>294</v>
      </c>
      <c r="L104" s="127" t="s">
        <v>295</v>
      </c>
      <c r="M104" s="128" t="s">
        <v>262</v>
      </c>
      <c r="N104" s="129" t="s">
        <v>296</v>
      </c>
      <c r="O104" s="508">
        <v>1</v>
      </c>
      <c r="P104" s="504" t="s">
        <v>264</v>
      </c>
      <c r="Q104" s="476" t="s">
        <v>264</v>
      </c>
      <c r="R104" s="476" t="s">
        <v>264</v>
      </c>
      <c r="S104" s="417"/>
      <c r="T104" s="417"/>
      <c r="U104" s="417"/>
      <c r="V104" s="417"/>
      <c r="W104" s="417" t="s">
        <v>264</v>
      </c>
      <c r="X104" s="417"/>
      <c r="Y104" s="399"/>
      <c r="Z104" s="411"/>
    </row>
    <row r="105" spans="2:26" ht="41.25">
      <c r="B105" s="121">
        <v>63</v>
      </c>
      <c r="C105" s="122" t="s">
        <v>259</v>
      </c>
      <c r="D105" s="437">
        <v>2</v>
      </c>
      <c r="E105" s="123">
        <v>45930</v>
      </c>
      <c r="F105" s="124">
        <v>0.375</v>
      </c>
      <c r="G105" s="123">
        <v>45930</v>
      </c>
      <c r="H105" s="124">
        <v>0.66666666666666663</v>
      </c>
      <c r="I105" s="125">
        <v>0.29166666666666663</v>
      </c>
      <c r="J105" s="99">
        <v>0.58333333333333326</v>
      </c>
      <c r="K105" s="126" t="s">
        <v>294</v>
      </c>
      <c r="L105" s="127" t="s">
        <v>295</v>
      </c>
      <c r="M105" s="128" t="s">
        <v>262</v>
      </c>
      <c r="N105" s="129" t="s">
        <v>297</v>
      </c>
      <c r="O105" s="508">
        <v>2</v>
      </c>
      <c r="P105" s="504" t="s">
        <v>264</v>
      </c>
      <c r="Q105" s="476" t="s">
        <v>264</v>
      </c>
      <c r="R105" s="476"/>
      <c r="S105" s="417"/>
      <c r="T105" s="417"/>
      <c r="U105" s="417"/>
      <c r="V105" s="417"/>
      <c r="W105" s="417" t="s">
        <v>264</v>
      </c>
      <c r="X105" s="417"/>
      <c r="Y105" s="399"/>
      <c r="Z105" s="411"/>
    </row>
    <row r="106" spans="2:26" ht="72">
      <c r="B106" s="121">
        <v>64</v>
      </c>
      <c r="C106" s="122" t="s">
        <v>259</v>
      </c>
      <c r="D106" s="437">
        <v>2</v>
      </c>
      <c r="E106" s="123">
        <v>45943</v>
      </c>
      <c r="F106" s="124">
        <v>0.375</v>
      </c>
      <c r="G106" s="123">
        <v>45943</v>
      </c>
      <c r="H106" s="124">
        <v>0.6875</v>
      </c>
      <c r="I106" s="125">
        <v>0.3125</v>
      </c>
      <c r="J106" s="99">
        <v>0.625</v>
      </c>
      <c r="K106" s="126" t="s">
        <v>298</v>
      </c>
      <c r="L106" s="127" t="s">
        <v>299</v>
      </c>
      <c r="M106" s="128" t="s">
        <v>262</v>
      </c>
      <c r="N106" s="129" t="s">
        <v>300</v>
      </c>
      <c r="O106" s="508">
        <v>2</v>
      </c>
      <c r="P106" s="483">
        <v>3</v>
      </c>
      <c r="Q106" s="485" t="s">
        <v>264</v>
      </c>
      <c r="R106" s="485"/>
      <c r="S106" s="417"/>
      <c r="T106" s="417"/>
      <c r="U106" s="417"/>
      <c r="V106" s="417"/>
      <c r="W106" s="417" t="s">
        <v>264</v>
      </c>
      <c r="X106" s="417"/>
      <c r="Y106" s="399"/>
      <c r="Z106" s="411"/>
    </row>
    <row r="107" spans="2:26" ht="144">
      <c r="B107" s="121">
        <v>65</v>
      </c>
      <c r="C107" s="122" t="s">
        <v>259</v>
      </c>
      <c r="D107" s="437">
        <v>2</v>
      </c>
      <c r="E107" s="123">
        <v>45944</v>
      </c>
      <c r="F107" s="124">
        <v>0.375</v>
      </c>
      <c r="G107" s="123">
        <v>45944</v>
      </c>
      <c r="H107" s="124">
        <v>0.68055555555555558</v>
      </c>
      <c r="I107" s="125">
        <v>0.30555555555555558</v>
      </c>
      <c r="J107" s="99">
        <v>0.61111111111111116</v>
      </c>
      <c r="K107" s="126" t="s">
        <v>301</v>
      </c>
      <c r="L107" s="127" t="s">
        <v>302</v>
      </c>
      <c r="M107" s="128" t="s">
        <v>262</v>
      </c>
      <c r="N107" s="129" t="s">
        <v>303</v>
      </c>
      <c r="O107" s="508">
        <v>2</v>
      </c>
      <c r="P107" s="483">
        <v>2</v>
      </c>
      <c r="Q107" s="483">
        <v>4</v>
      </c>
      <c r="R107" s="485"/>
      <c r="S107" s="417" t="s">
        <v>264</v>
      </c>
      <c r="T107" s="417"/>
      <c r="U107" s="417"/>
      <c r="V107" s="417"/>
      <c r="W107" s="417" t="s">
        <v>264</v>
      </c>
      <c r="X107" s="417"/>
      <c r="Y107" s="399"/>
      <c r="Z107" s="411"/>
    </row>
    <row r="108" spans="2:26" ht="120">
      <c r="B108" s="121">
        <v>66</v>
      </c>
      <c r="C108" s="122" t="s">
        <v>259</v>
      </c>
      <c r="D108" s="437">
        <v>2</v>
      </c>
      <c r="E108" s="123">
        <v>45945</v>
      </c>
      <c r="F108" s="124">
        <v>0.375</v>
      </c>
      <c r="G108" s="123">
        <v>45945</v>
      </c>
      <c r="H108" s="124">
        <v>0.6875</v>
      </c>
      <c r="I108" s="125">
        <v>0.3125</v>
      </c>
      <c r="J108" s="99">
        <v>0.625</v>
      </c>
      <c r="K108" s="126" t="s">
        <v>304</v>
      </c>
      <c r="L108" s="127" t="s">
        <v>305</v>
      </c>
      <c r="M108" s="128" t="s">
        <v>262</v>
      </c>
      <c r="N108" s="129" t="s">
        <v>306</v>
      </c>
      <c r="O108" s="508">
        <v>2</v>
      </c>
      <c r="P108" s="483" t="s">
        <v>264</v>
      </c>
      <c r="Q108" s="483">
        <v>2</v>
      </c>
      <c r="R108" s="483">
        <v>12</v>
      </c>
      <c r="S108" s="417"/>
      <c r="T108" s="417" t="s">
        <v>264</v>
      </c>
      <c r="U108" s="417" t="s">
        <v>264</v>
      </c>
      <c r="V108" s="417"/>
      <c r="W108" s="417" t="s">
        <v>264</v>
      </c>
      <c r="X108" s="417"/>
      <c r="Y108" s="399"/>
      <c r="Z108" s="411"/>
    </row>
    <row r="109" spans="2:26" ht="168">
      <c r="B109" s="121">
        <v>67</v>
      </c>
      <c r="C109" s="122" t="s">
        <v>259</v>
      </c>
      <c r="D109" s="437">
        <v>2</v>
      </c>
      <c r="E109" s="123">
        <v>45946</v>
      </c>
      <c r="F109" s="124">
        <v>0.375</v>
      </c>
      <c r="G109" s="123">
        <v>45946</v>
      </c>
      <c r="H109" s="124">
        <v>0.68055555555555558</v>
      </c>
      <c r="I109" s="125">
        <v>0.30555555555555558</v>
      </c>
      <c r="J109" s="99">
        <v>0.61111111111111116</v>
      </c>
      <c r="K109" s="126">
        <v>102</v>
      </c>
      <c r="L109" s="127">
        <v>206</v>
      </c>
      <c r="M109" s="128" t="s">
        <v>262</v>
      </c>
      <c r="N109" s="129" t="s">
        <v>307</v>
      </c>
      <c r="O109" s="512">
        <v>1</v>
      </c>
      <c r="P109" s="483">
        <v>14</v>
      </c>
      <c r="Q109" s="483">
        <v>1</v>
      </c>
      <c r="R109" s="483">
        <v>1</v>
      </c>
      <c r="S109" s="417"/>
      <c r="T109" s="417" t="s">
        <v>264</v>
      </c>
      <c r="U109" s="417" t="s">
        <v>264</v>
      </c>
      <c r="V109" s="417"/>
      <c r="W109" s="417" t="s">
        <v>264</v>
      </c>
      <c r="X109" s="417"/>
      <c r="Y109" s="399"/>
      <c r="Z109" s="411"/>
    </row>
    <row r="110" spans="2:26" ht="56.25" customHeight="1">
      <c r="B110" s="121"/>
      <c r="C110" s="122"/>
      <c r="D110" s="474"/>
      <c r="E110" s="123"/>
      <c r="F110" s="124"/>
      <c r="G110" s="123"/>
      <c r="H110" s="124"/>
      <c r="I110" s="125"/>
      <c r="J110" s="99"/>
      <c r="K110" s="126"/>
      <c r="L110" s="127"/>
      <c r="M110" s="128"/>
      <c r="N110" s="129"/>
      <c r="O110" s="471"/>
      <c r="P110" s="480"/>
      <c r="Q110" s="480"/>
      <c r="R110" s="480"/>
      <c r="S110" s="480"/>
      <c r="T110" s="476"/>
      <c r="U110" s="417"/>
      <c r="V110" s="417"/>
      <c r="W110" s="417"/>
      <c r="X110" s="400"/>
      <c r="Y110" s="399"/>
      <c r="Z110" s="411"/>
    </row>
    <row r="111" spans="2:26" ht="56.25" customHeight="1">
      <c r="B111" s="121"/>
      <c r="C111" s="122"/>
      <c r="D111" s="474"/>
      <c r="E111" s="123"/>
      <c r="F111" s="124"/>
      <c r="G111" s="123"/>
      <c r="H111" s="124"/>
      <c r="I111" s="125"/>
      <c r="J111" s="99"/>
      <c r="K111" s="126"/>
      <c r="L111" s="127"/>
      <c r="M111" s="128"/>
      <c r="N111" s="129"/>
      <c r="O111" s="471"/>
      <c r="P111" s="480"/>
      <c r="Q111" s="480"/>
      <c r="R111" s="480"/>
      <c r="S111" s="480"/>
      <c r="T111" s="476"/>
      <c r="U111" s="417"/>
      <c r="V111" s="417"/>
      <c r="W111" s="417"/>
      <c r="X111" s="400"/>
      <c r="Y111" s="399"/>
      <c r="Z111" s="411"/>
    </row>
    <row r="112" spans="2:26" ht="56.25" customHeight="1">
      <c r="B112" s="121"/>
      <c r="C112" s="122"/>
      <c r="D112" s="474"/>
      <c r="E112" s="123"/>
      <c r="F112" s="124"/>
      <c r="G112" s="123"/>
      <c r="H112" s="124"/>
      <c r="I112" s="125"/>
      <c r="J112" s="99"/>
      <c r="K112" s="126"/>
      <c r="L112" s="127"/>
      <c r="M112" s="128"/>
      <c r="N112" s="129"/>
      <c r="O112" s="471"/>
      <c r="P112" s="480"/>
      <c r="Q112" s="480"/>
      <c r="R112" s="480"/>
      <c r="S112" s="480"/>
      <c r="T112" s="476"/>
      <c r="U112" s="417"/>
      <c r="V112" s="417"/>
      <c r="W112" s="417"/>
      <c r="X112" s="400"/>
      <c r="Y112" s="399"/>
      <c r="Z112" s="411"/>
    </row>
    <row r="113" spans="2:27" ht="56.25" customHeight="1" thickBot="1">
      <c r="B113" s="121"/>
      <c r="C113" s="122"/>
      <c r="D113" s="437"/>
      <c r="E113" s="123"/>
      <c r="F113" s="124"/>
      <c r="G113" s="123"/>
      <c r="H113" s="124"/>
      <c r="I113" s="125"/>
      <c r="J113" s="99"/>
      <c r="K113" s="126"/>
      <c r="L113" s="127"/>
      <c r="M113" s="128"/>
      <c r="N113" s="129"/>
      <c r="O113" s="435"/>
      <c r="P113" s="476"/>
      <c r="Q113" s="476"/>
      <c r="R113" s="476"/>
      <c r="S113" s="417"/>
      <c r="T113" s="417"/>
      <c r="U113" s="417"/>
      <c r="V113" s="417"/>
      <c r="W113" s="417"/>
      <c r="X113" s="417"/>
      <c r="Y113" s="399"/>
      <c r="Z113" s="411"/>
    </row>
    <row r="114" spans="2:27" ht="95.1" customHeight="1" thickBot="1">
      <c r="B114" s="584" t="s">
        <v>209</v>
      </c>
      <c r="C114" s="585"/>
      <c r="D114" s="473">
        <f>SUM(D97:D109)</f>
        <v>16</v>
      </c>
      <c r="E114" s="342"/>
      <c r="F114" s="343"/>
      <c r="G114" s="342"/>
      <c r="H114" s="343"/>
      <c r="I114" s="500"/>
      <c r="J114" s="412"/>
      <c r="K114" s="344"/>
      <c r="L114" s="345"/>
      <c r="M114" s="344"/>
      <c r="N114" s="346"/>
      <c r="O114" s="510">
        <f>SUM(O97:O113)</f>
        <v>13</v>
      </c>
      <c r="P114" s="517">
        <f>SUM(P97:P113)</f>
        <v>31</v>
      </c>
      <c r="Q114" s="517">
        <f>SUM(Q97:Q113)</f>
        <v>8</v>
      </c>
      <c r="R114" s="517">
        <f>SUM(R97:R113)</f>
        <v>13</v>
      </c>
      <c r="S114" s="415"/>
      <c r="T114" s="413"/>
      <c r="U114" s="413"/>
      <c r="V114" s="413"/>
      <c r="W114" s="347"/>
      <c r="X114" s="347"/>
      <c r="Y114" s="347"/>
      <c r="Z114" s="499"/>
      <c r="AA114" s="130"/>
    </row>
    <row r="115" spans="2:27" ht="66.75" thickBot="1">
      <c r="O115" s="506">
        <f>O114-D114</f>
        <v>-3</v>
      </c>
      <c r="P115" s="503" t="s">
        <v>312</v>
      </c>
    </row>
  </sheetData>
  <mergeCells count="19">
    <mergeCell ref="B64:C64"/>
    <mergeCell ref="B50:C50"/>
    <mergeCell ref="B29:C29"/>
    <mergeCell ref="B114:C114"/>
    <mergeCell ref="B18:C18"/>
    <mergeCell ref="B80:C80"/>
    <mergeCell ref="B93:C93"/>
    <mergeCell ref="Z3:Z4"/>
    <mergeCell ref="B3:B4"/>
    <mergeCell ref="C3:C4"/>
    <mergeCell ref="D3:D4"/>
    <mergeCell ref="E3:F3"/>
    <mergeCell ref="G3:H3"/>
    <mergeCell ref="K3:K4"/>
    <mergeCell ref="P3:Y3"/>
    <mergeCell ref="L3:L4"/>
    <mergeCell ref="M3:M4"/>
    <mergeCell ref="N3:N4"/>
    <mergeCell ref="O3:O4"/>
  </mergeCells>
  <phoneticPr fontId="9" type="noConversion"/>
  <pageMargins left="0.7" right="0.7" top="0.75" bottom="0.75" header="0.3" footer="0.3"/>
  <pageSetup paperSize="9" scale="36" orientation="landscape"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갑지</vt:lpstr>
      <vt:lpstr>내역서(표준단가)-6차</vt:lpstr>
      <vt:lpstr>관리소 접수 입력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2025-04-07T00:46:07Z</cp:lastPrinted>
  <dcterms:created xsi:type="dcterms:W3CDTF">2020-09-15T23:52:51Z</dcterms:created>
  <dcterms:modified xsi:type="dcterms:W3CDTF">2025-10-22T02:01:12Z</dcterms:modified>
</cp:coreProperties>
</file>
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05\03 당사안\"/>
    </mc:Choice>
  </mc:AlternateContent>
  <xr:revisionPtr revIDLastSave="0" documentId="13_ncr:1_{794C9388-7ED1-4FC8-BBB9-D17ACDAC2CD0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초원 23평 도면" sheetId="11" r:id="rId5"/>
  </sheets>
  <definedNames>
    <definedName name="_xlnm.Print_Area" localSheetId="3">#REF!</definedName>
    <definedName name="_xlnm.Print_Area">#REF!</definedName>
    <definedName name="_xlnm.Print_Titles" localSheetId="3">#REF!,#REF!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0" l="1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U8" i="4" l="1"/>
  <c r="S8" i="4"/>
  <c r="Q8" i="4"/>
  <c r="O8" i="4"/>
  <c r="A8" i="4"/>
  <c r="A5" i="10" s="1"/>
  <c r="U6" i="4"/>
  <c r="S6" i="4"/>
  <c r="Q6" i="4"/>
  <c r="O6" i="4"/>
  <c r="A6" i="4"/>
  <c r="A3" i="10" s="1"/>
  <c r="V6" i="4" l="1"/>
  <c r="V8" i="4"/>
  <c r="L18" i="9" l="1"/>
  <c r="J18" i="9"/>
  <c r="D18" i="9"/>
  <c r="H17" i="9"/>
  <c r="F17" i="9"/>
  <c r="H16" i="9"/>
  <c r="F16" i="9"/>
  <c r="H15" i="9"/>
  <c r="F15" i="9"/>
  <c r="H14" i="9"/>
  <c r="F14" i="9"/>
  <c r="L13" i="9"/>
  <c r="L19" i="9" s="1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N15" i="9" l="1"/>
  <c r="N17" i="9"/>
  <c r="J19" i="9"/>
  <c r="N14" i="9"/>
  <c r="N9" i="9"/>
  <c r="N6" i="9"/>
  <c r="N10" i="9"/>
  <c r="H18" i="9"/>
  <c r="N11" i="9"/>
  <c r="F13" i="9"/>
  <c r="N16" i="9"/>
  <c r="H13" i="9"/>
  <c r="N8" i="9"/>
  <c r="N7" i="9"/>
  <c r="N12" i="9"/>
  <c r="N5" i="9"/>
  <c r="F18" i="9"/>
  <c r="F19" i="9" l="1"/>
  <c r="N18" i="9"/>
  <c r="H19" i="9"/>
  <c r="F17" i="5" s="1"/>
  <c r="N13" i="9"/>
  <c r="N19" i="9" l="1"/>
  <c r="A7" i="4"/>
  <c r="A4" i="10" s="1"/>
  <c r="O7" i="4"/>
  <c r="Q7" i="4"/>
  <c r="S7" i="4"/>
  <c r="U7" i="4"/>
  <c r="V7" i="4" l="1"/>
  <c r="A9" i="4" l="1"/>
  <c r="A6" i="10" s="1"/>
  <c r="U9" i="4" l="1"/>
  <c r="S9" i="4"/>
  <c r="Q9" i="4"/>
  <c r="Q11" i="4" s="1"/>
  <c r="O9" i="4"/>
  <c r="V9" i="4" l="1"/>
  <c r="U11" i="4" l="1"/>
  <c r="O11" i="4"/>
  <c r="F16" i="5" s="1"/>
  <c r="F26" i="5" s="1"/>
  <c r="S11" i="4"/>
  <c r="F18" i="5" l="1"/>
  <c r="V11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<sst xmlns="http://schemas.openxmlformats.org/spreadsheetml/2006/main" count="172" uniqueCount="131">
  <si>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</si>
  <si>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</si>
  <si>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</si>
  <si>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</si>
  <si>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</si>
  <si>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</si>
  <si>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</si>
  <si>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</si>
  <si>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</si>
  <si>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</si>
  <si>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</si>
  <si>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</si>
  <si>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</si>
  <si>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</si>
  <si>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</si>
  <si>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</si>
  <si>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</si>
  <si>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</si>
  <si>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</si>
  <si>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</si>
  <si>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</si>
  <si>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</si>
  <si>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</si>
  <si>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</si>
  <si>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</si>
  <si>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</si>
  <si>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</si>
  <si>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</si>
  <si>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</si>
  <si>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</si>
  <si>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</si>
  <si>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</si>
  <si>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</si>
  <si>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</si>
  <si>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</si>
  <si>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</si>
  <si>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</si>
  <si>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</si>
  <si>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</si>
  <si>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</si>
  <si>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</si>
  <si>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</si>
  <si>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</si>
  <si>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</si>
  <si>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</si>
  <si>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</si>
  <si>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</si>
  <si>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</si>
  <si>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</si>
  <si>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</si>
  <si>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</si>
  <si>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</si>
  <si>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</si>
  <si>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</si>
  <si>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</si>
  <si>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</si>
  <si>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</si>
  <si>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</si>
  <si>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</si>
  <si>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</si>
  <si>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</si>
  <si>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</si>
  <si>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</si>
  <si>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</si>
  <si>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</si>
  <si>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</si>
  <si>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</si>
  <si>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</si>
  <si>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</si>
  <si>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</si>
  <si>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</si>
  <si>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</si>
  <si>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</si>
  <si>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</si>
  <si>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</si>
  <si>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</si>
  <si>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</si>
  <si>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</si>
  <si>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</si>
  <si>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</si>
  <si>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</si>
  <si>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</si>
  <si>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</si>
  <si>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</si>
  <si>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</si>
  <si>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</si>
  <si>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</si>
  <si>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</si>
  <si>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</si>
  <si>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</si>
  <si>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</si>
  <si>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</si>
  <si>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</si>
  <si>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</si>
  <si>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</si>
  <si>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</si>
  <si>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</si>
  <si>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</si>
  <si>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</si>
  <si>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</si>
  <si>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</si>
  <si>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</si>
  <si>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</si>
  <si>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</si>
  <si>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</si>
  <si>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</si>
  <si>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</si>
  <si>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합 계</t>
    <phoneticPr fontId="5" type="noConversion"/>
  </si>
  <si>
    <t>2.바닥재</t>
    <phoneticPr fontId="5" type="noConversion"/>
  </si>
  <si>
    <t> (재료비+노무비)*3.11%</t>
    <phoneticPr fontId="13" type="noConversion"/>
  </si>
  <si>
    <r>
      <rPr>
        <sz val="10"/>
        <color rgb="FFFF0000"/>
        <rFont val="맑은 고딕"/>
        <family val="3"/>
        <charset val="129"/>
        <scheme val="minor"/>
      </rPr>
      <t>일당 시공량-벽 46㎡</t>
    </r>
    <r>
      <rPr>
        <sz val="10"/>
        <rFont val="맑은 고딕"/>
        <family val="2"/>
        <scheme val="minor"/>
      </rPr>
      <t>, 적산정보 500p 참조,</t>
    </r>
    <r>
      <rPr>
        <sz val="10"/>
        <color rgb="FFFF0000"/>
        <rFont val="맑은 고딕"/>
        <family val="3"/>
        <charset val="129"/>
        <scheme val="minor"/>
      </rPr>
      <t>시공총량122</t>
    </r>
    <r>
      <rPr>
        <sz val="10"/>
        <rFont val="맑은 고딕"/>
        <family val="2"/>
        <scheme val="minor"/>
      </rPr>
      <t>/</t>
    </r>
    <r>
      <rPr>
        <sz val="10"/>
        <color rgb="FFFF0000"/>
        <rFont val="맑은 고딕"/>
        <family val="3"/>
        <charset val="129"/>
        <scheme val="minor"/>
      </rPr>
      <t>일당46</t>
    </r>
    <r>
      <rPr>
        <sz val="10"/>
        <rFont val="맑은 고딕"/>
        <family val="2"/>
        <scheme val="minor"/>
      </rPr>
      <t xml:space="preserve">=2.652, </t>
    </r>
    <phoneticPr fontId="5" type="noConversion"/>
  </si>
  <si>
    <r>
      <rPr>
        <sz val="10"/>
        <color rgb="FFFF0000"/>
        <rFont val="맑은 고딕"/>
        <family val="3"/>
        <charset val="129"/>
        <scheme val="minor"/>
      </rPr>
      <t>일당 시공량-천장 35㎡</t>
    </r>
    <r>
      <rPr>
        <sz val="10"/>
        <rFont val="맑은 고딕"/>
        <family val="2"/>
        <scheme val="minor"/>
      </rPr>
      <t xml:space="preserve"> 적산정보 500p 참조, </t>
    </r>
    <r>
      <rPr>
        <sz val="10"/>
        <color rgb="FFFF0000"/>
        <rFont val="맑은 고딕"/>
        <family val="3"/>
        <charset val="129"/>
        <scheme val="minor"/>
      </rPr>
      <t>시공총량62</t>
    </r>
    <r>
      <rPr>
        <sz val="10"/>
        <rFont val="맑은 고딕"/>
        <family val="2"/>
        <scheme val="minor"/>
      </rPr>
      <t>/</t>
    </r>
    <r>
      <rPr>
        <sz val="10"/>
        <color rgb="FFFF0000"/>
        <rFont val="맑은 고딕"/>
        <family val="3"/>
        <charset val="129"/>
        <scheme val="minor"/>
      </rPr>
      <t>일당35</t>
    </r>
    <r>
      <rPr>
        <sz val="10"/>
        <rFont val="맑은 고딕"/>
        <family val="2"/>
        <scheme val="minor"/>
      </rPr>
      <t xml:space="preserve">=1.771, </t>
    </r>
    <phoneticPr fontId="5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</si>
  <si>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</si>
  <si>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</si>
  <si>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</si>
  <si>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</si>
  <si>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</si>
  <si>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</si>
  <si>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구분</t>
  </si>
  <si>
    <t>표준단가</t>
  </si>
  <si>
    <t>표준품셈</t>
  </si>
  <si>
    <t>물가정보</t>
  </si>
  <si>
    <t>노임단가</t>
  </si>
  <si>
    <r>
      <rPr>
        <sz val="10"/>
        <color rgb="FFFF0000"/>
        <rFont val="맑은 고딕"/>
        <family val="3"/>
        <charset val="129"/>
        <scheme val="minor"/>
      </rPr>
      <t>일당 시공량-61㎡</t>
    </r>
    <r>
      <rPr>
        <sz val="10"/>
        <rFont val="맑은 고딕"/>
        <family val="2"/>
        <scheme val="minor"/>
      </rPr>
      <t xml:space="preserve"> 적산정보 500p 참조,</t>
    </r>
    <r>
      <rPr>
        <sz val="10"/>
        <color rgb="FFFF0000"/>
        <rFont val="맑은 고딕"/>
        <family val="3"/>
        <charset val="129"/>
        <scheme val="minor"/>
      </rPr>
      <t>시공총량42.4</t>
    </r>
    <r>
      <rPr>
        <sz val="10"/>
        <rFont val="맑은 고딕"/>
        <family val="2"/>
        <scheme val="minor"/>
      </rPr>
      <t>/</t>
    </r>
    <r>
      <rPr>
        <sz val="10"/>
        <color rgb="FFFF0000"/>
        <rFont val="맑은 고딕"/>
        <family val="3"/>
        <charset val="129"/>
        <scheme val="minor"/>
      </rPr>
      <t>일당61=0.8443</t>
    </r>
    <phoneticPr fontId="5" type="noConversion"/>
  </si>
  <si>
    <t xml:space="preserve">                              성명:                         근무부서:                         전화번호:                        사택명:</t>
    <phoneticPr fontId="13" type="noConversion"/>
  </si>
  <si>
    <t xml:space="preserve">   *외부 임차 사택공사와 관련하여, 견적서의 금액 \3,215,000원(내역서+부대비용)을 확인 후, 공사 하였기에 서명날인 합니다.</t>
    <phoneticPr fontId="13" type="noConversion"/>
  </si>
  <si>
    <t>R/L</t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</si>
  <si>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indexed="8"/>
        <rFont val="Malgun Gothic"/>
        <family val="3"/>
        <charset val="129"/>
      </rPr>
      <t>, 소요량184/16.51=11.144R/L</t>
    </r>
    <phoneticPr fontId="5" type="noConversion"/>
  </si>
  <si>
    <t xml:space="preserve"> 견적일 : 2025 년  03월  05일</t>
    <phoneticPr fontId="11" type="noConversion"/>
  </si>
  <si>
    <t xml:space="preserve"> 공사명 : 임차사택 수장공사 안병선(Cell 요소설계 기술팀)</t>
    <phoneticPr fontId="11" type="noConversion"/>
  </si>
  <si>
    <t>임차사택 수장공사 안병선(Cell 요소설계 기술팀)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</si>
</sst>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#,###,###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"/>
    <numFmt numFmtId="189" formatCode="0.000_ "/>
    <numFmt numFmtId="190" formatCode="#,##0.0_);[Red]\(#,##0.0\)"/>
    <numFmt numFmtId="191" formatCode="0.00_);[Red]\(0.00\)"/>
  </numFmts>
  <fonts count="4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9"/>
      <name val="LG스마트체 Regular"/>
      <family val="3"/>
      <charset val="129"/>
    </font>
    <font>
      <sz val="10"/>
      <color indexed="8"/>
      <name val="맑은 고딕"/>
      <family val="2"/>
      <scheme val="minor"/>
    </font>
    <font>
      <sz val="10"/>
      <name val="맑은 고딕"/>
      <family val="2"/>
      <scheme val="minor"/>
    </font>
    <font>
      <sz val="10"/>
      <name val="LG스마트체 Regular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Segoe UI Symbol"/>
      <family val="3"/>
    </font>
    <font>
      <sz val="10"/>
      <color rgb="FF000000"/>
      <name val="Malgun Gothic"/>
      <family val="3"/>
      <charset val="129"/>
    </font>
    <font>
      <sz val="11"/>
      <color rgb="FF000000"/>
      <name val="맑은 고딕"/>
      <family val="2"/>
      <scheme val="minor"/>
    </font>
    <font>
      <b/>
      <sz val="12"/>
      <name val="굴림"/>
      <family val="3"/>
      <charset val="129"/>
    </font>
    <font>
      <sz val="12"/>
      <name val="LG스마트체 Regular"/>
      <family val="3"/>
      <charset val="129"/>
    </font>
    <font>
      <sz val="12"/>
      <color theme="1"/>
      <name val="LG스마트체 Regular"/>
      <family val="3"/>
      <charset val="129"/>
    </font>
    <font>
      <b/>
      <sz val="12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96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1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2" fillId="0" borderId="6" xfId="6" applyFont="1" applyBorder="1" applyAlignment="1">
      <alignment vertical="center"/>
    </xf>
    <xf numFmtId="179" fontId="21" fillId="0" borderId="6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3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3" fillId="0" borderId="11" xfId="6" applyFont="1" applyBorder="1" applyAlignment="1">
      <alignment vertical="center"/>
    </xf>
    <xf numFmtId="1" fontId="23" fillId="0" borderId="11" xfId="6" applyNumberFormat="1" applyFont="1" applyBorder="1" applyAlignment="1">
      <alignment horizontal="center" vertical="center"/>
    </xf>
    <xf numFmtId="180" fontId="23" fillId="0" borderId="11" xfId="7" applyFont="1" applyBorder="1" applyAlignment="1">
      <alignment horizontal="right" vertical="center"/>
    </xf>
    <xf numFmtId="0" fontId="23" fillId="0" borderId="12" xfId="6" applyFont="1" applyBorder="1" applyAlignment="1">
      <alignment vertical="center"/>
    </xf>
    <xf numFmtId="0" fontId="23" fillId="0" borderId="13" xfId="6" applyFont="1" applyBorder="1" applyAlignment="1">
      <alignment horizontal="center" vertical="center"/>
    </xf>
    <xf numFmtId="0" fontId="23" fillId="0" borderId="14" xfId="6" applyFont="1" applyBorder="1" applyAlignment="1">
      <alignment horizontal="center" vertical="center"/>
    </xf>
    <xf numFmtId="0" fontId="23" fillId="0" borderId="14" xfId="3" applyFont="1" applyBorder="1" applyAlignment="1">
      <alignment horizontal="center" vertical="center"/>
    </xf>
    <xf numFmtId="1" fontId="23" fillId="0" borderId="14" xfId="6" applyNumberFormat="1" applyFont="1" applyBorder="1" applyAlignment="1">
      <alignment horizontal="center" vertical="center"/>
    </xf>
    <xf numFmtId="180" fontId="23" fillId="0" borderId="14" xfId="7" applyFont="1" applyBorder="1" applyAlignment="1">
      <alignment horizontal="right" vertical="center"/>
    </xf>
    <xf numFmtId="0" fontId="23" fillId="0" borderId="15" xfId="6" quotePrefix="1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3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3" fillId="0" borderId="14" xfId="8" applyFont="1" applyBorder="1" applyAlignment="1">
      <alignment horizontal="center" vertical="center"/>
    </xf>
    <xf numFmtId="178" fontId="23" fillId="0" borderId="14" xfId="5" applyFont="1" applyFill="1" applyBorder="1" applyAlignment="1">
      <alignment horizontal="right" vertical="center"/>
    </xf>
    <xf numFmtId="0" fontId="23" fillId="4" borderId="14" xfId="8" applyFont="1" applyFill="1" applyBorder="1" applyAlignment="1">
      <alignment horizontal="center" vertical="center"/>
    </xf>
    <xf numFmtId="0" fontId="23" fillId="4" borderId="14" xfId="6" applyFont="1" applyFill="1" applyBorder="1" applyAlignment="1">
      <alignment vertical="center"/>
    </xf>
    <xf numFmtId="0" fontId="23" fillId="4" borderId="14" xfId="6" applyFont="1" applyFill="1" applyBorder="1" applyAlignment="1">
      <alignment horizontal="center" vertical="center"/>
    </xf>
    <xf numFmtId="178" fontId="23" fillId="4" borderId="14" xfId="5" applyFont="1" applyFill="1" applyBorder="1" applyAlignment="1">
      <alignment horizontal="right" vertical="center"/>
    </xf>
    <xf numFmtId="0" fontId="23" fillId="4" borderId="15" xfId="6" applyFont="1" applyFill="1" applyBorder="1" applyAlignment="1">
      <alignment vertical="center"/>
    </xf>
    <xf numFmtId="0" fontId="23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3" fillId="0" borderId="14" xfId="3" applyNumberFormat="1" applyFont="1" applyBorder="1" applyAlignment="1">
      <alignment horizontal="right" vertical="center"/>
    </xf>
    <xf numFmtId="1" fontId="23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3" fillId="0" borderId="14" xfId="3" applyFont="1" applyBorder="1" applyAlignment="1">
      <alignment vertical="center"/>
    </xf>
    <xf numFmtId="180" fontId="23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3" fillId="0" borderId="18" xfId="6" applyFont="1" applyBorder="1" applyAlignment="1">
      <alignment vertical="center"/>
    </xf>
    <xf numFmtId="0" fontId="23" fillId="0" borderId="18" xfId="6" applyFont="1" applyBorder="1" applyAlignment="1">
      <alignment horizontal="right" vertical="center"/>
    </xf>
    <xf numFmtId="0" fontId="23" fillId="0" borderId="19" xfId="6" applyFont="1" applyBorder="1" applyAlignment="1">
      <alignment vertical="center"/>
    </xf>
    <xf numFmtId="0" fontId="12" fillId="0" borderId="0" xfId="10" applyFont="1"/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1" fontId="24" fillId="2" borderId="0" xfId="2" applyNumberFormat="1" applyFont="1" applyFill="1" applyAlignment="1">
      <alignment horizontal="center" vertical="center"/>
    </xf>
    <xf numFmtId="0" fontId="24" fillId="8" borderId="23" xfId="0" applyFont="1" applyFill="1" applyBorder="1">
      <alignment vertical="center"/>
    </xf>
    <xf numFmtId="0" fontId="24" fillId="8" borderId="20" xfId="0" applyFont="1" applyFill="1" applyBorder="1">
      <alignment vertical="center"/>
    </xf>
    <xf numFmtId="0" fontId="24" fillId="3" borderId="21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177" fontId="24" fillId="3" borderId="2" xfId="4" applyFont="1" applyFill="1" applyBorder="1" applyAlignment="1">
      <alignment horizontal="center" vertical="center"/>
    </xf>
    <xf numFmtId="178" fontId="24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0" fontId="19" fillId="0" borderId="2" xfId="0" applyFont="1" applyBorder="1">
      <alignment vertical="center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/>
    </xf>
    <xf numFmtId="0" fontId="25" fillId="0" borderId="0" xfId="0" applyFont="1">
      <alignment vertical="center"/>
    </xf>
    <xf numFmtId="0" fontId="24" fillId="4" borderId="0" xfId="0" applyFont="1" applyFill="1">
      <alignment vertical="center"/>
    </xf>
    <xf numFmtId="0" fontId="21" fillId="0" borderId="0" xfId="0" applyFont="1">
      <alignment vertical="center"/>
    </xf>
    <xf numFmtId="177" fontId="25" fillId="0" borderId="30" xfId="13" applyFont="1" applyBorder="1" applyAlignment="1">
      <alignment vertical="center"/>
    </xf>
    <xf numFmtId="0" fontId="21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>
      <alignment vertical="center"/>
    </xf>
    <xf numFmtId="49" fontId="19" fillId="4" borderId="2" xfId="0" applyNumberFormat="1" applyFont="1" applyFill="1" applyBorder="1" applyAlignment="1">
      <alignment vertical="center" wrapText="1"/>
    </xf>
    <xf numFmtId="0" fontId="24" fillId="3" borderId="2" xfId="0" applyFont="1" applyFill="1" applyBorder="1" applyAlignment="1">
      <alignment horizontal="center" vertical="center"/>
    </xf>
    <xf numFmtId="0" fontId="24" fillId="3" borderId="2" xfId="3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0" xfId="0" applyFont="1">
      <alignment vertical="center"/>
    </xf>
    <xf numFmtId="187" fontId="24" fillId="4" borderId="2" xfId="1" applyNumberFormat="1" applyFont="1" applyFill="1" applyBorder="1" applyAlignment="1">
      <alignment horizontal="center" vertical="center"/>
    </xf>
    <xf numFmtId="0" fontId="31" fillId="4" borderId="2" xfId="0" applyFont="1" applyFill="1" applyBorder="1" applyAlignment="1">
      <alignment horizontal="center" vertical="center" wrapText="1"/>
    </xf>
    <xf numFmtId="0" fontId="32" fillId="4" borderId="2" xfId="0" applyFont="1" applyFill="1" applyBorder="1">
      <alignment vertical="center"/>
    </xf>
    <xf numFmtId="187" fontId="32" fillId="4" borderId="2" xfId="1" applyNumberFormat="1" applyFont="1" applyFill="1" applyBorder="1" applyAlignment="1">
      <alignment horizontal="center" vertical="center"/>
    </xf>
    <xf numFmtId="183" fontId="26" fillId="4" borderId="2" xfId="0" applyNumberFormat="1" applyFont="1" applyFill="1" applyBorder="1">
      <alignment vertical="center"/>
    </xf>
    <xf numFmtId="183" fontId="31" fillId="4" borderId="2" xfId="0" applyNumberFormat="1" applyFont="1" applyFill="1" applyBorder="1" applyAlignment="1">
      <alignment vertical="center" wrapText="1"/>
    </xf>
    <xf numFmtId="182" fontId="32" fillId="4" borderId="2" xfId="0" applyNumberFormat="1" applyFont="1" applyFill="1" applyBorder="1" applyAlignment="1">
      <alignment horizontal="right" vertical="center" wrapText="1"/>
    </xf>
    <xf numFmtId="0" fontId="23" fillId="4" borderId="0" xfId="0" applyFont="1" applyFill="1">
      <alignment vertical="center"/>
    </xf>
    <xf numFmtId="0" fontId="23" fillId="4" borderId="0" xfId="0" applyFont="1" applyFill="1" applyAlignment="1">
      <alignment horizontal="center" vertical="center"/>
    </xf>
    <xf numFmtId="49" fontId="32" fillId="4" borderId="2" xfId="0" applyNumberFormat="1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187" fontId="32" fillId="0" borderId="2" xfId="1" applyNumberFormat="1" applyFont="1" applyFill="1" applyBorder="1" applyAlignment="1">
      <alignment horizontal="center" vertical="center"/>
    </xf>
    <xf numFmtId="177" fontId="27" fillId="0" borderId="0" xfId="0" applyNumberFormat="1" applyFont="1">
      <alignment vertical="center"/>
    </xf>
    <xf numFmtId="0" fontId="27" fillId="0" borderId="0" xfId="0" applyFont="1">
      <alignment vertical="center"/>
    </xf>
    <xf numFmtId="177" fontId="35" fillId="5" borderId="2" xfId="1" applyFont="1" applyFill="1" applyBorder="1" applyAlignment="1">
      <alignment horizontal="center" vertical="center" wrapText="1"/>
    </xf>
    <xf numFmtId="186" fontId="21" fillId="0" borderId="0" xfId="15" applyNumberFormat="1" applyFont="1">
      <alignment vertical="center"/>
    </xf>
    <xf numFmtId="0" fontId="36" fillId="0" borderId="14" xfId="3" applyFont="1" applyBorder="1" applyAlignment="1">
      <alignment horizontal="left" vertical="center"/>
    </xf>
    <xf numFmtId="178" fontId="36" fillId="0" borderId="14" xfId="5" applyFont="1" applyFill="1" applyBorder="1" applyAlignment="1">
      <alignment horizontal="right" vertical="center"/>
    </xf>
    <xf numFmtId="0" fontId="34" fillId="4" borderId="2" xfId="0" applyFont="1" applyFill="1" applyBorder="1" applyAlignment="1">
      <alignment horizontal="center" vertical="center" wrapText="1"/>
    </xf>
    <xf numFmtId="0" fontId="34" fillId="4" borderId="2" xfId="0" applyFont="1" applyFill="1" applyBorder="1" applyAlignment="1">
      <alignment vertical="center" wrapText="1"/>
    </xf>
    <xf numFmtId="0" fontId="37" fillId="6" borderId="2" xfId="0" applyFont="1" applyFill="1" applyBorder="1" applyAlignment="1">
      <alignment horizontal="center" vertical="center"/>
    </xf>
    <xf numFmtId="177" fontId="32" fillId="0" borderId="2" xfId="1" applyFont="1" applyFill="1" applyBorder="1" applyAlignment="1">
      <alignment horizontal="center" vertical="center" wrapText="1"/>
    </xf>
    <xf numFmtId="49" fontId="37" fillId="5" borderId="2" xfId="0" applyNumberFormat="1" applyFont="1" applyFill="1" applyBorder="1" applyAlignment="1">
      <alignment horizontal="center" vertical="center"/>
    </xf>
    <xf numFmtId="177" fontId="39" fillId="4" borderId="2" xfId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0" fontId="40" fillId="0" borderId="0" xfId="0" applyFont="1">
      <alignment vertical="center"/>
    </xf>
    <xf numFmtId="188" fontId="19" fillId="6" borderId="37" xfId="1" applyNumberFormat="1" applyFont="1" applyFill="1" applyBorder="1" applyAlignment="1">
      <alignment horizontal="center" vertical="center"/>
    </xf>
    <xf numFmtId="188" fontId="19" fillId="0" borderId="37" xfId="1" applyNumberFormat="1" applyFont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88" fontId="21" fillId="0" borderId="0" xfId="1" applyNumberFormat="1" applyFont="1" applyAlignment="1">
      <alignment horizontal="center" vertical="center"/>
    </xf>
    <xf numFmtId="187" fontId="26" fillId="4" borderId="2" xfId="1" applyNumberFormat="1" applyFont="1" applyFill="1" applyBorder="1" applyAlignment="1">
      <alignment horizontal="center" vertical="center"/>
    </xf>
    <xf numFmtId="186" fontId="2" fillId="0" borderId="0" xfId="15" applyNumberFormat="1">
      <alignment vertical="center"/>
    </xf>
    <xf numFmtId="185" fontId="23" fillId="0" borderId="30" xfId="13" applyNumberFormat="1" applyFont="1" applyBorder="1" applyAlignment="1">
      <alignment horizontal="center" vertical="center"/>
    </xf>
    <xf numFmtId="177" fontId="23" fillId="0" borderId="30" xfId="13" applyFont="1" applyBorder="1" applyAlignment="1">
      <alignment horizontal="center" vertical="center"/>
    </xf>
    <xf numFmtId="186" fontId="23" fillId="0" borderId="30" xfId="13" applyNumberFormat="1" applyFont="1" applyFill="1" applyBorder="1" applyAlignment="1">
      <alignment horizontal="center" vertical="center"/>
    </xf>
    <xf numFmtId="183" fontId="42" fillId="4" borderId="30" xfId="13" applyNumberFormat="1" applyFont="1" applyFill="1" applyBorder="1" applyAlignment="1">
      <alignment horizontal="right" vertical="center" wrapText="1"/>
    </xf>
    <xf numFmtId="183" fontId="43" fillId="4" borderId="30" xfId="13" applyNumberFormat="1" applyFont="1" applyFill="1" applyBorder="1" applyAlignment="1">
      <alignment horizontal="right" vertical="center" wrapText="1"/>
    </xf>
    <xf numFmtId="0" fontId="12" fillId="7" borderId="30" xfId="13" applyNumberFormat="1" applyFont="1" applyFill="1" applyBorder="1" applyAlignment="1">
      <alignment horizontal="center" vertical="center"/>
    </xf>
    <xf numFmtId="185" fontId="23" fillId="7" borderId="30" xfId="13" applyNumberFormat="1" applyFont="1" applyFill="1" applyBorder="1" applyAlignment="1">
      <alignment horizontal="center" vertical="center"/>
    </xf>
    <xf numFmtId="177" fontId="23" fillId="7" borderId="30" xfId="13" applyFont="1" applyFill="1" applyBorder="1" applyAlignment="1">
      <alignment horizontal="center" vertical="center"/>
    </xf>
    <xf numFmtId="186" fontId="12" fillId="7" borderId="30" xfId="13" applyNumberFormat="1" applyFont="1" applyFill="1" applyBorder="1" applyAlignment="1">
      <alignment horizontal="center" vertical="center"/>
    </xf>
    <xf numFmtId="183" fontId="12" fillId="7" borderId="30" xfId="13" applyNumberFormat="1" applyFont="1" applyFill="1" applyBorder="1" applyAlignment="1">
      <alignment horizontal="right" vertical="center" wrapText="1"/>
    </xf>
    <xf numFmtId="191" fontId="23" fillId="9" borderId="30" xfId="13" applyNumberFormat="1" applyFont="1" applyFill="1" applyBorder="1" applyAlignment="1">
      <alignment horizontal="center" vertical="center"/>
    </xf>
    <xf numFmtId="183" fontId="43" fillId="0" borderId="30" xfId="13" applyNumberFormat="1" applyFont="1" applyBorder="1" applyAlignment="1">
      <alignment horizontal="right" vertical="center" wrapText="1"/>
    </xf>
    <xf numFmtId="191" fontId="23" fillId="0" borderId="30" xfId="13" applyNumberFormat="1" applyFont="1" applyBorder="1" applyAlignment="1">
      <alignment horizontal="center" vertical="center" wrapText="1"/>
    </xf>
    <xf numFmtId="0" fontId="12" fillId="10" borderId="30" xfId="13" applyNumberFormat="1" applyFont="1" applyFill="1" applyBorder="1" applyAlignment="1">
      <alignment horizontal="center" vertical="center"/>
    </xf>
    <xf numFmtId="185" fontId="23" fillId="10" borderId="30" xfId="13" applyNumberFormat="1" applyFont="1" applyFill="1" applyBorder="1" applyAlignment="1">
      <alignment horizontal="center" vertical="center"/>
    </xf>
    <xf numFmtId="183" fontId="12" fillId="10" borderId="30" xfId="13" applyNumberFormat="1" applyFont="1" applyFill="1" applyBorder="1" applyAlignment="1">
      <alignment horizontal="center" vertical="center" wrapText="1"/>
    </xf>
    <xf numFmtId="190" fontId="12" fillId="10" borderId="30" xfId="13" applyNumberFormat="1" applyFont="1" applyFill="1" applyBorder="1" applyAlignment="1">
      <alignment horizontal="center" vertical="center" wrapText="1"/>
    </xf>
    <xf numFmtId="183" fontId="12" fillId="10" borderId="30" xfId="13" applyNumberFormat="1" applyFont="1" applyFill="1" applyBorder="1" applyAlignment="1">
      <alignment horizontal="right" vertical="center" wrapText="1"/>
    </xf>
    <xf numFmtId="183" fontId="44" fillId="10" borderId="30" xfId="13" applyNumberFormat="1" applyFont="1" applyFill="1" applyBorder="1" applyAlignment="1">
      <alignment horizontal="right" vertical="center" wrapText="1"/>
    </xf>
    <xf numFmtId="177" fontId="23" fillId="10" borderId="30" xfId="13" applyFont="1" applyFill="1" applyBorder="1" applyAlignment="1">
      <alignment horizontal="center" vertical="center"/>
    </xf>
    <xf numFmtId="186" fontId="23" fillId="10" borderId="30" xfId="13" applyNumberFormat="1" applyFont="1" applyFill="1" applyBorder="1" applyAlignment="1">
      <alignment horizontal="center" vertical="center"/>
    </xf>
    <xf numFmtId="183" fontId="23" fillId="10" borderId="30" xfId="13" applyNumberFormat="1" applyFont="1" applyFill="1" applyBorder="1" applyAlignment="1">
      <alignment vertical="center" wrapText="1"/>
    </xf>
    <xf numFmtId="183" fontId="12" fillId="10" borderId="30" xfId="13" applyNumberFormat="1" applyFont="1" applyFill="1" applyBorder="1" applyAlignment="1">
      <alignment vertical="center" wrapText="1"/>
    </xf>
    <xf numFmtId="0" fontId="12" fillId="0" borderId="30" xfId="15" quotePrefix="1" applyFont="1" applyBorder="1" applyAlignment="1">
      <alignment horizontal="center" vertical="center"/>
    </xf>
    <xf numFmtId="183" fontId="12" fillId="0" borderId="30" xfId="15" quotePrefix="1" applyNumberFormat="1" applyFont="1" applyBorder="1" applyAlignment="1">
      <alignment horizontal="center" vertical="center"/>
    </xf>
    <xf numFmtId="0" fontId="37" fillId="12" borderId="2" xfId="0" applyFont="1" applyFill="1" applyBorder="1" applyAlignment="1">
      <alignment horizontal="center" vertical="center"/>
    </xf>
    <xf numFmtId="0" fontId="37" fillId="12" borderId="2" xfId="0" applyFont="1" applyFill="1" applyBorder="1" applyAlignment="1">
      <alignment horizontal="center" vertical="center" wrapText="1"/>
    </xf>
    <xf numFmtId="0" fontId="37" fillId="4" borderId="0" xfId="0" applyFont="1" applyFill="1" applyAlignment="1">
      <alignment horizontal="center" vertical="center"/>
    </xf>
    <xf numFmtId="177" fontId="37" fillId="4" borderId="0" xfId="1" applyFont="1" applyFill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8" borderId="2" xfId="0" applyFont="1" applyFill="1" applyBorder="1" applyAlignment="1">
      <alignment horizontal="center" vertical="center"/>
    </xf>
    <xf numFmtId="177" fontId="24" fillId="3" borderId="20" xfId="4" applyFont="1" applyFill="1" applyBorder="1" applyAlignment="1">
      <alignment horizontal="center" vertical="center"/>
    </xf>
    <xf numFmtId="178" fontId="24" fillId="3" borderId="20" xfId="5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/>
    </xf>
    <xf numFmtId="0" fontId="24" fillId="3" borderId="2" xfId="3" applyFont="1" applyFill="1" applyBorder="1" applyAlignment="1">
      <alignment horizontal="center" vertical="center"/>
    </xf>
    <xf numFmtId="0" fontId="22" fillId="0" borderId="29" xfId="15" applyFont="1" applyBorder="1" applyAlignment="1">
      <alignment horizontal="center" vertical="center"/>
    </xf>
    <xf numFmtId="0" fontId="12" fillId="0" borderId="30" xfId="15" quotePrefix="1" applyFont="1" applyBorder="1" applyAlignment="1">
      <alignment horizontal="center" vertical="center"/>
    </xf>
    <xf numFmtId="0" fontId="12" fillId="0" borderId="31" xfId="15" quotePrefix="1" applyFont="1" applyBorder="1" applyAlignment="1">
      <alignment horizontal="center" vertical="center"/>
    </xf>
    <xf numFmtId="0" fontId="12" fillId="0" borderId="34" xfId="15" quotePrefix="1" applyFont="1" applyBorder="1" applyAlignment="1">
      <alignment horizontal="center" vertical="center"/>
    </xf>
    <xf numFmtId="0" fontId="12" fillId="0" borderId="30" xfId="15" applyFont="1" applyBorder="1" applyAlignment="1">
      <alignment horizontal="center" vertical="center"/>
    </xf>
    <xf numFmtId="0" fontId="12" fillId="0" borderId="32" xfId="15" quotePrefix="1" applyFont="1" applyBorder="1" applyAlignment="1">
      <alignment horizontal="center" vertical="center"/>
    </xf>
    <xf numFmtId="0" fontId="12" fillId="0" borderId="33" xfId="15" quotePrefix="1" applyFont="1" applyBorder="1" applyAlignment="1">
      <alignment horizontal="center" vertical="center"/>
    </xf>
    <xf numFmtId="0" fontId="12" fillId="0" borderId="31" xfId="15" applyFont="1" applyBorder="1" applyAlignment="1">
      <alignment horizontal="center" vertical="center"/>
    </xf>
    <xf numFmtId="0" fontId="12" fillId="0" borderId="34" xfId="15" applyFont="1" applyBorder="1" applyAlignment="1">
      <alignment horizontal="center" vertical="center"/>
    </xf>
    <xf numFmtId="0" fontId="23" fillId="9" borderId="35" xfId="13" applyNumberFormat="1" applyFont="1" applyFill="1" applyBorder="1" applyAlignment="1">
      <alignment vertical="center"/>
    </xf>
    <xf numFmtId="0" fontId="23" fillId="9" borderId="34" xfId="13" applyNumberFormat="1" applyFont="1" applyFill="1" applyBorder="1" applyAlignment="1">
      <alignment vertical="center"/>
    </xf>
    <xf numFmtId="183" fontId="23" fillId="0" borderId="35" xfId="13" applyNumberFormat="1" applyFont="1" applyBorder="1" applyAlignment="1">
      <alignment horizontal="center" vertical="center" wrapText="1"/>
    </xf>
    <xf numFmtId="183" fontId="23" fillId="0" borderId="34" xfId="13" applyNumberFormat="1" applyFont="1" applyBorder="1" applyAlignment="1">
      <alignment horizontal="center" vertical="center" wrapText="1"/>
    </xf>
    <xf numFmtId="184" fontId="28" fillId="10" borderId="32" xfId="13" applyNumberFormat="1" applyFont="1" applyFill="1" applyBorder="1" applyAlignment="1">
      <alignment vertical="center"/>
    </xf>
    <xf numFmtId="184" fontId="29" fillId="10" borderId="33" xfId="13" applyNumberFormat="1" applyFont="1" applyFill="1" applyBorder="1" applyAlignment="1">
      <alignment vertical="center"/>
    </xf>
    <xf numFmtId="0" fontId="41" fillId="0" borderId="0" xfId="13" applyNumberFormat="1" applyFont="1" applyBorder="1" applyAlignment="1">
      <alignment horizontal="center" vertical="center"/>
    </xf>
    <xf numFmtId="0" fontId="41" fillId="0" borderId="0" xfId="13" applyNumberFormat="1" applyFont="1" applyBorder="1" applyAlignment="1">
      <alignment vertical="center"/>
    </xf>
    <xf numFmtId="0" fontId="23" fillId="0" borderId="31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183" fontId="23" fillId="0" borderId="31" xfId="13" applyNumberFormat="1" applyFont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313257</xdr:colOff>
      <xdr:row>29</xdr:row>
      <xdr:rowOff>180193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84FBEA5-CEBF-43C9-B0EF-74DEF0C70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42857" cy="6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4" zoomScale="85" zoomScaleNormal="85" workbookViewId="0">
      <selection activeCell="A7" sqref="A7:C7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59" t="s">
        <v>1</v>
      </c>
      <c r="B2" s="159"/>
      <c r="C2" s="159"/>
      <c r="D2" s="159"/>
      <c r="E2" s="159"/>
      <c r="F2" s="159"/>
      <c r="G2" s="159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6" t="s">
        <v>43</v>
      </c>
      <c r="B5" s="7"/>
      <c r="C5" s="8"/>
      <c r="D5" s="5"/>
      <c r="E5" s="5"/>
      <c r="F5" s="9" t="s">
        <v>33</v>
      </c>
      <c r="G5" s="10" t="s">
        <v>47</v>
      </c>
      <c r="H5" s="5"/>
    </row>
    <row r="6" spans="1:9" ht="27" customHeight="1">
      <c r="A6" s="5"/>
      <c r="B6" s="5"/>
      <c r="C6" s="5"/>
      <c r="D6" s="5"/>
      <c r="E6" s="5"/>
      <c r="F6" s="11" t="s">
        <v>36</v>
      </c>
      <c r="G6" s="12" t="s">
        <v>48</v>
      </c>
      <c r="H6" s="5"/>
    </row>
    <row r="7" spans="1:9" ht="27" customHeight="1">
      <c r="A7" s="162" t="s">
        <v>129</v>
      </c>
      <c r="B7" s="163"/>
      <c r="C7" s="164"/>
      <c r="D7" s="5"/>
      <c r="E7" s="13"/>
      <c r="F7" s="14" t="s">
        <v>37</v>
      </c>
      <c r="G7" s="12" t="s">
        <v>49</v>
      </c>
      <c r="H7" s="5"/>
    </row>
    <row r="8" spans="1:9" ht="27" customHeight="1">
      <c r="A8" s="5"/>
      <c r="B8" s="5"/>
      <c r="C8" s="5"/>
      <c r="D8" s="5"/>
      <c r="E8" s="5"/>
      <c r="F8" s="11" t="s">
        <v>38</v>
      </c>
      <c r="G8" s="12" t="s">
        <v>50</v>
      </c>
      <c r="H8" s="5"/>
    </row>
    <row r="9" spans="1:9" ht="27" customHeight="1">
      <c r="A9" s="162" t="s">
        <v>128</v>
      </c>
      <c r="B9" s="163"/>
      <c r="C9" s="164"/>
      <c r="D9" s="5"/>
      <c r="E9" s="5"/>
      <c r="F9" s="11" t="s">
        <v>39</v>
      </c>
      <c r="G9" s="12" t="s">
        <v>51</v>
      </c>
      <c r="H9" s="5"/>
    </row>
    <row r="10" spans="1:9" ht="27" customHeight="1">
      <c r="A10" s="5"/>
      <c r="B10" s="5"/>
      <c r="C10" s="5"/>
      <c r="D10" s="5"/>
      <c r="E10" s="5"/>
      <c r="F10" s="15" t="s">
        <v>34</v>
      </c>
      <c r="G10" s="16" t="s">
        <v>52</v>
      </c>
      <c r="H10" s="5"/>
      <c r="I10" s="5"/>
    </row>
    <row r="11" spans="1:9" ht="27" customHeight="1">
      <c r="A11" s="160"/>
      <c r="B11" s="161"/>
      <c r="C11" s="161"/>
      <c r="D11" s="5"/>
      <c r="E11" s="17"/>
      <c r="F11" s="18" t="s">
        <v>35</v>
      </c>
      <c r="G11" s="19" t="s">
        <v>53</v>
      </c>
      <c r="H11" s="17"/>
    </row>
    <row r="12" spans="1:9" ht="18.75" thickBot="1">
      <c r="A12" s="20" t="s">
        <v>2</v>
      </c>
      <c r="B12" s="20" t="str">
        <f>NUMBERSTRING(F31,1)</f>
        <v>삼백이십일만오천</v>
      </c>
      <c r="C12" s="21"/>
      <c r="D12" s="1" t="s">
        <v>3</v>
      </c>
      <c r="E12" s="1" t="s">
        <v>4</v>
      </c>
      <c r="F12" s="1" t="s">
        <v>4</v>
      </c>
      <c r="G12" s="1"/>
      <c r="H12" s="22"/>
    </row>
    <row r="13" spans="1:9" ht="15.7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5</v>
      </c>
      <c r="B14" s="24" t="s">
        <v>6</v>
      </c>
      <c r="C14" s="24" t="s">
        <v>7</v>
      </c>
      <c r="D14" s="24" t="s">
        <v>8</v>
      </c>
      <c r="E14" s="24" t="s">
        <v>9</v>
      </c>
      <c r="F14" s="24" t="s">
        <v>10</v>
      </c>
      <c r="G14" s="25" t="s">
        <v>11</v>
      </c>
      <c r="H14" s="22"/>
    </row>
    <row r="15" spans="1:9" ht="33" customHeight="1" thickTop="1">
      <c r="A15" s="26"/>
      <c r="B15" s="27" t="s">
        <v>12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13</v>
      </c>
      <c r="C16" s="34"/>
      <c r="D16" s="35"/>
      <c r="E16" s="35"/>
      <c r="F16" s="36">
        <f>'내역서(표준단가)'!O11</f>
        <v>654731.51600000006</v>
      </c>
      <c r="G16" s="37"/>
    </row>
    <row r="17" spans="1:9" ht="33" customHeight="1">
      <c r="A17" s="32"/>
      <c r="B17" s="33" t="s">
        <v>14</v>
      </c>
      <c r="C17" s="34"/>
      <c r="D17" s="35"/>
      <c r="E17" s="35"/>
      <c r="F17" s="36">
        <f>상세내역!H19</f>
        <v>2081474.0399999996</v>
      </c>
      <c r="G17" s="38"/>
      <c r="H17" s="4"/>
      <c r="I17" s="4"/>
    </row>
    <row r="18" spans="1:9" ht="33" customHeight="1">
      <c r="A18" s="32"/>
      <c r="B18" s="33" t="s">
        <v>15</v>
      </c>
      <c r="C18" s="34"/>
      <c r="D18" s="35"/>
      <c r="E18" s="35"/>
      <c r="F18" s="36">
        <f>'내역서(표준단가)'!S11+'내역서(표준단가)'!U11</f>
        <v>0</v>
      </c>
      <c r="G18" s="38"/>
      <c r="H18" s="4"/>
      <c r="I18" s="4"/>
    </row>
    <row r="19" spans="1:9" ht="33" customHeight="1">
      <c r="A19" s="32"/>
      <c r="B19" s="39" t="s">
        <v>16</v>
      </c>
      <c r="C19" s="39"/>
      <c r="D19" s="40"/>
      <c r="E19" s="40"/>
      <c r="F19" s="41">
        <f>F16+F17+F18</f>
        <v>2736205.5559999999</v>
      </c>
      <c r="G19" s="38"/>
      <c r="H19" s="4"/>
      <c r="I19" s="4"/>
    </row>
    <row r="20" spans="1:9" ht="33" customHeight="1">
      <c r="A20" s="32"/>
      <c r="B20" s="42" t="s">
        <v>17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18</v>
      </c>
      <c r="C21" s="43" t="s">
        <v>19</v>
      </c>
      <c r="D21" s="33">
        <v>1</v>
      </c>
      <c r="E21" s="33" t="s">
        <v>20</v>
      </c>
      <c r="F21" s="46">
        <f>F17*4.5%</f>
        <v>93666.331799999971</v>
      </c>
      <c r="G21" s="38" t="s">
        <v>21</v>
      </c>
      <c r="H21" s="4"/>
      <c r="I21" s="4"/>
    </row>
    <row r="22" spans="1:9" ht="33" customHeight="1">
      <c r="A22" s="32"/>
      <c r="B22" s="47" t="s">
        <v>22</v>
      </c>
      <c r="C22" s="48" t="s">
        <v>44</v>
      </c>
      <c r="D22" s="49">
        <v>1</v>
      </c>
      <c r="E22" s="49" t="s">
        <v>20</v>
      </c>
      <c r="F22" s="50">
        <f>F17*3.545%</f>
        <v>73788.254717999997</v>
      </c>
      <c r="G22" s="51" t="s">
        <v>23</v>
      </c>
      <c r="H22" s="4"/>
      <c r="I22" s="4"/>
    </row>
    <row r="23" spans="1:9" ht="33" customHeight="1">
      <c r="A23" s="32"/>
      <c r="B23" s="45" t="s">
        <v>24</v>
      </c>
      <c r="C23" s="43" t="s">
        <v>45</v>
      </c>
      <c r="D23" s="33">
        <v>1</v>
      </c>
      <c r="E23" s="33" t="s">
        <v>20</v>
      </c>
      <c r="F23" s="46">
        <f>F22*12.95%</f>
        <v>9555.5789859809993</v>
      </c>
      <c r="G23" s="38" t="s">
        <v>23</v>
      </c>
      <c r="H23" s="4"/>
      <c r="I23" s="4"/>
    </row>
    <row r="24" spans="1:9" ht="33" customHeight="1">
      <c r="A24" s="32"/>
      <c r="B24" s="45" t="s">
        <v>25</v>
      </c>
      <c r="C24" s="43" t="s">
        <v>41</v>
      </c>
      <c r="D24" s="33">
        <v>1</v>
      </c>
      <c r="E24" s="33" t="s">
        <v>20</v>
      </c>
      <c r="F24" s="46">
        <f>F17*1.01%</f>
        <v>21022.887803999995</v>
      </c>
      <c r="G24" s="38" t="s">
        <v>23</v>
      </c>
      <c r="H24" s="4"/>
      <c r="I24" s="4"/>
    </row>
    <row r="25" spans="1:9" ht="33" customHeight="1">
      <c r="A25" s="32"/>
      <c r="B25" s="45" t="s">
        <v>26</v>
      </c>
      <c r="C25" s="43" t="s">
        <v>46</v>
      </c>
      <c r="D25" s="33">
        <v>1</v>
      </c>
      <c r="E25" s="33" t="s">
        <v>20</v>
      </c>
      <c r="F25" s="46">
        <f>F17*3.56%</f>
        <v>74100.475823999979</v>
      </c>
      <c r="G25" s="38" t="s">
        <v>23</v>
      </c>
      <c r="H25" s="4"/>
      <c r="I25" s="4"/>
    </row>
    <row r="26" spans="1:9" ht="33" customHeight="1">
      <c r="A26" s="32"/>
      <c r="B26" s="45" t="s">
        <v>27</v>
      </c>
      <c r="C26" s="114" t="s">
        <v>109</v>
      </c>
      <c r="D26" s="33">
        <v>1</v>
      </c>
      <c r="E26" s="33" t="s">
        <v>20</v>
      </c>
      <c r="F26" s="115">
        <f>(F16+F17)*3.11%</f>
        <v>85095.992791599987</v>
      </c>
      <c r="G26" s="38" t="s">
        <v>21</v>
      </c>
      <c r="H26" s="4"/>
      <c r="I26" s="4"/>
    </row>
    <row r="27" spans="1:9" ht="33" customHeight="1">
      <c r="A27" s="32"/>
      <c r="B27" s="45" t="s">
        <v>31</v>
      </c>
      <c r="C27" s="52" t="s">
        <v>32</v>
      </c>
      <c r="D27" s="33">
        <v>1</v>
      </c>
      <c r="E27" s="33" t="s">
        <v>20</v>
      </c>
      <c r="F27" s="46">
        <f>SUM(F17+F21+F22+F23+F24+F25+F26)*5%</f>
        <v>121935.17809617904</v>
      </c>
      <c r="G27" s="38"/>
      <c r="H27" s="4"/>
      <c r="I27" s="4"/>
    </row>
    <row r="28" spans="1:9" ht="33" customHeight="1">
      <c r="A28" s="32"/>
      <c r="B28" s="39" t="s">
        <v>28</v>
      </c>
      <c r="C28" s="53"/>
      <c r="D28" s="54"/>
      <c r="E28" s="40"/>
      <c r="F28" s="55">
        <f>F21+F22+F23+F24+F25+F26+F27</f>
        <v>479164.70001976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3215370.2560197599</v>
      </c>
      <c r="G30" s="38"/>
      <c r="H30" s="4"/>
      <c r="I30" s="4"/>
    </row>
    <row r="31" spans="1:9" ht="33" customHeight="1">
      <c r="A31" s="32"/>
      <c r="B31" s="39" t="s">
        <v>29</v>
      </c>
      <c r="C31" s="39"/>
      <c r="D31" s="40"/>
      <c r="E31" s="40"/>
      <c r="F31" s="61">
        <f>ROUNDDOWN(F30,-3)</f>
        <v>3215000</v>
      </c>
      <c r="G31" s="38"/>
      <c r="H31" s="4"/>
      <c r="I31" s="4"/>
    </row>
    <row r="32" spans="1:9" ht="33" customHeight="1" thickBot="1">
      <c r="A32" s="62"/>
      <c r="B32" s="63" t="s">
        <v>30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="80" zoomScaleNormal="80" workbookViewId="0">
      <selection activeCell="P19" sqref="P19"/>
    </sheetView>
  </sheetViews>
  <sheetFormatPr defaultColWidth="9" defaultRowHeight="12.75"/>
  <cols>
    <col min="1" max="1" width="18" style="87" customWidth="1"/>
    <col min="2" max="5" width="4.625" style="87" hidden="1" customWidth="1"/>
    <col min="6" max="6" width="9" style="69" hidden="1" customWidth="1"/>
    <col min="7" max="9" width="12.625" style="69" hidden="1" customWidth="1"/>
    <col min="10" max="10" width="28.625" style="69" customWidth="1"/>
    <col min="11" max="11" width="26.375" style="69" customWidth="1"/>
    <col min="12" max="12" width="7.375" style="69" customWidth="1"/>
    <col min="13" max="13" width="8.25" style="69" customWidth="1"/>
    <col min="14" max="14" width="10.625" style="69" bestFit="1" customWidth="1"/>
    <col min="15" max="15" width="12.75" style="69" customWidth="1"/>
    <col min="16" max="16" width="12" style="69" bestFit="1" customWidth="1"/>
    <col min="17" max="17" width="13.875" style="69" customWidth="1"/>
    <col min="18" max="18" width="9" style="69" customWidth="1"/>
    <col min="19" max="19" width="8.5" style="69" customWidth="1"/>
    <col min="20" max="20" width="10.5" style="69" customWidth="1"/>
    <col min="21" max="21" width="8.5" style="69" customWidth="1"/>
    <col min="22" max="22" width="15.625" style="69" bestFit="1" customWidth="1"/>
    <col min="23" max="23" width="10.625" style="70" bestFit="1" customWidth="1"/>
    <col min="24" max="24" width="8.5" style="69" bestFit="1" customWidth="1"/>
    <col min="25" max="16384" width="9" style="69"/>
  </cols>
  <sheetData>
    <row r="1" spans="1:24" ht="19.899999999999999" customHeight="1">
      <c r="A1" s="165"/>
      <c r="B1" s="165"/>
      <c r="C1" s="165"/>
      <c r="D1" s="165"/>
      <c r="E1" s="165"/>
      <c r="F1" s="165"/>
      <c r="G1" s="165"/>
      <c r="H1" s="165"/>
      <c r="I1" s="165"/>
      <c r="N1" s="70"/>
      <c r="O1" s="68" t="s">
        <v>81</v>
      </c>
      <c r="Q1" s="68" t="s">
        <v>81</v>
      </c>
      <c r="S1" s="68" t="s">
        <v>81</v>
      </c>
      <c r="U1" s="68" t="s">
        <v>81</v>
      </c>
    </row>
    <row r="2" spans="1:24" ht="19.899999999999999" customHeight="1" thickBot="1">
      <c r="A2" s="165"/>
      <c r="B2" s="165"/>
      <c r="C2" s="165"/>
      <c r="D2" s="165"/>
      <c r="E2" s="165"/>
      <c r="F2" s="165"/>
      <c r="G2" s="165"/>
      <c r="H2" s="165"/>
      <c r="I2" s="165"/>
      <c r="N2" s="71"/>
      <c r="O2" s="72">
        <v>0.83499999999999996</v>
      </c>
      <c r="Q2" s="72">
        <v>0.83499999999999996</v>
      </c>
      <c r="S2" s="72">
        <v>0.83499999999999996</v>
      </c>
      <c r="U2" s="72">
        <v>0.83499999999999996</v>
      </c>
    </row>
    <row r="3" spans="1:24" ht="19.899999999999999" customHeight="1">
      <c r="A3" s="73"/>
      <c r="B3" s="74"/>
      <c r="C3" s="74"/>
      <c r="D3" s="74"/>
      <c r="E3" s="74"/>
      <c r="F3" s="74" t="s">
        <v>82</v>
      </c>
      <c r="G3" s="74"/>
      <c r="H3" s="74"/>
      <c r="I3" s="74"/>
      <c r="J3" s="174" t="s">
        <v>83</v>
      </c>
      <c r="K3" s="174"/>
      <c r="L3" s="174" t="s">
        <v>42</v>
      </c>
      <c r="M3" s="174" t="s">
        <v>0</v>
      </c>
      <c r="N3" s="170" t="s">
        <v>84</v>
      </c>
      <c r="O3" s="170"/>
      <c r="P3" s="170" t="s">
        <v>85</v>
      </c>
      <c r="Q3" s="170"/>
      <c r="R3" s="171" t="s">
        <v>86</v>
      </c>
      <c r="S3" s="171"/>
      <c r="T3" s="171" t="s">
        <v>87</v>
      </c>
      <c r="U3" s="171"/>
      <c r="V3" s="172" t="s">
        <v>88</v>
      </c>
      <c r="W3" s="168" t="s">
        <v>89</v>
      </c>
      <c r="X3" s="166" t="s">
        <v>40</v>
      </c>
    </row>
    <row r="4" spans="1:24" ht="19.899999999999999" customHeight="1">
      <c r="A4" s="75" t="s">
        <v>90</v>
      </c>
      <c r="B4" s="94"/>
      <c r="C4" s="94"/>
      <c r="D4" s="94"/>
      <c r="E4" s="94"/>
      <c r="F4" s="76" t="s">
        <v>91</v>
      </c>
      <c r="G4" s="76" t="s">
        <v>92</v>
      </c>
      <c r="H4" s="76" t="s">
        <v>93</v>
      </c>
      <c r="I4" s="76" t="s">
        <v>94</v>
      </c>
      <c r="J4" s="95" t="s">
        <v>95</v>
      </c>
      <c r="K4" s="95" t="s">
        <v>96</v>
      </c>
      <c r="L4" s="175"/>
      <c r="M4" s="175"/>
      <c r="N4" s="77" t="s">
        <v>97</v>
      </c>
      <c r="O4" s="78" t="s">
        <v>98</v>
      </c>
      <c r="P4" s="77" t="s">
        <v>99</v>
      </c>
      <c r="Q4" s="78" t="s">
        <v>98</v>
      </c>
      <c r="R4" s="78" t="s">
        <v>100</v>
      </c>
      <c r="S4" s="78" t="s">
        <v>98</v>
      </c>
      <c r="T4" s="78" t="s">
        <v>100</v>
      </c>
      <c r="U4" s="78" t="s">
        <v>98</v>
      </c>
      <c r="V4" s="173"/>
      <c r="W4" s="169"/>
      <c r="X4" s="167"/>
    </row>
    <row r="5" spans="1:24" s="86" customFormat="1" ht="53.25" customHeight="1">
      <c r="A5" s="79" t="str">
        <f t="shared" ref="A5" si="0">F5&amp;G5&amp;H5&amp;I5</f>
        <v>M020853710050101</v>
      </c>
      <c r="B5" s="96"/>
      <c r="C5" s="96"/>
      <c r="D5" s="96"/>
      <c r="E5" s="96"/>
      <c r="F5" s="91"/>
      <c r="G5" s="80"/>
      <c r="H5" s="118" t="s">
        <v>112</v>
      </c>
      <c r="I5" s="91"/>
      <c r="J5" s="155" t="s">
        <v>113</v>
      </c>
      <c r="K5" s="156" t="s">
        <v>127</v>
      </c>
      <c r="L5" s="157" t="s">
        <v>126</v>
      </c>
      <c r="M5" s="101">
        <v>11.144</v>
      </c>
      <c r="N5" s="158">
        <v>20900</v>
      </c>
      <c r="O5" s="83">
        <f t="shared" ref="O5" si="1">SUM(N5:N5)*M5*$O$2</f>
        <v>194479.516</v>
      </c>
      <c r="P5" s="104"/>
      <c r="Q5" s="83">
        <f t="shared" ref="Q5" si="2">(P5*M5)*$Q$2</f>
        <v>0</v>
      </c>
      <c r="R5" s="84"/>
      <c r="S5" s="83">
        <f t="shared" ref="S5" si="3">R5*M5*$S$2</f>
        <v>0</v>
      </c>
      <c r="T5" s="84"/>
      <c r="U5" s="83">
        <f t="shared" ref="U5" si="4">T5*M5*$U$2</f>
        <v>0</v>
      </c>
      <c r="V5" s="119">
        <f t="shared" ref="V5" si="5">SUM(O5+Q5)+S5+U5</f>
        <v>194479.516</v>
      </c>
      <c r="W5" s="109"/>
      <c r="X5" s="85"/>
    </row>
    <row r="6" spans="1:24" s="86" customFormat="1" ht="60.75" customHeight="1">
      <c r="A6" s="79" t="str">
        <f t="shared" ref="A6" si="6">F6&amp;G6&amp;H6&amp;I6</f>
        <v>E00000803071260301</v>
      </c>
      <c r="B6" s="96"/>
      <c r="C6" s="96"/>
      <c r="D6" s="96"/>
      <c r="E6" s="96"/>
      <c r="F6" s="91"/>
      <c r="G6" s="108" t="s">
        <v>101</v>
      </c>
      <c r="H6" s="80"/>
      <c r="I6" s="91"/>
      <c r="J6" s="99" t="s">
        <v>103</v>
      </c>
      <c r="K6" s="116" t="s">
        <v>110</v>
      </c>
      <c r="L6" s="99" t="s">
        <v>102</v>
      </c>
      <c r="M6" s="101">
        <v>2.6520000000000001</v>
      </c>
      <c r="N6" s="100"/>
      <c r="O6" s="83">
        <f t="shared" ref="O6" si="7">SUM(N6:N6)*M6*$O$2</f>
        <v>0</v>
      </c>
      <c r="P6" s="103">
        <v>487076</v>
      </c>
      <c r="Q6" s="83">
        <f t="shared" ref="Q6" si="8">(P6*M6)*$Q$2</f>
        <v>1078590.83592</v>
      </c>
      <c r="R6" s="84"/>
      <c r="S6" s="83">
        <f t="shared" ref="S6" si="9">R6*M6*$S$2</f>
        <v>0</v>
      </c>
      <c r="T6" s="84"/>
      <c r="U6" s="83">
        <f t="shared" ref="U6" si="10">T6*M6*$U$2</f>
        <v>0</v>
      </c>
      <c r="V6" s="84">
        <f t="shared" ref="V6" si="11">SUM(O6+Q6)+S6+U6</f>
        <v>1078590.83592</v>
      </c>
      <c r="W6" s="109"/>
      <c r="X6" s="85"/>
    </row>
    <row r="7" spans="1:24" s="86" customFormat="1" ht="54.75" customHeight="1">
      <c r="A7" s="79" t="str">
        <f t="shared" ref="A7:A8" si="12">F7&amp;G7&amp;H7&amp;I7</f>
        <v>E00000803071260301</v>
      </c>
      <c r="B7" s="96"/>
      <c r="C7" s="96"/>
      <c r="D7" s="96"/>
      <c r="E7" s="96"/>
      <c r="F7" s="91"/>
      <c r="G7" s="108" t="s">
        <v>101</v>
      </c>
      <c r="H7" s="80"/>
      <c r="I7" s="91"/>
      <c r="J7" s="99" t="s">
        <v>104</v>
      </c>
      <c r="K7" s="117" t="s">
        <v>111</v>
      </c>
      <c r="L7" s="99" t="s">
        <v>102</v>
      </c>
      <c r="M7" s="101">
        <v>1.7709999999999999</v>
      </c>
      <c r="N7" s="100"/>
      <c r="O7" s="83">
        <f t="shared" ref="O7:O9" si="13">SUM(N7:N7)*M7*$O$2</f>
        <v>0</v>
      </c>
      <c r="P7" s="103">
        <v>487076</v>
      </c>
      <c r="Q7" s="83">
        <f t="shared" ref="Q7:Q9" si="14">(P7*M7)*$Q$2</f>
        <v>720280.68265999993</v>
      </c>
      <c r="R7" s="84"/>
      <c r="S7" s="83">
        <f t="shared" ref="S7:S9" si="15">R7*M7*$S$2</f>
        <v>0</v>
      </c>
      <c r="T7" s="84"/>
      <c r="U7" s="83">
        <f t="shared" ref="U7:U9" si="16">T7*M7*$U$2</f>
        <v>0</v>
      </c>
      <c r="V7" s="84">
        <f t="shared" ref="V7:V9" si="17">SUM(O7+Q7)+S7+U7</f>
        <v>720280.68265999993</v>
      </c>
      <c r="W7" s="109"/>
      <c r="X7" s="85"/>
    </row>
    <row r="8" spans="1:24" s="86" customFormat="1" ht="19.899999999999999" customHeight="1">
      <c r="A8" s="79" t="str">
        <f t="shared" si="12"/>
        <v>M020809012520101</v>
      </c>
      <c r="B8" s="96"/>
      <c r="C8" s="96"/>
      <c r="D8" s="96"/>
      <c r="E8" s="96"/>
      <c r="F8" s="91"/>
      <c r="G8" s="80"/>
      <c r="H8" s="118" t="s">
        <v>115</v>
      </c>
      <c r="I8" s="91"/>
      <c r="J8" s="120" t="s">
        <v>116</v>
      </c>
      <c r="K8" s="120" t="s">
        <v>117</v>
      </c>
      <c r="L8" s="107" t="s">
        <v>114</v>
      </c>
      <c r="M8" s="128">
        <v>42.4</v>
      </c>
      <c r="N8" s="121">
        <v>13000</v>
      </c>
      <c r="O8" s="83">
        <f t="shared" si="13"/>
        <v>460252</v>
      </c>
      <c r="P8" s="104"/>
      <c r="Q8" s="83">
        <f t="shared" si="14"/>
        <v>0</v>
      </c>
      <c r="R8" s="84"/>
      <c r="S8" s="83">
        <f t="shared" si="15"/>
        <v>0</v>
      </c>
      <c r="T8" s="84"/>
      <c r="U8" s="83">
        <f t="shared" si="16"/>
        <v>0</v>
      </c>
      <c r="V8" s="119">
        <f t="shared" si="17"/>
        <v>460252</v>
      </c>
      <c r="W8" s="109"/>
      <c r="X8" s="85"/>
    </row>
    <row r="9" spans="1:24" s="86" customFormat="1" ht="45" customHeight="1">
      <c r="A9" s="79" t="str">
        <f t="shared" ref="A9" si="18">F9&amp;G9&amp;H9&amp;I9</f>
        <v>E00000803071260401</v>
      </c>
      <c r="B9" s="96"/>
      <c r="C9" s="96"/>
      <c r="D9" s="96"/>
      <c r="E9" s="96"/>
      <c r="F9" s="91"/>
      <c r="G9" s="108" t="s">
        <v>105</v>
      </c>
      <c r="H9" s="80"/>
      <c r="I9" s="91"/>
      <c r="J9" s="99" t="s">
        <v>106</v>
      </c>
      <c r="K9" s="116" t="s">
        <v>123</v>
      </c>
      <c r="L9" s="99" t="s">
        <v>102</v>
      </c>
      <c r="M9" s="128">
        <v>0.69510000000000005</v>
      </c>
      <c r="N9" s="100"/>
      <c r="O9" s="83">
        <f t="shared" si="13"/>
        <v>0</v>
      </c>
      <c r="P9" s="103">
        <v>487076</v>
      </c>
      <c r="Q9" s="112">
        <f t="shared" si="14"/>
        <v>282703.05054600001</v>
      </c>
      <c r="R9" s="84"/>
      <c r="S9" s="83">
        <f t="shared" si="15"/>
        <v>0</v>
      </c>
      <c r="T9" s="84"/>
      <c r="U9" s="83">
        <f t="shared" si="16"/>
        <v>0</v>
      </c>
      <c r="V9" s="84">
        <f t="shared" si="17"/>
        <v>282703.05054600001</v>
      </c>
      <c r="W9" s="109"/>
      <c r="X9" s="85"/>
    </row>
    <row r="10" spans="1:24" s="86" customFormat="1" ht="19.899999999999999" customHeight="1">
      <c r="A10" s="79"/>
      <c r="B10" s="96"/>
      <c r="C10" s="96"/>
      <c r="D10" s="96"/>
      <c r="E10" s="96"/>
      <c r="F10" s="91"/>
      <c r="G10" s="80"/>
      <c r="H10" s="80"/>
      <c r="I10" s="91"/>
      <c r="J10" s="93"/>
      <c r="K10" s="92"/>
      <c r="L10" s="81"/>
      <c r="M10" s="98"/>
      <c r="N10" s="82"/>
      <c r="O10" s="83"/>
      <c r="P10" s="102"/>
      <c r="Q10" s="83"/>
      <c r="R10" s="84"/>
      <c r="S10" s="83"/>
      <c r="T10" s="84"/>
      <c r="U10" s="83"/>
      <c r="V10" s="84"/>
      <c r="W10" s="109"/>
      <c r="X10" s="85"/>
    </row>
    <row r="11" spans="1:24" s="97" customFormat="1" ht="19.899999999999999" customHeight="1">
      <c r="A11" s="105"/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10">
        <f>SUM(O5:O10)</f>
        <v>654731.51600000006</v>
      </c>
      <c r="P11" s="111"/>
      <c r="Q11" s="110">
        <f>SUM(Q5:Q10)</f>
        <v>2081574.5691259999</v>
      </c>
      <c r="R11" s="111"/>
      <c r="S11" s="110">
        <f>SUM(S5:S10)</f>
        <v>0</v>
      </c>
      <c r="T11" s="111"/>
      <c r="U11" s="110">
        <f>SUM(U5:U10)</f>
        <v>0</v>
      </c>
      <c r="V11" s="110">
        <f>SUM(V5:V10)</f>
        <v>2736306.0851259995</v>
      </c>
      <c r="W11" s="106"/>
      <c r="X11" s="10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5"/>
  <sheetViews>
    <sheetView zoomScaleNormal="100" workbookViewId="0">
      <selection activeCell="A4" sqref="A4:B4"/>
    </sheetView>
  </sheetViews>
  <sheetFormatPr defaultColWidth="9" defaultRowHeight="14.25"/>
  <cols>
    <col min="1" max="1" width="22.625" style="90" customWidth="1"/>
    <col min="2" max="2" width="27.625" style="90" customWidth="1"/>
    <col min="3" max="3" width="5.75" style="90" customWidth="1"/>
    <col min="4" max="4" width="6.75" style="90" customWidth="1"/>
    <col min="5" max="8" width="20.625" style="90" customWidth="1"/>
    <col min="9" max="12" width="20.625" style="90" hidden="1" customWidth="1"/>
    <col min="13" max="14" width="20.625" style="90" customWidth="1"/>
    <col min="15" max="15" width="32.75" style="90" customWidth="1"/>
    <col min="16" max="16384" width="9" style="88"/>
  </cols>
  <sheetData>
    <row r="1" spans="1:15" ht="45.75" customHeight="1">
      <c r="A1" s="176" t="s">
        <v>54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</row>
    <row r="2" spans="1:15" ht="26.1" customHeight="1">
      <c r="A2" s="177" t="s">
        <v>55</v>
      </c>
      <c r="B2" s="177" t="s">
        <v>56</v>
      </c>
      <c r="C2" s="178" t="s">
        <v>42</v>
      </c>
      <c r="D2" s="178" t="s">
        <v>8</v>
      </c>
      <c r="E2" s="180" t="s">
        <v>57</v>
      </c>
      <c r="F2" s="177"/>
      <c r="G2" s="177" t="s">
        <v>58</v>
      </c>
      <c r="H2" s="177"/>
      <c r="I2" s="181" t="s">
        <v>59</v>
      </c>
      <c r="J2" s="182"/>
      <c r="K2" s="181" t="s">
        <v>60</v>
      </c>
      <c r="L2" s="182"/>
      <c r="M2" s="180" t="s">
        <v>61</v>
      </c>
      <c r="N2" s="177"/>
      <c r="O2" s="183" t="s">
        <v>62</v>
      </c>
    </row>
    <row r="3" spans="1:15" ht="26.1" customHeight="1">
      <c r="A3" s="177"/>
      <c r="B3" s="177"/>
      <c r="C3" s="179"/>
      <c r="D3" s="179"/>
      <c r="E3" s="153" t="s">
        <v>63</v>
      </c>
      <c r="F3" s="153" t="s">
        <v>64</v>
      </c>
      <c r="G3" s="154" t="s">
        <v>63</v>
      </c>
      <c r="H3" s="153" t="s">
        <v>65</v>
      </c>
      <c r="I3" s="153"/>
      <c r="J3" s="153"/>
      <c r="K3" s="154" t="s">
        <v>63</v>
      </c>
      <c r="L3" s="153" t="s">
        <v>65</v>
      </c>
      <c r="M3" s="154" t="s">
        <v>63</v>
      </c>
      <c r="N3" s="153" t="s">
        <v>65</v>
      </c>
      <c r="O3" s="184"/>
    </row>
    <row r="4" spans="1:15" ht="26.1" customHeight="1">
      <c r="A4" s="189" t="s">
        <v>130</v>
      </c>
      <c r="B4" s="190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</row>
    <row r="5" spans="1:15" ht="26.1" customHeight="1">
      <c r="A5" s="193" t="s">
        <v>66</v>
      </c>
      <c r="B5" s="130" t="s">
        <v>67</v>
      </c>
      <c r="C5" s="131" t="s">
        <v>68</v>
      </c>
      <c r="D5" s="132">
        <v>40</v>
      </c>
      <c r="E5" s="133">
        <v>1057</v>
      </c>
      <c r="F5" s="134">
        <f t="shared" ref="F5:F12" si="0">D5*E5</f>
        <v>42280</v>
      </c>
      <c r="G5" s="134">
        <v>8839.9</v>
      </c>
      <c r="H5" s="134">
        <f t="shared" ref="H5:H12" si="1">D5*G5</f>
        <v>353596</v>
      </c>
      <c r="I5" s="134"/>
      <c r="J5" s="134"/>
      <c r="K5" s="134"/>
      <c r="L5" s="134"/>
      <c r="M5" s="134"/>
      <c r="N5" s="134">
        <f>F5+H5+J5+L5</f>
        <v>395876</v>
      </c>
      <c r="O5" s="195"/>
    </row>
    <row r="6" spans="1:15" ht="26.1" customHeight="1">
      <c r="A6" s="194"/>
      <c r="B6" s="130" t="s">
        <v>69</v>
      </c>
      <c r="C6" s="131" t="s">
        <v>68</v>
      </c>
      <c r="D6" s="132">
        <v>24</v>
      </c>
      <c r="E6" s="133">
        <v>1057</v>
      </c>
      <c r="F6" s="134">
        <f t="shared" si="0"/>
        <v>25368</v>
      </c>
      <c r="G6" s="134">
        <v>11617.4</v>
      </c>
      <c r="H6" s="134">
        <f t="shared" si="1"/>
        <v>278817.59999999998</v>
      </c>
      <c r="I6" s="134"/>
      <c r="J6" s="134"/>
      <c r="K6" s="134"/>
      <c r="L6" s="134"/>
      <c r="M6" s="134"/>
      <c r="N6" s="134">
        <f t="shared" ref="N6:N12" si="2">F6+H6+J6+L6</f>
        <v>304185.59999999998</v>
      </c>
      <c r="O6" s="187"/>
    </row>
    <row r="7" spans="1:15" ht="26.1" customHeight="1">
      <c r="A7" s="194"/>
      <c r="B7" s="130" t="s">
        <v>70</v>
      </c>
      <c r="C7" s="131" t="s">
        <v>68</v>
      </c>
      <c r="D7" s="132">
        <v>32</v>
      </c>
      <c r="E7" s="133">
        <v>1057</v>
      </c>
      <c r="F7" s="134">
        <f t="shared" si="0"/>
        <v>33824</v>
      </c>
      <c r="G7" s="134">
        <v>8839.9</v>
      </c>
      <c r="H7" s="134">
        <f t="shared" si="1"/>
        <v>282876.79999999999</v>
      </c>
      <c r="I7" s="134"/>
      <c r="J7" s="134"/>
      <c r="K7" s="134"/>
      <c r="L7" s="134"/>
      <c r="M7" s="134"/>
      <c r="N7" s="134">
        <f t="shared" si="2"/>
        <v>316700.79999999999</v>
      </c>
      <c r="O7" s="187"/>
    </row>
    <row r="8" spans="1:15" ht="26.1" customHeight="1">
      <c r="A8" s="194"/>
      <c r="B8" s="130" t="s">
        <v>71</v>
      </c>
      <c r="C8" s="131" t="s">
        <v>68</v>
      </c>
      <c r="D8" s="132">
        <v>16</v>
      </c>
      <c r="E8" s="133">
        <v>1057</v>
      </c>
      <c r="F8" s="134">
        <f t="shared" si="0"/>
        <v>16912</v>
      </c>
      <c r="G8" s="134">
        <v>11617.4</v>
      </c>
      <c r="H8" s="134">
        <f t="shared" si="1"/>
        <v>185878.39999999999</v>
      </c>
      <c r="I8" s="134"/>
      <c r="J8" s="134"/>
      <c r="K8" s="134"/>
      <c r="L8" s="134"/>
      <c r="M8" s="134"/>
      <c r="N8" s="134">
        <f t="shared" si="2"/>
        <v>202790.39999999999</v>
      </c>
      <c r="O8" s="187"/>
    </row>
    <row r="9" spans="1:15" ht="26.1" customHeight="1">
      <c r="A9" s="194"/>
      <c r="B9" s="130" t="s">
        <v>72</v>
      </c>
      <c r="C9" s="131" t="s">
        <v>68</v>
      </c>
      <c r="D9" s="132">
        <v>25</v>
      </c>
      <c r="E9" s="133">
        <v>1057</v>
      </c>
      <c r="F9" s="134">
        <f t="shared" si="0"/>
        <v>26425</v>
      </c>
      <c r="G9" s="134">
        <v>8839.9</v>
      </c>
      <c r="H9" s="134">
        <f t="shared" si="1"/>
        <v>220997.5</v>
      </c>
      <c r="I9" s="134"/>
      <c r="J9" s="134"/>
      <c r="K9" s="134"/>
      <c r="L9" s="134"/>
      <c r="M9" s="134"/>
      <c r="N9" s="134">
        <f t="shared" si="2"/>
        <v>247422.5</v>
      </c>
      <c r="O9" s="187"/>
    </row>
    <row r="10" spans="1:15" ht="26.1" customHeight="1">
      <c r="A10" s="194"/>
      <c r="B10" s="130" t="s">
        <v>73</v>
      </c>
      <c r="C10" s="131" t="s">
        <v>68</v>
      </c>
      <c r="D10" s="132">
        <v>11</v>
      </c>
      <c r="E10" s="133">
        <v>1057</v>
      </c>
      <c r="F10" s="134">
        <f t="shared" si="0"/>
        <v>11627</v>
      </c>
      <c r="G10" s="134">
        <v>11617.4</v>
      </c>
      <c r="H10" s="134">
        <f t="shared" si="1"/>
        <v>127791.4</v>
      </c>
      <c r="I10" s="134"/>
      <c r="J10" s="134"/>
      <c r="K10" s="134"/>
      <c r="L10" s="134"/>
      <c r="M10" s="134"/>
      <c r="N10" s="134">
        <f t="shared" si="2"/>
        <v>139418.4</v>
      </c>
      <c r="O10" s="187"/>
    </row>
    <row r="11" spans="1:15" ht="26.1" customHeight="1">
      <c r="A11" s="194"/>
      <c r="B11" s="130" t="s">
        <v>74</v>
      </c>
      <c r="C11" s="131" t="s">
        <v>68</v>
      </c>
      <c r="D11" s="132">
        <v>25</v>
      </c>
      <c r="E11" s="133">
        <v>1057</v>
      </c>
      <c r="F11" s="134">
        <f t="shared" si="0"/>
        <v>26425</v>
      </c>
      <c r="G11" s="134">
        <v>8839.9</v>
      </c>
      <c r="H11" s="134">
        <f t="shared" si="1"/>
        <v>220997.5</v>
      </c>
      <c r="I11" s="134"/>
      <c r="J11" s="134"/>
      <c r="K11" s="134"/>
      <c r="L11" s="134"/>
      <c r="M11" s="134"/>
      <c r="N11" s="134">
        <f t="shared" si="2"/>
        <v>247422.5</v>
      </c>
      <c r="O11" s="187"/>
    </row>
    <row r="12" spans="1:15" ht="26.1" customHeight="1">
      <c r="A12" s="194"/>
      <c r="B12" s="130" t="s">
        <v>75</v>
      </c>
      <c r="C12" s="131" t="s">
        <v>68</v>
      </c>
      <c r="D12" s="132">
        <v>11</v>
      </c>
      <c r="E12" s="133">
        <v>1057</v>
      </c>
      <c r="F12" s="134">
        <f t="shared" si="0"/>
        <v>11627</v>
      </c>
      <c r="G12" s="134">
        <v>11617.4</v>
      </c>
      <c r="H12" s="134">
        <f t="shared" si="1"/>
        <v>127791.4</v>
      </c>
      <c r="I12" s="134"/>
      <c r="J12" s="134"/>
      <c r="K12" s="134"/>
      <c r="L12" s="134"/>
      <c r="M12" s="134"/>
      <c r="N12" s="134">
        <f t="shared" si="2"/>
        <v>139418.4</v>
      </c>
      <c r="O12" s="187"/>
    </row>
    <row r="13" spans="1:15" ht="26.1" customHeight="1">
      <c r="A13" s="135" t="s">
        <v>76</v>
      </c>
      <c r="B13" s="136"/>
      <c r="C13" s="137"/>
      <c r="D13" s="138">
        <v>198</v>
      </c>
      <c r="E13" s="139"/>
      <c r="F13" s="139">
        <f>SUM(F5:F12)</f>
        <v>194488</v>
      </c>
      <c r="G13" s="139"/>
      <c r="H13" s="139">
        <f>SUM(H5:H12)</f>
        <v>1798746.5999999996</v>
      </c>
      <c r="I13" s="139"/>
      <c r="J13" s="139">
        <f>SUM(J5:J12)</f>
        <v>0</v>
      </c>
      <c r="K13" s="139"/>
      <c r="L13" s="139">
        <f>SUM(L5:L12)</f>
        <v>0</v>
      </c>
      <c r="M13" s="139"/>
      <c r="N13" s="139">
        <f>SUM(N5:N12)</f>
        <v>1993234.5999999996</v>
      </c>
      <c r="O13" s="139"/>
    </row>
    <row r="14" spans="1:15" ht="26.1" customHeight="1">
      <c r="A14" s="185" t="s">
        <v>108</v>
      </c>
      <c r="B14" s="130" t="s">
        <v>77</v>
      </c>
      <c r="C14" s="131" t="s">
        <v>68</v>
      </c>
      <c r="D14" s="140">
        <v>22.2</v>
      </c>
      <c r="E14" s="133">
        <v>10855</v>
      </c>
      <c r="F14" s="141">
        <f>D14*E14</f>
        <v>240981</v>
      </c>
      <c r="G14" s="134">
        <v>6668.1</v>
      </c>
      <c r="H14" s="141">
        <f>D14*G14</f>
        <v>148031.82</v>
      </c>
      <c r="I14" s="141"/>
      <c r="J14" s="141"/>
      <c r="K14" s="134"/>
      <c r="L14" s="141"/>
      <c r="M14" s="134"/>
      <c r="N14" s="141">
        <f t="shared" ref="N14:N17" si="3">F14+H14+J14+L14</f>
        <v>389012.82</v>
      </c>
      <c r="O14" s="187"/>
    </row>
    <row r="15" spans="1:15" ht="26.1" customHeight="1">
      <c r="A15" s="185"/>
      <c r="B15" s="130" t="s">
        <v>78</v>
      </c>
      <c r="C15" s="131" t="s">
        <v>68</v>
      </c>
      <c r="D15" s="142">
        <v>10.4</v>
      </c>
      <c r="E15" s="133">
        <v>10855</v>
      </c>
      <c r="F15" s="141">
        <f>D15*E15</f>
        <v>112892</v>
      </c>
      <c r="G15" s="134">
        <v>6668.1</v>
      </c>
      <c r="H15" s="141">
        <f>D15*G15</f>
        <v>69348.240000000005</v>
      </c>
      <c r="I15" s="141"/>
      <c r="J15" s="141"/>
      <c r="K15" s="134"/>
      <c r="L15" s="141"/>
      <c r="M15" s="134"/>
      <c r="N15" s="141">
        <f t="shared" si="3"/>
        <v>182240.24</v>
      </c>
      <c r="O15" s="187"/>
    </row>
    <row r="16" spans="1:15" ht="26.1" customHeight="1">
      <c r="A16" s="185"/>
      <c r="B16" s="130" t="s">
        <v>79</v>
      </c>
      <c r="C16" s="131" t="s">
        <v>68</v>
      </c>
      <c r="D16" s="142">
        <v>5.2</v>
      </c>
      <c r="E16" s="133">
        <v>10855</v>
      </c>
      <c r="F16" s="141">
        <f>D16*E16</f>
        <v>56446</v>
      </c>
      <c r="G16" s="134">
        <v>6668.1</v>
      </c>
      <c r="H16" s="141">
        <f>D16*G16</f>
        <v>34674.120000000003</v>
      </c>
      <c r="I16" s="141"/>
      <c r="J16" s="141"/>
      <c r="K16" s="134"/>
      <c r="L16" s="141"/>
      <c r="M16" s="134"/>
      <c r="N16" s="141">
        <f t="shared" si="3"/>
        <v>91120.12</v>
      </c>
      <c r="O16" s="187"/>
    </row>
    <row r="17" spans="1:15" ht="26.1" customHeight="1">
      <c r="A17" s="186"/>
      <c r="B17" s="130" t="s">
        <v>80</v>
      </c>
      <c r="C17" s="131" t="s">
        <v>68</v>
      </c>
      <c r="D17" s="142">
        <v>4.5999999999999996</v>
      </c>
      <c r="E17" s="133">
        <v>10855</v>
      </c>
      <c r="F17" s="141">
        <f>D17*E17</f>
        <v>49932.999999999993</v>
      </c>
      <c r="G17" s="134">
        <v>6668.1</v>
      </c>
      <c r="H17" s="141">
        <f>D17*G17</f>
        <v>30673.26</v>
      </c>
      <c r="I17" s="141"/>
      <c r="J17" s="141"/>
      <c r="K17" s="134"/>
      <c r="L17" s="141"/>
      <c r="M17" s="134"/>
      <c r="N17" s="141">
        <f t="shared" si="3"/>
        <v>80606.259999999995</v>
      </c>
      <c r="O17" s="188"/>
    </row>
    <row r="18" spans="1:15" ht="26.1" customHeight="1">
      <c r="A18" s="143" t="s">
        <v>76</v>
      </c>
      <c r="B18" s="144"/>
      <c r="C18" s="145"/>
      <c r="D18" s="146">
        <f>SUM(D14:D17)</f>
        <v>42.400000000000006</v>
      </c>
      <c r="E18" s="147"/>
      <c r="F18" s="147">
        <f>SUM(F14:F17)</f>
        <v>460252</v>
      </c>
      <c r="G18" s="147"/>
      <c r="H18" s="148">
        <f>SUM(H14:H17)</f>
        <v>282727.44</v>
      </c>
      <c r="I18" s="147"/>
      <c r="J18" s="147">
        <f>SUM(J14:J17)</f>
        <v>0</v>
      </c>
      <c r="K18" s="147"/>
      <c r="L18" s="147">
        <f>SUM(L14:L17)</f>
        <v>0</v>
      </c>
      <c r="M18" s="147"/>
      <c r="N18" s="147">
        <f>SUM(N14:N17)</f>
        <v>742979.44000000006</v>
      </c>
      <c r="O18" s="147"/>
    </row>
    <row r="19" spans="1:15" ht="26.1" customHeight="1">
      <c r="A19" s="143" t="s">
        <v>107</v>
      </c>
      <c r="B19" s="144"/>
      <c r="C19" s="149"/>
      <c r="D19" s="150"/>
      <c r="E19" s="151"/>
      <c r="F19" s="152">
        <f>F13+F18</f>
        <v>654740</v>
      </c>
      <c r="G19" s="152"/>
      <c r="H19" s="152">
        <f>H13+H18</f>
        <v>2081474.0399999996</v>
      </c>
      <c r="I19" s="151"/>
      <c r="J19" s="152">
        <f>J13+J18</f>
        <v>0</v>
      </c>
      <c r="K19" s="151"/>
      <c r="L19" s="152">
        <f>L13+L18</f>
        <v>0</v>
      </c>
      <c r="M19" s="151"/>
      <c r="N19" s="152">
        <f>N13+N18</f>
        <v>2736214.0399999996</v>
      </c>
      <c r="O19" s="151"/>
    </row>
    <row r="20" spans="1:15" ht="26.1" customHeight="1"/>
    <row r="21" spans="1:15" customFormat="1" ht="26.1" customHeight="1">
      <c r="A21" s="191" t="s">
        <v>125</v>
      </c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29"/>
    </row>
    <row r="22" spans="1:15" customFormat="1" ht="26.1" customHeight="1">
      <c r="A22" s="192" t="s">
        <v>124</v>
      </c>
      <c r="B22" s="192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29"/>
    </row>
    <row r="24" spans="1:15">
      <c r="E24" s="113"/>
    </row>
    <row r="25" spans="1:15">
      <c r="E25" s="113"/>
    </row>
  </sheetData>
  <mergeCells count="18">
    <mergeCell ref="A14:A17"/>
    <mergeCell ref="O14:O17"/>
    <mergeCell ref="A4:B4"/>
    <mergeCell ref="A21:L21"/>
    <mergeCell ref="A22:L22"/>
    <mergeCell ref="A5:A12"/>
    <mergeCell ref="O5:O12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E2D6-BB76-4550-A961-AFBE16D1DD82}">
  <dimension ref="A1:F6"/>
  <sheetViews>
    <sheetView showGridLines="0" zoomScaleNormal="100" workbookViewId="0">
      <selection activeCell="I29" sqref="I29"/>
    </sheetView>
  </sheetViews>
  <sheetFormatPr defaultColWidth="9" defaultRowHeight="16.5"/>
  <cols>
    <col min="1" max="1" width="25.125" style="127" customWidth="1"/>
    <col min="2" max="2" width="16.25" style="127" customWidth="1"/>
    <col min="3" max="3" width="22.375" style="127" customWidth="1"/>
    <col min="4" max="4" width="24.125" style="127" customWidth="1"/>
    <col min="5" max="5" width="13" style="127" customWidth="1"/>
    <col min="6" max="6" width="9" style="127" customWidth="1"/>
    <col min="7" max="16384" width="9" style="123"/>
  </cols>
  <sheetData>
    <row r="1" spans="1:6" ht="18" customHeight="1">
      <c r="A1" s="122" t="s">
        <v>118</v>
      </c>
      <c r="B1" s="122" t="s">
        <v>119</v>
      </c>
      <c r="C1" s="122" t="s">
        <v>120</v>
      </c>
      <c r="D1" s="122" t="s">
        <v>121</v>
      </c>
      <c r="E1" s="122" t="s">
        <v>122</v>
      </c>
      <c r="F1" s="122" t="s">
        <v>0</v>
      </c>
    </row>
    <row r="2" spans="1:6">
      <c r="A2" s="124" t="str">
        <f>'내역서(표준단가)'!A5</f>
        <v>M020853710050101</v>
      </c>
      <c r="B2" s="125">
        <f>'내역서(표준단가)'!F5</f>
        <v>0</v>
      </c>
      <c r="C2" s="125">
        <f>'내역서(표준단가)'!G5</f>
        <v>0</v>
      </c>
      <c r="D2" s="125" t="str">
        <f>'내역서(표준단가)'!H5</f>
        <v>M020853710050101</v>
      </c>
      <c r="E2" s="125">
        <f>'내역서(표준단가)'!I5</f>
        <v>0</v>
      </c>
      <c r="F2" s="126">
        <f>'내역서(표준단가)'!M5</f>
        <v>11.144</v>
      </c>
    </row>
    <row r="3" spans="1:6">
      <c r="A3" s="124" t="str">
        <f>'내역서(표준단가)'!A6</f>
        <v>E00000803071260301</v>
      </c>
      <c r="B3" s="125">
        <f>'내역서(표준단가)'!F6</f>
        <v>0</v>
      </c>
      <c r="C3" s="125" t="str">
        <f>'내역서(표준단가)'!G6</f>
        <v>E00000803071260301</v>
      </c>
      <c r="D3" s="125">
        <f>'내역서(표준단가)'!H6</f>
        <v>0</v>
      </c>
      <c r="E3" s="125">
        <f>'내역서(표준단가)'!I6</f>
        <v>0</v>
      </c>
      <c r="F3" s="126">
        <f>'내역서(표준단가)'!M6</f>
        <v>2.6520000000000001</v>
      </c>
    </row>
    <row r="4" spans="1:6">
      <c r="A4" s="124" t="str">
        <f>'내역서(표준단가)'!A7</f>
        <v>E00000803071260301</v>
      </c>
      <c r="B4" s="125">
        <f>'내역서(표준단가)'!F7</f>
        <v>0</v>
      </c>
      <c r="C4" s="125" t="str">
        <f>'내역서(표준단가)'!G7</f>
        <v>E00000803071260301</v>
      </c>
      <c r="D4" s="125">
        <f>'내역서(표준단가)'!H7</f>
        <v>0</v>
      </c>
      <c r="E4" s="125">
        <f>'내역서(표준단가)'!I7</f>
        <v>0</v>
      </c>
      <c r="F4" s="126">
        <f>'내역서(표준단가)'!M7</f>
        <v>1.7709999999999999</v>
      </c>
    </row>
    <row r="5" spans="1:6">
      <c r="A5" s="124" t="str">
        <f>'내역서(표준단가)'!A8</f>
        <v>M020809012520101</v>
      </c>
      <c r="B5" s="125">
        <f>'내역서(표준단가)'!F8</f>
        <v>0</v>
      </c>
      <c r="C5" s="125">
        <f>'내역서(표준단가)'!G8</f>
        <v>0</v>
      </c>
      <c r="D5" s="125" t="str">
        <f>'내역서(표준단가)'!H8</f>
        <v>M020809012520101</v>
      </c>
      <c r="E5" s="125">
        <f>'내역서(표준단가)'!I8</f>
        <v>0</v>
      </c>
      <c r="F5" s="126">
        <f>'내역서(표준단가)'!M8</f>
        <v>42.4</v>
      </c>
    </row>
    <row r="6" spans="1:6">
      <c r="A6" s="124" t="str">
        <f>'내역서(표준단가)'!A9</f>
        <v>E00000803071260401</v>
      </c>
      <c r="B6" s="125">
        <f>'내역서(표준단가)'!F9</f>
        <v>0</v>
      </c>
      <c r="C6" s="125" t="str">
        <f>'내역서(표준단가)'!G9</f>
        <v>E00000803071260401</v>
      </c>
      <c r="D6" s="125">
        <f>'내역서(표준단가)'!H9</f>
        <v>0</v>
      </c>
      <c r="E6" s="125">
        <f>'내역서(표준단가)'!I9</f>
        <v>0</v>
      </c>
      <c r="F6" s="126">
        <f>'내역서(표준단가)'!M9</f>
        <v>0.69510000000000005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1E73-A789-48BA-BA2B-93C99A59D794}">
  <dimension ref="A1"/>
  <sheetViews>
    <sheetView workbookViewId="0">
      <selection activeCell="Q23" sqref="Q23"/>
    </sheetView>
  </sheetViews>
  <sheetFormatPr defaultRowHeight="16.5"/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초원 23평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2025-02-20T05:18:20Z</cp:lastPrinted>
  <dcterms:created xsi:type="dcterms:W3CDTF">2020-09-15T23:52:51Z</dcterms:created>
  <dcterms:modified xsi:type="dcterms:W3CDTF">2025-03-05T03:57:58Z</dcterms:modified>
</cp:coreProperties>
</file>
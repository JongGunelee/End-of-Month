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filterPrivacy="1" codeName="현재_통합_문서"/>
  <xr:revisionPtr revIDLastSave="0" documentId="13_ncr:1_{05D02B2D-9B2C-4C47-A802-0B3026501A9C}" xr6:coauthVersionLast="47" xr6:coauthVersionMax="47" xr10:uidLastSave="{00000000-0000-0000-0000-000000000000}"/>
  <bookViews>
    <workbookView xWindow="-60" yWindow="-60" windowWidth="28920" windowHeight="15600" xr2:uid="{00000000-000D-0000-FFFF-FFFF00000000}"/>
  </bookViews>
  <sheets>
    <sheet name="PR당사안" sheetId="12" r:id="rId1"/>
    <sheet name="내역서(표준단가)" sheetId="4" r:id="rId2"/>
    <sheet name="상세내역" sheetId="9" r:id="rId3"/>
    <sheet name="Upload" sheetId="10" r:id="rId4"/>
    <sheet name="도면" sheetId="11" r:id="rId5"/>
  </sheets>
  <externalReferences>
    <externalReference r:id="rId6"/>
    <externalReference r:id="rId7"/>
    <externalReference r:id="rId8"/>
    <externalReference r:id="rId9"/>
  </externalReferences>
  <definedNames>
    <definedName name="_" hidden="1">#REF!</definedName>
    <definedName name="_Fill" hidden="1">#REF!</definedName>
    <definedName name="_Key1" hidden="1">#REF!</definedName>
    <definedName name="_Key2" hidden="1">#REF!</definedName>
    <definedName name="_Order1" hidden="1">255</definedName>
    <definedName name="_Order2" hidden="1">255</definedName>
    <definedName name="_Parse_Out" hidden="1">#REF!</definedName>
    <definedName name="_Regression_Int" hidden="1">1</definedName>
    <definedName name="_Sort" hidden="1">#REF!</definedName>
    <definedName name="a\" hidden="1">{#N/A,#N/A,TRUE,"자재관리";#N/A,#N/A,TRUE,"품질"}</definedName>
    <definedName name="A1C1" hidden="1">#REF!</definedName>
    <definedName name="AccessDatabase" hidden="1">"D:\공무jaje\98년품의-수불\98146.mdb"</definedName>
    <definedName name="a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dfasdf" hidden="1">{#N/A,#N/A,FALSE,"CCTV"}</definedName>
    <definedName name="as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USH" hidden="1">{"'Sheet1'!$E$23","'Sheet1'!$A$3:$H$19","'Sheet1'!$A$1:$H$19"}</definedName>
    <definedName name="copy2" hidden="1">{#N/A,#N/A,TRUE,"자재관리";#N/A,#N/A,TRUE,"품질"}</definedName>
    <definedName name="copy3" hidden="1">{#N/A,#N/A,TRUE,"자재관리";#N/A,#N/A,TRUE,"품질"}</definedName>
    <definedName name="copy4" hidden="1">{#N/A,#N/A,FALSE,"자재관리";#N/A,#N/A,FALSE,"자재관리";#N/A,#N/A,FALSE,"자재관리"}</definedName>
    <definedName name="cx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 hidden="1">{#N/A,#N/A,FALSE,"자재관리";#N/A,#N/A,FALSE,"자재관리";#N/A,#N/A,FALSE,"자재관리"}</definedName>
    <definedName name="DDD" hidden="1">#REF!</definedName>
    <definedName name="ddddd" hidden="1">#REF!</definedName>
    <definedName name="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V" hidden="1">{#N/A,#N/A,FALSE,"자재관리";#N/A,#N/A,FALSE,"자재관리";#N/A,#N/A,FALSE,"자재관리"}</definedName>
    <definedName name="D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d" hidden="1">{#N/A,#N/A,FALSE,"자재관리";#N/A,#N/A,FALSE,"자재관리";#N/A,#N/A,FALSE,"자재관리"}</definedName>
    <definedName name="DKFDK" hidden="1">{#N/A,#N/A,FALSE,"전력간선"}</definedName>
    <definedName name="DW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 hidden="1">{#N/A,#N/A,FALSE,"CCTV"}</definedName>
    <definedName name="FFFF" hidden="1">{#N/A,#N/A,FALSE,"자재관리";#N/A,#N/A,FALSE,"자재관리";#N/A,#N/A,FALSE,"자재관리"}</definedName>
    <definedName name="FFFFFF" hidden="1">{#N/A,#N/A,FALSE,"자재관리";#N/A,#N/A,FALSE,"자재관리";#N/A,#N/A,FALSE,"자재관리"}</definedName>
    <definedName name="fffffff" hidden="1">{#N/A,#N/A,FALSE,"자재관리";#N/A,#N/A,FALSE,"자재관리";#N/A,#N/A,FALSE,"자재관리"}</definedName>
    <definedName name="ffffff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 hidden="1">{#N/A,#N/A,FALSE,"전력간선"}</definedName>
    <definedName name="F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HFH" hidden="1">#REF!</definedName>
    <definedName name="FHFK" hidden="1">#REF!</definedName>
    <definedName name="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HHH" hidden="1">#REF!</definedName>
    <definedName name="HHHHH" hidden="1">{#N/A,#N/A,FALSE,"자재관리";#N/A,#N/A,FALSE,"자재관리";#N/A,#N/A,FALSE,"자재관리"}</definedName>
    <definedName name="HHHHHH" hidden="1">{#N/A,#N/A,FALSE,"자재관리";#N/A,#N/A,FALSE,"자재관리";#N/A,#N/A,FALSE,"자재관리"}</definedName>
    <definedName name="HMH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ML_CodePage" hidden="1">949</definedName>
    <definedName name="HTML_Control" hidden="1">{"'Sheet1'!$E$23","'Sheet1'!$A$3:$H$19","'Sheet1'!$A$1:$H$19"}</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"C:\개발일반\U-PJT\MyHTML.htm"</definedName>
    <definedName name="HTML_PathTemplate" hidden="1">"C:\개발일반\U-PJT\HTMLTemp.htm"</definedName>
    <definedName name="HTML_Title" hidden="1">""</definedName>
    <definedName name="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JJJ" hidden="1">{#N/A,#N/A,FALSE,"자재관리";#N/A,#N/A,FALSE,"자재관리";#N/A,#N/A,FALSE,"자재관리"}</definedName>
    <definedName name="JYJ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 hidden="1">{#N/A,#N/A,FALSE,"자재관리";#N/A,#N/A,FALSE,"자재관리";#N/A,#N/A,FALSE,"자재관리"}</definedName>
    <definedName name="k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KK" hidden="1">#REF!</definedName>
    <definedName name="kkkkk" hidden="1">{#N/A,#N/A,FALSE,"자재관리";#N/A,#N/A,FALSE,"자재관리";#N/A,#N/A,FALSE,"자재관리"}</definedName>
    <definedName name="knauf" hidden="1">{#N/A,#N/A,FALSE,"자재관리";#N/A,#N/A,FALSE,"자재관리";#N/A,#N/A,FALSE,"자재관리"}</definedName>
    <definedName name="KU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 hidden="1">{#N/A,#N/A,TRUE,"자재관리";#N/A,#N/A,TRUE,"품질"}</definedName>
    <definedName name="lj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ll" hidden="1">#REF!</definedName>
    <definedName name="MC" hidden="1">{#N/A,#N/A,FALSE,"자재관리";#N/A,#N/A,FALSE,"자재관리";#N/A,#N/A,FALSE,"자재관리"}</definedName>
    <definedName name="MM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eotech" hidden="1">{#N/A,#N/A,FALSE,"자재관리";#N/A,#N/A,FALSE,"자재관리";#N/A,#N/A,FALSE,"자재관리"}</definedName>
    <definedName name="NEWNAME" hidden="1">{#N/A,#N/A,FALSE,"CCTV"}</definedName>
    <definedName name="n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OOO" hidden="1">#REF!</definedName>
    <definedName name="OOOOOO" hidden="1">{#N/A,#N/A,FALSE,"자재관리";#N/A,#N/A,FALSE,"자재관리";#N/A,#N/A,FALSE,"자재관리"}</definedName>
    <definedName name="PRESS" hidden="1">{"'Sheet1'!$E$23","'Sheet1'!$A$3:$H$19","'Sheet1'!$A$1:$H$19"}</definedName>
    <definedName name="press1" hidden="1">{"'Sheet1'!$E$23","'Sheet1'!$A$3:$H$19","'Sheet1'!$A$1:$H$19"}</definedName>
    <definedName name="_xlnm.Print_Area">#REF!</definedName>
    <definedName name="_xlnm.Print_Titles">#REF!,#REF!</definedName>
    <definedName name="Q" hidden="1">{#N/A,#N/A,FALSE,"자재관리";#N/A,#N/A,FALSE,"자재관리";#N/A,#N/A,FALSE,"자재관리"}</definedName>
    <definedName name="qqq" hidden="1">{#N/A,#N/A,FALSE,"전력간선"}</definedName>
    <definedName name="QQQW" hidden="1">{#N/A,#N/A,FALSE,"전력간선"}</definedName>
    <definedName name="ret" hidden="1">{#N/A,#N/A,FALSE,"전력간선"}</definedName>
    <definedName name="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IRI" hidden="1">{#N/A,#N/A,FALSE,"전력간선"}</definedName>
    <definedName name="RK" hidden="1">#REF!</definedName>
    <definedName name="rP"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 hidden="1">{#N/A,#N/A,FALSE,"전력간선"}</definedName>
    <definedName name="R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thyetyuety" hidden="1">{#N/A,#N/A,TRUE,"자재관리";#N/A,#N/A,TRUE,"품질"}</definedName>
    <definedName name="SD" hidden="1">{#N/A,#N/A,FALSE,"자재관리";#N/A,#N/A,FALSE,"자재관리";#N/A,#N/A,FALSE,"자재관리"}</definedName>
    <definedName name="S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ORT" hidden="1">#REF!</definedName>
    <definedName name="sss" hidden="1">{#N/A,#N/A,FALSE,"전력간선"}</definedName>
    <definedName name="SVS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t" hidden="1">{#N/A,#N/A,TRUE,"자재관리";#N/A,#N/A,TRUE,"품질"}</definedName>
    <definedName name="tka" hidden="1">{#N/A,#N/A,FALSE,"전력간선"}</definedName>
    <definedName name="TTTT" hidden="1">#REF!</definedName>
    <definedName name="uwehdiueih" hidden="1">{#N/A,#N/A,FALSE,"자재관리";#N/A,#N/A,FALSE,"자재관리";#N/A,#N/A,FALSE,"자재관리"}</definedName>
    <definedName name="VSV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JDEHDRHS" hidden="1">{#N/A,#N/A,FALSE,"CCTV"}</definedName>
    <definedName name="WQ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ITE" hidden="1">{#N/A,#N/A,FALSE,"CCTV"}</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34건물기초." hidden="1">{#N/A,#N/A,FALSE,"집계";#N/A,#N/A,FALSE,"표지";#N/A,#N/A,FALSE,"터빈집계";#N/A,#N/A,FALSE,"터빈내역";#N/A,#N/A,FALSE,"주제어집계";#N/A,#N/A,FALSE,"주제어내역";#N/A,#N/A,FALSE,"보일러집계";#N/A,#N/A,FALSE,"보일러내역"}</definedName>
    <definedName name="wrn.6월._.자재관리._.현황." hidden="1">{#N/A,#N/A,FALSE,"자재관리";#N/A,#N/A,FALSE,"자재관리";#N/A,#N/A,FALSE,"자재관리"}</definedName>
    <definedName name="wrn.abc." hidden="1">{#N/A,#N/A,TRUE,"천상그린44PY"}</definedName>
    <definedName name="wrn.ac30prn." hidden="1">{#N/A,#N/A,FALSE,"별표20 ";#N/A,#N/A,FALSE,"부표";#N/A,#N/A,FALSE,"품셈내역";#N/A,#N/A,FALSE,"품셈집계";#N/A,#N/A,FALSE,"내역서";#N/A,#N/A,FALSE,"집계표";#N/A,#N/A,FALSE,"표지";#N/A,#N/A,FALSE,"별표총괄표"}</definedName>
    <definedName name="wrn.BM." hidden="1">{#N/A,#N/A,FALSE,"CCTV"}</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교대구조계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육청." hidden="1">{#N/A,#N/A,FALSE,"전력간선"}</definedName>
    <definedName name="wrn.기성." hidden="1">{#N/A,#N/A,FALSE,"신청통보";#N/A,#N/A,FALSE,"기성확인서";#N/A,#N/A,FALSE,"기성내역서"}</definedName>
    <definedName name="wrn.기초." hidden="1">{#N/A,#N/A,FALSE,"터빈집계";#N/A,#N/A,FALSE,"터빈내역";#N/A,#N/A,FALSE,"보일러집계";#N/A,#N/A,FALSE,"보일러내역"}</definedName>
    <definedName name="wrn.보고서." hidden="1">{#N/A,#N/A,TRUE,"자재관리";#N/A,#N/A,TRUE,"품질"}</definedName>
    <definedName name="wrn.보일러마감." hidden="1">{#N/A,#N/A,FALSE,"물가변동 (2)";#N/A,#N/A,FALSE,"공사비";#N/A,#N/A,FALSE,"사급";#N/A,#N/A,FALSE,"도급집계";#N/A,#N/A,FALSE,"재료비";#N/A,#N/A,FALSE,"노무비";#N/A,#N/A,FALSE,"경비"}</definedName>
    <definedName name="wrn.시행결의." hidden="1">{#N/A,#N/A,FALSE,"도급대비시행율";#N/A,#N/A,FALSE,"결의서";#N/A,#N/A,FALSE,"내역서";#N/A,#N/A,FALSE,"도급예상"}</definedName>
    <definedName name="wrn.외주기성." hidden="1">{#N/A,#N/A,FALSE,"신청통보";#N/A,#N/A,FALSE,"기성확인서";#N/A,#N/A,FALSE,"기성내역서"}</definedName>
    <definedName name="wrn.일위대가." hidden="1">{#N/A,#N/A,TRUE,"대가1"}</definedName>
    <definedName name="W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X" hidden="1">{#N/A,#N/A,TRUE,"자재관리";#N/A,#N/A,TRUE,"품질"}</definedName>
    <definedName name="yy" hidden="1">{#N/A,#N/A,FALSE,"전력간선"}</definedName>
    <definedName name="YY0" hidden="1">{#N/A,#N/A,FALSE,"전력간선"}</definedName>
    <definedName name="yyy" hidden="1">[1]수량산출!$A$1:$A$8561</definedName>
    <definedName name="yyy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가스" hidden="1">{#N/A,#N/A,FALSE,"CCTV"}</definedName>
    <definedName name="가스실행내역" hidden="1">{#N/A,#N/A,FALSE,"전력간선"}</definedName>
    <definedName name="가실" hidden="1">{#N/A,#N/A,FALSE,"전력간선"}</definedName>
    <definedName name="가아" hidden="1">[2]수량산출!#REF!</definedName>
    <definedName name="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아지" hidden="1">#REF!</definedName>
    <definedName name="개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거ㅏ" hidden="1">[3]수량산출!$A$3:$H$8539</definedName>
    <definedName name="건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겨격" hidden="1">#REF!</definedName>
    <definedName name="견적" hidden="1">'[4]내역서1999.8최종'!$A$1:$A$2438</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수" hidden="1">{#N/A,#N/A,FALSE,"도급대비시행율";#N/A,#N/A,FALSE,"결의서";#N/A,#N/A,FALSE,"내역서";#N/A,#N/A,FALSE,"도급예상"}</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영목표2" hidden="1">{#N/A,#N/A,FALSE,"자재관리";#N/A,#N/A,FALSE,"자재관리";#N/A,#N/A,FALSE,"자재관리"}</definedName>
    <definedName name="계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공내역" hidden="1">{#N/A,#N/A,FALSE,"CCTV"}</definedName>
    <definedName name="공문" hidden="1">{#N/A,#N/A,FALSE,"자재관리";#N/A,#N/A,FALSE,"자재관리";#N/A,#N/A,FALSE,"자재관리"}</definedName>
    <definedName name="공문1" hidden="1">{#N/A,#N/A,FALSE,"자재관리";#N/A,#N/A,FALSE,"자재관리";#N/A,#N/A,FALSE,"자재관리"}</definedName>
    <definedName name="공장동" hidden="1">#REF!</definedName>
    <definedName name="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자관" hidden="1">{#N/A,#N/A,FALSE,"신청통보";#N/A,#N/A,FALSE,"기성확인서";#N/A,#N/A,FALSE,"기성내역서"}</definedName>
    <definedName name="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 hidden="1">{#N/A,#N/A,TRUE,"자재관리";#N/A,#N/A,TRUE,"품질"}</definedName>
    <definedName name="기계단가1" hidden="1">{#N/A,#N/A,FALSE,"전력간선"}</definedName>
    <definedName name="기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hidden="1">{#N/A,#N/A,FALSE,"도급대비시행율";#N/A,#N/A,FALSE,"결의서";#N/A,#N/A,FALSE,"내역서";#N/A,#N/A,FALSE,"도급예상"}</definedName>
    <definedName name="길화건업" hidden="1">{#N/A,#N/A,FALSE,"집계";#N/A,#N/A,FALSE,"표지";#N/A,#N/A,FALSE,"터빈집계";#N/A,#N/A,FALSE,"터빈내역";#N/A,#N/A,FALSE,"주제어집계";#N/A,#N/A,FALSE,"주제어내역";#N/A,#N/A,FALSE,"보일러집계";#N/A,#N/A,FALSE,"보일러내역"}</definedName>
    <definedName name="김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 hidden="1">{#N/A,#N/A,TRUE,"자재관리";#N/A,#N/A,TRUE,"품질"}</definedName>
    <definedName name="ㄴㄴㄴ" hidden="1">{#N/A,#N/A,FALSE,"자재관리";#N/A,#N/A,FALSE,"자재관리";#N/A,#N/A,FALSE,"자재관리"}</definedName>
    <definedName name="ㄴㄴㄴㄴ" hidden="1">#REF!</definedName>
    <definedName name="ㄴㄴㄴㄴㄴ" hidden="1">{#N/A,#N/A,TRUE,"자재관리";#N/A,#N/A,TRUE,"품질"}</definedName>
    <definedName name="ㄴㄹㄴ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ㅁㅁㅁ" hidden="1">{#N/A,#N/A,FALSE,"자재관리";#N/A,#N/A,FALSE,"자재관리";#N/A,#N/A,FALSE,"자재관리"}</definedName>
    <definedName name="ㄴㅌㄴㅌ" hidden="1">{#N/A,#N/A,FALSE,"CCTV"}</definedName>
    <definedName name="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역" hidden="1">{#N/A,#N/A,FALSE,"CCTV"}</definedName>
    <definedName name="내역점검" hidden="1">{#N/A,#N/A,FALSE,"전력간선"}</definedName>
    <definedName name="내작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ㄷ" hidden="1">#REF!</definedName>
    <definedName name="ㄷㅅ"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단가산출서" hidden="1">{#N/A,#N/A,FALSE,"전력간선"}</definedName>
    <definedName name="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동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32" hidden="1">#REF!</definedName>
    <definedName name="ㄹㅇㄹㅇ" hidden="1">#REF!</definedName>
    <definedName name="러헐" hidden="1">{#N/A,#N/A,FALSE,"도급대비시행율";#N/A,#N/A,FALSE,"결의서";#N/A,#N/A,FALSE,"내역서";#N/A,#N/A,FALSE,"도급예상"}</definedName>
    <definedName name="럭키" hidden="1">{#N/A,#N/A,FALSE,"전력간선"}</definedName>
    <definedName name="롯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ㅁ" hidden="1">{#N/A,#N/A,FALSE,"자재관리";#N/A,#N/A,FALSE,"자재관리";#N/A,#N/A,FALSE,"자재관리"}</definedName>
    <definedName name="ㅁㄱㄷ" hidden="1">{#N/A,#N/A,FALSE,"자재관리";#N/A,#N/A,FALSE,"자재관리";#N/A,#N/A,FALSE,"자재관리"}</definedName>
    <definedName name="ㅁㅁ" hidden="1">{#N/A,#N/A,FALSE,"전력간선"}</definedName>
    <definedName name="ㅁㅇ" hidden="1">{#N/A,#N/A,FALSE,"자재관리";#N/A,#N/A,FALSE,"자재관리";#N/A,#N/A,FALSE,"자재관리"}</definedName>
    <definedName name="마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명신" hidden="1">{#N/A,#N/A,FALSE,"전력간선"}</definedName>
    <definedName name="목표" hidden="1">{#N/A,#N/A,FALSE,"자재관리";#N/A,#N/A,FALSE,"자재관리";#N/A,#N/A,FALSE,"자재관리"}</definedName>
    <definedName name="뮹ㅊ"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 hidden="1">{#N/A,#N/A,FALSE,"전력간선"}</definedName>
    <definedName name="ㅂㄷ"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렟"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ㅅ" hidden="1">{#N/A,#N/A,FALSE,"자재관리";#N/A,#N/A,FALSE,"자재관리";#N/A,#N/A,FALSE,"자재관리"}</definedName>
    <definedName name="ㅅㅅ" hidden="1">#REF!</definedName>
    <definedName name="산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삼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서원열" hidden="1">{#N/A,#N/A,FALSE,"자재관리";#N/A,#N/A,FALSE,"자재관리";#N/A,#N/A,FALSE,"자재관리"}</definedName>
    <definedName name="서원영" hidden="1">{#N/A,#N/A,FALSE,"자재관리";#N/A,#N/A,FALSE,"자재관리";#N/A,#N/A,FALSE,"자재관리"}</definedName>
    <definedName name="석"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현" hidden="1">{#N/A,#N/A,FALSE,"자재관리";#N/A,#N/A,FALSE,"자재관리";#N/A,#N/A,FALSE,"자재관리"}</definedName>
    <definedName name="소화갑지" hidden="1">{#N/A,#N/A,FALSE,"CCTV"}</definedName>
    <definedName name="수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쌍용"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 hidden="1">{#N/A,#N/A,TRUE,"자재관리";#N/A,#N/A,TRUE,"품질"}</definedName>
    <definedName name="ㅇㄴㅇㄴ" hidden="1">{#N/A,#N/A,FALSE,"CCTV"}</definedName>
    <definedName name="ㅇㄹㅇㄹ" hidden="1">#REF!</definedName>
    <definedName name="ㅇㅀ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ㅇ" hidden="1">{#N/A,#N/A,FALSE,"자재관리";#N/A,#N/A,FALSE,"자재관리";#N/A,#N/A,FALSE,"자재관리"}</definedName>
    <definedName name="ㅇㅇㄹ" hidden="1">#REF!</definedName>
    <definedName name="ㅇㅇㄹㄴㅁㄹ" hidden="1">{#N/A,#N/A,FALSE,"자재관리";#N/A,#N/A,FALSE,"자재관리";#N/A,#N/A,FALSE,"자재관리"}</definedName>
    <definedName name="ㅇㅇㅇㅇㅇ" hidden="1">{#N/A,#N/A,TRUE,"자재관리";#N/A,#N/A,TRUE,"품질"}</definedName>
    <definedName name="아" hidden="1">{#N/A,#N/A,FALSE,"자재관리";#N/A,#N/A,FALSE,"자재관리";#N/A,#N/A,FALSE,"자재관리"}</definedName>
    <definedName name="아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이템별투자" hidden="1">{#N/A,#N/A,FALSE,"자재관리";#N/A,#N/A,FALSE,"자재관리";#N/A,#N/A,FALSE,"자재관리"}</definedName>
    <definedName name="안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암거" hidden="1">#REF!</definedName>
    <definedName name="앙" hidden="1">{#N/A,#N/A,FALSE,"자재관리";#N/A,#N/A,FALSE,"자재관리";#N/A,#N/A,FALSE,"자재관리"}</definedName>
    <definedName name="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 hidden="1">{#N/A,#N/A,FALSE,"자재관리";#N/A,#N/A,FALSE,"자재관리";#N/A,#N/A,FALSE,"자재관리"}</definedName>
    <definedName name="양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업" hidden="1">{#N/A,#N/A,FALSE,"집계";#N/A,#N/A,FALSE,"표지";#N/A,#N/A,FALSE,"터빈집계";#N/A,#N/A,FALSE,"터빈내역";#N/A,#N/A,FALSE,"주제어집계";#N/A,#N/A,FALSE,"주제어내역";#N/A,#N/A,FALSE,"보일러집계";#N/A,#N/A,FALSE,"보일러내역"}</definedName>
    <definedName name="업소용" hidden="1">{#N/A,#N/A,TRUE,"자재관리";#N/A,#N/A,TRUE,"품질"}</definedName>
    <definedName name="업소용생산1팀" hidden="1">{#N/A,#N/A,FALSE,"자재관리";#N/A,#N/A,FALSE,"자재관리";#N/A,#N/A,FALSE,"자재관리"}</definedName>
    <definedName name="역"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염" hidden="1">{#N/A,#N/A,FALSE,"전력간선"}</definedName>
    <definedName name="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조" hidden="1">{#N/A,#N/A,FALSE,"전력간선"}</definedName>
    <definedName name="예상도급내역" hidden="1">{#N/A,#N/A,FALSE,"CCTV"}</definedName>
    <definedName name="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완공3" hidden="1">#REF!</definedName>
    <definedName name="우인보고표지" hidden="1">{#N/A,#N/A,FALSE,"자재관리";#N/A,#N/A,FALSE,"자재관리";#N/A,#N/A,FALSE,"자재관리"}</definedName>
    <definedName name="우인표지" hidden="1">{#N/A,#N/A,TRUE,"자재관리";#N/A,#N/A,TRUE,"품질"}</definedName>
    <definedName name="원가TABLE" hidden="1">{#N/A,#N/A,TRUE,"자재관리";#N/A,#N/A,TRUE,"품질"}</definedName>
    <definedName name="원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을" hidden="1">{#N/A,#N/A,FALSE,"도급대비시행율";#N/A,#N/A,FALSE,"결의서";#N/A,#N/A,FALSE,"내역서";#N/A,#N/A,FALSE,"도급예상"}</definedName>
    <definedName name="이" hidden="1">{#N/A,#N/A,FALSE,"자재관리";#N/A,#N/A,FALSE,"자재관리";#N/A,#N/A,FALSE,"자재관리"}</definedName>
    <definedName name="이름" hidden="1">{#N/A,#N/A,FALSE,"전력간선"}</definedName>
    <definedName name="이봉해" hidden="1">{#N/A,#N/A,FALSE,"자재관리";#N/A,#N/A,FALSE,"자재관리";#N/A,#N/A,FALSE,"자재관리"}</definedName>
    <definedName name="이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일" hidden="1">{#N/A,#N/A,FALSE,"도급대비시행율";#N/A,#N/A,FALSE,"결의서";#N/A,#N/A,FALSE,"내역서";#N/A,#N/A,FALSE,"도급예상"}</definedName>
    <definedName name="ㅈ" hidden="1">{#N/A,#N/A,FALSE,"자재관리";#N/A,#N/A,FALSE,"자재관리";#N/A,#N/A,FALSE,"자재관리"}</definedName>
    <definedName name="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재료" hidden="1">{#N/A,#N/A,FALSE,"자재관리";#N/A,#N/A,FALSE,"자재관리";#N/A,#N/A,FALSE,"자재관리"}</definedName>
    <definedName name="재료비1" hidden="1">{#N/A,#N/A,FALSE,"자재관리";#N/A,#N/A,FALSE,"자재관리";#N/A,#N/A,FALSE,"자재관리"}</definedName>
    <definedName name="전기" hidden="1">{#N/A,#N/A,FALSE,"전력간선"}</definedName>
    <definedName name="전년" hidden="1">{#N/A,#N/A,FALSE,"자재관리";#N/A,#N/A,FALSE,"자재관리";#N/A,#N/A,FALSE,"자재관리"}</definedName>
    <definedName name="전년월" hidden="1">{#N/A,#N/A,FALSE,"자재관리";#N/A,#N/A,FALSE,"자재관리";#N/A,#N/A,FALSE,"자재관리"}</definedName>
    <definedName name="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화조" hidden="1">{#N/A,#N/A,FALSE,"CCTV"}</definedName>
    <definedName name="조정내역2" hidden="1">{#N/A,#N/A,FALSE,"전력간선"}</definedName>
    <definedName name="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1" hidden="1">{#N/A,#N/A,FALSE,"자재관리";#N/A,#N/A,FALSE,"자재관리";#N/A,#N/A,FALSE,"자재관리"}</definedName>
    <definedName name="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최종갑지1" hidden="1">{#N/A,#N/A,FALSE,"전력간선"}</definedName>
    <definedName name="추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ㅌㅍㅊㅇㅌㅎ" hidden="1">{#N/A,#N/A,FALSE,"도급대비시행율";#N/A,#N/A,FALSE,"결의서";#N/A,#N/A,FALSE,"내역서";#N/A,#N/A,FALSE,"도급예상"}</definedName>
    <definedName name="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자및자재" hidden="1">{#N/A,#N/A,FALSE,"자재관리";#N/A,#N/A,FALSE,"자재관리";#N/A,#N/A,FALSE,"자재관리"}</definedName>
    <definedName name="투자비내역" hidden="1">{#N/A,#N/A,TRUE,"자재관리";#N/A,#N/A,TRUE,"품질"}</definedName>
    <definedName name="팀별" hidden="1">{#N/A,#N/A,FALSE,"자재관리";#N/A,#N/A,FALSE,"자재관리";#N/A,#N/A,FALSE,"자재관리"}</definedName>
    <definedName name="ㅍㅍ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편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표지1" hidden="1">{#N/A,#N/A,FALSE,"자재관리";#N/A,#N/A,FALSE,"자재관리";#N/A,#N/A,FALSE,"자재관리"}</definedName>
    <definedName name="ㅎ" hidden="1">{#N/A,#N/A,TRUE,"자재관리";#N/A,#N/A,TRUE,"품질"}</definedName>
    <definedName name="ㅎㅀ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ㅀㅀㅀㄹ" hidden="1">{#N/A,#N/A,FALSE,"CCTV"}</definedName>
    <definedName name="하행터널" hidden="1">{#N/A,#N/A,TRUE,"대가1"}</definedName>
    <definedName name="한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설자재수량검토" hidden="1">{#N/A,#N/A,FALSE,"전력간선"}</definedName>
    <definedName name="호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ㅏㅏㅏ" hidden="1">{"'Sheet1'!$E$23","'Sheet1'!$A$3:$H$19","'Sheet1'!$A$1:$H$19"}</definedName>
    <definedName name="ㅏㅓㅏ" hidden="1">{#N/A,#N/A,FALSE,"물가변동 (2)";#N/A,#N/A,FALSE,"공사비";#N/A,#N/A,FALSE,"사급";#N/A,#N/A,FALSE,"도급집계";#N/A,#N/A,FALSE,"재료비";#N/A,#N/A,FALSE,"노무비";#N/A,#N/A,FALSE,"경비"}</definedName>
    <definedName name="ㅏㅓㅗ" hidden="1">{#N/A,#N/A,FALSE,"전력간선"}</definedName>
    <definedName name="ㅓ" hidden="1">{#N/A,#N/A,TRUE,"자재관리";#N/A,#N/A,TRUE,"품질"}</definedName>
    <definedName name="ㅗㅗㅗ"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ㅛ" hidden="1">{#N/A,#N/A,FALSE,"자재관리";#N/A,#N/A,FALSE,"자재관리";#N/A,#N/A,FALSE,"자재관리"}</definedName>
    <definedName name="ㅛㅛㅛㅛ" hidden="1">[1]수량산출!$A$1:$A$8561</definedName>
    <definedName name="ㅜ" hidden="1">[3]수량산출!#REF!</definedName>
    <definedName name="ㅜㅜㅜㅜㅜㅜㅜㅜㅜㅜㅜㅜㅜㅜㅜㅜㅜㅜㅜㅜㅜㅜㅜㅜㅜㅜㅜㅜㅜㅜㅜㅜㅜㅜㅜㅜㅜㅜㅜㅜㅜㅜ" hidden="1">{#N/A,#N/A,FALSE,"CCTV"}</definedName>
    <definedName name="ㅠ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ㅡㅗ" hidden="1">{#N/A,#N/A,FALSE,"전력간선"}</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1" i="12" l="1"/>
  <c r="J21" i="12"/>
  <c r="J19" i="12"/>
  <c r="J18" i="12"/>
  <c r="J29" i="12"/>
  <c r="Q6" i="9"/>
  <c r="Q5" i="9"/>
  <c r="J23" i="12" l="1"/>
  <c r="J26" i="12"/>
  <c r="J25" i="12"/>
  <c r="J27" i="12" s="1"/>
  <c r="J24" i="12"/>
  <c r="J22" i="12"/>
  <c r="F9" i="10"/>
  <c r="E9" i="10"/>
  <c r="D9" i="10"/>
  <c r="C9" i="10"/>
  <c r="B9" i="10"/>
  <c r="F8" i="10"/>
  <c r="E8" i="10"/>
  <c r="D8" i="10"/>
  <c r="C8" i="10"/>
  <c r="B8" i="10"/>
  <c r="F7" i="10"/>
  <c r="E7" i="10"/>
  <c r="D7" i="10"/>
  <c r="C7" i="10"/>
  <c r="B7" i="10"/>
  <c r="F6" i="10"/>
  <c r="E6" i="10"/>
  <c r="D6" i="10"/>
  <c r="C6" i="10"/>
  <c r="B6" i="10"/>
  <c r="F5" i="10"/>
  <c r="E5" i="10"/>
  <c r="D5" i="10"/>
  <c r="C5" i="10"/>
  <c r="B5" i="10"/>
  <c r="F4" i="10"/>
  <c r="E4" i="10"/>
  <c r="D4" i="10"/>
  <c r="C4" i="10"/>
  <c r="B4" i="10"/>
  <c r="F3" i="10"/>
  <c r="E3" i="10"/>
  <c r="D3" i="10"/>
  <c r="C3" i="10"/>
  <c r="B3" i="10"/>
  <c r="F2" i="10"/>
  <c r="E2" i="10"/>
  <c r="D2" i="10"/>
  <c r="C2" i="10"/>
  <c r="B2" i="10"/>
  <c r="J28" i="12" l="1"/>
  <c r="J20" i="12" s="1"/>
  <c r="Q5" i="4"/>
  <c r="O5" i="4"/>
  <c r="M5" i="4"/>
  <c r="K5" i="4"/>
  <c r="A5" i="4"/>
  <c r="A2" i="10" s="1"/>
  <c r="J30" i="12" l="1"/>
  <c r="R5" i="4"/>
  <c r="M32" i="12" l="1"/>
  <c r="B15" i="12" s="1"/>
  <c r="H26" i="9"/>
  <c r="N26" i="9" s="1"/>
  <c r="Q12" i="4"/>
  <c r="O12" i="4"/>
  <c r="M12" i="4"/>
  <c r="K12" i="4"/>
  <c r="A12" i="4"/>
  <c r="A9" i="10" s="1"/>
  <c r="Q7" i="4"/>
  <c r="O7" i="4"/>
  <c r="M7" i="4"/>
  <c r="K7" i="4"/>
  <c r="A7" i="4"/>
  <c r="A4" i="10" s="1"/>
  <c r="Q6" i="4"/>
  <c r="O6" i="4"/>
  <c r="M6" i="4"/>
  <c r="K6" i="4"/>
  <c r="A6" i="4"/>
  <c r="A3" i="10" s="1"/>
  <c r="R6" i="4" l="1"/>
  <c r="R12" i="4"/>
  <c r="R7" i="4"/>
  <c r="F20" i="9" l="1"/>
  <c r="N20" i="9" s="1"/>
  <c r="K9" i="4"/>
  <c r="R9" i="4" s="1"/>
  <c r="A9" i="4"/>
  <c r="A6" i="10" s="1"/>
  <c r="L27" i="9" l="1"/>
  <c r="J27" i="9"/>
  <c r="H27" i="9"/>
  <c r="L25" i="9"/>
  <c r="J25" i="9"/>
  <c r="H24" i="9"/>
  <c r="F24" i="9"/>
  <c r="H23" i="9"/>
  <c r="F23" i="9"/>
  <c r="H22" i="9"/>
  <c r="F22" i="9"/>
  <c r="H21" i="9"/>
  <c r="F21" i="9"/>
  <c r="L18" i="9"/>
  <c r="J18" i="9"/>
  <c r="D18" i="9"/>
  <c r="H17" i="9"/>
  <c r="F17" i="9"/>
  <c r="H16" i="9"/>
  <c r="F16" i="9"/>
  <c r="H15" i="9"/>
  <c r="F15" i="9"/>
  <c r="H14" i="9"/>
  <c r="F14" i="9"/>
  <c r="L13" i="9"/>
  <c r="J13" i="9"/>
  <c r="H7" i="9"/>
  <c r="F7" i="9"/>
  <c r="H5" i="9"/>
  <c r="F5" i="9"/>
  <c r="J28" i="9" l="1"/>
  <c r="L28" i="9"/>
  <c r="N22" i="9"/>
  <c r="N15" i="9"/>
  <c r="N17" i="9"/>
  <c r="N14" i="9"/>
  <c r="F25" i="9"/>
  <c r="H18" i="9"/>
  <c r="N23" i="9"/>
  <c r="F13" i="9"/>
  <c r="N16" i="9"/>
  <c r="H25" i="9"/>
  <c r="H13" i="9"/>
  <c r="N7" i="9"/>
  <c r="N24" i="9"/>
  <c r="N21" i="9"/>
  <c r="N27" i="9"/>
  <c r="N5" i="9"/>
  <c r="F18" i="9"/>
  <c r="H28" i="9" l="1"/>
  <c r="F28" i="9"/>
  <c r="N18" i="9"/>
  <c r="N13" i="9"/>
  <c r="N25" i="9"/>
  <c r="N28" i="9" l="1"/>
  <c r="A11" i="4" l="1"/>
  <c r="A8" i="10" s="1"/>
  <c r="A10" i="4"/>
  <c r="A7" i="10" s="1"/>
  <c r="A8" i="4"/>
  <c r="A5" i="10" s="1"/>
  <c r="Q11" i="4" l="1"/>
  <c r="O11" i="4"/>
  <c r="M11" i="4"/>
  <c r="K11" i="4"/>
  <c r="Q10" i="4"/>
  <c r="O10" i="4"/>
  <c r="M10" i="4"/>
  <c r="K10" i="4"/>
  <c r="Q8" i="4"/>
  <c r="O8" i="4"/>
  <c r="M8" i="4"/>
  <c r="K8" i="4"/>
  <c r="M13" i="4" l="1"/>
  <c r="R8" i="4"/>
  <c r="R11" i="4"/>
  <c r="R10" i="4"/>
  <c r="Q13" i="4" l="1"/>
  <c r="K13" i="4"/>
  <c r="O13" i="4"/>
  <c r="R13" i="4" l="1"/>
</calcChain>
</file>

<file path=xl/sharedStrings.xml><?xml version="1.0" encoding="utf-8"?>
<sst xmlns="http://schemas.openxmlformats.org/spreadsheetml/2006/main" count="218" uniqueCount="169">
  <si>
    <t>수량</t>
  </si>
  <si>
    <t>식</t>
    <phoneticPr fontId="12" type="noConversion"/>
  </si>
  <si>
    <t>할증기준</t>
    <phoneticPr fontId="6" type="noConversion"/>
  </si>
  <si>
    <t>단위</t>
  </si>
  <si>
    <t xml:space="preserve"> 내   역   서</t>
    <phoneticPr fontId="12" type="noConversion"/>
  </si>
  <si>
    <t>품        명</t>
    <phoneticPr fontId="12" type="noConversion"/>
  </si>
  <si>
    <t>규      격</t>
  </si>
  <si>
    <t>수 량</t>
    <phoneticPr fontId="12" type="noConversion"/>
  </si>
  <si>
    <t xml:space="preserve">재    료   비   </t>
    <phoneticPr fontId="12" type="noConversion"/>
  </si>
  <si>
    <t>노   무   비</t>
    <phoneticPr fontId="12" type="noConversion"/>
  </si>
  <si>
    <t xml:space="preserve"> 기계경비</t>
    <phoneticPr fontId="8" type="noConversion"/>
  </si>
  <si>
    <t xml:space="preserve"> 기타경비(부자재비)</t>
    <phoneticPr fontId="8" type="noConversion"/>
  </si>
  <si>
    <t>합  계</t>
    <phoneticPr fontId="12" type="noConversion"/>
  </si>
  <si>
    <t>비  고</t>
    <phoneticPr fontId="12" type="noConversion"/>
  </si>
  <si>
    <t>단   가</t>
    <phoneticPr fontId="12" type="noConversion"/>
  </si>
  <si>
    <t>금     액</t>
    <phoneticPr fontId="12" type="noConversion"/>
  </si>
  <si>
    <t>금    액</t>
    <phoneticPr fontId="12" type="noConversion"/>
  </si>
  <si>
    <t>1.도배</t>
    <phoneticPr fontId="12" type="noConversion"/>
  </si>
  <si>
    <t>거실 벽면</t>
    <phoneticPr fontId="12" type="noConversion"/>
  </si>
  <si>
    <t>㎡</t>
    <phoneticPr fontId="12" type="noConversion"/>
  </si>
  <si>
    <t>거실 천정</t>
    <phoneticPr fontId="12" type="noConversion"/>
  </si>
  <si>
    <t>방A 벽면</t>
    <phoneticPr fontId="12" type="noConversion"/>
  </si>
  <si>
    <t>방A 천정</t>
    <phoneticPr fontId="12" type="noConversion"/>
  </si>
  <si>
    <t>방B 벽면</t>
    <phoneticPr fontId="12" type="noConversion"/>
  </si>
  <si>
    <t>방B 천정</t>
    <phoneticPr fontId="12" type="noConversion"/>
  </si>
  <si>
    <t>방C 벽면</t>
    <phoneticPr fontId="12" type="noConversion"/>
  </si>
  <si>
    <t>방C 천정</t>
    <phoneticPr fontId="12" type="noConversion"/>
  </si>
  <si>
    <t>소 계</t>
    <phoneticPr fontId="8" type="noConversion"/>
  </si>
  <si>
    <t>거실 바닥</t>
    <phoneticPr fontId="12" type="noConversion"/>
  </si>
  <si>
    <t>방A 바닥</t>
    <phoneticPr fontId="12" type="noConversion"/>
  </si>
  <si>
    <t>방B 바닥</t>
    <phoneticPr fontId="12" type="noConversion"/>
  </si>
  <si>
    <t>방C 바닥</t>
    <phoneticPr fontId="12" type="noConversion"/>
  </si>
  <si>
    <t>3.도장</t>
    <phoneticPr fontId="6" type="noConversion"/>
  </si>
  <si>
    <t>베란다 수성페인트(전면)</t>
    <phoneticPr fontId="6" type="noConversion"/>
  </si>
  <si>
    <t>석고보드면 바탕만들기(줄퍼티)</t>
    <phoneticPr fontId="6" type="noConversion"/>
  </si>
  <si>
    <t>붓칠,내벽</t>
    <phoneticPr fontId="6" type="noConversion"/>
  </si>
  <si>
    <t>베란다 수성페인트(후면)</t>
    <phoneticPr fontId="6" type="noConversion"/>
  </si>
  <si>
    <t>4.청소</t>
    <phoneticPr fontId="8" type="noConversion"/>
  </si>
  <si>
    <t>2023년 실내건축 일위대가</t>
    <phoneticPr fontId="8" type="noConversion"/>
  </si>
  <si>
    <t>▼낙찰율</t>
    <phoneticPr fontId="8" type="noConversion"/>
  </si>
  <si>
    <t>▶ 표준 Code(표준단가/품셈/물정/노임) 순서별 입력(Upload 자동반영)</t>
    <phoneticPr fontId="6" type="noConversion"/>
  </si>
  <si>
    <t>주요내역</t>
    <phoneticPr fontId="6" type="noConversion"/>
  </si>
  <si>
    <t>재료비</t>
    <phoneticPr fontId="8" type="noConversion"/>
  </si>
  <si>
    <t>노무비</t>
    <phoneticPr fontId="8" type="noConversion"/>
  </si>
  <si>
    <t>기계경비</t>
  </si>
  <si>
    <t>기타경비(부자재비)</t>
  </si>
  <si>
    <t>합계</t>
    <phoneticPr fontId="8" type="noConversion"/>
  </si>
  <si>
    <t>노무비 할증</t>
    <phoneticPr fontId="6" type="noConversion"/>
  </si>
  <si>
    <t>합계</t>
    <phoneticPr fontId="6" type="noConversion"/>
  </si>
  <si>
    <t>표준단가 D</t>
    <phoneticPr fontId="6" type="noConversion"/>
  </si>
  <si>
    <t>표준품셈 E</t>
    <phoneticPr fontId="6" type="noConversion"/>
  </si>
  <si>
    <t>물가정보 M</t>
    <phoneticPr fontId="6" type="noConversion"/>
  </si>
  <si>
    <t>노임단가 L</t>
    <phoneticPr fontId="6" type="noConversion"/>
  </si>
  <si>
    <t>품목</t>
    <phoneticPr fontId="6" type="noConversion"/>
  </si>
  <si>
    <t>규격</t>
    <phoneticPr fontId="6" type="noConversion"/>
  </si>
  <si>
    <t>품셈/표단</t>
    <phoneticPr fontId="6" type="noConversion"/>
  </si>
  <si>
    <t>금액</t>
  </si>
  <si>
    <t>단가</t>
    <phoneticPr fontId="8" type="noConversion"/>
  </si>
  <si>
    <t>단가</t>
  </si>
  <si>
    <t>E00000803071260301</t>
  </si>
  <si>
    <t>(일당)</t>
  </si>
  <si>
    <t>도배 교체(벽)</t>
    <phoneticPr fontId="6" type="noConversion"/>
  </si>
  <si>
    <t>E00000803071260401</t>
  </si>
  <si>
    <t>PVC계바닥재 교체</t>
  </si>
  <si>
    <t>E00000803061120402</t>
  </si>
  <si>
    <t>석고보드면 바탕만들기</t>
  </si>
  <si>
    <t>줄퍼티</t>
  </si>
  <si>
    <t>(㎡ 당)</t>
  </si>
  <si>
    <t>E00000803061300201</t>
  </si>
  <si>
    <t>수성페인트 붓칠</t>
  </si>
  <si>
    <t>1회칠</t>
  </si>
  <si>
    <t>(㎡ 당)</t>
    <phoneticPr fontId="6" type="noConversion"/>
  </si>
  <si>
    <t>합 계</t>
    <phoneticPr fontId="6" type="noConversion"/>
  </si>
  <si>
    <t>18ℓ</t>
  </si>
  <si>
    <t>KSM-6010 내부용, 2급, 백색</t>
  </si>
  <si>
    <t>수성페인트</t>
    <phoneticPr fontId="6" type="noConversion"/>
  </si>
  <si>
    <t>합성수지에멀션페인트</t>
    <phoneticPr fontId="6" type="noConversion"/>
  </si>
  <si>
    <t>M020412614110102</t>
    <phoneticPr fontId="6" type="noConversion"/>
  </si>
  <si>
    <t>광폭합지 벽지(LX하우시스, 휘앙세), 24년 12월 물가자료</t>
    <phoneticPr fontId="6" type="noConversion"/>
  </si>
  <si>
    <t>2.바닥재</t>
    <phoneticPr fontId="6" type="noConversion"/>
  </si>
  <si>
    <t>M020853710050101</t>
  </si>
  <si>
    <t>아이리스</t>
  </si>
  <si>
    <t>㎡</t>
    <phoneticPr fontId="6" type="noConversion"/>
  </si>
  <si>
    <t>M020809012520101</t>
  </si>
  <si>
    <t>비닐시트바닥재</t>
  </si>
  <si>
    <t>데코리아 다솜(륨) 1.8T×1,830㎜</t>
  </si>
  <si>
    <t>전체면적</t>
    <phoneticPr fontId="6" type="noConversion"/>
  </si>
  <si>
    <t xml:space="preserve">준공청소(특별인부), </t>
    <phoneticPr fontId="12" type="noConversion"/>
  </si>
  <si>
    <t>구분</t>
  </si>
  <si>
    <t>표준단가</t>
  </si>
  <si>
    <t>표준품셈</t>
  </si>
  <si>
    <t>물가정보</t>
  </si>
  <si>
    <t>노임단가</t>
  </si>
  <si>
    <t>E00000801011510701</t>
  </si>
  <si>
    <t>R/L</t>
  </si>
  <si>
    <t xml:space="preserve">일당 시공량-61㎡ 적산정보 500p 참조,시공총량61.8/일당61=0.0.8196, </t>
    <phoneticPr fontId="6" type="noConversion"/>
  </si>
  <si>
    <t>벽</t>
    <phoneticPr fontId="6" type="noConversion"/>
  </si>
  <si>
    <t>천정</t>
    <phoneticPr fontId="6" type="noConversion"/>
  </si>
  <si>
    <t>입주청소</t>
  </si>
  <si>
    <t>(바닥면적 ㎡당)</t>
  </si>
  <si>
    <t xml:space="preserve"> 공사명 : 사택 102-405 수장공사</t>
    <phoneticPr fontId="6" type="noConversion"/>
  </si>
  <si>
    <r>
      <t>합지벽지 1R/L=93㎝(고정)×17.75m=16.51</t>
    </r>
    <r>
      <rPr>
        <sz val="10"/>
        <color rgb="FF000000"/>
        <rFont val="Segoe UI Symbol"/>
        <family val="3"/>
      </rPr>
      <t>㎡</t>
    </r>
    <r>
      <rPr>
        <sz val="10"/>
        <color rgb="FF000000"/>
        <rFont val="LG스마트체 Regular"/>
        <family val="3"/>
        <charset val="129"/>
      </rPr>
      <t>, 소요량123/16.51=7.45R/L</t>
    </r>
    <phoneticPr fontId="6" type="noConversion"/>
  </si>
  <si>
    <t>일당 시공량-벽 46㎡, 적산정보 500p 참조,시공총량123/일당46=2.673</t>
    <phoneticPr fontId="6" type="noConversion"/>
  </si>
  <si>
    <t>見  積  書</t>
    <phoneticPr fontId="12" type="noConversion"/>
  </si>
  <si>
    <t>수 신: LG에너지솔루션</t>
    <phoneticPr fontId="12" type="noConversion"/>
  </si>
  <si>
    <r>
      <t>견  적  일  자</t>
    </r>
    <r>
      <rPr>
        <sz val="12"/>
        <rFont val="Arial"/>
        <family val="2"/>
      </rPr>
      <t/>
    </r>
    <phoneticPr fontId="12" type="noConversion"/>
  </si>
  <si>
    <t>년</t>
    <phoneticPr fontId="12" type="noConversion"/>
  </si>
  <si>
    <t>월</t>
    <phoneticPr fontId="12" type="noConversion"/>
  </si>
  <si>
    <t>일</t>
    <phoneticPr fontId="12" type="noConversion"/>
  </si>
  <si>
    <t>공
급
자</t>
    <phoneticPr fontId="12" type="noConversion"/>
  </si>
  <si>
    <t>등록번호</t>
    <phoneticPr fontId="12" type="noConversion"/>
  </si>
  <si>
    <t>707-86-02-404</t>
    <phoneticPr fontId="12" type="noConversion"/>
  </si>
  <si>
    <t>전      화</t>
    <phoneticPr fontId="12" type="noConversion"/>
  </si>
  <si>
    <t>02-6924-5539</t>
    <phoneticPr fontId="12" type="noConversion"/>
  </si>
  <si>
    <r>
      <t>견  적  담  당</t>
    </r>
    <r>
      <rPr>
        <sz val="12"/>
        <rFont val="Arial"/>
        <family val="2"/>
      </rPr>
      <t/>
    </r>
    <phoneticPr fontId="12" type="noConversion"/>
  </si>
  <si>
    <t>이종근</t>
    <phoneticPr fontId="12" type="noConversion"/>
  </si>
  <si>
    <t>파트너</t>
    <phoneticPr fontId="6" type="noConversion"/>
  </si>
  <si>
    <t>상      호</t>
    <phoneticPr fontId="12" type="noConversion"/>
  </si>
  <si>
    <t>㈜에스앤아이코퍼레이션</t>
    <phoneticPr fontId="12" type="noConversion"/>
  </si>
  <si>
    <t>대      표</t>
    <phoneticPr fontId="12" type="noConversion"/>
  </si>
  <si>
    <t>서 현</t>
    <phoneticPr fontId="12" type="noConversion"/>
  </si>
  <si>
    <r>
      <t>견적유효기간</t>
    </r>
    <r>
      <rPr>
        <sz val="12"/>
        <rFont val="Arial"/>
        <family val="2"/>
      </rPr>
      <t/>
    </r>
    <phoneticPr fontId="12" type="noConversion"/>
  </si>
  <si>
    <t>견적 제출 후 30일 까지</t>
    <phoneticPr fontId="8" type="noConversion"/>
  </si>
  <si>
    <t>주      소</t>
    <phoneticPr fontId="12" type="noConversion"/>
  </si>
  <si>
    <t>서울특별시 강서구 마곡중앙로150</t>
    <phoneticPr fontId="12" type="noConversion"/>
  </si>
  <si>
    <t>납        기</t>
    <phoneticPr fontId="12" type="noConversion"/>
  </si>
  <si>
    <t>발주 후 개별 협의</t>
    <phoneticPr fontId="12" type="noConversion"/>
  </si>
  <si>
    <t>업      태</t>
    <phoneticPr fontId="12" type="noConversion"/>
  </si>
  <si>
    <t>부동산, 서비스</t>
    <phoneticPr fontId="12" type="noConversion"/>
  </si>
  <si>
    <t>종      목</t>
    <phoneticPr fontId="12" type="noConversion"/>
  </si>
  <si>
    <t>임대 및 관리</t>
    <phoneticPr fontId="12" type="noConversion"/>
  </si>
  <si>
    <t>견적을 제출 합니다</t>
    <phoneticPr fontId="12" type="noConversion"/>
  </si>
  <si>
    <t>NO</t>
    <phoneticPr fontId="40" type="noConversion"/>
  </si>
  <si>
    <t>구          분</t>
    <phoneticPr fontId="40" type="noConversion"/>
  </si>
  <si>
    <t>수량</t>
    <phoneticPr fontId="40" type="noConversion"/>
  </si>
  <si>
    <t>단위</t>
    <phoneticPr fontId="40" type="noConversion"/>
  </si>
  <si>
    <t>금    액</t>
    <phoneticPr fontId="40" type="noConversion"/>
  </si>
  <si>
    <t>비    고</t>
    <phoneticPr fontId="40" type="noConversion"/>
  </si>
  <si>
    <t>경   비</t>
    <phoneticPr fontId="12" type="noConversion"/>
  </si>
  <si>
    <t>기계 및 기타경비</t>
    <phoneticPr fontId="12" type="noConversion"/>
  </si>
  <si>
    <t>중장비 사용 등</t>
    <phoneticPr fontId="8" type="noConversion"/>
  </si>
  <si>
    <t>안전관리비</t>
    <phoneticPr fontId="12" type="noConversion"/>
  </si>
  <si>
    <t>%</t>
    <phoneticPr fontId="12" type="noConversion"/>
  </si>
  <si>
    <t>(재료비+노무비)*3.11%</t>
    <phoneticPr fontId="6" type="noConversion"/>
  </si>
  <si>
    <t>산재 보험료</t>
  </si>
  <si>
    <t>%</t>
  </si>
  <si>
    <t>노무비*3.56%</t>
    <phoneticPr fontId="6" type="noConversion"/>
  </si>
  <si>
    <t>고용보험료</t>
  </si>
  <si>
    <t>노무비*1.01%</t>
  </si>
  <si>
    <t>국민건강 보험료</t>
  </si>
  <si>
    <t>노무비*3.595%</t>
    <phoneticPr fontId="8" type="noConversion"/>
  </si>
  <si>
    <t>국민연금 보험료</t>
  </si>
  <si>
    <t>노무비*4.75%</t>
    <phoneticPr fontId="6" type="noConversion"/>
  </si>
  <si>
    <t>노인장기요양 보험료</t>
    <phoneticPr fontId="12" type="noConversion"/>
  </si>
  <si>
    <t>건강보험료*13.14%</t>
    <phoneticPr fontId="8" type="noConversion"/>
  </si>
  <si>
    <t>하도급대금지급보증증권</t>
    <phoneticPr fontId="12" type="noConversion"/>
  </si>
  <si>
    <t>1천만원 이상 공사시 적용</t>
    <phoneticPr fontId="8" type="noConversion"/>
  </si>
  <si>
    <t>폐기물처리 부담금</t>
    <phoneticPr fontId="12" type="noConversion"/>
  </si>
  <si>
    <t>식</t>
    <phoneticPr fontId="6" type="noConversion"/>
  </si>
  <si>
    <t>폐기물발생 시 적용 (kg당 34원)</t>
    <phoneticPr fontId="8" type="noConversion"/>
  </si>
  <si>
    <t>일반관리비</t>
    <phoneticPr fontId="8" type="noConversion"/>
  </si>
  <si>
    <t>%</t>
    <phoneticPr fontId="8" type="noConversion"/>
  </si>
  <si>
    <t>(재료비 + 노무비 + 경비)*5%</t>
    <phoneticPr fontId="8" type="noConversion"/>
  </si>
  <si>
    <t>이      윤</t>
    <phoneticPr fontId="12" type="noConversion"/>
  </si>
  <si>
    <t>(재료비+노무비+경비+일반관리비)*7.5%</t>
    <phoneticPr fontId="8" type="noConversion"/>
  </si>
  <si>
    <t>공사금액</t>
    <phoneticPr fontId="12" type="noConversion"/>
  </si>
  <si>
    <t>*유첨 : 견적서 내역서 1부      ─ 끝 ─</t>
    <phoneticPr fontId="12" type="noConversion"/>
  </si>
  <si>
    <t>사택 102-405 수장작업</t>
  </si>
  <si>
    <t>대전 업무지원팀 / 김규환님 귀하</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</si>
</sst>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176" formatCode="_(* #,##0_);_(* \(#,##0\);_(* &quot;-&quot;_);_(@_)"/>
    <numFmt numFmtId="177" formatCode="_(* #,##0.00_);_(* \(#,##0.00\);_(* &quot;-&quot;??_);_(@_)"/>
    <numFmt numFmtId="178" formatCode="_(&quot;₩&quot;* #,##0_);_(&quot;₩&quot;* \(#,##0\);_(&quot;₩&quot;* &quot;-&quot;_);_(@_)"/>
    <numFmt numFmtId="179" formatCode="_ * #,##0_ ;_ * \-#,##0_ ;_ * &quot;-&quot;_ ;_ @_ "/>
    <numFmt numFmtId="180" formatCode="0.0%"/>
    <numFmt numFmtId="181" formatCode="#,##0_);[Red]\(#,##0\)"/>
    <numFmt numFmtId="182" formatCode="#,##0_ "/>
    <numFmt numFmtId="183" formatCode="&quot;₩&quot;#,##0"/>
    <numFmt numFmtId="184" formatCode="0_);[Red]\(0\)"/>
    <numFmt numFmtId="185" formatCode="###,###,###,##0"/>
    <numFmt numFmtId="186" formatCode="#,##0.000_ "/>
    <numFmt numFmtId="187" formatCode="#"/>
    <numFmt numFmtId="188" formatCode="0.000_ "/>
    <numFmt numFmtId="189" formatCode="#,##0;\-#,##0;"/>
    <numFmt numFmtId="190" formatCode="0.000"/>
    <numFmt numFmtId="191" formatCode="0.0_);[Red]\(0.0\)"/>
    <numFmt numFmtId="192" formatCode="&quot;공사명:&quot;\ @"/>
  </numFmts>
  <fonts count="43">
    <font>
      <sz val="11"/>
      <color indexed="8"/>
      <name val="맑은 고딕"/>
      <family val="2"/>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8"/>
      <name val="맑은 고딕"/>
      <family val="3"/>
      <charset val="129"/>
      <scheme val="minor"/>
    </font>
    <font>
      <sz val="11"/>
      <color indexed="8"/>
      <name val="맑은 고딕"/>
      <family val="2"/>
      <scheme val="minor"/>
    </font>
    <font>
      <sz val="8"/>
      <name val="맑은 고딕"/>
      <family val="2"/>
      <charset val="129"/>
      <scheme val="minor"/>
    </font>
    <font>
      <sz val="10"/>
      <color indexed="64"/>
      <name val="Arial"/>
      <family val="2"/>
    </font>
    <font>
      <b/>
      <sz val="10"/>
      <color indexed="64"/>
      <name val="Arial"/>
      <family val="2"/>
    </font>
    <font>
      <b/>
      <sz val="12"/>
      <color rgb="FF000000"/>
      <name val="LG스마트체 Regular"/>
      <family val="3"/>
      <charset val="129"/>
    </font>
    <font>
      <sz val="8"/>
      <name val="돋움"/>
      <family val="3"/>
      <charset val="129"/>
    </font>
    <font>
      <sz val="11"/>
      <name val="돋움"/>
      <family val="3"/>
      <charset val="129"/>
    </font>
    <font>
      <sz val="10"/>
      <color rgb="FF000000"/>
      <name val="LG스마트체 Regular"/>
      <family val="3"/>
      <charset val="129"/>
    </font>
    <font>
      <sz val="11"/>
      <color rgb="FF000000"/>
      <name val="LG스마트체 Regular"/>
      <family val="3"/>
      <charset val="129"/>
    </font>
    <font>
      <b/>
      <sz val="14"/>
      <color rgb="FF000000"/>
      <name val="LG스마트체 Regular"/>
      <family val="3"/>
      <charset val="129"/>
    </font>
    <font>
      <sz val="12"/>
      <color rgb="FF000000"/>
      <name val="LG스마트체 Regular"/>
      <family val="3"/>
      <charset val="129"/>
    </font>
    <font>
      <b/>
      <sz val="10"/>
      <color rgb="FF000000"/>
      <name val="LG스마트체 Regular"/>
      <family val="3"/>
      <charset val="129"/>
    </font>
    <font>
      <sz val="9"/>
      <color rgb="FF000000"/>
      <name val="LG스마트체 Regular"/>
      <family val="3"/>
      <charset val="129"/>
    </font>
    <font>
      <b/>
      <sz val="9"/>
      <color rgb="FF000000"/>
      <name val="LG스마트체 Regular"/>
      <family val="3"/>
      <charset val="129"/>
    </font>
    <font>
      <b/>
      <sz val="11"/>
      <color rgb="FF000000"/>
      <name val="LG스마트체 Regular"/>
      <family val="3"/>
      <charset val="129"/>
    </font>
    <font>
      <sz val="10"/>
      <color rgb="FFFF0000"/>
      <name val="Malgun Gothic"/>
      <family val="3"/>
      <charset val="129"/>
    </font>
    <font>
      <sz val="10"/>
      <color rgb="FFFF0000"/>
      <name val="맑은 고딕"/>
      <family val="2"/>
      <charset val="129"/>
      <scheme val="minor"/>
    </font>
    <font>
      <sz val="10"/>
      <color rgb="FFFF0000"/>
      <name val="맑은 고딕"/>
      <family val="3"/>
      <charset val="129"/>
    </font>
    <font>
      <sz val="9"/>
      <color rgb="FFFF0000"/>
      <name val="LG스마트체 Regular"/>
      <family val="3"/>
      <charset val="129"/>
    </font>
    <font>
      <sz val="10"/>
      <color rgb="FF000000"/>
      <name val="Segoe UI Symbol"/>
      <family val="3"/>
    </font>
    <font>
      <sz val="36"/>
      <name val="LG스마트체2.0 Regular"/>
      <family val="3"/>
      <charset val="129"/>
    </font>
    <font>
      <sz val="11"/>
      <name val="LG스마트체2.0 Regular"/>
      <family val="3"/>
      <charset val="129"/>
    </font>
    <font>
      <b/>
      <u/>
      <sz val="36"/>
      <name val="LG스마트체2.0 Regular"/>
      <family val="3"/>
      <charset val="129"/>
    </font>
    <font>
      <u/>
      <sz val="12"/>
      <name val="LG스마트체2.0 Regular"/>
      <family val="3"/>
      <charset val="129"/>
    </font>
    <font>
      <sz val="14"/>
      <name val="LG스마트체2.0 Regular"/>
      <family val="3"/>
      <charset val="129"/>
    </font>
    <font>
      <sz val="10"/>
      <name val="LG스마트체2.0 Regular"/>
      <family val="3"/>
      <charset val="129"/>
    </font>
    <font>
      <sz val="12"/>
      <name val="LG스마트체2.0 Regular"/>
      <family val="3"/>
      <charset val="129"/>
    </font>
    <font>
      <sz val="12"/>
      <name val="Arial"/>
      <family val="2"/>
    </font>
    <font>
      <sz val="12"/>
      <color indexed="64"/>
      <name val="LG스마트체2.0 Regular"/>
      <family val="3"/>
      <charset val="129"/>
    </font>
    <font>
      <sz val="10"/>
      <color indexed="64"/>
      <name val="LG스마트체2.0 Regular"/>
      <family val="3"/>
      <charset val="129"/>
    </font>
    <font>
      <u/>
      <sz val="14"/>
      <color theme="0"/>
      <name val="LG스마트체2.0 Regular"/>
      <family val="3"/>
      <charset val="129"/>
    </font>
    <font>
      <b/>
      <sz val="11"/>
      <name val="LG스마트체2.0 Regular"/>
      <family val="3"/>
      <charset val="129"/>
    </font>
    <font>
      <b/>
      <sz val="14"/>
      <color indexed="9"/>
      <name val="LG스마트체2.0 Regular"/>
      <family val="3"/>
      <charset val="129"/>
    </font>
    <font>
      <sz val="12"/>
      <name val="바탕체"/>
      <family val="1"/>
      <charset val="129"/>
    </font>
    <font>
      <sz val="9"/>
      <name val="LG스마트체2.0 Regular"/>
      <family val="3"/>
      <charset val="129"/>
    </font>
    <font>
      <b/>
      <sz val="12"/>
      <color indexed="9"/>
      <name val="LG스마트체2.0 Regular"/>
      <family val="3"/>
      <charset val="129"/>
    </font>
  </fonts>
  <fills count="16">
    <fill>
      <patternFill patternType="none"/>
    </fill>
    <fill>
      <patternFill patternType="gray125"/>
    </fill>
    <fill>
      <patternFill patternType="solid">
        <fgColor rgb="FFFFC000"/>
        <bgColor indexed="64"/>
      </patternFill>
    </fill>
    <fill>
      <patternFill patternType="solid">
        <fgColor theme="0" tint="-0.14999847407452621"/>
        <bgColor indexed="64"/>
      </patternFill>
    </fill>
    <fill>
      <patternFill patternType="solid">
        <fgColor theme="0"/>
        <bgColor indexed="64"/>
      </patternFill>
    </fill>
    <fill>
      <patternFill patternType="solid">
        <fgColor theme="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1"/>
        <bgColor indexed="64"/>
      </patternFill>
    </fill>
    <fill>
      <patternFill patternType="solid">
        <fgColor indexed="9"/>
        <bgColor indexed="64"/>
      </patternFill>
    </fill>
    <fill>
      <patternFill patternType="solid">
        <fgColor theme="4" tint="0.79998168889431442"/>
        <bgColor indexed="64"/>
      </patternFill>
    </fill>
    <fill>
      <patternFill patternType="solid">
        <fgColor rgb="FFF5F5F5"/>
      </patternFill>
    </fill>
    <fill>
      <patternFill patternType="solid">
        <fgColor rgb="FFFFFF00"/>
        <bgColor indexed="64"/>
      </patternFill>
    </fill>
    <fill>
      <patternFill patternType="solid">
        <fgColor indexed="8"/>
        <bgColor indexed="64"/>
      </patternFill>
    </fill>
    <fill>
      <patternFill patternType="solid">
        <fgColor indexed="42"/>
        <bgColor indexed="64"/>
      </patternFill>
    </fill>
    <fill>
      <patternFill patternType="solid">
        <fgColor indexed="23"/>
        <bgColor indexed="64"/>
      </patternFill>
    </fill>
  </fills>
  <borders count="75">
    <border>
      <left/>
      <right/>
      <top/>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medium">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medium">
        <color indexed="64"/>
      </top>
      <bottom style="hair">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hair">
        <color indexed="64"/>
      </left>
      <right style="medium">
        <color indexed="64"/>
      </right>
      <top style="medium">
        <color indexed="64"/>
      </top>
      <bottom style="hair">
        <color indexed="64"/>
      </bottom>
      <diagonal/>
    </border>
    <border>
      <left style="thin">
        <color rgb="FFDCDBDA"/>
      </left>
      <right style="thin">
        <color rgb="FFDCDBDA"/>
      </right>
      <top style="thin">
        <color rgb="FFDCDBDA"/>
      </top>
      <bottom style="thin">
        <color rgb="FFDCDBDA"/>
      </bottom>
      <diagonal/>
    </border>
    <border>
      <left style="medium">
        <color indexed="64"/>
      </left>
      <right/>
      <top style="medium">
        <color indexed="64"/>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indexed="64"/>
      </right>
      <top/>
      <bottom/>
      <diagonal/>
    </border>
    <border>
      <left style="medium">
        <color indexed="64"/>
      </left>
      <right/>
      <top style="medium">
        <color indexed="64"/>
      </top>
      <bottom style="hair">
        <color indexed="64"/>
      </bottom>
      <diagonal/>
    </border>
    <border>
      <left/>
      <right/>
      <top style="medium">
        <color indexed="64"/>
      </top>
      <bottom style="hair">
        <color indexed="64"/>
      </bottom>
      <diagonal/>
    </border>
    <border>
      <left/>
      <right style="medium">
        <color indexed="64"/>
      </right>
      <top style="medium">
        <color indexed="64"/>
      </top>
      <bottom style="hair">
        <color indexed="64"/>
      </bottom>
      <diagonal/>
    </border>
    <border>
      <left style="medium">
        <color indexed="64"/>
      </left>
      <right style="hair">
        <color indexed="64"/>
      </right>
      <top style="medium">
        <color indexed="64"/>
      </top>
      <bottom/>
      <diagonal/>
    </border>
    <border>
      <left style="medium">
        <color indexed="64"/>
      </left>
      <right/>
      <top style="hair">
        <color indexed="64"/>
      </top>
      <bottom style="hair">
        <color indexed="64"/>
      </bottom>
      <diagonal/>
    </border>
    <border>
      <left/>
      <right style="medium">
        <color indexed="64"/>
      </right>
      <top style="hair">
        <color indexed="64"/>
      </top>
      <bottom style="hair">
        <color indexed="64"/>
      </bottom>
      <diagonal/>
    </border>
    <border>
      <left style="medium">
        <color indexed="64"/>
      </left>
      <right style="hair">
        <color indexed="64"/>
      </right>
      <top/>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style="hair">
        <color indexed="64"/>
      </right>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diagonal/>
    </border>
    <border>
      <left style="thin">
        <color indexed="64"/>
      </left>
      <right/>
      <top style="medium">
        <color indexed="64"/>
      </top>
      <bottom style="hair">
        <color indexed="64"/>
      </bottom>
      <diagonal/>
    </border>
    <border>
      <left/>
      <right style="thin">
        <color indexed="64"/>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medium">
        <color indexed="64"/>
      </right>
      <top style="thin">
        <color indexed="64"/>
      </top>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style="medium">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top/>
      <bottom/>
      <diagonal/>
    </border>
    <border>
      <left/>
      <right style="medium">
        <color indexed="64"/>
      </right>
      <top style="hair">
        <color indexed="64"/>
      </top>
      <bottom/>
      <diagonal/>
    </border>
    <border>
      <left style="medium">
        <color indexed="64"/>
      </left>
      <right style="thin">
        <color indexed="64"/>
      </right>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style="medium">
        <color indexed="64"/>
      </right>
      <top style="hair">
        <color indexed="64"/>
      </top>
      <bottom style="thin">
        <color indexed="64"/>
      </bottom>
      <diagonal/>
    </border>
    <border>
      <left style="thin">
        <color indexed="64"/>
      </left>
      <right/>
      <top/>
      <bottom style="thin">
        <color indexed="64"/>
      </bottom>
      <diagonal/>
    </border>
    <border>
      <left style="medium">
        <color indexed="64"/>
      </left>
      <right/>
      <top style="medium">
        <color indexed="64"/>
      </top>
      <bottom style="medium">
        <color indexed="64"/>
      </bottom>
      <diagonal/>
    </border>
    <border>
      <left/>
      <right style="medium">
        <color indexed="9"/>
      </right>
      <top style="medium">
        <color indexed="64"/>
      </top>
      <bottom style="medium">
        <color indexed="64"/>
      </bottom>
      <diagonal/>
    </border>
    <border>
      <left style="medium">
        <color indexed="9"/>
      </left>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auto="1"/>
      </right>
      <top/>
      <bottom style="medium">
        <color auto="1"/>
      </bottom>
      <diagonal/>
    </border>
  </borders>
  <cellStyleXfs count="25">
    <xf numFmtId="0" fontId="0" fillId="0" borderId="0">
      <alignment vertical="center"/>
    </xf>
    <xf numFmtId="176" fontId="7" fillId="0" borderId="0" applyFont="0" applyFill="0" applyBorder="0" applyAlignment="0" applyProtection="0">
      <alignment vertical="center"/>
    </xf>
    <xf numFmtId="9" fontId="7" fillId="0" borderId="0" applyFont="0" applyFill="0" applyBorder="0" applyAlignment="0" applyProtection="0">
      <alignment vertical="center"/>
    </xf>
    <xf numFmtId="0" fontId="9" fillId="0" borderId="0"/>
    <xf numFmtId="176" fontId="5" fillId="0" borderId="0" applyFont="0" applyFill="0" applyBorder="0" applyAlignment="0" applyProtection="0">
      <alignment vertical="center"/>
    </xf>
    <xf numFmtId="179" fontId="10" fillId="0" borderId="0" applyFont="0" applyFill="0" applyBorder="0" applyAlignment="0" applyProtection="0"/>
    <xf numFmtId="0" fontId="5" fillId="0" borderId="0">
      <alignment vertical="center"/>
    </xf>
    <xf numFmtId="9" fontId="10" fillId="0" borderId="0" applyFont="0" applyFill="0" applyBorder="0" applyAlignment="0" applyProtection="0"/>
    <xf numFmtId="0" fontId="9" fillId="0" borderId="0"/>
    <xf numFmtId="0" fontId="13" fillId="0" borderId="0"/>
    <xf numFmtId="178" fontId="13" fillId="0" borderId="0" applyFont="0" applyFill="0" applyBorder="0" applyAlignment="0" applyProtection="0"/>
    <xf numFmtId="176" fontId="13" fillId="0" borderId="0" applyFont="0" applyFill="0" applyBorder="0" applyAlignment="0" applyProtection="0">
      <alignment vertical="center"/>
    </xf>
    <xf numFmtId="0" fontId="4" fillId="0" borderId="0">
      <alignment vertical="center"/>
    </xf>
    <xf numFmtId="0" fontId="3" fillId="0" borderId="0">
      <alignment vertical="center"/>
    </xf>
    <xf numFmtId="176" fontId="3" fillId="0" borderId="0" applyFont="0" applyFill="0" applyBorder="0" applyAlignment="0" applyProtection="0">
      <alignment vertical="center"/>
    </xf>
    <xf numFmtId="0" fontId="2" fillId="0" borderId="0">
      <alignment vertical="center"/>
    </xf>
    <xf numFmtId="176" fontId="2" fillId="0" borderId="0" applyFont="0" applyFill="0" applyBorder="0" applyAlignment="0" applyProtection="0">
      <alignment vertical="center"/>
    </xf>
    <xf numFmtId="0" fontId="13" fillId="0" borderId="0"/>
    <xf numFmtId="0" fontId="13" fillId="0" borderId="0">
      <alignment vertical="center"/>
    </xf>
    <xf numFmtId="0" fontId="13" fillId="0" borderId="0">
      <alignment vertical="center"/>
    </xf>
    <xf numFmtId="0" fontId="13" fillId="0" borderId="0">
      <alignment vertical="center"/>
    </xf>
    <xf numFmtId="176" fontId="7" fillId="0" borderId="0" applyFont="0" applyFill="0" applyBorder="0" applyAlignment="0" applyProtection="0">
      <alignment vertical="center"/>
    </xf>
    <xf numFmtId="176" fontId="13" fillId="0" borderId="0" applyFont="0" applyFill="0" applyBorder="0" applyAlignment="0" applyProtection="0">
      <alignment vertical="center"/>
    </xf>
    <xf numFmtId="179" fontId="10" fillId="0" borderId="0" applyFont="0" applyFill="0" applyBorder="0" applyAlignment="0" applyProtection="0"/>
    <xf numFmtId="176" fontId="1" fillId="0" borderId="0" applyFont="0" applyFill="0" applyBorder="0" applyAlignment="0" applyProtection="0">
      <alignment vertical="center"/>
    </xf>
  </cellStyleXfs>
  <cellXfs count="317">
    <xf numFmtId="0" fontId="0" fillId="0" borderId="0" xfId="0">
      <alignment vertical="center"/>
    </xf>
    <xf numFmtId="0" fontId="14" fillId="0" borderId="0" xfId="0" applyFont="1" applyAlignment="1">
      <alignment horizontal="center" vertical="center"/>
    </xf>
    <xf numFmtId="9" fontId="18" fillId="0" borderId="0" xfId="0" applyNumberFormat="1" applyFont="1" applyAlignment="1">
      <alignment horizontal="center" vertical="center"/>
    </xf>
    <xf numFmtId="180" fontId="18" fillId="2" borderId="0" xfId="2" applyNumberFormat="1" applyFont="1" applyFill="1" applyAlignment="1">
      <alignment horizontal="center" vertical="center"/>
    </xf>
    <xf numFmtId="0" fontId="18" fillId="3" borderId="6" xfId="0" applyFont="1" applyFill="1" applyBorder="1" applyAlignment="1">
      <alignment horizontal="center" vertical="center"/>
    </xf>
    <xf numFmtId="0" fontId="18" fillId="6" borderId="1" xfId="0" applyFont="1" applyFill="1" applyBorder="1" applyAlignment="1">
      <alignment horizontal="center" vertical="center"/>
    </xf>
    <xf numFmtId="176" fontId="18" fillId="3" borderId="1" xfId="4" applyFont="1" applyFill="1" applyBorder="1" applyAlignment="1">
      <alignment horizontal="center" vertical="center"/>
    </xf>
    <xf numFmtId="179" fontId="18" fillId="3" borderId="1" xfId="5" applyFont="1" applyFill="1" applyBorder="1" applyAlignment="1">
      <alignment horizontal="center" vertical="center"/>
    </xf>
    <xf numFmtId="0" fontId="14" fillId="5" borderId="6" xfId="0" applyFont="1" applyFill="1" applyBorder="1" applyAlignment="1">
      <alignment horizontal="center" vertical="center"/>
    </xf>
    <xf numFmtId="0" fontId="14" fillId="6" borderId="1" xfId="0" applyFont="1" applyFill="1" applyBorder="1" applyAlignment="1">
      <alignment horizontal="center" vertical="center"/>
    </xf>
    <xf numFmtId="49" fontId="14" fillId="4" borderId="1" xfId="0" applyNumberFormat="1" applyFont="1" applyFill="1" applyBorder="1" applyAlignment="1">
      <alignment horizontal="center" vertical="center" wrapText="1"/>
    </xf>
    <xf numFmtId="176" fontId="14" fillId="5" borderId="1" xfId="1" applyFont="1" applyFill="1" applyBorder="1" applyAlignment="1">
      <alignment horizontal="center" vertical="center" wrapText="1"/>
    </xf>
    <xf numFmtId="176" fontId="14" fillId="0" borderId="1" xfId="1" applyFont="1" applyFill="1" applyBorder="1" applyAlignment="1">
      <alignment horizontal="center" vertical="center" wrapText="1"/>
    </xf>
    <xf numFmtId="0" fontId="19" fillId="0" borderId="7" xfId="0" applyFont="1" applyBorder="1" applyAlignment="1">
      <alignment horizontal="center" vertical="center"/>
    </xf>
    <xf numFmtId="0" fontId="15" fillId="0" borderId="0" xfId="0" applyFont="1">
      <alignment vertical="center"/>
    </xf>
    <xf numFmtId="181" fontId="20" fillId="0" borderId="10" xfId="13" quotePrefix="1" applyNumberFormat="1" applyFont="1" applyBorder="1" applyAlignment="1">
      <alignment horizontal="center" vertical="center"/>
    </xf>
    <xf numFmtId="176" fontId="19" fillId="0" borderId="10" xfId="11" applyFont="1" applyBorder="1" applyAlignment="1">
      <alignment vertical="center"/>
    </xf>
    <xf numFmtId="183" fontId="19" fillId="0" borderId="10" xfId="11" applyNumberFormat="1" applyFont="1" applyBorder="1" applyAlignment="1">
      <alignment horizontal="center" vertical="center"/>
    </xf>
    <xf numFmtId="176" fontId="19" fillId="0" borderId="10" xfId="11" applyFont="1" applyBorder="1" applyAlignment="1">
      <alignment horizontal="center" vertical="center"/>
    </xf>
    <xf numFmtId="181" fontId="19" fillId="4" borderId="10" xfId="11" applyNumberFormat="1" applyFont="1" applyFill="1" applyBorder="1" applyAlignment="1">
      <alignment horizontal="right" vertical="center" wrapText="1"/>
    </xf>
    <xf numFmtId="183" fontId="19" fillId="10" borderId="10" xfId="11" applyNumberFormat="1" applyFont="1" applyFill="1" applyBorder="1" applyAlignment="1">
      <alignment horizontal="center" vertical="center"/>
    </xf>
    <xf numFmtId="176" fontId="19" fillId="10" borderId="10" xfId="11" applyFont="1" applyFill="1" applyBorder="1" applyAlignment="1">
      <alignment horizontal="center" vertical="center"/>
    </xf>
    <xf numFmtId="181" fontId="20" fillId="10" borderId="10" xfId="11" applyNumberFormat="1" applyFont="1" applyFill="1" applyBorder="1" applyAlignment="1">
      <alignment horizontal="right" vertical="center" wrapText="1"/>
    </xf>
    <xf numFmtId="181" fontId="20" fillId="10" borderId="10" xfId="11" applyNumberFormat="1" applyFont="1" applyFill="1" applyBorder="1" applyAlignment="1">
      <alignment horizontal="center" vertical="center" wrapText="1"/>
    </xf>
    <xf numFmtId="183" fontId="19" fillId="4" borderId="10" xfId="11" applyNumberFormat="1" applyFont="1" applyFill="1" applyBorder="1" applyAlignment="1">
      <alignment horizontal="center" vertical="center"/>
    </xf>
    <xf numFmtId="176" fontId="19" fillId="4" borderId="10" xfId="11" applyFont="1" applyFill="1" applyBorder="1" applyAlignment="1">
      <alignment horizontal="center" vertical="center"/>
    </xf>
    <xf numFmtId="183" fontId="20" fillId="10" borderId="10" xfId="11" applyNumberFormat="1" applyFont="1" applyFill="1" applyBorder="1" applyAlignment="1">
      <alignment horizontal="center" vertical="center"/>
    </xf>
    <xf numFmtId="176" fontId="20" fillId="10" borderId="10" xfId="11" applyFont="1" applyFill="1" applyBorder="1" applyAlignment="1">
      <alignment horizontal="center" vertical="center"/>
    </xf>
    <xf numFmtId="181" fontId="14" fillId="4" borderId="10" xfId="11" applyNumberFormat="1" applyFont="1" applyFill="1" applyBorder="1" applyAlignment="1">
      <alignment horizontal="center" vertical="center" wrapText="1"/>
    </xf>
    <xf numFmtId="184" fontId="19" fillId="10" borderId="10" xfId="11" applyNumberFormat="1" applyFont="1" applyFill="1" applyBorder="1" applyAlignment="1">
      <alignment horizontal="center" vertical="center"/>
    </xf>
    <xf numFmtId="181" fontId="19" fillId="10" borderId="10" xfId="11" applyNumberFormat="1" applyFont="1" applyFill="1" applyBorder="1" applyAlignment="1">
      <alignment horizontal="right" vertical="center" wrapText="1"/>
    </xf>
    <xf numFmtId="181" fontId="19" fillId="10" borderId="10" xfId="11" applyNumberFormat="1" applyFont="1" applyFill="1" applyBorder="1" applyAlignment="1">
      <alignment vertical="center" wrapText="1"/>
    </xf>
    <xf numFmtId="181" fontId="20" fillId="10" borderId="10" xfId="11" applyNumberFormat="1" applyFont="1" applyFill="1" applyBorder="1" applyAlignment="1">
      <alignment vertical="center" wrapText="1"/>
    </xf>
    <xf numFmtId="0" fontId="15" fillId="0" borderId="0" xfId="13" applyFont="1">
      <alignment vertical="center"/>
    </xf>
    <xf numFmtId="49" fontId="14" fillId="6" borderId="1" xfId="0" applyNumberFormat="1" applyFont="1" applyFill="1" applyBorder="1" applyAlignment="1">
      <alignment horizontal="center" vertical="center"/>
    </xf>
    <xf numFmtId="0" fontId="18" fillId="10" borderId="10" xfId="11" applyNumberFormat="1" applyFont="1" applyFill="1" applyBorder="1" applyAlignment="1">
      <alignment horizontal="center" vertical="center"/>
    </xf>
    <xf numFmtId="0" fontId="18" fillId="10" borderId="15" xfId="11" applyNumberFormat="1" applyFont="1" applyFill="1" applyBorder="1" applyAlignment="1">
      <alignment horizontal="center" vertical="center"/>
    </xf>
    <xf numFmtId="0" fontId="18" fillId="0" borderId="11" xfId="11" applyNumberFormat="1" applyFont="1" applyBorder="1" applyAlignment="1">
      <alignment vertical="center"/>
    </xf>
    <xf numFmtId="0" fontId="18" fillId="0" borderId="14" xfId="11" applyNumberFormat="1" applyFont="1" applyBorder="1" applyAlignment="1">
      <alignment vertical="center"/>
    </xf>
    <xf numFmtId="0" fontId="17" fillId="4" borderId="0" xfId="0" applyFont="1" applyFill="1" applyAlignment="1">
      <alignment horizontal="center" vertical="center"/>
    </xf>
    <xf numFmtId="0" fontId="18" fillId="7" borderId="10" xfId="11" applyNumberFormat="1" applyFont="1" applyFill="1" applyBorder="1" applyAlignment="1">
      <alignment horizontal="center" vertical="center"/>
    </xf>
    <xf numFmtId="183" fontId="19" fillId="7" borderId="10" xfId="11" applyNumberFormat="1" applyFont="1" applyFill="1" applyBorder="1" applyAlignment="1">
      <alignment horizontal="center" vertical="center"/>
    </xf>
    <xf numFmtId="176" fontId="19" fillId="7" borderId="10" xfId="11" applyFont="1" applyFill="1" applyBorder="1" applyAlignment="1">
      <alignment horizontal="center" vertical="center"/>
    </xf>
    <xf numFmtId="181" fontId="20" fillId="7" borderId="10" xfId="11" applyNumberFormat="1" applyFont="1" applyFill="1" applyBorder="1" applyAlignment="1">
      <alignment horizontal="right" vertical="center" wrapText="1"/>
    </xf>
    <xf numFmtId="49" fontId="14" fillId="11" borderId="17" xfId="0" applyNumberFormat="1" applyFont="1" applyFill="1" applyBorder="1" applyAlignment="1">
      <alignment horizontal="center" vertical="center" wrapText="1"/>
    </xf>
    <xf numFmtId="187" fontId="14" fillId="6" borderId="17" xfId="1" applyNumberFormat="1" applyFont="1" applyFill="1" applyBorder="1" applyAlignment="1">
      <alignment horizontal="center" vertical="center"/>
    </xf>
    <xf numFmtId="187" fontId="14" fillId="0" borderId="17" xfId="1" applyNumberFormat="1" applyFont="1" applyBorder="1" applyAlignment="1">
      <alignment horizontal="center" vertical="center"/>
    </xf>
    <xf numFmtId="188" fontId="14" fillId="0" borderId="17" xfId="1" applyNumberFormat="1" applyFont="1" applyBorder="1" applyAlignment="1">
      <alignment horizontal="center" vertical="center"/>
    </xf>
    <xf numFmtId="187" fontId="15" fillId="0" borderId="0" xfId="1" applyNumberFormat="1" applyFont="1" applyAlignment="1">
      <alignment horizontal="center" vertical="center"/>
    </xf>
    <xf numFmtId="186" fontId="14" fillId="0" borderId="1" xfId="1" applyNumberFormat="1" applyFont="1" applyFill="1" applyBorder="1" applyAlignment="1">
      <alignment horizontal="center" vertical="center"/>
    </xf>
    <xf numFmtId="49" fontId="14" fillId="4" borderId="1" xfId="0" applyNumberFormat="1" applyFont="1" applyFill="1" applyBorder="1" applyAlignment="1">
      <alignment horizontal="center" vertical="center"/>
    </xf>
    <xf numFmtId="185" fontId="14" fillId="4" borderId="1" xfId="0" applyNumberFormat="1" applyFont="1" applyFill="1" applyBorder="1" applyAlignment="1">
      <alignment horizontal="right" vertical="center" wrapText="1"/>
    </xf>
    <xf numFmtId="181" fontId="19" fillId="0" borderId="10" xfId="11" applyNumberFormat="1" applyFont="1" applyBorder="1" applyAlignment="1">
      <alignment horizontal="right" vertical="center" wrapText="1"/>
    </xf>
    <xf numFmtId="0" fontId="14" fillId="4" borderId="10" xfId="11" applyNumberFormat="1" applyFont="1" applyFill="1" applyBorder="1" applyAlignment="1">
      <alignment vertical="center"/>
    </xf>
    <xf numFmtId="181" fontId="19" fillId="0" borderId="10" xfId="11" applyNumberFormat="1" applyFont="1" applyFill="1" applyBorder="1" applyAlignment="1">
      <alignment horizontal="right" vertical="center" wrapText="1"/>
    </xf>
    <xf numFmtId="0" fontId="20" fillId="0" borderId="10" xfId="13" quotePrefix="1" applyFont="1" applyBorder="1" applyAlignment="1">
      <alignment horizontal="center" vertical="center"/>
    </xf>
    <xf numFmtId="49" fontId="19" fillId="4" borderId="1" xfId="0" applyNumberFormat="1" applyFont="1" applyFill="1" applyBorder="1" applyAlignment="1">
      <alignment horizontal="center" vertical="center"/>
    </xf>
    <xf numFmtId="49" fontId="19" fillId="4" borderId="10" xfId="0" applyNumberFormat="1" applyFont="1" applyFill="1" applyBorder="1" applyAlignment="1">
      <alignment horizontal="center" vertical="center"/>
    </xf>
    <xf numFmtId="189" fontId="14" fillId="4" borderId="1" xfId="0" applyNumberFormat="1" applyFont="1" applyFill="1" applyBorder="1" applyAlignment="1">
      <alignment horizontal="right" vertical="center" wrapText="1"/>
    </xf>
    <xf numFmtId="189" fontId="14" fillId="5" borderId="1" xfId="1" applyNumberFormat="1" applyFont="1" applyFill="1" applyBorder="1" applyAlignment="1">
      <alignment horizontal="right" vertical="center" wrapText="1"/>
    </xf>
    <xf numFmtId="189" fontId="14" fillId="0" borderId="1" xfId="1" applyNumberFormat="1" applyFont="1" applyFill="1" applyBorder="1" applyAlignment="1">
      <alignment horizontal="right" vertical="center" wrapText="1"/>
    </xf>
    <xf numFmtId="189" fontId="14" fillId="4" borderId="1" xfId="0" applyNumberFormat="1" applyFont="1" applyFill="1" applyBorder="1" applyAlignment="1">
      <alignment horizontal="right" vertical="center"/>
    </xf>
    <xf numFmtId="189" fontId="14" fillId="4" borderId="1" xfId="1" applyNumberFormat="1" applyFont="1" applyFill="1" applyBorder="1" applyAlignment="1">
      <alignment horizontal="right" vertical="center" wrapText="1"/>
    </xf>
    <xf numFmtId="190" fontId="14" fillId="4" borderId="1" xfId="1" applyNumberFormat="1" applyFont="1" applyFill="1" applyBorder="1" applyAlignment="1">
      <alignment horizontal="center" vertical="center"/>
    </xf>
    <xf numFmtId="49" fontId="14" fillId="0" borderId="1" xfId="0" applyNumberFormat="1" applyFont="1" applyBorder="1" applyAlignment="1">
      <alignment horizontal="center" vertical="center" wrapText="1"/>
    </xf>
    <xf numFmtId="0" fontId="14" fillId="0" borderId="0" xfId="0" applyFont="1" applyAlignment="1">
      <alignment vertical="center" wrapText="1"/>
    </xf>
    <xf numFmtId="0" fontId="18" fillId="3" borderId="1" xfId="3" applyFont="1" applyFill="1" applyBorder="1" applyAlignment="1">
      <alignment horizontal="center" vertical="center" wrapText="1"/>
    </xf>
    <xf numFmtId="0" fontId="17" fillId="4" borderId="0" xfId="0" applyFont="1" applyFill="1" applyAlignment="1">
      <alignment vertical="center" wrapText="1"/>
    </xf>
    <xf numFmtId="0" fontId="18" fillId="0" borderId="0" xfId="0" applyFont="1" applyAlignment="1">
      <alignment horizontal="center" vertical="center"/>
    </xf>
    <xf numFmtId="0" fontId="14" fillId="0" borderId="0" xfId="0" applyFont="1">
      <alignment vertical="center"/>
    </xf>
    <xf numFmtId="0" fontId="18" fillId="8" borderId="8" xfId="0" applyFont="1" applyFill="1" applyBorder="1">
      <alignment vertical="center"/>
    </xf>
    <xf numFmtId="0" fontId="18" fillId="8" borderId="5" xfId="0" applyFont="1" applyFill="1" applyBorder="1">
      <alignment vertical="center"/>
    </xf>
    <xf numFmtId="0" fontId="19" fillId="0" borderId="0" xfId="0" applyFont="1">
      <alignment vertical="center"/>
    </xf>
    <xf numFmtId="0" fontId="14" fillId="4" borderId="1" xfId="0" applyFont="1" applyFill="1" applyBorder="1">
      <alignment vertical="center"/>
    </xf>
    <xf numFmtId="0" fontId="17" fillId="12" borderId="0" xfId="0" applyFont="1" applyFill="1">
      <alignment vertical="center"/>
    </xf>
    <xf numFmtId="0" fontId="17" fillId="4" borderId="0" xfId="0" applyFont="1" applyFill="1">
      <alignment vertical="center"/>
    </xf>
    <xf numFmtId="176" fontId="11" fillId="12" borderId="0" xfId="0" applyNumberFormat="1" applyFont="1" applyFill="1">
      <alignment vertical="center"/>
    </xf>
    <xf numFmtId="0" fontId="21" fillId="0" borderId="0" xfId="0" applyFont="1">
      <alignment vertical="center"/>
    </xf>
    <xf numFmtId="176" fontId="21" fillId="0" borderId="0" xfId="0" applyNumberFormat="1" applyFont="1">
      <alignment vertical="center"/>
    </xf>
    <xf numFmtId="0" fontId="17" fillId="0" borderId="0" xfId="0" applyFont="1">
      <alignment vertical="center"/>
    </xf>
    <xf numFmtId="0" fontId="18" fillId="4" borderId="0" xfId="0" applyFont="1" applyFill="1">
      <alignment vertical="center"/>
    </xf>
    <xf numFmtId="0" fontId="19" fillId="6" borderId="1" xfId="0" applyFont="1" applyFill="1" applyBorder="1" applyAlignment="1">
      <alignment horizontal="center" vertical="center"/>
    </xf>
    <xf numFmtId="49" fontId="19" fillId="0" borderId="1" xfId="0" applyNumberFormat="1" applyFont="1" applyBorder="1" applyAlignment="1">
      <alignment horizontal="center" vertical="center" wrapText="1"/>
    </xf>
    <xf numFmtId="191" fontId="19" fillId="0" borderId="10" xfId="11" applyNumberFormat="1" applyFont="1" applyBorder="1" applyAlignment="1">
      <alignment horizontal="center" vertical="center"/>
    </xf>
    <xf numFmtId="191" fontId="19" fillId="9" borderId="10" xfId="11" applyNumberFormat="1" applyFont="1" applyFill="1" applyBorder="1" applyAlignment="1">
      <alignment horizontal="center" vertical="center"/>
    </xf>
    <xf numFmtId="191" fontId="20" fillId="7" borderId="10" xfId="11" applyNumberFormat="1" applyFont="1" applyFill="1" applyBorder="1" applyAlignment="1">
      <alignment horizontal="center" vertical="center"/>
    </xf>
    <xf numFmtId="191" fontId="19" fillId="0" borderId="10" xfId="11" applyNumberFormat="1" applyFont="1" applyBorder="1" applyAlignment="1">
      <alignment horizontal="center" vertical="center" wrapText="1"/>
    </xf>
    <xf numFmtId="191" fontId="20" fillId="10" borderId="10" xfId="11" applyNumberFormat="1" applyFont="1" applyFill="1" applyBorder="1" applyAlignment="1">
      <alignment horizontal="center" vertical="center" wrapText="1"/>
    </xf>
    <xf numFmtId="191" fontId="19" fillId="4" borderId="10" xfId="11" applyNumberFormat="1" applyFont="1" applyFill="1" applyBorder="1" applyAlignment="1">
      <alignment horizontal="center" vertical="center" wrapText="1"/>
    </xf>
    <xf numFmtId="191" fontId="20" fillId="10" borderId="10" xfId="11" applyNumberFormat="1" applyFont="1" applyFill="1" applyBorder="1" applyAlignment="1">
      <alignment horizontal="center" vertical="center"/>
    </xf>
    <xf numFmtId="191" fontId="19" fillId="4" borderId="10" xfId="11" applyNumberFormat="1" applyFont="1" applyFill="1" applyBorder="1" applyAlignment="1">
      <alignment horizontal="center" vertical="center"/>
    </xf>
    <xf numFmtId="191" fontId="15" fillId="0" borderId="0" xfId="0" applyNumberFormat="1" applyFont="1">
      <alignment vertical="center"/>
    </xf>
    <xf numFmtId="176" fontId="22" fillId="4" borderId="1" xfId="1" applyFont="1" applyFill="1" applyBorder="1" applyAlignment="1">
      <alignment horizontal="center" vertical="center"/>
    </xf>
    <xf numFmtId="176" fontId="23" fillId="4" borderId="1" xfId="1" applyFont="1" applyFill="1" applyBorder="1" applyAlignment="1">
      <alignment horizontal="right" vertical="center"/>
    </xf>
    <xf numFmtId="176" fontId="23" fillId="4" borderId="1" xfId="1" applyFont="1" applyFill="1" applyBorder="1" applyAlignment="1">
      <alignment vertical="center"/>
    </xf>
    <xf numFmtId="0" fontId="24" fillId="4" borderId="1" xfId="0" applyFont="1" applyFill="1" applyBorder="1" applyAlignment="1">
      <alignment horizontal="center" vertical="center"/>
    </xf>
    <xf numFmtId="0" fontId="23" fillId="4" borderId="1" xfId="0" applyFont="1" applyFill="1" applyBorder="1">
      <alignment vertical="center"/>
    </xf>
    <xf numFmtId="181" fontId="25" fillId="4" borderId="10" xfId="11" applyNumberFormat="1" applyFont="1" applyFill="1" applyBorder="1" applyAlignment="1">
      <alignment horizontal="right" vertical="center" wrapText="1"/>
    </xf>
    <xf numFmtId="181" fontId="25" fillId="0" borderId="10" xfId="11" applyNumberFormat="1" applyFont="1" applyFill="1" applyBorder="1" applyAlignment="1">
      <alignment horizontal="right" vertical="center" wrapText="1"/>
    </xf>
    <xf numFmtId="183" fontId="19" fillId="6" borderId="10" xfId="11" applyNumberFormat="1" applyFont="1" applyFill="1" applyBorder="1" applyAlignment="1">
      <alignment horizontal="center" vertical="center"/>
    </xf>
    <xf numFmtId="176" fontId="19" fillId="6" borderId="10" xfId="11" applyFont="1" applyFill="1" applyBorder="1" applyAlignment="1">
      <alignment horizontal="center" vertical="center"/>
    </xf>
    <xf numFmtId="191" fontId="19" fillId="6" borderId="10" xfId="11" applyNumberFormat="1" applyFont="1" applyFill="1" applyBorder="1" applyAlignment="1">
      <alignment horizontal="center" vertical="center"/>
    </xf>
    <xf numFmtId="181" fontId="25" fillId="6" borderId="10" xfId="11" applyNumberFormat="1" applyFont="1" applyFill="1" applyBorder="1" applyAlignment="1">
      <alignment horizontal="right" vertical="center" wrapText="1"/>
    </xf>
    <xf numFmtId="181" fontId="19" fillId="6" borderId="10" xfId="11" applyNumberFormat="1" applyFont="1" applyFill="1" applyBorder="1" applyAlignment="1">
      <alignment horizontal="right" vertical="center" wrapText="1"/>
    </xf>
    <xf numFmtId="0" fontId="28" fillId="0" borderId="0" xfId="18" applyFont="1">
      <alignment vertical="center"/>
    </xf>
    <xf numFmtId="0" fontId="27" fillId="0" borderId="21" xfId="17" applyFont="1" applyBorder="1" applyAlignment="1">
      <alignment horizontal="center" vertical="center"/>
    </xf>
    <xf numFmtId="0" fontId="27" fillId="0" borderId="0" xfId="17" applyFont="1" applyAlignment="1">
      <alignment horizontal="center" vertical="center"/>
    </xf>
    <xf numFmtId="0" fontId="27" fillId="0" borderId="22" xfId="17" applyFont="1" applyBorder="1" applyAlignment="1">
      <alignment horizontal="center" vertical="center"/>
    </xf>
    <xf numFmtId="0" fontId="30" fillId="0" borderId="21" xfId="17" applyFont="1" applyBorder="1" applyAlignment="1">
      <alignment horizontal="left" vertical="center"/>
    </xf>
    <xf numFmtId="0" fontId="31" fillId="0" borderId="0" xfId="17" applyFont="1" applyAlignment="1">
      <alignment vertical="center"/>
    </xf>
    <xf numFmtId="0" fontId="31" fillId="0" borderId="0" xfId="17" applyFont="1" applyAlignment="1">
      <alignment horizontal="left" vertical="center" textRotation="1"/>
    </xf>
    <xf numFmtId="0" fontId="32" fillId="0" borderId="0" xfId="17" applyFont="1" applyAlignment="1">
      <alignment horizontal="centerContinuous" vertical="center"/>
    </xf>
    <xf numFmtId="0" fontId="32" fillId="0" borderId="22" xfId="17" applyFont="1" applyBorder="1" applyAlignment="1">
      <alignment vertical="center"/>
    </xf>
    <xf numFmtId="0" fontId="33" fillId="0" borderId="21" xfId="17" applyFont="1" applyBorder="1" applyAlignment="1">
      <alignment horizontal="left" vertical="center" indent="2"/>
    </xf>
    <xf numFmtId="0" fontId="28" fillId="0" borderId="9" xfId="17" applyFont="1" applyBorder="1" applyAlignment="1">
      <alignment vertical="center"/>
    </xf>
    <xf numFmtId="0" fontId="28" fillId="0" borderId="0" xfId="17" applyFont="1" applyAlignment="1">
      <alignment vertical="center"/>
    </xf>
    <xf numFmtId="0" fontId="32" fillId="0" borderId="22" xfId="17" applyFont="1" applyBorder="1" applyAlignment="1">
      <alignment horizontal="right" vertical="center"/>
    </xf>
    <xf numFmtId="0" fontId="33" fillId="0" borderId="21" xfId="17" applyFont="1" applyBorder="1" applyAlignment="1">
      <alignment vertical="center"/>
    </xf>
    <xf numFmtId="0" fontId="33" fillId="0" borderId="0" xfId="17" applyFont="1" applyAlignment="1">
      <alignment vertical="center"/>
    </xf>
    <xf numFmtId="0" fontId="32" fillId="0" borderId="0" xfId="17" applyFont="1" applyAlignment="1">
      <alignment horizontal="right" vertical="center"/>
    </xf>
    <xf numFmtId="0" fontId="33" fillId="0" borderId="22" xfId="17" applyFont="1" applyBorder="1" applyAlignment="1">
      <alignment vertical="center"/>
    </xf>
    <xf numFmtId="0" fontId="28" fillId="0" borderId="24" xfId="17" applyFont="1" applyBorder="1" applyAlignment="1">
      <alignment horizontal="center" vertical="center"/>
    </xf>
    <xf numFmtId="0" fontId="28" fillId="0" borderId="25" xfId="17" applyFont="1" applyBorder="1" applyAlignment="1">
      <alignment horizontal="center" vertical="center"/>
    </xf>
    <xf numFmtId="0" fontId="28" fillId="0" borderId="5" xfId="17" applyFont="1" applyBorder="1" applyAlignment="1">
      <alignment horizontal="center" vertical="center"/>
    </xf>
    <xf numFmtId="0" fontId="28" fillId="0" borderId="16" xfId="17" applyFont="1" applyBorder="1" applyAlignment="1">
      <alignment horizontal="center" vertical="center"/>
    </xf>
    <xf numFmtId="0" fontId="28" fillId="0" borderId="1" xfId="17" applyFont="1" applyBorder="1" applyAlignment="1">
      <alignment horizontal="center" vertical="center"/>
    </xf>
    <xf numFmtId="0" fontId="36" fillId="0" borderId="7" xfId="17" applyFont="1" applyBorder="1" applyAlignment="1">
      <alignment horizontal="center" vertical="center"/>
    </xf>
    <xf numFmtId="0" fontId="28" fillId="0" borderId="34" xfId="17" applyFont="1" applyBorder="1" applyAlignment="1">
      <alignment horizontal="center" vertical="center"/>
    </xf>
    <xf numFmtId="0" fontId="28" fillId="0" borderId="35" xfId="17" applyFont="1" applyBorder="1" applyAlignment="1">
      <alignment horizontal="center" vertical="center"/>
    </xf>
    <xf numFmtId="0" fontId="28" fillId="0" borderId="21" xfId="17" applyFont="1" applyBorder="1" applyAlignment="1">
      <alignment horizontal="center" vertical="center"/>
    </xf>
    <xf numFmtId="0" fontId="28" fillId="0" borderId="0" xfId="17" applyFont="1" applyAlignment="1">
      <alignment horizontal="center" vertical="center"/>
    </xf>
    <xf numFmtId="0" fontId="28" fillId="0" borderId="0" xfId="17" applyFont="1" applyAlignment="1">
      <alignment horizontal="left" vertical="center" indent="1"/>
    </xf>
    <xf numFmtId="0" fontId="32" fillId="0" borderId="0" xfId="17" applyFont="1" applyAlignment="1">
      <alignment vertical="center"/>
    </xf>
    <xf numFmtId="0" fontId="28" fillId="0" borderId="21" xfId="17" applyFont="1" applyBorder="1" applyAlignment="1">
      <alignment vertical="center"/>
    </xf>
    <xf numFmtId="0" fontId="28" fillId="0" borderId="22" xfId="17" applyFont="1" applyBorder="1" applyAlignment="1">
      <alignment vertical="center"/>
    </xf>
    <xf numFmtId="0" fontId="33" fillId="0" borderId="21" xfId="17" applyFont="1" applyBorder="1" applyAlignment="1">
      <alignment horizontal="left" vertical="center" indent="1"/>
    </xf>
    <xf numFmtId="0" fontId="38" fillId="0" borderId="0" xfId="17" applyFont="1" applyAlignment="1">
      <alignment vertical="center"/>
    </xf>
    <xf numFmtId="0" fontId="38" fillId="14" borderId="36" xfId="17" applyFont="1" applyFill="1" applyBorder="1" applyAlignment="1">
      <alignment horizontal="center" vertical="center"/>
    </xf>
    <xf numFmtId="0" fontId="38" fillId="14" borderId="37" xfId="17" applyFont="1" applyFill="1" applyBorder="1" applyAlignment="1">
      <alignment horizontal="center" vertical="center"/>
    </xf>
    <xf numFmtId="3" fontId="38" fillId="14" borderId="37" xfId="17" applyNumberFormat="1" applyFont="1" applyFill="1" applyBorder="1" applyAlignment="1">
      <alignment horizontal="center" vertical="center"/>
    </xf>
    <xf numFmtId="0" fontId="28" fillId="0" borderId="41" xfId="17" applyFont="1" applyBorder="1" applyAlignment="1">
      <alignment horizontal="center" vertical="center"/>
    </xf>
    <xf numFmtId="0" fontId="28" fillId="0" borderId="45" xfId="17" applyFont="1" applyBorder="1" applyAlignment="1">
      <alignment horizontal="center" vertical="center"/>
    </xf>
    <xf numFmtId="0" fontId="28" fillId="0" borderId="12" xfId="20" applyFont="1" applyBorder="1" applyAlignment="1">
      <alignment horizontal="center" vertical="center"/>
    </xf>
    <xf numFmtId="176" fontId="28" fillId="0" borderId="0" xfId="18" applyNumberFormat="1" applyFont="1">
      <alignment vertical="center"/>
    </xf>
    <xf numFmtId="0" fontId="28" fillId="0" borderId="15" xfId="20" applyFont="1" applyBorder="1" applyAlignment="1">
      <alignment horizontal="left" vertical="center" wrapText="1" indent="1"/>
    </xf>
    <xf numFmtId="0" fontId="32" fillId="0" borderId="56" xfId="20" applyFont="1" applyBorder="1" applyAlignment="1">
      <alignment horizontal="center" vertical="center"/>
    </xf>
    <xf numFmtId="190" fontId="32" fillId="0" borderId="56" xfId="20" applyNumberFormat="1" applyFont="1" applyBorder="1" applyAlignment="1">
      <alignment horizontal="center" vertical="center"/>
    </xf>
    <xf numFmtId="177" fontId="28" fillId="0" borderId="0" xfId="18" applyNumberFormat="1" applyFont="1">
      <alignment vertical="center"/>
    </xf>
    <xf numFmtId="2" fontId="32" fillId="0" borderId="58" xfId="20" applyNumberFormat="1" applyFont="1" applyBorder="1" applyAlignment="1">
      <alignment horizontal="center" vertical="center"/>
    </xf>
    <xf numFmtId="0" fontId="32" fillId="0" borderId="61" xfId="20" applyFont="1" applyBorder="1" applyAlignment="1">
      <alignment horizontal="center" vertical="center"/>
    </xf>
    <xf numFmtId="0" fontId="28" fillId="0" borderId="63" xfId="17" applyFont="1" applyBorder="1" applyAlignment="1">
      <alignment horizontal="center" vertical="center"/>
    </xf>
    <xf numFmtId="0" fontId="28" fillId="0" borderId="14" xfId="20" applyFont="1" applyBorder="1" applyAlignment="1">
      <alignment horizontal="left" vertical="center" wrapText="1" indent="1"/>
    </xf>
    <xf numFmtId="1" fontId="32" fillId="0" borderId="64" xfId="20" applyNumberFormat="1" applyFont="1" applyBorder="1" applyAlignment="1">
      <alignment horizontal="center" vertical="center"/>
    </xf>
    <xf numFmtId="0" fontId="32" fillId="0" borderId="64" xfId="20" applyFont="1" applyBorder="1" applyAlignment="1">
      <alignment horizontal="center" vertical="center"/>
    </xf>
    <xf numFmtId="0" fontId="32" fillId="0" borderId="68" xfId="20" applyFont="1" applyBorder="1" applyAlignment="1">
      <alignment horizontal="center" vertical="center"/>
    </xf>
    <xf numFmtId="176" fontId="28" fillId="0" borderId="0" xfId="21" applyFont="1">
      <alignment vertical="center"/>
    </xf>
    <xf numFmtId="176" fontId="42" fillId="15" borderId="38" xfId="17" applyNumberFormat="1" applyFont="1" applyFill="1" applyBorder="1" applyAlignment="1">
      <alignment horizontal="right" vertical="center"/>
    </xf>
    <xf numFmtId="0" fontId="42" fillId="15" borderId="38" xfId="17" applyFont="1" applyFill="1" applyBorder="1" applyAlignment="1">
      <alignment horizontal="right" vertical="center"/>
    </xf>
    <xf numFmtId="176" fontId="42" fillId="15" borderId="70" xfId="21" applyFont="1" applyFill="1" applyBorder="1" applyAlignment="1">
      <alignment horizontal="right" vertical="center"/>
    </xf>
    <xf numFmtId="179" fontId="28" fillId="0" borderId="0" xfId="23" applyFont="1" applyAlignment="1">
      <alignment vertical="center"/>
    </xf>
    <xf numFmtId="49" fontId="32" fillId="0" borderId="21" xfId="17" applyNumberFormat="1" applyFont="1" applyBorder="1" applyAlignment="1">
      <alignment horizontal="left" vertical="center" indent="1"/>
    </xf>
    <xf numFmtId="49" fontId="28" fillId="0" borderId="0" xfId="17" applyNumberFormat="1" applyFont="1" applyAlignment="1">
      <alignment vertical="center"/>
    </xf>
    <xf numFmtId="49" fontId="28" fillId="0" borderId="22" xfId="17" applyNumberFormat="1" applyFont="1" applyBorder="1" applyAlignment="1">
      <alignment vertical="center"/>
    </xf>
    <xf numFmtId="49" fontId="28" fillId="0" borderId="21" xfId="17" applyNumberFormat="1" applyFont="1" applyBorder="1" applyAlignment="1">
      <alignment vertical="center"/>
    </xf>
    <xf numFmtId="0" fontId="33" fillId="0" borderId="0" xfId="20" applyFont="1" applyAlignment="1">
      <alignment horizontal="left" vertical="center"/>
    </xf>
    <xf numFmtId="0" fontId="33" fillId="0" borderId="22" xfId="20" applyFont="1" applyBorder="1" applyAlignment="1">
      <alignment horizontal="left" vertical="center"/>
    </xf>
    <xf numFmtId="49" fontId="28" fillId="0" borderId="72" xfId="17" applyNumberFormat="1" applyFont="1" applyBorder="1" applyAlignment="1">
      <alignment vertical="center"/>
    </xf>
    <xf numFmtId="49" fontId="28" fillId="0" borderId="73" xfId="17" applyNumberFormat="1" applyFont="1" applyBorder="1" applyAlignment="1">
      <alignment vertical="center"/>
    </xf>
    <xf numFmtId="49" fontId="28" fillId="0" borderId="74" xfId="17" applyNumberFormat="1" applyFont="1" applyBorder="1" applyAlignment="1">
      <alignment vertical="center"/>
    </xf>
    <xf numFmtId="0" fontId="33" fillId="0" borderId="9" xfId="17" applyFont="1" applyFill="1" applyBorder="1" applyAlignment="1">
      <alignment vertical="center"/>
    </xf>
    <xf numFmtId="0" fontId="28" fillId="0" borderId="9" xfId="17" applyFont="1" applyFill="1" applyBorder="1" applyAlignment="1">
      <alignment vertical="center"/>
    </xf>
    <xf numFmtId="0" fontId="28" fillId="0" borderId="23" xfId="17" applyFont="1" applyFill="1" applyBorder="1" applyAlignment="1">
      <alignment horizontal="right" vertical="center"/>
    </xf>
    <xf numFmtId="0" fontId="28" fillId="0" borderId="24" xfId="17" applyFont="1" applyFill="1" applyBorder="1" applyAlignment="1">
      <alignment horizontal="center" vertical="center"/>
    </xf>
    <xf numFmtId="0" fontId="28" fillId="0" borderId="42" xfId="20" applyFont="1" applyFill="1" applyBorder="1" applyAlignment="1">
      <alignment horizontal="center" vertical="center"/>
    </xf>
    <xf numFmtId="0" fontId="28" fillId="0" borderId="44" xfId="20" applyFont="1" applyFill="1" applyBorder="1" applyAlignment="1">
      <alignment horizontal="center" vertical="center"/>
    </xf>
    <xf numFmtId="0" fontId="28" fillId="0" borderId="11" xfId="20" applyFont="1" applyFill="1" applyBorder="1" applyAlignment="1">
      <alignment horizontal="center" vertical="center"/>
    </xf>
    <xf numFmtId="0" fontId="32" fillId="0" borderId="52" xfId="20" applyFont="1" applyFill="1" applyBorder="1" applyAlignment="1">
      <alignment horizontal="center" vertical="center"/>
    </xf>
    <xf numFmtId="0" fontId="32" fillId="0" borderId="64" xfId="20" applyFont="1" applyBorder="1" applyAlignment="1">
      <alignment horizontal="left" vertical="center" wrapText="1" indent="1"/>
    </xf>
    <xf numFmtId="0" fontId="32" fillId="0" borderId="65" xfId="20" applyFont="1" applyBorder="1" applyAlignment="1">
      <alignment horizontal="left" vertical="center" wrapText="1" indent="1"/>
    </xf>
    <xf numFmtId="0" fontId="32" fillId="0" borderId="66" xfId="20" applyFont="1" applyBorder="1" applyAlignment="1">
      <alignment horizontal="left" vertical="center" wrapText="1" indent="1"/>
    </xf>
    <xf numFmtId="176" fontId="28" fillId="0" borderId="64" xfId="21" applyFont="1" applyFill="1" applyBorder="1" applyAlignment="1">
      <alignment horizontal="right" vertical="center"/>
    </xf>
    <xf numFmtId="176" fontId="28" fillId="0" borderId="65" xfId="21" applyFont="1" applyFill="1" applyBorder="1" applyAlignment="1">
      <alignment horizontal="right" vertical="center"/>
    </xf>
    <xf numFmtId="176" fontId="28" fillId="0" borderId="66" xfId="21" applyFont="1" applyFill="1" applyBorder="1" applyAlignment="1">
      <alignment horizontal="right" vertical="center"/>
    </xf>
    <xf numFmtId="176" fontId="28" fillId="0" borderId="64" xfId="22" applyFont="1" applyFill="1" applyBorder="1" applyAlignment="1">
      <alignment horizontal="left" vertical="center"/>
    </xf>
    <xf numFmtId="176" fontId="28" fillId="0" borderId="67" xfId="22" applyFont="1" applyFill="1" applyBorder="1" applyAlignment="1">
      <alignment horizontal="left" vertical="center"/>
    </xf>
    <xf numFmtId="0" fontId="42" fillId="15" borderId="69" xfId="17" applyFont="1" applyFill="1" applyBorder="1" applyAlignment="1">
      <alignment horizontal="center" vertical="center"/>
    </xf>
    <xf numFmtId="0" fontId="42" fillId="15" borderId="38" xfId="17" applyFont="1" applyFill="1" applyBorder="1" applyAlignment="1">
      <alignment horizontal="center" vertical="center"/>
    </xf>
    <xf numFmtId="0" fontId="42" fillId="15" borderId="70" xfId="17" applyFont="1" applyFill="1" applyBorder="1" applyAlignment="1">
      <alignment horizontal="center" vertical="center"/>
    </xf>
    <xf numFmtId="9" fontId="42" fillId="15" borderId="71" xfId="2" applyFont="1" applyFill="1" applyBorder="1" applyAlignment="1">
      <alignment horizontal="center" vertical="center"/>
    </xf>
    <xf numFmtId="9" fontId="42" fillId="15" borderId="40" xfId="2" applyFont="1" applyFill="1" applyBorder="1" applyAlignment="1">
      <alignment horizontal="center" vertical="center"/>
    </xf>
    <xf numFmtId="176" fontId="28" fillId="0" borderId="12" xfId="21" applyFont="1" applyFill="1" applyBorder="1" applyAlignment="1">
      <alignment horizontal="right" vertical="center"/>
    </xf>
    <xf numFmtId="176" fontId="28" fillId="0" borderId="50" xfId="21" applyFont="1" applyFill="1" applyBorder="1" applyAlignment="1">
      <alignment horizontal="right" vertical="center"/>
    </xf>
    <xf numFmtId="176" fontId="28" fillId="0" borderId="13" xfId="21" applyFont="1" applyFill="1" applyBorder="1" applyAlignment="1">
      <alignment horizontal="right" vertical="center"/>
    </xf>
    <xf numFmtId="176" fontId="28" fillId="0" borderId="12" xfId="22" applyFont="1" applyFill="1" applyBorder="1" applyAlignment="1">
      <alignment horizontal="left" vertical="center"/>
    </xf>
    <xf numFmtId="176" fontId="28" fillId="0" borderId="51" xfId="22" applyFont="1" applyFill="1" applyBorder="1" applyAlignment="1">
      <alignment horizontal="left" vertical="center"/>
    </xf>
    <xf numFmtId="176" fontId="41" fillId="0" borderId="64" xfId="22" applyFont="1" applyBorder="1" applyAlignment="1">
      <alignment horizontal="left" vertical="center"/>
    </xf>
    <xf numFmtId="176" fontId="41" fillId="0" borderId="67" xfId="22" applyFont="1" applyBorder="1" applyAlignment="1">
      <alignment horizontal="left" vertical="center"/>
    </xf>
    <xf numFmtId="0" fontId="32" fillId="0" borderId="58" xfId="20" applyFont="1" applyBorder="1" applyAlignment="1">
      <alignment horizontal="left" vertical="center" wrapText="1" indent="1"/>
    </xf>
    <xf numFmtId="0" fontId="32" fillId="0" borderId="59" xfId="20" applyFont="1" applyBorder="1" applyAlignment="1">
      <alignment horizontal="left" vertical="center" wrapText="1" indent="1"/>
    </xf>
    <xf numFmtId="0" fontId="32" fillId="0" borderId="60" xfId="20" applyFont="1" applyBorder="1" applyAlignment="1">
      <alignment horizontal="left" vertical="center" wrapText="1" indent="1"/>
    </xf>
    <xf numFmtId="176" fontId="28" fillId="0" borderId="58" xfId="21" applyFont="1" applyFill="1" applyBorder="1" applyAlignment="1">
      <alignment horizontal="right" vertical="center"/>
    </xf>
    <xf numFmtId="176" fontId="28" fillId="0" borderId="59" xfId="21" applyFont="1" applyFill="1" applyBorder="1" applyAlignment="1">
      <alignment horizontal="right" vertical="center"/>
    </xf>
    <xf numFmtId="176" fontId="28" fillId="0" borderId="60" xfId="21" applyFont="1" applyFill="1" applyBorder="1" applyAlignment="1">
      <alignment horizontal="right" vertical="center"/>
    </xf>
    <xf numFmtId="176" fontId="28" fillId="0" borderId="56" xfId="22" applyFont="1" applyFill="1" applyBorder="1" applyAlignment="1">
      <alignment horizontal="left" vertical="center"/>
    </xf>
    <xf numFmtId="176" fontId="28" fillId="0" borderId="28" xfId="22" applyFont="1" applyFill="1" applyBorder="1" applyAlignment="1">
      <alignment horizontal="left" vertical="center"/>
    </xf>
    <xf numFmtId="176" fontId="28" fillId="0" borderId="58" xfId="22" applyFont="1" applyFill="1" applyBorder="1" applyAlignment="1">
      <alignment horizontal="left" vertical="center"/>
    </xf>
    <xf numFmtId="176" fontId="28" fillId="0" borderId="62" xfId="22" applyFont="1" applyFill="1" applyBorder="1" applyAlignment="1">
      <alignment horizontal="left" vertical="center"/>
    </xf>
    <xf numFmtId="0" fontId="32" fillId="0" borderId="56" xfId="20" applyFont="1" applyBorder="1" applyAlignment="1">
      <alignment horizontal="left" vertical="center" wrapText="1" indent="1"/>
    </xf>
    <xf numFmtId="0" fontId="32" fillId="0" borderId="3" xfId="20" applyFont="1" applyBorder="1" applyAlignment="1">
      <alignment horizontal="left" vertical="center" wrapText="1" indent="1"/>
    </xf>
    <xf numFmtId="0" fontId="32" fillId="0" borderId="57" xfId="20" applyFont="1" applyBorder="1" applyAlignment="1">
      <alignment horizontal="left" vertical="center" wrapText="1" indent="1"/>
    </xf>
    <xf numFmtId="176" fontId="28" fillId="0" borderId="56" xfId="21" applyFont="1" applyFill="1" applyBorder="1" applyAlignment="1">
      <alignment horizontal="right" vertical="center"/>
    </xf>
    <xf numFmtId="176" fontId="28" fillId="0" borderId="3" xfId="21" applyFont="1" applyFill="1" applyBorder="1" applyAlignment="1">
      <alignment horizontal="right" vertical="center"/>
    </xf>
    <xf numFmtId="176" fontId="28" fillId="0" borderId="57" xfId="21" applyFont="1" applyFill="1" applyBorder="1" applyAlignment="1">
      <alignment horizontal="right" vertical="center"/>
    </xf>
    <xf numFmtId="0" fontId="32" fillId="0" borderId="52" xfId="20" applyFont="1" applyFill="1" applyBorder="1" applyAlignment="1">
      <alignment horizontal="left" vertical="center" wrapText="1" indent="1"/>
    </xf>
    <xf numFmtId="0" fontId="32" fillId="0" borderId="53" xfId="20" applyFont="1" applyFill="1" applyBorder="1" applyAlignment="1">
      <alignment horizontal="left" vertical="center" wrapText="1" indent="1"/>
    </xf>
    <xf numFmtId="0" fontId="32" fillId="0" borderId="54" xfId="20" applyFont="1" applyFill="1" applyBorder="1" applyAlignment="1">
      <alignment horizontal="left" vertical="center" wrapText="1" indent="1"/>
    </xf>
    <xf numFmtId="176" fontId="28" fillId="0" borderId="52" xfId="21" applyFont="1" applyFill="1" applyBorder="1" applyAlignment="1">
      <alignment horizontal="right" vertical="center"/>
    </xf>
    <xf numFmtId="176" fontId="28" fillId="0" borderId="53" xfId="21" applyFont="1" applyFill="1" applyBorder="1" applyAlignment="1">
      <alignment horizontal="right" vertical="center"/>
    </xf>
    <xf numFmtId="176" fontId="28" fillId="0" borderId="54" xfId="21" applyFont="1" applyFill="1" applyBorder="1" applyAlignment="1">
      <alignment horizontal="right" vertical="center"/>
    </xf>
    <xf numFmtId="176" fontId="28" fillId="0" borderId="52" xfId="22" applyFont="1" applyBorder="1" applyAlignment="1">
      <alignment horizontal="left" vertical="center"/>
    </xf>
    <xf numFmtId="176" fontId="28" fillId="0" borderId="55" xfId="22" applyFont="1" applyBorder="1" applyAlignment="1">
      <alignment horizontal="left" vertical="center"/>
    </xf>
    <xf numFmtId="0" fontId="28" fillId="0" borderId="46" xfId="20" applyFont="1" applyFill="1" applyBorder="1" applyAlignment="1">
      <alignment horizontal="center" vertical="center" wrapText="1"/>
    </xf>
    <xf numFmtId="0" fontId="28" fillId="0" borderId="47" xfId="20" applyFont="1" applyFill="1" applyBorder="1" applyAlignment="1">
      <alignment horizontal="center" vertical="center" wrapText="1"/>
    </xf>
    <xf numFmtId="0" fontId="28" fillId="0" borderId="48" xfId="20" applyFont="1" applyFill="1" applyBorder="1" applyAlignment="1">
      <alignment horizontal="center" vertical="center" wrapText="1"/>
    </xf>
    <xf numFmtId="176" fontId="28" fillId="0" borderId="46" xfId="21" applyFont="1" applyFill="1" applyBorder="1" applyAlignment="1">
      <alignment horizontal="right" vertical="center"/>
    </xf>
    <xf numFmtId="176" fontId="28" fillId="0" borderId="47" xfId="21" applyFont="1" applyFill="1" applyBorder="1" applyAlignment="1">
      <alignment horizontal="right" vertical="center"/>
    </xf>
    <xf numFmtId="176" fontId="28" fillId="0" borderId="48" xfId="21" applyFont="1" applyFill="1" applyBorder="1" applyAlignment="1">
      <alignment horizontal="right" vertical="center"/>
    </xf>
    <xf numFmtId="176" fontId="28" fillId="0" borderId="46" xfId="22" applyFont="1" applyBorder="1" applyAlignment="1">
      <alignment horizontal="left" vertical="center"/>
    </xf>
    <xf numFmtId="176" fontId="28" fillId="0" borderId="49" xfId="22" applyFont="1" applyBorder="1" applyAlignment="1">
      <alignment horizontal="left" vertical="center"/>
    </xf>
    <xf numFmtId="0" fontId="28" fillId="0" borderId="46" xfId="20" applyFont="1" applyBorder="1" applyAlignment="1">
      <alignment horizontal="center" vertical="center" wrapText="1"/>
    </xf>
    <xf numFmtId="0" fontId="28" fillId="0" borderId="47" xfId="20" applyFont="1" applyBorder="1" applyAlignment="1">
      <alignment horizontal="center" vertical="center" wrapText="1"/>
    </xf>
    <xf numFmtId="0" fontId="28" fillId="0" borderId="48" xfId="20" applyFont="1" applyBorder="1" applyAlignment="1">
      <alignment horizontal="center" vertical="center" wrapText="1"/>
    </xf>
    <xf numFmtId="176" fontId="28" fillId="0" borderId="12" xfId="21" applyFont="1" applyBorder="1" applyAlignment="1">
      <alignment horizontal="center" vertical="center"/>
    </xf>
    <xf numFmtId="176" fontId="28" fillId="0" borderId="50" xfId="21" applyFont="1" applyBorder="1" applyAlignment="1">
      <alignment horizontal="center" vertical="center"/>
    </xf>
    <xf numFmtId="176" fontId="28" fillId="0" borderId="13" xfId="21" applyFont="1" applyBorder="1" applyAlignment="1">
      <alignment horizontal="center" vertical="center"/>
    </xf>
    <xf numFmtId="176" fontId="28" fillId="0" borderId="12" xfId="22" applyFont="1" applyBorder="1" applyAlignment="1">
      <alignment horizontal="left" vertical="center"/>
    </xf>
    <xf numFmtId="176" fontId="28" fillId="0" borderId="51" xfId="22" applyFont="1" applyBorder="1" applyAlignment="1">
      <alignment horizontal="left" vertical="center"/>
    </xf>
    <xf numFmtId="0" fontId="39" fillId="13" borderId="0" xfId="19" applyFont="1" applyFill="1" applyAlignment="1">
      <alignment horizontal="left" vertical="center"/>
    </xf>
    <xf numFmtId="0" fontId="39" fillId="13" borderId="22" xfId="19" applyFont="1" applyFill="1" applyBorder="1" applyAlignment="1">
      <alignment horizontal="left" vertical="center"/>
    </xf>
    <xf numFmtId="0" fontId="28" fillId="0" borderId="0" xfId="17" applyFont="1" applyAlignment="1">
      <alignment horizontal="right" vertical="center"/>
    </xf>
    <xf numFmtId="0" fontId="28" fillId="0" borderId="22" xfId="17" applyFont="1" applyBorder="1" applyAlignment="1">
      <alignment horizontal="right" vertical="center"/>
    </xf>
    <xf numFmtId="0" fontId="28" fillId="0" borderId="42" xfId="20" applyFont="1" applyFill="1" applyBorder="1" applyAlignment="1">
      <alignment horizontal="center" vertical="center" wrapText="1"/>
    </xf>
    <xf numFmtId="0" fontId="28" fillId="0" borderId="24" xfId="20" applyFont="1" applyFill="1" applyBorder="1" applyAlignment="1">
      <alignment horizontal="center" vertical="center" wrapText="1"/>
    </xf>
    <xf numFmtId="0" fontId="28" fillId="0" borderId="43" xfId="20" applyFont="1" applyFill="1" applyBorder="1" applyAlignment="1">
      <alignment horizontal="center" vertical="center" wrapText="1"/>
    </xf>
    <xf numFmtId="176" fontId="28" fillId="0" borderId="44" xfId="21" applyFont="1" applyFill="1" applyBorder="1" applyAlignment="1">
      <alignment horizontal="right" vertical="center"/>
    </xf>
    <xf numFmtId="176" fontId="28" fillId="0" borderId="42" xfId="20" applyNumberFormat="1" applyFont="1" applyBorder="1" applyAlignment="1">
      <alignment horizontal="left" vertical="center"/>
    </xf>
    <xf numFmtId="176" fontId="28" fillId="0" borderId="25" xfId="20" applyNumberFormat="1" applyFont="1" applyBorder="1" applyAlignment="1">
      <alignment horizontal="left" vertical="center"/>
    </xf>
    <xf numFmtId="0" fontId="38" fillId="14" borderId="37" xfId="17" applyFont="1" applyFill="1" applyBorder="1" applyAlignment="1">
      <alignment horizontal="center" vertical="center"/>
    </xf>
    <xf numFmtId="0" fontId="38" fillId="14" borderId="38" xfId="17" applyFont="1" applyFill="1" applyBorder="1" applyAlignment="1">
      <alignment horizontal="center" vertical="center"/>
    </xf>
    <xf numFmtId="0" fontId="38" fillId="14" borderId="39" xfId="17" applyFont="1" applyFill="1" applyBorder="1" applyAlignment="1">
      <alignment horizontal="center" vertical="center"/>
    </xf>
    <xf numFmtId="3" fontId="38" fillId="14" borderId="37" xfId="17" applyNumberFormat="1" applyFont="1" applyFill="1" applyBorder="1" applyAlignment="1">
      <alignment horizontal="center" vertical="center"/>
    </xf>
    <xf numFmtId="3" fontId="38" fillId="14" borderId="38" xfId="17" applyNumberFormat="1" applyFont="1" applyFill="1" applyBorder="1" applyAlignment="1">
      <alignment horizontal="center" vertical="center"/>
    </xf>
    <xf numFmtId="3" fontId="38" fillId="14" borderId="39" xfId="17" applyNumberFormat="1" applyFont="1" applyFill="1" applyBorder="1" applyAlignment="1">
      <alignment horizontal="center" vertical="center"/>
    </xf>
    <xf numFmtId="0" fontId="38" fillId="14" borderId="40" xfId="17" applyFont="1" applyFill="1" applyBorder="1" applyAlignment="1">
      <alignment horizontal="center" vertical="center"/>
    </xf>
    <xf numFmtId="192" fontId="37" fillId="13" borderId="0" xfId="17" applyNumberFormat="1" applyFont="1" applyFill="1" applyAlignment="1">
      <alignment horizontal="left" vertical="center"/>
    </xf>
    <xf numFmtId="0" fontId="27" fillId="0" borderId="18" xfId="17" applyFont="1" applyBorder="1" applyAlignment="1">
      <alignment horizontal="center" vertical="center"/>
    </xf>
    <xf numFmtId="0" fontId="27" fillId="0" borderId="19" xfId="17" applyFont="1" applyBorder="1" applyAlignment="1">
      <alignment horizontal="center" vertical="center"/>
    </xf>
    <xf numFmtId="0" fontId="27" fillId="0" borderId="20" xfId="17" applyFont="1" applyBorder="1" applyAlignment="1">
      <alignment horizontal="center" vertical="center"/>
    </xf>
    <xf numFmtId="0" fontId="29" fillId="0" borderId="21" xfId="17" applyFont="1" applyBorder="1" applyAlignment="1" applyProtection="1">
      <alignment horizontal="center" vertical="center"/>
      <protection locked="0"/>
    </xf>
    <xf numFmtId="0" fontId="29" fillId="0" borderId="0" xfId="17" applyFont="1" applyAlignment="1" applyProtection="1">
      <alignment horizontal="center" vertical="center"/>
      <protection locked="0"/>
    </xf>
    <xf numFmtId="0" fontId="29" fillId="0" borderId="22" xfId="17" applyFont="1" applyBorder="1" applyAlignment="1" applyProtection="1">
      <alignment horizontal="center" vertical="center"/>
      <protection locked="0"/>
    </xf>
    <xf numFmtId="0" fontId="28" fillId="9" borderId="23" xfId="17" applyFont="1" applyFill="1" applyBorder="1" applyAlignment="1">
      <alignment horizontal="center" vertical="center"/>
    </xf>
    <xf numFmtId="0" fontId="28" fillId="9" borderId="24" xfId="17" applyFont="1" applyFill="1" applyBorder="1" applyAlignment="1">
      <alignment horizontal="center" vertical="center"/>
    </xf>
    <xf numFmtId="0" fontId="28" fillId="9" borderId="25" xfId="17" applyFont="1" applyFill="1" applyBorder="1" applyAlignment="1">
      <alignment horizontal="center" vertical="center"/>
    </xf>
    <xf numFmtId="0" fontId="28" fillId="0" borderId="26" xfId="17" applyFont="1" applyBorder="1" applyAlignment="1">
      <alignment horizontal="center" vertical="center" wrapText="1"/>
    </xf>
    <xf numFmtId="0" fontId="28" fillId="0" borderId="29" xfId="17" applyFont="1" applyBorder="1" applyAlignment="1">
      <alignment horizontal="center" vertical="center"/>
    </xf>
    <xf numFmtId="0" fontId="28" fillId="0" borderId="33" xfId="17" applyFont="1" applyBorder="1" applyAlignment="1">
      <alignment horizontal="center" vertical="center"/>
    </xf>
    <xf numFmtId="0" fontId="28" fillId="0" borderId="27" xfId="17" applyFont="1" applyBorder="1" applyAlignment="1">
      <alignment horizontal="center" vertical="center"/>
    </xf>
    <xf numFmtId="0" fontId="28" fillId="0" borderId="3" xfId="17" applyFont="1" applyBorder="1" applyAlignment="1">
      <alignment horizontal="center" vertical="center"/>
    </xf>
    <xf numFmtId="0" fontId="28" fillId="0" borderId="28" xfId="17" applyFont="1" applyBorder="1" applyAlignment="1">
      <alignment horizontal="center" vertical="center"/>
    </xf>
    <xf numFmtId="0" fontId="35" fillId="0" borderId="27" xfId="17" applyFont="1" applyBorder="1" applyAlignment="1">
      <alignment horizontal="center" vertical="center"/>
    </xf>
    <xf numFmtId="0" fontId="33" fillId="0" borderId="3" xfId="17" applyFont="1" applyBorder="1" applyAlignment="1">
      <alignment horizontal="center" vertical="center"/>
    </xf>
    <xf numFmtId="0" fontId="33" fillId="0" borderId="4" xfId="17" applyFont="1" applyBorder="1" applyAlignment="1">
      <alignment horizontal="center" vertical="center"/>
    </xf>
    <xf numFmtId="0" fontId="35" fillId="0" borderId="2" xfId="17" applyFont="1" applyBorder="1" applyAlignment="1">
      <alignment horizontal="center" vertical="center"/>
    </xf>
    <xf numFmtId="0" fontId="33" fillId="0" borderId="28" xfId="17" applyFont="1" applyBorder="1" applyAlignment="1">
      <alignment horizontal="center" vertical="center"/>
    </xf>
    <xf numFmtId="0" fontId="28" fillId="0" borderId="27" xfId="17" applyFont="1" applyBorder="1" applyAlignment="1">
      <alignment horizontal="left" vertical="center" indent="1"/>
    </xf>
    <xf numFmtId="0" fontId="28" fillId="0" borderId="3" xfId="17" applyFont="1" applyBorder="1" applyAlignment="1">
      <alignment horizontal="left" vertical="center" indent="1"/>
    </xf>
    <xf numFmtId="0" fontId="28" fillId="0" borderId="28" xfId="17" applyFont="1" applyBorder="1" applyAlignment="1">
      <alignment horizontal="left" vertical="center" indent="1"/>
    </xf>
    <xf numFmtId="0" fontId="28" fillId="0" borderId="2" xfId="17" applyFont="1" applyBorder="1" applyAlignment="1">
      <alignment horizontal="center" vertical="center"/>
    </xf>
    <xf numFmtId="0" fontId="28" fillId="0" borderId="30" xfId="17" applyFont="1" applyBorder="1" applyAlignment="1">
      <alignment horizontal="center" vertical="center"/>
    </xf>
    <xf numFmtId="0" fontId="28" fillId="0" borderId="31" xfId="17" applyFont="1" applyBorder="1" applyAlignment="1">
      <alignment horizontal="center" vertical="center"/>
    </xf>
    <xf numFmtId="0" fontId="28" fillId="0" borderId="32" xfId="17" applyFont="1" applyBorder="1" applyAlignment="1">
      <alignment horizontal="center" vertical="center"/>
    </xf>
    <xf numFmtId="0" fontId="28" fillId="0" borderId="30" xfId="17" applyFont="1" applyBorder="1" applyAlignment="1">
      <alignment horizontal="left" vertical="center" indent="1"/>
    </xf>
    <xf numFmtId="0" fontId="28" fillId="0" borderId="31" xfId="17" applyFont="1" applyBorder="1" applyAlignment="1">
      <alignment horizontal="left" vertical="center" indent="1"/>
    </xf>
    <xf numFmtId="0" fontId="28" fillId="0" borderId="32" xfId="17" applyFont="1" applyBorder="1" applyAlignment="1">
      <alignment horizontal="left" vertical="center" indent="1"/>
    </xf>
    <xf numFmtId="0" fontId="18" fillId="0" borderId="0" xfId="0" applyFont="1" applyAlignment="1">
      <alignment horizontal="center" vertical="center"/>
    </xf>
    <xf numFmtId="0" fontId="14" fillId="0" borderId="16" xfId="0" applyFont="1" applyBorder="1" applyAlignment="1">
      <alignment horizontal="center" vertical="center"/>
    </xf>
    <xf numFmtId="0" fontId="14" fillId="0" borderId="7" xfId="0" applyFont="1" applyBorder="1" applyAlignment="1">
      <alignment horizontal="center" vertical="center"/>
    </xf>
    <xf numFmtId="0" fontId="18" fillId="0" borderId="5" xfId="0" applyFont="1" applyBorder="1" applyAlignment="1">
      <alignment horizontal="center" vertical="center"/>
    </xf>
    <xf numFmtId="0" fontId="18" fillId="8" borderId="1" xfId="0" applyFont="1" applyFill="1" applyBorder="1" applyAlignment="1">
      <alignment horizontal="center" vertical="center"/>
    </xf>
    <xf numFmtId="176" fontId="18" fillId="3" borderId="5" xfId="4" applyFont="1" applyFill="1" applyBorder="1" applyAlignment="1">
      <alignment horizontal="center" vertical="center"/>
    </xf>
    <xf numFmtId="179" fontId="18" fillId="3" borderId="5" xfId="5" applyFont="1" applyFill="1" applyBorder="1" applyAlignment="1">
      <alignment horizontal="center" vertical="center"/>
    </xf>
    <xf numFmtId="0" fontId="18" fillId="3" borderId="5" xfId="0" applyFont="1" applyFill="1" applyBorder="1" applyAlignment="1">
      <alignment horizontal="center" vertical="center"/>
    </xf>
    <xf numFmtId="0" fontId="18" fillId="3" borderId="1" xfId="0" applyFont="1" applyFill="1" applyBorder="1" applyAlignment="1">
      <alignment horizontal="center" vertical="center"/>
    </xf>
    <xf numFmtId="0" fontId="18" fillId="3" borderId="5" xfId="3" applyFont="1" applyFill="1" applyBorder="1" applyAlignment="1">
      <alignment horizontal="center" vertical="center"/>
    </xf>
    <xf numFmtId="0" fontId="18" fillId="3" borderId="1" xfId="3" applyFont="1" applyFill="1" applyBorder="1" applyAlignment="1">
      <alignment horizontal="center" vertical="center"/>
    </xf>
    <xf numFmtId="0" fontId="18" fillId="3" borderId="5" xfId="3" applyFont="1" applyFill="1" applyBorder="1" applyAlignment="1">
      <alignment horizontal="center" vertical="center" wrapText="1"/>
    </xf>
    <xf numFmtId="182" fontId="18" fillId="10" borderId="12" xfId="11" applyNumberFormat="1" applyFont="1" applyFill="1" applyBorder="1" applyAlignment="1">
      <alignment vertical="center"/>
    </xf>
    <xf numFmtId="182" fontId="20" fillId="10" borderId="13" xfId="11" applyNumberFormat="1" applyFont="1" applyFill="1" applyBorder="1" applyAlignment="1">
      <alignment vertical="center"/>
    </xf>
    <xf numFmtId="0" fontId="16" fillId="0" borderId="9" xfId="13" applyFont="1" applyBorder="1" applyAlignment="1">
      <alignment horizontal="center" vertical="center"/>
    </xf>
    <xf numFmtId="0" fontId="18" fillId="0" borderId="10" xfId="13" quotePrefix="1" applyFont="1" applyBorder="1" applyAlignment="1">
      <alignment horizontal="center" vertical="center"/>
    </xf>
    <xf numFmtId="0" fontId="20" fillId="0" borderId="10" xfId="13" quotePrefix="1" applyFont="1" applyBorder="1" applyAlignment="1">
      <alignment horizontal="center" vertical="center"/>
    </xf>
    <xf numFmtId="0" fontId="20" fillId="0" borderId="11" xfId="13" quotePrefix="1" applyFont="1" applyBorder="1" applyAlignment="1">
      <alignment horizontal="center" vertical="center"/>
    </xf>
    <xf numFmtId="0" fontId="20" fillId="0" borderId="14" xfId="13" quotePrefix="1" applyFont="1" applyBorder="1" applyAlignment="1">
      <alignment horizontal="center" vertical="center"/>
    </xf>
    <xf numFmtId="0" fontId="20" fillId="0" borderId="10" xfId="13" applyFont="1" applyBorder="1" applyAlignment="1">
      <alignment horizontal="center" vertical="center"/>
    </xf>
    <xf numFmtId="0" fontId="20" fillId="0" borderId="12" xfId="13" quotePrefix="1" applyFont="1" applyBorder="1" applyAlignment="1">
      <alignment horizontal="center" vertical="center"/>
    </xf>
    <xf numFmtId="0" fontId="20" fillId="0" borderId="13" xfId="13" quotePrefix="1" applyFont="1" applyBorder="1" applyAlignment="1">
      <alignment horizontal="center" vertical="center"/>
    </xf>
    <xf numFmtId="0" fontId="20" fillId="0" borderId="11" xfId="13" applyFont="1" applyBorder="1" applyAlignment="1">
      <alignment horizontal="center" vertical="center"/>
    </xf>
    <xf numFmtId="0" fontId="20" fillId="0" borderId="14" xfId="13" applyFont="1" applyBorder="1" applyAlignment="1">
      <alignment horizontal="center" vertical="center"/>
    </xf>
    <xf numFmtId="181" fontId="14" fillId="0" borderId="11" xfId="11" applyNumberFormat="1" applyFont="1" applyBorder="1" applyAlignment="1">
      <alignment horizontal="center" vertical="center" wrapText="1"/>
    </xf>
    <xf numFmtId="181" fontId="14" fillId="0" borderId="15" xfId="11" applyNumberFormat="1" applyFont="1" applyBorder="1" applyAlignment="1">
      <alignment horizontal="center" vertical="center" wrapText="1"/>
    </xf>
    <xf numFmtId="0" fontId="14" fillId="9" borderId="15" xfId="11" applyNumberFormat="1" applyFont="1" applyFill="1" applyBorder="1" applyAlignment="1">
      <alignment vertical="center"/>
    </xf>
    <xf numFmtId="0" fontId="14" fillId="9" borderId="14" xfId="11" applyNumberFormat="1" applyFont="1" applyFill="1" applyBorder="1" applyAlignment="1">
      <alignment vertical="center"/>
    </xf>
    <xf numFmtId="181" fontId="14" fillId="0" borderId="14" xfId="11" applyNumberFormat="1" applyFont="1" applyBorder="1" applyAlignment="1">
      <alignment horizontal="center" vertical="center" wrapText="1"/>
    </xf>
    <xf numFmtId="0" fontId="14" fillId="0" borderId="10" xfId="11" applyNumberFormat="1" applyFont="1" applyBorder="1" applyAlignment="1">
      <alignment vertical="center"/>
    </xf>
    <xf numFmtId="0" fontId="14" fillId="0" borderId="11" xfId="11" applyNumberFormat="1" applyFont="1" applyBorder="1" applyAlignment="1">
      <alignment vertical="center"/>
    </xf>
    <xf numFmtId="0" fontId="14" fillId="0" borderId="15" xfId="11" applyNumberFormat="1" applyFont="1" applyBorder="1" applyAlignment="1">
      <alignment vertical="center"/>
    </xf>
  </cellXfs>
  <cellStyles count="25">
    <cellStyle name="백분율" xfId="2" builtinId="5"/>
    <cellStyle name="백분율 2 64" xfId="7" xr:uid="{00000000-0005-0000-0000-000001000000}"/>
    <cellStyle name="쉼표 [0]" xfId="1" builtinId="6"/>
    <cellStyle name="쉼표 [0] 17" xfId="5" xr:uid="{00000000-0005-0000-0000-000003000000}"/>
    <cellStyle name="쉼표 [0] 2" xfId="4" xr:uid="{00000000-0005-0000-0000-000004000000}"/>
    <cellStyle name="쉼표 [0] 2 2" xfId="16" xr:uid="{9DE5560C-89D3-4234-A527-EA49B53D4971}"/>
    <cellStyle name="쉼표 [0] 2 2 29" xfId="11" xr:uid="{00000000-0005-0000-0000-000005000000}"/>
    <cellStyle name="쉼표 [0] 2 2 29 2" xfId="22" xr:uid="{C09BB666-1208-44BC-A4C9-51D1B0F16D88}"/>
    <cellStyle name="쉼표 [0] 2 84" xfId="24" xr:uid="{EF48EE31-74E9-404D-BF36-A42DFD61AE70}"/>
    <cellStyle name="쉼표 [0] 3" xfId="14" xr:uid="{8F7BE219-40E1-4BBB-A9BD-02188B74B2A3}"/>
    <cellStyle name="쉼표 [0] 4" xfId="21" xr:uid="{F18D0AD9-6311-47C2-8501-D7109747852E}"/>
    <cellStyle name="쉼표 [0] 5" xfId="23" xr:uid="{F394A934-3876-4541-935E-B13DAD17A2A8}"/>
    <cellStyle name="통화 [0] 2 2" xfId="10" xr:uid="{00000000-0005-0000-0000-000007000000}"/>
    <cellStyle name="표준" xfId="0" builtinId="0"/>
    <cellStyle name="표준 10 10 2" xfId="3" xr:uid="{00000000-0005-0000-0000-000009000000}"/>
    <cellStyle name="표준 10 2" xfId="18" xr:uid="{46C7007B-9043-44DD-8E3C-2B7B4655EEF5}"/>
    <cellStyle name="표준 10 31" xfId="9" xr:uid="{00000000-0005-0000-0000-00000A000000}"/>
    <cellStyle name="표준 2" xfId="6" xr:uid="{00000000-0005-0000-0000-00000B000000}"/>
    <cellStyle name="표준 2 10 5" xfId="8" xr:uid="{00000000-0005-0000-0000-00000C000000}"/>
    <cellStyle name="표준 3" xfId="12" xr:uid="{00000000-0005-0000-0000-00000D000000}"/>
    <cellStyle name="표준 4" xfId="13" xr:uid="{08D43F33-5EF4-4FAF-B422-8A71947BBD29}"/>
    <cellStyle name="표준 5" xfId="15" xr:uid="{B39ACF8E-5B1E-4331-957C-34579729CB23}"/>
    <cellStyle name="표준_p1공장 외벽청소(08.03.17)" xfId="19" xr:uid="{FE55BE40-58C1-4C61-8029-97871466D1CD}"/>
    <cellStyle name="표준_P456 공장 및 복지동 전면 유리창 청소건 라상혁님_1129(최종)" xfId="20" xr:uid="{655D46A4-6A3D-43A2-A9C8-1A5BE3E36F7E}"/>
    <cellStyle name="표준_S&amp;D_MAIN VALVE_최빈_2" xfId="17" xr:uid="{94F96972-52EB-4FD0-BEB6-DF977552754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13</xdr:col>
      <xdr:colOff>549088</xdr:colOff>
      <xdr:row>1</xdr:row>
      <xdr:rowOff>22410</xdr:rowOff>
    </xdr:from>
    <xdr:to>
      <xdr:col>14</xdr:col>
      <xdr:colOff>1064559</xdr:colOff>
      <xdr:row>2</xdr:row>
      <xdr:rowOff>354912</xdr:rowOff>
    </xdr:to>
    <xdr:pic>
      <xdr:nvPicPr>
        <xdr:cNvPr id="2" name="그림 1">
          <a:extLst>
            <a:ext uri="{FF2B5EF4-FFF2-40B4-BE49-F238E27FC236}">
              <a16:creationId xmlns:a16="http://schemas.microsoft.com/office/drawing/2014/main" id="{7242070E-6854-4CD1-89B3-A32AB7FEF0EA}"/>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11173" b="11539"/>
        <a:stretch/>
      </xdr:blipFill>
      <xdr:spPr>
        <a:xfrm>
          <a:off x="6559363" y="136710"/>
          <a:ext cx="1496546" cy="45632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9</xdr:col>
      <xdr:colOff>427886</xdr:colOff>
      <xdr:row>41</xdr:row>
      <xdr:rowOff>122905</xdr:rowOff>
    </xdr:to>
    <xdr:pic>
      <xdr:nvPicPr>
        <xdr:cNvPr id="3" name="그림 2">
          <a:extLst>
            <a:ext uri="{FF2B5EF4-FFF2-40B4-BE49-F238E27FC236}">
              <a16:creationId xmlns:a16="http://schemas.microsoft.com/office/drawing/2014/main" id="{3D02999E-3174-41BB-8A14-62A2F116E69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85800" y="209550"/>
          <a:ext cx="5914286" cy="736190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102\c\My%20Documents\&#50857;&#50516;&#52488;&#46321;&#54617;&#44368;\&#54028;&#51452;&#45209;&#5227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45224;&#51648;&#50689;\&#47196;&#52972;%20&#46356;&#49828;&#53356;%20(c)\00&#44204;&#51201;\6.%20&#44592;&#53440;&#44277;&#49324;\&#51064;&#52380;&#49340;&#49328;%20&#54156;&#54532;&#51109;\&#51064;&#52380;&#49340;&#49328;&#45236;&#50669;&#49436;-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A:\&#44204;&#51201;&#49436;\&#44204;&#51201;&#49436;(&#50641;&#49472;)\&#54532;&#47196;&#51229;&#53944;\&#54788;&#51228;&#51089;&#50629;&#49892;\&#46020;&#54868;,&#44221;&#54868;,&#44148;&#54868;\&#49457;&#45224;&#51008;&#54665;1&#44032;&#50517;&#5110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48149;&#49457;&#54596;\&#44204;&#51201;&#51088;&#47308;\PROJ\9610-01\G_BAS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토목"/>
      <sheetName val="건축"/>
      <sheetName val="기계"/>
      <sheetName val="수량산출"/>
    </sheetNames>
    <sheetDataSet>
      <sheetData sheetId="0" refreshError="1"/>
      <sheetData sheetId="1" refreshError="1"/>
      <sheetData sheetId="2" refreshError="1"/>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서"/>
      <sheetName val="내역서1999.8최종"/>
    </sheetNames>
    <sheetDataSet>
      <sheetData sheetId="0"/>
      <sheetData sheetId="1"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55AAA5-F6BB-4A5E-B7D8-19B064D72B05}">
  <sheetPr>
    <tabColor rgb="FF0000FF"/>
  </sheetPr>
  <dimension ref="A1:Q43"/>
  <sheetViews>
    <sheetView tabSelected="1" view="pageBreakPreview" topLeftCell="A15" zoomScale="85" zoomScaleNormal="85" zoomScaleSheetLayoutView="85" workbookViewId="0">
      <selection activeCell="J18" sqref="J18:M18"/>
    </sheetView>
  </sheetViews>
  <sheetFormatPr defaultRowHeight="14.25"/>
  <cols>
    <col min="1" max="1" width="5" style="104" customWidth="1"/>
    <col min="2" max="2" width="3.875" style="104" customWidth="1"/>
    <col min="3" max="3" width="5" style="104" customWidth="1"/>
    <col min="4" max="4" width="6.25" style="104" customWidth="1"/>
    <col min="5" max="5" width="2.875" style="104" customWidth="1"/>
    <col min="6" max="6" width="4" style="104" customWidth="1"/>
    <col min="7" max="7" width="4.75" style="104" customWidth="1"/>
    <col min="8" max="8" width="5.5" style="104" customWidth="1"/>
    <col min="9" max="9" width="5.375" style="104" customWidth="1"/>
    <col min="10" max="10" width="1.25" style="104" customWidth="1"/>
    <col min="11" max="11" width="4.375" style="104" customWidth="1"/>
    <col min="12" max="12" width="10.375" style="104" customWidth="1"/>
    <col min="13" max="13" width="20.25" style="104" bestFit="1" customWidth="1"/>
    <col min="14" max="14" width="12.875" style="104" customWidth="1"/>
    <col min="15" max="15" width="15.5" style="104" bestFit="1" customWidth="1"/>
    <col min="16" max="16" width="2.75" style="104" customWidth="1"/>
    <col min="17" max="17" width="12" style="104" bestFit="1" customWidth="1"/>
    <col min="18" max="243" width="9" style="104"/>
    <col min="244" max="244" width="5" style="104" customWidth="1"/>
    <col min="245" max="245" width="3.875" style="104" customWidth="1"/>
    <col min="246" max="246" width="5" style="104" customWidth="1"/>
    <col min="247" max="247" width="6.25" style="104" customWidth="1"/>
    <col min="248" max="248" width="2.875" style="104" customWidth="1"/>
    <col min="249" max="249" width="4" style="104" customWidth="1"/>
    <col min="250" max="250" width="4.75" style="104" customWidth="1"/>
    <col min="251" max="251" width="5.5" style="104" customWidth="1"/>
    <col min="252" max="252" width="5.375" style="104" customWidth="1"/>
    <col min="253" max="253" width="1.25" style="104" customWidth="1"/>
    <col min="254" max="254" width="4.375" style="104" customWidth="1"/>
    <col min="255" max="255" width="10.375" style="104" customWidth="1"/>
    <col min="256" max="256" width="16.625" style="104" customWidth="1"/>
    <col min="257" max="257" width="10.875" style="104" customWidth="1"/>
    <col min="258" max="258" width="18.75" style="104" customWidth="1"/>
    <col min="259" max="259" width="14.25" style="104" bestFit="1" customWidth="1"/>
    <col min="260" max="499" width="9" style="104"/>
    <col min="500" max="500" width="5" style="104" customWidth="1"/>
    <col min="501" max="501" width="3.875" style="104" customWidth="1"/>
    <col min="502" max="502" width="5" style="104" customWidth="1"/>
    <col min="503" max="503" width="6.25" style="104" customWidth="1"/>
    <col min="504" max="504" width="2.875" style="104" customWidth="1"/>
    <col min="505" max="505" width="4" style="104" customWidth="1"/>
    <col min="506" max="506" width="4.75" style="104" customWidth="1"/>
    <col min="507" max="507" width="5.5" style="104" customWidth="1"/>
    <col min="508" max="508" width="5.375" style="104" customWidth="1"/>
    <col min="509" max="509" width="1.25" style="104" customWidth="1"/>
    <col min="510" max="510" width="4.375" style="104" customWidth="1"/>
    <col min="511" max="511" width="10.375" style="104" customWidth="1"/>
    <col min="512" max="512" width="16.625" style="104" customWidth="1"/>
    <col min="513" max="513" width="10.875" style="104" customWidth="1"/>
    <col min="514" max="514" width="18.75" style="104" customWidth="1"/>
    <col min="515" max="515" width="14.25" style="104" bestFit="1" customWidth="1"/>
    <col min="516" max="755" width="9" style="104"/>
    <col min="756" max="756" width="5" style="104" customWidth="1"/>
    <col min="757" max="757" width="3.875" style="104" customWidth="1"/>
    <col min="758" max="758" width="5" style="104" customWidth="1"/>
    <col min="759" max="759" width="6.25" style="104" customWidth="1"/>
    <col min="760" max="760" width="2.875" style="104" customWidth="1"/>
    <col min="761" max="761" width="4" style="104" customWidth="1"/>
    <col min="762" max="762" width="4.75" style="104" customWidth="1"/>
    <col min="763" max="763" width="5.5" style="104" customWidth="1"/>
    <col min="764" max="764" width="5.375" style="104" customWidth="1"/>
    <col min="765" max="765" width="1.25" style="104" customWidth="1"/>
    <col min="766" max="766" width="4.375" style="104" customWidth="1"/>
    <col min="767" max="767" width="10.375" style="104" customWidth="1"/>
    <col min="768" max="768" width="16.625" style="104" customWidth="1"/>
    <col min="769" max="769" width="10.875" style="104" customWidth="1"/>
    <col min="770" max="770" width="18.75" style="104" customWidth="1"/>
    <col min="771" max="771" width="14.25" style="104" bestFit="1" customWidth="1"/>
    <col min="772" max="1011" width="9" style="104"/>
    <col min="1012" max="1012" width="5" style="104" customWidth="1"/>
    <col min="1013" max="1013" width="3.875" style="104" customWidth="1"/>
    <col min="1014" max="1014" width="5" style="104" customWidth="1"/>
    <col min="1015" max="1015" width="6.25" style="104" customWidth="1"/>
    <col min="1016" max="1016" width="2.875" style="104" customWidth="1"/>
    <col min="1017" max="1017" width="4" style="104" customWidth="1"/>
    <col min="1018" max="1018" width="4.75" style="104" customWidth="1"/>
    <col min="1019" max="1019" width="5.5" style="104" customWidth="1"/>
    <col min="1020" max="1020" width="5.375" style="104" customWidth="1"/>
    <col min="1021" max="1021" width="1.25" style="104" customWidth="1"/>
    <col min="1022" max="1022" width="4.375" style="104" customWidth="1"/>
    <col min="1023" max="1023" width="10.375" style="104" customWidth="1"/>
    <col min="1024" max="1024" width="16.625" style="104" customWidth="1"/>
    <col min="1025" max="1025" width="10.875" style="104" customWidth="1"/>
    <col min="1026" max="1026" width="18.75" style="104" customWidth="1"/>
    <col min="1027" max="1027" width="14.25" style="104" bestFit="1" customWidth="1"/>
    <col min="1028" max="1267" width="9" style="104"/>
    <col min="1268" max="1268" width="5" style="104" customWidth="1"/>
    <col min="1269" max="1269" width="3.875" style="104" customWidth="1"/>
    <col min="1270" max="1270" width="5" style="104" customWidth="1"/>
    <col min="1271" max="1271" width="6.25" style="104" customWidth="1"/>
    <col min="1272" max="1272" width="2.875" style="104" customWidth="1"/>
    <col min="1273" max="1273" width="4" style="104" customWidth="1"/>
    <col min="1274" max="1274" width="4.75" style="104" customWidth="1"/>
    <col min="1275" max="1275" width="5.5" style="104" customWidth="1"/>
    <col min="1276" max="1276" width="5.375" style="104" customWidth="1"/>
    <col min="1277" max="1277" width="1.25" style="104" customWidth="1"/>
    <col min="1278" max="1278" width="4.375" style="104" customWidth="1"/>
    <col min="1279" max="1279" width="10.375" style="104" customWidth="1"/>
    <col min="1280" max="1280" width="16.625" style="104" customWidth="1"/>
    <col min="1281" max="1281" width="10.875" style="104" customWidth="1"/>
    <col min="1282" max="1282" width="18.75" style="104" customWidth="1"/>
    <col min="1283" max="1283" width="14.25" style="104" bestFit="1" customWidth="1"/>
    <col min="1284" max="1523" width="9" style="104"/>
    <col min="1524" max="1524" width="5" style="104" customWidth="1"/>
    <col min="1525" max="1525" width="3.875" style="104" customWidth="1"/>
    <col min="1526" max="1526" width="5" style="104" customWidth="1"/>
    <col min="1527" max="1527" width="6.25" style="104" customWidth="1"/>
    <col min="1528" max="1528" width="2.875" style="104" customWidth="1"/>
    <col min="1529" max="1529" width="4" style="104" customWidth="1"/>
    <col min="1530" max="1530" width="4.75" style="104" customWidth="1"/>
    <col min="1531" max="1531" width="5.5" style="104" customWidth="1"/>
    <col min="1532" max="1532" width="5.375" style="104" customWidth="1"/>
    <col min="1533" max="1533" width="1.25" style="104" customWidth="1"/>
    <col min="1534" max="1534" width="4.375" style="104" customWidth="1"/>
    <col min="1535" max="1535" width="10.375" style="104" customWidth="1"/>
    <col min="1536" max="1536" width="16.625" style="104" customWidth="1"/>
    <col min="1537" max="1537" width="10.875" style="104" customWidth="1"/>
    <col min="1538" max="1538" width="18.75" style="104" customWidth="1"/>
    <col min="1539" max="1539" width="14.25" style="104" bestFit="1" customWidth="1"/>
    <col min="1540" max="1779" width="9" style="104"/>
    <col min="1780" max="1780" width="5" style="104" customWidth="1"/>
    <col min="1781" max="1781" width="3.875" style="104" customWidth="1"/>
    <col min="1782" max="1782" width="5" style="104" customWidth="1"/>
    <col min="1783" max="1783" width="6.25" style="104" customWidth="1"/>
    <col min="1784" max="1784" width="2.875" style="104" customWidth="1"/>
    <col min="1785" max="1785" width="4" style="104" customWidth="1"/>
    <col min="1786" max="1786" width="4.75" style="104" customWidth="1"/>
    <col min="1787" max="1787" width="5.5" style="104" customWidth="1"/>
    <col min="1788" max="1788" width="5.375" style="104" customWidth="1"/>
    <col min="1789" max="1789" width="1.25" style="104" customWidth="1"/>
    <col min="1790" max="1790" width="4.375" style="104" customWidth="1"/>
    <col min="1791" max="1791" width="10.375" style="104" customWidth="1"/>
    <col min="1792" max="1792" width="16.625" style="104" customWidth="1"/>
    <col min="1793" max="1793" width="10.875" style="104" customWidth="1"/>
    <col min="1794" max="1794" width="18.75" style="104" customWidth="1"/>
    <col min="1795" max="1795" width="14.25" style="104" bestFit="1" customWidth="1"/>
    <col min="1796" max="2035" width="9" style="104"/>
    <col min="2036" max="2036" width="5" style="104" customWidth="1"/>
    <col min="2037" max="2037" width="3.875" style="104" customWidth="1"/>
    <col min="2038" max="2038" width="5" style="104" customWidth="1"/>
    <col min="2039" max="2039" width="6.25" style="104" customWidth="1"/>
    <col min="2040" max="2040" width="2.875" style="104" customWidth="1"/>
    <col min="2041" max="2041" width="4" style="104" customWidth="1"/>
    <col min="2042" max="2042" width="4.75" style="104" customWidth="1"/>
    <col min="2043" max="2043" width="5.5" style="104" customWidth="1"/>
    <col min="2044" max="2044" width="5.375" style="104" customWidth="1"/>
    <col min="2045" max="2045" width="1.25" style="104" customWidth="1"/>
    <col min="2046" max="2046" width="4.375" style="104" customWidth="1"/>
    <col min="2047" max="2047" width="10.375" style="104" customWidth="1"/>
    <col min="2048" max="2048" width="16.625" style="104" customWidth="1"/>
    <col min="2049" max="2049" width="10.875" style="104" customWidth="1"/>
    <col min="2050" max="2050" width="18.75" style="104" customWidth="1"/>
    <col min="2051" max="2051" width="14.25" style="104" bestFit="1" customWidth="1"/>
    <col min="2052" max="2291" width="9" style="104"/>
    <col min="2292" max="2292" width="5" style="104" customWidth="1"/>
    <col min="2293" max="2293" width="3.875" style="104" customWidth="1"/>
    <col min="2294" max="2294" width="5" style="104" customWidth="1"/>
    <col min="2295" max="2295" width="6.25" style="104" customWidth="1"/>
    <col min="2296" max="2296" width="2.875" style="104" customWidth="1"/>
    <col min="2297" max="2297" width="4" style="104" customWidth="1"/>
    <col min="2298" max="2298" width="4.75" style="104" customWidth="1"/>
    <col min="2299" max="2299" width="5.5" style="104" customWidth="1"/>
    <col min="2300" max="2300" width="5.375" style="104" customWidth="1"/>
    <col min="2301" max="2301" width="1.25" style="104" customWidth="1"/>
    <col min="2302" max="2302" width="4.375" style="104" customWidth="1"/>
    <col min="2303" max="2303" width="10.375" style="104" customWidth="1"/>
    <col min="2304" max="2304" width="16.625" style="104" customWidth="1"/>
    <col min="2305" max="2305" width="10.875" style="104" customWidth="1"/>
    <col min="2306" max="2306" width="18.75" style="104" customWidth="1"/>
    <col min="2307" max="2307" width="14.25" style="104" bestFit="1" customWidth="1"/>
    <col min="2308" max="2547" width="9" style="104"/>
    <col min="2548" max="2548" width="5" style="104" customWidth="1"/>
    <col min="2549" max="2549" width="3.875" style="104" customWidth="1"/>
    <col min="2550" max="2550" width="5" style="104" customWidth="1"/>
    <col min="2551" max="2551" width="6.25" style="104" customWidth="1"/>
    <col min="2552" max="2552" width="2.875" style="104" customWidth="1"/>
    <col min="2553" max="2553" width="4" style="104" customWidth="1"/>
    <col min="2554" max="2554" width="4.75" style="104" customWidth="1"/>
    <col min="2555" max="2555" width="5.5" style="104" customWidth="1"/>
    <col min="2556" max="2556" width="5.375" style="104" customWidth="1"/>
    <col min="2557" max="2557" width="1.25" style="104" customWidth="1"/>
    <col min="2558" max="2558" width="4.375" style="104" customWidth="1"/>
    <col min="2559" max="2559" width="10.375" style="104" customWidth="1"/>
    <col min="2560" max="2560" width="16.625" style="104" customWidth="1"/>
    <col min="2561" max="2561" width="10.875" style="104" customWidth="1"/>
    <col min="2562" max="2562" width="18.75" style="104" customWidth="1"/>
    <col min="2563" max="2563" width="14.25" style="104" bestFit="1" customWidth="1"/>
    <col min="2564" max="2803" width="9" style="104"/>
    <col min="2804" max="2804" width="5" style="104" customWidth="1"/>
    <col min="2805" max="2805" width="3.875" style="104" customWidth="1"/>
    <col min="2806" max="2806" width="5" style="104" customWidth="1"/>
    <col min="2807" max="2807" width="6.25" style="104" customWidth="1"/>
    <col min="2808" max="2808" width="2.875" style="104" customWidth="1"/>
    <col min="2809" max="2809" width="4" style="104" customWidth="1"/>
    <col min="2810" max="2810" width="4.75" style="104" customWidth="1"/>
    <col min="2811" max="2811" width="5.5" style="104" customWidth="1"/>
    <col min="2812" max="2812" width="5.375" style="104" customWidth="1"/>
    <col min="2813" max="2813" width="1.25" style="104" customWidth="1"/>
    <col min="2814" max="2814" width="4.375" style="104" customWidth="1"/>
    <col min="2815" max="2815" width="10.375" style="104" customWidth="1"/>
    <col min="2816" max="2816" width="16.625" style="104" customWidth="1"/>
    <col min="2817" max="2817" width="10.875" style="104" customWidth="1"/>
    <col min="2818" max="2818" width="18.75" style="104" customWidth="1"/>
    <col min="2819" max="2819" width="14.25" style="104" bestFit="1" customWidth="1"/>
    <col min="2820" max="3059" width="9" style="104"/>
    <col min="3060" max="3060" width="5" style="104" customWidth="1"/>
    <col min="3061" max="3061" width="3.875" style="104" customWidth="1"/>
    <col min="3062" max="3062" width="5" style="104" customWidth="1"/>
    <col min="3063" max="3063" width="6.25" style="104" customWidth="1"/>
    <col min="3064" max="3064" width="2.875" style="104" customWidth="1"/>
    <col min="3065" max="3065" width="4" style="104" customWidth="1"/>
    <col min="3066" max="3066" width="4.75" style="104" customWidth="1"/>
    <col min="3067" max="3067" width="5.5" style="104" customWidth="1"/>
    <col min="3068" max="3068" width="5.375" style="104" customWidth="1"/>
    <col min="3069" max="3069" width="1.25" style="104" customWidth="1"/>
    <col min="3070" max="3070" width="4.375" style="104" customWidth="1"/>
    <col min="3071" max="3071" width="10.375" style="104" customWidth="1"/>
    <col min="3072" max="3072" width="16.625" style="104" customWidth="1"/>
    <col min="3073" max="3073" width="10.875" style="104" customWidth="1"/>
    <col min="3074" max="3074" width="18.75" style="104" customWidth="1"/>
    <col min="3075" max="3075" width="14.25" style="104" bestFit="1" customWidth="1"/>
    <col min="3076" max="3315" width="9" style="104"/>
    <col min="3316" max="3316" width="5" style="104" customWidth="1"/>
    <col min="3317" max="3317" width="3.875" style="104" customWidth="1"/>
    <col min="3318" max="3318" width="5" style="104" customWidth="1"/>
    <col min="3319" max="3319" width="6.25" style="104" customWidth="1"/>
    <col min="3320" max="3320" width="2.875" style="104" customWidth="1"/>
    <col min="3321" max="3321" width="4" style="104" customWidth="1"/>
    <col min="3322" max="3322" width="4.75" style="104" customWidth="1"/>
    <col min="3323" max="3323" width="5.5" style="104" customWidth="1"/>
    <col min="3324" max="3324" width="5.375" style="104" customWidth="1"/>
    <col min="3325" max="3325" width="1.25" style="104" customWidth="1"/>
    <col min="3326" max="3326" width="4.375" style="104" customWidth="1"/>
    <col min="3327" max="3327" width="10.375" style="104" customWidth="1"/>
    <col min="3328" max="3328" width="16.625" style="104" customWidth="1"/>
    <col min="3329" max="3329" width="10.875" style="104" customWidth="1"/>
    <col min="3330" max="3330" width="18.75" style="104" customWidth="1"/>
    <col min="3331" max="3331" width="14.25" style="104" bestFit="1" customWidth="1"/>
    <col min="3332" max="3571" width="9" style="104"/>
    <col min="3572" max="3572" width="5" style="104" customWidth="1"/>
    <col min="3573" max="3573" width="3.875" style="104" customWidth="1"/>
    <col min="3574" max="3574" width="5" style="104" customWidth="1"/>
    <col min="3575" max="3575" width="6.25" style="104" customWidth="1"/>
    <col min="3576" max="3576" width="2.875" style="104" customWidth="1"/>
    <col min="3577" max="3577" width="4" style="104" customWidth="1"/>
    <col min="3578" max="3578" width="4.75" style="104" customWidth="1"/>
    <col min="3579" max="3579" width="5.5" style="104" customWidth="1"/>
    <col min="3580" max="3580" width="5.375" style="104" customWidth="1"/>
    <col min="3581" max="3581" width="1.25" style="104" customWidth="1"/>
    <col min="3582" max="3582" width="4.375" style="104" customWidth="1"/>
    <col min="3583" max="3583" width="10.375" style="104" customWidth="1"/>
    <col min="3584" max="3584" width="16.625" style="104" customWidth="1"/>
    <col min="3585" max="3585" width="10.875" style="104" customWidth="1"/>
    <col min="3586" max="3586" width="18.75" style="104" customWidth="1"/>
    <col min="3587" max="3587" width="14.25" style="104" bestFit="1" customWidth="1"/>
    <col min="3588" max="3827" width="9" style="104"/>
    <col min="3828" max="3828" width="5" style="104" customWidth="1"/>
    <col min="3829" max="3829" width="3.875" style="104" customWidth="1"/>
    <col min="3830" max="3830" width="5" style="104" customWidth="1"/>
    <col min="3831" max="3831" width="6.25" style="104" customWidth="1"/>
    <col min="3832" max="3832" width="2.875" style="104" customWidth="1"/>
    <col min="3833" max="3833" width="4" style="104" customWidth="1"/>
    <col min="3834" max="3834" width="4.75" style="104" customWidth="1"/>
    <col min="3835" max="3835" width="5.5" style="104" customWidth="1"/>
    <col min="3836" max="3836" width="5.375" style="104" customWidth="1"/>
    <col min="3837" max="3837" width="1.25" style="104" customWidth="1"/>
    <col min="3838" max="3838" width="4.375" style="104" customWidth="1"/>
    <col min="3839" max="3839" width="10.375" style="104" customWidth="1"/>
    <col min="3840" max="3840" width="16.625" style="104" customWidth="1"/>
    <col min="3841" max="3841" width="10.875" style="104" customWidth="1"/>
    <col min="3842" max="3842" width="18.75" style="104" customWidth="1"/>
    <col min="3843" max="3843" width="14.25" style="104" bestFit="1" customWidth="1"/>
    <col min="3844" max="4083" width="9" style="104"/>
    <col min="4084" max="4084" width="5" style="104" customWidth="1"/>
    <col min="4085" max="4085" width="3.875" style="104" customWidth="1"/>
    <col min="4086" max="4086" width="5" style="104" customWidth="1"/>
    <col min="4087" max="4087" width="6.25" style="104" customWidth="1"/>
    <col min="4088" max="4088" width="2.875" style="104" customWidth="1"/>
    <col min="4089" max="4089" width="4" style="104" customWidth="1"/>
    <col min="4090" max="4090" width="4.75" style="104" customWidth="1"/>
    <col min="4091" max="4091" width="5.5" style="104" customWidth="1"/>
    <col min="4092" max="4092" width="5.375" style="104" customWidth="1"/>
    <col min="4093" max="4093" width="1.25" style="104" customWidth="1"/>
    <col min="4094" max="4094" width="4.375" style="104" customWidth="1"/>
    <col min="4095" max="4095" width="10.375" style="104" customWidth="1"/>
    <col min="4096" max="4096" width="16.625" style="104" customWidth="1"/>
    <col min="4097" max="4097" width="10.875" style="104" customWidth="1"/>
    <col min="4098" max="4098" width="18.75" style="104" customWidth="1"/>
    <col min="4099" max="4099" width="14.25" style="104" bestFit="1" customWidth="1"/>
    <col min="4100" max="4339" width="9" style="104"/>
    <col min="4340" max="4340" width="5" style="104" customWidth="1"/>
    <col min="4341" max="4341" width="3.875" style="104" customWidth="1"/>
    <col min="4342" max="4342" width="5" style="104" customWidth="1"/>
    <col min="4343" max="4343" width="6.25" style="104" customWidth="1"/>
    <col min="4344" max="4344" width="2.875" style="104" customWidth="1"/>
    <col min="4345" max="4345" width="4" style="104" customWidth="1"/>
    <col min="4346" max="4346" width="4.75" style="104" customWidth="1"/>
    <col min="4347" max="4347" width="5.5" style="104" customWidth="1"/>
    <col min="4348" max="4348" width="5.375" style="104" customWidth="1"/>
    <col min="4349" max="4349" width="1.25" style="104" customWidth="1"/>
    <col min="4350" max="4350" width="4.375" style="104" customWidth="1"/>
    <col min="4351" max="4351" width="10.375" style="104" customWidth="1"/>
    <col min="4352" max="4352" width="16.625" style="104" customWidth="1"/>
    <col min="4353" max="4353" width="10.875" style="104" customWidth="1"/>
    <col min="4354" max="4354" width="18.75" style="104" customWidth="1"/>
    <col min="4355" max="4355" width="14.25" style="104" bestFit="1" customWidth="1"/>
    <col min="4356" max="4595" width="9" style="104"/>
    <col min="4596" max="4596" width="5" style="104" customWidth="1"/>
    <col min="4597" max="4597" width="3.875" style="104" customWidth="1"/>
    <col min="4598" max="4598" width="5" style="104" customWidth="1"/>
    <col min="4599" max="4599" width="6.25" style="104" customWidth="1"/>
    <col min="4600" max="4600" width="2.875" style="104" customWidth="1"/>
    <col min="4601" max="4601" width="4" style="104" customWidth="1"/>
    <col min="4602" max="4602" width="4.75" style="104" customWidth="1"/>
    <col min="4603" max="4603" width="5.5" style="104" customWidth="1"/>
    <col min="4604" max="4604" width="5.375" style="104" customWidth="1"/>
    <col min="4605" max="4605" width="1.25" style="104" customWidth="1"/>
    <col min="4606" max="4606" width="4.375" style="104" customWidth="1"/>
    <col min="4607" max="4607" width="10.375" style="104" customWidth="1"/>
    <col min="4608" max="4608" width="16.625" style="104" customWidth="1"/>
    <col min="4609" max="4609" width="10.875" style="104" customWidth="1"/>
    <col min="4610" max="4610" width="18.75" style="104" customWidth="1"/>
    <col min="4611" max="4611" width="14.25" style="104" bestFit="1" customWidth="1"/>
    <col min="4612" max="4851" width="9" style="104"/>
    <col min="4852" max="4852" width="5" style="104" customWidth="1"/>
    <col min="4853" max="4853" width="3.875" style="104" customWidth="1"/>
    <col min="4854" max="4854" width="5" style="104" customWidth="1"/>
    <col min="4855" max="4855" width="6.25" style="104" customWidth="1"/>
    <col min="4856" max="4856" width="2.875" style="104" customWidth="1"/>
    <col min="4857" max="4857" width="4" style="104" customWidth="1"/>
    <col min="4858" max="4858" width="4.75" style="104" customWidth="1"/>
    <col min="4859" max="4859" width="5.5" style="104" customWidth="1"/>
    <col min="4860" max="4860" width="5.375" style="104" customWidth="1"/>
    <col min="4861" max="4861" width="1.25" style="104" customWidth="1"/>
    <col min="4862" max="4862" width="4.375" style="104" customWidth="1"/>
    <col min="4863" max="4863" width="10.375" style="104" customWidth="1"/>
    <col min="4864" max="4864" width="16.625" style="104" customWidth="1"/>
    <col min="4865" max="4865" width="10.875" style="104" customWidth="1"/>
    <col min="4866" max="4866" width="18.75" style="104" customWidth="1"/>
    <col min="4867" max="4867" width="14.25" style="104" bestFit="1" customWidth="1"/>
    <col min="4868" max="5107" width="9" style="104"/>
    <col min="5108" max="5108" width="5" style="104" customWidth="1"/>
    <col min="5109" max="5109" width="3.875" style="104" customWidth="1"/>
    <col min="5110" max="5110" width="5" style="104" customWidth="1"/>
    <col min="5111" max="5111" width="6.25" style="104" customWidth="1"/>
    <col min="5112" max="5112" width="2.875" style="104" customWidth="1"/>
    <col min="5113" max="5113" width="4" style="104" customWidth="1"/>
    <col min="5114" max="5114" width="4.75" style="104" customWidth="1"/>
    <col min="5115" max="5115" width="5.5" style="104" customWidth="1"/>
    <col min="5116" max="5116" width="5.375" style="104" customWidth="1"/>
    <col min="5117" max="5117" width="1.25" style="104" customWidth="1"/>
    <col min="5118" max="5118" width="4.375" style="104" customWidth="1"/>
    <col min="5119" max="5119" width="10.375" style="104" customWidth="1"/>
    <col min="5120" max="5120" width="16.625" style="104" customWidth="1"/>
    <col min="5121" max="5121" width="10.875" style="104" customWidth="1"/>
    <col min="5122" max="5122" width="18.75" style="104" customWidth="1"/>
    <col min="5123" max="5123" width="14.25" style="104" bestFit="1" customWidth="1"/>
    <col min="5124" max="5363" width="9" style="104"/>
    <col min="5364" max="5364" width="5" style="104" customWidth="1"/>
    <col min="5365" max="5365" width="3.875" style="104" customWidth="1"/>
    <col min="5366" max="5366" width="5" style="104" customWidth="1"/>
    <col min="5367" max="5367" width="6.25" style="104" customWidth="1"/>
    <col min="5368" max="5368" width="2.875" style="104" customWidth="1"/>
    <col min="5369" max="5369" width="4" style="104" customWidth="1"/>
    <col min="5370" max="5370" width="4.75" style="104" customWidth="1"/>
    <col min="5371" max="5371" width="5.5" style="104" customWidth="1"/>
    <col min="5372" max="5372" width="5.375" style="104" customWidth="1"/>
    <col min="5373" max="5373" width="1.25" style="104" customWidth="1"/>
    <col min="5374" max="5374" width="4.375" style="104" customWidth="1"/>
    <col min="5375" max="5375" width="10.375" style="104" customWidth="1"/>
    <col min="5376" max="5376" width="16.625" style="104" customWidth="1"/>
    <col min="5377" max="5377" width="10.875" style="104" customWidth="1"/>
    <col min="5378" max="5378" width="18.75" style="104" customWidth="1"/>
    <col min="5379" max="5379" width="14.25" style="104" bestFit="1" customWidth="1"/>
    <col min="5380" max="5619" width="9" style="104"/>
    <col min="5620" max="5620" width="5" style="104" customWidth="1"/>
    <col min="5621" max="5621" width="3.875" style="104" customWidth="1"/>
    <col min="5622" max="5622" width="5" style="104" customWidth="1"/>
    <col min="5623" max="5623" width="6.25" style="104" customWidth="1"/>
    <col min="5624" max="5624" width="2.875" style="104" customWidth="1"/>
    <col min="5625" max="5625" width="4" style="104" customWidth="1"/>
    <col min="5626" max="5626" width="4.75" style="104" customWidth="1"/>
    <col min="5627" max="5627" width="5.5" style="104" customWidth="1"/>
    <col min="5628" max="5628" width="5.375" style="104" customWidth="1"/>
    <col min="5629" max="5629" width="1.25" style="104" customWidth="1"/>
    <col min="5630" max="5630" width="4.375" style="104" customWidth="1"/>
    <col min="5631" max="5631" width="10.375" style="104" customWidth="1"/>
    <col min="5632" max="5632" width="16.625" style="104" customWidth="1"/>
    <col min="5633" max="5633" width="10.875" style="104" customWidth="1"/>
    <col min="5634" max="5634" width="18.75" style="104" customWidth="1"/>
    <col min="5635" max="5635" width="14.25" style="104" bestFit="1" customWidth="1"/>
    <col min="5636" max="5875" width="9" style="104"/>
    <col min="5876" max="5876" width="5" style="104" customWidth="1"/>
    <col min="5877" max="5877" width="3.875" style="104" customWidth="1"/>
    <col min="5878" max="5878" width="5" style="104" customWidth="1"/>
    <col min="5879" max="5879" width="6.25" style="104" customWidth="1"/>
    <col min="5880" max="5880" width="2.875" style="104" customWidth="1"/>
    <col min="5881" max="5881" width="4" style="104" customWidth="1"/>
    <col min="5882" max="5882" width="4.75" style="104" customWidth="1"/>
    <col min="5883" max="5883" width="5.5" style="104" customWidth="1"/>
    <col min="5884" max="5884" width="5.375" style="104" customWidth="1"/>
    <col min="5885" max="5885" width="1.25" style="104" customWidth="1"/>
    <col min="5886" max="5886" width="4.375" style="104" customWidth="1"/>
    <col min="5887" max="5887" width="10.375" style="104" customWidth="1"/>
    <col min="5888" max="5888" width="16.625" style="104" customWidth="1"/>
    <col min="5889" max="5889" width="10.875" style="104" customWidth="1"/>
    <col min="5890" max="5890" width="18.75" style="104" customWidth="1"/>
    <col min="5891" max="5891" width="14.25" style="104" bestFit="1" customWidth="1"/>
    <col min="5892" max="6131" width="9" style="104"/>
    <col min="6132" max="6132" width="5" style="104" customWidth="1"/>
    <col min="6133" max="6133" width="3.875" style="104" customWidth="1"/>
    <col min="6134" max="6134" width="5" style="104" customWidth="1"/>
    <col min="6135" max="6135" width="6.25" style="104" customWidth="1"/>
    <col min="6136" max="6136" width="2.875" style="104" customWidth="1"/>
    <col min="6137" max="6137" width="4" style="104" customWidth="1"/>
    <col min="6138" max="6138" width="4.75" style="104" customWidth="1"/>
    <col min="6139" max="6139" width="5.5" style="104" customWidth="1"/>
    <col min="6140" max="6140" width="5.375" style="104" customWidth="1"/>
    <col min="6141" max="6141" width="1.25" style="104" customWidth="1"/>
    <col min="6142" max="6142" width="4.375" style="104" customWidth="1"/>
    <col min="6143" max="6143" width="10.375" style="104" customWidth="1"/>
    <col min="6144" max="6144" width="16.625" style="104" customWidth="1"/>
    <col min="6145" max="6145" width="10.875" style="104" customWidth="1"/>
    <col min="6146" max="6146" width="18.75" style="104" customWidth="1"/>
    <col min="6147" max="6147" width="14.25" style="104" bestFit="1" customWidth="1"/>
    <col min="6148" max="6387" width="9" style="104"/>
    <col min="6388" max="6388" width="5" style="104" customWidth="1"/>
    <col min="6389" max="6389" width="3.875" style="104" customWidth="1"/>
    <col min="6390" max="6390" width="5" style="104" customWidth="1"/>
    <col min="6391" max="6391" width="6.25" style="104" customWidth="1"/>
    <col min="6392" max="6392" width="2.875" style="104" customWidth="1"/>
    <col min="6393" max="6393" width="4" style="104" customWidth="1"/>
    <col min="6394" max="6394" width="4.75" style="104" customWidth="1"/>
    <col min="6395" max="6395" width="5.5" style="104" customWidth="1"/>
    <col min="6396" max="6396" width="5.375" style="104" customWidth="1"/>
    <col min="6397" max="6397" width="1.25" style="104" customWidth="1"/>
    <col min="6398" max="6398" width="4.375" style="104" customWidth="1"/>
    <col min="6399" max="6399" width="10.375" style="104" customWidth="1"/>
    <col min="6400" max="6400" width="16.625" style="104" customWidth="1"/>
    <col min="6401" max="6401" width="10.875" style="104" customWidth="1"/>
    <col min="6402" max="6402" width="18.75" style="104" customWidth="1"/>
    <col min="6403" max="6403" width="14.25" style="104" bestFit="1" customWidth="1"/>
    <col min="6404" max="6643" width="9" style="104"/>
    <col min="6644" max="6644" width="5" style="104" customWidth="1"/>
    <col min="6645" max="6645" width="3.875" style="104" customWidth="1"/>
    <col min="6646" max="6646" width="5" style="104" customWidth="1"/>
    <col min="6647" max="6647" width="6.25" style="104" customWidth="1"/>
    <col min="6648" max="6648" width="2.875" style="104" customWidth="1"/>
    <col min="6649" max="6649" width="4" style="104" customWidth="1"/>
    <col min="6650" max="6650" width="4.75" style="104" customWidth="1"/>
    <col min="6651" max="6651" width="5.5" style="104" customWidth="1"/>
    <col min="6652" max="6652" width="5.375" style="104" customWidth="1"/>
    <col min="6653" max="6653" width="1.25" style="104" customWidth="1"/>
    <col min="6654" max="6654" width="4.375" style="104" customWidth="1"/>
    <col min="6655" max="6655" width="10.375" style="104" customWidth="1"/>
    <col min="6656" max="6656" width="16.625" style="104" customWidth="1"/>
    <col min="6657" max="6657" width="10.875" style="104" customWidth="1"/>
    <col min="6658" max="6658" width="18.75" style="104" customWidth="1"/>
    <col min="6659" max="6659" width="14.25" style="104" bestFit="1" customWidth="1"/>
    <col min="6660" max="6899" width="9" style="104"/>
    <col min="6900" max="6900" width="5" style="104" customWidth="1"/>
    <col min="6901" max="6901" width="3.875" style="104" customWidth="1"/>
    <col min="6902" max="6902" width="5" style="104" customWidth="1"/>
    <col min="6903" max="6903" width="6.25" style="104" customWidth="1"/>
    <col min="6904" max="6904" width="2.875" style="104" customWidth="1"/>
    <col min="6905" max="6905" width="4" style="104" customWidth="1"/>
    <col min="6906" max="6906" width="4.75" style="104" customWidth="1"/>
    <col min="6907" max="6907" width="5.5" style="104" customWidth="1"/>
    <col min="6908" max="6908" width="5.375" style="104" customWidth="1"/>
    <col min="6909" max="6909" width="1.25" style="104" customWidth="1"/>
    <col min="6910" max="6910" width="4.375" style="104" customWidth="1"/>
    <col min="6911" max="6911" width="10.375" style="104" customWidth="1"/>
    <col min="6912" max="6912" width="16.625" style="104" customWidth="1"/>
    <col min="6913" max="6913" width="10.875" style="104" customWidth="1"/>
    <col min="6914" max="6914" width="18.75" style="104" customWidth="1"/>
    <col min="6915" max="6915" width="14.25" style="104" bestFit="1" customWidth="1"/>
    <col min="6916" max="7155" width="9" style="104"/>
    <col min="7156" max="7156" width="5" style="104" customWidth="1"/>
    <col min="7157" max="7157" width="3.875" style="104" customWidth="1"/>
    <col min="7158" max="7158" width="5" style="104" customWidth="1"/>
    <col min="7159" max="7159" width="6.25" style="104" customWidth="1"/>
    <col min="7160" max="7160" width="2.875" style="104" customWidth="1"/>
    <col min="7161" max="7161" width="4" style="104" customWidth="1"/>
    <col min="7162" max="7162" width="4.75" style="104" customWidth="1"/>
    <col min="7163" max="7163" width="5.5" style="104" customWidth="1"/>
    <col min="7164" max="7164" width="5.375" style="104" customWidth="1"/>
    <col min="7165" max="7165" width="1.25" style="104" customWidth="1"/>
    <col min="7166" max="7166" width="4.375" style="104" customWidth="1"/>
    <col min="7167" max="7167" width="10.375" style="104" customWidth="1"/>
    <col min="7168" max="7168" width="16.625" style="104" customWidth="1"/>
    <col min="7169" max="7169" width="10.875" style="104" customWidth="1"/>
    <col min="7170" max="7170" width="18.75" style="104" customWidth="1"/>
    <col min="7171" max="7171" width="14.25" style="104" bestFit="1" customWidth="1"/>
    <col min="7172" max="7411" width="9" style="104"/>
    <col min="7412" max="7412" width="5" style="104" customWidth="1"/>
    <col min="7413" max="7413" width="3.875" style="104" customWidth="1"/>
    <col min="7414" max="7414" width="5" style="104" customWidth="1"/>
    <col min="7415" max="7415" width="6.25" style="104" customWidth="1"/>
    <col min="7416" max="7416" width="2.875" style="104" customWidth="1"/>
    <col min="7417" max="7417" width="4" style="104" customWidth="1"/>
    <col min="7418" max="7418" width="4.75" style="104" customWidth="1"/>
    <col min="7419" max="7419" width="5.5" style="104" customWidth="1"/>
    <col min="7420" max="7420" width="5.375" style="104" customWidth="1"/>
    <col min="7421" max="7421" width="1.25" style="104" customWidth="1"/>
    <col min="7422" max="7422" width="4.375" style="104" customWidth="1"/>
    <col min="7423" max="7423" width="10.375" style="104" customWidth="1"/>
    <col min="7424" max="7424" width="16.625" style="104" customWidth="1"/>
    <col min="7425" max="7425" width="10.875" style="104" customWidth="1"/>
    <col min="7426" max="7426" width="18.75" style="104" customWidth="1"/>
    <col min="7427" max="7427" width="14.25" style="104" bestFit="1" customWidth="1"/>
    <col min="7428" max="7667" width="9" style="104"/>
    <col min="7668" max="7668" width="5" style="104" customWidth="1"/>
    <col min="7669" max="7669" width="3.875" style="104" customWidth="1"/>
    <col min="7670" max="7670" width="5" style="104" customWidth="1"/>
    <col min="7671" max="7671" width="6.25" style="104" customWidth="1"/>
    <col min="7672" max="7672" width="2.875" style="104" customWidth="1"/>
    <col min="7673" max="7673" width="4" style="104" customWidth="1"/>
    <col min="7674" max="7674" width="4.75" style="104" customWidth="1"/>
    <col min="7675" max="7675" width="5.5" style="104" customWidth="1"/>
    <col min="7676" max="7676" width="5.375" style="104" customWidth="1"/>
    <col min="7677" max="7677" width="1.25" style="104" customWidth="1"/>
    <col min="7678" max="7678" width="4.375" style="104" customWidth="1"/>
    <col min="7679" max="7679" width="10.375" style="104" customWidth="1"/>
    <col min="7680" max="7680" width="16.625" style="104" customWidth="1"/>
    <col min="7681" max="7681" width="10.875" style="104" customWidth="1"/>
    <col min="7682" max="7682" width="18.75" style="104" customWidth="1"/>
    <col min="7683" max="7683" width="14.25" style="104" bestFit="1" customWidth="1"/>
    <col min="7684" max="7923" width="9" style="104"/>
    <col min="7924" max="7924" width="5" style="104" customWidth="1"/>
    <col min="7925" max="7925" width="3.875" style="104" customWidth="1"/>
    <col min="7926" max="7926" width="5" style="104" customWidth="1"/>
    <col min="7927" max="7927" width="6.25" style="104" customWidth="1"/>
    <col min="7928" max="7928" width="2.875" style="104" customWidth="1"/>
    <col min="7929" max="7929" width="4" style="104" customWidth="1"/>
    <col min="7930" max="7930" width="4.75" style="104" customWidth="1"/>
    <col min="7931" max="7931" width="5.5" style="104" customWidth="1"/>
    <col min="7932" max="7932" width="5.375" style="104" customWidth="1"/>
    <col min="7933" max="7933" width="1.25" style="104" customWidth="1"/>
    <col min="7934" max="7934" width="4.375" style="104" customWidth="1"/>
    <col min="7935" max="7935" width="10.375" style="104" customWidth="1"/>
    <col min="7936" max="7936" width="16.625" style="104" customWidth="1"/>
    <col min="7937" max="7937" width="10.875" style="104" customWidth="1"/>
    <col min="7938" max="7938" width="18.75" style="104" customWidth="1"/>
    <col min="7939" max="7939" width="14.25" style="104" bestFit="1" customWidth="1"/>
    <col min="7940" max="8179" width="9" style="104"/>
    <col min="8180" max="8180" width="5" style="104" customWidth="1"/>
    <col min="8181" max="8181" width="3.875" style="104" customWidth="1"/>
    <col min="8182" max="8182" width="5" style="104" customWidth="1"/>
    <col min="8183" max="8183" width="6.25" style="104" customWidth="1"/>
    <col min="8184" max="8184" width="2.875" style="104" customWidth="1"/>
    <col min="8185" max="8185" width="4" style="104" customWidth="1"/>
    <col min="8186" max="8186" width="4.75" style="104" customWidth="1"/>
    <col min="8187" max="8187" width="5.5" style="104" customWidth="1"/>
    <col min="8188" max="8188" width="5.375" style="104" customWidth="1"/>
    <col min="8189" max="8189" width="1.25" style="104" customWidth="1"/>
    <col min="8190" max="8190" width="4.375" style="104" customWidth="1"/>
    <col min="8191" max="8191" width="10.375" style="104" customWidth="1"/>
    <col min="8192" max="8192" width="16.625" style="104" customWidth="1"/>
    <col min="8193" max="8193" width="10.875" style="104" customWidth="1"/>
    <col min="8194" max="8194" width="18.75" style="104" customWidth="1"/>
    <col min="8195" max="8195" width="14.25" style="104" bestFit="1" customWidth="1"/>
    <col min="8196" max="8435" width="9" style="104"/>
    <col min="8436" max="8436" width="5" style="104" customWidth="1"/>
    <col min="8437" max="8437" width="3.875" style="104" customWidth="1"/>
    <col min="8438" max="8438" width="5" style="104" customWidth="1"/>
    <col min="8439" max="8439" width="6.25" style="104" customWidth="1"/>
    <col min="8440" max="8440" width="2.875" style="104" customWidth="1"/>
    <col min="8441" max="8441" width="4" style="104" customWidth="1"/>
    <col min="8442" max="8442" width="4.75" style="104" customWidth="1"/>
    <col min="8443" max="8443" width="5.5" style="104" customWidth="1"/>
    <col min="8444" max="8444" width="5.375" style="104" customWidth="1"/>
    <col min="8445" max="8445" width="1.25" style="104" customWidth="1"/>
    <col min="8446" max="8446" width="4.375" style="104" customWidth="1"/>
    <col min="8447" max="8447" width="10.375" style="104" customWidth="1"/>
    <col min="8448" max="8448" width="16.625" style="104" customWidth="1"/>
    <col min="8449" max="8449" width="10.875" style="104" customWidth="1"/>
    <col min="8450" max="8450" width="18.75" style="104" customWidth="1"/>
    <col min="8451" max="8451" width="14.25" style="104" bestFit="1" customWidth="1"/>
    <col min="8452" max="8691" width="9" style="104"/>
    <col min="8692" max="8692" width="5" style="104" customWidth="1"/>
    <col min="8693" max="8693" width="3.875" style="104" customWidth="1"/>
    <col min="8694" max="8694" width="5" style="104" customWidth="1"/>
    <col min="8695" max="8695" width="6.25" style="104" customWidth="1"/>
    <col min="8696" max="8696" width="2.875" style="104" customWidth="1"/>
    <col min="8697" max="8697" width="4" style="104" customWidth="1"/>
    <col min="8698" max="8698" width="4.75" style="104" customWidth="1"/>
    <col min="8699" max="8699" width="5.5" style="104" customWidth="1"/>
    <col min="8700" max="8700" width="5.375" style="104" customWidth="1"/>
    <col min="8701" max="8701" width="1.25" style="104" customWidth="1"/>
    <col min="8702" max="8702" width="4.375" style="104" customWidth="1"/>
    <col min="8703" max="8703" width="10.375" style="104" customWidth="1"/>
    <col min="8704" max="8704" width="16.625" style="104" customWidth="1"/>
    <col min="8705" max="8705" width="10.875" style="104" customWidth="1"/>
    <col min="8706" max="8706" width="18.75" style="104" customWidth="1"/>
    <col min="8707" max="8707" width="14.25" style="104" bestFit="1" customWidth="1"/>
    <col min="8708" max="8947" width="9" style="104"/>
    <col min="8948" max="8948" width="5" style="104" customWidth="1"/>
    <col min="8949" max="8949" width="3.875" style="104" customWidth="1"/>
    <col min="8950" max="8950" width="5" style="104" customWidth="1"/>
    <col min="8951" max="8951" width="6.25" style="104" customWidth="1"/>
    <col min="8952" max="8952" width="2.875" style="104" customWidth="1"/>
    <col min="8953" max="8953" width="4" style="104" customWidth="1"/>
    <col min="8954" max="8954" width="4.75" style="104" customWidth="1"/>
    <col min="8955" max="8955" width="5.5" style="104" customWidth="1"/>
    <col min="8956" max="8956" width="5.375" style="104" customWidth="1"/>
    <col min="8957" max="8957" width="1.25" style="104" customWidth="1"/>
    <col min="8958" max="8958" width="4.375" style="104" customWidth="1"/>
    <col min="8959" max="8959" width="10.375" style="104" customWidth="1"/>
    <col min="8960" max="8960" width="16.625" style="104" customWidth="1"/>
    <col min="8961" max="8961" width="10.875" style="104" customWidth="1"/>
    <col min="8962" max="8962" width="18.75" style="104" customWidth="1"/>
    <col min="8963" max="8963" width="14.25" style="104" bestFit="1" customWidth="1"/>
    <col min="8964" max="9203" width="9" style="104"/>
    <col min="9204" max="9204" width="5" style="104" customWidth="1"/>
    <col min="9205" max="9205" width="3.875" style="104" customWidth="1"/>
    <col min="9206" max="9206" width="5" style="104" customWidth="1"/>
    <col min="9207" max="9207" width="6.25" style="104" customWidth="1"/>
    <col min="9208" max="9208" width="2.875" style="104" customWidth="1"/>
    <col min="9209" max="9209" width="4" style="104" customWidth="1"/>
    <col min="9210" max="9210" width="4.75" style="104" customWidth="1"/>
    <col min="9211" max="9211" width="5.5" style="104" customWidth="1"/>
    <col min="9212" max="9212" width="5.375" style="104" customWidth="1"/>
    <col min="9213" max="9213" width="1.25" style="104" customWidth="1"/>
    <col min="9214" max="9214" width="4.375" style="104" customWidth="1"/>
    <col min="9215" max="9215" width="10.375" style="104" customWidth="1"/>
    <col min="9216" max="9216" width="16.625" style="104" customWidth="1"/>
    <col min="9217" max="9217" width="10.875" style="104" customWidth="1"/>
    <col min="9218" max="9218" width="18.75" style="104" customWidth="1"/>
    <col min="9219" max="9219" width="14.25" style="104" bestFit="1" customWidth="1"/>
    <col min="9220" max="9459" width="9" style="104"/>
    <col min="9460" max="9460" width="5" style="104" customWidth="1"/>
    <col min="9461" max="9461" width="3.875" style="104" customWidth="1"/>
    <col min="9462" max="9462" width="5" style="104" customWidth="1"/>
    <col min="9463" max="9463" width="6.25" style="104" customWidth="1"/>
    <col min="9464" max="9464" width="2.875" style="104" customWidth="1"/>
    <col min="9465" max="9465" width="4" style="104" customWidth="1"/>
    <col min="9466" max="9466" width="4.75" style="104" customWidth="1"/>
    <col min="9467" max="9467" width="5.5" style="104" customWidth="1"/>
    <col min="9468" max="9468" width="5.375" style="104" customWidth="1"/>
    <col min="9469" max="9469" width="1.25" style="104" customWidth="1"/>
    <col min="9470" max="9470" width="4.375" style="104" customWidth="1"/>
    <col min="9471" max="9471" width="10.375" style="104" customWidth="1"/>
    <col min="9472" max="9472" width="16.625" style="104" customWidth="1"/>
    <col min="9473" max="9473" width="10.875" style="104" customWidth="1"/>
    <col min="9474" max="9474" width="18.75" style="104" customWidth="1"/>
    <col min="9475" max="9475" width="14.25" style="104" bestFit="1" customWidth="1"/>
    <col min="9476" max="9715" width="9" style="104"/>
    <col min="9716" max="9716" width="5" style="104" customWidth="1"/>
    <col min="9717" max="9717" width="3.875" style="104" customWidth="1"/>
    <col min="9718" max="9718" width="5" style="104" customWidth="1"/>
    <col min="9719" max="9719" width="6.25" style="104" customWidth="1"/>
    <col min="9720" max="9720" width="2.875" style="104" customWidth="1"/>
    <col min="9721" max="9721" width="4" style="104" customWidth="1"/>
    <col min="9722" max="9722" width="4.75" style="104" customWidth="1"/>
    <col min="9723" max="9723" width="5.5" style="104" customWidth="1"/>
    <col min="9724" max="9724" width="5.375" style="104" customWidth="1"/>
    <col min="9725" max="9725" width="1.25" style="104" customWidth="1"/>
    <col min="9726" max="9726" width="4.375" style="104" customWidth="1"/>
    <col min="9727" max="9727" width="10.375" style="104" customWidth="1"/>
    <col min="9728" max="9728" width="16.625" style="104" customWidth="1"/>
    <col min="9729" max="9729" width="10.875" style="104" customWidth="1"/>
    <col min="9730" max="9730" width="18.75" style="104" customWidth="1"/>
    <col min="9731" max="9731" width="14.25" style="104" bestFit="1" customWidth="1"/>
    <col min="9732" max="9971" width="9" style="104"/>
    <col min="9972" max="9972" width="5" style="104" customWidth="1"/>
    <col min="9973" max="9973" width="3.875" style="104" customWidth="1"/>
    <col min="9974" max="9974" width="5" style="104" customWidth="1"/>
    <col min="9975" max="9975" width="6.25" style="104" customWidth="1"/>
    <col min="9976" max="9976" width="2.875" style="104" customWidth="1"/>
    <col min="9977" max="9977" width="4" style="104" customWidth="1"/>
    <col min="9978" max="9978" width="4.75" style="104" customWidth="1"/>
    <col min="9979" max="9979" width="5.5" style="104" customWidth="1"/>
    <col min="9980" max="9980" width="5.375" style="104" customWidth="1"/>
    <col min="9981" max="9981" width="1.25" style="104" customWidth="1"/>
    <col min="9982" max="9982" width="4.375" style="104" customWidth="1"/>
    <col min="9983" max="9983" width="10.375" style="104" customWidth="1"/>
    <col min="9984" max="9984" width="16.625" style="104" customWidth="1"/>
    <col min="9985" max="9985" width="10.875" style="104" customWidth="1"/>
    <col min="9986" max="9986" width="18.75" style="104" customWidth="1"/>
    <col min="9987" max="9987" width="14.25" style="104" bestFit="1" customWidth="1"/>
    <col min="9988" max="10227" width="9" style="104"/>
    <col min="10228" max="10228" width="5" style="104" customWidth="1"/>
    <col min="10229" max="10229" width="3.875" style="104" customWidth="1"/>
    <col min="10230" max="10230" width="5" style="104" customWidth="1"/>
    <col min="10231" max="10231" width="6.25" style="104" customWidth="1"/>
    <col min="10232" max="10232" width="2.875" style="104" customWidth="1"/>
    <col min="10233" max="10233" width="4" style="104" customWidth="1"/>
    <col min="10234" max="10234" width="4.75" style="104" customWidth="1"/>
    <col min="10235" max="10235" width="5.5" style="104" customWidth="1"/>
    <col min="10236" max="10236" width="5.375" style="104" customWidth="1"/>
    <col min="10237" max="10237" width="1.25" style="104" customWidth="1"/>
    <col min="10238" max="10238" width="4.375" style="104" customWidth="1"/>
    <col min="10239" max="10239" width="10.375" style="104" customWidth="1"/>
    <col min="10240" max="10240" width="16.625" style="104" customWidth="1"/>
    <col min="10241" max="10241" width="10.875" style="104" customWidth="1"/>
    <col min="10242" max="10242" width="18.75" style="104" customWidth="1"/>
    <col min="10243" max="10243" width="14.25" style="104" bestFit="1" customWidth="1"/>
    <col min="10244" max="10483" width="9" style="104"/>
    <col min="10484" max="10484" width="5" style="104" customWidth="1"/>
    <col min="10485" max="10485" width="3.875" style="104" customWidth="1"/>
    <col min="10486" max="10486" width="5" style="104" customWidth="1"/>
    <col min="10487" max="10487" width="6.25" style="104" customWidth="1"/>
    <col min="10488" max="10488" width="2.875" style="104" customWidth="1"/>
    <col min="10489" max="10489" width="4" style="104" customWidth="1"/>
    <col min="10490" max="10490" width="4.75" style="104" customWidth="1"/>
    <col min="10491" max="10491" width="5.5" style="104" customWidth="1"/>
    <col min="10492" max="10492" width="5.375" style="104" customWidth="1"/>
    <col min="10493" max="10493" width="1.25" style="104" customWidth="1"/>
    <col min="10494" max="10494" width="4.375" style="104" customWidth="1"/>
    <col min="10495" max="10495" width="10.375" style="104" customWidth="1"/>
    <col min="10496" max="10496" width="16.625" style="104" customWidth="1"/>
    <col min="10497" max="10497" width="10.875" style="104" customWidth="1"/>
    <col min="10498" max="10498" width="18.75" style="104" customWidth="1"/>
    <col min="10499" max="10499" width="14.25" style="104" bestFit="1" customWidth="1"/>
    <col min="10500" max="10739" width="9" style="104"/>
    <col min="10740" max="10740" width="5" style="104" customWidth="1"/>
    <col min="10741" max="10741" width="3.875" style="104" customWidth="1"/>
    <col min="10742" max="10742" width="5" style="104" customWidth="1"/>
    <col min="10743" max="10743" width="6.25" style="104" customWidth="1"/>
    <col min="10744" max="10744" width="2.875" style="104" customWidth="1"/>
    <col min="10745" max="10745" width="4" style="104" customWidth="1"/>
    <col min="10746" max="10746" width="4.75" style="104" customWidth="1"/>
    <col min="10747" max="10747" width="5.5" style="104" customWidth="1"/>
    <col min="10748" max="10748" width="5.375" style="104" customWidth="1"/>
    <col min="10749" max="10749" width="1.25" style="104" customWidth="1"/>
    <col min="10750" max="10750" width="4.375" style="104" customWidth="1"/>
    <col min="10751" max="10751" width="10.375" style="104" customWidth="1"/>
    <col min="10752" max="10752" width="16.625" style="104" customWidth="1"/>
    <col min="10753" max="10753" width="10.875" style="104" customWidth="1"/>
    <col min="10754" max="10754" width="18.75" style="104" customWidth="1"/>
    <col min="10755" max="10755" width="14.25" style="104" bestFit="1" customWidth="1"/>
    <col min="10756" max="10995" width="9" style="104"/>
    <col min="10996" max="10996" width="5" style="104" customWidth="1"/>
    <col min="10997" max="10997" width="3.875" style="104" customWidth="1"/>
    <col min="10998" max="10998" width="5" style="104" customWidth="1"/>
    <col min="10999" max="10999" width="6.25" style="104" customWidth="1"/>
    <col min="11000" max="11000" width="2.875" style="104" customWidth="1"/>
    <col min="11001" max="11001" width="4" style="104" customWidth="1"/>
    <col min="11002" max="11002" width="4.75" style="104" customWidth="1"/>
    <col min="11003" max="11003" width="5.5" style="104" customWidth="1"/>
    <col min="11004" max="11004" width="5.375" style="104" customWidth="1"/>
    <col min="11005" max="11005" width="1.25" style="104" customWidth="1"/>
    <col min="11006" max="11006" width="4.375" style="104" customWidth="1"/>
    <col min="11007" max="11007" width="10.375" style="104" customWidth="1"/>
    <col min="11008" max="11008" width="16.625" style="104" customWidth="1"/>
    <col min="11009" max="11009" width="10.875" style="104" customWidth="1"/>
    <col min="11010" max="11010" width="18.75" style="104" customWidth="1"/>
    <col min="11011" max="11011" width="14.25" style="104" bestFit="1" customWidth="1"/>
    <col min="11012" max="11251" width="9" style="104"/>
    <col min="11252" max="11252" width="5" style="104" customWidth="1"/>
    <col min="11253" max="11253" width="3.875" style="104" customWidth="1"/>
    <col min="11254" max="11254" width="5" style="104" customWidth="1"/>
    <col min="11255" max="11255" width="6.25" style="104" customWidth="1"/>
    <col min="11256" max="11256" width="2.875" style="104" customWidth="1"/>
    <col min="11257" max="11257" width="4" style="104" customWidth="1"/>
    <col min="11258" max="11258" width="4.75" style="104" customWidth="1"/>
    <col min="11259" max="11259" width="5.5" style="104" customWidth="1"/>
    <col min="11260" max="11260" width="5.375" style="104" customWidth="1"/>
    <col min="11261" max="11261" width="1.25" style="104" customWidth="1"/>
    <col min="11262" max="11262" width="4.375" style="104" customWidth="1"/>
    <col min="11263" max="11263" width="10.375" style="104" customWidth="1"/>
    <col min="11264" max="11264" width="16.625" style="104" customWidth="1"/>
    <col min="11265" max="11265" width="10.875" style="104" customWidth="1"/>
    <col min="11266" max="11266" width="18.75" style="104" customWidth="1"/>
    <col min="11267" max="11267" width="14.25" style="104" bestFit="1" customWidth="1"/>
    <col min="11268" max="11507" width="9" style="104"/>
    <col min="11508" max="11508" width="5" style="104" customWidth="1"/>
    <col min="11509" max="11509" width="3.875" style="104" customWidth="1"/>
    <col min="11510" max="11510" width="5" style="104" customWidth="1"/>
    <col min="11511" max="11511" width="6.25" style="104" customWidth="1"/>
    <col min="11512" max="11512" width="2.875" style="104" customWidth="1"/>
    <col min="11513" max="11513" width="4" style="104" customWidth="1"/>
    <col min="11514" max="11514" width="4.75" style="104" customWidth="1"/>
    <col min="11515" max="11515" width="5.5" style="104" customWidth="1"/>
    <col min="11516" max="11516" width="5.375" style="104" customWidth="1"/>
    <col min="11517" max="11517" width="1.25" style="104" customWidth="1"/>
    <col min="11518" max="11518" width="4.375" style="104" customWidth="1"/>
    <col min="11519" max="11519" width="10.375" style="104" customWidth="1"/>
    <col min="11520" max="11520" width="16.625" style="104" customWidth="1"/>
    <col min="11521" max="11521" width="10.875" style="104" customWidth="1"/>
    <col min="11522" max="11522" width="18.75" style="104" customWidth="1"/>
    <col min="11523" max="11523" width="14.25" style="104" bestFit="1" customWidth="1"/>
    <col min="11524" max="11763" width="9" style="104"/>
    <col min="11764" max="11764" width="5" style="104" customWidth="1"/>
    <col min="11765" max="11765" width="3.875" style="104" customWidth="1"/>
    <col min="11766" max="11766" width="5" style="104" customWidth="1"/>
    <col min="11767" max="11767" width="6.25" style="104" customWidth="1"/>
    <col min="11768" max="11768" width="2.875" style="104" customWidth="1"/>
    <col min="11769" max="11769" width="4" style="104" customWidth="1"/>
    <col min="11770" max="11770" width="4.75" style="104" customWidth="1"/>
    <col min="11771" max="11771" width="5.5" style="104" customWidth="1"/>
    <col min="11772" max="11772" width="5.375" style="104" customWidth="1"/>
    <col min="11773" max="11773" width="1.25" style="104" customWidth="1"/>
    <col min="11774" max="11774" width="4.375" style="104" customWidth="1"/>
    <col min="11775" max="11775" width="10.375" style="104" customWidth="1"/>
    <col min="11776" max="11776" width="16.625" style="104" customWidth="1"/>
    <col min="11777" max="11777" width="10.875" style="104" customWidth="1"/>
    <col min="11778" max="11778" width="18.75" style="104" customWidth="1"/>
    <col min="11779" max="11779" width="14.25" style="104" bestFit="1" customWidth="1"/>
    <col min="11780" max="12019" width="9" style="104"/>
    <col min="12020" max="12020" width="5" style="104" customWidth="1"/>
    <col min="12021" max="12021" width="3.875" style="104" customWidth="1"/>
    <col min="12022" max="12022" width="5" style="104" customWidth="1"/>
    <col min="12023" max="12023" width="6.25" style="104" customWidth="1"/>
    <col min="12024" max="12024" width="2.875" style="104" customWidth="1"/>
    <col min="12025" max="12025" width="4" style="104" customWidth="1"/>
    <col min="12026" max="12026" width="4.75" style="104" customWidth="1"/>
    <col min="12027" max="12027" width="5.5" style="104" customWidth="1"/>
    <col min="12028" max="12028" width="5.375" style="104" customWidth="1"/>
    <col min="12029" max="12029" width="1.25" style="104" customWidth="1"/>
    <col min="12030" max="12030" width="4.375" style="104" customWidth="1"/>
    <col min="12031" max="12031" width="10.375" style="104" customWidth="1"/>
    <col min="12032" max="12032" width="16.625" style="104" customWidth="1"/>
    <col min="12033" max="12033" width="10.875" style="104" customWidth="1"/>
    <col min="12034" max="12034" width="18.75" style="104" customWidth="1"/>
    <col min="12035" max="12035" width="14.25" style="104" bestFit="1" customWidth="1"/>
    <col min="12036" max="12275" width="9" style="104"/>
    <col min="12276" max="12276" width="5" style="104" customWidth="1"/>
    <col min="12277" max="12277" width="3.875" style="104" customWidth="1"/>
    <col min="12278" max="12278" width="5" style="104" customWidth="1"/>
    <col min="12279" max="12279" width="6.25" style="104" customWidth="1"/>
    <col min="12280" max="12280" width="2.875" style="104" customWidth="1"/>
    <col min="12281" max="12281" width="4" style="104" customWidth="1"/>
    <col min="12282" max="12282" width="4.75" style="104" customWidth="1"/>
    <col min="12283" max="12283" width="5.5" style="104" customWidth="1"/>
    <col min="12284" max="12284" width="5.375" style="104" customWidth="1"/>
    <col min="12285" max="12285" width="1.25" style="104" customWidth="1"/>
    <col min="12286" max="12286" width="4.375" style="104" customWidth="1"/>
    <col min="12287" max="12287" width="10.375" style="104" customWidth="1"/>
    <col min="12288" max="12288" width="16.625" style="104" customWidth="1"/>
    <col min="12289" max="12289" width="10.875" style="104" customWidth="1"/>
    <col min="12290" max="12290" width="18.75" style="104" customWidth="1"/>
    <col min="12291" max="12291" width="14.25" style="104" bestFit="1" customWidth="1"/>
    <col min="12292" max="12531" width="9" style="104"/>
    <col min="12532" max="12532" width="5" style="104" customWidth="1"/>
    <col min="12533" max="12533" width="3.875" style="104" customWidth="1"/>
    <col min="12534" max="12534" width="5" style="104" customWidth="1"/>
    <col min="12535" max="12535" width="6.25" style="104" customWidth="1"/>
    <col min="12536" max="12536" width="2.875" style="104" customWidth="1"/>
    <col min="12537" max="12537" width="4" style="104" customWidth="1"/>
    <col min="12538" max="12538" width="4.75" style="104" customWidth="1"/>
    <col min="12539" max="12539" width="5.5" style="104" customWidth="1"/>
    <col min="12540" max="12540" width="5.375" style="104" customWidth="1"/>
    <col min="12541" max="12541" width="1.25" style="104" customWidth="1"/>
    <col min="12542" max="12542" width="4.375" style="104" customWidth="1"/>
    <col min="12543" max="12543" width="10.375" style="104" customWidth="1"/>
    <col min="12544" max="12544" width="16.625" style="104" customWidth="1"/>
    <col min="12545" max="12545" width="10.875" style="104" customWidth="1"/>
    <col min="12546" max="12546" width="18.75" style="104" customWidth="1"/>
    <col min="12547" max="12547" width="14.25" style="104" bestFit="1" customWidth="1"/>
    <col min="12548" max="12787" width="9" style="104"/>
    <col min="12788" max="12788" width="5" style="104" customWidth="1"/>
    <col min="12789" max="12789" width="3.875" style="104" customWidth="1"/>
    <col min="12790" max="12790" width="5" style="104" customWidth="1"/>
    <col min="12791" max="12791" width="6.25" style="104" customWidth="1"/>
    <col min="12792" max="12792" width="2.875" style="104" customWidth="1"/>
    <col min="12793" max="12793" width="4" style="104" customWidth="1"/>
    <col min="12794" max="12794" width="4.75" style="104" customWidth="1"/>
    <col min="12795" max="12795" width="5.5" style="104" customWidth="1"/>
    <col min="12796" max="12796" width="5.375" style="104" customWidth="1"/>
    <col min="12797" max="12797" width="1.25" style="104" customWidth="1"/>
    <col min="12798" max="12798" width="4.375" style="104" customWidth="1"/>
    <col min="12799" max="12799" width="10.375" style="104" customWidth="1"/>
    <col min="12800" max="12800" width="16.625" style="104" customWidth="1"/>
    <col min="12801" max="12801" width="10.875" style="104" customWidth="1"/>
    <col min="12802" max="12802" width="18.75" style="104" customWidth="1"/>
    <col min="12803" max="12803" width="14.25" style="104" bestFit="1" customWidth="1"/>
    <col min="12804" max="13043" width="9" style="104"/>
    <col min="13044" max="13044" width="5" style="104" customWidth="1"/>
    <col min="13045" max="13045" width="3.875" style="104" customWidth="1"/>
    <col min="13046" max="13046" width="5" style="104" customWidth="1"/>
    <col min="13047" max="13047" width="6.25" style="104" customWidth="1"/>
    <col min="13048" max="13048" width="2.875" style="104" customWidth="1"/>
    <col min="13049" max="13049" width="4" style="104" customWidth="1"/>
    <col min="13050" max="13050" width="4.75" style="104" customWidth="1"/>
    <col min="13051" max="13051" width="5.5" style="104" customWidth="1"/>
    <col min="13052" max="13052" width="5.375" style="104" customWidth="1"/>
    <col min="13053" max="13053" width="1.25" style="104" customWidth="1"/>
    <col min="13054" max="13054" width="4.375" style="104" customWidth="1"/>
    <col min="13055" max="13055" width="10.375" style="104" customWidth="1"/>
    <col min="13056" max="13056" width="16.625" style="104" customWidth="1"/>
    <col min="13057" max="13057" width="10.875" style="104" customWidth="1"/>
    <col min="13058" max="13058" width="18.75" style="104" customWidth="1"/>
    <col min="13059" max="13059" width="14.25" style="104" bestFit="1" customWidth="1"/>
    <col min="13060" max="13299" width="9" style="104"/>
    <col min="13300" max="13300" width="5" style="104" customWidth="1"/>
    <col min="13301" max="13301" width="3.875" style="104" customWidth="1"/>
    <col min="13302" max="13302" width="5" style="104" customWidth="1"/>
    <col min="13303" max="13303" width="6.25" style="104" customWidth="1"/>
    <col min="13304" max="13304" width="2.875" style="104" customWidth="1"/>
    <col min="13305" max="13305" width="4" style="104" customWidth="1"/>
    <col min="13306" max="13306" width="4.75" style="104" customWidth="1"/>
    <col min="13307" max="13307" width="5.5" style="104" customWidth="1"/>
    <col min="13308" max="13308" width="5.375" style="104" customWidth="1"/>
    <col min="13309" max="13309" width="1.25" style="104" customWidth="1"/>
    <col min="13310" max="13310" width="4.375" style="104" customWidth="1"/>
    <col min="13311" max="13311" width="10.375" style="104" customWidth="1"/>
    <col min="13312" max="13312" width="16.625" style="104" customWidth="1"/>
    <col min="13313" max="13313" width="10.875" style="104" customWidth="1"/>
    <col min="13314" max="13314" width="18.75" style="104" customWidth="1"/>
    <col min="13315" max="13315" width="14.25" style="104" bestFit="1" customWidth="1"/>
    <col min="13316" max="13555" width="9" style="104"/>
    <col min="13556" max="13556" width="5" style="104" customWidth="1"/>
    <col min="13557" max="13557" width="3.875" style="104" customWidth="1"/>
    <col min="13558" max="13558" width="5" style="104" customWidth="1"/>
    <col min="13559" max="13559" width="6.25" style="104" customWidth="1"/>
    <col min="13560" max="13560" width="2.875" style="104" customWidth="1"/>
    <col min="13561" max="13561" width="4" style="104" customWidth="1"/>
    <col min="13562" max="13562" width="4.75" style="104" customWidth="1"/>
    <col min="13563" max="13563" width="5.5" style="104" customWidth="1"/>
    <col min="13564" max="13564" width="5.375" style="104" customWidth="1"/>
    <col min="13565" max="13565" width="1.25" style="104" customWidth="1"/>
    <col min="13566" max="13566" width="4.375" style="104" customWidth="1"/>
    <col min="13567" max="13567" width="10.375" style="104" customWidth="1"/>
    <col min="13568" max="13568" width="16.625" style="104" customWidth="1"/>
    <col min="13569" max="13569" width="10.875" style="104" customWidth="1"/>
    <col min="13570" max="13570" width="18.75" style="104" customWidth="1"/>
    <col min="13571" max="13571" width="14.25" style="104" bestFit="1" customWidth="1"/>
    <col min="13572" max="13811" width="9" style="104"/>
    <col min="13812" max="13812" width="5" style="104" customWidth="1"/>
    <col min="13813" max="13813" width="3.875" style="104" customWidth="1"/>
    <col min="13814" max="13814" width="5" style="104" customWidth="1"/>
    <col min="13815" max="13815" width="6.25" style="104" customWidth="1"/>
    <col min="13816" max="13816" width="2.875" style="104" customWidth="1"/>
    <col min="13817" max="13817" width="4" style="104" customWidth="1"/>
    <col min="13818" max="13818" width="4.75" style="104" customWidth="1"/>
    <col min="13819" max="13819" width="5.5" style="104" customWidth="1"/>
    <col min="13820" max="13820" width="5.375" style="104" customWidth="1"/>
    <col min="13821" max="13821" width="1.25" style="104" customWidth="1"/>
    <col min="13822" max="13822" width="4.375" style="104" customWidth="1"/>
    <col min="13823" max="13823" width="10.375" style="104" customWidth="1"/>
    <col min="13824" max="13824" width="16.625" style="104" customWidth="1"/>
    <col min="13825" max="13825" width="10.875" style="104" customWidth="1"/>
    <col min="13826" max="13826" width="18.75" style="104" customWidth="1"/>
    <col min="13827" max="13827" width="14.25" style="104" bestFit="1" customWidth="1"/>
    <col min="13828" max="14067" width="9" style="104"/>
    <col min="14068" max="14068" width="5" style="104" customWidth="1"/>
    <col min="14069" max="14069" width="3.875" style="104" customWidth="1"/>
    <col min="14070" max="14070" width="5" style="104" customWidth="1"/>
    <col min="14071" max="14071" width="6.25" style="104" customWidth="1"/>
    <col min="14072" max="14072" width="2.875" style="104" customWidth="1"/>
    <col min="14073" max="14073" width="4" style="104" customWidth="1"/>
    <col min="14074" max="14074" width="4.75" style="104" customWidth="1"/>
    <col min="14075" max="14075" width="5.5" style="104" customWidth="1"/>
    <col min="14076" max="14076" width="5.375" style="104" customWidth="1"/>
    <col min="14077" max="14077" width="1.25" style="104" customWidth="1"/>
    <col min="14078" max="14078" width="4.375" style="104" customWidth="1"/>
    <col min="14079" max="14079" width="10.375" style="104" customWidth="1"/>
    <col min="14080" max="14080" width="16.625" style="104" customWidth="1"/>
    <col min="14081" max="14081" width="10.875" style="104" customWidth="1"/>
    <col min="14082" max="14082" width="18.75" style="104" customWidth="1"/>
    <col min="14083" max="14083" width="14.25" style="104" bestFit="1" customWidth="1"/>
    <col min="14084" max="14323" width="9" style="104"/>
    <col min="14324" max="14324" width="5" style="104" customWidth="1"/>
    <col min="14325" max="14325" width="3.875" style="104" customWidth="1"/>
    <col min="14326" max="14326" width="5" style="104" customWidth="1"/>
    <col min="14327" max="14327" width="6.25" style="104" customWidth="1"/>
    <col min="14328" max="14328" width="2.875" style="104" customWidth="1"/>
    <col min="14329" max="14329" width="4" style="104" customWidth="1"/>
    <col min="14330" max="14330" width="4.75" style="104" customWidth="1"/>
    <col min="14331" max="14331" width="5.5" style="104" customWidth="1"/>
    <col min="14332" max="14332" width="5.375" style="104" customWidth="1"/>
    <col min="14333" max="14333" width="1.25" style="104" customWidth="1"/>
    <col min="14334" max="14334" width="4.375" style="104" customWidth="1"/>
    <col min="14335" max="14335" width="10.375" style="104" customWidth="1"/>
    <col min="14336" max="14336" width="16.625" style="104" customWidth="1"/>
    <col min="14337" max="14337" width="10.875" style="104" customWidth="1"/>
    <col min="14338" max="14338" width="18.75" style="104" customWidth="1"/>
    <col min="14339" max="14339" width="14.25" style="104" bestFit="1" customWidth="1"/>
    <col min="14340" max="14579" width="9" style="104"/>
    <col min="14580" max="14580" width="5" style="104" customWidth="1"/>
    <col min="14581" max="14581" width="3.875" style="104" customWidth="1"/>
    <col min="14582" max="14582" width="5" style="104" customWidth="1"/>
    <col min="14583" max="14583" width="6.25" style="104" customWidth="1"/>
    <col min="14584" max="14584" width="2.875" style="104" customWidth="1"/>
    <col min="14585" max="14585" width="4" style="104" customWidth="1"/>
    <col min="14586" max="14586" width="4.75" style="104" customWidth="1"/>
    <col min="14587" max="14587" width="5.5" style="104" customWidth="1"/>
    <col min="14588" max="14588" width="5.375" style="104" customWidth="1"/>
    <col min="14589" max="14589" width="1.25" style="104" customWidth="1"/>
    <col min="14590" max="14590" width="4.375" style="104" customWidth="1"/>
    <col min="14591" max="14591" width="10.375" style="104" customWidth="1"/>
    <col min="14592" max="14592" width="16.625" style="104" customWidth="1"/>
    <col min="14593" max="14593" width="10.875" style="104" customWidth="1"/>
    <col min="14594" max="14594" width="18.75" style="104" customWidth="1"/>
    <col min="14595" max="14595" width="14.25" style="104" bestFit="1" customWidth="1"/>
    <col min="14596" max="14835" width="9" style="104"/>
    <col min="14836" max="14836" width="5" style="104" customWidth="1"/>
    <col min="14837" max="14837" width="3.875" style="104" customWidth="1"/>
    <col min="14838" max="14838" width="5" style="104" customWidth="1"/>
    <col min="14839" max="14839" width="6.25" style="104" customWidth="1"/>
    <col min="14840" max="14840" width="2.875" style="104" customWidth="1"/>
    <col min="14841" max="14841" width="4" style="104" customWidth="1"/>
    <col min="14842" max="14842" width="4.75" style="104" customWidth="1"/>
    <col min="14843" max="14843" width="5.5" style="104" customWidth="1"/>
    <col min="14844" max="14844" width="5.375" style="104" customWidth="1"/>
    <col min="14845" max="14845" width="1.25" style="104" customWidth="1"/>
    <col min="14846" max="14846" width="4.375" style="104" customWidth="1"/>
    <col min="14847" max="14847" width="10.375" style="104" customWidth="1"/>
    <col min="14848" max="14848" width="16.625" style="104" customWidth="1"/>
    <col min="14849" max="14849" width="10.875" style="104" customWidth="1"/>
    <col min="14850" max="14850" width="18.75" style="104" customWidth="1"/>
    <col min="14851" max="14851" width="14.25" style="104" bestFit="1" customWidth="1"/>
    <col min="14852" max="15091" width="9" style="104"/>
    <col min="15092" max="15092" width="5" style="104" customWidth="1"/>
    <col min="15093" max="15093" width="3.875" style="104" customWidth="1"/>
    <col min="15094" max="15094" width="5" style="104" customWidth="1"/>
    <col min="15095" max="15095" width="6.25" style="104" customWidth="1"/>
    <col min="15096" max="15096" width="2.875" style="104" customWidth="1"/>
    <col min="15097" max="15097" width="4" style="104" customWidth="1"/>
    <col min="15098" max="15098" width="4.75" style="104" customWidth="1"/>
    <col min="15099" max="15099" width="5.5" style="104" customWidth="1"/>
    <col min="15100" max="15100" width="5.375" style="104" customWidth="1"/>
    <col min="15101" max="15101" width="1.25" style="104" customWidth="1"/>
    <col min="15102" max="15102" width="4.375" style="104" customWidth="1"/>
    <col min="15103" max="15103" width="10.375" style="104" customWidth="1"/>
    <col min="15104" max="15104" width="16.625" style="104" customWidth="1"/>
    <col min="15105" max="15105" width="10.875" style="104" customWidth="1"/>
    <col min="15106" max="15106" width="18.75" style="104" customWidth="1"/>
    <col min="15107" max="15107" width="14.25" style="104" bestFit="1" customWidth="1"/>
    <col min="15108" max="15347" width="9" style="104"/>
    <col min="15348" max="15348" width="5" style="104" customWidth="1"/>
    <col min="15349" max="15349" width="3.875" style="104" customWidth="1"/>
    <col min="15350" max="15350" width="5" style="104" customWidth="1"/>
    <col min="15351" max="15351" width="6.25" style="104" customWidth="1"/>
    <col min="15352" max="15352" width="2.875" style="104" customWidth="1"/>
    <col min="15353" max="15353" width="4" style="104" customWidth="1"/>
    <col min="15354" max="15354" width="4.75" style="104" customWidth="1"/>
    <col min="15355" max="15355" width="5.5" style="104" customWidth="1"/>
    <col min="15356" max="15356" width="5.375" style="104" customWidth="1"/>
    <col min="15357" max="15357" width="1.25" style="104" customWidth="1"/>
    <col min="15358" max="15358" width="4.375" style="104" customWidth="1"/>
    <col min="15359" max="15359" width="10.375" style="104" customWidth="1"/>
    <col min="15360" max="15360" width="16.625" style="104" customWidth="1"/>
    <col min="15361" max="15361" width="10.875" style="104" customWidth="1"/>
    <col min="15362" max="15362" width="18.75" style="104" customWidth="1"/>
    <col min="15363" max="15363" width="14.25" style="104" bestFit="1" customWidth="1"/>
    <col min="15364" max="15603" width="9" style="104"/>
    <col min="15604" max="15604" width="5" style="104" customWidth="1"/>
    <col min="15605" max="15605" width="3.875" style="104" customWidth="1"/>
    <col min="15606" max="15606" width="5" style="104" customWidth="1"/>
    <col min="15607" max="15607" width="6.25" style="104" customWidth="1"/>
    <col min="15608" max="15608" width="2.875" style="104" customWidth="1"/>
    <col min="15609" max="15609" width="4" style="104" customWidth="1"/>
    <col min="15610" max="15610" width="4.75" style="104" customWidth="1"/>
    <col min="15611" max="15611" width="5.5" style="104" customWidth="1"/>
    <col min="15612" max="15612" width="5.375" style="104" customWidth="1"/>
    <col min="15613" max="15613" width="1.25" style="104" customWidth="1"/>
    <col min="15614" max="15614" width="4.375" style="104" customWidth="1"/>
    <col min="15615" max="15615" width="10.375" style="104" customWidth="1"/>
    <col min="15616" max="15616" width="16.625" style="104" customWidth="1"/>
    <col min="15617" max="15617" width="10.875" style="104" customWidth="1"/>
    <col min="15618" max="15618" width="18.75" style="104" customWidth="1"/>
    <col min="15619" max="15619" width="14.25" style="104" bestFit="1" customWidth="1"/>
    <col min="15620" max="15859" width="9" style="104"/>
    <col min="15860" max="15860" width="5" style="104" customWidth="1"/>
    <col min="15861" max="15861" width="3.875" style="104" customWidth="1"/>
    <col min="15862" max="15862" width="5" style="104" customWidth="1"/>
    <col min="15863" max="15863" width="6.25" style="104" customWidth="1"/>
    <col min="15864" max="15864" width="2.875" style="104" customWidth="1"/>
    <col min="15865" max="15865" width="4" style="104" customWidth="1"/>
    <col min="15866" max="15866" width="4.75" style="104" customWidth="1"/>
    <col min="15867" max="15867" width="5.5" style="104" customWidth="1"/>
    <col min="15868" max="15868" width="5.375" style="104" customWidth="1"/>
    <col min="15869" max="15869" width="1.25" style="104" customWidth="1"/>
    <col min="15870" max="15870" width="4.375" style="104" customWidth="1"/>
    <col min="15871" max="15871" width="10.375" style="104" customWidth="1"/>
    <col min="15872" max="15872" width="16.625" style="104" customWidth="1"/>
    <col min="15873" max="15873" width="10.875" style="104" customWidth="1"/>
    <col min="15874" max="15874" width="18.75" style="104" customWidth="1"/>
    <col min="15875" max="15875" width="14.25" style="104" bestFit="1" customWidth="1"/>
    <col min="15876" max="16115" width="9" style="104"/>
    <col min="16116" max="16116" width="5" style="104" customWidth="1"/>
    <col min="16117" max="16117" width="3.875" style="104" customWidth="1"/>
    <col min="16118" max="16118" width="5" style="104" customWidth="1"/>
    <col min="16119" max="16119" width="6.25" style="104" customWidth="1"/>
    <col min="16120" max="16120" width="2.875" style="104" customWidth="1"/>
    <col min="16121" max="16121" width="4" style="104" customWidth="1"/>
    <col min="16122" max="16122" width="4.75" style="104" customWidth="1"/>
    <col min="16123" max="16123" width="5.5" style="104" customWidth="1"/>
    <col min="16124" max="16124" width="5.375" style="104" customWidth="1"/>
    <col min="16125" max="16125" width="1.25" style="104" customWidth="1"/>
    <col min="16126" max="16126" width="4.375" style="104" customWidth="1"/>
    <col min="16127" max="16127" width="10.375" style="104" customWidth="1"/>
    <col min="16128" max="16128" width="16.625" style="104" customWidth="1"/>
    <col min="16129" max="16129" width="10.875" style="104" customWidth="1"/>
    <col min="16130" max="16130" width="18.75" style="104" customWidth="1"/>
    <col min="16131" max="16131" width="14.25" style="104" bestFit="1" customWidth="1"/>
    <col min="16132" max="16384" width="9" style="104"/>
  </cols>
  <sheetData>
    <row r="1" spans="1:15" ht="9" customHeight="1">
      <c r="A1" s="255"/>
      <c r="B1" s="256"/>
      <c r="C1" s="256"/>
      <c r="D1" s="256"/>
      <c r="E1" s="256"/>
      <c r="F1" s="256"/>
      <c r="G1" s="256"/>
      <c r="H1" s="256"/>
      <c r="I1" s="256"/>
      <c r="J1" s="256"/>
      <c r="K1" s="256"/>
      <c r="L1" s="256"/>
      <c r="M1" s="256"/>
      <c r="N1" s="256"/>
      <c r="O1" s="257"/>
    </row>
    <row r="2" spans="1:15" ht="9.75" customHeight="1">
      <c r="A2" s="105"/>
      <c r="B2" s="106"/>
      <c r="C2" s="106"/>
      <c r="D2" s="106"/>
      <c r="E2" s="106"/>
      <c r="F2" s="106"/>
      <c r="G2" s="106"/>
      <c r="H2" s="106"/>
      <c r="I2" s="106"/>
      <c r="J2" s="106"/>
      <c r="K2" s="106"/>
      <c r="L2" s="106"/>
      <c r="M2" s="106"/>
      <c r="N2" s="106"/>
      <c r="O2" s="107"/>
    </row>
    <row r="3" spans="1:15" ht="45">
      <c r="A3" s="258" t="s">
        <v>103</v>
      </c>
      <c r="B3" s="259"/>
      <c r="C3" s="259"/>
      <c r="D3" s="259"/>
      <c r="E3" s="259"/>
      <c r="F3" s="259"/>
      <c r="G3" s="259"/>
      <c r="H3" s="259"/>
      <c r="I3" s="259"/>
      <c r="J3" s="259"/>
      <c r="K3" s="259"/>
      <c r="L3" s="259"/>
      <c r="M3" s="259"/>
      <c r="N3" s="259"/>
      <c r="O3" s="260"/>
    </row>
    <row r="4" spans="1:15" ht="16.5" customHeight="1">
      <c r="A4" s="108" t="s">
        <v>104</v>
      </c>
      <c r="B4" s="109"/>
      <c r="C4" s="109"/>
      <c r="D4" s="109"/>
      <c r="E4" s="109"/>
      <c r="F4" s="109"/>
      <c r="G4" s="109"/>
      <c r="H4" s="109"/>
      <c r="I4" s="110"/>
      <c r="J4" s="110"/>
      <c r="K4" s="111"/>
      <c r="L4" s="111"/>
      <c r="M4" s="111"/>
      <c r="N4" s="111"/>
      <c r="O4" s="112"/>
    </row>
    <row r="5" spans="1:15" ht="21" customHeight="1">
      <c r="A5" s="113"/>
      <c r="B5" s="169" t="s">
        <v>168</v>
      </c>
      <c r="C5" s="169"/>
      <c r="D5" s="169"/>
      <c r="E5" s="169"/>
      <c r="F5" s="169"/>
      <c r="G5" s="170"/>
      <c r="H5" s="170"/>
      <c r="I5" s="114"/>
      <c r="J5" s="114"/>
      <c r="K5" s="114"/>
      <c r="L5" s="114"/>
      <c r="M5" s="115"/>
      <c r="N5" s="115"/>
      <c r="O5" s="116"/>
    </row>
    <row r="6" spans="1:15" ht="12" customHeight="1" thickBot="1">
      <c r="A6" s="117"/>
      <c r="B6" s="118"/>
      <c r="C6" s="118"/>
      <c r="D6" s="118"/>
      <c r="E6" s="118"/>
      <c r="F6" s="118"/>
      <c r="G6" s="118"/>
      <c r="H6" s="118"/>
      <c r="I6" s="118"/>
      <c r="J6" s="118"/>
      <c r="K6" s="119"/>
      <c r="L6" s="119"/>
      <c r="M6" s="119"/>
      <c r="N6" s="119"/>
      <c r="O6" s="120"/>
    </row>
    <row r="7" spans="1:15" ht="23.25" customHeight="1">
      <c r="A7" s="261" t="s">
        <v>105</v>
      </c>
      <c r="B7" s="262"/>
      <c r="C7" s="263"/>
      <c r="D7" s="171">
        <v>2026</v>
      </c>
      <c r="E7" s="121" t="s">
        <v>106</v>
      </c>
      <c r="F7" s="172">
        <v>6</v>
      </c>
      <c r="G7" s="121" t="s">
        <v>107</v>
      </c>
      <c r="H7" s="172">
        <v>23</v>
      </c>
      <c r="I7" s="121" t="s">
        <v>108</v>
      </c>
      <c r="J7" s="122"/>
      <c r="K7" s="264" t="s">
        <v>109</v>
      </c>
      <c r="L7" s="123" t="s">
        <v>110</v>
      </c>
      <c r="M7" s="123" t="s">
        <v>111</v>
      </c>
      <c r="N7" s="123" t="s">
        <v>112</v>
      </c>
      <c r="O7" s="124" t="s">
        <v>113</v>
      </c>
    </row>
    <row r="8" spans="1:15" ht="23.25" customHeight="1">
      <c r="A8" s="267" t="s">
        <v>114</v>
      </c>
      <c r="B8" s="268"/>
      <c r="C8" s="269"/>
      <c r="D8" s="270" t="s">
        <v>115</v>
      </c>
      <c r="E8" s="271"/>
      <c r="F8" s="271"/>
      <c r="G8" s="272"/>
      <c r="H8" s="273" t="s">
        <v>116</v>
      </c>
      <c r="I8" s="271"/>
      <c r="J8" s="274"/>
      <c r="K8" s="265"/>
      <c r="L8" s="125" t="s">
        <v>117</v>
      </c>
      <c r="M8" s="125" t="s">
        <v>118</v>
      </c>
      <c r="N8" s="125" t="s">
        <v>119</v>
      </c>
      <c r="O8" s="126" t="s">
        <v>120</v>
      </c>
    </row>
    <row r="9" spans="1:15" ht="23.25" customHeight="1">
      <c r="A9" s="267" t="s">
        <v>121</v>
      </c>
      <c r="B9" s="268"/>
      <c r="C9" s="269"/>
      <c r="D9" s="275" t="s">
        <v>122</v>
      </c>
      <c r="E9" s="276"/>
      <c r="F9" s="276"/>
      <c r="G9" s="276"/>
      <c r="H9" s="276"/>
      <c r="I9" s="276"/>
      <c r="J9" s="277"/>
      <c r="K9" s="265"/>
      <c r="L9" s="125" t="s">
        <v>123</v>
      </c>
      <c r="M9" s="278" t="s">
        <v>124</v>
      </c>
      <c r="N9" s="268"/>
      <c r="O9" s="269"/>
    </row>
    <row r="10" spans="1:15" ht="23.25" customHeight="1" thickBot="1">
      <c r="A10" s="279" t="s">
        <v>125</v>
      </c>
      <c r="B10" s="280"/>
      <c r="C10" s="281"/>
      <c r="D10" s="282" t="s">
        <v>126</v>
      </c>
      <c r="E10" s="283"/>
      <c r="F10" s="283"/>
      <c r="G10" s="283"/>
      <c r="H10" s="283"/>
      <c r="I10" s="283"/>
      <c r="J10" s="284"/>
      <c r="K10" s="266"/>
      <c r="L10" s="127" t="s">
        <v>127</v>
      </c>
      <c r="M10" s="127" t="s">
        <v>128</v>
      </c>
      <c r="N10" s="127" t="s">
        <v>129</v>
      </c>
      <c r="O10" s="128" t="s">
        <v>130</v>
      </c>
    </row>
    <row r="11" spans="1:15" ht="21.75" customHeight="1">
      <c r="A11" s="129"/>
      <c r="B11" s="130"/>
      <c r="C11" s="130"/>
      <c r="D11" s="131"/>
      <c r="E11" s="131"/>
      <c r="F11" s="131"/>
      <c r="G11" s="131"/>
      <c r="H11" s="131"/>
      <c r="I11" s="131"/>
      <c r="J11" s="131"/>
      <c r="K11" s="132"/>
      <c r="L11" s="132"/>
      <c r="M11" s="132"/>
      <c r="N11" s="132"/>
      <c r="O11" s="112"/>
    </row>
    <row r="12" spans="1:15" ht="21.75" customHeight="1">
      <c r="A12" s="133"/>
      <c r="B12" s="115"/>
      <c r="C12" s="115"/>
      <c r="D12" s="115"/>
      <c r="E12" s="115"/>
      <c r="F12" s="115"/>
      <c r="G12" s="115"/>
      <c r="H12" s="115"/>
      <c r="I12" s="132"/>
      <c r="J12" s="132"/>
      <c r="K12" s="132"/>
      <c r="L12" s="132"/>
      <c r="M12" s="132"/>
      <c r="N12" s="132"/>
      <c r="O12" s="134"/>
    </row>
    <row r="13" spans="1:15" ht="24" customHeight="1">
      <c r="A13" s="135"/>
      <c r="B13" s="254" t="s">
        <v>167</v>
      </c>
      <c r="C13" s="254"/>
      <c r="D13" s="254"/>
      <c r="E13" s="254"/>
      <c r="F13" s="254"/>
      <c r="G13" s="254"/>
      <c r="H13" s="254"/>
      <c r="I13" s="254"/>
      <c r="J13" s="254"/>
      <c r="K13" s="254"/>
      <c r="L13" s="254"/>
      <c r="M13" s="254"/>
      <c r="N13" s="136" t="s">
        <v>131</v>
      </c>
      <c r="O13" s="134"/>
    </row>
    <row r="14" spans="1:15" ht="9" customHeight="1">
      <c r="A14" s="135"/>
      <c r="B14" s="115"/>
      <c r="C14" s="115"/>
      <c r="D14" s="115"/>
      <c r="E14" s="115"/>
      <c r="F14" s="115"/>
      <c r="G14" s="115"/>
      <c r="H14" s="115"/>
      <c r="I14" s="132"/>
      <c r="J14" s="132"/>
      <c r="K14" s="132"/>
      <c r="L14" s="132"/>
      <c r="M14" s="132"/>
      <c r="N14" s="132"/>
      <c r="O14" s="134"/>
    </row>
    <row r="15" spans="1:15" ht="25.5" customHeight="1">
      <c r="A15" s="135"/>
      <c r="B15" s="237" t="str">
        <f>"견 적 금 액 : 一金"&amp;NUMBERSTRING(M32,1) &amp; "원정""(\"&amp; TEXT(M32,"#,###")&amp;"원) [VAT 별도]"</f>
        <v>견 적 금 액 : 一金사백삼만구천팔백오십원정"(\4,039,850원) [VAT 별도]</v>
      </c>
      <c r="C15" s="237"/>
      <c r="D15" s="237"/>
      <c r="E15" s="237"/>
      <c r="F15" s="237"/>
      <c r="G15" s="237"/>
      <c r="H15" s="237"/>
      <c r="I15" s="237"/>
      <c r="J15" s="237"/>
      <c r="K15" s="237"/>
      <c r="L15" s="237"/>
      <c r="M15" s="237"/>
      <c r="N15" s="237"/>
      <c r="O15" s="238"/>
    </row>
    <row r="16" spans="1:15" ht="15" thickBot="1">
      <c r="A16" s="133"/>
      <c r="B16" s="132"/>
      <c r="C16" s="132"/>
      <c r="D16" s="132"/>
      <c r="E16" s="132"/>
      <c r="F16" s="132"/>
      <c r="G16" s="132"/>
      <c r="H16" s="132"/>
      <c r="I16" s="115"/>
      <c r="J16" s="115"/>
      <c r="K16" s="239"/>
      <c r="L16" s="239"/>
      <c r="M16" s="239"/>
      <c r="N16" s="239"/>
      <c r="O16" s="240"/>
    </row>
    <row r="17" spans="1:17" ht="27.75" customHeight="1" thickBot="1">
      <c r="A17" s="137" t="s">
        <v>132</v>
      </c>
      <c r="B17" s="247" t="s">
        <v>133</v>
      </c>
      <c r="C17" s="248"/>
      <c r="D17" s="248"/>
      <c r="E17" s="248"/>
      <c r="F17" s="248"/>
      <c r="G17" s="249"/>
      <c r="H17" s="138" t="s">
        <v>134</v>
      </c>
      <c r="I17" s="139" t="s">
        <v>135</v>
      </c>
      <c r="J17" s="250" t="s">
        <v>136</v>
      </c>
      <c r="K17" s="251"/>
      <c r="L17" s="251"/>
      <c r="M17" s="252"/>
      <c r="N17" s="247" t="s">
        <v>137</v>
      </c>
      <c r="O17" s="253"/>
    </row>
    <row r="18" spans="1:17" ht="28.5" customHeight="1">
      <c r="A18" s="140">
        <v>1</v>
      </c>
      <c r="B18" s="241" t="s">
        <v>42</v>
      </c>
      <c r="C18" s="242"/>
      <c r="D18" s="242"/>
      <c r="E18" s="242"/>
      <c r="F18" s="242"/>
      <c r="G18" s="243"/>
      <c r="H18" s="173">
        <v>1</v>
      </c>
      <c r="I18" s="174" t="s">
        <v>1</v>
      </c>
      <c r="J18" s="244">
        <f>IFERROR(LOOKUP(2, 1/(TRIM('내역서(표준단가)'!K4:K100)&lt;&gt;""), '내역서(표준단가)'!K4:K100), "-")</f>
        <v>817260.42500000005</v>
      </c>
      <c r="K18" s="244"/>
      <c r="L18" s="244"/>
      <c r="M18" s="244"/>
      <c r="N18" s="245"/>
      <c r="O18" s="246"/>
    </row>
    <row r="19" spans="1:17" ht="28.5" customHeight="1">
      <c r="A19" s="141">
        <v>2</v>
      </c>
      <c r="B19" s="221" t="s">
        <v>43</v>
      </c>
      <c r="C19" s="222"/>
      <c r="D19" s="222"/>
      <c r="E19" s="222"/>
      <c r="F19" s="222"/>
      <c r="G19" s="223"/>
      <c r="H19" s="175">
        <v>1</v>
      </c>
      <c r="I19" s="175" t="s">
        <v>1</v>
      </c>
      <c r="J19" s="224">
        <f>IFERROR(LOOKUP(2, 1/(TRIM('내역서(표준단가)'!M4:M100)&lt;&gt;""), '내역서(표준단가)'!M4:M100), "-")</f>
        <v>2382756.855374</v>
      </c>
      <c r="K19" s="225"/>
      <c r="L19" s="225"/>
      <c r="M19" s="226"/>
      <c r="N19" s="227"/>
      <c r="O19" s="228"/>
    </row>
    <row r="20" spans="1:17" ht="28.5" customHeight="1">
      <c r="A20" s="141">
        <v>3</v>
      </c>
      <c r="B20" s="229" t="s">
        <v>138</v>
      </c>
      <c r="C20" s="230"/>
      <c r="D20" s="230"/>
      <c r="E20" s="230"/>
      <c r="F20" s="230"/>
      <c r="G20" s="231"/>
      <c r="H20" s="142">
        <v>1</v>
      </c>
      <c r="I20" s="142" t="s">
        <v>1</v>
      </c>
      <c r="J20" s="232">
        <f>IFERROR(SUM(J21:M29),"-")</f>
        <v>418509.32360730483</v>
      </c>
      <c r="K20" s="233"/>
      <c r="L20" s="233"/>
      <c r="M20" s="234"/>
      <c r="N20" s="235"/>
      <c r="O20" s="236"/>
      <c r="P20" s="143"/>
    </row>
    <row r="21" spans="1:17" ht="28.5" customHeight="1">
      <c r="A21" s="140"/>
      <c r="B21" s="144"/>
      <c r="C21" s="213" t="s">
        <v>139</v>
      </c>
      <c r="D21" s="214"/>
      <c r="E21" s="214"/>
      <c r="F21" s="214"/>
      <c r="G21" s="215"/>
      <c r="H21" s="176">
        <v>1</v>
      </c>
      <c r="I21" s="176" t="s">
        <v>1</v>
      </c>
      <c r="J21" s="216">
        <f>IFERROR(LOOKUP(2, 1/(TRIM('내역서(표준단가)'!O4:O100)&lt;&gt;""), '내역서(표준단가)'!O4:O100) + LOOKUP(2, 1/(TRIM('내역서(표준단가)'!Q4:Q100)&lt;&gt;""), '내역서(표준단가)'!Q4:Q100), "-")</f>
        <v>0</v>
      </c>
      <c r="K21" s="217"/>
      <c r="L21" s="217"/>
      <c r="M21" s="218"/>
      <c r="N21" s="219" t="s">
        <v>140</v>
      </c>
      <c r="O21" s="220"/>
    </row>
    <row r="22" spans="1:17" ht="28.5" customHeight="1">
      <c r="A22" s="140"/>
      <c r="B22" s="144"/>
      <c r="C22" s="207" t="s">
        <v>141</v>
      </c>
      <c r="D22" s="208"/>
      <c r="E22" s="208"/>
      <c r="F22" s="208"/>
      <c r="G22" s="209"/>
      <c r="H22" s="145">
        <v>3.11</v>
      </c>
      <c r="I22" s="145" t="s">
        <v>142</v>
      </c>
      <c r="J22" s="210">
        <f>IFERROR((J18+J19)*H22%,"-")</f>
        <v>99520.537419631393</v>
      </c>
      <c r="K22" s="211"/>
      <c r="L22" s="211"/>
      <c r="M22" s="212"/>
      <c r="N22" s="203" t="s">
        <v>143</v>
      </c>
      <c r="O22" s="204"/>
    </row>
    <row r="23" spans="1:17" ht="28.5" customHeight="1">
      <c r="A23" s="140"/>
      <c r="B23" s="144"/>
      <c r="C23" s="207" t="s">
        <v>144</v>
      </c>
      <c r="D23" s="208"/>
      <c r="E23" s="208"/>
      <c r="F23" s="208"/>
      <c r="G23" s="209"/>
      <c r="H23" s="145">
        <v>3.56</v>
      </c>
      <c r="I23" s="145" t="s">
        <v>145</v>
      </c>
      <c r="J23" s="210">
        <f>IFERROR(J19*H23%,"-")</f>
        <v>84826.144051314404</v>
      </c>
      <c r="K23" s="211"/>
      <c r="L23" s="211"/>
      <c r="M23" s="212"/>
      <c r="N23" s="203" t="s">
        <v>146</v>
      </c>
      <c r="O23" s="204"/>
    </row>
    <row r="24" spans="1:17" ht="28.5" customHeight="1">
      <c r="A24" s="140"/>
      <c r="B24" s="144"/>
      <c r="C24" s="207" t="s">
        <v>147</v>
      </c>
      <c r="D24" s="208"/>
      <c r="E24" s="208"/>
      <c r="F24" s="208"/>
      <c r="G24" s="209"/>
      <c r="H24" s="145">
        <v>1.01</v>
      </c>
      <c r="I24" s="145" t="s">
        <v>145</v>
      </c>
      <c r="J24" s="210">
        <f>IFERROR(J19*H24%,"-")</f>
        <v>24065.844239277398</v>
      </c>
      <c r="K24" s="211"/>
      <c r="L24" s="211"/>
      <c r="M24" s="212"/>
      <c r="N24" s="203" t="s">
        <v>148</v>
      </c>
      <c r="O24" s="204"/>
    </row>
    <row r="25" spans="1:17" ht="28.5" customHeight="1">
      <c r="A25" s="140"/>
      <c r="B25" s="144"/>
      <c r="C25" s="207" t="s">
        <v>149</v>
      </c>
      <c r="D25" s="208"/>
      <c r="E25" s="208"/>
      <c r="F25" s="208"/>
      <c r="G25" s="209"/>
      <c r="H25" s="146">
        <v>3.5950000000000002</v>
      </c>
      <c r="I25" s="145" t="s">
        <v>145</v>
      </c>
      <c r="J25" s="210">
        <f>IFERROR(J19*H25%,"-")</f>
        <v>85660.108950695314</v>
      </c>
      <c r="K25" s="211"/>
      <c r="L25" s="211"/>
      <c r="M25" s="212"/>
      <c r="N25" s="203" t="s">
        <v>150</v>
      </c>
      <c r="O25" s="204"/>
      <c r="Q25" s="143"/>
    </row>
    <row r="26" spans="1:17" ht="28.5" customHeight="1">
      <c r="A26" s="140"/>
      <c r="B26" s="144"/>
      <c r="C26" s="207" t="s">
        <v>151</v>
      </c>
      <c r="D26" s="208"/>
      <c r="E26" s="208"/>
      <c r="F26" s="208"/>
      <c r="G26" s="209"/>
      <c r="H26" s="145">
        <v>4.75</v>
      </c>
      <c r="I26" s="145" t="s">
        <v>145</v>
      </c>
      <c r="J26" s="210">
        <f>IFERROR(J19*H26%,"-")</f>
        <v>113180.950630265</v>
      </c>
      <c r="K26" s="211"/>
      <c r="L26" s="211"/>
      <c r="M26" s="212"/>
      <c r="N26" s="203" t="s">
        <v>152</v>
      </c>
      <c r="O26" s="204"/>
      <c r="Q26" s="147"/>
    </row>
    <row r="27" spans="1:17" ht="28.5" customHeight="1">
      <c r="A27" s="140"/>
      <c r="B27" s="144"/>
      <c r="C27" s="197" t="s">
        <v>153</v>
      </c>
      <c r="D27" s="198"/>
      <c r="E27" s="198"/>
      <c r="F27" s="198"/>
      <c r="G27" s="199"/>
      <c r="H27" s="148">
        <v>13.14</v>
      </c>
      <c r="I27" s="149" t="s">
        <v>145</v>
      </c>
      <c r="J27" s="200">
        <f>IFERROR($H$27*J25%,"-")</f>
        <v>11255.738316121366</v>
      </c>
      <c r="K27" s="201"/>
      <c r="L27" s="201"/>
      <c r="M27" s="202"/>
      <c r="N27" s="203" t="s">
        <v>154</v>
      </c>
      <c r="O27" s="204"/>
    </row>
    <row r="28" spans="1:17" ht="28.5" customHeight="1">
      <c r="A28" s="140"/>
      <c r="B28" s="144"/>
      <c r="C28" s="197" t="s">
        <v>155</v>
      </c>
      <c r="D28" s="198"/>
      <c r="E28" s="198"/>
      <c r="F28" s="198"/>
      <c r="G28" s="199"/>
      <c r="H28" s="148">
        <v>8.1000000000000003E-2</v>
      </c>
      <c r="I28" s="149" t="s">
        <v>145</v>
      </c>
      <c r="J28" s="200" t="str">
        <f>IFERROR(IF(SUM(J21:J27,J18:J19)&gt;=10000000,SUM(J21:J27,J18:J19)*H28%,"-"),"-")</f>
        <v>-</v>
      </c>
      <c r="K28" s="201"/>
      <c r="L28" s="201"/>
      <c r="M28" s="202"/>
      <c r="N28" s="205" t="s">
        <v>156</v>
      </c>
      <c r="O28" s="206"/>
    </row>
    <row r="29" spans="1:17" ht="28.5" customHeight="1">
      <c r="A29" s="150"/>
      <c r="B29" s="151"/>
      <c r="C29" s="177" t="s">
        <v>157</v>
      </c>
      <c r="D29" s="178"/>
      <c r="E29" s="178"/>
      <c r="F29" s="178"/>
      <c r="G29" s="179"/>
      <c r="H29" s="152">
        <v>1</v>
      </c>
      <c r="I29" s="153" t="s">
        <v>158</v>
      </c>
      <c r="J29" s="180">
        <f>34*0</f>
        <v>0</v>
      </c>
      <c r="K29" s="181"/>
      <c r="L29" s="181"/>
      <c r="M29" s="182"/>
      <c r="N29" s="183" t="s">
        <v>159</v>
      </c>
      <c r="O29" s="184"/>
    </row>
    <row r="30" spans="1:17" ht="28.5" customHeight="1">
      <c r="A30" s="150">
        <v>4</v>
      </c>
      <c r="B30" s="151"/>
      <c r="C30" s="177" t="s">
        <v>160</v>
      </c>
      <c r="D30" s="178"/>
      <c r="E30" s="178"/>
      <c r="F30" s="178"/>
      <c r="G30" s="179"/>
      <c r="H30" s="153">
        <v>5</v>
      </c>
      <c r="I30" s="154" t="s">
        <v>161</v>
      </c>
      <c r="J30" s="190">
        <f>IFERROR(IF(ISNUMBER(H30), SUM(J18:M20) * (H30 / 100), "-"), "-")</f>
        <v>180926.33019906527</v>
      </c>
      <c r="K30" s="191"/>
      <c r="L30" s="191"/>
      <c r="M30" s="192"/>
      <c r="N30" s="193" t="s">
        <v>162</v>
      </c>
      <c r="O30" s="194"/>
    </row>
    <row r="31" spans="1:17" ht="28.5" customHeight="1" thickBot="1">
      <c r="A31" s="150">
        <v>5</v>
      </c>
      <c r="B31" s="151"/>
      <c r="C31" s="177" t="s">
        <v>163</v>
      </c>
      <c r="D31" s="178"/>
      <c r="E31" s="178"/>
      <c r="F31" s="178"/>
      <c r="G31" s="179"/>
      <c r="H31" s="153">
        <v>7.5</v>
      </c>
      <c r="I31" s="154" t="s">
        <v>145</v>
      </c>
      <c r="J31" s="180">
        <f>IFERROR(SUM(J18:M20, J30) * (H31 / 100), "-")+-44561</f>
        <v>240397.97006352775</v>
      </c>
      <c r="K31" s="181"/>
      <c r="L31" s="181"/>
      <c r="M31" s="182"/>
      <c r="N31" s="195" t="s">
        <v>164</v>
      </c>
      <c r="O31" s="196"/>
      <c r="Q31" s="155"/>
    </row>
    <row r="32" spans="1:17" ht="28.5" customHeight="1" thickBot="1">
      <c r="A32" s="185" t="s">
        <v>165</v>
      </c>
      <c r="B32" s="186"/>
      <c r="C32" s="186"/>
      <c r="D32" s="186"/>
      <c r="E32" s="186"/>
      <c r="F32" s="186"/>
      <c r="G32" s="186"/>
      <c r="H32" s="186"/>
      <c r="I32" s="187"/>
      <c r="J32" s="156"/>
      <c r="K32" s="157"/>
      <c r="L32" s="157"/>
      <c r="M32" s="158">
        <f>IFERROR(ROUNDDOWN(SUM(J18:M20)+J30+J31,0),"-")</f>
        <v>4039850</v>
      </c>
      <c r="N32" s="188"/>
      <c r="O32" s="189"/>
      <c r="P32" s="159"/>
    </row>
    <row r="33" spans="1:15">
      <c r="A33" s="160" t="s">
        <v>166</v>
      </c>
      <c r="B33" s="161"/>
      <c r="C33" s="161"/>
      <c r="D33" s="161"/>
      <c r="E33" s="161"/>
      <c r="F33" s="161"/>
      <c r="G33" s="161"/>
      <c r="H33" s="161"/>
      <c r="I33" s="161"/>
      <c r="J33" s="161"/>
      <c r="K33" s="161"/>
      <c r="L33" s="161"/>
      <c r="M33" s="161"/>
      <c r="N33" s="161"/>
      <c r="O33" s="162"/>
    </row>
    <row r="34" spans="1:15">
      <c r="A34" s="163"/>
      <c r="B34" s="161"/>
      <c r="C34" s="161"/>
      <c r="D34" s="161"/>
      <c r="E34" s="161"/>
      <c r="F34" s="161"/>
      <c r="G34" s="161"/>
      <c r="H34" s="161"/>
      <c r="I34" s="161"/>
      <c r="J34" s="161"/>
      <c r="K34" s="161"/>
      <c r="L34" s="161"/>
      <c r="M34" s="161"/>
      <c r="N34" s="161"/>
      <c r="O34" s="162"/>
    </row>
    <row r="35" spans="1:15">
      <c r="A35" s="163"/>
      <c r="B35" s="161"/>
      <c r="C35" s="161"/>
      <c r="D35" s="161"/>
      <c r="E35" s="161"/>
      <c r="F35" s="161"/>
      <c r="G35" s="161"/>
      <c r="H35" s="161"/>
      <c r="I35" s="161"/>
      <c r="J35" s="161"/>
      <c r="K35" s="161"/>
      <c r="L35" s="161"/>
      <c r="M35" s="161"/>
      <c r="N35" s="161"/>
      <c r="O35" s="162"/>
    </row>
    <row r="36" spans="1:15">
      <c r="A36" s="163"/>
      <c r="B36" s="161"/>
      <c r="C36" s="161"/>
      <c r="D36" s="161"/>
      <c r="E36" s="161"/>
      <c r="F36" s="161"/>
      <c r="G36" s="161"/>
      <c r="H36" s="161"/>
      <c r="I36" s="161"/>
      <c r="J36" s="161"/>
      <c r="K36" s="161"/>
      <c r="L36" s="161"/>
      <c r="M36" s="161"/>
      <c r="N36" s="161"/>
      <c r="O36" s="162"/>
    </row>
    <row r="37" spans="1:15" ht="15.75">
      <c r="A37" s="163"/>
      <c r="B37" s="164"/>
      <c r="C37" s="164"/>
      <c r="D37" s="164"/>
      <c r="E37" s="164"/>
      <c r="F37" s="164"/>
      <c r="G37" s="164"/>
      <c r="H37" s="164"/>
      <c r="I37" s="164"/>
      <c r="J37" s="164"/>
      <c r="K37" s="164"/>
      <c r="L37" s="164"/>
      <c r="M37" s="164"/>
      <c r="N37" s="164"/>
      <c r="O37" s="165"/>
    </row>
    <row r="38" spans="1:15" ht="15.75">
      <c r="A38" s="163"/>
      <c r="B38" s="164"/>
      <c r="C38" s="164"/>
      <c r="D38" s="164"/>
      <c r="E38" s="164"/>
      <c r="F38" s="164"/>
      <c r="G38" s="164"/>
      <c r="H38" s="164"/>
      <c r="I38" s="164"/>
      <c r="J38" s="164"/>
      <c r="K38" s="164"/>
      <c r="L38" s="164"/>
      <c r="M38" s="164"/>
      <c r="N38" s="164"/>
      <c r="O38" s="165"/>
    </row>
    <row r="39" spans="1:15" ht="15.75">
      <c r="A39" s="163"/>
      <c r="B39" s="164"/>
      <c r="C39" s="164"/>
      <c r="D39" s="164"/>
      <c r="E39" s="164"/>
      <c r="F39" s="164"/>
      <c r="G39" s="164"/>
      <c r="H39" s="164"/>
      <c r="I39" s="164"/>
      <c r="J39" s="164"/>
      <c r="K39" s="164"/>
      <c r="L39" s="164"/>
      <c r="M39" s="164"/>
      <c r="N39" s="164"/>
      <c r="O39" s="165"/>
    </row>
    <row r="40" spans="1:15" ht="15" thickBot="1">
      <c r="A40" s="166"/>
      <c r="B40" s="167"/>
      <c r="C40" s="167"/>
      <c r="D40" s="167"/>
      <c r="E40" s="167"/>
      <c r="F40" s="167"/>
      <c r="G40" s="167"/>
      <c r="H40" s="167"/>
      <c r="I40" s="167"/>
      <c r="J40" s="167"/>
      <c r="K40" s="167"/>
      <c r="L40" s="167"/>
      <c r="M40" s="167"/>
      <c r="N40" s="167"/>
      <c r="O40" s="168"/>
    </row>
    <row r="42" spans="1:15">
      <c r="M42" s="155"/>
    </row>
    <row r="43" spans="1:15">
      <c r="M43" s="155"/>
    </row>
  </sheetData>
  <mergeCells count="62">
    <mergeCell ref="B13:M13"/>
    <mergeCell ref="A1:O1"/>
    <mergeCell ref="A3:O3"/>
    <mergeCell ref="A7:C7"/>
    <mergeCell ref="K7:K10"/>
    <mergeCell ref="A8:C8"/>
    <mergeCell ref="D8:G8"/>
    <mergeCell ref="H8:J8"/>
    <mergeCell ref="A9:C9"/>
    <mergeCell ref="D9:J9"/>
    <mergeCell ref="M9:O9"/>
    <mergeCell ref="A10:C10"/>
    <mergeCell ref="D10:J10"/>
    <mergeCell ref="B15:O15"/>
    <mergeCell ref="K16:O16"/>
    <mergeCell ref="B18:G18"/>
    <mergeCell ref="J18:M18"/>
    <mergeCell ref="N18:O18"/>
    <mergeCell ref="B17:G17"/>
    <mergeCell ref="J17:M17"/>
    <mergeCell ref="N17:O17"/>
    <mergeCell ref="B19:G19"/>
    <mergeCell ref="J19:M19"/>
    <mergeCell ref="N19:O19"/>
    <mergeCell ref="B20:G20"/>
    <mergeCell ref="J20:M20"/>
    <mergeCell ref="N20:O20"/>
    <mergeCell ref="C21:G21"/>
    <mergeCell ref="J21:M21"/>
    <mergeCell ref="N21:O21"/>
    <mergeCell ref="C22:G22"/>
    <mergeCell ref="J22:M22"/>
    <mergeCell ref="N22:O22"/>
    <mergeCell ref="C23:G23"/>
    <mergeCell ref="J23:M23"/>
    <mergeCell ref="N23:O23"/>
    <mergeCell ref="C24:G24"/>
    <mergeCell ref="J24:M24"/>
    <mergeCell ref="N24:O24"/>
    <mergeCell ref="C25:G25"/>
    <mergeCell ref="J25:M25"/>
    <mergeCell ref="N25:O25"/>
    <mergeCell ref="C26:G26"/>
    <mergeCell ref="J26:M26"/>
    <mergeCell ref="N26:O26"/>
    <mergeCell ref="C27:G27"/>
    <mergeCell ref="J27:M27"/>
    <mergeCell ref="N27:O27"/>
    <mergeCell ref="C28:G28"/>
    <mergeCell ref="J28:M28"/>
    <mergeCell ref="N28:O28"/>
    <mergeCell ref="C29:G29"/>
    <mergeCell ref="J29:M29"/>
    <mergeCell ref="N29:O29"/>
    <mergeCell ref="A32:I32"/>
    <mergeCell ref="N32:O32"/>
    <mergeCell ref="C30:G30"/>
    <mergeCell ref="J30:M30"/>
    <mergeCell ref="N30:O30"/>
    <mergeCell ref="C31:G31"/>
    <mergeCell ref="J31:M31"/>
    <mergeCell ref="N31:O31"/>
  </mergeCells>
  <phoneticPr fontId="6" type="noConversion"/>
  <pageMargins left="0.23622047244094491" right="0.23622047244094491" top="0.35433070866141736" bottom="0.35433070866141736" header="0" footer="0"/>
  <pageSetup paperSize="9" scale="85"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0000FF"/>
    <pageSetUpPr fitToPage="1"/>
  </sheetPr>
  <dimension ref="A1:T13"/>
  <sheetViews>
    <sheetView showGridLines="0" zoomScale="80" zoomScaleNormal="80" workbookViewId="0">
      <pane ySplit="4" topLeftCell="A5" activePane="bottomLeft" state="frozen"/>
      <selection pane="bottomLeft" activeCell="J16" sqref="J16"/>
    </sheetView>
  </sheetViews>
  <sheetFormatPr defaultColWidth="9" defaultRowHeight="38.1" customHeight="1"/>
  <cols>
    <col min="1" max="1" width="22.625" style="80" bestFit="1" customWidth="1"/>
    <col min="2" max="2" width="9" style="69" customWidth="1"/>
    <col min="3" max="5" width="12.625" style="69" customWidth="1"/>
    <col min="6" max="7" width="30.625" style="65" customWidth="1"/>
    <col min="8" max="8" width="11.375" style="69" bestFit="1" customWidth="1"/>
    <col min="9" max="9" width="8.25" style="69" customWidth="1"/>
    <col min="10" max="10" width="10.625" style="69" bestFit="1" customWidth="1"/>
    <col min="11" max="11" width="13.25" style="69" bestFit="1" customWidth="1"/>
    <col min="12" max="12" width="12" style="69" bestFit="1" customWidth="1"/>
    <col min="13" max="13" width="15.625" style="69" bestFit="1" customWidth="1"/>
    <col min="14" max="14" width="9" style="69" customWidth="1"/>
    <col min="15" max="15" width="8.75" style="69" bestFit="1" customWidth="1"/>
    <col min="16" max="16" width="10.5" style="69" customWidth="1"/>
    <col min="17" max="17" width="8.75" style="69" bestFit="1" customWidth="1"/>
    <col min="18" max="18" width="15.625" style="69" bestFit="1" customWidth="1"/>
    <col min="19" max="19" width="10.625" style="1" bestFit="1" customWidth="1"/>
    <col min="20" max="20" width="8.5" style="69" bestFit="1" customWidth="1"/>
    <col min="21" max="16384" width="9" style="69"/>
  </cols>
  <sheetData>
    <row r="1" spans="1:20" ht="19.899999999999999" customHeight="1">
      <c r="A1" s="285"/>
      <c r="B1" s="285"/>
      <c r="C1" s="285"/>
      <c r="D1" s="285"/>
      <c r="E1" s="285"/>
      <c r="J1" s="1"/>
      <c r="K1" s="68" t="s">
        <v>39</v>
      </c>
      <c r="M1" s="68" t="s">
        <v>39</v>
      </c>
      <c r="O1" s="68" t="s">
        <v>39</v>
      </c>
      <c r="Q1" s="68" t="s">
        <v>39</v>
      </c>
    </row>
    <row r="2" spans="1:20" ht="19.899999999999999" customHeight="1" thickBot="1">
      <c r="A2" s="285"/>
      <c r="B2" s="285"/>
      <c r="C2" s="285"/>
      <c r="D2" s="285"/>
      <c r="E2" s="285"/>
      <c r="J2" s="2"/>
      <c r="K2" s="3">
        <v>0.83499999999999996</v>
      </c>
      <c r="M2" s="3">
        <v>0.83499999999999996</v>
      </c>
      <c r="O2" s="3">
        <v>0.83499999999999996</v>
      </c>
      <c r="Q2" s="3">
        <v>0.83499999999999996</v>
      </c>
    </row>
    <row r="3" spans="1:20" ht="19.899999999999999" customHeight="1">
      <c r="A3" s="70"/>
      <c r="B3" s="71" t="s">
        <v>40</v>
      </c>
      <c r="C3" s="71"/>
      <c r="D3" s="71"/>
      <c r="E3" s="71"/>
      <c r="F3" s="296" t="s">
        <v>41</v>
      </c>
      <c r="G3" s="296"/>
      <c r="H3" s="294" t="s">
        <v>3</v>
      </c>
      <c r="I3" s="294" t="s">
        <v>0</v>
      </c>
      <c r="J3" s="290" t="s">
        <v>42</v>
      </c>
      <c r="K3" s="290"/>
      <c r="L3" s="290" t="s">
        <v>43</v>
      </c>
      <c r="M3" s="290"/>
      <c r="N3" s="291" t="s">
        <v>44</v>
      </c>
      <c r="O3" s="291"/>
      <c r="P3" s="291" t="s">
        <v>45</v>
      </c>
      <c r="Q3" s="291"/>
      <c r="R3" s="292" t="s">
        <v>46</v>
      </c>
      <c r="S3" s="288" t="s">
        <v>47</v>
      </c>
      <c r="T3" s="286" t="s">
        <v>2</v>
      </c>
    </row>
    <row r="4" spans="1:20" ht="19.899999999999999" customHeight="1">
      <c r="A4" s="4" t="s">
        <v>48</v>
      </c>
      <c r="B4" s="5" t="s">
        <v>49</v>
      </c>
      <c r="C4" s="5" t="s">
        <v>50</v>
      </c>
      <c r="D4" s="5" t="s">
        <v>51</v>
      </c>
      <c r="E4" s="5" t="s">
        <v>52</v>
      </c>
      <c r="F4" s="66" t="s">
        <v>53</v>
      </c>
      <c r="G4" s="66" t="s">
        <v>54</v>
      </c>
      <c r="H4" s="295"/>
      <c r="I4" s="295"/>
      <c r="J4" s="6" t="s">
        <v>55</v>
      </c>
      <c r="K4" s="7" t="s">
        <v>56</v>
      </c>
      <c r="L4" s="6" t="s">
        <v>57</v>
      </c>
      <c r="M4" s="7" t="s">
        <v>56</v>
      </c>
      <c r="N4" s="7" t="s">
        <v>58</v>
      </c>
      <c r="O4" s="7" t="s">
        <v>56</v>
      </c>
      <c r="P4" s="7" t="s">
        <v>58</v>
      </c>
      <c r="Q4" s="7" t="s">
        <v>56</v>
      </c>
      <c r="R4" s="293"/>
      <c r="S4" s="289"/>
      <c r="T4" s="287"/>
    </row>
    <row r="5" spans="1:20" s="72" customFormat="1" ht="38.1" customHeight="1">
      <c r="A5" s="8" t="str">
        <f t="shared" ref="A5" si="0">B5&amp;C5&amp;D5&amp;E5</f>
        <v>M020853710050101</v>
      </c>
      <c r="B5" s="34"/>
      <c r="C5" s="9"/>
      <c r="D5" s="9" t="s">
        <v>80</v>
      </c>
      <c r="E5" s="34"/>
      <c r="F5" s="64" t="s">
        <v>81</v>
      </c>
      <c r="G5" s="64" t="s">
        <v>101</v>
      </c>
      <c r="H5" s="50" t="s">
        <v>94</v>
      </c>
      <c r="I5" s="63">
        <v>7.45</v>
      </c>
      <c r="J5" s="92">
        <v>20900</v>
      </c>
      <c r="K5" s="59">
        <f t="shared" ref="K5" si="1">SUM(J5:J5)*I5*$K$2</f>
        <v>130013.67499999999</v>
      </c>
      <c r="L5" s="58"/>
      <c r="M5" s="59">
        <f t="shared" ref="M5" si="2">(L5*I5)*$M$2</f>
        <v>0</v>
      </c>
      <c r="N5" s="60"/>
      <c r="O5" s="59">
        <f t="shared" ref="O5" si="3">N5*I5*$O$2</f>
        <v>0</v>
      </c>
      <c r="P5" s="60"/>
      <c r="Q5" s="59">
        <f t="shared" ref="Q5" si="4">P5*I5*$Q$2</f>
        <v>0</v>
      </c>
      <c r="R5" s="12">
        <f t="shared" ref="R5" si="5">SUM(K5+M5)+O5+Q5</f>
        <v>130013.67499999999</v>
      </c>
      <c r="S5" s="49"/>
      <c r="T5" s="13"/>
    </row>
    <row r="6" spans="1:20" s="72" customFormat="1" ht="38.1" customHeight="1">
      <c r="A6" s="8" t="str">
        <f t="shared" ref="A6" si="6">B6&amp;C6&amp;D6&amp;E6</f>
        <v>E00000803071260301</v>
      </c>
      <c r="B6" s="34"/>
      <c r="C6" s="9" t="s">
        <v>59</v>
      </c>
      <c r="D6" s="9"/>
      <c r="E6" s="34"/>
      <c r="F6" s="64" t="s">
        <v>61</v>
      </c>
      <c r="G6" s="64" t="s">
        <v>102</v>
      </c>
      <c r="H6" s="10" t="s">
        <v>60</v>
      </c>
      <c r="I6" s="63">
        <v>2.673</v>
      </c>
      <c r="J6" s="61"/>
      <c r="K6" s="59">
        <f t="shared" ref="K6" si="7">SUM(J6:J6)*I6*$K$2</f>
        <v>0</v>
      </c>
      <c r="L6" s="93">
        <v>510462</v>
      </c>
      <c r="M6" s="59">
        <f t="shared" ref="M6" si="8">(L6*I6)*$M$2</f>
        <v>1139328.21321</v>
      </c>
      <c r="N6" s="60"/>
      <c r="O6" s="59">
        <f t="shared" ref="O6" si="9">N6*I6*$O$2</f>
        <v>0</v>
      </c>
      <c r="P6" s="60"/>
      <c r="Q6" s="59">
        <f t="shared" ref="Q6" si="10">P6*I6*$Q$2</f>
        <v>0</v>
      </c>
      <c r="R6" s="12">
        <f t="shared" ref="R6" si="11">SUM(K6+M6)+O6+Q6</f>
        <v>1139328.21321</v>
      </c>
      <c r="S6" s="49"/>
      <c r="T6" s="13"/>
    </row>
    <row r="7" spans="1:20" s="72" customFormat="1" ht="38.1" customHeight="1">
      <c r="A7" s="8" t="str">
        <f t="shared" ref="A7" si="12">B7&amp;C7&amp;D7&amp;E7</f>
        <v>M020809012520101</v>
      </c>
      <c r="B7" s="34"/>
      <c r="C7" s="9"/>
      <c r="D7" s="9" t="s">
        <v>83</v>
      </c>
      <c r="E7" s="34"/>
      <c r="F7" s="64" t="s">
        <v>84</v>
      </c>
      <c r="G7" s="64" t="s">
        <v>85</v>
      </c>
      <c r="H7" s="50" t="s">
        <v>82</v>
      </c>
      <c r="I7" s="63">
        <v>61.8</v>
      </c>
      <c r="J7" s="62">
        <v>13000</v>
      </c>
      <c r="K7" s="59">
        <f t="shared" ref="K7:K11" si="13">SUM(J7:J7)*I7*$K$2</f>
        <v>670839</v>
      </c>
      <c r="L7" s="58"/>
      <c r="M7" s="59">
        <f t="shared" ref="M7:M12" si="14">(L7*I7)*$M$2</f>
        <v>0</v>
      </c>
      <c r="N7" s="60"/>
      <c r="O7" s="59">
        <f t="shared" ref="O7:O12" si="15">N7*I7*$O$2</f>
        <v>0</v>
      </c>
      <c r="P7" s="60"/>
      <c r="Q7" s="59">
        <f t="shared" ref="Q7:Q12" si="16">P7*I7*$Q$2</f>
        <v>0</v>
      </c>
      <c r="R7" s="12">
        <f t="shared" ref="R7:R12" si="17">SUM(K7+M7)+O7+Q7</f>
        <v>670839</v>
      </c>
      <c r="S7" s="49"/>
      <c r="T7" s="13"/>
    </row>
    <row r="8" spans="1:20" s="72" customFormat="1" ht="38.1" customHeight="1">
      <c r="A8" s="8" t="str">
        <f t="shared" ref="A8:A12" si="18">B8&amp;C8&amp;D8&amp;E8</f>
        <v>E00000803071260401</v>
      </c>
      <c r="B8" s="34"/>
      <c r="C8" s="9" t="s">
        <v>62</v>
      </c>
      <c r="D8" s="9"/>
      <c r="E8" s="34"/>
      <c r="F8" s="64" t="s">
        <v>63</v>
      </c>
      <c r="G8" s="64" t="s">
        <v>95</v>
      </c>
      <c r="H8" s="10" t="s">
        <v>60</v>
      </c>
      <c r="I8" s="63">
        <v>1.0132000000000001</v>
      </c>
      <c r="J8" s="61"/>
      <c r="K8" s="59">
        <f t="shared" si="13"/>
        <v>0</v>
      </c>
      <c r="L8" s="93">
        <v>510462</v>
      </c>
      <c r="M8" s="59">
        <f t="shared" si="14"/>
        <v>431862.08216400002</v>
      </c>
      <c r="N8" s="60"/>
      <c r="O8" s="59">
        <f t="shared" si="15"/>
        <v>0</v>
      </c>
      <c r="P8" s="60"/>
      <c r="Q8" s="59">
        <f t="shared" si="16"/>
        <v>0</v>
      </c>
      <c r="R8" s="12">
        <f t="shared" si="17"/>
        <v>431862.08216400002</v>
      </c>
      <c r="S8" s="49"/>
      <c r="T8" s="13"/>
    </row>
    <row r="9" spans="1:20" s="72" customFormat="1" ht="38.1" customHeight="1">
      <c r="A9" s="8" t="str">
        <f t="shared" si="18"/>
        <v>M020412614110102</v>
      </c>
      <c r="B9" s="34"/>
      <c r="C9" s="9"/>
      <c r="D9" s="81" t="s">
        <v>77</v>
      </c>
      <c r="E9" s="34"/>
      <c r="F9" s="82" t="s">
        <v>76</v>
      </c>
      <c r="G9" s="82" t="s">
        <v>74</v>
      </c>
      <c r="H9" s="56" t="s">
        <v>73</v>
      </c>
      <c r="I9" s="63">
        <v>0.3</v>
      </c>
      <c r="J9" s="92">
        <v>65500</v>
      </c>
      <c r="K9" s="59">
        <f t="shared" si="13"/>
        <v>16407.75</v>
      </c>
      <c r="L9" s="58"/>
      <c r="M9" s="59"/>
      <c r="N9" s="60"/>
      <c r="O9" s="59"/>
      <c r="P9" s="60"/>
      <c r="Q9" s="59"/>
      <c r="R9" s="12">
        <f t="shared" si="17"/>
        <v>16407.75</v>
      </c>
      <c r="S9" s="49"/>
      <c r="T9" s="13"/>
    </row>
    <row r="10" spans="1:20" s="72" customFormat="1" ht="38.1" customHeight="1">
      <c r="A10" s="8" t="str">
        <f t="shared" si="18"/>
        <v>E00000803061120402</v>
      </c>
      <c r="B10" s="34"/>
      <c r="C10" s="9" t="s">
        <v>64</v>
      </c>
      <c r="D10" s="9"/>
      <c r="E10" s="34"/>
      <c r="F10" s="64" t="s">
        <v>65</v>
      </c>
      <c r="G10" s="64" t="s">
        <v>66</v>
      </c>
      <c r="H10" s="50" t="s">
        <v>71</v>
      </c>
      <c r="I10" s="63">
        <v>28</v>
      </c>
      <c r="J10" s="51"/>
      <c r="K10" s="11">
        <f t="shared" si="13"/>
        <v>0</v>
      </c>
      <c r="L10" s="94">
        <v>10752</v>
      </c>
      <c r="M10" s="11">
        <f t="shared" si="14"/>
        <v>251381.75999999998</v>
      </c>
      <c r="N10" s="12"/>
      <c r="O10" s="11">
        <f t="shared" si="15"/>
        <v>0</v>
      </c>
      <c r="P10" s="12"/>
      <c r="Q10" s="11">
        <f t="shared" si="16"/>
        <v>0</v>
      </c>
      <c r="R10" s="12">
        <f t="shared" si="17"/>
        <v>251381.75999999998</v>
      </c>
      <c r="S10" s="49"/>
      <c r="T10" s="13"/>
    </row>
    <row r="11" spans="1:20" s="72" customFormat="1" ht="38.1" customHeight="1">
      <c r="A11" s="8" t="str">
        <f t="shared" si="18"/>
        <v>E00000803061300201</v>
      </c>
      <c r="B11" s="34"/>
      <c r="C11" s="9" t="s">
        <v>68</v>
      </c>
      <c r="D11" s="9"/>
      <c r="E11" s="34"/>
      <c r="F11" s="64" t="s">
        <v>69</v>
      </c>
      <c r="G11" s="64" t="s">
        <v>70</v>
      </c>
      <c r="H11" s="50" t="s">
        <v>67</v>
      </c>
      <c r="I11" s="63">
        <v>28</v>
      </c>
      <c r="J11" s="51"/>
      <c r="K11" s="11">
        <f t="shared" si="13"/>
        <v>0</v>
      </c>
      <c r="L11" s="93">
        <v>6368</v>
      </c>
      <c r="M11" s="11">
        <f t="shared" si="14"/>
        <v>148883.84</v>
      </c>
      <c r="N11" s="12"/>
      <c r="O11" s="11">
        <f t="shared" si="15"/>
        <v>0</v>
      </c>
      <c r="P11" s="12"/>
      <c r="Q11" s="11">
        <f t="shared" si="16"/>
        <v>0</v>
      </c>
      <c r="R11" s="12">
        <f t="shared" si="17"/>
        <v>148883.84</v>
      </c>
      <c r="S11" s="49"/>
      <c r="T11" s="13"/>
    </row>
    <row r="12" spans="1:20" s="72" customFormat="1" ht="38.1" customHeight="1">
      <c r="A12" s="8" t="str">
        <f t="shared" si="18"/>
        <v>E00000801011510701</v>
      </c>
      <c r="B12" s="34"/>
      <c r="C12" s="9" t="s">
        <v>93</v>
      </c>
      <c r="D12" s="9"/>
      <c r="E12" s="34"/>
      <c r="F12" s="95" t="s">
        <v>98</v>
      </c>
      <c r="G12" s="10" t="s">
        <v>86</v>
      </c>
      <c r="H12" s="96" t="s">
        <v>99</v>
      </c>
      <c r="I12" s="63">
        <v>96</v>
      </c>
      <c r="J12" s="73"/>
      <c r="K12" s="11">
        <f t="shared" ref="K12" si="19">SUM(J12:J12)*I12*$K$2</f>
        <v>0</v>
      </c>
      <c r="L12" s="93">
        <v>5131</v>
      </c>
      <c r="M12" s="11">
        <f t="shared" si="14"/>
        <v>411300.95999999996</v>
      </c>
      <c r="N12" s="12"/>
      <c r="O12" s="11">
        <f t="shared" si="15"/>
        <v>0</v>
      </c>
      <c r="P12" s="12"/>
      <c r="Q12" s="11">
        <f t="shared" si="16"/>
        <v>0</v>
      </c>
      <c r="R12" s="12">
        <f t="shared" si="17"/>
        <v>411300.95999999996</v>
      </c>
      <c r="S12" s="49"/>
      <c r="T12" s="13"/>
    </row>
    <row r="13" spans="1:20" s="79" customFormat="1" ht="38.1" customHeight="1">
      <c r="A13" s="74"/>
      <c r="B13" s="75"/>
      <c r="C13" s="75"/>
      <c r="D13" s="75"/>
      <c r="E13" s="75"/>
      <c r="F13" s="67"/>
      <c r="G13" s="67"/>
      <c r="H13" s="75"/>
      <c r="I13" s="75"/>
      <c r="J13" s="75"/>
      <c r="K13" s="76">
        <f>SUM(K5:K12)</f>
        <v>817260.42500000005</v>
      </c>
      <c r="L13" s="77"/>
      <c r="M13" s="76">
        <f>SUM(M5:M12)</f>
        <v>2382756.855374</v>
      </c>
      <c r="N13" s="77"/>
      <c r="O13" s="76">
        <f>SUM(O5:O12)</f>
        <v>0</v>
      </c>
      <c r="P13" s="77"/>
      <c r="Q13" s="76">
        <f>SUM(Q5:Q12)</f>
        <v>0</v>
      </c>
      <c r="R13" s="78">
        <f>SUM(R5:R12)</f>
        <v>3200017.2803739998</v>
      </c>
      <c r="S13" s="39"/>
      <c r="T13" s="75"/>
    </row>
  </sheetData>
  <mergeCells count="12">
    <mergeCell ref="A1:E1"/>
    <mergeCell ref="T3:T4"/>
    <mergeCell ref="A2:E2"/>
    <mergeCell ref="S3:S4"/>
    <mergeCell ref="L3:M3"/>
    <mergeCell ref="N3:O3"/>
    <mergeCell ref="P3:Q3"/>
    <mergeCell ref="R3:R4"/>
    <mergeCell ref="H3:H4"/>
    <mergeCell ref="I3:I4"/>
    <mergeCell ref="J3:K3"/>
    <mergeCell ref="F3:G3"/>
  </mergeCells>
  <phoneticPr fontId="6" type="noConversion"/>
  <pageMargins left="0.7" right="0.7" top="0.75" bottom="0.75" header="0.3" footer="0.3"/>
  <pageSetup paperSize="9" scale="36"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317312-07D0-4A8D-B654-FAEA5B43046C}">
  <sheetPr codeName="Sheet3">
    <tabColor rgb="FF0000FF"/>
    <pageSetUpPr fitToPage="1"/>
  </sheetPr>
  <dimension ref="A1:Q28"/>
  <sheetViews>
    <sheetView zoomScaleNormal="100" workbookViewId="0">
      <selection activeCell="F36" sqref="F36"/>
    </sheetView>
  </sheetViews>
  <sheetFormatPr defaultColWidth="9" defaultRowHeight="14.25"/>
  <cols>
    <col min="1" max="1" width="22.625" style="33" customWidth="1"/>
    <col min="2" max="2" width="27.625" style="33" customWidth="1"/>
    <col min="3" max="3" width="5.75" style="33" customWidth="1"/>
    <col min="4" max="4" width="5.25" style="33" customWidth="1"/>
    <col min="5" max="8" width="20.625" style="33" customWidth="1"/>
    <col min="9" max="12" width="20.625" style="33" hidden="1" customWidth="1"/>
    <col min="13" max="14" width="20.625" style="33" customWidth="1"/>
    <col min="15" max="15" width="32.75" style="33" customWidth="1"/>
    <col min="16" max="16" width="5.75" style="14" customWidth="1"/>
    <col min="17" max="16384" width="9" style="14"/>
  </cols>
  <sheetData>
    <row r="1" spans="1:17" ht="27" customHeight="1">
      <c r="A1" s="299" t="s">
        <v>4</v>
      </c>
      <c r="B1" s="299"/>
      <c r="C1" s="299"/>
      <c r="D1" s="299"/>
      <c r="E1" s="299"/>
      <c r="F1" s="299"/>
      <c r="G1" s="299"/>
      <c r="H1" s="299"/>
      <c r="I1" s="299"/>
      <c r="J1" s="299"/>
      <c r="K1" s="299"/>
      <c r="L1" s="299"/>
      <c r="M1" s="299"/>
      <c r="N1" s="299"/>
      <c r="O1" s="299"/>
    </row>
    <row r="2" spans="1:17" ht="15" customHeight="1">
      <c r="A2" s="300" t="s">
        <v>5</v>
      </c>
      <c r="B2" s="301" t="s">
        <v>6</v>
      </c>
      <c r="C2" s="302" t="s">
        <v>3</v>
      </c>
      <c r="D2" s="302" t="s">
        <v>7</v>
      </c>
      <c r="E2" s="304" t="s">
        <v>8</v>
      </c>
      <c r="F2" s="301"/>
      <c r="G2" s="301" t="s">
        <v>9</v>
      </c>
      <c r="H2" s="301"/>
      <c r="I2" s="305" t="s">
        <v>10</v>
      </c>
      <c r="J2" s="306"/>
      <c r="K2" s="305" t="s">
        <v>11</v>
      </c>
      <c r="L2" s="306"/>
      <c r="M2" s="304" t="s">
        <v>12</v>
      </c>
      <c r="N2" s="301"/>
      <c r="O2" s="307" t="s">
        <v>13</v>
      </c>
    </row>
    <row r="3" spans="1:17" ht="15" customHeight="1">
      <c r="A3" s="300"/>
      <c r="B3" s="301"/>
      <c r="C3" s="303"/>
      <c r="D3" s="303"/>
      <c r="E3" s="55" t="s">
        <v>14</v>
      </c>
      <c r="F3" s="55" t="s">
        <v>15</v>
      </c>
      <c r="G3" s="15" t="s">
        <v>14</v>
      </c>
      <c r="H3" s="55" t="s">
        <v>16</v>
      </c>
      <c r="I3" s="55"/>
      <c r="J3" s="55"/>
      <c r="K3" s="15" t="s">
        <v>14</v>
      </c>
      <c r="L3" s="55" t="s">
        <v>16</v>
      </c>
      <c r="M3" s="15" t="s">
        <v>14</v>
      </c>
      <c r="N3" s="55" t="s">
        <v>16</v>
      </c>
      <c r="O3" s="308"/>
    </row>
    <row r="4" spans="1:17" ht="15" customHeight="1">
      <c r="A4" s="297" t="s">
        <v>100</v>
      </c>
      <c r="B4" s="298"/>
      <c r="C4" s="16"/>
      <c r="D4" s="16"/>
      <c r="E4" s="16"/>
      <c r="F4" s="16"/>
      <c r="G4" s="16"/>
      <c r="H4" s="16"/>
      <c r="I4" s="16"/>
      <c r="J4" s="16"/>
      <c r="K4" s="16"/>
      <c r="L4" s="16"/>
      <c r="M4" s="16"/>
      <c r="N4" s="16"/>
      <c r="O4" s="16"/>
    </row>
    <row r="5" spans="1:17" ht="15" customHeight="1">
      <c r="A5" s="315" t="s">
        <v>17</v>
      </c>
      <c r="B5" s="17" t="s">
        <v>18</v>
      </c>
      <c r="C5" s="18" t="s">
        <v>19</v>
      </c>
      <c r="D5" s="83">
        <v>85</v>
      </c>
      <c r="E5" s="97">
        <v>1057</v>
      </c>
      <c r="F5" s="19">
        <f t="shared" ref="F5:F7" si="0">D5*E5</f>
        <v>89845</v>
      </c>
      <c r="G5" s="97">
        <v>9266</v>
      </c>
      <c r="H5" s="19">
        <f t="shared" ref="H5:H7" si="1">D5*G5</f>
        <v>787610</v>
      </c>
      <c r="I5" s="19"/>
      <c r="J5" s="19"/>
      <c r="K5" s="19"/>
      <c r="L5" s="19"/>
      <c r="M5" s="19"/>
      <c r="N5" s="19">
        <f>F5+H5+J5+L5</f>
        <v>877455</v>
      </c>
      <c r="O5" s="309" t="s">
        <v>78</v>
      </c>
      <c r="P5" s="14" t="s">
        <v>96</v>
      </c>
      <c r="Q5" s="91">
        <f>D5+D7+D9+D11</f>
        <v>123</v>
      </c>
    </row>
    <row r="6" spans="1:17" ht="15" customHeight="1">
      <c r="A6" s="316"/>
      <c r="B6" s="99" t="s">
        <v>20</v>
      </c>
      <c r="C6" s="100" t="s">
        <v>19</v>
      </c>
      <c r="D6" s="101"/>
      <c r="E6" s="102"/>
      <c r="F6" s="103"/>
      <c r="G6" s="102"/>
      <c r="H6" s="103"/>
      <c r="I6" s="103"/>
      <c r="J6" s="103"/>
      <c r="K6" s="103"/>
      <c r="L6" s="103"/>
      <c r="M6" s="103"/>
      <c r="N6" s="103"/>
      <c r="O6" s="310"/>
      <c r="P6" s="14" t="s">
        <v>97</v>
      </c>
      <c r="Q6" s="91">
        <f>D6+D8+D10+D12</f>
        <v>0</v>
      </c>
    </row>
    <row r="7" spans="1:17" ht="15" customHeight="1">
      <c r="A7" s="316"/>
      <c r="B7" s="17" t="s">
        <v>21</v>
      </c>
      <c r="C7" s="18" t="s">
        <v>19</v>
      </c>
      <c r="D7" s="83">
        <v>38</v>
      </c>
      <c r="E7" s="97">
        <v>1057</v>
      </c>
      <c r="F7" s="19">
        <f t="shared" si="0"/>
        <v>40166</v>
      </c>
      <c r="G7" s="97">
        <v>9266</v>
      </c>
      <c r="H7" s="19">
        <f t="shared" si="1"/>
        <v>352108</v>
      </c>
      <c r="I7" s="19"/>
      <c r="J7" s="19"/>
      <c r="K7" s="19"/>
      <c r="L7" s="19"/>
      <c r="M7" s="19"/>
      <c r="N7" s="19">
        <f t="shared" ref="N7" si="2">F7+H7+J7+L7</f>
        <v>392274</v>
      </c>
      <c r="O7" s="310"/>
    </row>
    <row r="8" spans="1:17" ht="15" customHeight="1">
      <c r="A8" s="316"/>
      <c r="B8" s="99" t="s">
        <v>22</v>
      </c>
      <c r="C8" s="100" t="s">
        <v>19</v>
      </c>
      <c r="D8" s="101"/>
      <c r="E8" s="102"/>
      <c r="F8" s="103"/>
      <c r="G8" s="102"/>
      <c r="H8" s="103"/>
      <c r="I8" s="103"/>
      <c r="J8" s="103"/>
      <c r="K8" s="103"/>
      <c r="L8" s="103"/>
      <c r="M8" s="103"/>
      <c r="N8" s="103"/>
      <c r="O8" s="310"/>
    </row>
    <row r="9" spans="1:17" ht="15" customHeight="1">
      <c r="A9" s="316"/>
      <c r="B9" s="99" t="s">
        <v>23</v>
      </c>
      <c r="C9" s="100" t="s">
        <v>19</v>
      </c>
      <c r="D9" s="101"/>
      <c r="E9" s="102"/>
      <c r="F9" s="103"/>
      <c r="G9" s="102"/>
      <c r="H9" s="103"/>
      <c r="I9" s="103"/>
      <c r="J9" s="103"/>
      <c r="K9" s="103"/>
      <c r="L9" s="103"/>
      <c r="M9" s="103"/>
      <c r="N9" s="103"/>
      <c r="O9" s="310"/>
    </row>
    <row r="10" spans="1:17" ht="15" customHeight="1">
      <c r="A10" s="316"/>
      <c r="B10" s="99" t="s">
        <v>24</v>
      </c>
      <c r="C10" s="100" t="s">
        <v>19</v>
      </c>
      <c r="D10" s="101"/>
      <c r="E10" s="102"/>
      <c r="F10" s="103"/>
      <c r="G10" s="102"/>
      <c r="H10" s="103"/>
      <c r="I10" s="103"/>
      <c r="J10" s="103"/>
      <c r="K10" s="103"/>
      <c r="L10" s="103"/>
      <c r="M10" s="103"/>
      <c r="N10" s="103"/>
      <c r="O10" s="310"/>
    </row>
    <row r="11" spans="1:17" ht="15" customHeight="1">
      <c r="A11" s="316"/>
      <c r="B11" s="99" t="s">
        <v>25</v>
      </c>
      <c r="C11" s="100" t="s">
        <v>19</v>
      </c>
      <c r="D11" s="101"/>
      <c r="E11" s="102"/>
      <c r="F11" s="103"/>
      <c r="G11" s="102"/>
      <c r="H11" s="103"/>
      <c r="I11" s="103"/>
      <c r="J11" s="103"/>
      <c r="K11" s="103"/>
      <c r="L11" s="103"/>
      <c r="M11" s="103"/>
      <c r="N11" s="103"/>
      <c r="O11" s="310"/>
    </row>
    <row r="12" spans="1:17" ht="15" customHeight="1">
      <c r="A12" s="316"/>
      <c r="B12" s="99" t="s">
        <v>26</v>
      </c>
      <c r="C12" s="100" t="s">
        <v>19</v>
      </c>
      <c r="D12" s="101"/>
      <c r="E12" s="102"/>
      <c r="F12" s="103"/>
      <c r="G12" s="102"/>
      <c r="H12" s="103"/>
      <c r="I12" s="103"/>
      <c r="J12" s="103"/>
      <c r="K12" s="103"/>
      <c r="L12" s="103"/>
      <c r="M12" s="103"/>
      <c r="N12" s="103"/>
      <c r="O12" s="310"/>
    </row>
    <row r="13" spans="1:17" ht="15" customHeight="1">
      <c r="A13" s="40" t="s">
        <v>27</v>
      </c>
      <c r="B13" s="41"/>
      <c r="C13" s="42"/>
      <c r="D13" s="85"/>
      <c r="E13" s="43"/>
      <c r="F13" s="43">
        <f>SUM(F5:F12)</f>
        <v>130011</v>
      </c>
      <c r="G13" s="43"/>
      <c r="H13" s="43">
        <f>SUM(H5:H12)</f>
        <v>1139718</v>
      </c>
      <c r="I13" s="43"/>
      <c r="J13" s="43">
        <f>SUM(J5:J12)</f>
        <v>0</v>
      </c>
      <c r="K13" s="43"/>
      <c r="L13" s="43">
        <f>SUM(L5:L12)</f>
        <v>0</v>
      </c>
      <c r="M13" s="43"/>
      <c r="N13" s="43">
        <f>SUM(N5:N12)</f>
        <v>1269729</v>
      </c>
      <c r="O13" s="43"/>
    </row>
    <row r="14" spans="1:17" ht="15" customHeight="1">
      <c r="A14" s="311" t="s">
        <v>79</v>
      </c>
      <c r="B14" s="17" t="s">
        <v>28</v>
      </c>
      <c r="C14" s="18" t="s">
        <v>19</v>
      </c>
      <c r="D14" s="84">
        <v>33.200000000000003</v>
      </c>
      <c r="E14" s="97">
        <v>10855</v>
      </c>
      <c r="F14" s="52">
        <f>D14*E14</f>
        <v>360386.00000000006</v>
      </c>
      <c r="G14" s="97">
        <v>6987</v>
      </c>
      <c r="H14" s="52">
        <f>D14*G14</f>
        <v>231968.40000000002</v>
      </c>
      <c r="I14" s="52"/>
      <c r="J14" s="52"/>
      <c r="K14" s="19"/>
      <c r="L14" s="52"/>
      <c r="M14" s="19"/>
      <c r="N14" s="52">
        <f t="shared" ref="N14:N17" si="3">F14+H14+J14+L14</f>
        <v>592354.40000000014</v>
      </c>
      <c r="O14" s="310"/>
    </row>
    <row r="15" spans="1:17" ht="15" customHeight="1">
      <c r="A15" s="311"/>
      <c r="B15" s="17" t="s">
        <v>29</v>
      </c>
      <c r="C15" s="18" t="s">
        <v>19</v>
      </c>
      <c r="D15" s="86">
        <v>11.7</v>
      </c>
      <c r="E15" s="97">
        <v>10855</v>
      </c>
      <c r="F15" s="52">
        <f>D15*E15</f>
        <v>127003.49999999999</v>
      </c>
      <c r="G15" s="97">
        <v>6987</v>
      </c>
      <c r="H15" s="52">
        <f>D15*G15</f>
        <v>81747.899999999994</v>
      </c>
      <c r="I15" s="52"/>
      <c r="J15" s="52"/>
      <c r="K15" s="19"/>
      <c r="L15" s="52"/>
      <c r="M15" s="19"/>
      <c r="N15" s="52">
        <f t="shared" si="3"/>
        <v>208751.39999999997</v>
      </c>
      <c r="O15" s="310"/>
    </row>
    <row r="16" spans="1:17" ht="15" customHeight="1">
      <c r="A16" s="311"/>
      <c r="B16" s="17" t="s">
        <v>30</v>
      </c>
      <c r="C16" s="18" t="s">
        <v>19</v>
      </c>
      <c r="D16" s="86">
        <v>8.5</v>
      </c>
      <c r="E16" s="97">
        <v>10855</v>
      </c>
      <c r="F16" s="52">
        <f>D16*E16</f>
        <v>92267.5</v>
      </c>
      <c r="G16" s="97">
        <v>6987</v>
      </c>
      <c r="H16" s="52">
        <f>D16*G16</f>
        <v>59389.5</v>
      </c>
      <c r="I16" s="52"/>
      <c r="J16" s="52"/>
      <c r="K16" s="19"/>
      <c r="L16" s="52"/>
      <c r="M16" s="19"/>
      <c r="N16" s="52">
        <f t="shared" si="3"/>
        <v>151657</v>
      </c>
      <c r="O16" s="310"/>
    </row>
    <row r="17" spans="1:15" ht="15" customHeight="1">
      <c r="A17" s="312"/>
      <c r="B17" s="17" t="s">
        <v>31</v>
      </c>
      <c r="C17" s="18" t="s">
        <v>19</v>
      </c>
      <c r="D17" s="86">
        <v>8.4</v>
      </c>
      <c r="E17" s="97">
        <v>10855</v>
      </c>
      <c r="F17" s="52">
        <f>D17*E17</f>
        <v>91182</v>
      </c>
      <c r="G17" s="97">
        <v>6987</v>
      </c>
      <c r="H17" s="52">
        <f>D17*G17</f>
        <v>58690.8</v>
      </c>
      <c r="I17" s="52"/>
      <c r="J17" s="52"/>
      <c r="K17" s="19"/>
      <c r="L17" s="52"/>
      <c r="M17" s="19"/>
      <c r="N17" s="52">
        <f t="shared" si="3"/>
        <v>149872.79999999999</v>
      </c>
      <c r="O17" s="313"/>
    </row>
    <row r="18" spans="1:15" ht="15" customHeight="1">
      <c r="A18" s="35" t="s">
        <v>27</v>
      </c>
      <c r="B18" s="20"/>
      <c r="C18" s="23"/>
      <c r="D18" s="87">
        <f>SUM(D14:D17)</f>
        <v>61.800000000000004</v>
      </c>
      <c r="E18" s="22"/>
      <c r="F18" s="22">
        <f>SUM(F14:F17)</f>
        <v>670839</v>
      </c>
      <c r="G18" s="22"/>
      <c r="H18" s="22">
        <f>SUM(H14:H17)</f>
        <v>431796.60000000003</v>
      </c>
      <c r="I18" s="22"/>
      <c r="J18" s="22">
        <f>SUM(J14:J17)</f>
        <v>0</v>
      </c>
      <c r="K18" s="22"/>
      <c r="L18" s="22">
        <f>SUM(L14:L17)</f>
        <v>0</v>
      </c>
      <c r="M18" s="22"/>
      <c r="N18" s="22">
        <f>SUM(N14:N17)</f>
        <v>1102635.6000000001</v>
      </c>
      <c r="O18" s="22"/>
    </row>
    <row r="19" spans="1:15" ht="15" customHeight="1">
      <c r="A19" s="37" t="s">
        <v>32</v>
      </c>
      <c r="B19" s="24"/>
      <c r="C19" s="25"/>
      <c r="D19" s="88"/>
      <c r="E19" s="19"/>
      <c r="F19" s="19"/>
      <c r="G19" s="19"/>
      <c r="H19" s="19"/>
      <c r="I19" s="19"/>
      <c r="J19" s="19"/>
      <c r="K19" s="19"/>
      <c r="L19" s="19"/>
      <c r="M19" s="19"/>
      <c r="N19" s="19"/>
      <c r="O19" s="19"/>
    </row>
    <row r="20" spans="1:15" ht="15" customHeight="1">
      <c r="A20" s="53" t="s">
        <v>75</v>
      </c>
      <c r="B20" s="57" t="s">
        <v>74</v>
      </c>
      <c r="C20" s="57" t="s">
        <v>73</v>
      </c>
      <c r="D20" s="88">
        <v>0.3</v>
      </c>
      <c r="E20" s="97">
        <v>54693</v>
      </c>
      <c r="F20" s="52">
        <f>D20*E20</f>
        <v>16407.899999999998</v>
      </c>
      <c r="G20" s="19"/>
      <c r="H20" s="19"/>
      <c r="I20" s="19"/>
      <c r="J20" s="19"/>
      <c r="K20" s="19"/>
      <c r="L20" s="19"/>
      <c r="M20" s="19"/>
      <c r="N20" s="54">
        <f t="shared" ref="N20:N24" si="4">F20+H20+J20+L20</f>
        <v>16407.899999999998</v>
      </c>
      <c r="O20" s="19"/>
    </row>
    <row r="21" spans="1:15" ht="15" customHeight="1">
      <c r="A21" s="314" t="s">
        <v>33</v>
      </c>
      <c r="B21" s="24" t="s">
        <v>34</v>
      </c>
      <c r="C21" s="25" t="s">
        <v>19</v>
      </c>
      <c r="D21" s="88">
        <v>17</v>
      </c>
      <c r="E21" s="54"/>
      <c r="F21" s="54">
        <f>D21*E21</f>
        <v>0</v>
      </c>
      <c r="G21" s="98">
        <v>8978</v>
      </c>
      <c r="H21" s="54">
        <f t="shared" ref="H21:H24" si="5">D21*G21</f>
        <v>152626</v>
      </c>
      <c r="I21" s="54"/>
      <c r="J21" s="54"/>
      <c r="K21" s="54"/>
      <c r="L21" s="54"/>
      <c r="M21" s="54"/>
      <c r="N21" s="54">
        <f t="shared" si="4"/>
        <v>152626</v>
      </c>
      <c r="O21" s="19"/>
    </row>
    <row r="22" spans="1:15" ht="15" customHeight="1">
      <c r="A22" s="314"/>
      <c r="B22" s="24" t="s">
        <v>35</v>
      </c>
      <c r="C22" s="25" t="s">
        <v>19</v>
      </c>
      <c r="D22" s="88">
        <v>17</v>
      </c>
      <c r="E22" s="54"/>
      <c r="F22" s="54">
        <f t="shared" ref="F22" si="6">D22*E22</f>
        <v>0</v>
      </c>
      <c r="G22" s="98">
        <v>5317</v>
      </c>
      <c r="H22" s="54">
        <f t="shared" si="5"/>
        <v>90389</v>
      </c>
      <c r="I22" s="54"/>
      <c r="J22" s="54"/>
      <c r="K22" s="54"/>
      <c r="L22" s="54"/>
      <c r="M22" s="54"/>
      <c r="N22" s="54">
        <f t="shared" si="4"/>
        <v>90389</v>
      </c>
      <c r="O22" s="19"/>
    </row>
    <row r="23" spans="1:15" ht="15" customHeight="1">
      <c r="A23" s="314" t="s">
        <v>36</v>
      </c>
      <c r="B23" s="24" t="s">
        <v>34</v>
      </c>
      <c r="C23" s="25" t="s">
        <v>19</v>
      </c>
      <c r="D23" s="88">
        <v>11</v>
      </c>
      <c r="E23" s="54"/>
      <c r="F23" s="54">
        <f>D23*E23</f>
        <v>0</v>
      </c>
      <c r="G23" s="98">
        <v>8978</v>
      </c>
      <c r="H23" s="54">
        <f t="shared" si="5"/>
        <v>98758</v>
      </c>
      <c r="I23" s="54"/>
      <c r="J23" s="54"/>
      <c r="K23" s="54"/>
      <c r="L23" s="54"/>
      <c r="M23" s="54"/>
      <c r="N23" s="54">
        <f t="shared" si="4"/>
        <v>98758</v>
      </c>
      <c r="O23" s="19"/>
    </row>
    <row r="24" spans="1:15" ht="15" customHeight="1">
      <c r="A24" s="314"/>
      <c r="B24" s="24" t="s">
        <v>35</v>
      </c>
      <c r="C24" s="25" t="s">
        <v>19</v>
      </c>
      <c r="D24" s="88">
        <v>11</v>
      </c>
      <c r="E24" s="54"/>
      <c r="F24" s="54">
        <f t="shared" ref="F24" si="7">D24*E24</f>
        <v>0</v>
      </c>
      <c r="G24" s="98">
        <v>5317</v>
      </c>
      <c r="H24" s="54">
        <f t="shared" si="5"/>
        <v>58487</v>
      </c>
      <c r="I24" s="54"/>
      <c r="J24" s="54"/>
      <c r="K24" s="54"/>
      <c r="L24" s="54"/>
      <c r="M24" s="54"/>
      <c r="N24" s="54">
        <f t="shared" si="4"/>
        <v>58487</v>
      </c>
      <c r="O24" s="19"/>
    </row>
    <row r="25" spans="1:15" ht="15" customHeight="1">
      <c r="A25" s="35" t="s">
        <v>27</v>
      </c>
      <c r="B25" s="26"/>
      <c r="C25" s="27"/>
      <c r="D25" s="89"/>
      <c r="E25" s="22"/>
      <c r="F25" s="22">
        <f>SUM(F19:F24)</f>
        <v>16407.899999999998</v>
      </c>
      <c r="G25" s="22"/>
      <c r="H25" s="22">
        <f>SUM(H19:H24)</f>
        <v>400260</v>
      </c>
      <c r="I25" s="22"/>
      <c r="J25" s="22">
        <f>SUM(J19:J24)</f>
        <v>0</v>
      </c>
      <c r="K25" s="22"/>
      <c r="L25" s="22">
        <f>SUM(L19:L24)</f>
        <v>0</v>
      </c>
      <c r="M25" s="22"/>
      <c r="N25" s="22">
        <f>SUM(N19:N24)</f>
        <v>416667.9</v>
      </c>
      <c r="O25" s="22"/>
    </row>
    <row r="26" spans="1:15" ht="15" customHeight="1">
      <c r="A26" s="38" t="s">
        <v>37</v>
      </c>
      <c r="B26" s="17" t="s">
        <v>87</v>
      </c>
      <c r="C26" s="18" t="s">
        <v>19</v>
      </c>
      <c r="D26" s="90">
        <v>96</v>
      </c>
      <c r="E26" s="52"/>
      <c r="F26" s="52"/>
      <c r="G26" s="97">
        <v>4284</v>
      </c>
      <c r="H26" s="52">
        <f>D26*G26</f>
        <v>411264</v>
      </c>
      <c r="I26" s="52"/>
      <c r="J26" s="52"/>
      <c r="K26" s="52"/>
      <c r="L26" s="52"/>
      <c r="M26" s="52"/>
      <c r="N26" s="52">
        <f>F26+H26+J26+L26</f>
        <v>411264</v>
      </c>
      <c r="O26" s="28" t="s">
        <v>38</v>
      </c>
    </row>
    <row r="27" spans="1:15" ht="15" customHeight="1">
      <c r="A27" s="36" t="s">
        <v>27</v>
      </c>
      <c r="B27" s="20"/>
      <c r="C27" s="21"/>
      <c r="D27" s="29"/>
      <c r="E27" s="30"/>
      <c r="F27" s="30"/>
      <c r="G27" s="30"/>
      <c r="H27" s="22">
        <f>SUM(H26:H26)</f>
        <v>411264</v>
      </c>
      <c r="I27" s="30"/>
      <c r="J27" s="22">
        <f t="shared" ref="J27:N27" si="8">SUM(J26:J26)</f>
        <v>0</v>
      </c>
      <c r="K27" s="22"/>
      <c r="L27" s="22">
        <f t="shared" si="8"/>
        <v>0</v>
      </c>
      <c r="M27" s="22"/>
      <c r="N27" s="22">
        <f t="shared" si="8"/>
        <v>411264</v>
      </c>
      <c r="O27" s="30"/>
    </row>
    <row r="28" spans="1:15" ht="15" customHeight="1">
      <c r="A28" s="35" t="s">
        <v>72</v>
      </c>
      <c r="B28" s="20"/>
      <c r="C28" s="21"/>
      <c r="D28" s="29"/>
      <c r="E28" s="31"/>
      <c r="F28" s="32">
        <f>F13+F18+F25+F27</f>
        <v>817257.9</v>
      </c>
      <c r="G28" s="32"/>
      <c r="H28" s="32">
        <f>H13+H18+H25+H27</f>
        <v>2383038.6</v>
      </c>
      <c r="I28" s="31"/>
      <c r="J28" s="32">
        <f>J13+J18+J25+J27</f>
        <v>0</v>
      </c>
      <c r="K28" s="31"/>
      <c r="L28" s="32">
        <f>L13+L18+L25+L27</f>
        <v>0</v>
      </c>
      <c r="M28" s="31"/>
      <c r="N28" s="32">
        <f>N13+N18+N25+N27</f>
        <v>3200296.5</v>
      </c>
      <c r="O28" s="31"/>
    </row>
  </sheetData>
  <mergeCells count="18">
    <mergeCell ref="O5:O12"/>
    <mergeCell ref="A14:A17"/>
    <mergeCell ref="O14:O17"/>
    <mergeCell ref="A21:A22"/>
    <mergeCell ref="A23:A24"/>
    <mergeCell ref="A5:A12"/>
    <mergeCell ref="A4:B4"/>
    <mergeCell ref="A1:O1"/>
    <mergeCell ref="A2:A3"/>
    <mergeCell ref="B2:B3"/>
    <mergeCell ref="C2:C3"/>
    <mergeCell ref="D2:D3"/>
    <mergeCell ref="E2:F2"/>
    <mergeCell ref="G2:H2"/>
    <mergeCell ref="I2:J2"/>
    <mergeCell ref="K2:L2"/>
    <mergeCell ref="M2:N2"/>
    <mergeCell ref="O2:O3"/>
  </mergeCells>
  <phoneticPr fontId="6" type="noConversion"/>
  <pageMargins left="0.7" right="0.7" top="0.75" bottom="0.75" header="0.3" footer="0.3"/>
  <pageSetup paperSize="9" scale="47" orientation="landscape" horizontalDpi="4294967293"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F869F-9931-4C5B-8149-E501A83BDBE7}">
  <sheetPr codeName="Sheet4"/>
  <dimension ref="A1:F9"/>
  <sheetViews>
    <sheetView showGridLines="0" zoomScaleNormal="100" workbookViewId="0">
      <selection activeCell="F33" sqref="F33"/>
    </sheetView>
  </sheetViews>
  <sheetFormatPr defaultColWidth="9" defaultRowHeight="14.25"/>
  <cols>
    <col min="1" max="1" width="25.125" style="48" customWidth="1"/>
    <col min="2" max="2" width="16.25" style="48" customWidth="1"/>
    <col min="3" max="3" width="22.375" style="48" customWidth="1"/>
    <col min="4" max="4" width="24.125" style="48" customWidth="1"/>
    <col min="5" max="5" width="13" style="48" customWidth="1"/>
    <col min="6" max="6" width="9" style="48" customWidth="1"/>
    <col min="7" max="16384" width="9" style="14"/>
  </cols>
  <sheetData>
    <row r="1" spans="1:6" ht="18" customHeight="1">
      <c r="A1" s="44" t="s">
        <v>88</v>
      </c>
      <c r="B1" s="44" t="s">
        <v>89</v>
      </c>
      <c r="C1" s="44" t="s">
        <v>90</v>
      </c>
      <c r="D1" s="44" t="s">
        <v>91</v>
      </c>
      <c r="E1" s="44" t="s">
        <v>92</v>
      </c>
      <c r="F1" s="44" t="s">
        <v>0</v>
      </c>
    </row>
    <row r="2" spans="1:6">
      <c r="A2" s="45" t="str">
        <f>'내역서(표준단가)'!A5</f>
        <v>M020853710050101</v>
      </c>
      <c r="B2" s="46">
        <f>'내역서(표준단가)'!B5</f>
        <v>0</v>
      </c>
      <c r="C2" s="46">
        <f>'내역서(표준단가)'!C5</f>
        <v>0</v>
      </c>
      <c r="D2" s="46" t="str">
        <f>'내역서(표준단가)'!D5</f>
        <v>M020853710050101</v>
      </c>
      <c r="E2" s="46">
        <f>'내역서(표준단가)'!E5</f>
        <v>0</v>
      </c>
      <c r="F2" s="47">
        <f>'내역서(표준단가)'!I5</f>
        <v>7.45</v>
      </c>
    </row>
    <row r="3" spans="1:6">
      <c r="A3" s="45" t="str">
        <f>'내역서(표준단가)'!A6</f>
        <v>E00000803071260301</v>
      </c>
      <c r="B3" s="46">
        <f>'내역서(표준단가)'!B6</f>
        <v>0</v>
      </c>
      <c r="C3" s="46" t="str">
        <f>'내역서(표준단가)'!C6</f>
        <v>E00000803071260301</v>
      </c>
      <c r="D3" s="46">
        <f>'내역서(표준단가)'!D6</f>
        <v>0</v>
      </c>
      <c r="E3" s="46">
        <f>'내역서(표준단가)'!E6</f>
        <v>0</v>
      </c>
      <c r="F3" s="47">
        <f>'내역서(표준단가)'!I6</f>
        <v>2.673</v>
      </c>
    </row>
    <row r="4" spans="1:6">
      <c r="A4" s="45" t="str">
        <f>'내역서(표준단가)'!A7</f>
        <v>M020809012520101</v>
      </c>
      <c r="B4" s="46">
        <f>'내역서(표준단가)'!B7</f>
        <v>0</v>
      </c>
      <c r="C4" s="46">
        <f>'내역서(표준단가)'!C7</f>
        <v>0</v>
      </c>
      <c r="D4" s="46" t="str">
        <f>'내역서(표준단가)'!D7</f>
        <v>M020809012520101</v>
      </c>
      <c r="E4" s="46">
        <f>'내역서(표준단가)'!E7</f>
        <v>0</v>
      </c>
      <c r="F4" s="47">
        <f>'내역서(표준단가)'!I7</f>
        <v>61.8</v>
      </c>
    </row>
    <row r="5" spans="1:6">
      <c r="A5" s="45" t="str">
        <f>'내역서(표준단가)'!A8</f>
        <v>E00000803071260401</v>
      </c>
      <c r="B5" s="46">
        <f>'내역서(표준단가)'!B8</f>
        <v>0</v>
      </c>
      <c r="C5" s="46" t="str">
        <f>'내역서(표준단가)'!C8</f>
        <v>E00000803071260401</v>
      </c>
      <c r="D5" s="46">
        <f>'내역서(표준단가)'!D8</f>
        <v>0</v>
      </c>
      <c r="E5" s="46">
        <f>'내역서(표준단가)'!E8</f>
        <v>0</v>
      </c>
      <c r="F5" s="47">
        <f>'내역서(표준단가)'!I8</f>
        <v>1.0132000000000001</v>
      </c>
    </row>
    <row r="6" spans="1:6">
      <c r="A6" s="45" t="str">
        <f>'내역서(표준단가)'!A9</f>
        <v>M020412614110102</v>
      </c>
      <c r="B6" s="46">
        <f>'내역서(표준단가)'!B9</f>
        <v>0</v>
      </c>
      <c r="C6" s="46">
        <f>'내역서(표준단가)'!C9</f>
        <v>0</v>
      </c>
      <c r="D6" s="46" t="str">
        <f>'내역서(표준단가)'!D9</f>
        <v>M020412614110102</v>
      </c>
      <c r="E6" s="46">
        <f>'내역서(표준단가)'!E9</f>
        <v>0</v>
      </c>
      <c r="F6" s="47">
        <f>'내역서(표준단가)'!I9</f>
        <v>0.3</v>
      </c>
    </row>
    <row r="7" spans="1:6">
      <c r="A7" s="45" t="str">
        <f>'내역서(표준단가)'!A10</f>
        <v>E00000803061120402</v>
      </c>
      <c r="B7" s="46">
        <f>'내역서(표준단가)'!B10</f>
        <v>0</v>
      </c>
      <c r="C7" s="46" t="str">
        <f>'내역서(표준단가)'!C10</f>
        <v>E00000803061120402</v>
      </c>
      <c r="D7" s="46">
        <f>'내역서(표준단가)'!D10</f>
        <v>0</v>
      </c>
      <c r="E7" s="46">
        <f>'내역서(표준단가)'!E10</f>
        <v>0</v>
      </c>
      <c r="F7" s="47">
        <f>'내역서(표준단가)'!I10</f>
        <v>28</v>
      </c>
    </row>
    <row r="8" spans="1:6">
      <c r="A8" s="45" t="str">
        <f>'내역서(표준단가)'!A11</f>
        <v>E00000803061300201</v>
      </c>
      <c r="B8" s="46">
        <f>'내역서(표준단가)'!B11</f>
        <v>0</v>
      </c>
      <c r="C8" s="46" t="str">
        <f>'내역서(표준단가)'!C11</f>
        <v>E00000803061300201</v>
      </c>
      <c r="D8" s="46">
        <f>'내역서(표준단가)'!D11</f>
        <v>0</v>
      </c>
      <c r="E8" s="46">
        <f>'내역서(표준단가)'!E11</f>
        <v>0</v>
      </c>
      <c r="F8" s="47">
        <f>'내역서(표준단가)'!I11</f>
        <v>28</v>
      </c>
    </row>
    <row r="9" spans="1:6">
      <c r="A9" s="45" t="str">
        <f>'내역서(표준단가)'!A12</f>
        <v>E00000801011510701</v>
      </c>
      <c r="B9" s="46">
        <f>'내역서(표준단가)'!B12</f>
        <v>0</v>
      </c>
      <c r="C9" s="46" t="str">
        <f>'내역서(표준단가)'!C12</f>
        <v>E00000801011510701</v>
      </c>
      <c r="D9" s="46">
        <f>'내역서(표준단가)'!D12</f>
        <v>0</v>
      </c>
      <c r="E9" s="46">
        <f>'내역서(표준단가)'!E12</f>
        <v>0</v>
      </c>
      <c r="F9" s="47">
        <f>'내역서(표준단가)'!I12</f>
        <v>96</v>
      </c>
    </row>
  </sheetData>
  <phoneticPr fontId="6" type="noConversion"/>
  <pageMargins left="0.7" right="0.7" top="0.75" bottom="0.75" header="0.3" footer="0.3"/>
  <pageSetup paperSize="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B5576F-9D74-4D34-9229-D9D7DB37CD10}">
  <sheetPr codeName="Sheet5"/>
  <dimension ref="A1"/>
  <sheetViews>
    <sheetView workbookViewId="0">
      <selection activeCell="B2" sqref="B2"/>
    </sheetView>
  </sheetViews>
  <sheetFormatPr defaultRowHeight="14.25"/>
  <cols>
    <col min="1" max="16384" width="9" style="14"/>
  </cols>
  <sheetData/>
  <phoneticPr fontId="6" type="noConversion"/>
  <pageMargins left="0.7" right="0.7" top="0.75" bottom="0.75" header="0.3" footer="0.3"/>
  <pageSetup paperSize="9" orientation="portrait" horizontalDpi="4294967293"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5</vt:i4>
      </vt:variant>
    </vt:vector>
  </HeadingPairs>
  <TitlesOfParts>
    <vt:vector size="5" baseType="lpstr">
      <vt:lpstr>PR당사안</vt:lpstr>
      <vt:lpstr>내역서(표준단가)</vt:lpstr>
      <vt:lpstr>상세내역</vt:lpstr>
      <vt:lpstr>Upload</vt:lpstr>
      <vt:lpstr>도면</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2026-01-20T04:06:15Z</dcterms:created>
  <dcterms:modified xsi:type="dcterms:W3CDTF">2026-06-23T06:31:00Z</dcterms:modified>
</cp:coreProperties>
</file>
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226\06 작업폴더\01 기숙사 3동 공동현관 강화문 수리\"/>
    </mc:Choice>
  </mc:AlternateContent>
  <xr:revisionPtr revIDLastSave="0" documentId="13_ncr:1_{BE9CAD13-2EF8-4914-AFB5-9EF66302E749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  <c r="C4" i="1"/>
  <c r="B4" i="1"/>
  <c r="F3" i="1"/>
  <c r="E3" i="1"/>
  <c r="D3" i="1"/>
  <c r="C3" i="1"/>
  <c r="B3" i="1"/>
  <c r="U6" i="4" l="1"/>
  <c r="S6" i="4"/>
  <c r="Q6" i="4"/>
  <c r="O6" i="4"/>
  <c r="A6" i="4"/>
  <c r="A3" i="1" s="1"/>
  <c r="U7" i="4"/>
  <c r="S7" i="4"/>
  <c r="Q7" i="4"/>
  <c r="O7" i="4"/>
  <c r="A7" i="4"/>
  <c r="A4" i="1" s="1"/>
  <c r="V6" i="4" l="1"/>
  <c r="V7" i="4"/>
  <c r="F2" i="1"/>
  <c r="E2" i="1"/>
  <c r="D2" i="1"/>
  <c r="C2" i="1"/>
  <c r="B2" i="1"/>
  <c r="U5" i="4" l="1"/>
  <c r="S5" i="4"/>
  <c r="Q5" i="4"/>
  <c r="O5" i="4"/>
  <c r="A5" i="4"/>
  <c r="A2" i="1" s="1"/>
  <c r="V5" i="4" l="1"/>
  <c r="U8" i="4" l="1"/>
  <c r="S8" i="4"/>
  <c r="Q8" i="4"/>
  <c r="O8" i="4"/>
  <c r="V8" i="4" l="1"/>
  <c r="U9" i="4" l="1"/>
  <c r="Q9" i="4"/>
  <c r="S9" i="4" l="1"/>
  <c r="V9" i="4" l="1"/>
  <c r="F18" i="5" l="1"/>
  <c r="O9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<sst xmlns="http://schemas.openxmlformats.org/spreadsheetml/2006/main" count="138" uniqueCount="112">
  <si>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</si>
  <si>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</si>
  <si>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</si>
  <si>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</si>
  <si>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</si>
  <si>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</si>
  <si>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</si>
  <si>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</si>
  <si>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</si>
  <si>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</si>
  <si>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</si>
  <si>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</si>
  <si>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</si>
  <si>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</si>
  <si>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</si>
  <si>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</si>
  <si>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</si>
  <si>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</si>
  <si>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</si>
  <si>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</si>
  <si>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</si>
  <si>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</si>
  <si>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</si>
  <si>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</si>
  <si>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</si>
  <si>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</si>
  <si>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</si>
  <si>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</si>
  <si>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</si>
  <si>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</si>
  <si>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</si>
  <si>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</si>
  <si>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</si>
  <si>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</si>
  <si>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</si>
  <si>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</si>
  <si>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</si>
  <si>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</si>
  <si>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</si>
  <si>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</si>
  <si>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</si>
  <si>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</si>
  <si>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</si>
  <si>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</si>
  <si>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</si>
  <si>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</si>
  <si>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</si>
  <si>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</si>
  <si>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</si>
  <si>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</si>
  <si>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</si>
  <si>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</si>
  <si>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</si>
  <si>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</si>
  <si>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</si>
  <si>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</si>
  <si>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</si>
  <si>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</si>
  <si>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</si>
  <si>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</si>
  <si>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</si>
  <si>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</si>
  <si>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</si>
  <si>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</si>
  <si>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</si>
  <si>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</si>
  <si>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</si>
  <si>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</si>
  <si>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</si>
  <si>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</si>
  <si>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</si>
  <si>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</si>
  <si>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</si>
  <si>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</si>
  <si>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</si>
  <si>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</si>
  <si>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</si>
  <si>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</si>
  <si>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</si>
  <si>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</si>
  <si>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</si>
  <si>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</si>
  <si>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</si>
  <si>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</si>
  <si>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</si>
  <si>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</si>
  <si>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</si>
  <si>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</si>
  <si>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</si>
  <si>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</si>
  <si>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</si>
  <si>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</si>
  <si>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</si>
  <si>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</si>
  <si>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</si>
  <si>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</si>
  <si>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</si>
  <si>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</si>
  <si>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</si>
  <si>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인</t>
    <phoneticPr fontId="6" type="noConversion"/>
  </si>
  <si>
    <t> (재료비+노무비)*3.11%</t>
    <phoneticPr fontId="14" type="noConversion"/>
  </si>
  <si>
    <t>M011200100101701</t>
  </si>
  <si>
    <r>
      <rPr>
        <b/>
        <sz val="10"/>
        <color indexed="8"/>
        <rFont val="Malgun Gothic"/>
        <family val="3"/>
        <charset val="129"/>
      </rPr>
      <t>플로어힌지</t>
    </r>
  </si>
  <si>
    <r>
      <t xml:space="preserve">K8500, </t>
    </r>
    <r>
      <rPr>
        <b/>
        <sz val="10"/>
        <color indexed="8"/>
        <rFont val="Malgun Gothic"/>
        <family val="3"/>
        <charset val="129"/>
      </rPr>
      <t>고급</t>
    </r>
    <r>
      <rPr>
        <b/>
        <sz val="10"/>
        <color indexed="8"/>
        <rFont val="Arial Narrow"/>
        <family val="2"/>
      </rPr>
      <t xml:space="preserve">, </t>
    </r>
    <r>
      <rPr>
        <b/>
        <sz val="10"/>
        <color indexed="8"/>
        <rFont val="Malgun Gothic"/>
        <family val="3"/>
        <charset val="129"/>
      </rPr>
      <t>강화유리문</t>
    </r>
    <r>
      <rPr>
        <b/>
        <sz val="10"/>
        <color indexed="8"/>
        <rFont val="Arial Narrow"/>
        <family val="2"/>
      </rPr>
      <t xml:space="preserve">, </t>
    </r>
    <r>
      <rPr>
        <b/>
        <sz val="10"/>
        <color indexed="8"/>
        <rFont val="Malgun Gothic"/>
        <family val="3"/>
        <charset val="129"/>
      </rPr>
      <t>양쪽정지형</t>
    </r>
    <phoneticPr fontId="6" type="noConversion"/>
  </si>
  <si>
    <r>
      <rPr>
        <b/>
        <sz val="10"/>
        <color indexed="8"/>
        <rFont val="Malgun Gothic"/>
        <family val="3"/>
        <charset val="129"/>
      </rPr>
      <t>개</t>
    </r>
  </si>
  <si>
    <t>L009</t>
  </si>
  <si>
    <t>(3동 1층 중앙현관 외부, 내부 좌, 우측 강화도어 상부 힌지 탈락(고정불량) 4개)+(3동 1층 GS편의점 방면 외부 좌, 우측 강화도어 상부 H바 파손  2개)=계 6개</t>
    <phoneticPr fontId="6" type="noConversion"/>
  </si>
  <si>
    <t>3동 측면 출입구 H-Bar 보수 및 EM-락 설치</t>
    <phoneticPr fontId="6" type="noConversion"/>
  </si>
  <si>
    <t xml:space="preserve"> 공사명 : 공동현관 강화도어 보수(공용)</t>
    <phoneticPr fontId="12" type="noConversion"/>
  </si>
  <si>
    <t xml:space="preserve"> 견적일 : 2025년  12월  24일</t>
    <phoneticPr fontId="12" type="noConversion"/>
  </si>
  <si>
    <t>철공 1인* 2일</t>
    <phoneticPr fontId="6" type="noConversion"/>
  </si>
  <si>
    <t>특별인부 1인*2일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</si>
</sst>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;\-#,##0;"/>
    <numFmt numFmtId="186" formatCode="0.000"/>
    <numFmt numFmtId="187" formatCode="###,###,###,##0"/>
  </numFmts>
  <fonts count="3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Arial"/>
      <family val="2"/>
    </font>
    <font>
      <sz val="10"/>
      <color indexed="8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0"/>
      <color indexed="8"/>
      <name val="Arial Narrow"/>
      <family val="2"/>
    </font>
    <font>
      <b/>
      <sz val="10"/>
      <color indexed="8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53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5" fontId="20" fillId="5" borderId="3" xfId="0" applyNumberFormat="1" applyFont="1" applyFill="1" applyBorder="1" applyAlignment="1">
      <alignment horizontal="right" vertical="center" wrapText="1"/>
    </xf>
    <xf numFmtId="185" fontId="20" fillId="0" borderId="3" xfId="0" applyNumberFormat="1" applyFont="1" applyBorder="1" applyAlignment="1">
      <alignment horizontal="right" vertical="center"/>
    </xf>
    <xf numFmtId="185" fontId="20" fillId="6" borderId="3" xfId="1" applyNumberFormat="1" applyFont="1" applyFill="1" applyBorder="1" applyAlignment="1">
      <alignment horizontal="right" vertical="center" wrapText="1"/>
    </xf>
    <xf numFmtId="185" fontId="20" fillId="0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23" fillId="10" borderId="0" xfId="0" applyNumberFormat="1" applyFont="1" applyFill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4" fontId="20" fillId="0" borderId="1" xfId="1" applyNumberFormat="1" applyFont="1" applyBorder="1" applyAlignment="1">
      <alignment horizontal="center" vertical="center"/>
    </xf>
    <xf numFmtId="49" fontId="20" fillId="2" borderId="35" xfId="0" applyNumberFormat="1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/>
    </xf>
    <xf numFmtId="177" fontId="27" fillId="5" borderId="36" xfId="1" applyFont="1" applyFill="1" applyBorder="1" applyAlignment="1">
      <alignment horizontal="center" vertical="center" wrapText="1"/>
    </xf>
    <xf numFmtId="0" fontId="28" fillId="6" borderId="22" xfId="0" applyFont="1" applyFill="1" applyBorder="1" applyAlignment="1">
      <alignment horizontal="center" vertical="center"/>
    </xf>
    <xf numFmtId="49" fontId="27" fillId="7" borderId="3" xfId="0" applyNumberFormat="1" applyFont="1" applyFill="1" applyBorder="1" applyAlignment="1">
      <alignment horizontal="center" vertical="center" wrapText="1"/>
    </xf>
    <xf numFmtId="0" fontId="28" fillId="7" borderId="3" xfId="0" applyFont="1" applyFill="1" applyBorder="1" applyAlignment="1">
      <alignment horizontal="center" vertical="center"/>
    </xf>
    <xf numFmtId="49" fontId="29" fillId="7" borderId="3" xfId="0" applyNumberFormat="1" applyFont="1" applyFill="1" applyBorder="1" applyAlignment="1">
      <alignment horizontal="center" vertical="center"/>
    </xf>
    <xf numFmtId="49" fontId="30" fillId="7" borderId="3" xfId="0" applyNumberFormat="1" applyFont="1" applyFill="1" applyBorder="1" applyAlignment="1">
      <alignment horizontal="center" vertical="center" wrapText="1"/>
    </xf>
    <xf numFmtId="49" fontId="31" fillId="5" borderId="3" xfId="0" applyNumberFormat="1" applyFont="1" applyFill="1" applyBorder="1" applyAlignment="1">
      <alignment horizontal="center" vertical="center" wrapText="1"/>
    </xf>
    <xf numFmtId="0" fontId="31" fillId="5" borderId="3" xfId="0" applyFont="1" applyFill="1" applyBorder="1" applyAlignment="1">
      <alignment horizontal="center" vertical="center"/>
    </xf>
    <xf numFmtId="177" fontId="33" fillId="5" borderId="3" xfId="1" applyFont="1" applyFill="1" applyBorder="1" applyAlignment="1">
      <alignment horizontal="center" vertical="center" wrapText="1"/>
    </xf>
    <xf numFmtId="177" fontId="28" fillId="6" borderId="3" xfId="1" applyFont="1" applyFill="1" applyBorder="1" applyAlignment="1">
      <alignment horizontal="center" vertical="center" wrapText="1"/>
    </xf>
    <xf numFmtId="187" fontId="33" fillId="5" borderId="3" xfId="0" applyNumberFormat="1" applyFont="1" applyFill="1" applyBorder="1" applyAlignment="1">
      <alignment horizontal="right" vertical="center" wrapText="1"/>
    </xf>
    <xf numFmtId="177" fontId="28" fillId="0" borderId="3" xfId="1" applyFont="1" applyFill="1" applyBorder="1" applyAlignment="1">
      <alignment horizontal="center" vertical="center" wrapText="1"/>
    </xf>
    <xf numFmtId="183" fontId="28" fillId="5" borderId="3" xfId="1" applyNumberFormat="1" applyFont="1" applyFill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center" vertical="center"/>
    </xf>
    <xf numFmtId="49" fontId="33" fillId="7" borderId="3" xfId="0" applyNumberFormat="1" applyFont="1" applyFill="1" applyBorder="1" applyAlignment="1">
      <alignment horizontal="center" vertical="center" wrapText="1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45819</xdr:rowOff>
    </xdr:from>
    <xdr:to>
      <xdr:col>13</xdr:col>
      <xdr:colOff>709083</xdr:colOff>
      <xdr:row>11</xdr:row>
      <xdr:rowOff>222250</xdr:rowOff>
    </xdr:to>
    <xdr:sp macro="" textlink="">
      <xdr:nvSpPr>
        <xdr:cNvPr id="2" name="TextBox 23">
          <a:extLst>
            <a:ext uri="{FF2B5EF4-FFF2-40B4-BE49-F238E27FC236}">
              <a16:creationId xmlns:a16="http://schemas.microsoft.com/office/drawing/2014/main" id="{BAF5D81B-3C0C-48C7-8F8C-ABB4A1CF5589}"/>
            </a:ext>
          </a:extLst>
        </xdr:cNvPr>
        <xdr:cNvSpPr txBox="1">
          <a:spLocks noChangeArrowheads="1"/>
        </xdr:cNvSpPr>
      </xdr:nvSpPr>
      <xdr:spPr bwMode="auto">
        <a:xfrm>
          <a:off x="1386417" y="4003986"/>
          <a:ext cx="6265333" cy="11289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anchor="ctr">
          <a:noAutofit/>
        </a:bodyPr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9pPr>
        </a:lstStyle>
        <a:p>
          <a:pPr eaLnBrk="1" hangingPunct="1">
            <a:spcBef>
              <a:spcPct val="0"/>
            </a:spcBef>
            <a:buFontTx/>
            <a:buNone/>
          </a:pPr>
          <a:r>
            <a:rPr kumimoji="0" lang="ko-KR" altLang="en-US" sz="1200" b="1"/>
            <a:t>공 사 내 용 </a:t>
          </a:r>
          <a:r>
            <a:rPr kumimoji="0" lang="en-US" altLang="ko-KR" sz="1200" b="1"/>
            <a:t>:  </a:t>
          </a:r>
          <a:r>
            <a:rPr kumimoji="0" lang="ko-KR" altLang="en-US" sz="1200" b="1"/>
            <a:t>공동현관 강화도어 보수 공사 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Tx/>
            <a:buNone/>
          </a:pPr>
          <a:r>
            <a:rPr kumimoji="0" lang="en-US" altLang="ko-KR" sz="1200" b="1"/>
            <a:t>  ① 3</a:t>
          </a:r>
          <a:r>
            <a:rPr kumimoji="0" lang="ko-KR" altLang="en-US" sz="1200" b="1"/>
            <a:t>동 </a:t>
          </a:r>
          <a:r>
            <a:rPr kumimoji="0" lang="en-US" altLang="ko-KR" sz="1200" b="1"/>
            <a:t>1</a:t>
          </a:r>
          <a:r>
            <a:rPr kumimoji="0" lang="ko-KR" altLang="en-US" sz="1200" b="1"/>
            <a:t>층 중앙현관 외부</a:t>
          </a:r>
          <a:r>
            <a:rPr kumimoji="0" lang="en-US" altLang="ko-KR" sz="1200" b="1"/>
            <a:t>, </a:t>
          </a:r>
          <a:r>
            <a:rPr kumimoji="0" lang="ko-KR" altLang="en-US" sz="1200" b="1"/>
            <a:t>내부 좌</a:t>
          </a:r>
          <a:r>
            <a:rPr kumimoji="0" lang="en-US" altLang="ko-KR" sz="1200" b="1"/>
            <a:t>, </a:t>
          </a:r>
          <a:r>
            <a:rPr kumimoji="0" lang="ko-KR" altLang="en-US" sz="1200" b="1"/>
            <a:t>우측 강화도어 상부 힌지 탈락</a:t>
          </a:r>
          <a:r>
            <a:rPr kumimoji="0" lang="en-US" altLang="ko-KR" sz="1200" b="1"/>
            <a:t>(</a:t>
          </a:r>
          <a:r>
            <a:rPr kumimoji="0" lang="ko-KR" altLang="en-US" sz="1200" b="1"/>
            <a:t>고정불량</a:t>
          </a:r>
          <a:r>
            <a:rPr kumimoji="0" lang="en-US" altLang="ko-KR" sz="1200" b="1"/>
            <a:t>)-</a:t>
          </a:r>
          <a:r>
            <a:rPr kumimoji="0" lang="ko-KR" altLang="en-US" sz="1200" b="1"/>
            <a:t>소계</a:t>
          </a:r>
          <a:r>
            <a:rPr kumimoji="0" lang="en-US" altLang="ko-KR" sz="1200" b="1"/>
            <a:t> :  4</a:t>
          </a:r>
          <a:r>
            <a:rPr kumimoji="0" lang="ko-KR" altLang="en-US" sz="1200" b="1"/>
            <a:t>개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Tx/>
            <a:buNone/>
          </a:pPr>
          <a:r>
            <a:rPr kumimoji="0" lang="en-US" altLang="ko-KR" sz="1200" b="1"/>
            <a:t>  ② 3</a:t>
          </a:r>
          <a:r>
            <a:rPr kumimoji="0" lang="ko-KR" altLang="en-US" sz="1200" b="1"/>
            <a:t>동 </a:t>
          </a:r>
          <a:r>
            <a:rPr kumimoji="0" lang="en-US" altLang="ko-KR" sz="1200" b="1"/>
            <a:t>1</a:t>
          </a:r>
          <a:r>
            <a:rPr kumimoji="0" lang="ko-KR" altLang="en-US" sz="1200" b="1"/>
            <a:t>층 </a:t>
          </a:r>
          <a:r>
            <a:rPr kumimoji="0" lang="en-US" altLang="ko-KR" sz="1200" b="1"/>
            <a:t>GS</a:t>
          </a:r>
          <a:r>
            <a:rPr kumimoji="0" lang="ko-KR" altLang="en-US" sz="1200" b="1"/>
            <a:t>편의점 방면 외부 좌</a:t>
          </a:r>
          <a:r>
            <a:rPr kumimoji="0" lang="en-US" altLang="ko-KR" sz="1200" b="1"/>
            <a:t>, </a:t>
          </a:r>
          <a:r>
            <a:rPr kumimoji="0" lang="ko-KR" altLang="en-US" sz="1200" b="1"/>
            <a:t>우측 강화도어 상부 </a:t>
          </a:r>
          <a:r>
            <a:rPr kumimoji="0" lang="en-US" altLang="ko-KR" sz="1200" b="1"/>
            <a:t>H</a:t>
          </a:r>
          <a:r>
            <a:rPr kumimoji="0" lang="ko-KR" altLang="en-US" sz="1200" b="1"/>
            <a:t>바 파손</a:t>
          </a:r>
          <a:r>
            <a:rPr kumimoji="0" lang="en-US" altLang="ko-KR" sz="1200" b="1"/>
            <a:t>-------- </a:t>
          </a:r>
          <a:r>
            <a:rPr kumimoji="0" lang="ko-KR" altLang="en-US" sz="1200" b="1"/>
            <a:t>소계</a:t>
          </a:r>
          <a:r>
            <a:rPr kumimoji="0" lang="en-US" altLang="ko-KR" sz="1200" b="1"/>
            <a:t> :  2</a:t>
          </a:r>
          <a:r>
            <a:rPr kumimoji="0" lang="ko-KR" altLang="en-US" sz="1200" b="1"/>
            <a:t>개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Tx/>
            <a:buNone/>
          </a:pPr>
          <a:r>
            <a:rPr kumimoji="0" lang="ko-KR" altLang="en-US" sz="1200" b="1">
              <a:solidFill>
                <a:srgbClr val="0070C0"/>
              </a:solidFill>
            </a:rPr>
            <a:t>       </a:t>
          </a:r>
          <a:r>
            <a:rPr kumimoji="0" lang="en-US" altLang="ko-KR" sz="1200" b="1">
              <a:solidFill>
                <a:srgbClr val="0070C0"/>
              </a:solidFill>
            </a:rPr>
            <a:t>(</a:t>
          </a:r>
          <a:r>
            <a:rPr kumimoji="0" lang="ko-KR" altLang="en-US" sz="1200" b="1">
              <a:solidFill>
                <a:srgbClr val="0070C0"/>
              </a:solidFill>
            </a:rPr>
            <a:t>☞ 기존 잠금장치 </a:t>
          </a:r>
          <a:r>
            <a:rPr kumimoji="0" lang="en-US" altLang="ko-KR" sz="1200" b="1">
              <a:solidFill>
                <a:srgbClr val="0070C0"/>
              </a:solidFill>
            </a:rPr>
            <a:t>: </a:t>
          </a:r>
          <a:r>
            <a:rPr kumimoji="0" lang="ko-KR" altLang="en-US" sz="1200" b="1">
              <a:solidFill>
                <a:srgbClr val="0070C0"/>
              </a:solidFill>
            </a:rPr>
            <a:t>상부 수직 핀형을 수평형 전자석 방식으로 변경 </a:t>
          </a:r>
          <a:r>
            <a:rPr kumimoji="0" lang="en-US" altLang="ko-KR" sz="1200" b="1">
              <a:solidFill>
                <a:srgbClr val="0070C0"/>
              </a:solidFill>
            </a:rPr>
            <a:t>)</a:t>
          </a:r>
          <a:r>
            <a:rPr kumimoji="0" lang="ko-KR" altLang="en-US" sz="1200" b="1">
              <a:solidFill>
                <a:srgbClr val="0070C0"/>
              </a:solidFill>
            </a:rPr>
            <a:t>                                                                                     </a:t>
          </a:r>
          <a:endParaRPr kumimoji="0" lang="en-US" altLang="ko-KR" sz="1200" b="1">
            <a:solidFill>
              <a:srgbClr val="0070C0"/>
            </a:solidFill>
          </a:endParaRPr>
        </a:p>
        <a:p>
          <a:pPr eaLnBrk="1" hangingPunct="1">
            <a:spcBef>
              <a:spcPct val="0"/>
            </a:spcBef>
            <a:buFontTx/>
            <a:buNone/>
          </a:pPr>
          <a:r>
            <a:rPr kumimoji="0" lang="en-US" altLang="ko-KR" sz="1200" b="1">
              <a:solidFill>
                <a:srgbClr val="0070C0"/>
              </a:solidFill>
            </a:rPr>
            <a:t>                                                                                             </a:t>
          </a:r>
          <a:r>
            <a:rPr kumimoji="0" lang="ko-KR" altLang="en-US" sz="1200" b="1"/>
            <a:t>강화도어 합계 </a:t>
          </a:r>
          <a:r>
            <a:rPr kumimoji="0" lang="en-US" altLang="ko-KR" sz="1200" b="1"/>
            <a:t>:  6</a:t>
          </a:r>
          <a:r>
            <a:rPr kumimoji="0" lang="ko-KR" altLang="en-US" sz="1200" b="1"/>
            <a:t>개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Tx/>
            <a:buNone/>
          </a:pPr>
          <a:r>
            <a:rPr kumimoji="0" lang="en-US" altLang="ko-KR" sz="1200" b="1"/>
            <a:t>                          </a:t>
          </a:r>
          <a:endParaRPr kumimoji="0" lang="en-US" altLang="ko-KR" sz="1200" b="1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146540</xdr:colOff>
      <xdr:row>0</xdr:row>
      <xdr:rowOff>106764</xdr:rowOff>
    </xdr:from>
    <xdr:to>
      <xdr:col>4</xdr:col>
      <xdr:colOff>197828</xdr:colOff>
      <xdr:row>32</xdr:row>
      <xdr:rowOff>133978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46540" y="106764"/>
          <a:ext cx="4234961" cy="5419829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461595</xdr:colOff>
      <xdr:row>3</xdr:row>
      <xdr:rowOff>21981</xdr:rowOff>
    </xdr:from>
    <xdr:to>
      <xdr:col>3</xdr:col>
      <xdr:colOff>798634</xdr:colOff>
      <xdr:row>31</xdr:row>
      <xdr:rowOff>30736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AA0626A-A6D1-45C8-BC4C-EEAFF7AA5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595" y="527539"/>
          <a:ext cx="3692770" cy="47272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M18" sqref="M18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35" t="s">
        <v>6</v>
      </c>
      <c r="B2" s="135"/>
      <c r="C2" s="135"/>
      <c r="D2" s="135"/>
      <c r="E2" s="135"/>
      <c r="F2" s="135"/>
      <c r="G2" s="135"/>
      <c r="H2" s="2"/>
    </row>
    <row r="3" spans="1:9" ht="14.25">
      <c r="A3" s="88"/>
      <c r="B3" s="88"/>
      <c r="C3" s="88"/>
      <c r="D3" s="88"/>
      <c r="E3" s="88"/>
      <c r="F3" s="88"/>
      <c r="G3" s="88"/>
      <c r="H3" s="88"/>
    </row>
    <row r="4" spans="1:9" ht="14.25">
      <c r="A4" s="88"/>
      <c r="B4" s="88"/>
      <c r="C4" s="88"/>
      <c r="D4" s="88"/>
      <c r="E4" s="88"/>
      <c r="H4" s="88"/>
    </row>
    <row r="5" spans="1:9" ht="27" customHeight="1">
      <c r="A5" s="89" t="s">
        <v>64</v>
      </c>
      <c r="B5" s="4"/>
      <c r="C5" s="5"/>
      <c r="D5" s="88"/>
      <c r="E5" s="88"/>
      <c r="F5" s="6" t="s">
        <v>38</v>
      </c>
      <c r="G5" s="7" t="s">
        <v>68</v>
      </c>
      <c r="H5" s="88"/>
    </row>
    <row r="6" spans="1:9" ht="27" customHeight="1">
      <c r="A6" s="88"/>
      <c r="B6" s="88"/>
      <c r="C6" s="88"/>
      <c r="D6" s="88"/>
      <c r="E6" s="88"/>
      <c r="F6" s="8" t="s">
        <v>41</v>
      </c>
      <c r="G6" s="9" t="s">
        <v>69</v>
      </c>
      <c r="H6" s="88"/>
    </row>
    <row r="7" spans="1:9" ht="27" customHeight="1">
      <c r="A7" s="138" t="s">
        <v>108</v>
      </c>
      <c r="B7" s="139"/>
      <c r="C7" s="140"/>
      <c r="D7" s="88"/>
      <c r="E7" s="10"/>
      <c r="F7" s="11" t="s">
        <v>42</v>
      </c>
      <c r="G7" s="9" t="s">
        <v>70</v>
      </c>
      <c r="H7" s="88"/>
    </row>
    <row r="8" spans="1:9" ht="27" customHeight="1">
      <c r="A8" s="88"/>
      <c r="B8" s="88"/>
      <c r="C8" s="88"/>
      <c r="D8" s="88"/>
      <c r="E8" s="88"/>
      <c r="F8" s="8" t="s">
        <v>43</v>
      </c>
      <c r="G8" s="9" t="s">
        <v>71</v>
      </c>
      <c r="H8" s="88"/>
    </row>
    <row r="9" spans="1:9" ht="27" customHeight="1">
      <c r="A9" s="138" t="s">
        <v>109</v>
      </c>
      <c r="B9" s="139"/>
      <c r="C9" s="140"/>
      <c r="D9" s="88"/>
      <c r="E9" s="88"/>
      <c r="F9" s="8" t="s">
        <v>44</v>
      </c>
      <c r="G9" s="9" t="s">
        <v>72</v>
      </c>
      <c r="H9" s="88"/>
    </row>
    <row r="10" spans="1:9" ht="27" customHeight="1">
      <c r="A10" s="88"/>
      <c r="B10" s="88"/>
      <c r="C10" s="88"/>
      <c r="D10" s="88"/>
      <c r="E10" s="88"/>
      <c r="F10" s="12" t="s">
        <v>39</v>
      </c>
      <c r="G10" s="13" t="s">
        <v>73</v>
      </c>
      <c r="H10" s="88"/>
      <c r="I10" s="88"/>
    </row>
    <row r="11" spans="1:9" ht="27" customHeight="1">
      <c r="A11" s="136"/>
      <c r="B11" s="137"/>
      <c r="C11" s="137"/>
      <c r="D11" s="88"/>
      <c r="E11" s="14"/>
      <c r="F11" s="15" t="s">
        <v>40</v>
      </c>
      <c r="G11" s="16" t="s">
        <v>74</v>
      </c>
      <c r="H11" s="14"/>
    </row>
    <row r="12" spans="1:9" ht="18.75" thickBot="1">
      <c r="A12" s="17" t="s">
        <v>7</v>
      </c>
      <c r="B12" s="17" t="str">
        <f>NUMBERSTRING(F31,1)</f>
        <v>삼백사만육천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8"/>
      <c r="B13" s="88"/>
      <c r="C13" s="88"/>
      <c r="D13" s="88"/>
      <c r="E13" s="88"/>
      <c r="F13" s="88"/>
      <c r="G13" s="8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'내역서(표준단가)'!O9</f>
        <v>1870880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'내역서(표준단가)'!Q9</f>
        <v>913602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'내역서(표준단가)'!S9+'내역서(표준단가)'!U9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2784482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41112.089999999997</v>
      </c>
      <c r="G21" s="35" t="s">
        <v>26</v>
      </c>
    </row>
    <row r="22" spans="1:7" ht="33" customHeight="1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32387.190900000001</v>
      </c>
      <c r="G22" s="48" t="s">
        <v>28</v>
      </c>
    </row>
    <row r="23" spans="1:7" ht="33" customHeight="1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4194.1412215500004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9227.3801999999996</v>
      </c>
      <c r="G24" s="35" t="s">
        <v>28</v>
      </c>
    </row>
    <row r="25" spans="1:7" ht="33" customHeight="1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32524.231199999998</v>
      </c>
      <c r="G25" s="35" t="s">
        <v>28</v>
      </c>
    </row>
    <row r="26" spans="1:7" ht="33" customHeight="1">
      <c r="A26" s="29"/>
      <c r="B26" s="42" t="s">
        <v>32</v>
      </c>
      <c r="C26" s="49" t="s">
        <v>100</v>
      </c>
      <c r="D26" s="30">
        <v>1</v>
      </c>
      <c r="E26" s="30" t="s">
        <v>25</v>
      </c>
      <c r="F26" s="43">
        <f>(F16+F17)*3.11%</f>
        <v>86597.390199999994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55982.221186077506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262024.64490762749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3046506.6449076273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3046000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90" zoomScaleNormal="90" workbookViewId="0">
      <pane ySplit="4" topLeftCell="A5" activePane="bottomLeft" state="frozen"/>
      <selection pane="bottomLeft" activeCell="Q19" sqref="Q19"/>
    </sheetView>
  </sheetViews>
  <sheetFormatPr defaultColWidth="9" defaultRowHeight="38.1" customHeight="1"/>
  <cols>
    <col min="1" max="1" width="18.25" style="111" customWidth="1"/>
    <col min="2" max="5" width="18.5" style="111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1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5.375" style="66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5.625" style="66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>
      <c r="A1" s="141"/>
      <c r="B1" s="141"/>
      <c r="C1" s="141"/>
      <c r="D1" s="141"/>
      <c r="E1" s="141"/>
      <c r="F1" s="141"/>
      <c r="G1" s="141"/>
      <c r="H1" s="141"/>
      <c r="I1" s="141"/>
      <c r="N1" s="67"/>
      <c r="O1" s="104" t="s">
        <v>78</v>
      </c>
      <c r="Q1" s="104" t="s">
        <v>78</v>
      </c>
      <c r="S1" s="104" t="s">
        <v>78</v>
      </c>
      <c r="U1" s="104" t="s">
        <v>78</v>
      </c>
    </row>
    <row r="2" spans="1:24" ht="19.899999999999999" customHeight="1" thickBot="1">
      <c r="A2" s="141"/>
      <c r="B2" s="141"/>
      <c r="C2" s="141"/>
      <c r="D2" s="141"/>
      <c r="E2" s="141"/>
      <c r="F2" s="141"/>
      <c r="G2" s="141"/>
      <c r="H2" s="141"/>
      <c r="I2" s="141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>
      <c r="A3" s="105"/>
      <c r="B3" s="105"/>
      <c r="C3" s="105"/>
      <c r="D3" s="105"/>
      <c r="E3" s="105"/>
      <c r="F3" s="105" t="s">
        <v>79</v>
      </c>
      <c r="G3" s="106"/>
      <c r="H3" s="106"/>
      <c r="I3" s="106"/>
      <c r="J3" s="152" t="s">
        <v>80</v>
      </c>
      <c r="K3" s="152"/>
      <c r="L3" s="150" t="s">
        <v>51</v>
      </c>
      <c r="M3" s="150" t="s">
        <v>5</v>
      </c>
      <c r="N3" s="146" t="s">
        <v>81</v>
      </c>
      <c r="O3" s="146"/>
      <c r="P3" s="146" t="s">
        <v>82</v>
      </c>
      <c r="Q3" s="146"/>
      <c r="R3" s="147" t="s">
        <v>83</v>
      </c>
      <c r="S3" s="147"/>
      <c r="T3" s="147" t="s">
        <v>84</v>
      </c>
      <c r="U3" s="147"/>
      <c r="V3" s="148" t="s">
        <v>85</v>
      </c>
      <c r="W3" s="144" t="s">
        <v>86</v>
      </c>
      <c r="X3" s="142" t="s">
        <v>45</v>
      </c>
    </row>
    <row r="4" spans="1:24" ht="19.899999999999999" customHeight="1">
      <c r="A4" s="70" t="s">
        <v>87</v>
      </c>
      <c r="B4" s="71"/>
      <c r="C4" s="71"/>
      <c r="D4" s="71"/>
      <c r="E4" s="71"/>
      <c r="F4" s="72" t="s">
        <v>88</v>
      </c>
      <c r="G4" s="72" t="s">
        <v>89</v>
      </c>
      <c r="H4" s="72" t="s">
        <v>90</v>
      </c>
      <c r="I4" s="72" t="s">
        <v>91</v>
      </c>
      <c r="J4" s="102" t="s">
        <v>92</v>
      </c>
      <c r="K4" s="102" t="s">
        <v>93</v>
      </c>
      <c r="L4" s="151"/>
      <c r="M4" s="151"/>
      <c r="N4" s="73" t="s">
        <v>94</v>
      </c>
      <c r="O4" s="74" t="s">
        <v>95</v>
      </c>
      <c r="P4" s="73" t="s">
        <v>96</v>
      </c>
      <c r="Q4" s="74" t="s">
        <v>95</v>
      </c>
      <c r="R4" s="74" t="s">
        <v>97</v>
      </c>
      <c r="S4" s="74" t="s">
        <v>95</v>
      </c>
      <c r="T4" s="74" t="s">
        <v>97</v>
      </c>
      <c r="U4" s="74" t="s">
        <v>95</v>
      </c>
      <c r="V4" s="149"/>
      <c r="W4" s="145"/>
      <c r="X4" s="143"/>
    </row>
    <row r="5" spans="1:24" s="107" customFormat="1" ht="62.25" customHeight="1">
      <c r="A5" s="75" t="str">
        <f t="shared" ref="A5" si="0">F5&amp;G5&amp;H5&amp;I5</f>
        <v>L009</v>
      </c>
      <c r="B5" s="132"/>
      <c r="C5" s="132"/>
      <c r="D5" s="132"/>
      <c r="E5" s="132"/>
      <c r="F5" s="76"/>
      <c r="G5" s="80"/>
      <c r="H5" s="80"/>
      <c r="I5" s="134" t="s">
        <v>105</v>
      </c>
      <c r="J5" s="90" t="s">
        <v>106</v>
      </c>
      <c r="K5" s="90" t="s">
        <v>110</v>
      </c>
      <c r="L5" s="77" t="s">
        <v>99</v>
      </c>
      <c r="M5" s="100">
        <v>2</v>
      </c>
      <c r="N5" s="97"/>
      <c r="O5" s="98">
        <f>M5*N5</f>
        <v>0</v>
      </c>
      <c r="P5" s="96">
        <v>237480</v>
      </c>
      <c r="Q5" s="98">
        <f>M5*P5</f>
        <v>474960</v>
      </c>
      <c r="R5" s="99"/>
      <c r="S5" s="98">
        <f t="shared" ref="S5" si="1">R5*M5*$S$2</f>
        <v>0</v>
      </c>
      <c r="T5" s="99"/>
      <c r="U5" s="98">
        <f t="shared" ref="U5" si="2">T5*M5*$U$2</f>
        <v>0</v>
      </c>
      <c r="V5" s="78">
        <f t="shared" ref="V5" si="3">SUM(O5+Q5)+S5+U5</f>
        <v>474960</v>
      </c>
      <c r="W5" s="81"/>
      <c r="X5" s="79"/>
    </row>
    <row r="6" spans="1:24" s="107" customFormat="1" ht="60" customHeight="1">
      <c r="A6" s="75" t="str">
        <f t="shared" ref="A6" si="4">F6&amp;G6&amp;H6&amp;I6</f>
        <v>L003</v>
      </c>
      <c r="B6" s="132"/>
      <c r="C6" s="132"/>
      <c r="D6" s="132"/>
      <c r="E6" s="132"/>
      <c r="F6" s="76"/>
      <c r="G6" s="80"/>
      <c r="H6" s="80"/>
      <c r="I6" s="91" t="s">
        <v>98</v>
      </c>
      <c r="J6" s="90" t="s">
        <v>106</v>
      </c>
      <c r="K6" s="90" t="s">
        <v>111</v>
      </c>
      <c r="L6" s="77" t="s">
        <v>99</v>
      </c>
      <c r="M6" s="100">
        <v>2</v>
      </c>
      <c r="N6" s="97"/>
      <c r="O6" s="98">
        <f>M6*N6</f>
        <v>0</v>
      </c>
      <c r="P6" s="96">
        <v>219321</v>
      </c>
      <c r="Q6" s="98">
        <f>M6*P6</f>
        <v>438642</v>
      </c>
      <c r="R6" s="99"/>
      <c r="S6" s="98">
        <f t="shared" ref="S6" si="5">R6*M6*$S$2</f>
        <v>0</v>
      </c>
      <c r="T6" s="99"/>
      <c r="U6" s="98">
        <f t="shared" ref="U6" si="6">T6*M6*$U$2</f>
        <v>0</v>
      </c>
      <c r="V6" s="78">
        <f t="shared" ref="V6" si="7">SUM(O6+Q6)+S6+U6</f>
        <v>438642</v>
      </c>
      <c r="W6" s="81"/>
      <c r="X6" s="79"/>
    </row>
    <row r="7" spans="1:24" s="107" customFormat="1" ht="38.1" customHeight="1">
      <c r="A7" s="119" t="str">
        <f t="shared" ref="A7" si="8">F7&amp;G7&amp;H7&amp;I7</f>
        <v>M011200100101701</v>
      </c>
      <c r="B7" s="133"/>
      <c r="C7" s="133"/>
      <c r="D7" s="133"/>
      <c r="E7" s="133"/>
      <c r="F7" s="120"/>
      <c r="G7" s="121"/>
      <c r="H7" s="122" t="s">
        <v>101</v>
      </c>
      <c r="I7" s="123"/>
      <c r="J7" s="124" t="s">
        <v>102</v>
      </c>
      <c r="K7" s="124" t="s">
        <v>103</v>
      </c>
      <c r="L7" s="125" t="s">
        <v>104</v>
      </c>
      <c r="M7" s="100">
        <v>6</v>
      </c>
      <c r="N7" s="126">
        <v>88000</v>
      </c>
      <c r="O7" s="127">
        <f t="shared" ref="O7" si="9">SUM(N7:N7)*M7*$O$2</f>
        <v>440880</v>
      </c>
      <c r="P7" s="128"/>
      <c r="Q7" s="127">
        <f t="shared" ref="Q7" si="10">(P7*M7)*$Q$2</f>
        <v>0</v>
      </c>
      <c r="R7" s="129"/>
      <c r="S7" s="127">
        <f t="shared" ref="S7" si="11">R7*M7*$S$2</f>
        <v>0</v>
      </c>
      <c r="T7" s="129"/>
      <c r="U7" s="127">
        <f t="shared" ref="U7" si="12">T7*M7*$U$2</f>
        <v>0</v>
      </c>
      <c r="V7" s="129">
        <f t="shared" ref="V7" si="13">SUM(O7+Q7)+S7+U7</f>
        <v>440880</v>
      </c>
      <c r="W7" s="130"/>
      <c r="X7" s="131"/>
    </row>
    <row r="8" spans="1:24" s="107" customFormat="1" ht="38.1" customHeight="1">
      <c r="A8" s="75">
        <v>999999</v>
      </c>
      <c r="B8" s="132"/>
      <c r="C8" s="132"/>
      <c r="D8" s="132"/>
      <c r="E8" s="132"/>
      <c r="F8" s="76"/>
      <c r="G8" s="80"/>
      <c r="H8" s="80"/>
      <c r="I8" s="76"/>
      <c r="J8" s="90" t="s">
        <v>107</v>
      </c>
      <c r="K8" s="90" t="s">
        <v>75</v>
      </c>
      <c r="L8" s="77" t="s">
        <v>76</v>
      </c>
      <c r="M8" s="100">
        <v>1</v>
      </c>
      <c r="N8" s="97">
        <v>1430000</v>
      </c>
      <c r="O8" s="98">
        <f>M8*N8</f>
        <v>1430000</v>
      </c>
      <c r="P8" s="96"/>
      <c r="Q8" s="98">
        <f t="shared" ref="Q8" si="14">(P8*M8)*$Q$2</f>
        <v>0</v>
      </c>
      <c r="R8" s="99"/>
      <c r="S8" s="98">
        <f t="shared" ref="S8" si="15">R8*M8*$S$2</f>
        <v>0</v>
      </c>
      <c r="T8" s="99"/>
      <c r="U8" s="98">
        <f t="shared" ref="U8" si="16">T8*M8*$U$2</f>
        <v>0</v>
      </c>
      <c r="V8" s="78">
        <f t="shared" ref="V8" si="17">SUM(O8+Q8)+S8+U8</f>
        <v>1430000</v>
      </c>
      <c r="W8" s="81"/>
      <c r="X8" s="79"/>
    </row>
    <row r="9" spans="1:24" s="109" customFormat="1" ht="38.1" customHeight="1">
      <c r="A9" s="108"/>
      <c r="B9" s="108"/>
      <c r="C9" s="108"/>
      <c r="D9" s="108"/>
      <c r="E9" s="108"/>
      <c r="J9" s="103"/>
      <c r="K9" s="103"/>
      <c r="O9" s="113">
        <f>SUM(O5:O8)</f>
        <v>1870880</v>
      </c>
      <c r="Q9" s="113">
        <f>SUM(Q5:Q8)</f>
        <v>913602</v>
      </c>
      <c r="S9" s="110">
        <f>SUM(S5:S8)</f>
        <v>0</v>
      </c>
      <c r="U9" s="110">
        <f>SUM(U5:U8)</f>
        <v>0</v>
      </c>
      <c r="V9" s="114">
        <f>SUM(V5:V8)</f>
        <v>2784482</v>
      </c>
      <c r="W9" s="82"/>
    </row>
    <row r="13" spans="1:24" ht="38.1" customHeight="1">
      <c r="Q13" s="11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="130" zoomScaleNormal="130" zoomScaleSheetLayoutView="85" workbookViewId="0">
      <selection activeCell="G22" sqref="G21:G22"/>
    </sheetView>
  </sheetViews>
  <sheetFormatPr defaultColWidth="9" defaultRowHeight="14.25"/>
  <cols>
    <col min="1" max="1" width="11.5" style="92" bestFit="1" customWidth="1"/>
    <col min="2" max="2" width="17.875" style="92" customWidth="1"/>
    <col min="3" max="3" width="14.625" style="92" customWidth="1"/>
    <col min="4" max="4" width="10.875" style="92" customWidth="1"/>
    <col min="5" max="5" width="12" style="92" customWidth="1"/>
    <col min="6" max="6" width="10.625" style="92" customWidth="1"/>
    <col min="7" max="7" width="13.625" style="93" customWidth="1"/>
    <col min="8" max="8" width="9.625" style="92" customWidth="1"/>
    <col min="9" max="9" width="13.625" style="92" customWidth="1"/>
    <col min="10" max="10" width="12.75" style="92" customWidth="1"/>
    <col min="11" max="11" width="9.25" style="92" customWidth="1"/>
    <col min="12" max="12" width="13.625" style="93" customWidth="1"/>
    <col min="13" max="13" width="9.625" style="92" customWidth="1"/>
    <col min="14" max="14" width="13.625" style="93" customWidth="1"/>
    <col min="15" max="15" width="19.75" style="94" bestFit="1" customWidth="1"/>
    <col min="16" max="16" width="12.25" style="94" bestFit="1" customWidth="1"/>
    <col min="17" max="16384" width="9" style="92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G20" sqref="G20"/>
    </sheetView>
  </sheetViews>
  <sheetFormatPr defaultColWidth="9" defaultRowHeight="14.25"/>
  <cols>
    <col min="1" max="1" width="11.125" style="95" customWidth="1"/>
    <col min="2" max="2" width="13.375" style="95" customWidth="1"/>
    <col min="3" max="3" width="38.75" style="95" customWidth="1"/>
    <col min="4" max="4" width="33" style="95" customWidth="1"/>
    <col min="5" max="5" width="5" style="95" customWidth="1"/>
    <col min="6" max="6" width="6.25" style="95" customWidth="1"/>
    <col min="7" max="7" width="10" style="95" customWidth="1"/>
    <col min="8" max="8" width="11.875" style="95" customWidth="1"/>
    <col min="9" max="9" width="10" style="95" customWidth="1"/>
    <col min="10" max="10" width="11.875" style="95" customWidth="1"/>
    <col min="11" max="11" width="10" style="95" customWidth="1"/>
    <col min="12" max="12" width="11.875" style="95" customWidth="1"/>
    <col min="13" max="13" width="10" style="95" customWidth="1"/>
    <col min="14" max="14" width="11.875" style="95" customWidth="1"/>
    <col min="15" max="15" width="9.125" style="95" customWidth="1"/>
    <col min="16" max="16" width="11.5" style="95" customWidth="1"/>
    <col min="17" max="17" width="11.75" style="95" customWidth="1"/>
    <col min="18" max="18" width="17.875" style="95" customWidth="1"/>
    <col min="19" max="16384" width="9" style="95"/>
  </cols>
  <sheetData>
    <row r="1" spans="1:18" ht="18" customHeight="1">
      <c r="A1" s="116" t="s">
        <v>47</v>
      </c>
      <c r="B1" s="85" t="s">
        <v>48</v>
      </c>
      <c r="C1" s="85" t="s">
        <v>49</v>
      </c>
      <c r="D1" s="85" t="s">
        <v>50</v>
      </c>
      <c r="E1" s="85" t="s">
        <v>51</v>
      </c>
      <c r="F1" s="85" t="s">
        <v>5</v>
      </c>
      <c r="G1" s="85" t="s">
        <v>52</v>
      </c>
      <c r="H1" s="84" t="s">
        <v>53</v>
      </c>
      <c r="I1" s="84" t="s">
        <v>54</v>
      </c>
      <c r="J1" s="84" t="s">
        <v>55</v>
      </c>
      <c r="K1" s="84" t="s">
        <v>56</v>
      </c>
      <c r="L1" s="84" t="s">
        <v>57</v>
      </c>
      <c r="M1" s="84" t="s">
        <v>58</v>
      </c>
      <c r="N1" s="84" t="s">
        <v>59</v>
      </c>
      <c r="O1" s="84" t="s">
        <v>60</v>
      </c>
      <c r="P1" s="84" t="s">
        <v>61</v>
      </c>
      <c r="Q1" s="84" t="s">
        <v>62</v>
      </c>
      <c r="R1" s="84" t="s">
        <v>63</v>
      </c>
    </row>
    <row r="2" spans="1:18">
      <c r="A2" s="117">
        <v>999999</v>
      </c>
      <c r="B2" s="117" t="s">
        <v>77</v>
      </c>
      <c r="C2" s="90" t="s">
        <v>107</v>
      </c>
      <c r="D2" s="90" t="s">
        <v>75</v>
      </c>
      <c r="E2" s="77" t="s">
        <v>76</v>
      </c>
      <c r="F2" s="100">
        <v>1</v>
      </c>
      <c r="G2" s="118">
        <v>1430000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4"/>
  <sheetViews>
    <sheetView showGridLines="0" zoomScaleNormal="100" workbookViewId="0">
      <selection activeCell="J28" sqref="J28"/>
    </sheetView>
  </sheetViews>
  <sheetFormatPr defaultColWidth="9"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5"/>
  </cols>
  <sheetData>
    <row r="1" spans="1:7" ht="18" customHeight="1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66"/>
    </row>
    <row r="2" spans="1:7">
      <c r="A2" s="86" t="str">
        <f>'내역서(표준단가)'!A5</f>
        <v>L009</v>
      </c>
      <c r="B2" s="87">
        <f>'내역서(표준단가)'!F5</f>
        <v>0</v>
      </c>
      <c r="C2" s="87">
        <f>'내역서(표준단가)'!G5</f>
        <v>0</v>
      </c>
      <c r="D2" s="87">
        <f>'내역서(표준단가)'!H5</f>
        <v>0</v>
      </c>
      <c r="E2" s="87" t="str">
        <f>'내역서(표준단가)'!I5</f>
        <v>L009</v>
      </c>
      <c r="F2" s="115">
        <f>'내역서(표준단가)'!M5</f>
        <v>2</v>
      </c>
      <c r="G2" s="66"/>
    </row>
    <row r="3" spans="1:7">
      <c r="A3" s="86" t="str">
        <f>'내역서(표준단가)'!A6</f>
        <v>L003</v>
      </c>
      <c r="B3" s="87">
        <f>'내역서(표준단가)'!F6</f>
        <v>0</v>
      </c>
      <c r="C3" s="87">
        <f>'내역서(표준단가)'!G6</f>
        <v>0</v>
      </c>
      <c r="D3" s="87">
        <f>'내역서(표준단가)'!H6</f>
        <v>0</v>
      </c>
      <c r="E3" s="87" t="str">
        <f>'내역서(표준단가)'!I6</f>
        <v>L003</v>
      </c>
      <c r="F3" s="115">
        <f>'내역서(표준단가)'!M6</f>
        <v>2</v>
      </c>
    </row>
    <row r="4" spans="1:7">
      <c r="A4" s="86" t="str">
        <f>'내역서(표준단가)'!A7</f>
        <v>M011200100101701</v>
      </c>
      <c r="B4" s="87">
        <f>'내역서(표준단가)'!F7</f>
        <v>0</v>
      </c>
      <c r="C4" s="87">
        <f>'내역서(표준단가)'!G7</f>
        <v>0</v>
      </c>
      <c r="D4" s="87" t="str">
        <f>'내역서(표준단가)'!H7</f>
        <v>M011200100101701</v>
      </c>
      <c r="E4" s="87">
        <f>'내역서(표준단가)'!I7</f>
        <v>0</v>
      </c>
      <c r="F4" s="115">
        <f>'내역서(표준단가)'!M7</f>
        <v>6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2025-12-25T23:01:42Z</dcterms:modified>
</cp:coreProperties>
</file>
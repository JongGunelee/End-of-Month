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124\03 당사안\"/>
    </mc:Choice>
  </mc:AlternateContent>
  <xr:revisionPtr revIDLastSave="0" documentId="13_ncr:1_{F62B3D7F-C026-4AE6-B830-72A31FA86E6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 l="1"/>
  <c r="E2" i="1"/>
  <c r="D2" i="1"/>
  <c r="C2" i="1"/>
  <c r="B2" i="1"/>
  <c r="L8" i="9"/>
  <c r="J8" i="9"/>
  <c r="D8" i="9"/>
  <c r="H7" i="9"/>
  <c r="F7" i="9"/>
  <c r="F6" i="9"/>
  <c r="N6" i="9" s="1"/>
  <c r="H5" i="9"/>
  <c r="N5" i="9" s="1"/>
  <c r="N7" i="9" l="1"/>
  <c r="N8" i="9" s="1"/>
  <c r="H8" i="9"/>
  <c r="F8" i="9"/>
  <c r="A8" i="4"/>
  <c r="A5" i="1" s="1"/>
  <c r="A7" i="4"/>
  <c r="A4" i="1" s="1"/>
  <c r="A6" i="4"/>
  <c r="A3" i="1" s="1"/>
  <c r="A5" i="4"/>
  <c r="A2" i="1" s="1"/>
  <c r="U7" i="4" l="1"/>
  <c r="S7" i="4"/>
  <c r="Q7" i="4"/>
  <c r="O7" i="4"/>
  <c r="A9" i="4"/>
  <c r="V7" i="4" l="1"/>
  <c r="U8" i="4"/>
  <c r="S8" i="4"/>
  <c r="Q8" i="4"/>
  <c r="O8" i="4"/>
  <c r="U6" i="4"/>
  <c r="S6" i="4"/>
  <c r="Q6" i="4"/>
  <c r="O6" i="4"/>
  <c r="U5" i="4"/>
  <c r="S5" i="4"/>
  <c r="Q5" i="4"/>
  <c r="O5" i="4"/>
  <c r="V6" i="4" l="1"/>
  <c r="V5" i="4"/>
  <c r="V8" i="4"/>
  <c r="U9" i="4" l="1"/>
  <c r="S9" i="4"/>
  <c r="Q9" i="4"/>
  <c r="O9" i="4"/>
  <c r="V9" i="4" l="1"/>
  <c r="U10" i="4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<sst xmlns="http://schemas.openxmlformats.org/spreadsheetml/2006/main" count="146" uniqueCount="118">
  <si>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</si>
  <si>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</si>
  <si>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</si>
  <si>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</si>
  <si>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</si>
  <si>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</si>
  <si>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</si>
  <si>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</si>
  <si>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</si>
  <si>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</si>
  <si>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</si>
  <si>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</si>
  <si>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</si>
  <si>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</si>
  <si>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</si>
  <si>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</si>
  <si>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</si>
  <si>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</si>
  <si>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</si>
  <si>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</si>
  <si>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</si>
  <si>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</si>
  <si>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</si>
  <si>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</si>
  <si>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</si>
  <si>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</si>
  <si>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</si>
  <si>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</si>
  <si>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</si>
  <si>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</si>
  <si>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</si>
  <si>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</si>
  <si>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</si>
  <si>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</si>
  <si>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</si>
  <si>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</si>
  <si>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 (재료비+노무비)*2.93%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</si>
  <si>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</si>
  <si>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</si>
  <si>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</si>
  <si>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</si>
  <si>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</si>
  <si>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</si>
  <si>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</si>
  <si>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</si>
  <si>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</si>
  <si>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</si>
  <si>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</si>
  <si>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</si>
  <si>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</si>
  <si>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</si>
  <si>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</si>
  <si>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</si>
  <si>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</si>
  <si>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</si>
  <si>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</si>
  <si>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</si>
  <si>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</si>
  <si>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</si>
  <si>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</si>
  <si>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 xml:space="preserve"> 내   역   서</t>
    <phoneticPr fontId="14" type="noConversion"/>
  </si>
  <si>
    <t>품        명</t>
    <phoneticPr fontId="14" type="noConversion"/>
  </si>
  <si>
    <t>규      격</t>
  </si>
  <si>
    <t>수 량</t>
    <phoneticPr fontId="14" type="noConversion"/>
  </si>
  <si>
    <t xml:space="preserve">재    료   비   </t>
    <phoneticPr fontId="14" type="noConversion"/>
  </si>
  <si>
    <t>노   무   비</t>
    <phoneticPr fontId="14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</si>
  <si>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</si>
  <si>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</si>
  <si>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4" type="noConversion"/>
  </si>
  <si>
    <t>비  고</t>
    <phoneticPr fontId="14" type="noConversion"/>
  </si>
  <si>
    <t>단   가</t>
    <phoneticPr fontId="14" type="noConversion"/>
  </si>
  <si>
    <t>금     액</t>
    <phoneticPr fontId="14" type="noConversion"/>
  </si>
  <si>
    <t>금    액</t>
    <phoneticPr fontId="14" type="noConversion"/>
  </si>
  <si>
    <t>㎡</t>
    <phoneticPr fontId="14" type="noConversion"/>
  </si>
  <si>
    <t>접착제(부분접착)</t>
    <phoneticPr fontId="8" type="noConversion"/>
  </si>
  <si>
    <t>kg</t>
    <phoneticPr fontId="8" type="noConversion"/>
  </si>
  <si>
    <t>㎡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</si>
  <si>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</si>
  <si>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</si>
  <si>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</si>
  <si>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</si>
  <si>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</si>
  <si>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</si>
  <si>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M010602702400101</t>
  </si>
  <si>
    <t>IPALG 조인트용 접착제(TB-100)</t>
  </si>
  <si>
    <t>시트용 접착제,</t>
  </si>
  <si>
    <t>㎏</t>
  </si>
  <si>
    <t>M012003400500101</t>
  </si>
  <si>
    <t>진양륨펫트 72″</t>
  </si>
  <si>
    <t>주택용 바닥재 1.6T×1,830㎜</t>
  </si>
  <si>
    <t>LX하우시스, 청맥 1.8T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</si>
  <si>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</si>
  <si>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</si>
  <si>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</si>
  <si>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</si>
  <si>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</si>
  <si>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</si>
  <si>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</si>
  <si>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</si>
  <si>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</si>
  <si>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</si>
  <si>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</si>
  <si>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</si>
  <si>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</si>
  <si>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</si>
  <si>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</si>
  <si>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</si>
  <si>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</si>
  <si>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</si>
  <si>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</si>
  <si>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</si>
  <si>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거실 바닥, 철거 13m*1.8=23.4</t>
    <phoneticPr fontId="14" type="noConversion"/>
  </si>
  <si>
    <t>거실 바닥, 13m*1.8=23.4</t>
    <phoneticPr fontId="14" type="noConversion"/>
  </si>
  <si>
    <t xml:space="preserve"> 공사명 : 사택 9-501 누수에 의한 바닥재 교체</t>
    <phoneticPr fontId="12" type="noConversion"/>
  </si>
  <si>
    <t xml:space="preserve"> 견적일 : 2025년  01월  22일</t>
    <phoneticPr fontId="12" type="noConversion"/>
  </si>
  <si>
    <t>.바닥재</t>
    <phoneticPr fontId="14" type="noConversion"/>
  </si>
  <si>
    <t>사택 9-501 누수에 의한 바닥재 교체(가구,가전 이동 및 청소포함)</t>
    <phoneticPr fontId="14" type="noConversion"/>
  </si>
  <si>
    <t>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</si>
</sst>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2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0" xfId="3" applyFont="1"/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22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vertical="center"/>
    </xf>
    <xf numFmtId="0" fontId="24" fillId="5" borderId="15" xfId="6" applyFont="1" applyFill="1" applyBorder="1" applyAlignment="1">
      <alignment horizontal="center" vertical="center"/>
    </xf>
    <xf numFmtId="178" fontId="24" fillId="5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3" fillId="0" borderId="0" xfId="10" applyFont="1"/>
    <xf numFmtId="0" fontId="26" fillId="0" borderId="0" xfId="0" applyFont="1">
      <alignment vertical="center"/>
    </xf>
    <xf numFmtId="181" fontId="22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177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83" fontId="20" fillId="5" borderId="3" xfId="1" applyNumberFormat="1" applyFont="1" applyFill="1" applyBorder="1" applyAlignment="1">
      <alignment horizontal="center" vertical="center"/>
    </xf>
    <xf numFmtId="0" fontId="20" fillId="0" borderId="3" xfId="0" applyFont="1" applyBorder="1">
      <alignment vertical="center"/>
    </xf>
    <xf numFmtId="177" fontId="20" fillId="6" borderId="3" xfId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0" fillId="5" borderId="3" xfId="0" applyFont="1" applyFill="1" applyBorder="1">
      <alignment vertical="center"/>
    </xf>
    <xf numFmtId="184" fontId="20" fillId="5" borderId="3" xfId="0" applyNumberFormat="1" applyFont="1" applyFill="1" applyBorder="1" applyAlignment="1">
      <alignment horizontal="right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9" fontId="27" fillId="0" borderId="3" xfId="0" applyNumberFormat="1" applyFont="1" applyBorder="1" applyAlignment="1">
      <alignment horizontal="center" vertical="center"/>
    </xf>
    <xf numFmtId="0" fontId="24" fillId="12" borderId="0" xfId="0" applyFont="1" applyFill="1">
      <alignment vertical="center"/>
    </xf>
    <xf numFmtId="0" fontId="24" fillId="0" borderId="0" xfId="0" applyFont="1">
      <alignment vertical="center"/>
    </xf>
    <xf numFmtId="177" fontId="13" fillId="12" borderId="0" xfId="0" applyNumberFormat="1" applyFont="1" applyFill="1">
      <alignment vertical="center"/>
    </xf>
    <xf numFmtId="0" fontId="13" fillId="0" borderId="0" xfId="0" applyFont="1">
      <alignment vertical="center"/>
    </xf>
    <xf numFmtId="177" fontId="13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0" fontId="22" fillId="0" borderId="0" xfId="0" applyFont="1">
      <alignment vertical="center"/>
    </xf>
    <xf numFmtId="0" fontId="28" fillId="0" borderId="34" xfId="15" quotePrefix="1" applyFont="1" applyBorder="1" applyAlignment="1">
      <alignment horizontal="center" vertical="center"/>
    </xf>
    <xf numFmtId="185" fontId="28" fillId="0" borderId="34" xfId="15" quotePrefix="1" applyNumberFormat="1" applyFont="1" applyBorder="1" applyAlignment="1">
      <alignment horizontal="center" vertical="center"/>
    </xf>
    <xf numFmtId="177" fontId="27" fillId="0" borderId="34" xfId="13" applyFont="1" applyBorder="1" applyAlignment="1">
      <alignment vertical="center"/>
    </xf>
    <xf numFmtId="187" fontId="27" fillId="0" borderId="34" xfId="13" applyNumberFormat="1" applyFont="1" applyBorder="1" applyAlignment="1">
      <alignment horizontal="center" vertical="center"/>
    </xf>
    <xf numFmtId="177" fontId="27" fillId="0" borderId="34" xfId="13" applyFont="1" applyBorder="1" applyAlignment="1">
      <alignment horizontal="center" vertical="center"/>
    </xf>
    <xf numFmtId="185" fontId="27" fillId="5" borderId="34" xfId="13" applyNumberFormat="1" applyFont="1" applyFill="1" applyBorder="1" applyAlignment="1">
      <alignment horizontal="right" vertical="center" wrapText="1"/>
    </xf>
    <xf numFmtId="185" fontId="27" fillId="0" borderId="34" xfId="13" applyNumberFormat="1" applyFont="1" applyBorder="1" applyAlignment="1">
      <alignment horizontal="right" vertical="center" wrapText="1"/>
    </xf>
    <xf numFmtId="188" fontId="27" fillId="10" borderId="34" xfId="13" applyNumberFormat="1" applyFont="1" applyFill="1" applyBorder="1" applyAlignment="1">
      <alignment horizontal="center" vertical="center"/>
    </xf>
    <xf numFmtId="187" fontId="27" fillId="11" borderId="34" xfId="13" applyNumberFormat="1" applyFont="1" applyFill="1" applyBorder="1" applyAlignment="1">
      <alignment horizontal="center" vertical="center"/>
    </xf>
    <xf numFmtId="185" fontId="28" fillId="11" borderId="34" xfId="13" applyNumberFormat="1" applyFont="1" applyFill="1" applyBorder="1" applyAlignment="1">
      <alignment horizontal="right" vertical="center" wrapText="1"/>
    </xf>
    <xf numFmtId="185" fontId="27" fillId="0" borderId="34" xfId="13" applyNumberFormat="1" applyFont="1" applyBorder="1" applyAlignment="1">
      <alignment horizontal="center" vertical="center" wrapText="1"/>
    </xf>
    <xf numFmtId="185" fontId="28" fillId="11" borderId="34" xfId="13" applyNumberFormat="1" applyFont="1" applyFill="1" applyBorder="1" applyAlignment="1">
      <alignment horizontal="center" vertical="center" wrapText="1"/>
    </xf>
    <xf numFmtId="0" fontId="22" fillId="0" borderId="0" xfId="15" applyFont="1">
      <alignment vertical="center"/>
    </xf>
    <xf numFmtId="189" fontId="20" fillId="5" borderId="3" xfId="0" applyNumberFormat="1" applyFont="1" applyFill="1" applyBorder="1" applyAlignment="1">
      <alignment horizontal="right" vertical="center" wrapText="1"/>
    </xf>
    <xf numFmtId="49" fontId="20" fillId="7" borderId="3" xfId="0" applyNumberFormat="1" applyFont="1" applyFill="1" applyBorder="1" applyAlignment="1">
      <alignment horizontal="center" vertical="center"/>
    </xf>
    <xf numFmtId="177" fontId="20" fillId="5" borderId="3" xfId="1" applyFont="1" applyFill="1" applyBorder="1" applyAlignment="1">
      <alignment horizontal="center" vertical="center" wrapText="1"/>
    </xf>
    <xf numFmtId="0" fontId="20" fillId="0" borderId="3" xfId="3" applyFont="1" applyBorder="1" applyAlignment="1">
      <alignment horizontal="left" vertical="center" shrinkToFit="1"/>
    </xf>
    <xf numFmtId="0" fontId="20" fillId="0" borderId="3" xfId="3" applyFont="1" applyBorder="1" applyAlignment="1">
      <alignment horizontal="center" vertical="center"/>
    </xf>
    <xf numFmtId="183" fontId="20" fillId="0" borderId="3" xfId="1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11" borderId="34" xfId="13" applyNumberFormat="1" applyFont="1" applyFill="1" applyBorder="1" applyAlignment="1">
      <alignment horizontal="center" vertical="center"/>
    </xf>
    <xf numFmtId="186" fontId="25" fillId="0" borderId="36" xfId="13" applyNumberFormat="1" applyFont="1" applyBorder="1" applyAlignment="1">
      <alignment vertical="center"/>
    </xf>
    <xf numFmtId="186" fontId="28" fillId="0" borderId="37" xfId="13" applyNumberFormat="1" applyFont="1" applyBorder="1" applyAlignment="1">
      <alignment vertical="center"/>
    </xf>
    <xf numFmtId="0" fontId="19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7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vertical="center"/>
    </xf>
    <xf numFmtId="0" fontId="20" fillId="10" borderId="39" xfId="13" applyNumberFormat="1" applyFont="1" applyFill="1" applyBorder="1" applyAlignment="1">
      <alignment vertical="center"/>
    </xf>
    <xf numFmtId="185" fontId="20" fillId="0" borderId="35" xfId="13" applyNumberFormat="1" applyFont="1" applyBorder="1" applyAlignment="1">
      <alignment horizontal="center" vertical="center" wrapText="1"/>
    </xf>
    <xf numFmtId="185" fontId="20" fillId="0" borderId="39" xfId="13" applyNumberFormat="1" applyFont="1" applyBorder="1" applyAlignment="1">
      <alignment horizontal="center" vertical="center" wrapText="1"/>
    </xf>
    <xf numFmtId="0" fontId="25" fillId="0" borderId="33" xfId="15" applyFont="1" applyBorder="1" applyAlignment="1">
      <alignment horizontal="center" vertical="center"/>
    </xf>
    <xf numFmtId="0" fontId="23" fillId="0" borderId="33" xfId="15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8" fillId="0" borderId="34" xfId="15" quotePrefix="1" applyFont="1" applyBorder="1" applyAlignment="1">
      <alignment horizontal="center" vertical="center"/>
    </xf>
    <xf numFmtId="0" fontId="28" fillId="0" borderId="35" xfId="15" quotePrefix="1" applyFont="1" applyBorder="1" applyAlignment="1">
      <alignment horizontal="center" vertical="center"/>
    </xf>
    <xf numFmtId="0" fontId="28" fillId="0" borderId="38" xfId="15" quotePrefix="1" applyFont="1" applyBorder="1" applyAlignment="1">
      <alignment horizontal="center" vertical="center"/>
    </xf>
    <xf numFmtId="0" fontId="28" fillId="0" borderId="34" xfId="15" applyFont="1" applyBorder="1" applyAlignment="1">
      <alignment horizontal="center" vertical="center"/>
    </xf>
    <xf numFmtId="0" fontId="28" fillId="0" borderId="36" xfId="15" quotePrefix="1" applyFont="1" applyBorder="1" applyAlignment="1">
      <alignment horizontal="center" vertical="center"/>
    </xf>
    <xf numFmtId="0" fontId="28" fillId="0" borderId="37" xfId="15" quotePrefix="1" applyFont="1" applyBorder="1" applyAlignment="1">
      <alignment horizontal="center" vertical="center"/>
    </xf>
    <xf numFmtId="0" fontId="28" fillId="0" borderId="35" xfId="15" applyFont="1" applyBorder="1" applyAlignment="1">
      <alignment horizontal="center" vertical="center"/>
    </xf>
    <xf numFmtId="0" fontId="28" fillId="0" borderId="38" xfId="15" applyFont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" xfId="19" xr:uid="{D170EE48-8BA6-4CE3-8BB3-E7455B1085A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6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32" t="s">
        <v>6</v>
      </c>
      <c r="B2" s="132"/>
      <c r="C2" s="132"/>
      <c r="D2" s="132"/>
      <c r="E2" s="132"/>
      <c r="F2" s="132"/>
      <c r="G2" s="132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49</v>
      </c>
      <c r="B5" s="7"/>
      <c r="C5" s="8"/>
      <c r="D5" s="5"/>
      <c r="E5" s="5"/>
      <c r="F5" s="9" t="s">
        <v>39</v>
      </c>
      <c r="G5" s="10" t="s">
        <v>53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54</v>
      </c>
      <c r="H6" s="5"/>
    </row>
    <row r="7" spans="1:9" ht="27" customHeight="1" x14ac:dyDescent="0.25">
      <c r="A7" s="135" t="s">
        <v>113</v>
      </c>
      <c r="B7" s="136"/>
      <c r="C7" s="137"/>
      <c r="D7" s="5"/>
      <c r="E7" s="13"/>
      <c r="F7" s="14" t="s">
        <v>43</v>
      </c>
      <c r="G7" s="12" t="s">
        <v>55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56</v>
      </c>
      <c r="H8" s="5"/>
    </row>
    <row r="9" spans="1:9" ht="27" customHeight="1" x14ac:dyDescent="0.25">
      <c r="A9" s="135" t="s">
        <v>114</v>
      </c>
      <c r="B9" s="136"/>
      <c r="C9" s="137"/>
      <c r="D9" s="5"/>
      <c r="E9" s="5"/>
      <c r="F9" s="11" t="s">
        <v>45</v>
      </c>
      <c r="G9" s="12" t="s">
        <v>57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58</v>
      </c>
      <c r="H10" s="5"/>
      <c r="I10" s="5"/>
    </row>
    <row r="11" spans="1:9" ht="27" customHeight="1" x14ac:dyDescent="0.25">
      <c r="A11" s="133"/>
      <c r="B11" s="134"/>
      <c r="C11" s="134"/>
      <c r="D11" s="5"/>
      <c r="E11" s="17"/>
      <c r="F11" s="18" t="s">
        <v>41</v>
      </c>
      <c r="G11" s="19" t="s">
        <v>59</v>
      </c>
      <c r="H11" s="17"/>
    </row>
    <row r="12" spans="1:9" ht="18.75" thickBot="1" x14ac:dyDescent="0.3">
      <c r="A12" s="20" t="s">
        <v>7</v>
      </c>
      <c r="B12" s="20" t="str">
        <f>NUMBERSTRING(F31,1)</f>
        <v>오십이만칠천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'내역서(표준단가)'!O10</f>
        <v>300600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'내역서(표준단가)'!Q10</f>
        <v>178760.13999999998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'내역서(표준단가)'!S10+'내역서(표준단가)'!U10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479360.14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8044.2062999999989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50</v>
      </c>
      <c r="D22" s="49">
        <v>1</v>
      </c>
      <c r="E22" s="49" t="s">
        <v>25</v>
      </c>
      <c r="F22" s="50">
        <f>F17*3.545%</f>
        <v>6337.0469629999998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51</v>
      </c>
      <c r="D23" s="33">
        <v>1</v>
      </c>
      <c r="E23" s="33" t="s">
        <v>25</v>
      </c>
      <c r="F23" s="46">
        <f>F22*12.95%</f>
        <v>820.64758170849996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1805.4774139999997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52</v>
      </c>
      <c r="D25" s="33">
        <v>1</v>
      </c>
      <c r="E25" s="33" t="s">
        <v>25</v>
      </c>
      <c r="F25" s="46">
        <f>F17*3.56%</f>
        <v>6363.860983999999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14045.252102000002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10808.831567235424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48225.32291194392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527585.46291194391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527000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selection activeCell="O29" sqref="O29"/>
    </sheetView>
  </sheetViews>
  <sheetFormatPr defaultColWidth="9" defaultRowHeight="12.75" x14ac:dyDescent="0.3"/>
  <cols>
    <col min="1" max="1" width="18.25" style="103" customWidth="1"/>
    <col min="2" max="5" width="18.25" style="103" hidden="1" customWidth="1"/>
    <col min="6" max="9" width="18.25" style="71" hidden="1" customWidth="1"/>
    <col min="10" max="10" width="39.625" style="71" customWidth="1"/>
    <col min="11" max="11" width="26.375" style="71" bestFit="1" customWidth="1"/>
    <col min="12" max="12" width="5.25" style="71" bestFit="1" customWidth="1"/>
    <col min="13" max="13" width="8.125" style="71" bestFit="1" customWidth="1"/>
    <col min="14" max="14" width="10.25" style="71" bestFit="1" customWidth="1"/>
    <col min="15" max="15" width="15.5" style="71" bestFit="1" customWidth="1"/>
    <col min="16" max="16" width="10.25" style="71" bestFit="1" customWidth="1"/>
    <col min="17" max="17" width="15.5" style="71" bestFit="1" customWidth="1"/>
    <col min="18" max="18" width="6.375" style="71" hidden="1" customWidth="1"/>
    <col min="19" max="19" width="8.5" style="71" hidden="1" customWidth="1"/>
    <col min="20" max="20" width="6.375" style="71" hidden="1" customWidth="1"/>
    <col min="21" max="21" width="8.5" style="71" hidden="1" customWidth="1"/>
    <col min="22" max="22" width="15.5" style="71" bestFit="1" customWidth="1"/>
    <col min="23" max="23" width="10.625" style="72" bestFit="1" customWidth="1"/>
    <col min="24" max="24" width="8.5" style="71" bestFit="1" customWidth="1"/>
    <col min="25" max="16384" width="9" style="71"/>
  </cols>
  <sheetData>
    <row r="1" spans="1:24" ht="19.899999999999999" customHeight="1" x14ac:dyDescent="0.3">
      <c r="A1" s="138"/>
      <c r="B1" s="138"/>
      <c r="C1" s="138"/>
      <c r="D1" s="138"/>
      <c r="E1" s="138"/>
      <c r="F1" s="138"/>
      <c r="G1" s="138"/>
      <c r="H1" s="138"/>
      <c r="I1" s="138"/>
      <c r="N1" s="72"/>
      <c r="O1" s="70" t="s">
        <v>91</v>
      </c>
      <c r="Q1" s="70" t="s">
        <v>91</v>
      </c>
      <c r="S1" s="70" t="s">
        <v>91</v>
      </c>
      <c r="U1" s="70" t="s">
        <v>91</v>
      </c>
    </row>
    <row r="2" spans="1:24" ht="19.899999999999999" customHeight="1" thickBot="1" x14ac:dyDescent="0.35">
      <c r="A2" s="138"/>
      <c r="B2" s="138"/>
      <c r="C2" s="138"/>
      <c r="D2" s="138"/>
      <c r="E2" s="138"/>
      <c r="F2" s="138"/>
      <c r="G2" s="138"/>
      <c r="H2" s="138"/>
      <c r="I2" s="138"/>
      <c r="N2" s="73"/>
      <c r="O2" s="74">
        <v>0.83499999999999996</v>
      </c>
      <c r="Q2" s="74">
        <v>0.83499999999999996</v>
      </c>
      <c r="S2" s="74">
        <v>0.83499999999999996</v>
      </c>
      <c r="U2" s="74">
        <v>0.83499999999999996</v>
      </c>
    </row>
    <row r="3" spans="1:24" ht="19.899999999999999" customHeight="1" x14ac:dyDescent="0.3">
      <c r="A3" s="75"/>
      <c r="B3" s="75"/>
      <c r="C3" s="75"/>
      <c r="D3" s="75"/>
      <c r="E3" s="75"/>
      <c r="F3" s="75" t="s">
        <v>92</v>
      </c>
      <c r="G3" s="76"/>
      <c r="H3" s="76"/>
      <c r="I3" s="76"/>
      <c r="J3" s="147" t="s">
        <v>93</v>
      </c>
      <c r="K3" s="147"/>
      <c r="L3" s="147" t="s">
        <v>48</v>
      </c>
      <c r="M3" s="147" t="s">
        <v>5</v>
      </c>
      <c r="N3" s="143" t="s">
        <v>94</v>
      </c>
      <c r="O3" s="143"/>
      <c r="P3" s="143" t="s">
        <v>95</v>
      </c>
      <c r="Q3" s="143"/>
      <c r="R3" s="144" t="s">
        <v>96</v>
      </c>
      <c r="S3" s="144"/>
      <c r="T3" s="144" t="s">
        <v>97</v>
      </c>
      <c r="U3" s="144"/>
      <c r="V3" s="145" t="s">
        <v>98</v>
      </c>
      <c r="W3" s="141" t="s">
        <v>99</v>
      </c>
      <c r="X3" s="139" t="s">
        <v>46</v>
      </c>
    </row>
    <row r="4" spans="1:24" ht="19.899999999999999" customHeight="1" x14ac:dyDescent="0.3">
      <c r="A4" s="77" t="s">
        <v>100</v>
      </c>
      <c r="B4" s="78"/>
      <c r="C4" s="78"/>
      <c r="D4" s="78"/>
      <c r="E4" s="78"/>
      <c r="F4" s="79" t="s">
        <v>101</v>
      </c>
      <c r="G4" s="79" t="s">
        <v>102</v>
      </c>
      <c r="H4" s="79" t="s">
        <v>103</v>
      </c>
      <c r="I4" s="79" t="s">
        <v>104</v>
      </c>
      <c r="J4" s="80" t="s">
        <v>105</v>
      </c>
      <c r="K4" s="80" t="s">
        <v>106</v>
      </c>
      <c r="L4" s="148"/>
      <c r="M4" s="148"/>
      <c r="N4" s="81" t="s">
        <v>107</v>
      </c>
      <c r="O4" s="82" t="s">
        <v>108</v>
      </c>
      <c r="P4" s="81" t="s">
        <v>109</v>
      </c>
      <c r="Q4" s="82" t="s">
        <v>108</v>
      </c>
      <c r="R4" s="82" t="s">
        <v>110</v>
      </c>
      <c r="S4" s="82" t="s">
        <v>108</v>
      </c>
      <c r="T4" s="82" t="s">
        <v>110</v>
      </c>
      <c r="U4" s="82" t="s">
        <v>108</v>
      </c>
      <c r="V4" s="146"/>
      <c r="W4" s="142"/>
      <c r="X4" s="140"/>
    </row>
    <row r="5" spans="1:24" s="92" customFormat="1" ht="19.899999999999999" customHeight="1" x14ac:dyDescent="0.3">
      <c r="A5" s="83" t="str">
        <f t="shared" ref="A5:A9" si="0">F5&amp;G5&amp;H5&amp;I5</f>
        <v>D02859</v>
      </c>
      <c r="B5" s="128"/>
      <c r="C5" s="128"/>
      <c r="D5" s="128"/>
      <c r="E5" s="128"/>
      <c r="F5" s="85" t="s">
        <v>77</v>
      </c>
      <c r="G5" s="84"/>
      <c r="H5" s="84"/>
      <c r="I5" s="85"/>
      <c r="J5" s="86" t="s">
        <v>78</v>
      </c>
      <c r="K5" s="86" t="s">
        <v>79</v>
      </c>
      <c r="L5" s="86" t="s">
        <v>76</v>
      </c>
      <c r="M5" s="87">
        <v>23</v>
      </c>
      <c r="N5" s="88"/>
      <c r="O5" s="89">
        <f t="shared" ref="O5:O8" si="1">SUM(N5:N5)*M5*$O$2</f>
        <v>0</v>
      </c>
      <c r="P5" s="119">
        <v>4855</v>
      </c>
      <c r="Q5" s="89">
        <f t="shared" ref="Q5:Q8" si="2">(P5*M5)*$Q$2</f>
        <v>93240.274999999994</v>
      </c>
      <c r="R5" s="90"/>
      <c r="S5" s="89">
        <f t="shared" ref="S5:S8" si="3">R5*M5*$S$2</f>
        <v>0</v>
      </c>
      <c r="T5" s="90"/>
      <c r="U5" s="89">
        <f t="shared" ref="U5:U8" si="4">T5*M5*$U$2</f>
        <v>0</v>
      </c>
      <c r="V5" s="90">
        <f t="shared" ref="V5:V8" si="5">SUM(O5+Q5)+S5+U5</f>
        <v>93240.274999999994</v>
      </c>
      <c r="W5" s="87"/>
      <c r="X5" s="91"/>
    </row>
    <row r="6" spans="1:24" s="92" customFormat="1" ht="19.899999999999999" customHeight="1" x14ac:dyDescent="0.3">
      <c r="A6" s="83" t="str">
        <f t="shared" si="0"/>
        <v>D02558</v>
      </c>
      <c r="B6" s="128"/>
      <c r="C6" s="128"/>
      <c r="D6" s="128"/>
      <c r="E6" s="128"/>
      <c r="F6" s="85" t="s">
        <v>80</v>
      </c>
      <c r="G6" s="84"/>
      <c r="H6" s="84"/>
      <c r="I6" s="85"/>
      <c r="J6" s="86" t="s">
        <v>81</v>
      </c>
      <c r="K6" s="86" t="s">
        <v>82</v>
      </c>
      <c r="L6" s="86" t="s">
        <v>76</v>
      </c>
      <c r="M6" s="87">
        <v>23</v>
      </c>
      <c r="N6" s="93"/>
      <c r="O6" s="89">
        <f t="shared" si="1"/>
        <v>0</v>
      </c>
      <c r="P6" s="119">
        <v>4453</v>
      </c>
      <c r="Q6" s="89">
        <f t="shared" si="2"/>
        <v>85519.864999999991</v>
      </c>
      <c r="R6" s="90"/>
      <c r="S6" s="89">
        <f t="shared" si="3"/>
        <v>0</v>
      </c>
      <c r="T6" s="90"/>
      <c r="U6" s="89">
        <f t="shared" si="4"/>
        <v>0</v>
      </c>
      <c r="V6" s="90">
        <f t="shared" si="5"/>
        <v>85519.864999999991</v>
      </c>
      <c r="W6" s="87"/>
      <c r="X6" s="91"/>
    </row>
    <row r="7" spans="1:24" s="92" customFormat="1" ht="19.899999999999999" customHeight="1" x14ac:dyDescent="0.3">
      <c r="A7" s="83" t="str">
        <f t="shared" si="0"/>
        <v>M012003400500101</v>
      </c>
      <c r="B7" s="128"/>
      <c r="C7" s="128"/>
      <c r="D7" s="128"/>
      <c r="E7" s="128"/>
      <c r="F7" s="85"/>
      <c r="G7" s="84"/>
      <c r="H7" s="120" t="s">
        <v>87</v>
      </c>
      <c r="I7" s="85"/>
      <c r="J7" s="95" t="s">
        <v>88</v>
      </c>
      <c r="K7" s="95" t="s">
        <v>89</v>
      </c>
      <c r="L7" s="86" t="s">
        <v>76</v>
      </c>
      <c r="M7" s="87">
        <v>23</v>
      </c>
      <c r="N7" s="121">
        <v>15000</v>
      </c>
      <c r="O7" s="89">
        <f t="shared" ref="O7" si="6">SUM(N7:N7)*M7*$O$2</f>
        <v>288075</v>
      </c>
      <c r="P7" s="94"/>
      <c r="Q7" s="89">
        <f t="shared" ref="Q7" si="7">(P7*M7)*$Q$2</f>
        <v>0</v>
      </c>
      <c r="R7" s="90"/>
      <c r="S7" s="89">
        <f t="shared" ref="S7" si="8">R7*M7*$S$2</f>
        <v>0</v>
      </c>
      <c r="T7" s="90"/>
      <c r="U7" s="89">
        <f t="shared" ref="U7" si="9">T7*M7*$U$2</f>
        <v>0</v>
      </c>
      <c r="V7" s="90">
        <f t="shared" ref="V7" si="10">SUM(O7+Q7)+S7+U7</f>
        <v>288075</v>
      </c>
      <c r="W7" s="87"/>
      <c r="X7" s="91"/>
    </row>
    <row r="8" spans="1:24" s="92" customFormat="1" ht="19.899999999999999" customHeight="1" x14ac:dyDescent="0.3">
      <c r="A8" s="83" t="str">
        <f t="shared" si="0"/>
        <v>M010602702400101</v>
      </c>
      <c r="B8" s="128"/>
      <c r="C8" s="128"/>
      <c r="D8" s="128"/>
      <c r="E8" s="128"/>
      <c r="F8" s="85"/>
      <c r="G8" s="84"/>
      <c r="H8" s="120" t="s">
        <v>83</v>
      </c>
      <c r="I8" s="85"/>
      <c r="J8" s="95" t="s">
        <v>84</v>
      </c>
      <c r="K8" s="95" t="s">
        <v>85</v>
      </c>
      <c r="L8" s="95" t="s">
        <v>86</v>
      </c>
      <c r="M8" s="87">
        <v>1</v>
      </c>
      <c r="N8" s="121">
        <v>15000</v>
      </c>
      <c r="O8" s="89">
        <f t="shared" si="1"/>
        <v>12525</v>
      </c>
      <c r="P8" s="94"/>
      <c r="Q8" s="89">
        <f t="shared" si="2"/>
        <v>0</v>
      </c>
      <c r="R8" s="90"/>
      <c r="S8" s="89">
        <f t="shared" si="3"/>
        <v>0</v>
      </c>
      <c r="T8" s="90"/>
      <c r="U8" s="89">
        <f t="shared" si="4"/>
        <v>0</v>
      </c>
      <c r="V8" s="90">
        <f t="shared" si="5"/>
        <v>12525</v>
      </c>
      <c r="W8" s="87"/>
      <c r="X8" s="91"/>
    </row>
    <row r="9" spans="1:24" s="92" customFormat="1" ht="19.899999999999999" customHeight="1" x14ac:dyDescent="0.3">
      <c r="A9" s="83" t="str">
        <f t="shared" si="0"/>
        <v/>
      </c>
      <c r="B9" s="128"/>
      <c r="C9" s="128"/>
      <c r="D9" s="128"/>
      <c r="E9" s="128"/>
      <c r="F9" s="85"/>
      <c r="G9" s="84"/>
      <c r="H9" s="84"/>
      <c r="I9" s="85"/>
      <c r="J9" s="122"/>
      <c r="K9" s="122"/>
      <c r="L9" s="123"/>
      <c r="M9" s="124"/>
      <c r="N9" s="88"/>
      <c r="O9" s="89">
        <f t="shared" ref="O9" si="11">SUM(N9:N9)*M9*$O$2</f>
        <v>0</v>
      </c>
      <c r="P9" s="94"/>
      <c r="Q9" s="89">
        <f t="shared" ref="Q9" si="12">(P9*M9)*$Q$2</f>
        <v>0</v>
      </c>
      <c r="R9" s="90"/>
      <c r="S9" s="89">
        <f t="shared" ref="S9" si="13">R9*M9*$S$2</f>
        <v>0</v>
      </c>
      <c r="T9" s="90"/>
      <c r="U9" s="89">
        <f t="shared" ref="U9" si="14">T9*M9*$U$2</f>
        <v>0</v>
      </c>
      <c r="V9" s="90">
        <f t="shared" ref="V9" si="15">SUM(O9+Q9)+S9+U9</f>
        <v>0</v>
      </c>
      <c r="W9" s="96"/>
      <c r="X9" s="91"/>
    </row>
    <row r="10" spans="1:24" s="98" customFormat="1" ht="19.899999999999999" customHeight="1" x14ac:dyDescent="0.3">
      <c r="A10" s="97"/>
      <c r="B10" s="97"/>
      <c r="C10" s="97"/>
      <c r="D10" s="97"/>
      <c r="E10" s="97"/>
      <c r="O10" s="99">
        <f>SUM(O5:O9)</f>
        <v>300600</v>
      </c>
      <c r="P10" s="100"/>
      <c r="Q10" s="99">
        <f>SUM(Q5:Q9)</f>
        <v>178760.13999999998</v>
      </c>
      <c r="R10" s="100"/>
      <c r="S10" s="99">
        <f>SUM(S5:S9)</f>
        <v>0</v>
      </c>
      <c r="T10" s="100"/>
      <c r="U10" s="99">
        <f>SUM(U5:U9)</f>
        <v>0</v>
      </c>
      <c r="V10" s="101">
        <f>SUM(V5:V9)</f>
        <v>479360.14</v>
      </c>
      <c r="W10" s="102"/>
    </row>
    <row r="14" spans="1:24" x14ac:dyDescent="0.3">
      <c r="Q14" s="10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8"/>
  <sheetViews>
    <sheetView zoomScaleNormal="100" workbookViewId="0">
      <selection activeCell="G35" sqref="G35"/>
    </sheetView>
  </sheetViews>
  <sheetFormatPr defaultColWidth="9" defaultRowHeight="14.25" x14ac:dyDescent="0.3"/>
  <cols>
    <col min="1" max="1" width="22.625" style="118" customWidth="1"/>
    <col min="2" max="2" width="27.625" style="118" customWidth="1"/>
    <col min="3" max="3" width="5.75" style="118" customWidth="1"/>
    <col min="4" max="4" width="5.25" style="118" customWidth="1"/>
    <col min="5" max="8" width="20.625" style="118" customWidth="1"/>
    <col min="9" max="12" width="20.625" style="118" hidden="1" customWidth="1"/>
    <col min="13" max="14" width="20.625" style="118" customWidth="1"/>
    <col min="15" max="15" width="32.75" style="118" customWidth="1"/>
    <col min="16" max="16384" width="9" style="105"/>
  </cols>
  <sheetData>
    <row r="1" spans="1:15" ht="27" customHeight="1" x14ac:dyDescent="0.3">
      <c r="A1" s="153" t="s">
        <v>60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 ht="12.95" customHeight="1" x14ac:dyDescent="0.3">
      <c r="A2" s="155" t="s">
        <v>61</v>
      </c>
      <c r="B2" s="156" t="s">
        <v>62</v>
      </c>
      <c r="C2" s="157" t="s">
        <v>48</v>
      </c>
      <c r="D2" s="157" t="s">
        <v>63</v>
      </c>
      <c r="E2" s="159" t="s">
        <v>64</v>
      </c>
      <c r="F2" s="156"/>
      <c r="G2" s="156" t="s">
        <v>65</v>
      </c>
      <c r="H2" s="156"/>
      <c r="I2" s="160" t="s">
        <v>66</v>
      </c>
      <c r="J2" s="161"/>
      <c r="K2" s="160" t="s">
        <v>67</v>
      </c>
      <c r="L2" s="161"/>
      <c r="M2" s="159" t="s">
        <v>68</v>
      </c>
      <c r="N2" s="156"/>
      <c r="O2" s="162" t="s">
        <v>69</v>
      </c>
    </row>
    <row r="3" spans="1:15" ht="12.95" customHeight="1" x14ac:dyDescent="0.3">
      <c r="A3" s="155"/>
      <c r="B3" s="156"/>
      <c r="C3" s="158"/>
      <c r="D3" s="158"/>
      <c r="E3" s="106" t="s">
        <v>70</v>
      </c>
      <c r="F3" s="106" t="s">
        <v>71</v>
      </c>
      <c r="G3" s="107" t="s">
        <v>70</v>
      </c>
      <c r="H3" s="106" t="s">
        <v>72</v>
      </c>
      <c r="I3" s="106"/>
      <c r="J3" s="106"/>
      <c r="K3" s="107" t="s">
        <v>70</v>
      </c>
      <c r="L3" s="106" t="s">
        <v>72</v>
      </c>
      <c r="M3" s="107" t="s">
        <v>70</v>
      </c>
      <c r="N3" s="106" t="s">
        <v>72</v>
      </c>
      <c r="O3" s="163"/>
    </row>
    <row r="4" spans="1:15" ht="12.95" customHeight="1" x14ac:dyDescent="0.3">
      <c r="A4" s="130" t="s">
        <v>116</v>
      </c>
      <c r="B4" s="131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</row>
    <row r="5" spans="1:15" ht="12.95" customHeight="1" x14ac:dyDescent="0.3">
      <c r="A5" s="149" t="s">
        <v>115</v>
      </c>
      <c r="B5" s="109" t="s">
        <v>111</v>
      </c>
      <c r="C5" s="110" t="s">
        <v>73</v>
      </c>
      <c r="D5" s="113">
        <v>23</v>
      </c>
      <c r="E5" s="111"/>
      <c r="F5" s="111"/>
      <c r="G5" s="111">
        <v>4054</v>
      </c>
      <c r="H5" s="112">
        <f t="shared" ref="H5" si="0">D5*G5</f>
        <v>93242</v>
      </c>
      <c r="I5" s="111"/>
      <c r="J5" s="111"/>
      <c r="K5" s="111"/>
      <c r="L5" s="112"/>
      <c r="M5" s="111"/>
      <c r="N5" s="112">
        <f t="shared" ref="N5:N7" si="1">F5+H5+J5+L5</f>
        <v>93242</v>
      </c>
      <c r="O5" s="151" t="s">
        <v>90</v>
      </c>
    </row>
    <row r="6" spans="1:15" ht="12.95" customHeight="1" x14ac:dyDescent="0.3">
      <c r="A6" s="150"/>
      <c r="B6" s="109" t="s">
        <v>74</v>
      </c>
      <c r="C6" s="110" t="s">
        <v>75</v>
      </c>
      <c r="D6" s="116">
        <v>1</v>
      </c>
      <c r="E6" s="112">
        <v>12525</v>
      </c>
      <c r="F6" s="112">
        <f>D6*E6</f>
        <v>12525</v>
      </c>
      <c r="G6" s="111"/>
      <c r="H6" s="112"/>
      <c r="I6" s="112"/>
      <c r="J6" s="112"/>
      <c r="K6" s="111"/>
      <c r="L6" s="112"/>
      <c r="M6" s="111"/>
      <c r="N6" s="112">
        <f t="shared" si="1"/>
        <v>12525</v>
      </c>
      <c r="O6" s="152"/>
    </row>
    <row r="7" spans="1:15" ht="12.95" customHeight="1" x14ac:dyDescent="0.3">
      <c r="A7" s="150"/>
      <c r="B7" s="109" t="s">
        <v>112</v>
      </c>
      <c r="C7" s="110" t="s">
        <v>73</v>
      </c>
      <c r="D7" s="113">
        <v>23</v>
      </c>
      <c r="E7" s="112">
        <v>12525</v>
      </c>
      <c r="F7" s="112">
        <f>D7*E7</f>
        <v>288075</v>
      </c>
      <c r="G7" s="111">
        <v>3718</v>
      </c>
      <c r="H7" s="112">
        <f>D7*G7</f>
        <v>85514</v>
      </c>
      <c r="I7" s="112"/>
      <c r="J7" s="112"/>
      <c r="K7" s="111"/>
      <c r="L7" s="112"/>
      <c r="M7" s="111"/>
      <c r="N7" s="112">
        <f t="shared" si="1"/>
        <v>373589</v>
      </c>
      <c r="O7" s="152"/>
    </row>
    <row r="8" spans="1:15" ht="12.95" customHeight="1" x14ac:dyDescent="0.3">
      <c r="A8" s="129" t="s">
        <v>117</v>
      </c>
      <c r="B8" s="114"/>
      <c r="C8" s="117"/>
      <c r="D8" s="117">
        <f>SUM(D7:D7)</f>
        <v>23</v>
      </c>
      <c r="E8" s="115"/>
      <c r="F8" s="115">
        <f>SUM(F5:F7)</f>
        <v>300600</v>
      </c>
      <c r="G8" s="115"/>
      <c r="H8" s="115">
        <f>SUM(H5:H7)</f>
        <v>178756</v>
      </c>
      <c r="I8" s="115"/>
      <c r="J8" s="115">
        <f>SUM(J5:J7)</f>
        <v>0</v>
      </c>
      <c r="K8" s="115"/>
      <c r="L8" s="115">
        <f>SUM(L5:L7)</f>
        <v>0</v>
      </c>
      <c r="M8" s="115"/>
      <c r="N8" s="115">
        <f>SUM(N5:N7)</f>
        <v>479356</v>
      </c>
      <c r="O8" s="115"/>
    </row>
  </sheetData>
  <mergeCells count="13">
    <mergeCell ref="A5:A7"/>
    <mergeCell ref="O5:O7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5"/>
  <sheetViews>
    <sheetView showGridLines="0" zoomScaleNormal="100" workbookViewId="0">
      <selection activeCell="K21" sqref="K21"/>
    </sheetView>
  </sheetViews>
  <sheetFormatPr defaultColWidth="9" defaultRowHeight="16.5" x14ac:dyDescent="0.3"/>
  <cols>
    <col min="1" max="1" width="25.125" style="69" customWidth="1"/>
    <col min="2" max="2" width="16.25" style="69" customWidth="1"/>
    <col min="3" max="3" width="22.375" style="69" customWidth="1"/>
    <col min="4" max="4" width="24.125" style="69" customWidth="1"/>
    <col min="5" max="5" width="13" style="69" customWidth="1"/>
    <col min="6" max="6" width="7.5" style="69" customWidth="1"/>
    <col min="7" max="16384" width="9" style="68"/>
  </cols>
  <sheetData>
    <row r="1" spans="1:6" ht="18" customHeight="1" x14ac:dyDescent="0.3">
      <c r="A1" s="125" t="s">
        <v>0</v>
      </c>
      <c r="B1" s="125" t="s">
        <v>1</v>
      </c>
      <c r="C1" s="125" t="s">
        <v>2</v>
      </c>
      <c r="D1" s="125" t="s">
        <v>3</v>
      </c>
      <c r="E1" s="125" t="s">
        <v>4</v>
      </c>
      <c r="F1" s="125" t="s">
        <v>5</v>
      </c>
    </row>
    <row r="2" spans="1:6" x14ac:dyDescent="0.3">
      <c r="A2" s="126" t="str">
        <f>'내역서(표준단가)'!A5</f>
        <v>D02859</v>
      </c>
      <c r="B2" s="127" t="str">
        <f>'내역서(표준단가)'!F5</f>
        <v>D02859</v>
      </c>
      <c r="C2" s="127">
        <f>'내역서(표준단가)'!G5</f>
        <v>0</v>
      </c>
      <c r="D2" s="127">
        <f>'내역서(표준단가)'!H5</f>
        <v>0</v>
      </c>
      <c r="E2" s="127">
        <f>'내역서(표준단가)'!I5</f>
        <v>0</v>
      </c>
      <c r="F2" s="127">
        <f>'내역서(표준단가)'!M5</f>
        <v>23</v>
      </c>
    </row>
    <row r="3" spans="1:6" x14ac:dyDescent="0.3">
      <c r="A3" s="126" t="str">
        <f>'내역서(표준단가)'!A6</f>
        <v>D02558</v>
      </c>
      <c r="B3" s="127" t="str">
        <f>'내역서(표준단가)'!F6</f>
        <v>D02558</v>
      </c>
      <c r="C3" s="127">
        <f>'내역서(표준단가)'!G6</f>
        <v>0</v>
      </c>
      <c r="D3" s="127">
        <f>'내역서(표준단가)'!H6</f>
        <v>0</v>
      </c>
      <c r="E3" s="127">
        <f>'내역서(표준단가)'!I6</f>
        <v>0</v>
      </c>
      <c r="F3" s="127">
        <f>'내역서(표준단가)'!M6</f>
        <v>23</v>
      </c>
    </row>
    <row r="4" spans="1:6" x14ac:dyDescent="0.3">
      <c r="A4" s="126" t="str">
        <f>'내역서(표준단가)'!A7</f>
        <v>M012003400500101</v>
      </c>
      <c r="B4" s="127">
        <f>'내역서(표준단가)'!F7</f>
        <v>0</v>
      </c>
      <c r="C4" s="127">
        <f>'내역서(표준단가)'!G7</f>
        <v>0</v>
      </c>
      <c r="D4" s="127" t="str">
        <f>'내역서(표준단가)'!H7</f>
        <v>M012003400500101</v>
      </c>
      <c r="E4" s="127">
        <f>'내역서(표준단가)'!I7</f>
        <v>0</v>
      </c>
      <c r="F4" s="127">
        <f>'내역서(표준단가)'!M7</f>
        <v>23</v>
      </c>
    </row>
    <row r="5" spans="1:6" x14ac:dyDescent="0.3">
      <c r="A5" s="126" t="str">
        <f>'내역서(표준단가)'!A8</f>
        <v>M010602702400101</v>
      </c>
      <c r="B5" s="127">
        <f>'내역서(표준단가)'!F8</f>
        <v>0</v>
      </c>
      <c r="C5" s="127">
        <f>'내역서(표준단가)'!G8</f>
        <v>0</v>
      </c>
      <c r="D5" s="127" t="str">
        <f>'내역서(표준단가)'!H8</f>
        <v>M010602702400101</v>
      </c>
      <c r="E5" s="127">
        <f>'내역서(표준단가)'!I8</f>
        <v>0</v>
      </c>
      <c r="F5" s="127">
        <f>'내역서(표준단가)'!M8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2025-01-24T06:49:11Z</dcterms:modified>
</cp:coreProperties>
</file>
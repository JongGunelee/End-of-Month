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2 기계\01 기숙사 및 사택 긴급보수 작업(기계)-1차\"/>
    </mc:Choice>
  </mc:AlternateContent>
  <xr:revisionPtr revIDLastSave="0" documentId="13_ncr:1_{A4E4E70D-A567-42E1-8361-8766B3C63AF4}" xr6:coauthVersionLast="47" xr6:coauthVersionMax="47" xr10:uidLastSave="{00000000-0000-0000-0000-000000000000}"/>
  <bookViews>
    <workbookView xWindow="-60" yWindow="-60" windowWidth="28920" windowHeight="16320" activeTab="3" xr2:uid="{00000000-000D-0000-FFFF-FFFF00000000}"/>
  </bookViews>
  <sheets>
    <sheet name="상반기 매입 계약" sheetId="19" r:id="rId1"/>
    <sheet name="상반기 인건비단가" sheetId="20" r:id="rId2"/>
    <sheet name="내역서(표준단가)" sheetId="18" r:id="rId3"/>
    <sheet name="상반기 증빙" sheetId="17"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 localSheetId="3" hidden="1">#REF!</definedName>
    <definedName name="_" hidden="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Dist_Bin" hidden="1">#REF!</definedName>
    <definedName name="_Dist_Values" hidden="1">#REF!</definedName>
    <definedName name="_Fill" hidden="1">[1]암거날개벽!#REF!</definedName>
    <definedName name="_xlnm._FilterDatabase" localSheetId="3" hidden="1">'상반기 증빙'!$A$3:$W$12</definedName>
    <definedName name="_xlnm._FilterDatabase" hidden="1">[2]실행내역!#REF!</definedName>
    <definedName name="_Key1" hidden="1">[3]내역서!#REF!</definedName>
    <definedName name="_Key2" hidden="1">[4]프랜트면허!#REF!</definedName>
    <definedName name="_Order1" hidden="1">255</definedName>
    <definedName name="_Order2" hidden="1">255</definedName>
    <definedName name="_Parse_Out" localSheetId="3" hidden="1">#REF!</definedName>
    <definedName name="_Parse_Out" hidden="1">#REF!</definedName>
    <definedName name="_Regression_Int" hidden="1">1</definedName>
    <definedName name="_Sort" hidden="1">[3]내역서!#REF!</definedName>
    <definedName name="a\" localSheetId="2" hidden="1">{#N/A,#N/A,TRUE,"자재관리";#N/A,#N/A,TRUE,"품질"}</definedName>
    <definedName name="a\" localSheetId="3" hidden="1">{#N/A,#N/A,TRUE,"자재관리";#N/A,#N/A,TRUE,"품질"}</definedName>
    <definedName name="a\" hidden="1">{#N/A,#N/A,TRUE,"자재관리";#N/A,#N/A,TRUE,"품질"}</definedName>
    <definedName name="A1C1" localSheetId="3" hidden="1">#REF!</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localSheetId="3"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localSheetId="3" hidden="1">{"'Sheet1'!$E$23","'Sheet1'!$A$3:$H$19","'Sheet1'!$A$1:$H$19"}</definedName>
    <definedName name="BUSH" hidden="1">{"'Sheet1'!$E$23","'Sheet1'!$A$3:$H$19","'Sheet1'!$A$1:$H$19"}</definedName>
    <definedName name="copy2" localSheetId="2" hidden="1">{#N/A,#N/A,TRUE,"자재관리";#N/A,#N/A,TRUE,"품질"}</definedName>
    <definedName name="copy2" localSheetId="3" hidden="1">{#N/A,#N/A,TRUE,"자재관리";#N/A,#N/A,TRUE,"품질"}</definedName>
    <definedName name="copy2" hidden="1">{#N/A,#N/A,TRUE,"자재관리";#N/A,#N/A,TRUE,"품질"}</definedName>
    <definedName name="copy3" localSheetId="2" hidden="1">{#N/A,#N/A,TRUE,"자재관리";#N/A,#N/A,TRUE,"품질"}</definedName>
    <definedName name="copy3" localSheetId="3"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AFASDFSD" localSheetId="2" hidden="1">{#N/A,#N/A,FALSE,"Sheet1"}</definedName>
    <definedName name="DDAFASDFSD" localSheetId="3" hidden="1">{#N/A,#N/A,FALSE,"Sheet1"}</definedName>
    <definedName name="DDAFASDFSD" hidden="1">{#N/A,#N/A,FALSE,"Sheet1"}</definedName>
    <definedName name="DDD" localSheetId="3" hidden="1">#REF!</definedName>
    <definedName name="DDD" hidden="1">#REF!</definedName>
    <definedName name="ddddd" localSheetId="3"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2" hidden="1">{#N/A,#N/A,FALSE,"Sheet1"}</definedName>
    <definedName name="djfkdfjkdjfkd" localSheetId="3" hidden="1">{#N/A,#N/A,FALSE,"Sheet1"}</definedName>
    <definedName name="djfkdfjkdjfkd" hidden="1">{#N/A,#N/A,FALSE,"Sheet1"}</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localSheetId="3" hidden="1">{#N/A,#N/A,FALSE,"전력간선"}</definedName>
    <definedName name="DKFDK" hidden="1">{#N/A,#N/A,FALSE,"전력간선"}</definedName>
    <definedName name="dkkjkjkjk" localSheetId="2" hidden="1">{#N/A,#N/A,FALSE,"Sheet1"}</definedName>
    <definedName name="dkkjkjkjk" localSheetId="3" hidden="1">{#N/A,#N/A,FALSE,"Sheet1"}</definedName>
    <definedName name="dkkjkjkjk" hidden="1">{#N/A,#N/A,FALSE,"Sheet1"}</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localSheetId="3" hidden="1">{#N/A,#N/A,FALSE,"CCTV"}</definedName>
    <definedName name="FFF" hidden="1">{#N/A,#N/A,FALSE,"CCTV"}</definedName>
    <definedName name="FFFF" localSheetId="2"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localSheetId="3"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[5]수량산출!$A$1:$A$8561</definedName>
    <definedName name="FHFK" localSheetId="3" hidden="1">[5]수량산출!#REF!</definedName>
    <definedName name="FHFK" hidden="1">[5]수량산출!#REF!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[6]차액보증!#REF!</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3" hidden="1">#REF!</definedName>
    <definedName name="HHHH" hidden="1">#REF!</definedName>
    <definedName name="HHHHH" localSheetId="2"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3" hidden="1">#REF!</definedName>
    <definedName name="KKK" hidden="1">#REF!</definedName>
    <definedName name="kkkkk" localSheetId="2"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localSheetId="3"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3" hidden="1">#REF!</definedName>
    <definedName name="lll" hidden="1">#REF!</definedName>
    <definedName name="m" localSheetId="3" hidden="1">#REF!</definedName>
    <definedName name="m" hidden="1">#REF!</definedName>
    <definedName name="MC" localSheetId="2"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localSheetId="3"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3" hidden="1">#REF!</definedName>
    <definedName name="OOO" hidden="1">#REF!</definedName>
    <definedName name="OOOOOO" localSheetId="2"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localSheetId="3" hidden="1">{"'Sheet1'!$E$23","'Sheet1'!$A$3:$H$19","'Sheet1'!$A$1:$H$19"}</definedName>
    <definedName name="PRESS" hidden="1">{"'Sheet1'!$E$23","'Sheet1'!$A$3:$H$19","'Sheet1'!$A$1:$H$19"}</definedName>
    <definedName name="press1" localSheetId="2" hidden="1">{"'Sheet1'!$E$23","'Sheet1'!$A$3:$H$19","'Sheet1'!$A$1:$H$19"}</definedName>
    <definedName name="press1" localSheetId="3" hidden="1">{"'Sheet1'!$E$23","'Sheet1'!$A$3:$H$19","'Sheet1'!$A$1:$H$19"}</definedName>
    <definedName name="press1" hidden="1">{"'Sheet1'!$E$23","'Sheet1'!$A$3:$H$19","'Sheet1'!$A$1:$H$19"}</definedName>
    <definedName name="_xlnm.Print_Area" localSheetId="3">'상반기 증빙'!$A$1:$V$12</definedName>
    <definedName name="Q" localSheetId="2"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 localSheetId="2" hidden="1">{#N/A,#N/A,FALSE,"단가표지"}</definedName>
    <definedName name="qq" localSheetId="3" hidden="1">{#N/A,#N/A,FALSE,"단가표지"}</definedName>
    <definedName name="qq" hidden="1">{#N/A,#N/A,FALSE,"단가표지"}</definedName>
    <definedName name="qqq" localSheetId="2" hidden="1">{#N/A,#N/A,FALSE,"전력간선"}</definedName>
    <definedName name="qqq" localSheetId="3" hidden="1">{#N/A,#N/A,FALSE,"전력간선"}</definedName>
    <definedName name="qqq" hidden="1">{#N/A,#N/A,FALSE,"전력간선"}</definedName>
    <definedName name="QQQW" localSheetId="2" hidden="1">{#N/A,#N/A,FALSE,"전력간선"}</definedName>
    <definedName name="QQQW" localSheetId="3" hidden="1">{#N/A,#N/A,FALSE,"전력간선"}</definedName>
    <definedName name="QQQW" hidden="1">{#N/A,#N/A,FALSE,"전력간선"}</definedName>
    <definedName name="qw" localSheetId="2" hidden="1">{#N/A,#N/A,FALSE,"단가표지"}</definedName>
    <definedName name="qw" localSheetId="3" hidden="1">{#N/A,#N/A,FALSE,"단가표지"}</definedName>
    <definedName name="qw" hidden="1">{#N/A,#N/A,FALSE,"단가표지"}</definedName>
    <definedName name="QWERRTT" localSheetId="2" hidden="1">{#N/A,#N/A,FALSE,"Sheet1"}</definedName>
    <definedName name="QWERRTT" localSheetId="3" hidden="1">{#N/A,#N/A,FALSE,"Sheet1"}</definedName>
    <definedName name="QWERRTT" hidden="1">{#N/A,#N/A,FALSE,"Sheet1"}</definedName>
    <definedName name="ret" localSheetId="2" hidden="1">{#N/A,#N/A,FALSE,"전력간선"}</definedName>
    <definedName name="ret" localSheetId="3"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localSheetId="3" hidden="1">{#N/A,#N/A,FALSE,"전력간선"}</definedName>
    <definedName name="RIRI" hidden="1">{#N/A,#N/A,FALSE,"전력간선"}</definedName>
    <definedName name="RK" hidden="1">[5]수량산출!#REF!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localSheetId="3"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localSheetId="3" hidden="1">{#N/A,#N/A,TRUE,"자재관리";#N/A,#N/A,TRUE,"품질"}</definedName>
    <definedName name="rthyetyuety" hidden="1">{#N/A,#N/A,TRUE,"자재관리";#N/A,#N/A,TRUE,"품질"}</definedName>
    <definedName name="SD" localSheetId="2"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ORT1" hidden="1">#REF!</definedName>
    <definedName name="sss" localSheetId="2" hidden="1">{#N/A,#N/A,FALSE,"전력간선"}</definedName>
    <definedName name="sss" localSheetId="3"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localSheetId="3" hidden="1">{#N/A,#N/A,TRUE,"자재관리";#N/A,#N/A,TRUE,"품질"}</definedName>
    <definedName name="t" hidden="1">{#N/A,#N/A,TRUE,"자재관리";#N/A,#N/A,TRUE,"품질"}</definedName>
    <definedName name="tka" localSheetId="2" hidden="1">{#N/A,#N/A,FALSE,"전력간선"}</definedName>
    <definedName name="tka" localSheetId="3"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localSheetId="3" hidden="1">{#N/A,#N/A,FALSE,"CCTV"}</definedName>
    <definedName name="WJDEHDRHS" hidden="1">{#N/A,#N/A,FALSE,"CCTV"}</definedName>
    <definedName name="wm.조골재1" localSheetId="2" hidden="1">{#N/A,#N/A,FALSE,"조골재"}</definedName>
    <definedName name="wm.조골재1" localSheetId="3" hidden="1">{#N/A,#N/A,FALSE,"조골재"}</definedName>
    <definedName name="wm.조골재1" hidden="1">{#N/A,#N/A,FALSE,"조골재"}</definedName>
    <definedName name="WQR" localSheetId="2" hidden="1">{#N/A,#N/A,FALSE,"Sheet1"}</definedName>
    <definedName name="WQR" localSheetId="3" hidden="1">{#N/A,#N/A,FALSE,"Sheet1"}</definedName>
    <definedName name="WQR" hidden="1">{#N/A,#N/A,FALSE,"Sheet1"}</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localSheetId="3"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2" hidden="1">{#N/A,#N/A,FALSE,"2~8번"}</definedName>
    <definedName name="wrn.2번." localSheetId="3"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localSheetId="3"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3"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2" hidden="1">{#N/A,#N/A,FALSE,"골재소요량";#N/A,#N/A,FALSE,"골재소요량"}</definedName>
    <definedName name="wrn.골재소요량." localSheetId="3" hidden="1">{#N/A,#N/A,FALSE,"골재소요량";#N/A,#N/A,FALSE,"골재소요량"}</definedName>
    <definedName name="wrn.골재소요량." hidden="1">{#N/A,#N/A,FALSE,"골재소요량";#N/A,#N/A,FALSE,"골재소요량"}</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localSheetId="3" hidden="1">{#N/A,#N/A,FALSE,"전력간선"}</definedName>
    <definedName name="wrn.교육청." hidden="1">{#N/A,#N/A,FALSE,"전력간선"}</definedName>
    <definedName name="wrn.구조2." localSheetId="2" hidden="1">{#N/A,#N/A,FALSE,"구조2"}</definedName>
    <definedName name="wrn.구조2." localSheetId="3" hidden="1">{#N/A,#N/A,FALSE,"구조2"}</definedName>
    <definedName name="wrn.구조2." hidden="1">{#N/A,#N/A,FALSE,"구조2"}</definedName>
    <definedName name="wrn.기성." localSheetId="2"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2" hidden="1">{#N/A,#N/A,FALSE,"단가표지"}</definedName>
    <definedName name="wrn.단가표지." localSheetId="3" hidden="1">{#N/A,#N/A,FALSE,"단가표지"}</definedName>
    <definedName name="wrn.단가표지." hidden="1">{#N/A,#N/A,FALSE,"단가표지"}</definedName>
    <definedName name="wrn.배수1." localSheetId="2" hidden="1">{#N/A,#N/A,FALSE,"배수1"}</definedName>
    <definedName name="wrn.배수1." localSheetId="3" hidden="1">{#N/A,#N/A,FALSE,"배수1"}</definedName>
    <definedName name="wrn.배수1." hidden="1">{#N/A,#N/A,FALSE,"배수1"}</definedName>
    <definedName name="wrn.배수2." localSheetId="2" hidden="1">{#N/A,#N/A,FALSE,"배수2"}</definedName>
    <definedName name="wrn.배수2." localSheetId="3" hidden="1">{#N/A,#N/A,FALSE,"배수2"}</definedName>
    <definedName name="wrn.배수2." hidden="1">{#N/A,#N/A,FALSE,"배수2"}</definedName>
    <definedName name="wrn.보고서." localSheetId="2" hidden="1">{#N/A,#N/A,TRUE,"자재관리";#N/A,#N/A,TRUE,"품질"}</definedName>
    <definedName name="wrn.보고서." localSheetId="3"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2" hidden="1">{#N/A,#N/A,FALSE,"부대1"}</definedName>
    <definedName name="wrn.부대1." localSheetId="3" hidden="1">{#N/A,#N/A,FALSE,"부대1"}</definedName>
    <definedName name="wrn.부대1." hidden="1">{#N/A,#N/A,FALSE,"부대1"}</definedName>
    <definedName name="wrn.부대2." localSheetId="2" hidden="1">{#N/A,#N/A,FALSE,"부대2"}</definedName>
    <definedName name="wrn.부대2." localSheetId="3" hidden="1">{#N/A,#N/A,FALSE,"부대2"}</definedName>
    <definedName name="wrn.부대2." hidden="1">{#N/A,#N/A,FALSE,"부대2"}</definedName>
    <definedName name="wrn.속도." localSheetId="2" hidden="1">{#N/A,#N/A,FALSE,"속도"}</definedName>
    <definedName name="wrn.속도." localSheetId="3" hidden="1">{#N/A,#N/A,FALSE,"속도"}</definedName>
    <definedName name="wrn.속도." hidden="1">{#N/A,#N/A,FALSE,"속도"}</definedName>
    <definedName name="wrn.시행결의." localSheetId="2"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운반시간." localSheetId="2" hidden="1">{#N/A,#N/A,FALSE,"운반시간"}</definedName>
    <definedName name="wrn.운반시간." localSheetId="3" hidden="1">{#N/A,#N/A,FALSE,"운반시간"}</definedName>
    <definedName name="wrn.운반시간." hidden="1">{#N/A,#N/A,FALSE,"운반시간"}</definedName>
    <definedName name="wrn.이정표." localSheetId="2" hidden="1">{#N/A,#N/A,FALSE,"이정표"}</definedName>
    <definedName name="wrn.이정표." localSheetId="3" hidden="1">{#N/A,#N/A,FALSE,"이정표"}</definedName>
    <definedName name="wrn.이정표." hidden="1">{#N/A,#N/A,FALSE,"이정표"}</definedName>
    <definedName name="wrn.일위대가." localSheetId="2" hidden="1">{#N/A,#N/A,TRUE,"대가1"}</definedName>
    <definedName name="wrn.일위대가." localSheetId="3" hidden="1">{#N/A,#N/A,TRUE,"대가1"}</definedName>
    <definedName name="wrn.일위대가." hidden="1">{#N/A,#N/A,TRUE,"대가1"}</definedName>
    <definedName name="wrn.조골재." localSheetId="2" hidden="1">{#N/A,#N/A,FALSE,"조골재"}</definedName>
    <definedName name="wrn.조골재." localSheetId="3" hidden="1">{#N/A,#N/A,FALSE,"조골재"}</definedName>
    <definedName name="wrn.조골재." hidden="1">{#N/A,#N/A,FALSE,"조골재"}</definedName>
    <definedName name="wrn.토공1." localSheetId="2" hidden="1">{#N/A,#N/A,FALSE,"구조1"}</definedName>
    <definedName name="wrn.토공1." localSheetId="3" hidden="1">{#N/A,#N/A,FALSE,"구조1"}</definedName>
    <definedName name="wrn.토공1." hidden="1">{#N/A,#N/A,FALSE,"구조1"}</definedName>
    <definedName name="wrn.토공2." localSheetId="2" hidden="1">{#N/A,#N/A,FALSE,"토공2"}</definedName>
    <definedName name="wrn.토공2." localSheetId="3" hidden="1">{#N/A,#N/A,FALSE,"토공2"}</definedName>
    <definedName name="wrn.토공2." hidden="1">{#N/A,#N/A,FALSE,"토공2"}</definedName>
    <definedName name="wrn.포장1." localSheetId="2" hidden="1">{#N/A,#N/A,FALSE,"포장1";#N/A,#N/A,FALSE,"포장1"}</definedName>
    <definedName name="wrn.포장1." localSheetId="3" hidden="1">{#N/A,#N/A,FALSE,"포장1";#N/A,#N/A,FALSE,"포장1"}</definedName>
    <definedName name="wrn.포장1." hidden="1">{#N/A,#N/A,FALSE,"포장1";#N/A,#N/A,FALSE,"포장1"}</definedName>
    <definedName name="wrn.포장2." localSheetId="2" hidden="1">{#N/A,#N/A,FALSE,"포장2"}</definedName>
    <definedName name="wrn.포장2." localSheetId="3" hidden="1">{#N/A,#N/A,FALSE,"포장2"}</definedName>
    <definedName name="wrn.포장2." hidden="1">{#N/A,#N/A,FALSE,"포장2"}</definedName>
    <definedName name="wrn.표지목차." localSheetId="2" hidden="1">{#N/A,#N/A,FALSE,"표지목차"}</definedName>
    <definedName name="wrn.표지목차." localSheetId="3" hidden="1">{#N/A,#N/A,FALSE,"표지목차"}</definedName>
    <definedName name="wrn.표지목차." hidden="1">{#N/A,#N/A,FALSE,"표지목차"}</definedName>
    <definedName name="wrn.혼합골재." localSheetId="2" hidden="1">{#N/A,#N/A,FALSE,"혼합골재"}</definedName>
    <definedName name="wrn.혼합골재." localSheetId="3" hidden="1">{#N/A,#N/A,FALSE,"혼합골재"}</definedName>
    <definedName name="wrn.혼합골재." hidden="1">{#N/A,#N/A,FALSE,"혼합골재"}</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localSheetId="3" hidden="1">{#N/A,#N/A,TRUE,"자재관리";#N/A,#N/A,TRUE,"품질"}</definedName>
    <definedName name="X" hidden="1">{#N/A,#N/A,TRUE,"자재관리";#N/A,#N/A,TRUE,"품질"}</definedName>
    <definedName name="yy" localSheetId="2" hidden="1">{#N/A,#N/A,FALSE,"전력간선"}</definedName>
    <definedName name="yy" localSheetId="3" hidden="1">{#N/A,#N/A,FALSE,"전력간선"}</definedName>
    <definedName name="yy" hidden="1">{#N/A,#N/A,FALSE,"전력간선"}</definedName>
    <definedName name="YY0" localSheetId="2" hidden="1">{#N/A,#N/A,FALSE,"전력간선"}</definedName>
    <definedName name="YY0" localSheetId="3" hidden="1">{#N/A,#N/A,FALSE,"전력간선"}</definedName>
    <definedName name="YY0" hidden="1">{#N/A,#N/A,FALSE,"전력간선"}</definedName>
    <definedName name="yyy" hidden="1">[7]수량산출!$A$1:$A$8561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localSheetId="3" hidden="1">{#N/A,#N/A,FALSE,"CCTV"}</definedName>
    <definedName name="가스" hidden="1">{#N/A,#N/A,FALSE,"CCTV"}</definedName>
    <definedName name="가스실행내역" localSheetId="2" hidden="1">{#N/A,#N/A,FALSE,"전력간선"}</definedName>
    <definedName name="가스실행내역" localSheetId="3" hidden="1">{#N/A,#N/A,FALSE,"전력간선"}</definedName>
    <definedName name="가스실행내역" hidden="1">{#N/A,#N/A,FALSE,"전력간선"}</definedName>
    <definedName name="가실" localSheetId="2" hidden="1">{#N/A,#N/A,FALSE,"전력간선"}</definedName>
    <definedName name="가실" localSheetId="3" hidden="1">{#N/A,#N/A,FALSE,"전력간선"}</definedName>
    <definedName name="가실" hidden="1">{#N/A,#N/A,FALSE,"전력간선"}</definedName>
    <definedName name="가아" hidden="1">[8]수량산출!#REF!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3" hidden="1">#REF!</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[9]수량산출!$A$3:$H$8539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3" hidden="1">#REF!</definedName>
    <definedName name="겨격" hidden="1">#REF!</definedName>
    <definedName name="견적" hidden="1">'[10]내역서1999.8최종'!$A$1:$A$2438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[11]프랜트면허!#REF!</definedName>
    <definedName name="공내역" localSheetId="2" hidden="1">{#N/A,#N/A,FALSE,"CCTV"}</definedName>
    <definedName name="공내역" localSheetId="3" hidden="1">{#N/A,#N/A,FALSE,"CCTV"}</definedName>
    <definedName name="공내역" hidden="1">{#N/A,#N/A,FALSE,"CCTV"}</definedName>
    <definedName name="공문" localSheetId="2"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사수립계획서" hidden="1">#REF!</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산갑지" localSheetId="3" hidden="1">#REF!</definedName>
    <definedName name="구산갑지" hidden="1">#REF!</definedName>
    <definedName name="구자관" localSheetId="2"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localSheetId="3" hidden="1">{#N/A,#N/A,TRUE,"자재관리";#N/A,#N/A,TRUE,"품질"}</definedName>
    <definedName name="기" hidden="1">{#N/A,#N/A,TRUE,"자재관리";#N/A,#N/A,TRUE,"품질"}</definedName>
    <definedName name="기계단가1" localSheetId="2" hidden="1">{#N/A,#N/A,FALSE,"전력간선"}</definedName>
    <definedName name="기계단가1" localSheetId="3"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localSheetId="3" hidden="1">{#N/A,#N/A,TRUE,"자재관리";#N/A,#N/A,TRUE,"품질"}</definedName>
    <definedName name="ㄴ" hidden="1">{#N/A,#N/A,TRUE,"자재관리";#N/A,#N/A,TRUE,"품질"}</definedName>
    <definedName name="ㄴㄴㄴ" localSheetId="2"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localSheetId="3" hidden="1">#REF!</definedName>
    <definedName name="ㄴㄴㄴㄴ" hidden="1">#REF!</definedName>
    <definedName name="ㄴㄴㄴㄴㄴ" localSheetId="2" hidden="1">{#N/A,#N/A,TRUE,"자재관리";#N/A,#N/A,TRUE,"품질"}</definedName>
    <definedName name="ㄴㄴㄴㄴㄴ" localSheetId="3"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localSheetId="3"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localSheetId="3" hidden="1">{#N/A,#N/A,FALSE,"CCTV"}</definedName>
    <definedName name="내역" hidden="1">{#N/A,#N/A,FALSE,"CCTV"}</definedName>
    <definedName name="내역점검" localSheetId="2" hidden="1">{#N/A,#N/A,FALSE,"전력간선"}</definedName>
    <definedName name="내역점검" localSheetId="3"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3" hidden="1">#REF!</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localSheetId="3" hidden="1">{#N/A,#N/A,FALSE,"전력간선"}</definedName>
    <definedName name="단가산출서" hidden="1">{#N/A,#N/A,FALSE,"전력간선"}</definedName>
    <definedName name="단열작업" hidden="1">#REF!</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3" hidden="1">#REF!</definedName>
    <definedName name="ㄹ32" hidden="1">#REF!</definedName>
    <definedName name="ㄹㅇㄹㅇ" hidden="1">#REF!</definedName>
    <definedName name="러헐" localSheetId="2"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localSheetId="3"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localSheetId="3" hidden="1">{#N/A,#N/A,FALSE,"전력간선"}</definedName>
    <definedName name="ㅁㅁ" hidden="1">{#N/A,#N/A,FALSE,"전력간선"}</definedName>
    <definedName name="ㅁㅇ" localSheetId="2"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ㅁㅇㄹ" localSheetId="2" hidden="1">{#N/A,#N/A,FALSE,"Sheet1"}</definedName>
    <definedName name="ㅁㅇㄹ" localSheetId="3" hidden="1">{#N/A,#N/A,FALSE,"Sheet1"}</definedName>
    <definedName name="ㅁㅇㄹ" hidden="1">{#N/A,#N/A,FALSE,"Sheet1"}</definedName>
    <definedName name="ㅁㅇㄹㅁㅇㄹㅇㅁㄴ" localSheetId="2" hidden="1">{#N/A,#N/A,FALSE,"Sheet1"}</definedName>
    <definedName name="ㅁㅇㄹㅁㅇㄹㅇㅁㄴ" localSheetId="3" hidden="1">{#N/A,#N/A,FALSE,"Sheet1"}</definedName>
    <definedName name="ㅁㅇㄹㅁㅇㄹㅇㅁㄴ" hidden="1">{#N/A,#N/A,FALSE,"Sheet1"}</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localSheetId="3" hidden="1">{#N/A,#N/A,FALSE,"전력간선"}</definedName>
    <definedName name="명신" hidden="1">{#N/A,#N/A,FALSE,"전력간선"}</definedName>
    <definedName name="목표" localSheetId="2"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localSheetId="3"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[12]설계명세!#REF!</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localSheetId="3" hidden="1">#REF!</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서" localSheetId="2" hidden="1">{#N/A,#N/A,FALSE,"Sheet1"}</definedName>
    <definedName name="산출서" localSheetId="3" hidden="1">{#N/A,#N/A,FALSE,"Sheet1"}</definedName>
    <definedName name="산출서" hidden="1">{#N/A,#N/A,FALSE,"Sheet1"}</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계대예산대비표" hidden="1">#REF!</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localSheetId="3"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localSheetId="3" hidden="1">{#N/A,#N/A,TRUE,"자재관리";#N/A,#N/A,TRUE,"품질"}</definedName>
    <definedName name="ㅇ" hidden="1">{#N/A,#N/A,TRUE,"자재관리";#N/A,#N/A,TRUE,"품질"}</definedName>
    <definedName name="ㅇㄴㅇㄴ" localSheetId="2" hidden="1">{#N/A,#N/A,FALSE,"CCTV"}</definedName>
    <definedName name="ㅇㄴㅇㄴ" localSheetId="3" hidden="1">{#N/A,#N/A,FALSE,"CCTV"}</definedName>
    <definedName name="ㅇㄴㅇㄴ" hidden="1">{#N/A,#N/A,FALSE,"CCTV"}</definedName>
    <definedName name="ㅇㄹㅇㄹ" localSheetId="3" hidden="1">#REF!</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localSheetId="3" hidden="1">#REF!</definedName>
    <definedName name="ㅇㅇㄹ" hidden="1">#REF!</definedName>
    <definedName name="ㅇㅇㄹㄴㅁㄹ" localSheetId="2"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localSheetId="3" hidden="1">{#N/A,#N/A,TRUE,"자재관리";#N/A,#N/A,TRUE,"품질"}</definedName>
    <definedName name="ㅇㅇㅇㅇㅇ" hidden="1">{#N/A,#N/A,TRUE,"자재관리";#N/A,#N/A,TRUE,"품질"}</definedName>
    <definedName name="아" localSheetId="2"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3" hidden="1">#REF!</definedName>
    <definedName name="암거" hidden="1">#REF!</definedName>
    <definedName name="앙" localSheetId="2"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3"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localSheetId="3"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localSheetId="3" hidden="1">{#N/A,#N/A,FALSE,"전력간선"}</definedName>
    <definedName name="영조" hidden="1">{#N/A,#N/A,FALSE,"전력간선"}</definedName>
    <definedName name="예상도급내역" localSheetId="2" hidden="1">{#N/A,#N/A,FALSE,"CCTV"}</definedName>
    <definedName name="예상도급내역" localSheetId="3"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3" hidden="1">#REF!</definedName>
    <definedName name="완공3" hidden="1">#REF!</definedName>
    <definedName name="우인보고표지" localSheetId="2"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3" hidden="1">{#N/A,#N/A,TRUE,"자재관리";#N/A,#N/A,TRUE,"품질"}</definedName>
    <definedName name="우인표지" hidden="1">{#N/A,#N/A,TRUE,"자재관리";#N/A,#N/A,TRUE,"품질"}</definedName>
    <definedName name="원가TABLE" localSheetId="2" hidden="1">{#N/A,#N/A,TRUE,"자재관리";#N/A,#N/A,TRUE,"품질"}</definedName>
    <definedName name="원가TABLE" localSheetId="3"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localSheetId="3" hidden="1">{#N/A,#N/A,FALSE,"전력간선"}</definedName>
    <definedName name="이름" hidden="1">{#N/A,#N/A,FALSE,"전력간선"}</definedName>
    <definedName name="이봉해" localSheetId="2"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localSheetId="3" hidden="1">{#N/A,#N/A,FALSE,"전력간선"}</definedName>
    <definedName name="전기" hidden="1">{#N/A,#N/A,FALSE,"전력간선"}</definedName>
    <definedName name="전년" localSheetId="2"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localSheetId="3" hidden="1">{#N/A,#N/A,FALSE,"CCTV"}</definedName>
    <definedName name="정화조" hidden="1">{#N/A,#N/A,FALSE,"CCTV"}</definedName>
    <definedName name="조용영" localSheetId="2" hidden="1">{#N/A,#N/A,FALSE,"Sheet1"}</definedName>
    <definedName name="조용영" localSheetId="3" hidden="1">{#N/A,#N/A,FALSE,"Sheet1"}</definedName>
    <definedName name="조용영" hidden="1">{#N/A,#N/A,FALSE,"Sheet1"}</definedName>
    <definedName name="조적" hidden="1">#REF!</definedName>
    <definedName name="조정내역2" localSheetId="2" hidden="1">{#N/A,#N/A,FALSE,"전력간선"}</definedName>
    <definedName name="조정내역2" localSheetId="3"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공" localSheetId="2" hidden="1">{#N/A,#N/A,FALSE,"운반시간"}</definedName>
    <definedName name="총공" localSheetId="3" hidden="1">{#N/A,#N/A,FALSE,"운반시간"}</definedName>
    <definedName name="총공" hidden="1">{#N/A,#N/A,FALSE,"운반시간"}</definedName>
    <definedName name="최종갑지1" localSheetId="2" hidden="1">{#N/A,#N/A,FALSE,"전력간선"}</definedName>
    <definedName name="최종갑지1" localSheetId="3"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2" hidden="1">{#N/A,#N/A,FALSE,"골재소요량";#N/A,#N/A,FALSE,"골재소요량"}</definedName>
    <definedName name="토목설계" localSheetId="3" hidden="1">{#N/A,#N/A,FALSE,"골재소요량";#N/A,#N/A,FALSE,"골재소요량"}</definedName>
    <definedName name="토목설계" hidden="1">{#N/A,#N/A,FALSE,"골재소요량";#N/A,#N/A,FALSE,"골재소요량"}</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3"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localSheetId="3"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localSheetId="3" hidden="1">{#N/A,#N/A,FALSE,"CCTV"}</definedName>
    <definedName name="ㅎㅀㅀㅀㅀㄹ" hidden="1">{#N/A,#N/A,FALSE,"CCTV"}</definedName>
    <definedName name="하행터널" localSheetId="2" hidden="1">{#N/A,#N/A,TRUE,"대가1"}</definedName>
    <definedName name="하행터널" localSheetId="3"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2" hidden="1">{#N/A,#N/A,FALSE,"Sheet1"}</definedName>
    <definedName name="한아름" localSheetId="3" hidden="1">{#N/A,#N/A,FALSE,"Sheet1"}</definedName>
    <definedName name="한아름" hidden="1">{#N/A,#N/A,FALSE,"Sheet1"}</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localSheetId="3"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2" hidden="1">{"'Sheet1'!$E$23","'Sheet1'!$A$3:$H$19","'Sheet1'!$A$1:$H$19"}</definedName>
    <definedName name="ㅏㅏㅏ" localSheetId="3"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3" hidden="1">{#N/A,#N/A,FALSE,"전력간선"}</definedName>
    <definedName name="ㅏㅓㅗ" hidden="1">{#N/A,#N/A,FALSE,"전력간선"}</definedName>
    <definedName name="ㅓ" localSheetId="2" hidden="1">{#N/A,#N/A,TRUE,"자재관리";#N/A,#N/A,TRUE,"품질"}</definedName>
    <definedName name="ㅓ" localSheetId="3"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2"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[7]수량산출!$A$1:$A$8561</definedName>
    <definedName name="ㅜ" localSheetId="3" hidden="1">[9]수량산출!#REF!</definedName>
    <definedName name="ㅜ" hidden="1">[9]수량산출!#REF!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8" l="1"/>
  <c r="A16" i="18"/>
  <c r="A4" i="18"/>
  <c r="M8" i="17" l="1"/>
  <c r="M4" i="17"/>
  <c r="O11" i="17"/>
  <c r="L5" i="18" s="1"/>
  <c r="N11" i="17"/>
  <c r="L4" i="18" s="1"/>
  <c r="U4" i="18" l="1"/>
  <c r="Q4" i="18"/>
  <c r="O4" i="18"/>
  <c r="S4" i="18"/>
  <c r="S16" i="18" s="1"/>
  <c r="U5" i="18"/>
  <c r="Q5" i="18"/>
  <c r="V5" i="18" s="1"/>
  <c r="V4" i="18" l="1"/>
  <c r="O16" i="18"/>
  <c r="Q16" i="18"/>
  <c r="U16" i="18"/>
  <c r="V16"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 authorId="0" shapeId="0" xr:uid="{6E2B94BE-43EE-4FAE-9532-3A5E31EDF2C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<sst xmlns="http://schemas.openxmlformats.org/spreadsheetml/2006/main" count="89" uniqueCount="61">
  <si>
    <t>보온공</t>
    <phoneticPr fontId="9" type="noConversion"/>
  </si>
  <si>
    <t>번호</t>
    <phoneticPr fontId="11" type="noConversion"/>
  </si>
  <si>
    <t>일자</t>
    <phoneticPr fontId="11" type="noConversion"/>
  </si>
  <si>
    <t>호실</t>
    <phoneticPr fontId="11" type="noConversion"/>
  </si>
  <si>
    <t>누수위치</t>
    <phoneticPr fontId="11" type="noConversion"/>
  </si>
  <si>
    <t>보수내용</t>
    <phoneticPr fontId="11" type="noConversion"/>
  </si>
  <si>
    <t>보수업체</t>
    <phoneticPr fontId="11" type="noConversion"/>
  </si>
  <si>
    <t>보수인원</t>
    <phoneticPr fontId="11" type="noConversion"/>
  </si>
  <si>
    <t>특이사항</t>
    <phoneticPr fontId="11" type="noConversion"/>
  </si>
  <si>
    <t>배관공</t>
    <phoneticPr fontId="11" type="noConversion"/>
  </si>
  <si>
    <t>보통인부</t>
    <phoneticPr fontId="11" type="noConversion"/>
  </si>
  <si>
    <t>누수탐지</t>
    <phoneticPr fontId="11" type="noConversion"/>
  </si>
  <si>
    <t xml:space="preserve"> 집계↑</t>
    <phoneticPr fontId="11" type="noConversion"/>
  </si>
  <si>
    <t>안전관찰자
(보통인부)</t>
    <phoneticPr fontId="11" type="noConversion"/>
  </si>
  <si>
    <t>화기감시
(보통인부)</t>
    <phoneticPr fontId="11" type="noConversion"/>
  </si>
  <si>
    <t>정산 현황</t>
    <phoneticPr fontId="11" type="noConversion"/>
  </si>
  <si>
    <t>구분</t>
    <phoneticPr fontId="11" type="noConversion"/>
  </si>
  <si>
    <t>5-204</t>
    <phoneticPr fontId="9" type="noConversion"/>
  </si>
  <si>
    <t>누수 난방 분배기 교체</t>
    <phoneticPr fontId="9" type="noConversion"/>
  </si>
  <si>
    <t>7-302</t>
    <phoneticPr fontId="9" type="noConversion"/>
  </si>
  <si>
    <t>2-204</t>
    <phoneticPr fontId="9" type="noConversion"/>
  </si>
  <si>
    <t>2-301</t>
    <phoneticPr fontId="9" type="noConversion"/>
  </si>
  <si>
    <t>수안이엔지</t>
  </si>
  <si>
    <t>수안이엔지</t>
    <phoneticPr fontId="9" type="noConversion"/>
  </si>
  <si>
    <t>X</t>
    <phoneticPr fontId="9" type="noConversion"/>
  </si>
  <si>
    <t>2-106</t>
    <phoneticPr fontId="9" type="noConversion"/>
  </si>
  <si>
    <t>9-103</t>
    <phoneticPr fontId="9" type="noConversion"/>
  </si>
  <si>
    <t>빨래 건조대 교체</t>
    <phoneticPr fontId="9" type="noConversion"/>
  </si>
  <si>
    <t>세대내 파손 세면대 교체</t>
    <phoneticPr fontId="9" type="noConversion"/>
  </si>
  <si>
    <r>
      <rPr>
        <b/>
        <sz val="18"/>
        <color rgb="FF0000FF"/>
        <rFont val="맑은 고딕"/>
        <family val="3"/>
        <charset val="129"/>
        <scheme val="minor"/>
      </rPr>
      <t>상반기 이월분 : 0 건</t>
    </r>
    <r>
      <rPr>
        <b/>
        <sz val="18"/>
        <color theme="1"/>
        <rFont val="맑은 고딕"/>
        <family val="3"/>
        <charset val="129"/>
        <scheme val="minor"/>
      </rPr>
      <t xml:space="preserve"> / </t>
    </r>
    <r>
      <rPr>
        <b/>
        <sz val="18"/>
        <color rgb="FFFF0000"/>
        <rFont val="맑은 고딕"/>
        <family val="3"/>
        <charset val="129"/>
        <scheme val="minor"/>
      </rPr>
      <t>유상 : -건</t>
    </r>
    <r>
      <rPr>
        <b/>
        <sz val="18"/>
        <color theme="1"/>
        <rFont val="맑은 고딕"/>
        <family val="3"/>
        <charset val="129"/>
        <scheme val="minor"/>
      </rPr>
      <t xml:space="preserve"> / </t>
    </r>
    <r>
      <rPr>
        <b/>
        <sz val="18"/>
        <color rgb="FFFF00FF"/>
        <rFont val="맑은 고딕"/>
        <family val="3"/>
        <charset val="129"/>
        <scheme val="minor"/>
      </rPr>
      <t xml:space="preserve">무상(묶음) : -건 </t>
    </r>
    <phoneticPr fontId="9" type="noConversion"/>
  </si>
  <si>
    <t>이 월</t>
    <phoneticPr fontId="11" type="noConversion"/>
  </si>
  <si>
    <t>기계 긴급 대응 목록</t>
    <phoneticPr fontId="11" type="noConversion"/>
  </si>
  <si>
    <t>긴급 투입인원 환산</t>
    <phoneticPr fontId="9" type="noConversion"/>
  </si>
  <si>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9" type="noConversion"/>
  </si>
  <si>
    <t>주요내역</t>
    <phoneticPr fontId="9"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</si>
  <si>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</si>
  <si>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</si>
  <si>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재료비</t>
    </r>
    <phoneticPr fontId="11" type="noConversion"/>
  </si>
  <si>
    <r>
      <rPr>
        <b/>
        <sz val="10"/>
        <rFont val="LG스마트체 Regular"/>
        <family val="3"/>
        <charset val="129"/>
      </rPr>
      <t>노무비</t>
    </r>
    <phoneticPr fontId="11" type="noConversion"/>
  </si>
  <si>
    <r>
      <rPr>
        <b/>
        <sz val="10"/>
        <rFont val="LG스마트체 Regular"/>
        <family val="3"/>
        <charset val="129"/>
      </rPr>
      <t>기계경비</t>
    </r>
  </si>
  <si>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</si>
  <si>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color theme="1"/>
        <rFont val="LG스마트체 Regular"/>
        <family val="3"/>
        <charset val="129"/>
      </rPr>
      <t>합계</t>
    </r>
    <phoneticPr fontId="11"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</si>
  <si>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9" type="noConversion"/>
  </si>
  <si>
    <t>할증기준</t>
    <phoneticPr fontId="9" type="noConversion"/>
  </si>
  <si>
    <r>
      <rPr>
        <b/>
        <sz val="10"/>
        <color theme="1"/>
        <rFont val="LG스마트체 Regular"/>
        <family val="3"/>
        <charset val="129"/>
      </rPr>
      <t>합계</t>
    </r>
    <phoneticPr fontId="9" type="noConversion"/>
  </si>
  <si>
    <r>
      <rPr>
        <b/>
        <sz val="10"/>
        <color theme="1"/>
        <rFont val="LG스마트체 Regular"/>
        <family val="3"/>
        <charset val="129"/>
      </rPr>
      <t>표준단가</t>
    </r>
    <phoneticPr fontId="9" type="noConversion"/>
  </si>
  <si>
    <r>
      <rPr>
        <b/>
        <sz val="10"/>
        <color theme="1"/>
        <rFont val="LG스마트체 Regular"/>
        <family val="3"/>
        <charset val="129"/>
      </rPr>
      <t>표준품셈</t>
    </r>
    <phoneticPr fontId="9" type="noConversion"/>
  </si>
  <si>
    <r>
      <rPr>
        <b/>
        <sz val="10"/>
        <color theme="1"/>
        <rFont val="LG스마트체 Regular"/>
        <family val="3"/>
        <charset val="129"/>
      </rPr>
      <t>물가정보</t>
    </r>
    <phoneticPr fontId="9" type="noConversion"/>
  </si>
  <si>
    <r>
      <rPr>
        <b/>
        <sz val="10"/>
        <color theme="1"/>
        <rFont val="LG스마트체 Regular"/>
        <family val="3"/>
        <charset val="129"/>
      </rPr>
      <t>노임단가</t>
    </r>
    <phoneticPr fontId="9" type="noConversion"/>
  </si>
  <si>
    <r>
      <rPr>
        <b/>
        <sz val="10"/>
        <rFont val="LG스마트체 Regular"/>
        <family val="3"/>
        <charset val="129"/>
      </rPr>
      <t>품목</t>
    </r>
    <phoneticPr fontId="9" type="noConversion"/>
  </si>
  <si>
    <r>
      <rPr>
        <b/>
        <sz val="10"/>
        <rFont val="LG스마트체 Regular"/>
        <family val="3"/>
        <charset val="129"/>
      </rPr>
      <t>규격</t>
    </r>
    <phoneticPr fontId="9" type="noConversion"/>
  </si>
  <si>
    <r>
      <rPr>
        <b/>
        <sz val="10"/>
        <rFont val="LG스마트체 Regular"/>
        <family val="3"/>
        <charset val="129"/>
      </rPr>
      <t>품셈</t>
    </r>
    <r>
      <rPr>
        <b/>
        <sz val="10"/>
        <rFont val="Arial"/>
        <family val="2"/>
      </rPr>
      <t>/</t>
    </r>
    <r>
      <rPr>
        <b/>
        <sz val="10"/>
        <rFont val="LG스마트체 Regular"/>
        <family val="3"/>
        <charset val="129"/>
      </rPr>
      <t>표단</t>
    </r>
    <phoneticPr fontId="9" type="noConversion"/>
  </si>
  <si>
    <r>
      <rPr>
        <b/>
        <sz val="10"/>
        <rFont val="LG스마트체 Regular"/>
        <family val="3"/>
        <charset val="129"/>
      </rPr>
      <t>물가정보</t>
    </r>
    <phoneticPr fontId="9" type="noConversion"/>
  </si>
  <si>
    <r>
      <rPr>
        <b/>
        <sz val="10"/>
        <rFont val="LG스마트체 Regular"/>
        <family val="3"/>
        <charset val="129"/>
      </rPr>
      <t>금액</t>
    </r>
  </si>
  <si>
    <r>
      <rPr>
        <b/>
        <sz val="10"/>
        <rFont val="LG스마트체 Regular"/>
        <family val="3"/>
        <charset val="129"/>
      </rPr>
      <t>단가</t>
    </r>
    <phoneticPr fontId="11" type="noConversion"/>
  </si>
  <si>
    <r>
      <rPr>
        <b/>
        <sz val="10"/>
        <rFont val="LG스마트체 Regular"/>
        <family val="3"/>
        <charset val="129"/>
      </rPr>
      <t>단가</t>
    </r>
  </si>
  <si>
    <t>L039</t>
  </si>
  <si>
    <t>긴급 보수 대응</t>
    <phoneticPr fontId="9" type="noConversion"/>
  </si>
  <si>
    <t>배관공</t>
    <phoneticPr fontId="9" type="noConversion"/>
  </si>
  <si>
    <t>인</t>
    <phoneticPr fontId="9" type="noConversion"/>
  </si>
  <si>
    <t>L002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</si>
</sst>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9">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m&quot;월&quot;\ d&quot;일&quot;;@"/>
    <numFmt numFmtId="331" formatCode="_-* #,##0_-;\-* #,##0_-;_-* &quot;-&quot;??_-;_-@_-"/>
    <numFmt numFmtId="332" formatCode="#,##0_);\(#,##0\)"/>
  </numFmts>
  <fonts count="23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theme="1"/>
      <name val="맑은 고딕"/>
      <family val="3"/>
      <charset val="129"/>
      <scheme val="minor"/>
    </font>
    <font>
      <b/>
      <sz val="15"/>
      <color rgb="FFFF0000"/>
      <name val="맑은 고딕"/>
      <family val="3"/>
      <charset val="129"/>
      <scheme val="minor"/>
    </font>
    <font>
      <b/>
      <sz val="15"/>
      <color theme="1"/>
      <name val="맑은 고딕"/>
      <family val="3"/>
      <charset val="129"/>
      <scheme val="minor"/>
    </font>
    <font>
      <sz val="14"/>
      <color rgb="FFFF0000"/>
      <name val="맑은 고딕"/>
      <family val="3"/>
      <charset val="129"/>
      <scheme val="minor"/>
    </font>
    <font>
      <b/>
      <sz val="14"/>
      <color rgb="FFFF0000"/>
      <name val="맑은 고딕"/>
      <family val="3"/>
      <charset val="129"/>
      <scheme val="minor"/>
    </font>
    <font>
      <sz val="11"/>
      <color rgb="FF0000FF"/>
      <name val="맑은 고딕"/>
      <family val="3"/>
      <charset val="129"/>
      <scheme val="minor"/>
    </font>
    <font>
      <b/>
      <sz val="13"/>
      <color rgb="FF0000FF"/>
      <name val="맑은 고딕"/>
      <family val="3"/>
      <charset val="129"/>
      <scheme val="minor"/>
    </font>
    <font>
      <b/>
      <sz val="16"/>
      <color rgb="FF0000FF"/>
      <name val="맑은 고딕"/>
      <family val="3"/>
      <charset val="129"/>
      <scheme val="minor"/>
    </font>
    <font>
      <sz val="11"/>
      <color theme="0" tint="-0.499984740745262"/>
      <name val="맑은 고딕"/>
      <family val="3"/>
      <charset val="129"/>
      <scheme val="minor"/>
    </font>
    <font>
      <b/>
      <sz val="18"/>
      <color theme="1"/>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8"/>
      <color rgb="FF0000FF"/>
      <name val="맑은 고딕"/>
      <family val="3"/>
      <charset val="129"/>
      <scheme val="minor"/>
    </font>
    <font>
      <b/>
      <sz val="20"/>
      <name val="맑은 고딕"/>
      <family val="3"/>
      <charset val="129"/>
      <scheme val="minor"/>
    </font>
    <font>
      <b/>
      <sz val="13"/>
      <color rgb="FFFF0000"/>
      <name val="맑은 고딕"/>
      <family val="3"/>
      <charset val="129"/>
      <scheme val="minor"/>
    </font>
    <font>
      <sz val="13"/>
      <color theme="1" tint="0.34998626667073579"/>
      <name val="맑은 고딕"/>
      <family val="3"/>
      <charset val="129"/>
      <scheme val="minor"/>
    </font>
    <font>
      <sz val="15"/>
      <color rgb="FFFF00FF"/>
      <name val="맑은 고딕"/>
      <family val="3"/>
      <charset val="129"/>
      <scheme val="minor"/>
    </font>
    <font>
      <sz val="13"/>
      <name val="맑은 고딕"/>
      <family val="3"/>
      <charset val="129"/>
      <scheme val="minor"/>
    </font>
    <font>
      <sz val="11"/>
      <color rgb="FFFF00FF"/>
      <name val="맑은 고딕"/>
      <family val="3"/>
      <charset val="129"/>
      <scheme val="minor"/>
    </font>
    <font>
      <b/>
      <sz val="12"/>
      <color theme="1"/>
      <name val="맑은 고딕"/>
      <family val="3"/>
      <charset val="129"/>
      <scheme val="minor"/>
    </font>
    <font>
      <b/>
      <sz val="20"/>
      <color theme="1" tint="0.499984740745262"/>
      <name val="맑은 고딕"/>
      <family val="3"/>
      <charset val="129"/>
      <scheme val="minor"/>
    </font>
    <font>
      <sz val="10"/>
      <color indexed="8"/>
      <name val="Arial"/>
      <family val="2"/>
    </font>
    <font>
      <b/>
      <sz val="10"/>
      <color indexed="8"/>
      <name val="Arial"/>
      <family val="2"/>
    </font>
    <font>
      <b/>
      <sz val="10"/>
      <color theme="1"/>
      <name val="Arial"/>
      <family val="2"/>
    </font>
    <font>
      <b/>
      <sz val="10"/>
      <color theme="1"/>
      <name val="LG스마트체 Regular"/>
      <family val="3"/>
      <charset val="129"/>
    </font>
    <font>
      <b/>
      <sz val="10"/>
      <color theme="0"/>
      <name val="Arial"/>
      <family val="2"/>
    </font>
    <font>
      <b/>
      <sz val="10"/>
      <name val="Arial"/>
      <family val="2"/>
    </font>
    <font>
      <b/>
      <sz val="10"/>
      <color theme="0"/>
      <name val="LG스마트체 Regular"/>
      <family val="3"/>
      <charset val="129"/>
    </font>
    <font>
      <b/>
      <sz val="10"/>
      <name val="LG스마트체 Regular"/>
      <family val="3"/>
      <charset val="129"/>
    </font>
    <font>
      <sz val="10"/>
      <color indexed="8"/>
      <name val="돋움"/>
      <family val="3"/>
      <charset val="129"/>
    </font>
    <font>
      <sz val="14"/>
      <color indexed="8"/>
      <name val="Arial"/>
      <family val="2"/>
    </font>
    <font>
      <b/>
      <sz val="9"/>
      <color indexed="81"/>
      <name val="Tahoma"/>
      <family val="2"/>
    </font>
    <font>
      <b/>
      <sz val="9"/>
      <color indexed="81"/>
      <name val="돋움"/>
      <family val="3"/>
      <charset val="129"/>
    </font>
    <font>
      <sz val="9"/>
      <color indexed="81"/>
      <name val="Tahoma"/>
      <family val="2"/>
    </font>
    <font>
      <sz val="12"/>
      <color rgb="FF000000"/>
      <name val="Arial"/>
      <family val="2"/>
    </font>
    <font>
      <b/>
      <sz val="12"/>
      <color indexed="8"/>
      <name val="Arial"/>
      <family val="2"/>
    </font>
    <font>
      <sz val="12"/>
      <color indexed="8"/>
      <name val="Arial"/>
      <family val="2"/>
    </font>
    <font>
      <sz val="12"/>
      <color rgb="FF000000"/>
      <name val="돋움"/>
      <family val="3"/>
      <charset val="129"/>
    </font>
    <font>
      <sz val="12"/>
      <color rgb="FFFF0000"/>
      <name val="Arial"/>
      <family val="2"/>
    </font>
    <font>
      <sz val="12"/>
      <color rgb="FF000000"/>
      <name val="맑은 고딕"/>
      <family val="3"/>
      <charset val="129"/>
    </font>
  </fonts>
  <fills count="73">
    <fill>
      <patternFill patternType="none"/>
    </fill>
    <fill>
      <patternFill patternType="gray125"/>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1" tint="0.499984740745262"/>
        <bgColor indexed="64"/>
      </patternFill>
    </fill>
    <fill>
      <patternFill patternType="solid">
        <fgColor theme="2"/>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79998168889431442"/>
        <bgColor indexed="64"/>
      </patternFill>
    </fill>
  </fills>
  <borders count="113">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1"/>
      </right>
      <top/>
      <bottom style="thin">
        <color theme="0"/>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style="thin">
        <color theme="0"/>
      </right>
      <top/>
      <bottom style="thin">
        <color theme="1"/>
      </bottom>
      <diagonal/>
    </border>
    <border>
      <left/>
      <right style="thin">
        <color theme="1"/>
      </right>
      <top/>
      <bottom/>
      <diagonal/>
    </border>
    <border>
      <left/>
      <right/>
      <top style="thin">
        <color theme="1"/>
      </top>
      <bottom/>
      <diagonal/>
    </border>
    <border>
      <left style="thin">
        <color theme="0"/>
      </left>
      <right style="thin">
        <color theme="1"/>
      </right>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1"/>
      </left>
      <right style="thin">
        <color theme="1"/>
      </right>
      <top style="thin">
        <color theme="0"/>
      </top>
      <bottom style="thin">
        <color theme="0"/>
      </bottom>
      <diagonal/>
    </border>
    <border>
      <left/>
      <right/>
      <top style="thin">
        <color indexed="64"/>
      </top>
      <bottom/>
      <diagonal/>
    </border>
    <border>
      <left style="thin">
        <color theme="0" tint="-0.24994659260841701"/>
      </left>
      <right style="thin">
        <color theme="0" tint="-0.24994659260841701"/>
      </right>
      <top/>
      <bottom/>
      <diagonal/>
    </border>
    <border>
      <left style="thin">
        <color indexed="64"/>
      </left>
      <right style="thin">
        <color theme="0" tint="-0.24994659260841701"/>
      </right>
      <top/>
      <bottom/>
      <diagonal/>
    </border>
    <border>
      <left style="thin">
        <color theme="0" tint="-0.24994659260841701"/>
      </left>
      <right style="thin">
        <color theme="0" tint="-0.24994659260841701"/>
      </right>
      <top style="thin">
        <color indexed="64"/>
      </top>
      <bottom/>
      <diagonal/>
    </border>
    <border>
      <left style="thin">
        <color indexed="64"/>
      </left>
      <right style="thin">
        <color theme="0" tint="-0.24994659260841701"/>
      </right>
      <top style="thin">
        <color indexed="64"/>
      </top>
      <bottom/>
      <diagonal/>
    </border>
    <border>
      <left style="thin">
        <color theme="1"/>
      </left>
      <right style="thin">
        <color theme="1"/>
      </right>
      <top/>
      <bottom style="thin">
        <color theme="0"/>
      </bottom>
      <diagonal/>
    </border>
    <border>
      <left style="thin">
        <color theme="1"/>
      </left>
      <right style="thin">
        <color theme="1"/>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tint="-0.24994659260841701"/>
      </right>
      <top/>
      <bottom style="thin">
        <color theme="0" tint="-0.499984740745262"/>
      </bottom>
      <diagonal/>
    </border>
    <border>
      <left style="thin">
        <color theme="0" tint="-0.24994659260841701"/>
      </left>
      <right style="thin">
        <color theme="0" tint="-0.24994659260841701"/>
      </right>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499984740745262"/>
      </bottom>
      <diagonal/>
    </border>
    <border>
      <left style="thin">
        <color theme="0" tint="-0.24994659260841701"/>
      </left>
      <right style="thin">
        <color indexed="64"/>
      </right>
      <top style="thin">
        <color theme="0" tint="-0.499984740745262"/>
      </top>
      <bottom style="thin">
        <color theme="0" tint="-0.24994659260841701"/>
      </bottom>
      <diagonal/>
    </border>
  </borders>
  <cellStyleXfs count="18447">
    <xf numFmtId="0" fontId="0" fillId="0" borderId="0">
      <alignment vertical="center"/>
    </xf>
    <xf numFmtId="177"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9" fontId="13"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177" fontId="7" fillId="0" borderId="0" applyFont="0" applyFill="0" applyBorder="0" applyAlignment="0" applyProtection="0">
      <alignment vertical="center"/>
    </xf>
    <xf numFmtId="0" fontId="7" fillId="0" borderId="0">
      <alignment vertical="center"/>
    </xf>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180" fontId="24" fillId="0" borderId="0" applyFont="0" applyFill="0" applyBorder="0" applyAlignment="0" applyProtection="0"/>
    <xf numFmtId="0" fontId="14" fillId="0" borderId="0"/>
    <xf numFmtId="181" fontId="24" fillId="0" borderId="0" applyFont="0" applyFill="0" applyBorder="0" applyAlignment="0" applyProtection="0"/>
    <xf numFmtId="0" fontId="25" fillId="0" borderId="0"/>
    <xf numFmtId="0" fontId="26" fillId="0" borderId="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8" fillId="0" borderId="0">
      <protection locked="0"/>
    </xf>
    <xf numFmtId="0" fontId="27" fillId="0" borderId="0">
      <protection locked="0"/>
    </xf>
    <xf numFmtId="0" fontId="27" fillId="0" borderId="0">
      <protection locked="0"/>
    </xf>
    <xf numFmtId="0" fontId="28" fillId="0" borderId="0">
      <protection locked="0"/>
    </xf>
    <xf numFmtId="0" fontId="29" fillId="0" borderId="18">
      <alignment horizontal="center"/>
    </xf>
    <xf numFmtId="0" fontId="30" fillId="0" borderId="0"/>
    <xf numFmtId="182" fontId="31" fillId="0" borderId="19" applyBorder="0">
      <alignment horizontal="center"/>
    </xf>
    <xf numFmtId="10" fontId="31" fillId="0" borderId="19" applyBorder="0">
      <alignment horizontal="center"/>
    </xf>
    <xf numFmtId="0" fontId="31" fillId="0" borderId="0"/>
    <xf numFmtId="0" fontId="26" fillId="0" borderId="15">
      <alignment horizontal="centerContinuous" vertical="center"/>
    </xf>
    <xf numFmtId="3" fontId="24" fillId="0" borderId="20"/>
    <xf numFmtId="3" fontId="32" fillId="0" borderId="0" applyFont="0" applyFill="0" applyBorder="0" applyAlignment="0" applyProtection="0">
      <alignment vertical="center"/>
    </xf>
    <xf numFmtId="183" fontId="21" fillId="0" borderId="0" applyFont="0" applyFill="0" applyBorder="0" applyAlignment="0" applyProtection="0"/>
    <xf numFmtId="184" fontId="27" fillId="0" borderId="0" applyFont="0" applyFill="0" applyBorder="0" applyAlignment="0" applyProtection="0"/>
    <xf numFmtId="185" fontId="21" fillId="0" borderId="20" applyFont="0" applyFill="0" applyBorder="0" applyAlignment="0" applyProtection="0">
      <alignment vertical="center"/>
    </xf>
    <xf numFmtId="186" fontId="27" fillId="0" borderId="0" applyFont="0" applyFill="0" applyBorder="0" applyAlignment="0" applyProtection="0"/>
    <xf numFmtId="187" fontId="21" fillId="0" borderId="0" applyFont="0" applyFill="0" applyBorder="0" applyAlignment="0" applyProtection="0"/>
    <xf numFmtId="188" fontId="21" fillId="0" borderId="0" applyFont="0" applyFill="0" applyBorder="0" applyAlignment="0" applyProtection="0"/>
    <xf numFmtId="187" fontId="21" fillId="0" borderId="0" applyFont="0" applyFill="0" applyBorder="0" applyAlignment="0" applyProtection="0"/>
    <xf numFmtId="189" fontId="21" fillId="0" borderId="0" applyFont="0" applyFill="0" applyBorder="0" applyAlignment="0" applyProtection="0"/>
    <xf numFmtId="190" fontId="21" fillId="0" borderId="0" applyFont="0" applyFill="0" applyBorder="0" applyAlignment="0" applyProtection="0"/>
    <xf numFmtId="191" fontId="21" fillId="0" borderId="0" applyFont="0" applyFill="0" applyBorder="0" applyAlignment="0" applyProtection="0"/>
    <xf numFmtId="192" fontId="21" fillId="0" borderId="0" applyFont="0" applyFill="0" applyBorder="0" applyAlignment="0" applyProtection="0"/>
    <xf numFmtId="193" fontId="21" fillId="0" borderId="0" applyFont="0" applyFill="0" applyBorder="0" applyAlignment="0" applyProtection="0"/>
    <xf numFmtId="194" fontId="21" fillId="0" borderId="0" applyFont="0" applyFill="0" applyBorder="0" applyAlignment="0" applyProtection="0"/>
    <xf numFmtId="195" fontId="21" fillId="0" borderId="0" applyFont="0" applyFill="0" applyBorder="0" applyAlignment="0" applyProtection="0"/>
    <xf numFmtId="196" fontId="21" fillId="0" borderId="0" applyFont="0" applyFill="0" applyBorder="0" applyAlignment="0" applyProtection="0"/>
    <xf numFmtId="197" fontId="2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89" fontId="27" fillId="0" borderId="0">
      <alignment vertical="center"/>
    </xf>
    <xf numFmtId="198" fontId="21" fillId="0" borderId="0" applyFont="0" applyFill="0" applyBorder="0" applyAlignment="0" applyProtection="0"/>
    <xf numFmtId="199" fontId="21" fillId="0" borderId="20" applyFont="0" applyFill="0" applyBorder="0" applyAlignment="0" applyProtection="0">
      <alignment vertical="center"/>
    </xf>
    <xf numFmtId="200" fontId="21" fillId="0" borderId="0" applyFont="0" applyFill="0" applyBorder="0" applyAlignment="0" applyProtection="0"/>
    <xf numFmtId="201" fontId="21" fillId="0" borderId="0" applyFont="0" applyFill="0" applyBorder="0" applyAlignment="0" applyProtection="0"/>
    <xf numFmtId="202" fontId="21" fillId="0" borderId="0" applyFont="0" applyFill="0" applyBorder="0" applyAlignment="0" applyProtection="0"/>
    <xf numFmtId="203" fontId="21" fillId="0" borderId="0" applyFont="0" applyFill="0" applyBorder="0" applyAlignment="0" applyProtection="0"/>
    <xf numFmtId="204" fontId="21" fillId="0" borderId="0" applyFont="0" applyFill="0" applyBorder="0" applyAlignment="0" applyProtection="0"/>
    <xf numFmtId="205" fontId="21" fillId="0" borderId="0" applyFont="0" applyFill="0" applyBorder="0" applyAlignment="0" applyProtection="0"/>
    <xf numFmtId="206" fontId="21" fillId="0" borderId="0" applyFont="0" applyFill="0" applyBorder="0" applyAlignment="0" applyProtection="0"/>
    <xf numFmtId="207" fontId="21" fillId="0" borderId="0" applyFont="0" applyFill="0" applyBorder="0" applyAlignment="0" applyProtection="0"/>
    <xf numFmtId="186" fontId="21" fillId="0" borderId="0" applyFont="0" applyFill="0" applyBorder="0" applyAlignment="0" applyProtection="0"/>
    <xf numFmtId="208" fontId="21" fillId="0" borderId="0" applyFont="0" applyFill="0" applyBorder="0" applyAlignment="0" applyProtection="0"/>
    <xf numFmtId="0" fontId="2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4" fontId="27" fillId="0" borderId="0">
      <alignment vertical="center"/>
    </xf>
    <xf numFmtId="209" fontId="27" fillId="0" borderId="0">
      <alignment vertical="center"/>
    </xf>
    <xf numFmtId="3" fontId="24" fillId="0" borderId="20"/>
    <xf numFmtId="24" fontId="29" fillId="0" borderId="0" applyFont="0" applyFill="0" applyBorder="0" applyAlignment="0" applyProtection="0"/>
    <xf numFmtId="210" fontId="19" fillId="0" borderId="0" applyNumberFormat="0" applyFont="0" applyFill="0" applyBorder="0" applyAlignment="0" applyProtection="0"/>
    <xf numFmtId="210" fontId="19" fillId="0" borderId="0" applyNumberFormat="0" applyFont="0" applyFill="0" applyBorder="0" applyAlignment="0" applyProtection="0"/>
    <xf numFmtId="211" fontId="21" fillId="0" borderId="0" applyNumberFormat="0" applyFont="0" applyFill="0" applyBorder="0" applyAlignment="0" applyProtection="0"/>
    <xf numFmtId="0" fontId="21" fillId="0" borderId="0" applyFont="0" applyFill="0" applyBorder="0" applyAlignment="0" applyProtection="0">
      <alignment vertical="center"/>
    </xf>
    <xf numFmtId="0" fontId="33" fillId="0" borderId="0">
      <alignment vertical="center"/>
    </xf>
    <xf numFmtId="0" fontId="34" fillId="0" borderId="0">
      <alignment vertical="center"/>
    </xf>
    <xf numFmtId="212" fontId="35" fillId="0" borderId="20" applyFill="0" applyBorder="0" applyProtection="0">
      <alignment horizontal="right" vertical="center"/>
    </xf>
    <xf numFmtId="0" fontId="33" fillId="0" borderId="0">
      <alignment vertical="center"/>
    </xf>
    <xf numFmtId="0" fontId="17" fillId="0" borderId="21" applyNumberFormat="0" applyFont="0" applyFill="0" applyAlignment="0">
      <alignment horizontal="center" vertical="center"/>
    </xf>
    <xf numFmtId="0" fontId="21" fillId="0" borderId="0"/>
    <xf numFmtId="0" fontId="36" fillId="0" borderId="0" applyFont="0" applyFill="0" applyBorder="0" applyAlignment="0" applyProtection="0"/>
    <xf numFmtId="0" fontId="25" fillId="0" borderId="0"/>
    <xf numFmtId="0" fontId="27" fillId="0" borderId="0"/>
    <xf numFmtId="0" fontId="37" fillId="0" borderId="0"/>
    <xf numFmtId="0" fontId="27" fillId="0" borderId="0"/>
    <xf numFmtId="0" fontId="27" fillId="0" borderId="0"/>
    <xf numFmtId="0" fontId="14" fillId="0" borderId="0" applyFont="0" applyFill="0" applyBorder="0" applyAlignment="0" applyProtection="0"/>
    <xf numFmtId="179" fontId="38" fillId="0" borderId="0" applyFont="0" applyFill="0" applyBorder="0" applyAlignment="0" applyProtection="0"/>
    <xf numFmtId="213" fontId="21" fillId="0" borderId="0" applyFont="0" applyFill="0" applyBorder="0" applyAlignment="0" applyProtection="0"/>
    <xf numFmtId="179" fontId="38" fillId="0" borderId="0" applyFont="0" applyFill="0" applyBorder="0" applyAlignment="0" applyProtection="0"/>
    <xf numFmtId="213" fontId="21" fillId="0" borderId="0" applyFont="0" applyFill="0" applyBorder="0" applyAlignment="0" applyProtection="0"/>
    <xf numFmtId="214" fontId="21" fillId="0" borderId="0" applyFont="0" applyFill="0" applyBorder="0" applyAlignment="0" applyProtection="0"/>
    <xf numFmtId="215" fontId="38" fillId="0" borderId="0" applyFont="0" applyFill="0" applyBorder="0" applyAlignment="0" applyProtection="0"/>
    <xf numFmtId="214" fontId="21" fillId="0" borderId="0" applyFont="0" applyFill="0" applyBorder="0" applyAlignment="0" applyProtection="0"/>
    <xf numFmtId="215" fontId="38" fillId="0" borderId="0" applyFont="0" applyFill="0" applyBorder="0" applyAlignment="0" applyProtection="0"/>
    <xf numFmtId="179" fontId="39" fillId="0" borderId="0" applyFont="0" applyFill="0" applyBorder="0" applyAlignment="0" applyProtection="0"/>
    <xf numFmtId="9" fontId="40" fillId="0" borderId="0" applyFont="0" applyFill="0" applyBorder="0" applyAlignment="0" applyProtection="0"/>
    <xf numFmtId="0" fontId="40"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applyNumberFormat="0" applyFill="0" applyBorder="0" applyAlignment="0" applyProtection="0"/>
    <xf numFmtId="0" fontId="14" fillId="0" borderId="0"/>
    <xf numFmtId="0" fontId="21" fillId="0" borderId="0"/>
    <xf numFmtId="0" fontId="41"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1" fillId="0" borderId="0"/>
    <xf numFmtId="0" fontId="14" fillId="0" borderId="0"/>
    <xf numFmtId="0" fontId="14" fillId="0" borderId="0"/>
    <xf numFmtId="0" fontId="21" fillId="0" borderId="0"/>
    <xf numFmtId="0" fontId="21" fillId="0" borderId="0"/>
    <xf numFmtId="0" fontId="21" fillId="0" borderId="0"/>
    <xf numFmtId="0" fontId="14" fillId="0" borderId="0"/>
    <xf numFmtId="0" fontId="14" fillId="0" borderId="0"/>
    <xf numFmtId="0" fontId="14" fillId="0" borderId="0"/>
    <xf numFmtId="0" fontId="41" fillId="0" borderId="0"/>
    <xf numFmtId="0" fontId="14" fillId="0" borderId="0"/>
    <xf numFmtId="0" fontId="14" fillId="0" borderId="0"/>
    <xf numFmtId="0" fontId="41" fillId="0" borderId="0"/>
    <xf numFmtId="0" fontId="14" fillId="0" borderId="0" applyNumberFormat="0" applyFill="0" applyBorder="0" applyAlignment="0" applyProtection="0"/>
    <xf numFmtId="0" fontId="1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applyFont="0" applyFill="0" applyBorder="0" applyAlignment="0" applyProtection="0"/>
    <xf numFmtId="0" fontId="31" fillId="0" borderId="0" applyFont="0" applyFill="0" applyBorder="0" applyAlignment="0" applyProtection="0"/>
    <xf numFmtId="0" fontId="41" fillId="0" borderId="0"/>
    <xf numFmtId="0" fontId="21" fillId="0" borderId="0"/>
    <xf numFmtId="0" fontId="21" fillId="0" borderId="0"/>
    <xf numFmtId="0" fontId="21" fillId="0" borderId="0"/>
    <xf numFmtId="0" fontId="14" fillId="0" borderId="0"/>
    <xf numFmtId="0" fontId="14" fillId="0" borderId="0" applyNumberFormat="0" applyFill="0" applyBorder="0" applyAlignment="0" applyProtection="0"/>
    <xf numFmtId="0" fontId="41" fillId="0" borderId="0"/>
    <xf numFmtId="0" fontId="41" fillId="0" borderId="0"/>
    <xf numFmtId="0" fontId="41" fillId="0" borderId="0"/>
    <xf numFmtId="0" fontId="41" fillId="0" borderId="0"/>
    <xf numFmtId="0" fontId="14" fillId="0" borderId="0"/>
    <xf numFmtId="0" fontId="29" fillId="0" borderId="0"/>
    <xf numFmtId="0" fontId="30" fillId="0" borderId="0"/>
    <xf numFmtId="0" fontId="14" fillId="0" borderId="0"/>
    <xf numFmtId="0" fontId="29"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applyNumberFormat="0" applyFill="0" applyBorder="0" applyAlignment="0" applyProtection="0"/>
    <xf numFmtId="0" fontId="29" fillId="0" borderId="0"/>
    <xf numFmtId="0" fontId="29" fillId="0" borderId="0"/>
    <xf numFmtId="0" fontId="30"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41" fillId="0" borderId="0"/>
    <xf numFmtId="0" fontId="41" fillId="0" borderId="0"/>
    <xf numFmtId="0" fontId="41" fillId="0" borderId="0"/>
    <xf numFmtId="0" fontId="31" fillId="0" borderId="0" applyFont="0" applyFill="0" applyBorder="0" applyAlignment="0" applyProtection="0"/>
    <xf numFmtId="0" fontId="14" fillId="0" borderId="0"/>
    <xf numFmtId="0" fontId="14" fillId="0" borderId="0" applyNumberFormat="0" applyFill="0" applyBorder="0" applyAlignment="0" applyProtection="0"/>
    <xf numFmtId="0" fontId="14" fillId="0" borderId="0"/>
    <xf numFmtId="0" fontId="29"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1" fillId="0" borderId="0" applyFont="0" applyFill="0" applyBorder="0" applyAlignment="0" applyProtection="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14" fillId="0" borderId="0"/>
    <xf numFmtId="0" fontId="29" fillId="0" borderId="0"/>
    <xf numFmtId="0" fontId="29" fillId="0" borderId="0"/>
    <xf numFmtId="0" fontId="29" fillId="0" borderId="0"/>
    <xf numFmtId="0" fontId="14" fillId="0" borderId="0"/>
    <xf numFmtId="0" fontId="41" fillId="0" borderId="0"/>
    <xf numFmtId="0" fontId="21" fillId="0" borderId="0"/>
    <xf numFmtId="0" fontId="14" fillId="0" borderId="0"/>
    <xf numFmtId="0" fontId="21" fillId="0" borderId="0"/>
    <xf numFmtId="0" fontId="29" fillId="0" borderId="0"/>
    <xf numFmtId="0" fontId="21" fillId="0" borderId="0"/>
    <xf numFmtId="0" fontId="29" fillId="0" borderId="0"/>
    <xf numFmtId="0" fontId="21" fillId="0" borderId="0"/>
    <xf numFmtId="0" fontId="21" fillId="0" borderId="0"/>
    <xf numFmtId="0" fontId="21" fillId="0" borderId="0"/>
    <xf numFmtId="0" fontId="14" fillId="0" borderId="0"/>
    <xf numFmtId="0" fontId="14"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14" fillId="0" borderId="0"/>
    <xf numFmtId="0" fontId="21" fillId="0" borderId="0"/>
    <xf numFmtId="0" fontId="21" fillId="0" borderId="0"/>
    <xf numFmtId="0" fontId="21" fillId="0" borderId="0"/>
    <xf numFmtId="0" fontId="21" fillId="0" borderId="0"/>
    <xf numFmtId="0" fontId="29" fillId="0" borderId="0"/>
    <xf numFmtId="0" fontId="31" fillId="0" borderId="0"/>
    <xf numFmtId="0" fontId="31" fillId="0" borderId="0"/>
    <xf numFmtId="0" fontId="31" fillId="0" borderId="0"/>
    <xf numFmtId="0" fontId="41" fillId="0" borderId="0"/>
    <xf numFmtId="0" fontId="14" fillId="0" borderId="0"/>
    <xf numFmtId="0" fontId="41" fillId="0" borderId="0"/>
    <xf numFmtId="0" fontId="31" fillId="0" borderId="0"/>
    <xf numFmtId="0" fontId="31" fillId="0" borderId="0"/>
    <xf numFmtId="0" fontId="41" fillId="0" borderId="0"/>
    <xf numFmtId="0" fontId="31" fillId="0" borderId="0" applyFont="0" applyFill="0" applyBorder="0" applyAlignment="0" applyProtection="0"/>
    <xf numFmtId="0" fontId="31" fillId="0" borderId="0" applyFont="0" applyFill="0" applyBorder="0" applyAlignment="0" applyProtection="0"/>
    <xf numFmtId="0" fontId="41" fillId="0" borderId="0"/>
    <xf numFmtId="0" fontId="29" fillId="0" borderId="0"/>
    <xf numFmtId="0" fontId="14" fillId="0" borderId="0"/>
    <xf numFmtId="0" fontId="30" fillId="0" borderId="0"/>
    <xf numFmtId="0" fontId="14" fillId="0" borderId="0"/>
    <xf numFmtId="0" fontId="29" fillId="0" borderId="0"/>
    <xf numFmtId="0" fontId="29" fillId="0" borderId="0"/>
    <xf numFmtId="0" fontId="14" fillId="0" borderId="0"/>
    <xf numFmtId="0" fontId="29" fillId="0" borderId="0"/>
    <xf numFmtId="0" fontId="29" fillId="0" borderId="0"/>
    <xf numFmtId="0" fontId="29"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41" fillId="0" borderId="0"/>
    <xf numFmtId="0" fontId="31" fillId="0" borderId="0" applyFont="0" applyFill="0" applyBorder="0" applyAlignment="0" applyProtection="0"/>
    <xf numFmtId="0" fontId="21" fillId="0" borderId="0"/>
    <xf numFmtId="0" fontId="14" fillId="0" borderId="0"/>
    <xf numFmtId="178" fontId="24" fillId="0" borderId="0" applyFont="0" applyFill="0" applyBorder="0" applyAlignment="0" applyProtection="0"/>
    <xf numFmtId="178" fontId="24" fillId="0" borderId="0" applyFont="0" applyFill="0" applyBorder="0" applyAlignment="0" applyProtection="0"/>
    <xf numFmtId="0" fontId="31" fillId="0" borderId="0"/>
    <xf numFmtId="0" fontId="41" fillId="0" borderId="0"/>
    <xf numFmtId="0" fontId="21" fillId="0" borderId="0"/>
    <xf numFmtId="0" fontId="21" fillId="0" borderId="0"/>
    <xf numFmtId="0" fontId="21" fillId="0" borderId="0"/>
    <xf numFmtId="0" fontId="31" fillId="0" borderId="0"/>
    <xf numFmtId="0" fontId="14"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14" fillId="0" borderId="0"/>
    <xf numFmtId="0" fontId="41" fillId="0" borderId="0"/>
    <xf numFmtId="0" fontId="41" fillId="0" borderId="0"/>
    <xf numFmtId="0" fontId="21"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xf numFmtId="0" fontId="14" fillId="0" borderId="0"/>
    <xf numFmtId="0" fontId="31" fillId="0" borderId="0" applyFont="0" applyFill="0" applyBorder="0" applyAlignment="0" applyProtection="0"/>
    <xf numFmtId="0" fontId="14" fillId="0" borderId="0"/>
    <xf numFmtId="0" fontId="14" fillId="0" borderId="0"/>
    <xf numFmtId="0" fontId="14" fillId="0" borderId="0"/>
    <xf numFmtId="0" fontId="31" fillId="0" borderId="0"/>
    <xf numFmtId="0" fontId="41" fillId="0" borderId="0"/>
    <xf numFmtId="0" fontId="31" fillId="0" borderId="0"/>
    <xf numFmtId="0" fontId="41" fillId="0" borderId="0"/>
    <xf numFmtId="0" fontId="31" fillId="0" borderId="0"/>
    <xf numFmtId="0" fontId="41" fillId="0" borderId="0"/>
    <xf numFmtId="0" fontId="14" fillId="0" borderId="0"/>
    <xf numFmtId="0" fontId="31" fillId="0" borderId="0" applyFont="0" applyFill="0" applyBorder="0" applyAlignment="0" applyProtection="0"/>
    <xf numFmtId="0" fontId="14" fillId="0" borderId="0"/>
    <xf numFmtId="0" fontId="41" fillId="0" borderId="0"/>
    <xf numFmtId="0" fontId="29" fillId="0" borderId="0"/>
    <xf numFmtId="0" fontId="14" fillId="0" borderId="0"/>
    <xf numFmtId="0" fontId="14" fillId="0" borderId="0"/>
    <xf numFmtId="0" fontId="14" fillId="0" borderId="0" applyNumberFormat="0" applyFill="0" applyBorder="0" applyAlignment="0" applyProtection="0"/>
    <xf numFmtId="0" fontId="21" fillId="0" borderId="0"/>
    <xf numFmtId="0" fontId="14" fillId="0" borderId="0"/>
    <xf numFmtId="0" fontId="14" fillId="0" borderId="0"/>
    <xf numFmtId="0" fontId="14" fillId="0" borderId="0"/>
    <xf numFmtId="0" fontId="29" fillId="0" borderId="0"/>
    <xf numFmtId="0" fontId="14" fillId="0" borderId="0"/>
    <xf numFmtId="0" fontId="14" fillId="0" borderId="0"/>
    <xf numFmtId="0" fontId="14" fillId="0" borderId="0" applyNumberForma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41" fillId="0" borderId="0"/>
    <xf numFmtId="0" fontId="14" fillId="0" borderId="0" applyNumberFormat="0" applyFill="0" applyBorder="0" applyAlignment="0" applyProtection="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29" fillId="0" borderId="0"/>
    <xf numFmtId="0" fontId="29" fillId="0" borderId="0"/>
    <xf numFmtId="0" fontId="14" fillId="0" borderId="0"/>
    <xf numFmtId="0" fontId="29" fillId="0" borderId="0"/>
    <xf numFmtId="0" fontId="41" fillId="0" borderId="0"/>
    <xf numFmtId="0" fontId="31" fillId="0" borderId="0"/>
    <xf numFmtId="0" fontId="41" fillId="0" borderId="0"/>
    <xf numFmtId="0" fontId="41" fillId="0" borderId="0"/>
    <xf numFmtId="0" fontId="41" fillId="0" borderId="0"/>
    <xf numFmtId="0" fontId="31" fillId="0" borderId="0"/>
    <xf numFmtId="0" fontId="14" fillId="0" borderId="0"/>
    <xf numFmtId="0" fontId="14" fillId="0" borderId="0"/>
    <xf numFmtId="0" fontId="29"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xf numFmtId="0" fontId="14" fillId="0" borderId="0"/>
    <xf numFmtId="0" fontId="31" fillId="0" borderId="0" applyFont="0" applyFill="0" applyBorder="0" applyAlignment="0" applyProtection="0"/>
    <xf numFmtId="0" fontId="14" fillId="0" borderId="0"/>
    <xf numFmtId="0" fontId="14" fillId="0" borderId="0"/>
    <xf numFmtId="0" fontId="29" fillId="0" borderId="0"/>
    <xf numFmtId="0" fontId="14" fillId="0" borderId="0"/>
    <xf numFmtId="0" fontId="29" fillId="0" borderId="0"/>
    <xf numFmtId="0" fontId="30" fillId="0" borderId="0"/>
    <xf numFmtId="0" fontId="14" fillId="0" borderId="0"/>
    <xf numFmtId="0" fontId="14" fillId="0" borderId="0" applyNumberForma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30" fillId="0" borderId="0"/>
    <xf numFmtId="0" fontId="14"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9" fillId="0" borderId="0"/>
    <xf numFmtId="0" fontId="29" fillId="0" borderId="0"/>
    <xf numFmtId="0" fontId="29" fillId="0" borderId="0"/>
    <xf numFmtId="0" fontId="29" fillId="0" borderId="0"/>
    <xf numFmtId="0" fontId="31"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14" fillId="0" borderId="0" applyNumberFormat="0" applyFill="0" applyBorder="0" applyAlignment="0" applyProtection="0"/>
    <xf numFmtId="0" fontId="41" fillId="0" borderId="0"/>
    <xf numFmtId="0" fontId="41" fillId="0" borderId="0"/>
    <xf numFmtId="0" fontId="41" fillId="0" borderId="0"/>
    <xf numFmtId="0" fontId="14" fillId="0" borderId="0" applyNumberFormat="0" applyFill="0" applyBorder="0" applyAlignment="0" applyProtection="0"/>
    <xf numFmtId="0" fontId="14" fillId="0" borderId="0"/>
    <xf numFmtId="0" fontId="31" fillId="0" borderId="0"/>
    <xf numFmtId="0" fontId="29" fillId="0" borderId="0"/>
    <xf numFmtId="0" fontId="14" fillId="0" borderId="0"/>
    <xf numFmtId="0" fontId="31" fillId="0" borderId="0"/>
    <xf numFmtId="0" fontId="14" fillId="0" borderId="0"/>
    <xf numFmtId="0" fontId="29" fillId="0" borderId="0"/>
    <xf numFmtId="0" fontId="30" fillId="0" borderId="0"/>
    <xf numFmtId="0" fontId="29" fillId="0" borderId="0"/>
    <xf numFmtId="0" fontId="14" fillId="0" borderId="0"/>
    <xf numFmtId="0" fontId="14" fillId="0" borderId="0"/>
    <xf numFmtId="0" fontId="14" fillId="0" borderId="0"/>
    <xf numFmtId="0" fontId="29" fillId="0" borderId="0"/>
    <xf numFmtId="0" fontId="29" fillId="0" borderId="0"/>
    <xf numFmtId="0" fontId="14" fillId="0" borderId="0"/>
    <xf numFmtId="0" fontId="29" fillId="0" borderId="0"/>
    <xf numFmtId="0" fontId="14" fillId="0" borderId="0"/>
    <xf numFmtId="0" fontId="29" fillId="0" borderId="0"/>
    <xf numFmtId="0" fontId="14" fillId="0" borderId="0"/>
    <xf numFmtId="0" fontId="29" fillId="0" borderId="0"/>
    <xf numFmtId="0" fontId="30" fillId="0" borderId="0"/>
    <xf numFmtId="0" fontId="14" fillId="0" borderId="0"/>
    <xf numFmtId="0" fontId="14" fillId="0" borderId="0"/>
    <xf numFmtId="0" fontId="29" fillId="0" borderId="0"/>
    <xf numFmtId="0" fontId="21" fillId="0" borderId="0"/>
    <xf numFmtId="0" fontId="21" fillId="0" borderId="0"/>
    <xf numFmtId="0" fontId="21" fillId="0" borderId="0"/>
    <xf numFmtId="0" fontId="21" fillId="0" borderId="0"/>
    <xf numFmtId="178" fontId="24" fillId="0" borderId="0" applyFont="0" applyFill="0" applyBorder="0" applyAlignment="0" applyProtection="0"/>
    <xf numFmtId="178" fontId="24" fillId="0" borderId="0" applyFont="0" applyFill="0" applyBorder="0" applyAlignment="0" applyProtection="0"/>
    <xf numFmtId="0" fontId="14" fillId="0" borderId="0"/>
    <xf numFmtId="0" fontId="14"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9" fillId="0" borderId="0"/>
    <xf numFmtId="0" fontId="31" fillId="0" borderId="0"/>
    <xf numFmtId="0" fontId="29"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1" fillId="0" borderId="0"/>
    <xf numFmtId="0" fontId="31" fillId="0" borderId="0" applyFont="0" applyFill="0" applyBorder="0" applyAlignment="0" applyProtection="0"/>
    <xf numFmtId="0" fontId="31" fillId="0" borderId="0" applyFont="0" applyFill="0" applyBorder="0" applyAlignment="0" applyProtection="0"/>
    <xf numFmtId="0" fontId="14" fillId="0" borderId="0"/>
    <xf numFmtId="0" fontId="14" fillId="0" borderId="0"/>
    <xf numFmtId="0" fontId="14" fillId="0" borderId="0"/>
    <xf numFmtId="0" fontId="41" fillId="0" borderId="0"/>
    <xf numFmtId="0" fontId="41"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applyFont="0" applyFill="0" applyBorder="0" applyAlignment="0" applyProtection="0"/>
    <xf numFmtId="0" fontId="31" fillId="0" borderId="0"/>
    <xf numFmtId="0" fontId="29" fillId="0" borderId="0"/>
    <xf numFmtId="0" fontId="29" fillId="0" borderId="0"/>
    <xf numFmtId="0" fontId="14" fillId="0" borderId="0"/>
    <xf numFmtId="0" fontId="14" fillId="0" borderId="0" applyNumberFormat="0" applyFill="0" applyBorder="0" applyAlignment="0" applyProtection="0"/>
    <xf numFmtId="0" fontId="41" fillId="0" borderId="0"/>
    <xf numFmtId="0" fontId="31" fillId="0" borderId="0"/>
    <xf numFmtId="0" fontId="29"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28" fillId="0" borderId="0">
      <protection locked="0"/>
    </xf>
    <xf numFmtId="0" fontId="28" fillId="0" borderId="0">
      <protection locked="0"/>
    </xf>
    <xf numFmtId="0" fontId="42" fillId="0" borderId="0">
      <protection locked="0"/>
    </xf>
    <xf numFmtId="214" fontId="21" fillId="0" borderId="0" applyFont="0" applyFill="0" applyBorder="0" applyAlignment="0" applyProtection="0"/>
    <xf numFmtId="213" fontId="21"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43" fillId="0" borderId="0"/>
    <xf numFmtId="0" fontId="21" fillId="0" borderId="0" applyFont="0" applyFill="0" applyBorder="0" applyProtection="0">
      <alignment vertical="center"/>
    </xf>
    <xf numFmtId="0" fontId="21" fillId="0" borderId="0">
      <alignment vertical="center"/>
    </xf>
    <xf numFmtId="216" fontId="44" fillId="0" borderId="0" applyFont="0" applyFill="0" applyBorder="0" applyAlignment="0" applyProtection="0">
      <alignment vertical="center"/>
    </xf>
    <xf numFmtId="0" fontId="21" fillId="0" borderId="0" applyFont="0" applyFill="0" applyBorder="0" applyAlignment="0" applyProtection="0">
      <alignment vertical="center"/>
    </xf>
    <xf numFmtId="0" fontId="33" fillId="0" borderId="0">
      <alignment vertical="center"/>
    </xf>
    <xf numFmtId="0" fontId="33" fillId="0" borderId="0">
      <alignment vertical="center"/>
    </xf>
    <xf numFmtId="0" fontId="28" fillId="0" borderId="0">
      <protection locked="0"/>
    </xf>
    <xf numFmtId="217" fontId="21" fillId="0" borderId="0">
      <protection locked="0"/>
    </xf>
    <xf numFmtId="0" fontId="28" fillId="0" borderId="0">
      <protection locked="0"/>
    </xf>
    <xf numFmtId="0" fontId="45" fillId="0" borderId="0">
      <protection locked="0"/>
    </xf>
    <xf numFmtId="0" fontId="45" fillId="0" borderId="0">
      <protection locked="0"/>
    </xf>
    <xf numFmtId="0" fontId="39" fillId="0" borderId="0"/>
    <xf numFmtId="218" fontId="42" fillId="0" borderId="0">
      <protection locked="0"/>
    </xf>
    <xf numFmtId="215" fontId="39" fillId="0" borderId="0" applyFont="0" applyFill="0" applyBorder="0" applyAlignment="0" applyProtection="0"/>
    <xf numFmtId="179" fontId="39" fillId="0" borderId="0" applyFont="0" applyFill="0" applyBorder="0" applyAlignment="0" applyProtection="0"/>
    <xf numFmtId="0" fontId="14" fillId="0" borderId="0"/>
    <xf numFmtId="0" fontId="15" fillId="0" borderId="20">
      <alignment vertical="center"/>
    </xf>
    <xf numFmtId="9" fontId="26" fillId="0" borderId="0">
      <alignment vertical="center"/>
    </xf>
    <xf numFmtId="0" fontId="21" fillId="0" borderId="0"/>
    <xf numFmtId="0" fontId="46" fillId="0" borderId="0"/>
    <xf numFmtId="0" fontId="27" fillId="0" borderId="0"/>
    <xf numFmtId="0" fontId="27" fillId="0" borderId="0"/>
    <xf numFmtId="0" fontId="27" fillId="0" borderId="0"/>
    <xf numFmtId="0" fontId="27" fillId="0" borderId="0"/>
    <xf numFmtId="0" fontId="27" fillId="0" borderId="0"/>
    <xf numFmtId="183" fontId="47" fillId="0" borderId="22" applyFill="0" applyProtection="0">
      <alignment horizontal="center"/>
    </xf>
    <xf numFmtId="3" fontId="24" fillId="0" borderId="20"/>
    <xf numFmtId="0" fontId="26" fillId="0" borderId="0">
      <alignment vertical="center"/>
    </xf>
    <xf numFmtId="3" fontId="24" fillId="0" borderId="20"/>
    <xf numFmtId="10" fontId="26" fillId="0" borderId="0">
      <alignment vertical="center"/>
    </xf>
    <xf numFmtId="0" fontId="26" fillId="0" borderId="0">
      <alignment vertical="center"/>
    </xf>
    <xf numFmtId="219" fontId="21" fillId="0" borderId="0">
      <alignment vertical="center"/>
    </xf>
    <xf numFmtId="0" fontId="15" fillId="0" borderId="20">
      <alignment vertical="center"/>
    </xf>
    <xf numFmtId="0" fontId="27" fillId="0" borderId="0">
      <alignment vertical="center"/>
    </xf>
    <xf numFmtId="0" fontId="21" fillId="0" borderId="0"/>
    <xf numFmtId="0" fontId="48" fillId="0" borderId="23"/>
    <xf numFmtId="3" fontId="49" fillId="0" borderId="4">
      <alignment horizontal="right" vertical="center"/>
    </xf>
    <xf numFmtId="220" fontId="14" fillId="0" borderId="0" applyFont="0" applyFill="0" applyBorder="0" applyAlignment="0" applyProtection="0"/>
    <xf numFmtId="3" fontId="49" fillId="0" borderId="4">
      <alignment horizontal="right" vertical="center"/>
    </xf>
    <xf numFmtId="0" fontId="33" fillId="0" borderId="0"/>
    <xf numFmtId="0" fontId="33" fillId="0" borderId="0"/>
    <xf numFmtId="0" fontId="33" fillId="0" borderId="0"/>
    <xf numFmtId="0" fontId="33" fillId="0" borderId="0"/>
    <xf numFmtId="3" fontId="49" fillId="0" borderId="4">
      <alignment horizontal="right" vertical="center"/>
    </xf>
    <xf numFmtId="0" fontId="33" fillId="0" borderId="0"/>
    <xf numFmtId="0" fontId="33" fillId="0" borderId="0"/>
    <xf numFmtId="0" fontId="33" fillId="0" borderId="0"/>
    <xf numFmtId="3" fontId="49" fillId="0" borderId="4">
      <alignment horizontal="right" vertical="center"/>
    </xf>
    <xf numFmtId="3" fontId="49" fillId="0" borderId="4">
      <alignment horizontal="right" vertical="center"/>
    </xf>
    <xf numFmtId="177" fontId="27" fillId="0" borderId="0">
      <alignment horizontal="center" vertical="center"/>
    </xf>
    <xf numFmtId="177" fontId="27" fillId="0" borderId="0">
      <alignment horizontal="center" vertical="center"/>
    </xf>
    <xf numFmtId="221" fontId="50" fillId="0" borderId="0">
      <alignment horizontal="center" vertical="center"/>
    </xf>
    <xf numFmtId="3" fontId="49" fillId="0" borderId="4">
      <alignment horizontal="right" vertical="center"/>
    </xf>
    <xf numFmtId="3" fontId="49" fillId="0" borderId="4">
      <alignment horizontal="right" vertical="center"/>
    </xf>
    <xf numFmtId="0" fontId="33" fillId="0" borderId="0"/>
    <xf numFmtId="0" fontId="33" fillId="0" borderId="0"/>
    <xf numFmtId="3" fontId="49" fillId="0" borderId="4">
      <alignment horizontal="right" vertical="center"/>
    </xf>
    <xf numFmtId="0" fontId="33" fillId="0" borderId="0"/>
    <xf numFmtId="3" fontId="49" fillId="0" borderId="4">
      <alignment horizontal="right" vertical="center"/>
    </xf>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4"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218" fontId="52" fillId="0" borderId="0">
      <protection locked="0"/>
    </xf>
    <xf numFmtId="9" fontId="53" fillId="0" borderId="0" applyFont="0" applyFill="0" applyBorder="0" applyAlignment="0" applyProtection="0"/>
    <xf numFmtId="10" fontId="54" fillId="0" borderId="0" applyFont="0" applyFill="0" applyBorder="0" applyAlignment="0" applyProtection="0"/>
    <xf numFmtId="2" fontId="49" fillId="0" borderId="4">
      <alignment horizontal="right" vertical="center"/>
    </xf>
    <xf numFmtId="0" fontId="27" fillId="0" borderId="0"/>
    <xf numFmtId="0" fontId="27" fillId="0" borderId="1">
      <alignment horizontal="center"/>
    </xf>
    <xf numFmtId="2" fontId="49" fillId="0" borderId="4">
      <alignment horizontal="righ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55"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55"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55"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4"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55"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55"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55"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35"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46" fillId="37"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46" fillId="3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46" fillId="40"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46" fillId="41"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46" fillId="42"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14" fillId="0" borderId="0"/>
    <xf numFmtId="0" fontId="28" fillId="0" borderId="0">
      <protection locked="0"/>
    </xf>
    <xf numFmtId="0" fontId="42" fillId="0" borderId="0">
      <protection locked="0"/>
    </xf>
    <xf numFmtId="222" fontId="31" fillId="0" borderId="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55"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55"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45"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55"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3"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55"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55"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2"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55"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4"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46" fillId="3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46" fillId="46"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46" fillId="40"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46" fillId="44"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56" fillId="28" borderId="0" applyNumberFormat="0" applyBorder="0" applyAlignment="0" applyProtection="0">
      <alignment vertical="center"/>
    </xf>
    <xf numFmtId="0" fontId="46" fillId="47"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0" fontId="56" fillId="32" borderId="0" applyNumberFormat="0" applyBorder="0" applyAlignment="0" applyProtection="0">
      <alignment vertical="center"/>
    </xf>
    <xf numFmtId="9" fontId="27" fillId="0" borderId="0">
      <protection locked="0"/>
    </xf>
    <xf numFmtId="0" fontId="57" fillId="48"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8"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8"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36" borderId="0" applyNumberFormat="0" applyBorder="0" applyAlignment="0" applyProtection="0">
      <alignment vertical="center"/>
    </xf>
    <xf numFmtId="0" fontId="57" fillId="45"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8"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6" borderId="0" applyNumberFormat="0" applyBorder="0" applyAlignment="0" applyProtection="0">
      <alignment vertical="center"/>
    </xf>
    <xf numFmtId="0" fontId="57" fillId="43"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8"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8"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2"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8"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51" borderId="0" applyNumberFormat="0" applyBorder="0" applyAlignment="0" applyProtection="0">
      <alignment vertical="center"/>
    </xf>
    <xf numFmtId="0" fontId="57" fillId="49"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7" fillId="36"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7" fillId="46"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7" fillId="50"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7" fillId="48"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7" fillId="51"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59" fillId="33" borderId="0" applyNumberFormat="0" applyBorder="0" applyAlignment="0" applyProtection="0">
      <alignment vertical="center"/>
    </xf>
    <xf numFmtId="0" fontId="14" fillId="0" borderId="0"/>
    <xf numFmtId="0" fontId="60" fillId="0" borderId="24">
      <alignment horizontal="center" vertical="center"/>
    </xf>
    <xf numFmtId="223" fontId="21" fillId="0" borderId="0" applyFont="0" applyFill="0" applyBorder="0" applyAlignment="0" applyProtection="0"/>
    <xf numFmtId="0" fontId="42" fillId="0" borderId="0">
      <protection locked="0"/>
    </xf>
    <xf numFmtId="0" fontId="61" fillId="0" borderId="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62" fillId="0" borderId="0" applyFont="0" applyFill="0" applyBorder="0" applyAlignment="0" applyProtection="0"/>
    <xf numFmtId="0" fontId="62" fillId="0" borderId="0" applyFont="0" applyFill="0" applyBorder="0" applyAlignment="0" applyProtection="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218" fontId="42" fillId="0" borderId="0">
      <protection locked="0"/>
    </xf>
    <xf numFmtId="0" fontId="28" fillId="0" borderId="0">
      <protection locked="0"/>
    </xf>
    <xf numFmtId="0" fontId="28" fillId="0" borderId="0">
      <protection locked="0"/>
    </xf>
    <xf numFmtId="0" fontId="28" fillId="0" borderId="0">
      <protection locked="0"/>
    </xf>
    <xf numFmtId="218" fontId="42" fillId="0" borderId="0">
      <protection locked="0"/>
    </xf>
    <xf numFmtId="0" fontId="28" fillId="0" borderId="0">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58" fillId="50"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58" fillId="48"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24" fontId="33" fillId="56" borderId="25">
      <alignment horizontal="center" vertical="center"/>
    </xf>
    <xf numFmtId="218" fontId="42" fillId="0" borderId="0">
      <protection locked="0"/>
    </xf>
    <xf numFmtId="0" fontId="42" fillId="0" borderId="0">
      <protection locked="0"/>
    </xf>
    <xf numFmtId="0" fontId="21" fillId="0" borderId="0">
      <protection locked="0"/>
    </xf>
    <xf numFmtId="218" fontId="52" fillId="0" borderId="0">
      <protection locked="0"/>
    </xf>
    <xf numFmtId="0" fontId="63" fillId="0" borderId="0" applyFont="0" applyFill="0" applyBorder="0" applyAlignment="0" applyProtection="0"/>
    <xf numFmtId="225" fontId="53" fillId="0" borderId="0" applyFont="0" applyFill="0" applyBorder="0" applyAlignment="0" applyProtection="0"/>
    <xf numFmtId="0" fontId="54" fillId="0" borderId="0" applyFont="0" applyFill="0" applyBorder="0" applyAlignment="0" applyProtection="0"/>
    <xf numFmtId="225" fontId="53" fillId="0" borderId="0" applyFont="0" applyFill="0" applyBorder="0" applyAlignment="0" applyProtection="0"/>
    <xf numFmtId="0" fontId="12" fillId="0" borderId="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21" fillId="0" borderId="0">
      <protection locked="0"/>
    </xf>
    <xf numFmtId="0" fontId="54" fillId="0" borderId="0" applyFont="0" applyFill="0" applyBorder="0" applyAlignment="0" applyProtection="0"/>
    <xf numFmtId="226" fontId="53" fillId="0" borderId="0" applyFont="0" applyFill="0" applyBorder="0" applyAlignment="0" applyProtection="0"/>
    <xf numFmtId="0" fontId="54" fillId="0" borderId="0" applyFont="0" applyFill="0" applyBorder="0" applyAlignment="0" applyProtection="0"/>
    <xf numFmtId="226" fontId="53" fillId="0" borderId="0" applyFont="0" applyFill="0" applyBorder="0" applyAlignment="0" applyProtection="0"/>
    <xf numFmtId="0" fontId="12" fillId="0" borderId="0"/>
    <xf numFmtId="226" fontId="53" fillId="0" borderId="0" applyFont="0" applyFill="0" applyBorder="0" applyAlignment="0" applyProtection="0"/>
    <xf numFmtId="0" fontId="6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28" fillId="0" borderId="0">
      <protection locked="0"/>
    </xf>
    <xf numFmtId="218" fontId="42" fillId="0" borderId="0">
      <protection locked="0"/>
    </xf>
    <xf numFmtId="0" fontId="62" fillId="0" borderId="0" applyFont="0" applyFill="0" applyBorder="0" applyAlignment="0" applyProtection="0"/>
    <xf numFmtId="0" fontId="62" fillId="0" borderId="0" applyFont="0" applyFill="0" applyBorder="0" applyAlignment="0" applyProtection="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227" fontId="21" fillId="0" borderId="0">
      <protection locked="0"/>
    </xf>
    <xf numFmtId="0" fontId="29" fillId="0" borderId="0"/>
    <xf numFmtId="228" fontId="35" fillId="0" borderId="20" applyFont="0" applyFill="0" applyBorder="0">
      <alignment horizontal="right" vertical="center"/>
    </xf>
    <xf numFmtId="0" fontId="12" fillId="0" borderId="0"/>
    <xf numFmtId="0" fontId="12" fillId="0" borderId="0"/>
    <xf numFmtId="218" fontId="52" fillId="0" borderId="0">
      <protection locked="0"/>
    </xf>
    <xf numFmtId="0" fontId="28" fillId="0" borderId="0">
      <protection locked="0"/>
    </xf>
    <xf numFmtId="0" fontId="42" fillId="0" borderId="0">
      <protection locked="0"/>
    </xf>
    <xf numFmtId="218" fontId="52" fillId="0" borderId="0">
      <protection locked="0"/>
    </xf>
    <xf numFmtId="0" fontId="63" fillId="0" borderId="0" applyFont="0" applyFill="0" applyBorder="0" applyAlignment="0" applyProtection="0"/>
    <xf numFmtId="179" fontId="53" fillId="0" borderId="0" applyFont="0" applyFill="0" applyBorder="0" applyAlignment="0" applyProtection="0"/>
    <xf numFmtId="0" fontId="54" fillId="0" borderId="0" applyFont="0" applyFill="0" applyBorder="0" applyAlignment="0" applyProtection="0"/>
    <xf numFmtId="179" fontId="53" fillId="0" borderId="0" applyFont="0" applyFill="0" applyBorder="0" applyAlignment="0" applyProtection="0"/>
    <xf numFmtId="0" fontId="12" fillId="0" borderId="0"/>
    <xf numFmtId="179" fontId="53" fillId="0" borderId="0" applyFont="0" applyFill="0" applyBorder="0" applyAlignment="0" applyProtection="0"/>
    <xf numFmtId="0" fontId="2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54" fillId="0" borderId="0" applyFont="0" applyFill="0" applyBorder="0" applyAlignment="0" applyProtection="0"/>
    <xf numFmtId="215" fontId="53" fillId="0" borderId="0" applyFont="0" applyFill="0" applyBorder="0" applyAlignment="0" applyProtection="0"/>
    <xf numFmtId="0" fontId="54" fillId="0" borderId="0" applyFont="0" applyFill="0" applyBorder="0" applyAlignment="0" applyProtection="0"/>
    <xf numFmtId="215" fontId="53" fillId="0" borderId="0" applyFont="0" applyFill="0" applyBorder="0" applyAlignment="0" applyProtection="0"/>
    <xf numFmtId="0" fontId="12" fillId="0" borderId="0"/>
    <xf numFmtId="215" fontId="53" fillId="0" borderId="0" applyFont="0" applyFill="0" applyBorder="0" applyAlignment="0" applyProtection="0"/>
    <xf numFmtId="0" fontId="2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8"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4" fontId="42" fillId="0" borderId="0">
      <protection locked="0"/>
    </xf>
    <xf numFmtId="229" fontId="21" fillId="0" borderId="0">
      <protection locked="0"/>
    </xf>
    <xf numFmtId="0" fontId="28" fillId="0" borderId="0">
      <protection locked="0"/>
    </xf>
    <xf numFmtId="0" fontId="28" fillId="0" borderId="0">
      <protection locked="0"/>
    </xf>
    <xf numFmtId="0" fontId="2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69" fillId="37"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0" fillId="0" borderId="0" applyNumberFormat="0" applyFill="0" applyBorder="0" applyAlignment="0" applyProtection="0"/>
    <xf numFmtId="0" fontId="12" fillId="0" borderId="0"/>
    <xf numFmtId="0" fontId="42" fillId="0" borderId="0">
      <protection locked="0"/>
    </xf>
    <xf numFmtId="218" fontId="42"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71" fillId="0" borderId="0"/>
    <xf numFmtId="0" fontId="28" fillId="0" borderId="0">
      <protection locked="0"/>
    </xf>
    <xf numFmtId="0" fontId="28" fillId="0" borderId="0">
      <protection locked="0"/>
    </xf>
    <xf numFmtId="0" fontId="28" fillId="0" borderId="0">
      <protection locked="0"/>
    </xf>
    <xf numFmtId="0" fontId="28" fillId="0" borderId="0">
      <protection locked="0"/>
    </xf>
    <xf numFmtId="218" fontId="52" fillId="0" borderId="0">
      <protection locked="0"/>
    </xf>
    <xf numFmtId="0" fontId="54" fillId="0" borderId="0"/>
    <xf numFmtId="0" fontId="53" fillId="0" borderId="0"/>
    <xf numFmtId="0" fontId="72" fillId="0" borderId="0"/>
    <xf numFmtId="0" fontId="73" fillId="0" borderId="0"/>
    <xf numFmtId="0" fontId="74" fillId="0" borderId="0"/>
    <xf numFmtId="0" fontId="75" fillId="0" borderId="0"/>
    <xf numFmtId="0" fontId="76" fillId="0" borderId="0"/>
    <xf numFmtId="0" fontId="77" fillId="0" borderId="0"/>
    <xf numFmtId="0" fontId="67" fillId="0" borderId="0"/>
    <xf numFmtId="0" fontId="75" fillId="0" borderId="0"/>
    <xf numFmtId="0" fontId="54" fillId="0" borderId="0"/>
    <xf numFmtId="0" fontId="53" fillId="0" borderId="0"/>
    <xf numFmtId="0" fontId="76" fillId="0" borderId="0"/>
    <xf numFmtId="0" fontId="77" fillId="0" borderId="0"/>
    <xf numFmtId="0" fontId="67" fillId="0" borderId="0"/>
    <xf numFmtId="0" fontId="75" fillId="0" borderId="0"/>
    <xf numFmtId="0" fontId="76" fillId="0" borderId="0"/>
    <xf numFmtId="0" fontId="77" fillId="0" borderId="0"/>
    <xf numFmtId="0" fontId="67" fillId="0" borderId="0"/>
    <xf numFmtId="0" fontId="75" fillId="0" borderId="0"/>
    <xf numFmtId="49" fontId="54" fillId="0" borderId="0" applyBorder="0"/>
    <xf numFmtId="0" fontId="66" fillId="0" borderId="0"/>
    <xf numFmtId="0" fontId="67" fillId="0" borderId="0"/>
    <xf numFmtId="0" fontId="77" fillId="0" borderId="0"/>
    <xf numFmtId="0" fontId="67" fillId="0" borderId="0"/>
    <xf numFmtId="0" fontId="77" fillId="0" borderId="0"/>
    <xf numFmtId="0" fontId="67" fillId="0" borderId="0"/>
    <xf numFmtId="0" fontId="77" fillId="0" borderId="0"/>
    <xf numFmtId="0" fontId="76" fillId="0" borderId="0"/>
    <xf numFmtId="0" fontId="77" fillId="0" borderId="0"/>
    <xf numFmtId="0" fontId="67" fillId="0" borderId="0"/>
    <xf numFmtId="0" fontId="53" fillId="0" borderId="0"/>
    <xf numFmtId="0" fontId="72" fillId="0" borderId="0"/>
    <xf numFmtId="0" fontId="66" fillId="0" borderId="0"/>
    <xf numFmtId="0" fontId="14" fillId="0" borderId="0"/>
    <xf numFmtId="0" fontId="12" fillId="0" borderId="0"/>
    <xf numFmtId="0" fontId="21" fillId="0" borderId="0" applyFill="0" applyBorder="0" applyAlignment="0"/>
    <xf numFmtId="230" fontId="21" fillId="0" borderId="0" applyFill="0" applyBorder="0" applyAlignment="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8" fillId="43" borderId="26"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xf numFmtId="0" fontId="79" fillId="0" borderId="0"/>
    <xf numFmtId="0" fontId="12" fillId="0" borderId="0"/>
    <xf numFmtId="0" fontId="12" fillId="0" borderId="0"/>
    <xf numFmtId="0" fontId="12" fillId="0" borderId="0"/>
    <xf numFmtId="0" fontId="12" fillId="0" borderId="0"/>
    <xf numFmtId="0" fontId="12" fillId="0" borderId="0"/>
    <xf numFmtId="0" fontId="80" fillId="57" borderId="27"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1" fillId="0" borderId="0" applyNumberFormat="0" applyFill="0" applyBorder="0" applyAlignment="0" applyProtection="0">
      <alignment vertical="top"/>
      <protection locked="0"/>
    </xf>
    <xf numFmtId="231" fontId="82" fillId="0" borderId="20" applyFont="0" applyFill="0" applyBorder="0">
      <alignment horizontal="right" vertical="center"/>
    </xf>
    <xf numFmtId="232" fontId="35" fillId="0" borderId="20" applyFill="0" applyBorder="0" applyProtection="0">
      <alignment horizontal="right" vertical="center"/>
    </xf>
    <xf numFmtId="0" fontId="42" fillId="0" borderId="28">
      <protection locked="0"/>
    </xf>
    <xf numFmtId="0" fontId="28" fillId="0" borderId="28">
      <protection locked="0"/>
    </xf>
    <xf numFmtId="218" fontId="42" fillId="0" borderId="0">
      <protection locked="0"/>
    </xf>
    <xf numFmtId="0" fontId="12" fillId="0" borderId="0"/>
    <xf numFmtId="0" fontId="12" fillId="0" borderId="0"/>
    <xf numFmtId="177" fontId="61" fillId="0" borderId="0" applyFont="0" applyFill="0" applyBorder="0" applyAlignment="0" applyProtection="0"/>
    <xf numFmtId="177" fontId="61" fillId="0" borderId="0" applyFont="0" applyFill="0" applyBorder="0" applyAlignment="0" applyProtection="0"/>
    <xf numFmtId="38" fontId="29" fillId="0" borderId="0" applyFont="0" applyFill="0" applyBorder="0" applyAlignment="0" applyProtection="0"/>
    <xf numFmtId="0" fontId="29" fillId="0" borderId="0" applyFont="0" applyFill="0" applyBorder="0" applyAlignment="0" applyProtection="0"/>
    <xf numFmtId="0" fontId="14" fillId="0" borderId="0" applyFont="0" applyFill="0" applyBorder="0" applyAlignment="0" applyProtection="0"/>
    <xf numFmtId="0" fontId="12" fillId="0" borderId="0"/>
    <xf numFmtId="0" fontId="14" fillId="0" borderId="0" applyFill="0" applyBorder="0" applyAlignment="0" applyProtection="0"/>
    <xf numFmtId="0" fontId="14" fillId="0" borderId="0" applyFill="0" applyBorder="0" applyAlignment="0" applyProtection="0"/>
    <xf numFmtId="0" fontId="14" fillId="0" borderId="0" applyFill="0" applyBorder="0" applyAlignment="0" applyProtection="0"/>
    <xf numFmtId="0" fontId="14" fillId="0" borderId="0" applyFill="0" applyBorder="0" applyAlignment="0" applyProtection="0"/>
    <xf numFmtId="4" fontId="42" fillId="0" borderId="0">
      <protection locked="0"/>
    </xf>
    <xf numFmtId="4" fontId="42" fillId="0" borderId="0">
      <protection locked="0"/>
    </xf>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4" fontId="21" fillId="0" borderId="0"/>
    <xf numFmtId="235" fontId="27" fillId="0" borderId="0"/>
    <xf numFmtId="236" fontId="30" fillId="0" borderId="0"/>
    <xf numFmtId="178" fontId="14" fillId="0" borderId="0" applyFont="0" applyFill="0" applyBorder="0" applyAlignment="0" applyProtection="0"/>
    <xf numFmtId="237" fontId="83" fillId="0" borderId="0">
      <protection locked="0"/>
    </xf>
    <xf numFmtId="3" fontId="84" fillId="0" borderId="0" applyFont="0" applyFill="0" applyBorder="0" applyAlignment="0" applyProtection="0"/>
    <xf numFmtId="189" fontId="26" fillId="0" borderId="0" applyFill="0" applyBorder="0" applyAlignment="0" applyProtection="0"/>
    <xf numFmtId="189" fontId="26" fillId="0" borderId="0" applyFill="0" applyBorder="0" applyAlignment="0" applyProtection="0"/>
    <xf numFmtId="189" fontId="26" fillId="0" borderId="0" applyFill="0" applyBorder="0" applyAlignment="0" applyProtection="0"/>
    <xf numFmtId="40" fontId="29" fillId="0" borderId="0" applyFont="0" applyFill="0" applyBorder="0" applyAlignment="0" applyProtection="0"/>
    <xf numFmtId="0" fontId="85" fillId="0" borderId="0" applyNumberFormat="0" applyAlignment="0">
      <alignment horizontal="left"/>
    </xf>
    <xf numFmtId="0" fontId="31" fillId="0" borderId="0" applyFont="0" applyFill="0" applyBorder="0" applyAlignment="0" applyProtection="0"/>
    <xf numFmtId="0" fontId="14" fillId="0" borderId="0" applyFont="0" applyFill="0" applyBorder="0" applyAlignment="0" applyProtection="0"/>
    <xf numFmtId="0" fontId="12" fillId="0" borderId="0"/>
    <xf numFmtId="0" fontId="61" fillId="0" borderId="0" applyFont="0" applyFill="0" applyBorder="0" applyAlignment="0" applyProtection="0"/>
    <xf numFmtId="238" fontId="29" fillId="0" borderId="0" applyFont="0" applyFill="0" applyBorder="0" applyAlignment="0" applyProtection="0"/>
    <xf numFmtId="0" fontId="29" fillId="0" borderId="0" applyFont="0" applyFill="0" applyBorder="0" applyAlignment="0" applyProtection="0"/>
    <xf numFmtId="0" fontId="14" fillId="0" borderId="0" applyFont="0" applyFill="0" applyBorder="0" applyAlignment="0" applyProtection="0"/>
    <xf numFmtId="0" fontId="12" fillId="0" borderId="0"/>
    <xf numFmtId="25" fontId="14" fillId="0" borderId="0" applyFill="0" applyBorder="0" applyAlignment="0" applyProtection="0"/>
    <xf numFmtId="25" fontId="14" fillId="0" borderId="0" applyFill="0" applyBorder="0" applyAlignment="0" applyProtection="0"/>
    <xf numFmtId="25" fontId="14" fillId="0" borderId="0" applyFill="0" applyBorder="0" applyAlignment="0" applyProtection="0"/>
    <xf numFmtId="25" fontId="14" fillId="0" borderId="0" applyFill="0" applyBorder="0" applyAlignment="0" applyProtection="0"/>
    <xf numFmtId="239" fontId="83" fillId="0" borderId="0">
      <protection locked="0"/>
    </xf>
    <xf numFmtId="239" fontId="83"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1" fontId="86" fillId="0" borderId="20" applyFill="0" applyBorder="0" applyAlignment="0"/>
    <xf numFmtId="0" fontId="12" fillId="0" borderId="0"/>
    <xf numFmtId="242" fontId="83" fillId="0" borderId="0">
      <protection locked="0"/>
    </xf>
    <xf numFmtId="218" fontId="28" fillId="0" borderId="0">
      <protection locked="0"/>
    </xf>
    <xf numFmtId="243" fontId="84" fillId="0" borderId="0" applyFont="0" applyFill="0" applyBorder="0" applyAlignment="0" applyProtection="0"/>
    <xf numFmtId="244" fontId="21" fillId="0" borderId="0"/>
    <xf numFmtId="245" fontId="27" fillId="0" borderId="0"/>
    <xf numFmtId="246" fontId="24" fillId="0" borderId="0"/>
    <xf numFmtId="0" fontId="42" fillId="0" borderId="0">
      <protection locked="0"/>
    </xf>
    <xf numFmtId="183" fontId="21" fillId="0" borderId="0">
      <protection locked="0"/>
    </xf>
    <xf numFmtId="0" fontId="12" fillId="0" borderId="0"/>
    <xf numFmtId="0" fontId="12" fillId="0" borderId="0"/>
    <xf numFmtId="38" fontId="29" fillId="0" borderId="0" applyFont="0" applyFill="0" applyBorder="0" applyAlignment="0" applyProtection="0"/>
    <xf numFmtId="40" fontId="29" fillId="0" borderId="0" applyFont="0" applyFill="0" applyBorder="0" applyAlignment="0" applyProtection="0"/>
    <xf numFmtId="247" fontId="21" fillId="0" borderId="0"/>
    <xf numFmtId="248" fontId="27" fillId="0" borderId="0"/>
    <xf numFmtId="249" fontId="21" fillId="0" borderId="0"/>
    <xf numFmtId="0" fontId="12" fillId="0" borderId="0"/>
    <xf numFmtId="0" fontId="28" fillId="0" borderId="0">
      <protection locked="0"/>
    </xf>
    <xf numFmtId="0" fontId="28" fillId="0" borderId="0">
      <protection locked="0"/>
    </xf>
    <xf numFmtId="250" fontId="21" fillId="0" borderId="0">
      <protection locked="0"/>
    </xf>
    <xf numFmtId="251" fontId="21" fillId="0" borderId="0">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7" fillId="0" borderId="0" applyNumberFormat="0" applyAlignment="0">
      <alignment horizontal="left"/>
    </xf>
    <xf numFmtId="0" fontId="12" fillId="0" borderId="0"/>
    <xf numFmtId="252" fontId="88" fillId="0" borderId="0" applyFont="0" applyFill="0" applyBorder="0" applyAlignment="0" applyProtection="0"/>
    <xf numFmtId="253" fontId="2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89"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2" fillId="0" borderId="0">
      <protection locked="0"/>
    </xf>
    <xf numFmtId="0" fontId="42" fillId="0" borderId="0">
      <protection locked="0"/>
    </xf>
    <xf numFmtId="0" fontId="90" fillId="0" borderId="0">
      <protection locked="0"/>
    </xf>
    <xf numFmtId="0" fontId="42" fillId="0" borderId="0">
      <protection locked="0"/>
    </xf>
    <xf numFmtId="0" fontId="42" fillId="0" borderId="0">
      <protection locked="0"/>
    </xf>
    <xf numFmtId="0" fontId="42" fillId="0" borderId="0">
      <protection locked="0"/>
    </xf>
    <xf numFmtId="0" fontId="90" fillId="0" borderId="0">
      <protection locked="0"/>
    </xf>
    <xf numFmtId="254" fontId="83" fillId="0" borderId="0">
      <protection locked="0"/>
    </xf>
    <xf numFmtId="255" fontId="21" fillId="0" borderId="0">
      <protection locked="0"/>
    </xf>
    <xf numFmtId="0" fontId="42" fillId="0" borderId="0">
      <protection locked="0"/>
    </xf>
    <xf numFmtId="0" fontId="91" fillId="0" borderId="0" applyNumberFormat="0" applyFill="0" applyBorder="0" applyAlignment="0" applyProtection="0">
      <alignment vertical="top"/>
      <protection locked="0"/>
    </xf>
    <xf numFmtId="0" fontId="9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93" fillId="39"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8" fontId="94" fillId="58" borderId="0" applyNumberFormat="0" applyBorder="0" applyAlignment="0" applyProtection="0"/>
    <xf numFmtId="38" fontId="94" fillId="59" borderId="0" applyNumberFormat="0" applyBorder="0" applyAlignment="0" applyProtection="0"/>
    <xf numFmtId="3" fontId="26" fillId="0" borderId="29">
      <alignment horizontal="right" vertical="center"/>
    </xf>
    <xf numFmtId="4" fontId="26" fillId="0" borderId="29">
      <alignment horizontal="right" vertical="center"/>
    </xf>
    <xf numFmtId="0" fontId="12" fillId="0" borderId="0"/>
    <xf numFmtId="0" fontId="95" fillId="0" borderId="0">
      <alignment horizontal="left"/>
    </xf>
    <xf numFmtId="0" fontId="96" fillId="0" borderId="0">
      <alignment horizontal="left"/>
    </xf>
    <xf numFmtId="0" fontId="12" fillId="0" borderId="0"/>
    <xf numFmtId="0" fontId="12" fillId="0" borderId="0"/>
    <xf numFmtId="0" fontId="12" fillId="0" borderId="0"/>
    <xf numFmtId="0" fontId="97" fillId="0" borderId="30" applyNumberFormat="0" applyAlignment="0" applyProtection="0">
      <alignment horizontal="left" vertical="center"/>
    </xf>
    <xf numFmtId="0" fontId="12" fillId="0" borderId="0"/>
    <xf numFmtId="0" fontId="12" fillId="0" borderId="0"/>
    <xf numFmtId="0" fontId="12" fillId="0" borderId="0"/>
    <xf numFmtId="0" fontId="97" fillId="0" borderId="16">
      <alignment horizontal="left" vertical="center"/>
    </xf>
    <xf numFmtId="0" fontId="12" fillId="0" borderId="0"/>
    <xf numFmtId="0" fontId="12" fillId="0" borderId="0"/>
    <xf numFmtId="0" fontId="12" fillId="0" borderId="0"/>
    <xf numFmtId="0" fontId="12" fillId="0" borderId="0"/>
    <xf numFmtId="0" fontId="12" fillId="0" borderId="0"/>
    <xf numFmtId="0" fontId="42" fillId="0" borderId="0">
      <protection locked="0"/>
    </xf>
    <xf numFmtId="218" fontId="28" fillId="0" borderId="0">
      <protection locked="0"/>
    </xf>
    <xf numFmtId="0" fontId="98"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2" fillId="0" borderId="0">
      <protection locked="0"/>
    </xf>
    <xf numFmtId="218" fontId="28" fillId="0" borderId="0">
      <protection locked="0"/>
    </xf>
    <xf numFmtId="0" fontId="99"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0" fillId="0" borderId="31" applyNumberFormat="0" applyFill="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0"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protection locked="0"/>
    </xf>
    <xf numFmtId="256" fontId="21" fillId="0" borderId="0">
      <protection locked="0"/>
    </xf>
    <xf numFmtId="0" fontId="45" fillId="0" borderId="0">
      <protection locked="0"/>
    </xf>
    <xf numFmtId="256" fontId="21" fillId="0" borderId="0">
      <protection locked="0"/>
    </xf>
    <xf numFmtId="0" fontId="12" fillId="0" borderId="0"/>
    <xf numFmtId="0" fontId="101" fillId="0" borderId="0" applyNumberFormat="0" applyFill="0" applyBorder="0" applyAlignment="0" applyProtection="0"/>
    <xf numFmtId="0" fontId="102" fillId="0" borderId="32" applyNumberFormat="0" applyFill="0" applyAlignment="0" applyProtection="0"/>
    <xf numFmtId="0" fontId="103" fillId="0" borderId="0" applyNumberFormat="0" applyFill="0" applyBorder="0" applyAlignment="0" applyProtection="0">
      <alignment vertical="top"/>
      <protection locked="0"/>
    </xf>
    <xf numFmtId="0" fontId="104" fillId="0" borderId="0" applyNumberFormat="0" applyFill="0" applyBorder="0" applyAlignment="0" applyProtection="0"/>
    <xf numFmtId="0" fontId="12" fillId="0" borderId="0"/>
    <xf numFmtId="0" fontId="12" fillId="0" borderId="0"/>
    <xf numFmtId="0" fontId="12" fillId="0" borderId="0"/>
    <xf numFmtId="10" fontId="94" fillId="60" borderId="20" applyNumberFormat="0" applyBorder="0" applyAlignment="0" applyProtection="0"/>
    <xf numFmtId="10" fontId="94" fillId="59" borderId="20" applyNumberFormat="0" applyBorder="0" applyAlignment="0" applyProtection="0"/>
    <xf numFmtId="0" fontId="12" fillId="0" borderId="0"/>
    <xf numFmtId="0" fontId="12" fillId="0" borderId="0"/>
    <xf numFmtId="0" fontId="12" fillId="0" borderId="0"/>
    <xf numFmtId="0" fontId="12" fillId="0" borderId="0"/>
    <xf numFmtId="0" fontId="105" fillId="42" borderId="26" applyNumberFormat="0" applyAlignment="0" applyProtection="0">
      <alignment vertical="center"/>
    </xf>
    <xf numFmtId="0" fontId="105" fillId="42" borderId="26" applyNumberFormat="0" applyAlignment="0" applyProtection="0">
      <alignment vertical="center"/>
    </xf>
    <xf numFmtId="0" fontId="105" fillId="42" borderId="26" applyNumberFormat="0" applyAlignment="0" applyProtection="0">
      <alignment vertical="center"/>
    </xf>
    <xf numFmtId="0" fontId="105" fillId="42" borderId="26"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20">
      <alignment horizontal="center"/>
    </xf>
    <xf numFmtId="257" fontId="33" fillId="0" borderId="23" applyFont="0" applyFill="0" applyBorder="0">
      <alignment horizontal="right" vertical="center"/>
    </xf>
    <xf numFmtId="258" fontId="35" fillId="0" borderId="20" applyFill="0" applyBorder="0" applyProtection="0">
      <alignment horizontal="right" vertical="center"/>
    </xf>
    <xf numFmtId="259" fontId="35" fillId="0" borderId="20" applyFont="0" applyFill="0" applyBorder="0">
      <alignment horizontal="right" vertical="center"/>
    </xf>
    <xf numFmtId="0" fontId="35" fillId="0" borderId="20" applyFill="0" applyBorder="0" applyProtection="0">
      <alignment horizontal="right" vertical="center"/>
    </xf>
    <xf numFmtId="260" fontId="33" fillId="0" borderId="20" applyFill="0" applyBorder="0" applyProtection="0">
      <alignment horizontal="right" vertical="center"/>
    </xf>
    <xf numFmtId="261" fontId="82" fillId="0" borderId="20" applyFont="0" applyFill="0" applyBorder="0">
      <alignment horizontal="righ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6" fillId="0" borderId="33" applyNumberFormat="0" applyFill="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2" fontId="33" fillId="0" borderId="23" applyFill="0">
      <alignment horizontal="righ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63" fontId="107" fillId="0" borderId="0" applyFill="0" applyBorder="0" applyProtection="0">
      <alignment vertical="center"/>
    </xf>
    <xf numFmtId="264" fontId="35" fillId="0" borderId="20" applyFont="0" applyFill="0" applyBorder="0">
      <alignment horizontal="right" vertical="center"/>
    </xf>
    <xf numFmtId="265" fontId="14" fillId="0" borderId="0" applyFont="0" applyFill="0" applyBorder="0" applyAlignment="0" applyProtection="0"/>
    <xf numFmtId="266" fontId="108" fillId="0" borderId="0">
      <alignment horizontal="left"/>
    </xf>
    <xf numFmtId="0" fontId="109" fillId="0" borderId="0"/>
    <xf numFmtId="0" fontId="110" fillId="0" borderId="0"/>
    <xf numFmtId="0" fontId="109" fillId="0" borderId="0"/>
    <xf numFmtId="0" fontId="110" fillId="0" borderId="0"/>
    <xf numFmtId="0" fontId="111" fillId="0" borderId="0"/>
    <xf numFmtId="177" fontId="14" fillId="0" borderId="0" applyFont="0" applyFill="0" applyBorder="0" applyAlignment="0" applyProtection="0"/>
    <xf numFmtId="178" fontId="14" fillId="0" borderId="0" applyFont="0" applyFill="0" applyBorder="0" applyAlignment="0" applyProtection="0"/>
    <xf numFmtId="0" fontId="33" fillId="0" borderId="0" applyFont="0" applyFill="0" applyBorder="0">
      <alignment vertical="center"/>
    </xf>
    <xf numFmtId="0" fontId="12" fillId="0" borderId="0"/>
    <xf numFmtId="0" fontId="112" fillId="0" borderId="34"/>
    <xf numFmtId="0" fontId="112" fillId="0" borderId="34"/>
    <xf numFmtId="0" fontId="113" fillId="0" borderId="34"/>
    <xf numFmtId="0" fontId="113" fillId="0" borderId="34"/>
    <xf numFmtId="0" fontId="14" fillId="0" borderId="0" applyFont="0" applyFill="0" applyBorder="0" applyAlignment="0" applyProtection="0"/>
    <xf numFmtId="0" fontId="14" fillId="0" borderId="0" applyFont="0" applyFill="0" applyBorder="0" applyAlignment="0" applyProtection="0"/>
    <xf numFmtId="0" fontId="33" fillId="0" borderId="20">
      <alignment horizontal="right" vertical="center"/>
    </xf>
    <xf numFmtId="0" fontId="12" fillId="0" borderId="0"/>
    <xf numFmtId="0" fontId="12" fillId="0" borderId="0"/>
    <xf numFmtId="0" fontId="12" fillId="0" borderId="0"/>
    <xf numFmtId="0" fontId="12" fillId="0" borderId="0"/>
    <xf numFmtId="0" fontId="12" fillId="0" borderId="0"/>
    <xf numFmtId="0" fontId="114" fillId="45"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24" fillId="0" borderId="0" applyNumberFormat="0" applyFont="0" applyFill="0" applyBorder="0" applyAlignment="0">
      <alignment vertical="center"/>
    </xf>
    <xf numFmtId="37" fontId="115" fillId="0" borderId="0"/>
    <xf numFmtId="0" fontId="24" fillId="0" borderId="35" applyNumberFormat="0" applyFont="0" applyBorder="0" applyProtection="0">
      <alignment horizontal="center" vertical="center"/>
    </xf>
    <xf numFmtId="0" fontId="14" fillId="0" borderId="0" applyNumberFormat="0" applyFill="0" applyBorder="0" applyAlignment="0" applyProtection="0"/>
    <xf numFmtId="0" fontId="109" fillId="0" borderId="0"/>
    <xf numFmtId="0" fontId="110" fillId="0" borderId="0"/>
    <xf numFmtId="0" fontId="110" fillId="0" borderId="0"/>
    <xf numFmtId="0" fontId="12" fillId="0" borderId="0"/>
    <xf numFmtId="267" fontId="15" fillId="0" borderId="0"/>
    <xf numFmtId="255" fontId="21" fillId="0" borderId="0"/>
    <xf numFmtId="268" fontId="27"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27" fillId="0" borderId="0"/>
    <xf numFmtId="0" fontId="14" fillId="0" borderId="0" applyNumberFormat="0" applyFill="0" applyBorder="0" applyAlignment="0" applyProtection="0"/>
    <xf numFmtId="0" fontId="14" fillId="0" borderId="0"/>
    <xf numFmtId="0" fontId="14"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38" borderId="36" applyNumberFormat="0" applyFon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applyFont="0" applyFill="0" applyBorder="0" applyAlignment="0" applyProtection="0"/>
    <xf numFmtId="0" fontId="14" fillId="0" borderId="0" applyFont="0" applyFill="0" applyBorder="0" applyAlignment="0" applyProtection="0"/>
    <xf numFmtId="0" fontId="14" fillId="0" borderId="0"/>
    <xf numFmtId="0" fontId="12" fillId="0" borderId="0"/>
    <xf numFmtId="0" fontId="12" fillId="0" borderId="0"/>
    <xf numFmtId="0" fontId="12" fillId="0" borderId="0"/>
    <xf numFmtId="0" fontId="12" fillId="0" borderId="0"/>
    <xf numFmtId="0" fontId="12" fillId="0" borderId="0"/>
    <xf numFmtId="0" fontId="116" fillId="43" borderId="37"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7" fillId="0" borderId="0">
      <alignment vertical="center"/>
    </xf>
    <xf numFmtId="0" fontId="12" fillId="0" borderId="0"/>
    <xf numFmtId="0" fontId="12" fillId="0" borderId="0"/>
    <xf numFmtId="0" fontId="12" fillId="0" borderId="0"/>
    <xf numFmtId="0" fontId="12" fillId="0" borderId="0"/>
    <xf numFmtId="0" fontId="12" fillId="0" borderId="0"/>
    <xf numFmtId="10" fontId="14" fillId="0" borderId="0" applyFont="0" applyFill="0" applyBorder="0" applyAlignment="0" applyProtection="0"/>
    <xf numFmtId="10" fontId="14" fillId="0" borderId="0" applyFill="0" applyBorder="0" applyAlignment="0" applyProtection="0"/>
    <xf numFmtId="10" fontId="14" fillId="0" borderId="0" applyFill="0" applyBorder="0" applyAlignment="0" applyProtection="0"/>
    <xf numFmtId="10" fontId="14" fillId="0" borderId="0" applyFill="0" applyBorder="0" applyAlignment="0" applyProtection="0"/>
    <xf numFmtId="10" fontId="14" fillId="0" borderId="0" applyFill="0" applyBorder="0" applyAlignment="0" applyProtection="0"/>
    <xf numFmtId="269" fontId="83" fillId="0" borderId="0">
      <protection locked="0"/>
    </xf>
    <xf numFmtId="269" fontId="83"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0" fontId="42" fillId="0" borderId="0">
      <protection locked="0"/>
    </xf>
    <xf numFmtId="0" fontId="12" fillId="0" borderId="0"/>
    <xf numFmtId="0" fontId="12" fillId="0" borderId="0"/>
    <xf numFmtId="0" fontId="12" fillId="0" borderId="0"/>
    <xf numFmtId="0" fontId="12" fillId="0" borderId="0"/>
    <xf numFmtId="0" fontId="12" fillId="0" borderId="0"/>
    <xf numFmtId="30" fontId="118" fillId="0" borderId="0" applyNumberFormat="0" applyFill="0" applyBorder="0" applyAlignment="0" applyProtection="0">
      <alignment horizontal="left"/>
    </xf>
    <xf numFmtId="0" fontId="12" fillId="0" borderId="0"/>
    <xf numFmtId="0" fontId="12" fillId="0" borderId="0"/>
    <xf numFmtId="0" fontId="29" fillId="0" borderId="0"/>
    <xf numFmtId="0" fontId="119" fillId="0" borderId="0">
      <alignment horizontal="center"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3" fillId="0" borderId="0"/>
    <xf numFmtId="40" fontId="120" fillId="0" borderId="0" applyBorder="0">
      <alignment horizontal="right"/>
    </xf>
    <xf numFmtId="271" fontId="121" fillId="0" borderId="0">
      <alignment horizontal="center"/>
    </xf>
    <xf numFmtId="0" fontId="12" fillId="0" borderId="0"/>
    <xf numFmtId="0" fontId="12" fillId="0" borderId="0"/>
    <xf numFmtId="0" fontId="12" fillId="0" borderId="0"/>
    <xf numFmtId="0" fontId="12" fillId="0" borderId="0"/>
    <xf numFmtId="0" fontId="122" fillId="0" borderId="0" applyFill="0" applyBorder="0" applyProtection="0">
      <alignment horizontal="centerContinuous" vertical="center"/>
    </xf>
    <xf numFmtId="0" fontId="33" fillId="59" borderId="0" applyFill="0" applyBorder="0" applyProtection="0">
      <alignment horizontal="center" vertical="center"/>
    </xf>
    <xf numFmtId="0" fontId="12" fillId="0" borderId="0"/>
    <xf numFmtId="0" fontId="12" fillId="0" borderId="0"/>
    <xf numFmtId="0" fontId="12" fillId="0" borderId="0"/>
    <xf numFmtId="0" fontId="12" fillId="0" borderId="0"/>
    <xf numFmtId="0" fontId="123" fillId="58" borderId="0">
      <alignment horizontal="centerContinuous"/>
    </xf>
    <xf numFmtId="0" fontId="123" fillId="58" borderId="0">
      <alignment horizontal="centerContinuous"/>
    </xf>
    <xf numFmtId="0" fontId="123" fillId="58" borderId="0">
      <alignment horizontal="centerContinuous"/>
    </xf>
    <xf numFmtId="0" fontId="123" fillId="58" borderId="0">
      <alignment horizontal="centerContinuous"/>
    </xf>
    <xf numFmtId="0" fontId="123" fillId="58" borderId="0">
      <alignment horizontal="centerContinuous"/>
    </xf>
    <xf numFmtId="0" fontId="123" fillId="58" borderId="0">
      <alignment horizontal="centerContinuous"/>
    </xf>
    <xf numFmtId="0" fontId="12" fillId="0" borderId="0"/>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9" fontId="124" fillId="0" borderId="0" applyFill="0" applyBorder="0" applyProtection="0">
      <alignment horizontal="centerContinuous" vertical="center"/>
    </xf>
    <xf numFmtId="272" fontId="33" fillId="0" borderId="23" applyFill="0" applyBorder="0">
      <alignment horizontal="right" vertical="center"/>
    </xf>
    <xf numFmtId="273" fontId="27" fillId="0" borderId="0" applyFill="0" applyBorder="0" applyProtection="0"/>
    <xf numFmtId="274" fontId="27" fillId="0" borderId="20" applyFont="0" applyFill="0" applyBorder="0" applyProtection="0">
      <alignment horizontal="right" vertical="center"/>
    </xf>
    <xf numFmtId="275" fontId="27" fillId="0" borderId="20" applyFont="0" applyFill="0" applyBorder="0">
      <alignment horizontal="right" vertical="center"/>
    </xf>
    <xf numFmtId="0" fontId="35" fillId="0" borderId="20" applyFont="0" applyFill="0" applyBorder="0">
      <alignment horizontal="right" vertical="center"/>
    </xf>
    <xf numFmtId="0" fontId="12" fillId="0" borderId="0"/>
    <xf numFmtId="0" fontId="12" fillId="0" borderId="0"/>
    <xf numFmtId="0" fontId="12" fillId="0" borderId="0"/>
    <xf numFmtId="0" fontId="12" fillId="0" borderId="0"/>
    <xf numFmtId="0" fontId="12" fillId="0" borderId="0"/>
    <xf numFmtId="0" fontId="42" fillId="0" borderId="38">
      <protection locked="0"/>
    </xf>
    <xf numFmtId="256" fontId="21" fillId="0" borderId="38">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76" fontId="35" fillId="0" borderId="20" applyFont="0" applyFill="0" applyBorder="0">
      <alignment horizontal="right" vertical="center"/>
    </xf>
    <xf numFmtId="0" fontId="16" fillId="0" borderId="1">
      <alignment horizontal="left"/>
    </xf>
    <xf numFmtId="37" fontId="94" fillId="61" borderId="0" applyNumberFormat="0" applyBorder="0" applyAlignment="0" applyProtection="0"/>
    <xf numFmtId="37" fontId="94" fillId="0" borderId="0"/>
    <xf numFmtId="3" fontId="125" fillId="0" borderId="32" applyProtection="0"/>
    <xf numFmtId="277" fontId="29" fillId="0" borderId="0" applyFont="0" applyFill="0" applyBorder="0" applyAlignment="0" applyProtection="0"/>
    <xf numFmtId="278" fontId="2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6"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7" fillId="0" borderId="17"/>
    <xf numFmtId="0" fontId="128"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279" fontId="21" fillId="0" borderId="0" applyFont="0" applyFill="0" applyBorder="0" applyAlignment="0" applyProtection="0">
      <alignment horizontal="right"/>
    </xf>
    <xf numFmtId="0" fontId="57" fillId="52"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9" fillId="10" borderId="0" applyNumberFormat="0" applyBorder="0" applyAlignment="0" applyProtection="0">
      <alignment vertical="center"/>
    </xf>
    <xf numFmtId="0" fontId="57" fillId="53"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9" fillId="14" borderId="0" applyNumberFormat="0" applyBorder="0" applyAlignment="0" applyProtection="0">
      <alignment vertical="center"/>
    </xf>
    <xf numFmtId="0" fontId="57" fillId="54"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7" fillId="50"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7" fillId="48"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7" fillId="55"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280" fontId="33" fillId="0" borderId="39">
      <alignment horizontal="right" vertical="center"/>
    </xf>
    <xf numFmtId="281" fontId="27" fillId="0" borderId="0"/>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43" borderId="26"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0" fontId="132" fillId="7" borderId="8" applyNumberFormat="0" applyAlignment="0" applyProtection="0">
      <alignment vertical="center"/>
    </xf>
    <xf numFmtId="282" fontId="27" fillId="0" borderId="0">
      <protection locked="0"/>
    </xf>
    <xf numFmtId="0" fontId="21" fillId="0" borderId="0">
      <protection locked="0"/>
    </xf>
    <xf numFmtId="0" fontId="27" fillId="0" borderId="0">
      <protection locked="0"/>
    </xf>
    <xf numFmtId="0" fontId="45" fillId="0" borderId="0">
      <protection locked="0"/>
    </xf>
    <xf numFmtId="0" fontId="45" fillId="0" borderId="0">
      <protection locked="0"/>
    </xf>
    <xf numFmtId="0" fontId="45" fillId="0" borderId="0">
      <protection locked="0"/>
    </xf>
    <xf numFmtId="0" fontId="45" fillId="0" borderId="0">
      <protection locked="0"/>
    </xf>
    <xf numFmtId="0" fontId="133" fillId="0" borderId="0"/>
    <xf numFmtId="0" fontId="26" fillId="0" borderId="0" applyNumberFormat="0" applyFont="0" applyAlignment="0">
      <alignment horizontal="center" vertical="center"/>
    </xf>
    <xf numFmtId="37" fontId="24" fillId="0" borderId="40">
      <alignment horizontal="center" vertical="center"/>
    </xf>
    <xf numFmtId="37" fontId="24" fillId="0" borderId="4" applyAlignment="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4" fontId="21" fillId="0" borderId="0" applyNumberFormat="0" applyFill="0" applyBorder="0" applyAlignment="0">
      <alignment horizontal="left"/>
    </xf>
    <xf numFmtId="37" fontId="35" fillId="0" borderId="20" applyFont="0" applyFill="0" applyBorder="0">
      <alignment vertical="center"/>
    </xf>
    <xf numFmtId="38" fontId="88" fillId="0" borderId="0"/>
    <xf numFmtId="177" fontId="23" fillId="0" borderId="2">
      <alignment horizontal="center" vertical="center"/>
    </xf>
    <xf numFmtId="177" fontId="23" fillId="0" borderId="2">
      <alignment horizontal="center" vertical="center"/>
    </xf>
    <xf numFmtId="285" fontId="31" fillId="0" borderId="41" applyFont="0" applyFill="0" applyBorder="0" applyAlignment="0">
      <alignment horizontal="left" vertical="center"/>
    </xf>
    <xf numFmtId="0" fontId="134" fillId="37"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135" fillId="4" borderId="0" applyNumberFormat="0" applyBorder="0" applyAlignment="0" applyProtection="0">
      <alignment vertical="center"/>
    </xf>
    <xf numFmtId="0" fontId="42" fillId="0" borderId="0">
      <protection locked="0"/>
    </xf>
    <xf numFmtId="0" fontId="42" fillId="0" borderId="0">
      <protection locked="0"/>
    </xf>
    <xf numFmtId="3" fontId="29" fillId="0" borderId="42">
      <alignment horizontal="center"/>
    </xf>
    <xf numFmtId="0" fontId="27" fillId="62" borderId="0">
      <alignment horizontal="left"/>
    </xf>
    <xf numFmtId="0" fontId="42" fillId="0" borderId="0">
      <protection locked="0"/>
    </xf>
    <xf numFmtId="0" fontId="42" fillId="0" borderId="0">
      <protection locked="0"/>
    </xf>
    <xf numFmtId="0" fontId="31" fillId="0" borderId="0"/>
    <xf numFmtId="0" fontId="136" fillId="0" borderId="0" applyNumberFormat="0" applyFill="0" applyBorder="0" applyAlignment="0" applyProtection="0">
      <alignment vertical="top"/>
      <protection locked="0"/>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31" fillId="0" borderId="29">
      <alignment vertical="center"/>
    </xf>
    <xf numFmtId="0" fontId="27" fillId="0" borderId="0"/>
    <xf numFmtId="0" fontId="21" fillId="38" borderId="36"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46" fillId="9" borderId="12" applyNumberFormat="0" applyFont="0" applyAlignment="0" applyProtection="0">
      <alignment vertical="center"/>
    </xf>
    <xf numFmtId="0" fontId="14" fillId="0" borderId="0" applyFont="0" applyFill="0" applyBorder="0" applyAlignment="0" applyProtection="0"/>
    <xf numFmtId="0" fontId="14" fillId="0" borderId="0" applyFont="0" applyFill="0" applyBorder="0" applyAlignment="0" applyProtection="0"/>
    <xf numFmtId="39" fontId="35" fillId="0" borderId="20" applyFont="0" applyFill="0" applyBorder="0">
      <alignment horizontal="right" vertical="center"/>
    </xf>
    <xf numFmtId="0" fontId="14" fillId="0" borderId="0" applyFont="0" applyFill="0" applyBorder="0" applyAlignment="0" applyProtection="0"/>
    <xf numFmtId="0" fontId="14" fillId="0" borderId="0" applyFont="0" applyFill="0" applyBorder="0" applyAlignment="0" applyProtection="0"/>
    <xf numFmtId="0" fontId="44" fillId="0" borderId="0" applyNumberFormat="0" applyFont="0" applyFill="0" applyBorder="0" applyProtection="0">
      <alignment horizontal="distributed" vertical="center" justifyLastLine="1"/>
    </xf>
    <xf numFmtId="0" fontId="42" fillId="0" borderId="0">
      <protection locked="0"/>
    </xf>
    <xf numFmtId="0" fontId="52" fillId="0" borderId="0">
      <protection locked="0"/>
    </xf>
    <xf numFmtId="0" fontId="27" fillId="0" borderId="0" applyFont="0" applyFill="0" applyBorder="0" applyProtection="0">
      <alignment horizontal="center" vertical="center"/>
    </xf>
    <xf numFmtId="0" fontId="27" fillId="0" borderId="0" applyFont="0" applyFill="0" applyBorder="0" applyProtection="0">
      <alignment horizontal="center" vertical="center"/>
    </xf>
    <xf numFmtId="9" fontId="88" fillId="59" borderId="0" applyFill="0" applyBorder="0" applyProtection="0">
      <alignment horizontal="right"/>
    </xf>
    <xf numFmtId="9" fontId="22" fillId="0" borderId="0" applyFont="0" applyFill="0" applyBorder="0" applyAlignment="0" applyProtection="0"/>
    <xf numFmtId="10" fontId="88" fillId="0" borderId="0" applyFill="0" applyBorder="0" applyProtection="0">
      <alignment horizontal="right"/>
    </xf>
    <xf numFmtId="9" fontId="13"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41" fontId="21" fillId="0" borderId="24" applyFont="0" applyFill="0" applyBorder="0" applyAlignment="0" applyProtection="0">
      <alignment vertical="center"/>
    </xf>
    <xf numFmtId="286" fontId="21" fillId="63" borderId="43" applyFont="0" applyFill="0" applyBorder="0" applyAlignment="0" applyProtection="0">
      <alignment vertical="center"/>
    </xf>
    <xf numFmtId="287" fontId="21" fillId="0" borderId="0" applyFont="0" applyFill="0" applyBorder="0" applyAlignment="0" applyProtection="0"/>
    <xf numFmtId="288" fontId="21" fillId="0" borderId="2"/>
    <xf numFmtId="289" fontId="21" fillId="0" borderId="2"/>
    <xf numFmtId="0" fontId="21" fillId="0" borderId="0" applyFont="0" applyFill="0" applyBorder="0" applyAlignment="0" applyProtection="0"/>
    <xf numFmtId="0" fontId="44" fillId="0" borderId="0" applyFont="0" applyFill="0" applyBorder="0" applyAlignment="0" applyProtection="0"/>
    <xf numFmtId="0" fontId="138" fillId="0" borderId="0"/>
    <xf numFmtId="0" fontId="139" fillId="4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0" fontId="140" fillId="5" borderId="0" applyNumberFormat="0" applyBorder="0" applyAlignment="0" applyProtection="0">
      <alignment vertical="center"/>
    </xf>
    <xf numFmtId="3" fontId="26" fillId="0" borderId="44">
      <alignment vertical="center"/>
    </xf>
    <xf numFmtId="290" fontId="21" fillId="0" borderId="45" applyFont="0" applyFill="0" applyAlignment="0" applyProtection="0">
      <alignment horizontal="center" vertical="center"/>
    </xf>
    <xf numFmtId="0" fontId="141" fillId="0" borderId="0"/>
    <xf numFmtId="291" fontId="133" fillId="0" borderId="21" applyBorder="0"/>
    <xf numFmtId="0" fontId="56" fillId="0" borderId="0">
      <alignment vertical="center"/>
    </xf>
    <xf numFmtId="0" fontId="142" fillId="0" borderId="0"/>
    <xf numFmtId="0" fontId="60" fillId="0" borderId="0" applyNumberFormat="0" applyFont="0" applyFill="0" applyBorder="0" applyProtection="0">
      <alignment horizontal="centerContinuous" vertical="center"/>
    </xf>
    <xf numFmtId="0" fontId="44" fillId="0" borderId="0" applyNumberFormat="0" applyFont="0" applyFill="0" applyBorder="0" applyProtection="0">
      <alignment horizontal="centerContinuous" vertical="center"/>
    </xf>
    <xf numFmtId="38" fontId="15" fillId="0" borderId="0">
      <alignment vertical="center" wrapText="1"/>
    </xf>
    <xf numFmtId="292" fontId="143" fillId="0" borderId="2">
      <alignment vertical="center"/>
    </xf>
    <xf numFmtId="3" fontId="44" fillId="0" borderId="20"/>
    <xf numFmtId="0" fontId="44" fillId="0" borderId="20"/>
    <xf numFmtId="3" fontId="44" fillId="0" borderId="46"/>
    <xf numFmtId="3" fontId="44" fillId="0" borderId="14"/>
    <xf numFmtId="0" fontId="144" fillId="0" borderId="20"/>
    <xf numFmtId="0" fontId="145" fillId="0" borderId="0">
      <alignment horizontal="center"/>
    </xf>
    <xf numFmtId="0" fontId="146" fillId="0" borderId="47">
      <alignment horizontal="center"/>
    </xf>
    <xf numFmtId="0" fontId="147"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9" fillId="57" borderId="27"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0" fillId="8" borderId="11" applyNumberFormat="0" applyAlignment="0" applyProtection="0">
      <alignment vertical="center"/>
    </xf>
    <xf numFmtId="0" fontId="151" fillId="0" borderId="0">
      <alignment vertical="center"/>
    </xf>
    <xf numFmtId="237" fontId="152" fillId="0" borderId="41" applyFont="0" applyAlignment="0" applyProtection="0">
      <alignment vertical="center"/>
    </xf>
    <xf numFmtId="0" fontId="152" fillId="0" borderId="41" applyFont="0" applyAlignment="0" applyProtection="0">
      <alignment vertical="center"/>
    </xf>
    <xf numFmtId="0" fontId="153" fillId="0" borderId="20" applyFont="0" applyFill="0" applyBorder="0" applyAlignment="0" applyProtection="0">
      <alignment horizontal="centerContinuous" vertical="center"/>
    </xf>
    <xf numFmtId="3" fontId="27" fillId="0" borderId="0" applyFont="0" applyFill="0" applyBorder="0" applyAlignment="0" applyProtection="0"/>
    <xf numFmtId="256" fontId="154" fillId="0" borderId="0">
      <alignment vertical="center"/>
    </xf>
    <xf numFmtId="0" fontId="21" fillId="0" borderId="0">
      <alignment vertical="center"/>
    </xf>
    <xf numFmtId="0" fontId="154" fillId="0" borderId="0">
      <alignment vertical="center"/>
    </xf>
    <xf numFmtId="202" fontId="60" fillId="0" borderId="0" applyFont="0" applyFill="0" applyBorder="0" applyAlignment="0" applyProtection="0">
      <alignment horizontal="centerContinuous" vertical="center"/>
    </xf>
    <xf numFmtId="221" fontId="60"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293"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21" fillId="0" borderId="0" applyFont="0" applyFill="0" applyBorder="0" applyAlignment="0" applyProtection="0"/>
    <xf numFmtId="0" fontId="21" fillId="0" borderId="0" applyFont="0" applyFill="0" applyBorder="0" applyAlignment="0" applyProtection="0"/>
    <xf numFmtId="177"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 fillId="0" borderId="0" applyFont="0" applyFill="0" applyBorder="0" applyAlignment="0" applyProtection="0"/>
    <xf numFmtId="177" fontId="1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88" fillId="0" borderId="0" applyFont="0" applyFill="0" applyBorder="0" applyAlignment="0" applyProtection="0"/>
    <xf numFmtId="177" fontId="88" fillId="0" borderId="0" applyFont="0" applyFill="0" applyBorder="0" applyAlignment="0" applyProtection="0"/>
    <xf numFmtId="177" fontId="13"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94"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96"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96" fontId="21" fillId="0" borderId="0" applyFont="0" applyFill="0" applyBorder="0" applyAlignment="0" applyProtection="0"/>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96" fontId="21" fillId="0" borderId="0" applyFont="0" applyFill="0" applyBorder="0" applyAlignment="0" applyProtection="0"/>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137"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0" fontId="14" fillId="0" borderId="0" applyNumberFormat="0" applyFill="0" applyBorder="0" applyAlignment="0" applyProtection="0"/>
    <xf numFmtId="0" fontId="156" fillId="0" borderId="0"/>
    <xf numFmtId="0" fontId="156" fillId="0" borderId="0"/>
    <xf numFmtId="0" fontId="156" fillId="0" borderId="0"/>
    <xf numFmtId="0" fontId="156" fillId="0" borderId="0"/>
    <xf numFmtId="0" fontId="31" fillId="0" borderId="0"/>
    <xf numFmtId="0" fontId="14" fillId="0" borderId="0"/>
    <xf numFmtId="0" fontId="156" fillId="0" borderId="0"/>
    <xf numFmtId="0" fontId="27"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83" fillId="0" borderId="0" applyFont="0" applyFill="0" applyBorder="0" applyAlignment="0" applyProtection="0"/>
    <xf numFmtId="0" fontId="21" fillId="0" borderId="0"/>
    <xf numFmtId="178" fontId="88" fillId="0" borderId="0" applyFont="0" applyFill="0" applyBorder="0" applyAlignment="0" applyProtection="0"/>
    <xf numFmtId="178" fontId="88" fillId="0" borderId="0" applyFont="0" applyFill="0" applyBorder="0" applyAlignment="0" applyProtection="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33" fillId="0" borderId="0" applyFont="0" applyFill="0" applyBorder="0" applyAlignment="0" applyProtection="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178" fontId="15" fillId="0" borderId="0" applyFont="0" applyFill="0" applyBorder="0" applyAlignment="0" applyProtection="0"/>
    <xf numFmtId="178" fontId="15" fillId="0" borderId="0" applyFont="0" applyFill="0" applyBorder="0" applyAlignment="0" applyProtection="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27"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9" fillId="0" borderId="0" applyFont="0" applyFill="0" applyBorder="0" applyAlignment="0" applyProtection="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33" fillId="0" borderId="0" applyFont="0" applyFill="0" applyBorder="0" applyAlignment="0" applyProtection="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4" fillId="0" borderId="0" applyFont="0" applyFill="0" applyBorder="0" applyAlignment="0" applyProtection="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0" fontId="1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13"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14" fillId="0" borderId="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7" fillId="0" borderId="0"/>
    <xf numFmtId="0" fontId="14" fillId="0" borderId="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14" fillId="0" borderId="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14" fillId="0" borderId="0" applyNumberForma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7" fontId="83" fillId="0" borderId="0" applyFont="0" applyFill="0" applyBorder="0" applyAlignment="0" applyProtection="0"/>
    <xf numFmtId="0" fontId="21" fillId="0" borderId="0"/>
    <xf numFmtId="0" fontId="3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7" fontId="83" fillId="0" borderId="0" applyFont="0" applyFill="0" applyBorder="0" applyAlignment="0" applyProtection="0"/>
    <xf numFmtId="0" fontId="21" fillId="0" borderId="0"/>
    <xf numFmtId="0" fontId="3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9"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9"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0" fontId="27" fillId="0" borderId="0" applyFont="0" applyFill="0" applyBorder="0" applyAlignment="0" applyProtection="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4"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5"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5"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178" fontId="24" fillId="0" borderId="0" applyFont="0" applyFill="0" applyBorder="0" applyAlignment="0" applyProtection="0"/>
    <xf numFmtId="178" fontId="24" fillId="0" borderId="0" applyFont="0" applyFill="0" applyBorder="0" applyAlignment="0" applyProtection="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0" fontId="21" fillId="0" borderId="0" applyFont="0" applyFill="0" applyBorder="0" applyAlignment="0" applyProtection="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4" fillId="0" borderId="0" applyFont="0" applyFill="0" applyBorder="0" applyAlignment="0" applyProtection="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24" fillId="0" borderId="0" applyFont="0" applyFill="0" applyBorder="0" applyAlignment="0" applyProtection="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157" fillId="0" borderId="16" applyFill="0" applyBorder="0">
      <alignment horizontal="left" vertical="center"/>
    </xf>
    <xf numFmtId="0" fontId="36" fillId="0" borderId="23"/>
    <xf numFmtId="301" fontId="31" fillId="0" borderId="0">
      <alignment horizontal="left" vertical="center"/>
    </xf>
    <xf numFmtId="0" fontId="158" fillId="0" borderId="33"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302" fontId="31" fillId="0" borderId="0">
      <alignment horizontal="left" vertical="center"/>
    </xf>
    <xf numFmtId="303" fontId="31" fillId="0" borderId="0">
      <alignment horizontal="left" vertical="center"/>
    </xf>
    <xf numFmtId="304" fontId="31" fillId="0" borderId="0">
      <alignment horizontal="left" vertical="center"/>
    </xf>
    <xf numFmtId="0" fontId="160" fillId="0" borderId="0" applyNumberFormat="0" applyFill="0" applyBorder="0" applyAlignment="0" applyProtection="0">
      <alignment vertical="top"/>
      <protection locked="0"/>
    </xf>
    <xf numFmtId="0" fontId="161" fillId="0" borderId="48"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305" fontId="35" fillId="61" borderId="20">
      <alignment horizontal="right" vertical="center"/>
    </xf>
    <xf numFmtId="306" fontId="21" fillId="0" borderId="0" applyFont="0" applyFill="0" applyBorder="0" applyAlignment="0" applyProtection="0"/>
    <xf numFmtId="0" fontId="163" fillId="0" borderId="0" applyFont="0" applyFill="0" applyBorder="0" applyAlignment="0" applyProtection="0"/>
    <xf numFmtId="0" fontId="163" fillId="0" borderId="0" applyFont="0" applyFill="0" applyBorder="0" applyAlignment="0" applyProtection="0"/>
    <xf numFmtId="224" fontId="21" fillId="0" borderId="0" applyFont="0" applyFill="0" applyBorder="0" applyAlignment="0" applyProtection="0"/>
    <xf numFmtId="0" fontId="164" fillId="0" borderId="0">
      <alignment vertical="center"/>
    </xf>
    <xf numFmtId="0" fontId="165" fillId="0" borderId="0">
      <alignment horizontal="center" vertical="center"/>
    </xf>
    <xf numFmtId="3" fontId="21" fillId="0" borderId="20"/>
    <xf numFmtId="0" fontId="17" fillId="0" borderId="20" applyNumberFormat="0" applyAlignment="0">
      <alignment horizontal="center" vertical="center"/>
    </xf>
    <xf numFmtId="0" fontId="60" fillId="0" borderId="0" applyNumberFormat="0" applyFont="0" applyFill="0" applyBorder="0" applyProtection="0">
      <alignment vertical="center"/>
    </xf>
    <xf numFmtId="0" fontId="41" fillId="0" borderId="0"/>
    <xf numFmtId="0" fontId="166" fillId="42" borderId="26"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0" fontId="167" fillId="6" borderId="8" applyNumberFormat="0" applyAlignment="0" applyProtection="0">
      <alignment vertical="center"/>
    </xf>
    <xf numFmtId="4" fontId="42" fillId="0" borderId="0">
      <protection locked="0"/>
    </xf>
    <xf numFmtId="0" fontId="133" fillId="0" borderId="0"/>
    <xf numFmtId="4" fontId="42" fillId="0" borderId="0">
      <protection locked="0"/>
    </xf>
    <xf numFmtId="4" fontId="42" fillId="0" borderId="0">
      <protection locked="0"/>
    </xf>
    <xf numFmtId="307" fontId="27" fillId="0" borderId="0">
      <protection locked="0"/>
    </xf>
    <xf numFmtId="0" fontId="21" fillId="0" borderId="0">
      <protection locked="0"/>
    </xf>
    <xf numFmtId="3" fontId="168" fillId="0" borderId="0" applyFont="0" applyFill="0" applyBorder="0" applyAlignment="0" applyProtection="0"/>
    <xf numFmtId="308" fontId="31" fillId="0" borderId="17">
      <alignment vertical="center"/>
    </xf>
    <xf numFmtId="222" fontId="31" fillId="0" borderId="17">
      <alignment vertical="center"/>
    </xf>
    <xf numFmtId="309" fontId="31" fillId="0" borderId="17">
      <alignment vertical="center"/>
    </xf>
    <xf numFmtId="0" fontId="24" fillId="0" borderId="0" applyNumberFormat="0" applyFont="0" applyBorder="0" applyAlignment="0"/>
    <xf numFmtId="1" fontId="24" fillId="59" borderId="0" applyNumberFormat="0" applyFont="0" applyFill="0" applyBorder="0" applyAlignment="0">
      <alignment vertical="center"/>
    </xf>
    <xf numFmtId="1" fontId="24" fillId="0" borderId="0" applyBorder="0">
      <alignment vertical="center"/>
    </xf>
    <xf numFmtId="1" fontId="169" fillId="59" borderId="0" applyNumberFormat="0" applyBorder="0" applyAlignment="0">
      <alignment vertical="center"/>
    </xf>
    <xf numFmtId="0" fontId="170" fillId="0" borderId="49"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27" fillId="0" borderId="0">
      <alignment vertical="center"/>
    </xf>
    <xf numFmtId="0" fontId="172" fillId="0" borderId="0">
      <alignment horizontal="centerContinuous" vertical="center"/>
    </xf>
    <xf numFmtId="0" fontId="173" fillId="0" borderId="50"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5" fillId="0" borderId="31"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27" fillId="0" borderId="20">
      <alignment horizontal="distributed" vertical="center"/>
    </xf>
    <xf numFmtId="0" fontId="27" fillId="0" borderId="20">
      <alignment horizontal="distributed" vertical="center" justifyLastLine="1"/>
    </xf>
    <xf numFmtId="0" fontId="27" fillId="0" borderId="21">
      <alignment horizontal="distributed" vertical="top"/>
    </xf>
    <xf numFmtId="0" fontId="27" fillId="0" borderId="21">
      <alignment horizontal="distributed" vertical="top" justifyLastLine="1"/>
    </xf>
    <xf numFmtId="0" fontId="27" fillId="0" borderId="51">
      <alignment horizontal="distributed"/>
    </xf>
    <xf numFmtId="0" fontId="27" fillId="0" borderId="51">
      <alignment horizontal="distributed" justifyLastLine="1"/>
    </xf>
    <xf numFmtId="310" fontId="179" fillId="0" borderId="0">
      <alignment vertical="center"/>
    </xf>
    <xf numFmtId="179" fontId="179" fillId="0" borderId="0">
      <alignment vertical="center"/>
    </xf>
    <xf numFmtId="0" fontId="180" fillId="39"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181" fillId="3" borderId="0" applyNumberFormat="0" applyBorder="0" applyAlignment="0" applyProtection="0">
      <alignment vertical="center"/>
    </xf>
    <xf numFmtId="0" fontId="27" fillId="0" borderId="0" applyNumberFormat="0" applyFont="0" applyFill="0" applyBorder="0" applyProtection="0">
      <alignment vertical="center"/>
    </xf>
    <xf numFmtId="0" fontId="27" fillId="0" borderId="0"/>
    <xf numFmtId="1" fontId="182" fillId="59" borderId="0" applyNumberFormat="0" applyFont="0" applyFill="0" applyBorder="0" applyAlignment="0">
      <alignment vertical="center"/>
    </xf>
    <xf numFmtId="177" fontId="21" fillId="0" borderId="0" applyFont="0" applyFill="0" applyBorder="0" applyAlignment="0" applyProtection="0">
      <alignment vertical="center"/>
    </xf>
    <xf numFmtId="0" fontId="183" fillId="43" borderId="37"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184" fillId="7" borderId="9" applyNumberFormat="0" applyAlignment="0" applyProtection="0">
      <alignment vertical="center"/>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256" fontId="185" fillId="0" borderId="0" applyFont="0" applyFill="0" applyBorder="0" applyAlignment="0" applyProtection="0">
      <alignment vertical="center"/>
    </xf>
    <xf numFmtId="0" fontId="52" fillId="0" borderId="0">
      <protection locked="0"/>
    </xf>
    <xf numFmtId="0" fontId="27" fillId="0" borderId="0" applyFont="0" applyFill="0" applyBorder="0" applyProtection="0">
      <alignment vertical="center"/>
    </xf>
    <xf numFmtId="38" fontId="44" fillId="0" borderId="0" applyFont="0" applyFill="0" applyBorder="0" applyProtection="0">
      <alignment vertical="center"/>
    </xf>
    <xf numFmtId="0" fontId="52" fillId="0" borderId="0">
      <protection locked="0"/>
    </xf>
    <xf numFmtId="177" fontId="21" fillId="0" borderId="0" applyFont="0" applyFill="0" applyBorder="0" applyAlignment="0" applyProtection="0"/>
    <xf numFmtId="256" fontId="27" fillId="0" borderId="0" applyFont="0" applyFill="0" applyBorder="0" applyAlignment="0" applyProtection="0"/>
    <xf numFmtId="177" fontId="21" fillId="0" borderId="0" applyFont="0" applyFill="0" applyBorder="0" applyAlignment="0" applyProtection="0"/>
    <xf numFmtId="177" fontId="152" fillId="0" borderId="3">
      <alignment horizontal="center" vertical="center"/>
    </xf>
    <xf numFmtId="177" fontId="152" fillId="0" borderId="3">
      <alignment horizontal="center" vertical="center"/>
    </xf>
    <xf numFmtId="179" fontId="27" fillId="0" borderId="0" applyFont="0" applyFill="0" applyBorder="0" applyAlignment="0" applyProtection="0"/>
    <xf numFmtId="311" fontId="21" fillId="0" borderId="0" applyFont="0" applyFill="0" applyBorder="0" applyAlignment="0" applyProtection="0"/>
    <xf numFmtId="312" fontId="21" fillId="0" borderId="0" applyFont="0" applyFill="0" applyBorder="0" applyAlignment="0" applyProtection="0"/>
    <xf numFmtId="313" fontId="21" fillId="0" borderId="44" applyFont="0" applyFill="0" applyBorder="0" applyAlignment="0" applyProtection="0">
      <alignment vertical="center"/>
    </xf>
    <xf numFmtId="314" fontId="21" fillId="0" borderId="24" applyFont="0" applyFill="0" applyBorder="0" applyAlignment="0" applyProtection="0">
      <alignment vertical="center"/>
    </xf>
    <xf numFmtId="315" fontId="88" fillId="59" borderId="0" applyFill="0" applyBorder="0" applyProtection="0">
      <alignment horizontal="right"/>
    </xf>
    <xf numFmtId="0" fontId="88" fillId="59" borderId="0" applyFill="0" applyBorder="0" applyProtection="0">
      <alignment horizontal="right"/>
    </xf>
    <xf numFmtId="0" fontId="21" fillId="59" borderId="0" applyFill="0" applyBorder="0" applyProtection="0">
      <alignment horizontal="right"/>
    </xf>
    <xf numFmtId="9" fontId="60" fillId="0" borderId="0"/>
    <xf numFmtId="240" fontId="88" fillId="0" borderId="0" applyFont="0" applyFill="0" applyBorder="0" applyAlignment="0" applyProtection="0"/>
    <xf numFmtId="38" fontId="44" fillId="0" borderId="0" applyFont="0" applyFill="0" applyBorder="0" applyAlignment="0" applyProtection="0">
      <alignment vertical="center"/>
    </xf>
    <xf numFmtId="292" fontId="44" fillId="0" borderId="0" applyFont="0" applyFill="0" applyBorder="0" applyAlignment="0" applyProtection="0">
      <alignment vertical="center"/>
    </xf>
    <xf numFmtId="38" fontId="44" fillId="0" borderId="0" applyFill="0" applyBorder="0" applyAlignment="0" applyProtection="0">
      <alignment vertical="center"/>
    </xf>
    <xf numFmtId="316" fontId="21" fillId="58" borderId="20" applyFont="0" applyFill="0" applyBorder="0" applyAlignment="0" applyProtection="0"/>
    <xf numFmtId="317" fontId="21" fillId="0" borderId="2" applyFont="0" applyFill="0" applyBorder="0" applyAlignment="0" applyProtection="0"/>
    <xf numFmtId="318" fontId="21" fillId="0" borderId="52" applyFont="0" applyFill="0" applyBorder="0" applyAlignment="0" applyProtection="0"/>
    <xf numFmtId="319" fontId="21" fillId="0" borderId="24" applyFont="0" applyFill="0" applyBorder="0" applyAlignment="0" applyProtection="0"/>
    <xf numFmtId="320" fontId="21" fillId="0" borderId="2"/>
    <xf numFmtId="321" fontId="31" fillId="0" borderId="0" applyFont="0" applyFill="0" applyBorder="0" applyAlignment="0" applyProtection="0">
      <alignment textRotation="255"/>
    </xf>
    <xf numFmtId="322" fontId="31" fillId="0" borderId="0" applyFont="0" applyFill="0" applyBorder="0" applyAlignment="0" applyProtection="0">
      <alignment textRotation="255"/>
    </xf>
    <xf numFmtId="323" fontId="83" fillId="0" borderId="20">
      <alignment vertical="center"/>
    </xf>
    <xf numFmtId="324" fontId="31" fillId="0" borderId="0" applyFont="0" applyFill="0" applyBorder="0" applyAlignment="0" applyProtection="0">
      <alignment textRotation="255"/>
    </xf>
    <xf numFmtId="310" fontId="24" fillId="0" borderId="15" applyFont="0" applyFill="0" applyBorder="0" applyAlignment="0" applyProtection="0">
      <alignment vertical="center"/>
    </xf>
    <xf numFmtId="0" fontId="33" fillId="0" borderId="0"/>
    <xf numFmtId="0" fontId="31" fillId="0" borderId="0" applyFont="0" applyFill="0" applyBorder="0" applyAlignment="0" applyProtection="0"/>
    <xf numFmtId="215" fontId="21" fillId="0" borderId="0" applyFont="0" applyFill="0" applyBorder="0" applyAlignment="0" applyProtection="0"/>
    <xf numFmtId="3" fontId="27" fillId="0" borderId="17"/>
    <xf numFmtId="0" fontId="186" fillId="0" borderId="0">
      <alignment horizontal="centerContinuous" vertical="center"/>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176" fontId="21" fillId="0" borderId="0" applyFont="0" applyFill="0" applyBorder="0" applyAlignment="0" applyProtection="0">
      <alignment vertical="center"/>
    </xf>
    <xf numFmtId="176" fontId="21" fillId="0" borderId="0" applyFont="0" applyFill="0" applyBorder="0" applyAlignment="0" applyProtection="0"/>
    <xf numFmtId="193" fontId="21" fillId="0" borderId="0" applyFont="0" applyFill="0" applyBorder="0" applyAlignment="0" applyProtection="0"/>
    <xf numFmtId="176" fontId="21" fillId="0" borderId="0" applyFont="0" applyFill="0" applyBorder="0" applyAlignment="0" applyProtection="0">
      <alignment vertical="center"/>
    </xf>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76" fontId="10" fillId="0" borderId="0" applyFont="0" applyFill="0" applyBorder="0" applyAlignment="0" applyProtection="0">
      <alignment vertical="center"/>
    </xf>
    <xf numFmtId="325" fontId="27" fillId="0" borderId="0">
      <protection locked="0"/>
    </xf>
    <xf numFmtId="0" fontId="27" fillId="0" borderId="0">
      <protection locked="0"/>
    </xf>
    <xf numFmtId="0" fontId="21" fillId="0" borderId="0">
      <protection locked="0"/>
    </xf>
    <xf numFmtId="225" fontId="27" fillId="0" borderId="0" applyFont="0" applyFill="0" applyBorder="0" applyAlignment="0" applyProtection="0"/>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24" fillId="0" borderId="51">
      <alignment horizontal="distributed"/>
    </xf>
    <xf numFmtId="0" fontId="24" fillId="0" borderId="51">
      <alignment horizontal="distributed" justifyLastLine="1"/>
    </xf>
    <xf numFmtId="0" fontId="24" fillId="0" borderId="53">
      <alignment horizontal="distributed" vertical="center"/>
    </xf>
    <xf numFmtId="0" fontId="24" fillId="0" borderId="53">
      <alignment horizontal="distributed" vertical="center" justifyLastLine="1"/>
    </xf>
    <xf numFmtId="0" fontId="24" fillId="0" borderId="54">
      <alignment horizontal="distributed" vertical="top"/>
    </xf>
    <xf numFmtId="0" fontId="24" fillId="0" borderId="54">
      <alignment horizontal="distributed" vertical="top" justifyLastLine="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xf numFmtId="0" fontId="21" fillId="0" borderId="0"/>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1" fillId="0" borderId="0"/>
    <xf numFmtId="0" fontId="21" fillId="0" borderId="0"/>
    <xf numFmtId="0" fontId="21" fillId="0" borderId="0"/>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2" fillId="0" borderId="0" applyNumberFormat="0" applyFont="0" applyFill="0" applyBorder="0" applyAlignment="0" applyProtection="0"/>
    <xf numFmtId="0" fontId="18" fillId="0" borderId="0" applyNumberForma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xf numFmtId="0" fontId="189" fillId="0" borderId="0">
      <alignment vertical="center"/>
    </xf>
    <xf numFmtId="0" fontId="56" fillId="0" borderId="0">
      <alignment vertical="center"/>
    </xf>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0" fillId="0" borderId="0">
      <alignment vertical="center"/>
    </xf>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88"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46" fillId="0" borderId="0">
      <alignment vertical="center"/>
    </xf>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33" fillId="0" borderId="0"/>
    <xf numFmtId="0" fontId="46" fillId="0" borderId="0">
      <alignment vertical="center"/>
    </xf>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21"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7" fillId="0" borderId="0">
      <alignment vertical="center"/>
    </xf>
    <xf numFmtId="0" fontId="12" fillId="0" borderId="0"/>
    <xf numFmtId="0" fontId="12" fillId="0" borderId="0"/>
    <xf numFmtId="0" fontId="12" fillId="0" borderId="0"/>
    <xf numFmtId="0" fontId="12" fillId="0" borderId="0"/>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7" fillId="0" borderId="0">
      <alignment vertical="center"/>
    </xf>
    <xf numFmtId="0" fontId="21" fillId="0" borderId="0"/>
    <xf numFmtId="0" fontId="7" fillId="0" borderId="0">
      <alignment vertical="center"/>
    </xf>
    <xf numFmtId="0" fontId="12" fillId="0" borderId="0"/>
    <xf numFmtId="0" fontId="12" fillId="0" borderId="0"/>
    <xf numFmtId="0" fontId="12" fillId="0" borderId="0"/>
    <xf numFmtId="0" fontId="12" fillId="0" borderId="0"/>
    <xf numFmtId="0" fontId="33" fillId="0" borderId="0" applyNumberFormat="0" applyFont="0" applyFill="0" applyBorder="0" applyProtection="0">
      <alignment vertical="center"/>
    </xf>
    <xf numFmtId="0" fontId="12" fillId="0" borderId="0"/>
    <xf numFmtId="0" fontId="27" fillId="0" borderId="2">
      <alignment vertical="center" wrapText="1"/>
    </xf>
    <xf numFmtId="0" fontId="60" fillId="0" borderId="24">
      <alignment horizontal="center"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90" fillId="0" borderId="0" applyNumberFormat="0" applyFill="0" applyBorder="0" applyAlignment="0" applyProtection="0">
      <alignment vertical="top"/>
      <protection locked="0"/>
    </xf>
    <xf numFmtId="326" fontId="191" fillId="0" borderId="24"/>
    <xf numFmtId="0" fontId="42" fillId="0" borderId="28">
      <protection locked="0"/>
    </xf>
    <xf numFmtId="0" fontId="42" fillId="0" borderId="28">
      <protection locked="0"/>
    </xf>
    <xf numFmtId="327" fontId="27" fillId="0" borderId="0">
      <protection locked="0"/>
    </xf>
    <xf numFmtId="3" fontId="88" fillId="0" borderId="55">
      <alignment vertical="center"/>
    </xf>
    <xf numFmtId="0" fontId="12" fillId="0" borderId="0"/>
    <xf numFmtId="328" fontId="27" fillId="0" borderId="0">
      <protection locked="0"/>
    </xf>
    <xf numFmtId="0" fontId="27" fillId="0" borderId="0">
      <protection locked="0"/>
    </xf>
    <xf numFmtId="0" fontId="21" fillId="0" borderId="0">
      <protection locked="0"/>
    </xf>
    <xf numFmtId="329" fontId="27" fillId="0" borderId="0">
      <protection locked="0"/>
    </xf>
    <xf numFmtId="0" fontId="27" fillId="0" borderId="0">
      <protection locked="0"/>
    </xf>
    <xf numFmtId="38" fontId="31" fillId="0" borderId="0" applyNumberFormat="0" applyFont="0" applyFill="0" applyBorder="0" applyAlignment="0" applyProtection="0">
      <protection locked="0"/>
    </xf>
    <xf numFmtId="179" fontId="27" fillId="0" borderId="56"/>
    <xf numFmtId="177" fontId="6" fillId="0" borderId="0" applyFont="0" applyFill="0" applyBorder="0" applyAlignment="0" applyProtection="0">
      <alignment vertical="center"/>
    </xf>
    <xf numFmtId="0" fontId="5" fillId="0" borderId="0">
      <alignment vertical="center"/>
    </xf>
    <xf numFmtId="0" fontId="4" fillId="0" borderId="0">
      <alignment vertical="center"/>
    </xf>
    <xf numFmtId="0" fontId="2" fillId="0" borderId="0">
      <alignment vertical="center"/>
    </xf>
    <xf numFmtId="9" fontId="10" fillId="0" borderId="0" applyFont="0" applyFill="0" applyBorder="0" applyAlignment="0" applyProtection="0">
      <alignment vertical="center"/>
    </xf>
    <xf numFmtId="177" fontId="1" fillId="0" borderId="0" applyFont="0" applyFill="0" applyBorder="0" applyAlignment="0" applyProtection="0">
      <alignment vertical="center"/>
    </xf>
  </cellStyleXfs>
  <cellXfs count="160">
    <xf numFmtId="0" fontId="0" fillId="0" borderId="0" xfId="0">
      <alignment vertical="center"/>
    </xf>
    <xf numFmtId="0" fontId="4" fillId="0" borderId="0" xfId="18443">
      <alignment vertical="center"/>
    </xf>
    <xf numFmtId="0" fontId="4" fillId="0" borderId="0" xfId="18443" applyAlignment="1">
      <alignment horizontal="center" vertical="center"/>
    </xf>
    <xf numFmtId="0" fontId="162" fillId="65" borderId="20" xfId="18443" applyFont="1" applyFill="1" applyBorder="1" applyAlignment="1">
      <alignment horizontal="center" vertical="center"/>
    </xf>
    <xf numFmtId="0" fontId="193" fillId="0" borderId="0" xfId="18443" applyFont="1" applyAlignment="1">
      <alignment horizontal="center" vertical="center"/>
    </xf>
    <xf numFmtId="0" fontId="194" fillId="0" borderId="0" xfId="18443" applyFont="1">
      <alignment vertical="center"/>
    </xf>
    <xf numFmtId="177" fontId="198" fillId="64" borderId="69" xfId="1" applyFont="1" applyFill="1" applyBorder="1" applyAlignment="1">
      <alignment vertical="center"/>
    </xf>
    <xf numFmtId="0" fontId="199" fillId="2" borderId="67" xfId="18443" applyFont="1" applyFill="1" applyBorder="1" applyAlignment="1">
      <alignment horizontal="center" vertical="center"/>
    </xf>
    <xf numFmtId="0" fontId="199" fillId="2" borderId="70" xfId="18443" applyFont="1" applyFill="1" applyBorder="1" applyAlignment="1">
      <alignment horizontal="center" vertical="center"/>
    </xf>
    <xf numFmtId="0" fontId="198" fillId="64" borderId="69" xfId="18443" quotePrefix="1" applyFont="1" applyFill="1" applyBorder="1" applyAlignment="1">
      <alignment vertical="center" wrapText="1"/>
    </xf>
    <xf numFmtId="0" fontId="56" fillId="0" borderId="57" xfId="18443" applyFont="1" applyBorder="1" applyAlignment="1">
      <alignment horizontal="center" vertical="center"/>
    </xf>
    <xf numFmtId="0" fontId="56" fillId="0" borderId="57" xfId="18443" applyFont="1" applyBorder="1" applyAlignment="1">
      <alignment vertical="center" wrapText="1"/>
    </xf>
    <xf numFmtId="0" fontId="206" fillId="65" borderId="59" xfId="18443" applyFont="1" applyFill="1" applyBorder="1" applyAlignment="1">
      <alignment horizontal="center" vertical="center"/>
    </xf>
    <xf numFmtId="0" fontId="206" fillId="65" borderId="60" xfId="18443" applyFont="1" applyFill="1" applyBorder="1" applyAlignment="1">
      <alignment horizontal="center" vertical="center"/>
    </xf>
    <xf numFmtId="0" fontId="56" fillId="0" borderId="64" xfId="18443" applyFont="1" applyBorder="1" applyAlignment="1">
      <alignment horizontal="center" vertical="center"/>
    </xf>
    <xf numFmtId="0" fontId="206" fillId="65" borderId="58" xfId="18443" applyFont="1" applyFill="1" applyBorder="1" applyAlignment="1">
      <alignment horizontal="center" vertical="center"/>
    </xf>
    <xf numFmtId="0" fontId="197" fillId="0" borderId="66" xfId="18443" applyFont="1" applyBorder="1" applyAlignment="1">
      <alignment horizontal="center" vertical="center"/>
    </xf>
    <xf numFmtId="0" fontId="197" fillId="0" borderId="68" xfId="18443" applyFont="1" applyBorder="1" applyAlignment="1">
      <alignment horizontal="center" vertical="center"/>
    </xf>
    <xf numFmtId="0" fontId="4" fillId="0" borderId="77" xfId="18443" applyBorder="1">
      <alignment vertical="center"/>
    </xf>
    <xf numFmtId="292" fontId="207" fillId="65" borderId="76" xfId="18443" applyNumberFormat="1" applyFont="1" applyFill="1" applyBorder="1" applyAlignment="1">
      <alignment horizontal="center" vertical="center"/>
    </xf>
    <xf numFmtId="0" fontId="206" fillId="0" borderId="65" xfId="18443" applyFont="1" applyBorder="1" applyAlignment="1">
      <alignment horizontal="right" vertical="center"/>
    </xf>
    <xf numFmtId="0" fontId="4" fillId="68" borderId="0" xfId="18443" applyFill="1">
      <alignment vertical="center"/>
    </xf>
    <xf numFmtId="0" fontId="193" fillId="0" borderId="0" xfId="18443" applyFont="1">
      <alignment vertical="center"/>
    </xf>
    <xf numFmtId="0" fontId="193" fillId="68" borderId="0" xfId="18443" applyFont="1" applyFill="1">
      <alignment vertical="center"/>
    </xf>
    <xf numFmtId="0" fontId="193" fillId="68" borderId="0" xfId="18443" applyFont="1" applyFill="1" applyAlignment="1">
      <alignment horizontal="center" vertical="center"/>
    </xf>
    <xf numFmtId="0" fontId="195" fillId="68" borderId="0" xfId="18443" quotePrefix="1" applyFont="1" applyFill="1" applyAlignment="1">
      <alignment vertical="center" wrapText="1"/>
    </xf>
    <xf numFmtId="0" fontId="211" fillId="66" borderId="61" xfId="18443" applyFont="1" applyFill="1" applyBorder="1" applyAlignment="1">
      <alignment horizontal="center" vertical="center"/>
    </xf>
    <xf numFmtId="0" fontId="211" fillId="66" borderId="75" xfId="18443" applyFont="1" applyFill="1" applyBorder="1" applyAlignment="1">
      <alignment horizontal="center" vertical="center"/>
    </xf>
    <xf numFmtId="0" fontId="211" fillId="66" borderId="71" xfId="18443" applyFont="1" applyFill="1" applyBorder="1" applyAlignment="1">
      <alignment horizontal="center" vertical="center"/>
    </xf>
    <xf numFmtId="0" fontId="211" fillId="66" borderId="72" xfId="18443" applyFont="1" applyFill="1" applyBorder="1" applyAlignment="1">
      <alignment horizontal="center" vertical="center"/>
    </xf>
    <xf numFmtId="0" fontId="211" fillId="66" borderId="73" xfId="18443" applyFont="1" applyFill="1" applyBorder="1" applyAlignment="1">
      <alignment horizontal="center" vertical="center"/>
    </xf>
    <xf numFmtId="0" fontId="211" fillId="66" borderId="74" xfId="18443" applyFont="1" applyFill="1" applyBorder="1" applyAlignment="1">
      <alignment horizontal="center" vertical="center"/>
    </xf>
    <xf numFmtId="292" fontId="207" fillId="65" borderId="82" xfId="18443" applyNumberFormat="1" applyFont="1" applyFill="1" applyBorder="1" applyAlignment="1">
      <alignment horizontal="center" vertical="center"/>
    </xf>
    <xf numFmtId="0" fontId="211" fillId="66" borderId="62" xfId="18443" applyFont="1" applyFill="1" applyBorder="1" applyAlignment="1">
      <alignment horizontal="center" vertical="center"/>
    </xf>
    <xf numFmtId="0" fontId="211" fillId="66" borderId="63" xfId="18443" applyFont="1" applyFill="1" applyBorder="1" applyAlignment="1">
      <alignment horizontal="center" vertical="center"/>
    </xf>
    <xf numFmtId="0" fontId="4" fillId="68" borderId="16" xfId="18443" applyFill="1" applyBorder="1">
      <alignment vertical="center"/>
    </xf>
    <xf numFmtId="0" fontId="4" fillId="0" borderId="16" xfId="18443" applyBorder="1" applyAlignment="1">
      <alignment horizontal="center" vertical="center"/>
    </xf>
    <xf numFmtId="0" fontId="3" fillId="65" borderId="83" xfId="18443" applyFont="1" applyFill="1" applyBorder="1" applyAlignment="1">
      <alignment horizontal="center" vertical="center"/>
    </xf>
    <xf numFmtId="0" fontId="4" fillId="65" borderId="84" xfId="18443" applyFill="1" applyBorder="1" applyAlignment="1">
      <alignment horizontal="center" vertical="center"/>
    </xf>
    <xf numFmtId="0" fontId="56" fillId="65" borderId="83" xfId="18443" applyFont="1" applyFill="1" applyBorder="1" applyAlignment="1">
      <alignment horizontal="center" vertical="center"/>
    </xf>
    <xf numFmtId="0" fontId="56" fillId="65" borderId="83" xfId="18443" applyFont="1" applyFill="1" applyBorder="1" applyAlignment="1">
      <alignment horizontal="center" vertical="center" wrapText="1"/>
    </xf>
    <xf numFmtId="0" fontId="192" fillId="65" borderId="83" xfId="18443" applyFont="1" applyFill="1" applyBorder="1" applyAlignment="1">
      <alignment horizontal="center" vertical="center" wrapText="1"/>
    </xf>
    <xf numFmtId="0" fontId="4" fillId="2" borderId="85" xfId="18443" applyFill="1" applyBorder="1" applyAlignment="1">
      <alignment horizontal="center" vertical="center"/>
    </xf>
    <xf numFmtId="0" fontId="56" fillId="2" borderId="86" xfId="18443" applyFont="1" applyFill="1" applyBorder="1" applyAlignment="1">
      <alignment horizontal="center" vertical="center"/>
    </xf>
    <xf numFmtId="0" fontId="56" fillId="0" borderId="64" xfId="18443" applyFont="1" applyBorder="1" applyAlignment="1">
      <alignment vertical="center" wrapText="1"/>
    </xf>
    <xf numFmtId="0" fontId="56" fillId="0" borderId="89" xfId="18443" applyFont="1" applyBorder="1" applyAlignment="1">
      <alignment horizontal="center" vertical="center"/>
    </xf>
    <xf numFmtId="0" fontId="56" fillId="0" borderId="89" xfId="18443" applyFont="1" applyBorder="1" applyAlignment="1">
      <alignment vertical="center" wrapText="1"/>
    </xf>
    <xf numFmtId="0" fontId="56" fillId="0" borderId="90" xfId="18443" quotePrefix="1" applyFont="1" applyBorder="1" applyAlignment="1">
      <alignment horizontal="center" vertical="center"/>
    </xf>
    <xf numFmtId="0" fontId="56" fillId="0" borderId="91" xfId="18443" applyFont="1" applyBorder="1" applyAlignment="1">
      <alignment horizontal="center" vertical="center"/>
    </xf>
    <xf numFmtId="0" fontId="56" fillId="0" borderId="91" xfId="18443" applyFont="1" applyBorder="1" applyAlignment="1">
      <alignment horizontal="left" vertical="center"/>
    </xf>
    <xf numFmtId="0" fontId="56" fillId="0" borderId="91" xfId="18443" applyFont="1" applyBorder="1">
      <alignment vertical="center"/>
    </xf>
    <xf numFmtId="0" fontId="130" fillId="0" borderId="91" xfId="18443" applyFont="1" applyBorder="1" applyAlignment="1">
      <alignment horizontal="center" vertical="center"/>
    </xf>
    <xf numFmtId="0" fontId="56" fillId="0" borderId="92" xfId="18443" applyFont="1" applyBorder="1" applyAlignment="1">
      <alignment horizontal="center" vertical="center"/>
    </xf>
    <xf numFmtId="0" fontId="56" fillId="0" borderId="95" xfId="18443" applyFont="1" applyBorder="1" applyAlignment="1">
      <alignment horizontal="center" vertical="center"/>
    </xf>
    <xf numFmtId="0" fontId="56" fillId="0" borderId="95" xfId="18443" applyFont="1" applyBorder="1" applyAlignment="1">
      <alignment vertical="center" wrapText="1"/>
    </xf>
    <xf numFmtId="0" fontId="213" fillId="0" borderId="0" xfId="0" applyFont="1">
      <alignment vertical="center"/>
    </xf>
    <xf numFmtId="177" fontId="213" fillId="0" borderId="0" xfId="1" applyFont="1">
      <alignment vertical="center"/>
    </xf>
    <xf numFmtId="0" fontId="213" fillId="0" borderId="0" xfId="0" applyFont="1" applyAlignment="1">
      <alignment horizontal="center" vertical="center"/>
    </xf>
    <xf numFmtId="9" fontId="215" fillId="0" borderId="0" xfId="0" applyNumberFormat="1" applyFont="1" applyAlignment="1">
      <alignment horizontal="center" vertical="center"/>
    </xf>
    <xf numFmtId="9" fontId="218" fillId="2" borderId="0" xfId="18445" applyFont="1" applyFill="1" applyAlignment="1">
      <alignment horizontal="center" vertical="center"/>
    </xf>
    <xf numFmtId="0" fontId="217" fillId="70" borderId="96" xfId="0" applyFont="1" applyFill="1" applyBorder="1">
      <alignment vertical="center"/>
    </xf>
    <xf numFmtId="0" fontId="217" fillId="70" borderId="97" xfId="0" applyFont="1" applyFill="1" applyBorder="1">
      <alignment vertical="center"/>
    </xf>
    <xf numFmtId="0" fontId="215" fillId="69" borderId="100" xfId="0" applyFont="1" applyFill="1" applyBorder="1" applyAlignment="1">
      <alignment horizontal="center" vertical="center"/>
    </xf>
    <xf numFmtId="0" fontId="215" fillId="69" borderId="101" xfId="0" applyFont="1" applyFill="1" applyBorder="1" applyAlignment="1">
      <alignment horizontal="center" vertical="center"/>
    </xf>
    <xf numFmtId="0" fontId="215" fillId="72" borderId="2" xfId="0" applyFont="1" applyFill="1" applyBorder="1" applyAlignment="1">
      <alignment horizontal="center" vertical="center"/>
    </xf>
    <xf numFmtId="0" fontId="218" fillId="71" borderId="2" xfId="2" applyFont="1" applyFill="1" applyBorder="1" applyAlignment="1">
      <alignment horizontal="center" vertical="center"/>
    </xf>
    <xf numFmtId="177" fontId="218" fillId="71" borderId="2" xfId="18446" applyFont="1" applyFill="1" applyBorder="1" applyAlignment="1">
      <alignment horizontal="center" vertical="center"/>
    </xf>
    <xf numFmtId="179" fontId="218" fillId="71" borderId="2" xfId="4" applyFont="1" applyFill="1" applyBorder="1" applyAlignment="1">
      <alignment horizontal="center" vertical="center"/>
    </xf>
    <xf numFmtId="0" fontId="218" fillId="0" borderId="0" xfId="0" applyFont="1" applyAlignment="1">
      <alignment horizontal="center" vertical="center"/>
    </xf>
    <xf numFmtId="0" fontId="214" fillId="0" borderId="0" xfId="0" applyFont="1">
      <alignment vertical="center"/>
    </xf>
    <xf numFmtId="0" fontId="222" fillId="0" borderId="0" xfId="0" applyFont="1">
      <alignment vertical="center"/>
    </xf>
    <xf numFmtId="177" fontId="222" fillId="0" borderId="0" xfId="0" applyNumberFormat="1" applyFont="1">
      <alignment vertical="center"/>
    </xf>
    <xf numFmtId="0" fontId="222" fillId="0" borderId="0" xfId="0" applyFont="1" applyAlignment="1">
      <alignment horizontal="center" vertical="center"/>
    </xf>
    <xf numFmtId="177" fontId="213" fillId="0" borderId="0" xfId="1" applyFont="1" applyFill="1">
      <alignment vertical="center"/>
    </xf>
    <xf numFmtId="177" fontId="226" fillId="69" borderId="2" xfId="1" applyFont="1" applyFill="1" applyBorder="1" applyAlignment="1">
      <alignment horizontal="center" vertical="center" wrapText="1"/>
    </xf>
    <xf numFmtId="0" fontId="227" fillId="69" borderId="100" xfId="0" applyFont="1" applyFill="1" applyBorder="1" applyAlignment="1">
      <alignment horizontal="center" vertical="center"/>
    </xf>
    <xf numFmtId="0" fontId="227" fillId="69" borderId="101" xfId="0" applyFont="1" applyFill="1" applyBorder="1" applyAlignment="1">
      <alignment horizontal="center" vertical="center"/>
    </xf>
    <xf numFmtId="0" fontId="228" fillId="72" borderId="2" xfId="0" applyFont="1" applyFill="1" applyBorder="1" applyAlignment="1">
      <alignment horizontal="center" vertical="center"/>
    </xf>
    <xf numFmtId="49" fontId="229" fillId="0" borderId="2" xfId="0" applyNumberFormat="1" applyFont="1" applyBorder="1" applyAlignment="1">
      <alignment horizontal="center" vertical="center" wrapText="1"/>
    </xf>
    <xf numFmtId="332" fontId="230" fillId="69" borderId="2" xfId="1" applyNumberFormat="1" applyFont="1" applyFill="1" applyBorder="1" applyAlignment="1">
      <alignment horizontal="center" vertical="center" wrapText="1"/>
    </xf>
    <xf numFmtId="177" fontId="61" fillId="0" borderId="2" xfId="1" applyFont="1" applyFill="1" applyBorder="1" applyAlignment="1">
      <alignment horizontal="center" vertical="center"/>
    </xf>
    <xf numFmtId="331" fontId="226" fillId="69" borderId="2" xfId="1" applyNumberFormat="1" applyFont="1" applyFill="1" applyBorder="1" applyAlignment="1">
      <alignment horizontal="center" vertical="center" wrapText="1"/>
    </xf>
    <xf numFmtId="177" fontId="230" fillId="0" borderId="2" xfId="1" applyFont="1" applyFill="1" applyBorder="1" applyAlignment="1">
      <alignment horizontal="center" vertical="center"/>
    </xf>
    <xf numFmtId="177" fontId="226" fillId="0" borderId="2" xfId="1" applyFont="1" applyFill="1" applyBorder="1" applyAlignment="1">
      <alignment horizontal="center" vertical="center" wrapText="1"/>
    </xf>
    <xf numFmtId="9" fontId="228" fillId="0" borderId="102" xfId="18445" applyFont="1" applyBorder="1" applyAlignment="1">
      <alignment horizontal="center" vertical="center"/>
    </xf>
    <xf numFmtId="0" fontId="228" fillId="0" borderId="3" xfId="0" applyFont="1" applyBorder="1">
      <alignment vertical="center"/>
    </xf>
    <xf numFmtId="0" fontId="228" fillId="0" borderId="0" xfId="0" applyFont="1">
      <alignment vertical="center"/>
    </xf>
    <xf numFmtId="49" fontId="226" fillId="72" borderId="2" xfId="0" applyNumberFormat="1" applyFont="1" applyFill="1" applyBorder="1" applyAlignment="1">
      <alignment horizontal="center" vertical="center" wrapText="1"/>
    </xf>
    <xf numFmtId="49" fontId="226" fillId="0" borderId="2" xfId="0" applyNumberFormat="1" applyFont="1" applyBorder="1" applyAlignment="1">
      <alignment horizontal="center" vertical="center" wrapText="1"/>
    </xf>
    <xf numFmtId="177" fontId="230" fillId="69" borderId="2" xfId="1" applyFont="1" applyFill="1" applyBorder="1" applyAlignment="1">
      <alignment horizontal="center" vertical="center" wrapText="1"/>
    </xf>
    <xf numFmtId="49" fontId="231" fillId="0" borderId="2" xfId="0" applyNumberFormat="1" applyFont="1" applyBorder="1" applyAlignment="1">
      <alignment horizontal="center" vertical="center" wrapText="1"/>
    </xf>
    <xf numFmtId="0" fontId="227" fillId="69" borderId="103" xfId="0" applyFont="1" applyFill="1" applyBorder="1" applyAlignment="1">
      <alignment horizontal="center" vertical="center"/>
    </xf>
    <xf numFmtId="0" fontId="227" fillId="69" borderId="104" xfId="0" applyFont="1" applyFill="1" applyBorder="1" applyAlignment="1">
      <alignment horizontal="center" vertical="center"/>
    </xf>
    <xf numFmtId="0" fontId="228" fillId="72" borderId="105" xfId="0" applyFont="1" applyFill="1" applyBorder="1" applyAlignment="1">
      <alignment horizontal="center" vertical="center"/>
    </xf>
    <xf numFmtId="0" fontId="61" fillId="0" borderId="105" xfId="2" applyFont="1" applyBorder="1" applyAlignment="1">
      <alignment vertical="center" shrinkToFit="1"/>
    </xf>
    <xf numFmtId="0" fontId="61" fillId="0" borderId="105" xfId="2" applyFont="1" applyBorder="1" applyAlignment="1">
      <alignment horizontal="center" vertical="center"/>
    </xf>
    <xf numFmtId="0" fontId="61" fillId="69" borderId="105" xfId="1" applyNumberFormat="1" applyFont="1" applyFill="1" applyBorder="1" applyAlignment="1">
      <alignment horizontal="center" vertical="center"/>
    </xf>
    <xf numFmtId="177" fontId="61" fillId="0" borderId="105" xfId="1" applyFont="1" applyFill="1" applyBorder="1" applyAlignment="1">
      <alignment horizontal="center" vertical="center"/>
    </xf>
    <xf numFmtId="331" fontId="226" fillId="69" borderId="105" xfId="1" applyNumberFormat="1" applyFont="1" applyFill="1" applyBorder="1" applyAlignment="1">
      <alignment horizontal="center" vertical="center" wrapText="1"/>
    </xf>
    <xf numFmtId="177" fontId="226" fillId="69" borderId="105" xfId="1" applyFont="1" applyFill="1" applyBorder="1" applyAlignment="1">
      <alignment horizontal="center" vertical="center" wrapText="1"/>
    </xf>
    <xf numFmtId="177" fontId="226" fillId="0" borderId="105" xfId="1" applyFont="1" applyFill="1" applyBorder="1" applyAlignment="1">
      <alignment horizontal="center" vertical="center" wrapText="1"/>
    </xf>
    <xf numFmtId="9" fontId="228" fillId="0" borderId="106" xfId="18445" applyFont="1" applyBorder="1" applyAlignment="1">
      <alignment horizontal="center" vertical="center"/>
    </xf>
    <xf numFmtId="0" fontId="228" fillId="0" borderId="107" xfId="0" applyFont="1" applyBorder="1">
      <alignment vertical="center"/>
    </xf>
    <xf numFmtId="0" fontId="97" fillId="0" borderId="108" xfId="0" applyFont="1" applyBorder="1" applyAlignment="1">
      <alignment horizontal="center" vertical="center"/>
    </xf>
    <xf numFmtId="0" fontId="97" fillId="0" borderId="0" xfId="0" applyFont="1" applyAlignment="1">
      <alignment horizontal="center" vertical="center"/>
    </xf>
    <xf numFmtId="177" fontId="228" fillId="0" borderId="0" xfId="1" applyFont="1">
      <alignment vertical="center"/>
    </xf>
    <xf numFmtId="177" fontId="227" fillId="0" borderId="0" xfId="0" applyNumberFormat="1" applyFont="1">
      <alignment vertical="center"/>
    </xf>
    <xf numFmtId="0" fontId="227" fillId="0" borderId="0" xfId="0" applyFont="1">
      <alignment vertical="center"/>
    </xf>
    <xf numFmtId="177" fontId="227" fillId="64" borderId="0" xfId="0" applyNumberFormat="1" applyFont="1" applyFill="1">
      <alignment vertical="center"/>
    </xf>
    <xf numFmtId="0" fontId="228" fillId="0" borderId="0" xfId="0" applyFont="1" applyAlignment="1">
      <alignment horizontal="center" vertical="center"/>
    </xf>
    <xf numFmtId="179" fontId="218" fillId="71" borderId="97" xfId="4" applyFont="1" applyFill="1" applyBorder="1" applyAlignment="1">
      <alignment horizontal="center" vertical="center"/>
    </xf>
    <xf numFmtId="0" fontId="215" fillId="71" borderId="97" xfId="0" applyFont="1" applyFill="1" applyBorder="1" applyAlignment="1">
      <alignment horizontal="center" vertical="center"/>
    </xf>
    <xf numFmtId="0" fontId="215" fillId="71" borderId="2" xfId="0" applyFont="1" applyFill="1" applyBorder="1" applyAlignment="1">
      <alignment horizontal="center" vertical="center"/>
    </xf>
    <xf numFmtId="0" fontId="217" fillId="70" borderId="98" xfId="0" applyFont="1" applyFill="1" applyBorder="1" applyAlignment="1">
      <alignment horizontal="center" vertical="center"/>
    </xf>
    <xf numFmtId="0" fontId="217" fillId="70" borderId="102" xfId="0" applyFont="1" applyFill="1" applyBorder="1" applyAlignment="1">
      <alignment horizontal="center" vertical="center"/>
    </xf>
    <xf numFmtId="0" fontId="221" fillId="0" borderId="99" xfId="0" applyFont="1" applyBorder="1" applyAlignment="1">
      <alignment horizontal="center" vertical="center"/>
    </xf>
    <xf numFmtId="0" fontId="213" fillId="0" borderId="3" xfId="0" applyFont="1" applyBorder="1" applyAlignment="1">
      <alignment horizontal="center" vertical="center"/>
    </xf>
    <xf numFmtId="0" fontId="217" fillId="0" borderId="0" xfId="0" applyFont="1" applyAlignment="1">
      <alignment horizontal="center" vertical="center"/>
    </xf>
    <xf numFmtId="0" fontId="220" fillId="71" borderId="97" xfId="2" applyFont="1" applyFill="1" applyBorder="1" applyAlignment="1">
      <alignment horizontal="center" vertical="center"/>
    </xf>
    <xf numFmtId="0" fontId="218" fillId="71" borderId="97" xfId="2" applyFont="1" applyFill="1" applyBorder="1" applyAlignment="1">
      <alignment horizontal="center" vertical="center"/>
    </xf>
    <xf numFmtId="0" fontId="218" fillId="71" borderId="2" xfId="2" applyFont="1" applyFill="1" applyBorder="1" applyAlignment="1">
      <alignment horizontal="center" vertical="center"/>
    </xf>
    <xf numFmtId="177" fontId="218" fillId="71" borderId="97" xfId="1" applyFont="1" applyFill="1" applyBorder="1" applyAlignment="1">
      <alignment horizontal="center" vertical="center"/>
    </xf>
    <xf numFmtId="177" fontId="218" fillId="71" borderId="2" xfId="1" applyFont="1" applyFill="1" applyBorder="1" applyAlignment="1">
      <alignment horizontal="center" vertical="center"/>
    </xf>
    <xf numFmtId="177" fontId="218" fillId="71" borderId="97" xfId="18446" applyFont="1" applyFill="1" applyBorder="1" applyAlignment="1">
      <alignment horizontal="center" vertical="center"/>
    </xf>
    <xf numFmtId="0" fontId="196" fillId="67" borderId="69" xfId="18443" quotePrefix="1" applyFont="1" applyFill="1" applyBorder="1" applyAlignment="1">
      <alignment vertical="center" wrapText="1"/>
    </xf>
    <xf numFmtId="0" fontId="205" fillId="0" borderId="0" xfId="18443" applyFont="1" applyAlignment="1">
      <alignment horizontal="center" vertical="center"/>
    </xf>
    <xf numFmtId="0" fontId="201" fillId="0" borderId="0" xfId="18443" applyFont="1" applyBorder="1" applyAlignment="1">
      <alignment horizontal="center" vertical="center"/>
    </xf>
    <xf numFmtId="0" fontId="205" fillId="0" borderId="0" xfId="18443" applyFont="1" applyBorder="1" applyAlignment="1">
      <alignment horizontal="center" vertical="center"/>
    </xf>
    <xf numFmtId="0" fontId="212" fillId="0" borderId="0" xfId="18443" applyFont="1" applyAlignment="1">
      <alignment horizontal="center" vertical="center" wrapText="1"/>
    </xf>
    <xf numFmtId="0" fontId="212" fillId="0" borderId="0" xfId="18443" applyFont="1" applyAlignment="1">
      <alignment horizontal="center" vertical="center"/>
    </xf>
    <xf numFmtId="0" fontId="212" fillId="0" borderId="0" xfId="18443" applyFont="1" applyBorder="1" applyAlignment="1">
      <alignment horizontal="center" vertical="center"/>
    </xf>
    <xf numFmtId="330" fontId="162" fillId="0" borderId="80" xfId="18443" applyNumberFormat="1" applyFont="1" applyBorder="1" applyAlignment="1">
      <alignment horizontal="center" vertical="center"/>
    </xf>
    <xf numFmtId="330" fontId="162" fillId="0" borderId="78" xfId="18443" applyNumberFormat="1" applyFont="1" applyBorder="1" applyAlignment="1">
      <alignment horizontal="center" vertical="center"/>
    </xf>
    <xf numFmtId="330" fontId="162" fillId="0" borderId="88" xfId="18443" applyNumberFormat="1" applyFont="1" applyBorder="1" applyAlignment="1">
      <alignment horizontal="center" vertical="center"/>
    </xf>
    <xf numFmtId="0" fontId="56" fillId="0" borderId="80" xfId="18443" applyFont="1" applyBorder="1" applyAlignment="1">
      <alignment horizontal="center" vertical="center"/>
    </xf>
    <xf numFmtId="0" fontId="56" fillId="0" borderId="78" xfId="18443" applyFont="1" applyBorder="1" applyAlignment="1">
      <alignment horizontal="center" vertical="center"/>
    </xf>
    <xf numFmtId="0" fontId="56" fillId="0" borderId="88" xfId="18443" applyFont="1" applyBorder="1" applyAlignment="1">
      <alignment horizontal="center" vertical="center"/>
    </xf>
    <xf numFmtId="0" fontId="209" fillId="0" borderId="80" xfId="18443" applyFont="1" applyBorder="1" applyAlignment="1">
      <alignment horizontal="center" vertical="center"/>
    </xf>
    <xf numFmtId="0" fontId="209" fillId="0" borderId="78" xfId="18443" applyFont="1" applyBorder="1" applyAlignment="1">
      <alignment horizontal="center" vertical="center"/>
    </xf>
    <xf numFmtId="0" fontId="209" fillId="0" borderId="88" xfId="18443" applyFont="1" applyBorder="1" applyAlignment="1">
      <alignment horizontal="center" vertical="center"/>
    </xf>
    <xf numFmtId="0" fontId="210" fillId="0" borderId="80" xfId="18443" applyFont="1" applyBorder="1" applyAlignment="1">
      <alignment horizontal="center" vertical="center" wrapText="1"/>
    </xf>
    <xf numFmtId="0" fontId="210" fillId="0" borderId="78" xfId="18443" applyFont="1" applyBorder="1" applyAlignment="1">
      <alignment horizontal="center" vertical="center" wrapText="1"/>
    </xf>
    <xf numFmtId="0" fontId="210" fillId="0" borderId="88" xfId="18443" applyFont="1" applyBorder="1" applyAlignment="1">
      <alignment horizontal="center" vertical="center" wrapText="1"/>
    </xf>
    <xf numFmtId="0" fontId="200" fillId="0" borderId="94" xfId="18443" applyFont="1" applyBorder="1" applyAlignment="1">
      <alignment horizontal="center" vertical="center"/>
    </xf>
    <xf numFmtId="0" fontId="200" fillId="0" borderId="78" xfId="18443" applyFont="1" applyBorder="1" applyAlignment="1">
      <alignment horizontal="center" vertical="center"/>
    </xf>
    <xf numFmtId="0" fontId="200" fillId="0" borderId="88" xfId="18443" applyFont="1" applyBorder="1" applyAlignment="1">
      <alignment horizontal="center" vertical="center"/>
    </xf>
    <xf numFmtId="0" fontId="162" fillId="0" borderId="81" xfId="18443" quotePrefix="1" applyFont="1" applyBorder="1" applyAlignment="1">
      <alignment horizontal="center" vertical="center"/>
    </xf>
    <xf numFmtId="0" fontId="162" fillId="0" borderId="79" xfId="18443" quotePrefix="1" applyFont="1" applyBorder="1" applyAlignment="1">
      <alignment horizontal="center" vertical="center"/>
    </xf>
    <xf numFmtId="0" fontId="162" fillId="0" borderId="87" xfId="18443" quotePrefix="1" applyFont="1" applyBorder="1" applyAlignment="1">
      <alignment horizontal="center" vertical="center"/>
    </xf>
    <xf numFmtId="0" fontId="162" fillId="0" borderId="93" xfId="18443" quotePrefix="1" applyFont="1" applyBorder="1" applyAlignment="1">
      <alignment horizontal="center" vertical="center"/>
    </xf>
    <xf numFmtId="330" fontId="162" fillId="0" borderId="94" xfId="18443" applyNumberFormat="1" applyFont="1" applyBorder="1" applyAlignment="1">
      <alignment horizontal="center" vertical="center"/>
    </xf>
    <xf numFmtId="0" fontId="56" fillId="0" borderId="94" xfId="18443" applyFont="1" applyBorder="1" applyAlignment="1">
      <alignment horizontal="center" vertical="center"/>
    </xf>
    <xf numFmtId="0" fontId="209" fillId="0" borderId="94" xfId="18443" applyFont="1" applyBorder="1" applyAlignment="1">
      <alignment horizontal="center" vertical="center"/>
    </xf>
    <xf numFmtId="0" fontId="208" fillId="0" borderId="110" xfId="18443" applyFont="1" applyBorder="1" applyAlignment="1">
      <alignment vertical="center"/>
    </xf>
    <xf numFmtId="0" fontId="208" fillId="0" borderId="111" xfId="18443" applyFont="1" applyBorder="1" applyAlignment="1">
      <alignment vertical="center"/>
    </xf>
    <xf numFmtId="0" fontId="193" fillId="0" borderId="112" xfId="18443" applyFont="1" applyBorder="1" applyAlignment="1">
      <alignment vertical="center"/>
    </xf>
    <xf numFmtId="0" fontId="193" fillId="0" borderId="110" xfId="18443" applyFont="1" applyBorder="1" applyAlignment="1">
      <alignment vertical="center"/>
    </xf>
    <xf numFmtId="0" fontId="193" fillId="0" borderId="111" xfId="18443" applyFont="1" applyBorder="1" applyAlignment="1">
      <alignment vertical="center"/>
    </xf>
    <xf numFmtId="0" fontId="208" fillId="0" borderId="109" xfId="18443" applyFont="1" applyBorder="1" applyAlignment="1">
      <alignment horizontal="center" vertical="center"/>
    </xf>
    <xf numFmtId="0" fontId="208" fillId="0" borderId="110" xfId="18443" applyFont="1" applyBorder="1" applyAlignment="1">
      <alignment horizontal="center" vertical="center"/>
    </xf>
  </cellXfs>
  <cellStyles count="18447">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xfId="18445" builtinId="5"/>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82" xfId="18446" xr:uid="{00672835-9013-4D64-B6B2-C1CB47FAA4E1}"/>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xfId="18444" xr:uid="{B54857E8-4417-42BE-8019-985342809B67}"/>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87924</xdr:rowOff>
    </xdr:from>
    <xdr:to>
      <xdr:col>14</xdr:col>
      <xdr:colOff>630811</xdr:colOff>
      <xdr:row>11</xdr:row>
      <xdr:rowOff>87924</xdr:rowOff>
    </xdr:to>
    <xdr:pic>
      <xdr:nvPicPr>
        <xdr:cNvPr id="2" name="그림 1">
          <a:extLst>
            <a:ext uri="{FF2B5EF4-FFF2-40B4-BE49-F238E27FC236}">
              <a16:creationId xmlns:a16="http://schemas.microsoft.com/office/drawing/2014/main" id="{444AAF32-940D-A5CC-AE76-CDBC62CB1E7F}"/>
            </a:ext>
          </a:extLst>
        </xdr:cNvPr>
        <xdr:cNvPicPr>
          <a:picLocks noChangeAspect="1"/>
        </xdr:cNvPicPr>
      </xdr:nvPicPr>
      <xdr:blipFill>
        <a:blip xmlns:r="http://schemas.openxmlformats.org/officeDocument/2006/relationships" r:embed="rId1"/>
        <a:stretch>
          <a:fillRect/>
        </a:stretch>
      </xdr:blipFill>
      <xdr:spPr>
        <a:xfrm>
          <a:off x="0" y="87924"/>
          <a:ext cx="10273042" cy="2337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555625</xdr:colOff>
      <xdr:row>19</xdr:row>
      <xdr:rowOff>173615</xdr:rowOff>
    </xdr:to>
    <xdr:grpSp>
      <xdr:nvGrpSpPr>
        <xdr:cNvPr id="4" name="그룹 3">
          <a:extLst>
            <a:ext uri="{FF2B5EF4-FFF2-40B4-BE49-F238E27FC236}">
              <a16:creationId xmlns:a16="http://schemas.microsoft.com/office/drawing/2014/main" id="{246E64BB-B8C9-2686-7792-27CA6AE55344}"/>
            </a:ext>
          </a:extLst>
        </xdr:cNvPr>
        <xdr:cNvGrpSpPr>
          <a:grpSpLocks noChangeAspect="1"/>
        </xdr:cNvGrpSpPr>
      </xdr:nvGrpSpPr>
      <xdr:grpSpPr>
        <a:xfrm>
          <a:off x="0" y="0"/>
          <a:ext cx="9429750" cy="4094740"/>
          <a:chOff x="1360714" y="6599464"/>
          <a:chExt cx="9904752" cy="4269433"/>
        </a:xfrm>
      </xdr:grpSpPr>
      <xdr:pic>
        <xdr:nvPicPr>
          <xdr:cNvPr id="3" name="그림 2">
            <a:extLst>
              <a:ext uri="{FF2B5EF4-FFF2-40B4-BE49-F238E27FC236}">
                <a16:creationId xmlns:a16="http://schemas.microsoft.com/office/drawing/2014/main" id="{DDC0BD1B-A920-3950-CE21-CB7C8211CB74}"/>
              </a:ext>
            </a:extLst>
          </xdr:cNvPr>
          <xdr:cNvPicPr>
            <a:picLocks noChangeAspect="1"/>
          </xdr:cNvPicPr>
        </xdr:nvPicPr>
        <xdr:blipFill>
          <a:blip xmlns:r="http://schemas.openxmlformats.org/officeDocument/2006/relationships" r:embed="rId1"/>
          <a:stretch>
            <a:fillRect/>
          </a:stretch>
        </xdr:blipFill>
        <xdr:spPr>
          <a:xfrm>
            <a:off x="1360714" y="6599464"/>
            <a:ext cx="9904752" cy="3806791"/>
          </a:xfrm>
          <a:prstGeom prst="rect">
            <a:avLst/>
          </a:prstGeom>
        </xdr:spPr>
      </xdr:pic>
      <xdr:pic>
        <xdr:nvPicPr>
          <xdr:cNvPr id="2" name="그림 1">
            <a:extLst>
              <a:ext uri="{FF2B5EF4-FFF2-40B4-BE49-F238E27FC236}">
                <a16:creationId xmlns:a16="http://schemas.microsoft.com/office/drawing/2014/main" id="{0565AEFB-A824-BE45-8DEB-8BD01D92F34C}"/>
              </a:ext>
            </a:extLst>
          </xdr:cNvPr>
          <xdr:cNvPicPr>
            <a:picLocks noChangeAspect="1"/>
          </xdr:cNvPicPr>
        </xdr:nvPicPr>
        <xdr:blipFill rotWithShape="1">
          <a:blip xmlns:r="http://schemas.openxmlformats.org/officeDocument/2006/relationships" r:embed="rId2"/>
          <a:srcRect t="83285"/>
          <a:stretch>
            <a:fillRect/>
          </a:stretch>
        </xdr:blipFill>
        <xdr:spPr>
          <a:xfrm>
            <a:off x="1360714" y="10232571"/>
            <a:ext cx="9838086" cy="636326"/>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F454-A9A5-400F-9D2D-3C14A2BD5BC5}">
  <sheetPr>
    <tabColor rgb="FF92D050"/>
  </sheetPr>
  <dimension ref="A1"/>
  <sheetViews>
    <sheetView view="pageBreakPreview" zoomScaleNormal="100" zoomScaleSheetLayoutView="100" workbookViewId="0">
      <selection activeCell="H21" sqref="H21"/>
    </sheetView>
  </sheetViews>
  <sheetFormatPr defaultRowHeight="16.5"/>
  <sheetData/>
  <phoneticPr fontId="9" type="noConversion"/>
  <printOptions horizontalCentered="1" verticalCentered="1"/>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19E8-65D6-43E3-9FFF-3BF6AE14B9E2}">
  <sheetPr>
    <tabColor rgb="FF92D050"/>
  </sheetPr>
  <dimension ref="A1"/>
  <sheetViews>
    <sheetView view="pageBreakPreview" zoomScale="60" zoomScaleNormal="70" workbookViewId="0">
      <selection activeCell="P49" sqref="P49"/>
    </sheetView>
  </sheetViews>
  <sheetFormatPr defaultRowHeight="16.5"/>
  <sheetData/>
  <phoneticPr fontId="9" type="noConversion"/>
  <printOptions horizontalCentered="1" verticalCentered="1"/>
  <pageMargins left="0" right="0"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710-DC2B-4617-AE7C-48A71B059A99}">
  <dimension ref="A1:X18"/>
  <sheetViews>
    <sheetView showGridLines="0" topLeftCell="A7" zoomScale="115" zoomScaleNormal="115" workbookViewId="0">
      <pane xSplit="8" topLeftCell="I1" activePane="topRight" state="frozen"/>
      <selection pane="topRight" activeCell="F9" sqref="F9"/>
    </sheetView>
  </sheetViews>
  <sheetFormatPr defaultColWidth="9" defaultRowHeight="33" customHeight="1"/>
  <cols>
    <col min="1" max="1" width="5.125" style="69" bestFit="1" customWidth="1"/>
    <col min="2" max="4" width="5.125" style="69" customWidth="1"/>
    <col min="5" max="5" width="33.5" style="55" customWidth="1"/>
    <col min="6" max="8" width="8" style="55" customWidth="1"/>
    <col min="9" max="9" width="18.5" style="55" bestFit="1" customWidth="1"/>
    <col min="10" max="10" width="15.125" style="55" customWidth="1"/>
    <col min="11" max="11" width="4.75" style="55" bestFit="1" customWidth="1"/>
    <col min="12" max="12" width="5.875" style="73" bestFit="1" customWidth="1"/>
    <col min="13" max="13" width="9.5" style="55" customWidth="1"/>
    <col min="14" max="14" width="9" style="55" customWidth="1"/>
    <col min="15" max="15" width="8" style="55" customWidth="1"/>
    <col min="16" max="16" width="10.25" style="55" bestFit="1" customWidth="1"/>
    <col min="17" max="17" width="12.25" style="55" bestFit="1" customWidth="1"/>
    <col min="18" max="18" width="5.75" style="55" hidden="1" customWidth="1"/>
    <col min="19" max="19" width="8" style="55" hidden="1" customWidth="1"/>
    <col min="20" max="20" width="8.25" style="55" bestFit="1" customWidth="1"/>
    <col min="21" max="21" width="9.75" style="55" bestFit="1" customWidth="1"/>
    <col min="22" max="22" width="12" style="55" bestFit="1" customWidth="1"/>
    <col min="23" max="23" width="11.375" style="57" customWidth="1"/>
    <col min="24" max="24" width="8" style="55" bestFit="1" customWidth="1"/>
    <col min="25" max="25" width="9" style="55"/>
    <col min="26" max="26" width="63.25" style="55" bestFit="1" customWidth="1"/>
    <col min="27" max="16384" width="9" style="55"/>
  </cols>
  <sheetData>
    <row r="1" spans="1:24" ht="18.600000000000001" customHeight="1" thickBot="1">
      <c r="A1" s="117"/>
      <c r="B1" s="117"/>
      <c r="C1" s="117"/>
      <c r="D1" s="117"/>
      <c r="E1" s="117"/>
      <c r="F1" s="117"/>
      <c r="G1" s="117"/>
      <c r="H1" s="117"/>
      <c r="L1" s="56"/>
      <c r="M1" s="58"/>
      <c r="N1" s="58"/>
      <c r="O1" s="59"/>
      <c r="Q1" s="59"/>
      <c r="S1" s="59"/>
      <c r="U1" s="59"/>
    </row>
    <row r="2" spans="1:24" ht="18.600000000000001" customHeight="1">
      <c r="A2" s="60"/>
      <c r="B2" s="60"/>
      <c r="C2" s="60"/>
      <c r="D2" s="60"/>
      <c r="E2" s="60" t="s">
        <v>33</v>
      </c>
      <c r="F2" s="61"/>
      <c r="G2" s="61"/>
      <c r="H2" s="61"/>
      <c r="I2" s="118" t="s">
        <v>34</v>
      </c>
      <c r="J2" s="119"/>
      <c r="K2" s="119" t="s">
        <v>35</v>
      </c>
      <c r="L2" s="121" t="s">
        <v>36</v>
      </c>
      <c r="M2" s="123" t="s">
        <v>37</v>
      </c>
      <c r="N2" s="123"/>
      <c r="O2" s="123"/>
      <c r="P2" s="123" t="s">
        <v>38</v>
      </c>
      <c r="Q2" s="123"/>
      <c r="R2" s="110" t="s">
        <v>39</v>
      </c>
      <c r="S2" s="110"/>
      <c r="T2" s="110" t="s">
        <v>40</v>
      </c>
      <c r="U2" s="110"/>
      <c r="V2" s="111" t="s">
        <v>41</v>
      </c>
      <c r="W2" s="113" t="s">
        <v>42</v>
      </c>
      <c r="X2" s="115" t="s">
        <v>43</v>
      </c>
    </row>
    <row r="3" spans="1:24" ht="18.600000000000001" customHeight="1">
      <c r="A3" s="62" t="s">
        <v>44</v>
      </c>
      <c r="B3" s="63"/>
      <c r="C3" s="63"/>
      <c r="D3" s="63"/>
      <c r="E3" s="64" t="s">
        <v>45</v>
      </c>
      <c r="F3" s="64" t="s">
        <v>46</v>
      </c>
      <c r="G3" s="64" t="s">
        <v>47</v>
      </c>
      <c r="H3" s="64" t="s">
        <v>48</v>
      </c>
      <c r="I3" s="65" t="s">
        <v>49</v>
      </c>
      <c r="J3" s="65" t="s">
        <v>50</v>
      </c>
      <c r="K3" s="120"/>
      <c r="L3" s="122"/>
      <c r="M3" s="66" t="s">
        <v>51</v>
      </c>
      <c r="N3" s="66" t="s">
        <v>52</v>
      </c>
      <c r="O3" s="67" t="s">
        <v>53</v>
      </c>
      <c r="P3" s="66" t="s">
        <v>54</v>
      </c>
      <c r="Q3" s="67" t="s">
        <v>53</v>
      </c>
      <c r="R3" s="67" t="s">
        <v>55</v>
      </c>
      <c r="S3" s="67" t="s">
        <v>53</v>
      </c>
      <c r="T3" s="67" t="s">
        <v>55</v>
      </c>
      <c r="U3" s="67" t="s">
        <v>53</v>
      </c>
      <c r="V3" s="112"/>
      <c r="W3" s="114"/>
      <c r="X3" s="116"/>
    </row>
    <row r="4" spans="1:24" s="86" customFormat="1" ht="33" customHeight="1">
      <c r="A4" s="75" t="str">
        <f t="shared" ref="A4:A16" si="0">E4&amp;F4&amp;G4&amp;H4</f>
        <v>L039</v>
      </c>
      <c r="B4" s="76"/>
      <c r="C4" s="76"/>
      <c r="D4" s="76"/>
      <c r="E4" s="77"/>
      <c r="F4" s="77"/>
      <c r="G4" s="77"/>
      <c r="H4" s="77" t="s">
        <v>56</v>
      </c>
      <c r="I4" s="78" t="s">
        <v>57</v>
      </c>
      <c r="J4" s="78" t="s">
        <v>58</v>
      </c>
      <c r="K4" s="78" t="s">
        <v>59</v>
      </c>
      <c r="L4" s="79">
        <f>'상반기 증빙'!N11</f>
        <v>3</v>
      </c>
      <c r="M4" s="80"/>
      <c r="N4" s="80"/>
      <c r="O4" s="81">
        <f>ROUND(SUM(M4:N4)*L4*$O$1,0)</f>
        <v>0</v>
      </c>
      <c r="P4" s="80">
        <v>229664</v>
      </c>
      <c r="Q4" s="74">
        <f>ROUND((P4*L4),0)</f>
        <v>688992</v>
      </c>
      <c r="R4" s="80"/>
      <c r="S4" s="74">
        <f>ROUND(R4*L4*$S$1,0)</f>
        <v>0</v>
      </c>
      <c r="T4" s="82"/>
      <c r="U4" s="74">
        <f>ROUND(T4*L4*$U$1,0)</f>
        <v>0</v>
      </c>
      <c r="V4" s="83">
        <f>SUM(O4+Q4)+S4+U4</f>
        <v>688992</v>
      </c>
      <c r="W4" s="84"/>
      <c r="X4" s="85"/>
    </row>
    <row r="5" spans="1:24" s="86" customFormat="1" ht="33" customHeight="1">
      <c r="A5" s="75" t="str">
        <f t="shared" si="0"/>
        <v>L002</v>
      </c>
      <c r="B5" s="76"/>
      <c r="C5" s="76"/>
      <c r="D5" s="76"/>
      <c r="E5" s="87"/>
      <c r="F5" s="87"/>
      <c r="G5" s="87"/>
      <c r="H5" s="87" t="s">
        <v>60</v>
      </c>
      <c r="I5" s="78" t="s">
        <v>57</v>
      </c>
      <c r="J5" s="78" t="s">
        <v>0</v>
      </c>
      <c r="K5" s="78" t="s">
        <v>59</v>
      </c>
      <c r="L5" s="79">
        <f>'상반기 증빙'!O11</f>
        <v>2</v>
      </c>
      <c r="M5" s="83"/>
      <c r="N5" s="83"/>
      <c r="O5" s="81"/>
      <c r="P5" s="80">
        <v>167081</v>
      </c>
      <c r="Q5" s="74">
        <f t="shared" ref="Q5" si="1">ROUND((P5*L5),0)</f>
        <v>334162</v>
      </c>
      <c r="R5" s="83"/>
      <c r="S5" s="74"/>
      <c r="T5" s="83"/>
      <c r="U5" s="74">
        <f>ROUND(T5*L5*$U$1,0)</f>
        <v>0</v>
      </c>
      <c r="V5" s="83">
        <f t="shared" ref="V5" si="2">SUM(O5+Q5)+S5+U5</f>
        <v>334162</v>
      </c>
      <c r="W5" s="84"/>
      <c r="X5" s="85"/>
    </row>
    <row r="6" spans="1:24" s="86" customFormat="1" ht="33" customHeight="1">
      <c r="A6" s="75"/>
      <c r="B6" s="76"/>
      <c r="C6" s="76"/>
      <c r="D6" s="76"/>
      <c r="E6" s="87"/>
      <c r="F6" s="87"/>
      <c r="G6" s="87"/>
      <c r="H6" s="87"/>
      <c r="I6" s="78"/>
      <c r="J6" s="78"/>
      <c r="K6" s="78"/>
      <c r="L6" s="79"/>
      <c r="M6" s="83"/>
      <c r="N6" s="83"/>
      <c r="O6" s="81"/>
      <c r="P6" s="80"/>
      <c r="Q6" s="74"/>
      <c r="R6" s="83"/>
      <c r="S6" s="74"/>
      <c r="T6" s="83"/>
      <c r="U6" s="74"/>
      <c r="V6" s="83"/>
      <c r="W6" s="84"/>
      <c r="X6" s="85"/>
    </row>
    <row r="7" spans="1:24" s="86" customFormat="1" ht="33" customHeight="1">
      <c r="A7" s="75"/>
      <c r="B7" s="76"/>
      <c r="C7" s="76"/>
      <c r="D7" s="76"/>
      <c r="E7" s="87"/>
      <c r="F7" s="87"/>
      <c r="G7" s="87"/>
      <c r="H7" s="87"/>
      <c r="I7" s="78"/>
      <c r="J7" s="78"/>
      <c r="K7" s="78"/>
      <c r="L7" s="79"/>
      <c r="M7" s="83"/>
      <c r="N7" s="83"/>
      <c r="O7" s="81"/>
      <c r="P7" s="80"/>
      <c r="Q7" s="74"/>
      <c r="R7" s="83"/>
      <c r="S7" s="74"/>
      <c r="T7" s="83"/>
      <c r="U7" s="74"/>
      <c r="V7" s="83"/>
      <c r="W7" s="84"/>
      <c r="X7" s="85"/>
    </row>
    <row r="8" spans="1:24" s="86" customFormat="1" ht="33" customHeight="1">
      <c r="A8" s="75"/>
      <c r="B8" s="76"/>
      <c r="C8" s="76"/>
      <c r="D8" s="76"/>
      <c r="E8" s="87"/>
      <c r="F8" s="87"/>
      <c r="G8" s="87"/>
      <c r="H8" s="87"/>
      <c r="I8" s="78"/>
      <c r="J8" s="78"/>
      <c r="K8" s="78"/>
      <c r="L8" s="79"/>
      <c r="M8" s="83"/>
      <c r="N8" s="83"/>
      <c r="O8" s="81"/>
      <c r="P8" s="80"/>
      <c r="Q8" s="74"/>
      <c r="R8" s="83"/>
      <c r="S8" s="74"/>
      <c r="T8" s="83"/>
      <c r="U8" s="74"/>
      <c r="V8" s="83"/>
      <c r="W8" s="84"/>
      <c r="X8" s="85"/>
    </row>
    <row r="9" spans="1:24" s="86" customFormat="1" ht="33" customHeight="1">
      <c r="A9" s="75"/>
      <c r="B9" s="76"/>
      <c r="C9" s="76"/>
      <c r="D9" s="76"/>
      <c r="E9" s="87"/>
      <c r="F9" s="87"/>
      <c r="G9" s="87"/>
      <c r="H9" s="87"/>
      <c r="I9" s="78"/>
      <c r="J9" s="78"/>
      <c r="K9" s="78"/>
      <c r="L9" s="79"/>
      <c r="M9" s="83"/>
      <c r="N9" s="83"/>
      <c r="O9" s="81"/>
      <c r="P9" s="80"/>
      <c r="Q9" s="74"/>
      <c r="R9" s="83"/>
      <c r="S9" s="74"/>
      <c r="T9" s="83"/>
      <c r="U9" s="74"/>
      <c r="V9" s="83"/>
      <c r="W9" s="84"/>
      <c r="X9" s="85"/>
    </row>
    <row r="10" spans="1:24" s="86" customFormat="1" ht="33" customHeight="1">
      <c r="A10" s="75"/>
      <c r="B10" s="76"/>
      <c r="C10" s="76"/>
      <c r="D10" s="76"/>
      <c r="E10" s="87"/>
      <c r="F10" s="87"/>
      <c r="G10" s="87"/>
      <c r="H10" s="87"/>
      <c r="I10" s="78"/>
      <c r="J10" s="78"/>
      <c r="K10" s="78"/>
      <c r="L10" s="79"/>
      <c r="M10" s="83"/>
      <c r="N10" s="83"/>
      <c r="O10" s="81"/>
      <c r="P10" s="80"/>
      <c r="Q10" s="74"/>
      <c r="R10" s="83"/>
      <c r="S10" s="74"/>
      <c r="T10" s="83"/>
      <c r="U10" s="74"/>
      <c r="V10" s="83"/>
      <c r="W10" s="84"/>
      <c r="X10" s="85"/>
    </row>
    <row r="11" spans="1:24" s="86" customFormat="1" ht="33" customHeight="1">
      <c r="A11" s="75"/>
      <c r="B11" s="76"/>
      <c r="C11" s="76"/>
      <c r="D11" s="76"/>
      <c r="E11" s="87"/>
      <c r="F11" s="87"/>
      <c r="G11" s="87"/>
      <c r="H11" s="87"/>
      <c r="I11" s="78"/>
      <c r="J11" s="78"/>
      <c r="K11" s="78"/>
      <c r="L11" s="79"/>
      <c r="M11" s="83"/>
      <c r="N11" s="83"/>
      <c r="O11" s="81"/>
      <c r="P11" s="80"/>
      <c r="Q11" s="74"/>
      <c r="R11" s="83"/>
      <c r="S11" s="74"/>
      <c r="T11" s="83"/>
      <c r="U11" s="74"/>
      <c r="V11" s="83"/>
      <c r="W11" s="84"/>
      <c r="X11" s="85"/>
    </row>
    <row r="12" spans="1:24" s="86" customFormat="1" ht="33" customHeight="1">
      <c r="A12" s="75"/>
      <c r="B12" s="76"/>
      <c r="C12" s="76"/>
      <c r="D12" s="76"/>
      <c r="E12" s="87"/>
      <c r="F12" s="87"/>
      <c r="G12" s="87"/>
      <c r="H12" s="87"/>
      <c r="I12" s="78"/>
      <c r="J12" s="88"/>
      <c r="K12" s="78"/>
      <c r="L12" s="89"/>
      <c r="M12" s="83"/>
      <c r="N12" s="83"/>
      <c r="O12" s="81"/>
      <c r="P12" s="80"/>
      <c r="Q12" s="74"/>
      <c r="R12" s="83"/>
      <c r="S12" s="74"/>
      <c r="T12" s="83"/>
      <c r="U12" s="74"/>
      <c r="V12" s="83"/>
      <c r="W12" s="84"/>
      <c r="X12" s="85"/>
    </row>
    <row r="13" spans="1:24" s="86" customFormat="1" ht="33" customHeight="1">
      <c r="A13" s="75"/>
      <c r="B13" s="76"/>
      <c r="C13" s="76"/>
      <c r="D13" s="76"/>
      <c r="E13" s="87"/>
      <c r="F13" s="87"/>
      <c r="G13" s="87"/>
      <c r="H13" s="87"/>
      <c r="I13" s="78"/>
      <c r="J13" s="90"/>
      <c r="K13" s="78"/>
      <c r="L13" s="89"/>
      <c r="M13" s="83"/>
      <c r="N13" s="83"/>
      <c r="O13" s="81"/>
      <c r="P13" s="80"/>
      <c r="Q13" s="74"/>
      <c r="R13" s="83"/>
      <c r="S13" s="74"/>
      <c r="T13" s="83"/>
      <c r="U13" s="74"/>
      <c r="V13" s="83"/>
      <c r="W13" s="84"/>
      <c r="X13" s="85"/>
    </row>
    <row r="14" spans="1:24" s="86" customFormat="1" ht="33" customHeight="1">
      <c r="A14" s="75"/>
      <c r="B14" s="76"/>
      <c r="C14" s="76"/>
      <c r="D14" s="76"/>
      <c r="E14" s="87"/>
      <c r="F14" s="87"/>
      <c r="G14" s="87"/>
      <c r="H14" s="87"/>
      <c r="I14" s="78"/>
      <c r="J14" s="78"/>
      <c r="K14" s="78"/>
      <c r="L14" s="89"/>
      <c r="M14" s="83"/>
      <c r="N14" s="83"/>
      <c r="O14" s="81"/>
      <c r="P14" s="80"/>
      <c r="Q14" s="74"/>
      <c r="R14" s="83"/>
      <c r="S14" s="74"/>
      <c r="T14" s="83"/>
      <c r="U14" s="74"/>
      <c r="V14" s="83"/>
      <c r="W14" s="84"/>
      <c r="X14" s="85"/>
    </row>
    <row r="15" spans="1:24" s="86" customFormat="1" ht="33" customHeight="1" thickBot="1">
      <c r="A15" s="91"/>
      <c r="B15" s="92"/>
      <c r="C15" s="92"/>
      <c r="D15" s="92"/>
      <c r="E15" s="93"/>
      <c r="F15" s="93"/>
      <c r="G15" s="93"/>
      <c r="H15" s="93"/>
      <c r="I15" s="94"/>
      <c r="J15" s="94"/>
      <c r="K15" s="95"/>
      <c r="L15" s="96"/>
      <c r="M15" s="97"/>
      <c r="N15" s="97"/>
      <c r="O15" s="98"/>
      <c r="P15" s="97"/>
      <c r="Q15" s="99"/>
      <c r="R15" s="97"/>
      <c r="S15" s="99"/>
      <c r="T15" s="97"/>
      <c r="U15" s="99"/>
      <c r="V15" s="100"/>
      <c r="W15" s="101"/>
      <c r="X15" s="102"/>
    </row>
    <row r="16" spans="1:24" s="86" customFormat="1" ht="23.25" customHeight="1">
      <c r="A16" s="103" t="str">
        <f t="shared" si="0"/>
        <v/>
      </c>
      <c r="B16" s="104"/>
      <c r="C16" s="104"/>
      <c r="D16" s="104"/>
      <c r="L16" s="105"/>
      <c r="O16" s="106">
        <f>SUM(O4:O15)</f>
        <v>0</v>
      </c>
      <c r="P16" s="107"/>
      <c r="Q16" s="108">
        <f>SUM(Q4:Q15)</f>
        <v>1023154</v>
      </c>
      <c r="R16" s="107"/>
      <c r="S16" s="106">
        <f>SUM(S4:S15)</f>
        <v>0</v>
      </c>
      <c r="T16" s="107"/>
      <c r="U16" s="108">
        <f>SUM(U4:U15)</f>
        <v>0</v>
      </c>
      <c r="V16" s="106">
        <f>SUM(O16+Q16)+S16+U16</f>
        <v>1023154</v>
      </c>
      <c r="W16" s="109"/>
    </row>
    <row r="17" spans="1:24" ht="33" customHeight="1">
      <c r="A17" s="68"/>
      <c r="B17" s="68"/>
      <c r="C17" s="68"/>
      <c r="D17" s="68"/>
      <c r="I17" s="70"/>
      <c r="J17" s="70"/>
      <c r="K17" s="70"/>
      <c r="L17" s="70"/>
      <c r="M17" s="70"/>
      <c r="N17" s="70"/>
      <c r="O17" s="70"/>
      <c r="P17" s="70"/>
      <c r="Q17" s="70"/>
      <c r="R17" s="70"/>
      <c r="S17" s="70"/>
      <c r="T17" s="70"/>
      <c r="U17" s="70"/>
      <c r="V17" s="70"/>
      <c r="W17" s="70"/>
      <c r="X17" s="70"/>
    </row>
    <row r="18" spans="1:24" ht="33" customHeight="1">
      <c r="A18" s="68"/>
      <c r="B18" s="68"/>
      <c r="C18" s="68"/>
      <c r="D18" s="68"/>
      <c r="I18" s="70"/>
      <c r="J18" s="71"/>
      <c r="K18" s="70"/>
      <c r="L18" s="70"/>
      <c r="M18" s="70"/>
      <c r="N18" s="70"/>
      <c r="O18" s="70"/>
      <c r="P18" s="70"/>
      <c r="Q18" s="70"/>
      <c r="R18" s="70"/>
      <c r="S18" s="70"/>
      <c r="T18" s="70"/>
      <c r="U18" s="70"/>
      <c r="V18" s="70"/>
      <c r="W18" s="72"/>
      <c r="X18" s="70"/>
    </row>
  </sheetData>
  <mergeCells count="11">
    <mergeCell ref="P2:Q2"/>
    <mergeCell ref="A1:H1"/>
    <mergeCell ref="I2:J2"/>
    <mergeCell ref="K2:K3"/>
    <mergeCell ref="L2:L3"/>
    <mergeCell ref="M2:O2"/>
    <mergeCell ref="R2:S2"/>
    <mergeCell ref="T2:U2"/>
    <mergeCell ref="V2:V3"/>
    <mergeCell ref="W2:W3"/>
    <mergeCell ref="X2:X3"/>
  </mergeCells>
  <phoneticPr fontId="9" type="noConversion"/>
  <pageMargins left="0.7" right="0.7" top="0.75" bottom="0.75" header="0.3" footer="0.3"/>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FF9-F0C4-4F14-9CD4-A9CD85A7A5DA}">
  <sheetPr>
    <tabColor rgb="FFFFFF00"/>
    <pageSetUpPr fitToPage="1"/>
  </sheetPr>
  <dimension ref="A1:W12"/>
  <sheetViews>
    <sheetView tabSelected="1" view="pageBreakPreview" zoomScale="130" zoomScaleNormal="100" zoomScaleSheetLayoutView="130" workbookViewId="0">
      <selection activeCell="A4" sqref="A4:A7"/>
    </sheetView>
  </sheetViews>
  <sheetFormatPr defaultColWidth="9" defaultRowHeight="16.5"/>
  <cols>
    <col min="1" max="1" width="5.625" style="1" bestFit="1" customWidth="1"/>
    <col min="2" max="2" width="10.5" style="1" customWidth="1"/>
    <col min="3" max="3" width="10.625" style="1" customWidth="1"/>
    <col min="4" max="4" width="10.125" style="1" customWidth="1"/>
    <col min="5" max="5" width="10.25" style="1" customWidth="1"/>
    <col min="6" max="6" width="35.75" style="1" customWidth="1"/>
    <col min="7" max="7" width="16.375" style="1" customWidth="1"/>
    <col min="8" max="8" width="8.875" style="1" customWidth="1"/>
    <col min="9" max="9" width="12.75" style="1" customWidth="1"/>
    <col min="10" max="10" width="12" style="1" customWidth="1"/>
    <col min="11" max="11" width="1.625" style="1" customWidth="1"/>
    <col min="12" max="12" width="1.875" style="1" hidden="1" customWidth="1"/>
    <col min="13" max="13" width="7.625" style="1" customWidth="1"/>
    <col min="14" max="14" width="7.125" style="1" bestFit="1" customWidth="1"/>
    <col min="15" max="15" width="9" style="1" bestFit="1" customWidth="1"/>
    <col min="16" max="16" width="7.125" style="1" bestFit="1" customWidth="1"/>
    <col min="17" max="18" width="10" style="1" bestFit="1" customWidth="1"/>
    <col min="19" max="19" width="9" style="1" bestFit="1" customWidth="1"/>
    <col min="20" max="20" width="1.625" style="1" customWidth="1"/>
    <col min="21" max="21" width="12.25" style="1" customWidth="1"/>
    <col min="22" max="22" width="12.125" style="1" customWidth="1"/>
    <col min="23" max="16384" width="9" style="1"/>
  </cols>
  <sheetData>
    <row r="1" spans="1:23" ht="33.75" customHeight="1">
      <c r="A1" s="125" t="s">
        <v>31</v>
      </c>
      <c r="B1" s="125"/>
      <c r="C1" s="125"/>
      <c r="D1" s="125"/>
      <c r="E1" s="125"/>
      <c r="F1" s="125"/>
      <c r="G1" s="125"/>
      <c r="H1" s="125"/>
      <c r="I1" s="125"/>
      <c r="J1" s="125"/>
      <c r="K1" s="21"/>
      <c r="L1" s="22"/>
      <c r="M1" s="125" t="s">
        <v>32</v>
      </c>
      <c r="N1" s="125"/>
      <c r="O1" s="125"/>
      <c r="P1" s="125"/>
      <c r="Q1" s="125"/>
      <c r="R1" s="125"/>
      <c r="S1" s="125"/>
      <c r="T1" s="23"/>
      <c r="U1" s="128" t="s">
        <v>30</v>
      </c>
      <c r="V1" s="129"/>
      <c r="W1" s="5"/>
    </row>
    <row r="2" spans="1:23" ht="30" customHeight="1">
      <c r="A2" s="126" t="s">
        <v>29</v>
      </c>
      <c r="B2" s="126"/>
      <c r="C2" s="126"/>
      <c r="D2" s="126"/>
      <c r="E2" s="126"/>
      <c r="F2" s="126"/>
      <c r="G2" s="126"/>
      <c r="H2" s="126"/>
      <c r="I2" s="126"/>
      <c r="J2" s="126"/>
      <c r="K2" s="21"/>
      <c r="L2" s="4"/>
      <c r="M2" s="127"/>
      <c r="N2" s="127"/>
      <c r="O2" s="127"/>
      <c r="P2" s="127"/>
      <c r="Q2" s="127"/>
      <c r="R2" s="127"/>
      <c r="S2" s="127"/>
      <c r="T2" s="24"/>
      <c r="U2" s="130"/>
      <c r="V2" s="130"/>
      <c r="W2" s="5"/>
    </row>
    <row r="3" spans="1:23" ht="33">
      <c r="A3" s="3" t="s">
        <v>1</v>
      </c>
      <c r="B3" s="3" t="s">
        <v>2</v>
      </c>
      <c r="C3" s="3" t="s">
        <v>3</v>
      </c>
      <c r="D3" s="3" t="s">
        <v>11</v>
      </c>
      <c r="E3" s="3" t="s">
        <v>4</v>
      </c>
      <c r="F3" s="3" t="s">
        <v>5</v>
      </c>
      <c r="G3" s="3" t="s">
        <v>6</v>
      </c>
      <c r="H3" s="3" t="s">
        <v>7</v>
      </c>
      <c r="I3" s="3" t="s">
        <v>8</v>
      </c>
      <c r="J3" s="3" t="s">
        <v>15</v>
      </c>
      <c r="K3" s="35"/>
      <c r="L3" s="36"/>
      <c r="M3" s="37" t="s">
        <v>16</v>
      </c>
      <c r="N3" s="38" t="s">
        <v>9</v>
      </c>
      <c r="O3" s="39" t="s">
        <v>10</v>
      </c>
      <c r="P3" s="39" t="s">
        <v>0</v>
      </c>
      <c r="Q3" s="40" t="s">
        <v>14</v>
      </c>
      <c r="R3" s="41" t="s">
        <v>13</v>
      </c>
      <c r="S3" s="39" t="s">
        <v>11</v>
      </c>
      <c r="T3" s="35"/>
      <c r="U3" s="42" t="s">
        <v>9</v>
      </c>
      <c r="V3" s="43" t="s">
        <v>10</v>
      </c>
    </row>
    <row r="4" spans="1:23" ht="24" customHeight="1">
      <c r="A4" s="146">
        <v>1</v>
      </c>
      <c r="B4" s="131">
        <v>45827</v>
      </c>
      <c r="C4" s="14" t="s">
        <v>20</v>
      </c>
      <c r="D4" s="14" t="s">
        <v>24</v>
      </c>
      <c r="E4" s="14" t="s">
        <v>24</v>
      </c>
      <c r="F4" s="44" t="s">
        <v>18</v>
      </c>
      <c r="G4" s="134" t="s">
        <v>23</v>
      </c>
      <c r="H4" s="137">
        <v>3</v>
      </c>
      <c r="I4" s="140"/>
      <c r="J4" s="158"/>
      <c r="K4" s="21"/>
      <c r="L4" s="2"/>
      <c r="M4" s="32">
        <f t="shared" ref="M4" si="0">SUM(N4:R4)</f>
        <v>3</v>
      </c>
      <c r="N4" s="26">
        <v>2</v>
      </c>
      <c r="O4" s="27">
        <v>1</v>
      </c>
      <c r="P4" s="26"/>
      <c r="Q4" s="33"/>
      <c r="R4" s="33"/>
      <c r="S4" s="34"/>
      <c r="T4" s="21"/>
      <c r="U4" s="16"/>
      <c r="V4" s="17"/>
    </row>
    <row r="5" spans="1:23" ht="24" customHeight="1">
      <c r="A5" s="147"/>
      <c r="B5" s="132"/>
      <c r="C5" s="10" t="s">
        <v>21</v>
      </c>
      <c r="D5" s="10" t="s">
        <v>24</v>
      </c>
      <c r="E5" s="10" t="s">
        <v>24</v>
      </c>
      <c r="F5" s="11" t="s">
        <v>18</v>
      </c>
      <c r="G5" s="135"/>
      <c r="H5" s="138"/>
      <c r="I5" s="141"/>
      <c r="J5" s="159"/>
      <c r="K5" s="21"/>
      <c r="L5" s="2"/>
      <c r="M5" s="19"/>
      <c r="N5" s="28"/>
      <c r="O5" s="31"/>
      <c r="P5" s="28"/>
      <c r="Q5" s="29"/>
      <c r="R5" s="29"/>
      <c r="S5" s="30"/>
      <c r="T5" s="21"/>
      <c r="U5" s="16"/>
      <c r="V5" s="17"/>
    </row>
    <row r="6" spans="1:23" ht="24" customHeight="1">
      <c r="A6" s="147"/>
      <c r="B6" s="132"/>
      <c r="C6" s="10" t="s">
        <v>17</v>
      </c>
      <c r="D6" s="10" t="s">
        <v>24</v>
      </c>
      <c r="E6" s="10" t="s">
        <v>24</v>
      </c>
      <c r="F6" s="11" t="s">
        <v>18</v>
      </c>
      <c r="G6" s="135"/>
      <c r="H6" s="138"/>
      <c r="I6" s="141"/>
      <c r="J6" s="153"/>
      <c r="K6" s="21"/>
      <c r="L6" s="2"/>
      <c r="M6" s="19"/>
      <c r="N6" s="28"/>
      <c r="O6" s="31"/>
      <c r="P6" s="28"/>
      <c r="Q6" s="29"/>
      <c r="R6" s="29"/>
      <c r="S6" s="30"/>
      <c r="T6" s="21"/>
      <c r="U6" s="16"/>
      <c r="V6" s="17"/>
    </row>
    <row r="7" spans="1:23" ht="24" customHeight="1">
      <c r="A7" s="148"/>
      <c r="B7" s="133"/>
      <c r="C7" s="45" t="s">
        <v>19</v>
      </c>
      <c r="D7" s="45" t="s">
        <v>24</v>
      </c>
      <c r="E7" s="45" t="s">
        <v>24</v>
      </c>
      <c r="F7" s="46" t="s">
        <v>28</v>
      </c>
      <c r="G7" s="136"/>
      <c r="H7" s="139"/>
      <c r="I7" s="142"/>
      <c r="J7" s="154"/>
      <c r="K7" s="21"/>
      <c r="L7" s="2"/>
      <c r="M7" s="19"/>
      <c r="N7" s="28"/>
      <c r="O7" s="31"/>
      <c r="P7" s="28"/>
      <c r="Q7" s="29"/>
      <c r="R7" s="29"/>
      <c r="S7" s="30"/>
      <c r="T7" s="21"/>
      <c r="U7" s="16"/>
      <c r="V7" s="17"/>
    </row>
    <row r="8" spans="1:23" ht="24" customHeight="1">
      <c r="A8" s="149">
        <v>2</v>
      </c>
      <c r="B8" s="150">
        <v>45860</v>
      </c>
      <c r="C8" s="53" t="s">
        <v>25</v>
      </c>
      <c r="D8" s="53" t="s">
        <v>24</v>
      </c>
      <c r="E8" s="53" t="s">
        <v>24</v>
      </c>
      <c r="F8" s="54" t="s">
        <v>18</v>
      </c>
      <c r="G8" s="151" t="s">
        <v>22</v>
      </c>
      <c r="H8" s="152">
        <v>2</v>
      </c>
      <c r="I8" s="143"/>
      <c r="J8" s="155"/>
      <c r="K8" s="21"/>
      <c r="L8" s="2"/>
      <c r="M8" s="19">
        <f>H8</f>
        <v>2</v>
      </c>
      <c r="N8" s="28">
        <v>1</v>
      </c>
      <c r="O8" s="31">
        <v>1</v>
      </c>
      <c r="P8" s="28"/>
      <c r="Q8" s="29"/>
      <c r="R8" s="29"/>
      <c r="S8" s="30"/>
      <c r="T8" s="21"/>
      <c r="U8" s="16"/>
      <c r="V8" s="17"/>
    </row>
    <row r="9" spans="1:23" ht="24" customHeight="1">
      <c r="A9" s="147"/>
      <c r="B9" s="132"/>
      <c r="C9" s="10" t="s">
        <v>26</v>
      </c>
      <c r="D9" s="10" t="s">
        <v>24</v>
      </c>
      <c r="E9" s="10" t="s">
        <v>24</v>
      </c>
      <c r="F9" s="11" t="s">
        <v>18</v>
      </c>
      <c r="G9" s="135"/>
      <c r="H9" s="138"/>
      <c r="I9" s="144"/>
      <c r="J9" s="156"/>
      <c r="K9" s="21"/>
      <c r="L9" s="2"/>
      <c r="M9" s="19"/>
      <c r="N9" s="28"/>
      <c r="O9" s="31"/>
      <c r="P9" s="28"/>
      <c r="Q9" s="29"/>
      <c r="R9" s="29"/>
      <c r="S9" s="30"/>
      <c r="T9" s="21"/>
      <c r="U9" s="16"/>
      <c r="V9" s="17"/>
    </row>
    <row r="10" spans="1:23" ht="24" customHeight="1">
      <c r="A10" s="148"/>
      <c r="B10" s="133"/>
      <c r="C10" s="45" t="s">
        <v>25</v>
      </c>
      <c r="D10" s="45" t="s">
        <v>24</v>
      </c>
      <c r="E10" s="45" t="s">
        <v>24</v>
      </c>
      <c r="F10" s="46" t="s">
        <v>27</v>
      </c>
      <c r="G10" s="136"/>
      <c r="H10" s="139"/>
      <c r="I10" s="145"/>
      <c r="J10" s="157"/>
      <c r="K10" s="21"/>
      <c r="L10" s="2"/>
      <c r="M10" s="19"/>
      <c r="N10" s="28"/>
      <c r="O10" s="31"/>
      <c r="P10" s="28"/>
      <c r="Q10" s="29"/>
      <c r="R10" s="29"/>
      <c r="S10" s="30"/>
      <c r="T10" s="21"/>
      <c r="U10" s="16"/>
      <c r="V10" s="17"/>
    </row>
    <row r="11" spans="1:23" ht="35.25" customHeight="1">
      <c r="A11" s="47"/>
      <c r="B11" s="48"/>
      <c r="C11" s="48"/>
      <c r="D11" s="48"/>
      <c r="E11" s="49"/>
      <c r="F11" s="50"/>
      <c r="G11" s="48"/>
      <c r="H11" s="51"/>
      <c r="I11" s="48"/>
      <c r="J11" s="52"/>
      <c r="K11" s="21"/>
      <c r="M11" s="20" t="s">
        <v>12</v>
      </c>
      <c r="N11" s="15">
        <f>SUM(N4:N10)</f>
        <v>3</v>
      </c>
      <c r="O11" s="12">
        <f>SUM(O4:O10)</f>
        <v>2</v>
      </c>
      <c r="P11" s="12"/>
      <c r="Q11" s="12"/>
      <c r="R11" s="12"/>
      <c r="S11" s="13"/>
      <c r="T11" s="21"/>
      <c r="U11" s="7"/>
      <c r="V11" s="8"/>
    </row>
    <row r="12" spans="1:23" ht="48" customHeight="1">
      <c r="A12" s="18"/>
      <c r="B12" s="18"/>
      <c r="C12" s="18"/>
      <c r="D12" s="18"/>
      <c r="E12" s="18"/>
      <c r="F12" s="18"/>
      <c r="G12" s="18"/>
      <c r="H12" s="18"/>
      <c r="I12" s="18"/>
      <c r="J12" s="18"/>
      <c r="K12" s="21"/>
      <c r="M12" s="124"/>
      <c r="N12" s="124"/>
      <c r="O12" s="124"/>
      <c r="P12" s="124"/>
      <c r="Q12" s="124"/>
      <c r="R12" s="124"/>
      <c r="S12" s="124"/>
      <c r="T12" s="25"/>
      <c r="U12" s="9"/>
      <c r="V12" s="6"/>
    </row>
  </sheetData>
  <autoFilter ref="A3:W12" xr:uid="{C7173FF9-F0C4-4F14-9CD4-A9CD85A7A5DA}"/>
  <mergeCells count="15">
    <mergeCell ref="H8:H10"/>
    <mergeCell ref="M12:S12"/>
    <mergeCell ref="A1:J1"/>
    <mergeCell ref="A2:J2"/>
    <mergeCell ref="M1:S2"/>
    <mergeCell ref="U1:V2"/>
    <mergeCell ref="B4:B7"/>
    <mergeCell ref="G4:G7"/>
    <mergeCell ref="H4:H7"/>
    <mergeCell ref="I4:I7"/>
    <mergeCell ref="I8:I10"/>
    <mergeCell ref="A4:A7"/>
    <mergeCell ref="A8:A10"/>
    <mergeCell ref="B8:B10"/>
    <mergeCell ref="G8:G10"/>
  </mergeCells>
  <phoneticPr fontId="9" type="noConversion"/>
  <printOptions horizontalCentered="1" verticalCentered="1"/>
  <pageMargins left="0.39370078740157483" right="0.39370078740157483" top="0.59055118110236227" bottom="0.39370078740157483" header="0.31496062992125984" footer="0.31496062992125984"/>
  <pageSetup paperSize="9" scale="58" fitToHeight="0" orientation="landscape" r:id="rId1"/>
  <colBreaks count="1" manualBreakCount="1">
    <brk id="20" max="42"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1</vt:i4>
      </vt:variant>
    </vt:vector>
  </HeadingPairs>
  <TitlesOfParts>
    <vt:vector size="5" baseType="lpstr">
      <vt:lpstr>상반기 매입 계약</vt:lpstr>
      <vt:lpstr>상반기 인건비단가</vt:lpstr>
      <vt:lpstr>내역서(표준단가)</vt:lpstr>
      <vt:lpstr>상반기 증빙</vt:lpstr>
      <vt:lpstr>'상반기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2025-08-05T05:01:05Z</cp:lastPrinted>
  <dcterms:created xsi:type="dcterms:W3CDTF">2020-09-15T23:52:51Z</dcterms:created>
  <dcterms:modified xsi:type="dcterms:W3CDTF">2025-08-05T05:10:01Z</dcterms:modified>
</cp:coreProperties>
</file>
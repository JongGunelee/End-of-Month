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F3D8B10F-56DD-4CFE-8122-CDB025DC1947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  <sheet name="2동 도면" sheetId="19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4" i="1" l="1"/>
  <c r="E4" i="1"/>
  <c r="D4" i="1"/>
  <c r="C4" i="1"/>
  <c r="B4" i="1"/>
  <c r="A4" i="1"/>
  <c r="F3" i="1"/>
  <c r="E3" i="1"/>
  <c r="D3" i="1"/>
  <c r="C3" i="1"/>
  <c r="B3" i="1"/>
  <c r="A3" i="1"/>
  <c r="Q7" i="4"/>
  <c r="N13" i="18"/>
  <c r="H13" i="18"/>
  <c r="F13" i="18"/>
  <c r="H12" i="18"/>
  <c r="N12" i="18" s="1"/>
  <c r="Q5" i="4" l="1"/>
  <c r="L13" i="18" l="1"/>
  <c r="H11" i="18"/>
  <c r="F11" i="18"/>
  <c r="F10" i="18"/>
  <c r="N10" i="18" s="1"/>
  <c r="J13" i="18"/>
  <c r="H9" i="18"/>
  <c r="F9" i="18"/>
  <c r="F8" i="18"/>
  <c r="N8" i="18" s="1"/>
  <c r="H7" i="18"/>
  <c r="F7" i="18"/>
  <c r="F6" i="18"/>
  <c r="N6" i="18" s="1"/>
  <c r="H5" i="18"/>
  <c r="F5" i="18"/>
  <c r="U7" i="4"/>
  <c r="S7" i="4"/>
  <c r="O7" i="4"/>
  <c r="A7" i="4"/>
  <c r="U6" i="4"/>
  <c r="S6" i="4"/>
  <c r="Q6" i="4"/>
  <c r="O6" i="4"/>
  <c r="A6" i="4"/>
  <c r="U5" i="4"/>
  <c r="S5" i="4"/>
  <c r="O5" i="4"/>
  <c r="A5" i="4"/>
  <c r="N11" i="18" l="1"/>
  <c r="N7" i="18"/>
  <c r="V5" i="4"/>
  <c r="N9" i="18"/>
  <c r="N5" i="18"/>
  <c r="V7" i="4"/>
  <c r="V6" i="4"/>
  <c r="N4" i="18" l="1"/>
  <c r="F2" i="1" l="1"/>
  <c r="E2" i="1"/>
  <c r="D2" i="1"/>
  <c r="C2" i="1"/>
  <c r="B2" i="1"/>
  <c r="A2" i="1"/>
  <c r="U8" i="4" l="1"/>
  <c r="Q8" i="4"/>
  <c r="S8" i="4" l="1"/>
  <c r="V8" i="4" l="1"/>
  <c r="F18" i="5" l="1"/>
  <c r="O8" i="4" l="1"/>
  <c r="F17" i="5" l="1"/>
  <c r="F16" i="5"/>
  <c r="F26" i="5" l="1"/>
  <c r="F22" i="5"/>
  <c r="F23" i="5" s="1"/>
  <c r="F21" i="5"/>
  <c r="F25" i="5"/>
  <c r="F24" i="5"/>
  <c r="F19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<sst xmlns="http://schemas.openxmlformats.org/spreadsheetml/2006/main" count="156" uniqueCount="118">
  <si>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</si>
  <si>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</si>
  <si>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</si>
  <si>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</si>
  <si>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</si>
  <si>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</si>
  <si>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</si>
  <si>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</si>
  <si>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</si>
  <si>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</si>
  <si>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</si>
  <si>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</si>
  <si>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</si>
  <si>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</si>
  <si>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</si>
  <si>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</si>
  <si>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</si>
  <si>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</si>
  <si>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</si>
  <si>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</si>
  <si>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</si>
  <si>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</si>
  <si>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</si>
  <si>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</si>
  <si>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</si>
  <si>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</si>
  <si>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</si>
  <si>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</si>
  <si>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</si>
  <si>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</si>
  <si>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</si>
  <si>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</si>
  <si>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</si>
  <si>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</si>
  <si>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</si>
  <si>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</si>
  <si>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</si>
  <si>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</si>
  <si>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</si>
  <si>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</si>
  <si>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</si>
  <si>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</si>
  <si>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</si>
  <si>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</si>
  <si>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</si>
  <si>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</si>
  <si>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</si>
  <si>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</si>
  <si>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</si>
  <si>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</si>
  <si>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</si>
  <si>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</si>
  <si>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</si>
  <si>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</si>
  <si>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</si>
  <si>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</si>
  <si>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</si>
  <si>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</si>
  <si>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</si>
  <si>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</si>
  <si>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</si>
  <si>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</si>
  <si>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</si>
  <si>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</si>
  <si>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</si>
  <si>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</si>
  <si>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</si>
  <si>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</si>
  <si>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</si>
  <si>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</si>
  <si>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</si>
  <si>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조이너 및 몰딩</t>
  </si>
  <si>
    <t>몰딩</t>
    <phoneticPr fontId="12" type="noConversion"/>
  </si>
  <si>
    <t>m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</si>
  <si>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</si>
  <si>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</si>
  <si>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</si>
  <si>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</si>
  <si>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</si>
  <si>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</si>
  <si>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</si>
  <si>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</si>
  <si>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</si>
  <si>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</si>
  <si>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</si>
  <si>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</si>
  <si>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</si>
  <si>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</si>
  <si>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</si>
  <si>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</si>
  <si>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</si>
  <si>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</si>
  <si>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</si>
  <si>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</si>
  <si>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M020531910380101</t>
  </si>
  <si>
    <t>연질/러버베이스 적용 (합성수지류,걸레받이 대체)</t>
    <phoneticPr fontId="10" type="noConversion"/>
  </si>
  <si>
    <t>100h, 2.5t</t>
  </si>
  <si>
    <t>사택 103-303 단열작업(거실+안방+작은방1,2, 열반사+이보드)</t>
    <phoneticPr fontId="18" type="noConversion"/>
  </si>
  <si>
    <t> (재료비+노무비)*3.11%</t>
    <phoneticPr fontId="18" type="noConversion"/>
  </si>
  <si>
    <t xml:space="preserve"> 공사명 : 사택 2-206 거실 및 방 1,2 걸레받이 철거 및 설치</t>
    <phoneticPr fontId="16" type="noConversion"/>
  </si>
  <si>
    <t xml:space="preserve"> 견적일 : 2025년  01월  13일</t>
    <phoneticPr fontId="16" type="noConversion"/>
  </si>
  <si>
    <t>1.철거 및 폐기물 처리</t>
    <phoneticPr fontId="18" type="noConversion"/>
  </si>
  <si>
    <t>보통인부</t>
    <phoneticPr fontId="10" type="noConversion"/>
  </si>
  <si>
    <t>인</t>
    <phoneticPr fontId="18" type="noConversion"/>
  </si>
  <si>
    <t>특별인부</t>
    <phoneticPr fontId="10" type="noConversion"/>
  </si>
  <si>
    <t>2.거실 걸레받이</t>
    <phoneticPr fontId="12" type="noConversion"/>
  </si>
  <si>
    <t>L002</t>
  </si>
  <si>
    <t>철거 및 폐기물 처리 운반</t>
    <phoneticPr fontId="10" type="noConversion"/>
  </si>
  <si>
    <t>인</t>
    <phoneticPr fontId="10" type="noConversion"/>
  </si>
  <si>
    <t>3.작은방1 걸레받이</t>
    <phoneticPr fontId="12" type="noConversion"/>
  </si>
  <si>
    <t>4.작은방2 걸레받이</t>
    <phoneticPr fontId="12" type="noConversion"/>
  </si>
  <si>
    <t>2.4M*5EA=12</t>
    <phoneticPr fontId="10" type="noConversion"/>
  </si>
  <si>
    <t>2.4*7EA=16.8</t>
    <phoneticPr fontId="10" type="noConversion"/>
  </si>
  <si>
    <t>걸레받이 설치</t>
    <phoneticPr fontId="10" type="noConversion"/>
  </si>
  <si>
    <t>5.걸레받이 설치</t>
    <phoneticPr fontId="10" type="noConversion"/>
  </si>
  <si>
    <t>시중노임단가, 보통인부</t>
    <phoneticPr fontId="10" type="noConversion"/>
  </si>
  <si>
    <t>L030</t>
    <phoneticPr fontId="10" type="noConversion"/>
  </si>
  <si>
    <t>시중노임단가, 내장공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</si>
</sst>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</numFmts>
  <fonts count="4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  <font>
      <sz val="9"/>
      <color rgb="FF00000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3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0" fontId="24" fillId="6" borderId="3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5" fontId="36" fillId="5" borderId="34" xfId="13" applyNumberFormat="1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191" fontId="24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84" fontId="32" fillId="5" borderId="36" xfId="13" applyNumberFormat="1" applyFont="1" applyFill="1" applyBorder="1" applyAlignment="1">
      <alignment vertical="center"/>
    </xf>
    <xf numFmtId="184" fontId="33" fillId="5" borderId="38" xfId="13" applyNumberFormat="1" applyFont="1" applyFill="1" applyBorder="1" applyAlignment="1">
      <alignment vertical="center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9" fillId="7" borderId="4" xfId="0" applyFont="1" applyFill="1" applyBorder="1" applyAlignment="1">
      <alignment horizontal="center" vertical="center"/>
    </xf>
    <xf numFmtId="49" fontId="24" fillId="0" borderId="6" xfId="0" applyNumberFormat="1" applyFont="1" applyBorder="1" applyAlignment="1">
      <alignment horizontal="center" vertical="center" wrapText="1"/>
    </xf>
    <xf numFmtId="49" fontId="40" fillId="7" borderId="3" xfId="0" applyNumberFormat="1" applyFont="1" applyFill="1" applyBorder="1" applyAlignment="1">
      <alignment horizontal="center" vertical="center" wrapText="1"/>
    </xf>
    <xf numFmtId="0" fontId="29" fillId="5" borderId="36" xfId="3" applyFont="1" applyFill="1" applyBorder="1" applyAlignment="1">
      <alignment vertical="center"/>
    </xf>
    <xf numFmtId="0" fontId="29" fillId="0" borderId="40" xfId="0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446933</xdr:colOff>
      <xdr:row>34</xdr:row>
      <xdr:rowOff>160992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C4EB9A-BC85-45F4-8809-66685FA20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33333" cy="7076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H29" sqref="H29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.75">
      <c r="A2" s="146" t="s">
        <v>6</v>
      </c>
      <c r="B2" s="146"/>
      <c r="C2" s="146"/>
      <c r="D2" s="146"/>
      <c r="E2" s="146"/>
      <c r="F2" s="146"/>
      <c r="G2" s="146"/>
      <c r="H2" s="2"/>
    </row>
    <row r="3" spans="1:9">
      <c r="A3" s="5"/>
      <c r="B3" s="5"/>
      <c r="C3" s="5"/>
      <c r="D3" s="5"/>
      <c r="E3" s="5"/>
      <c r="F3" s="5"/>
      <c r="G3" s="5"/>
      <c r="H3" s="5"/>
    </row>
    <row r="4" spans="1:9">
      <c r="A4" s="5"/>
      <c r="B4" s="5"/>
      <c r="C4" s="5"/>
      <c r="D4" s="5"/>
      <c r="E4" s="5"/>
      <c r="H4" s="5"/>
    </row>
    <row r="5" spans="1:9" ht="27" customHeight="1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>
      <c r="A7" s="152" t="s">
        <v>99</v>
      </c>
      <c r="B7" s="153"/>
      <c r="C7" s="154"/>
      <c r="D7" s="5"/>
      <c r="E7" s="13"/>
      <c r="F7" s="14" t="s">
        <v>42</v>
      </c>
      <c r="G7" s="12" t="s">
        <v>54</v>
      </c>
      <c r="H7" s="5"/>
    </row>
    <row r="8" spans="1:9" ht="27" customHeight="1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>
      <c r="A9" s="149" t="s">
        <v>100</v>
      </c>
      <c r="B9" s="150"/>
      <c r="C9" s="151"/>
      <c r="D9" s="5"/>
      <c r="E9" s="5"/>
      <c r="F9" s="11" t="s">
        <v>44</v>
      </c>
      <c r="G9" s="12" t="s">
        <v>56</v>
      </c>
      <c r="H9" s="5"/>
    </row>
    <row r="10" spans="1:9" ht="27" customHeight="1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>
      <c r="A11" s="147"/>
      <c r="B11" s="148"/>
      <c r="C11" s="148"/>
      <c r="D11" s="5"/>
      <c r="E11" s="17"/>
      <c r="F11" s="18" t="s">
        <v>40</v>
      </c>
      <c r="G11" s="19" t="s">
        <v>58</v>
      </c>
      <c r="H11" s="17"/>
    </row>
    <row r="12" spans="1:9" ht="19.5" thickBot="1">
      <c r="A12" s="20" t="s">
        <v>7</v>
      </c>
      <c r="B12" s="20" t="str">
        <f>NUMBERSTRING(F31,1)</f>
        <v>육십이만칠천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'내역서(표준단가)'!O8</f>
        <v>120164.84999999999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'내역서(표준단가)'!Q8</f>
        <v>412605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'내역서(표준단가)'!S8+'내역서(표준단가)'!U8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532769.85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18567.224999999999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14626.847250000001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1894.1767188750002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4167.3104999999996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14688.737999999999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98</v>
      </c>
      <c r="D26" s="33">
        <v>1</v>
      </c>
      <c r="E26" s="33" t="s">
        <v>25</v>
      </c>
      <c r="F26" s="46">
        <f>(F16+F17)*3.11%</f>
        <v>16569.142335</v>
      </c>
      <c r="G26" s="38" t="s">
        <v>26</v>
      </c>
      <c r="H26" s="4"/>
      <c r="I26" s="4"/>
    </row>
    <row r="27" spans="1:9" ht="33" customHeight="1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24155.92199019375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94669.36179406874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627439.21179406869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627000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0"/>
  <sheetViews>
    <sheetView showGridLines="0" topLeftCell="C1" zoomScale="90" zoomScaleNormal="90" workbookViewId="0">
      <selection activeCell="P7" sqref="P7"/>
    </sheetView>
  </sheetViews>
  <sheetFormatPr defaultColWidth="9" defaultRowHeight="12"/>
  <cols>
    <col min="1" max="1" width="17.5" style="104" bestFit="1" customWidth="1"/>
    <col min="2" max="5" width="2.625" style="104" customWidth="1"/>
    <col min="6" max="9" width="15.625" style="84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6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1:24" ht="19.899999999999999" customHeight="1">
      <c r="A1" s="155"/>
      <c r="B1" s="155"/>
      <c r="C1" s="155"/>
      <c r="D1" s="155"/>
      <c r="E1" s="155"/>
      <c r="F1" s="155"/>
      <c r="G1" s="155"/>
      <c r="H1" s="155"/>
      <c r="I1" s="155"/>
      <c r="N1" s="85"/>
      <c r="O1" s="83" t="s">
        <v>74</v>
      </c>
      <c r="Q1" s="83" t="s">
        <v>74</v>
      </c>
      <c r="S1" s="83" t="s">
        <v>74</v>
      </c>
      <c r="U1" s="83" t="s">
        <v>74</v>
      </c>
    </row>
    <row r="2" spans="1:24" ht="19.899999999999999" customHeight="1" thickBot="1">
      <c r="A2" s="182"/>
      <c r="B2" s="182"/>
      <c r="C2" s="182"/>
      <c r="D2" s="182"/>
      <c r="E2" s="182"/>
      <c r="F2" s="182"/>
      <c r="G2" s="182"/>
      <c r="H2" s="182"/>
      <c r="I2" s="182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1:24" ht="19.899999999999999" customHeight="1">
      <c r="A3" s="88"/>
      <c r="B3" s="88"/>
      <c r="C3" s="88"/>
      <c r="D3" s="88"/>
      <c r="E3" s="88"/>
      <c r="F3" s="88" t="s">
        <v>75</v>
      </c>
      <c r="G3" s="89"/>
      <c r="H3" s="89"/>
      <c r="I3" s="89"/>
      <c r="J3" s="164" t="s">
        <v>76</v>
      </c>
      <c r="K3" s="164"/>
      <c r="L3" s="164" t="s">
        <v>47</v>
      </c>
      <c r="M3" s="164" t="s">
        <v>5</v>
      </c>
      <c r="N3" s="160" t="s">
        <v>77</v>
      </c>
      <c r="O3" s="160"/>
      <c r="P3" s="160" t="s">
        <v>78</v>
      </c>
      <c r="Q3" s="160"/>
      <c r="R3" s="161" t="s">
        <v>79</v>
      </c>
      <c r="S3" s="161"/>
      <c r="T3" s="161" t="s">
        <v>80</v>
      </c>
      <c r="U3" s="161"/>
      <c r="V3" s="162" t="s">
        <v>81</v>
      </c>
      <c r="W3" s="158" t="s">
        <v>82</v>
      </c>
      <c r="X3" s="156" t="s">
        <v>45</v>
      </c>
    </row>
    <row r="4" spans="1:24" ht="19.899999999999999" customHeight="1">
      <c r="A4" s="90" t="s">
        <v>83</v>
      </c>
      <c r="B4" s="91"/>
      <c r="C4" s="91"/>
      <c r="D4" s="91"/>
      <c r="E4" s="91"/>
      <c r="F4" s="92" t="s">
        <v>84</v>
      </c>
      <c r="G4" s="92" t="s">
        <v>85</v>
      </c>
      <c r="H4" s="92" t="s">
        <v>86</v>
      </c>
      <c r="I4" s="92" t="s">
        <v>87</v>
      </c>
      <c r="J4" s="93" t="s">
        <v>88</v>
      </c>
      <c r="K4" s="93" t="s">
        <v>89</v>
      </c>
      <c r="L4" s="165"/>
      <c r="M4" s="165"/>
      <c r="N4" s="94" t="s">
        <v>90</v>
      </c>
      <c r="O4" s="95" t="s">
        <v>91</v>
      </c>
      <c r="P4" s="94" t="s">
        <v>92</v>
      </c>
      <c r="Q4" s="95" t="s">
        <v>91</v>
      </c>
      <c r="R4" s="95" t="s">
        <v>93</v>
      </c>
      <c r="S4" s="95" t="s">
        <v>91</v>
      </c>
      <c r="T4" s="95" t="s">
        <v>93</v>
      </c>
      <c r="U4" s="95" t="s">
        <v>91</v>
      </c>
      <c r="V4" s="163"/>
      <c r="W4" s="159"/>
      <c r="X4" s="157"/>
    </row>
    <row r="5" spans="1:24" s="97" customFormat="1" ht="38.1" customHeight="1">
      <c r="A5" s="96" t="str">
        <f>F5&amp;G5&amp;H5&amp;I5</f>
        <v>L002</v>
      </c>
      <c r="B5" s="111"/>
      <c r="C5" s="111"/>
      <c r="D5" s="111"/>
      <c r="E5" s="111"/>
      <c r="F5" s="112"/>
      <c r="G5" s="113"/>
      <c r="H5" s="177"/>
      <c r="I5" s="180" t="s">
        <v>106</v>
      </c>
      <c r="J5" s="179" t="s">
        <v>107</v>
      </c>
      <c r="K5" s="114" t="s">
        <v>115</v>
      </c>
      <c r="L5" s="115" t="s">
        <v>108</v>
      </c>
      <c r="M5" s="116">
        <v>1</v>
      </c>
      <c r="N5" s="117"/>
      <c r="O5" s="118">
        <f>SUM(N5:N5)*M5*$O$2</f>
        <v>0</v>
      </c>
      <c r="P5" s="119">
        <v>167081</v>
      </c>
      <c r="Q5" s="118">
        <f>M5*P5</f>
        <v>167081</v>
      </c>
      <c r="R5" s="120"/>
      <c r="S5" s="118">
        <f>R5*M5*$S$2</f>
        <v>0</v>
      </c>
      <c r="T5" s="120"/>
      <c r="U5" s="118">
        <f>T5*M5*$U$2</f>
        <v>0</v>
      </c>
      <c r="V5" s="121">
        <f t="shared" ref="V5:V7" si="0">SUM(O5+Q5)+S5+U5</f>
        <v>167081</v>
      </c>
      <c r="W5" s="122"/>
      <c r="X5" s="123"/>
    </row>
    <row r="6" spans="1:24" s="97" customFormat="1" ht="38.1" customHeight="1">
      <c r="A6" s="96" t="str">
        <f>F6&amp;G6&amp;H6&amp;I6</f>
        <v>M020531910380101</v>
      </c>
      <c r="B6" s="111"/>
      <c r="C6" s="111"/>
      <c r="D6" s="111"/>
      <c r="E6" s="111"/>
      <c r="F6" s="124"/>
      <c r="G6" s="92"/>
      <c r="H6" s="177" t="s">
        <v>94</v>
      </c>
      <c r="I6" s="92"/>
      <c r="J6" s="179" t="s">
        <v>95</v>
      </c>
      <c r="K6" s="114" t="s">
        <v>96</v>
      </c>
      <c r="L6" s="115" t="s">
        <v>59</v>
      </c>
      <c r="M6" s="116">
        <v>41</v>
      </c>
      <c r="N6" s="127">
        <v>3510</v>
      </c>
      <c r="O6" s="118">
        <f>SUM(N6:N6)*M6*$O$2</f>
        <v>120164.84999999999</v>
      </c>
      <c r="P6" s="125"/>
      <c r="Q6" s="118">
        <f>(P6*M6)*$Q$2</f>
        <v>0</v>
      </c>
      <c r="R6" s="120"/>
      <c r="S6" s="118">
        <f>R6*M6*$S$2</f>
        <v>0</v>
      </c>
      <c r="T6" s="120"/>
      <c r="U6" s="118">
        <f>T6*M6*$U$2</f>
        <v>0</v>
      </c>
      <c r="V6" s="126">
        <f t="shared" si="0"/>
        <v>120164.84999999999</v>
      </c>
      <c r="W6" s="122"/>
      <c r="X6" s="123"/>
    </row>
    <row r="7" spans="1:24" s="97" customFormat="1" ht="38.1" customHeight="1">
      <c r="A7" s="96" t="str">
        <f>F7&amp;G7&amp;H7&amp;I7</f>
        <v>L030</v>
      </c>
      <c r="B7" s="111"/>
      <c r="C7" s="111"/>
      <c r="D7" s="111"/>
      <c r="E7" s="111"/>
      <c r="F7" s="124"/>
      <c r="G7" s="113"/>
      <c r="H7" s="178"/>
      <c r="I7" s="180" t="s">
        <v>116</v>
      </c>
      <c r="J7" s="179" t="s">
        <v>113</v>
      </c>
      <c r="K7" s="114" t="s">
        <v>117</v>
      </c>
      <c r="L7" s="115" t="s">
        <v>108</v>
      </c>
      <c r="M7" s="116">
        <v>1</v>
      </c>
      <c r="N7" s="117"/>
      <c r="O7" s="118">
        <f>SUM(N7:N7)*M7*$O$2</f>
        <v>0</v>
      </c>
      <c r="P7" s="119">
        <v>245524</v>
      </c>
      <c r="Q7" s="118">
        <f>M7*P7</f>
        <v>245524</v>
      </c>
      <c r="R7" s="120"/>
      <c r="S7" s="118">
        <f>R7*M7*$S$2</f>
        <v>0</v>
      </c>
      <c r="T7" s="120"/>
      <c r="U7" s="118">
        <f>T7*M7*$U$2</f>
        <v>0</v>
      </c>
      <c r="V7" s="126">
        <f t="shared" si="0"/>
        <v>245524</v>
      </c>
      <c r="W7" s="122"/>
      <c r="X7" s="123"/>
    </row>
    <row r="8" spans="1:24" s="99" customFormat="1" ht="19.899999999999999" customHeight="1">
      <c r="A8" s="98"/>
      <c r="B8" s="98"/>
      <c r="C8" s="98"/>
      <c r="D8" s="98"/>
      <c r="E8" s="98"/>
      <c r="O8" s="100">
        <f>SUM(O5:O7)</f>
        <v>120164.84999999999</v>
      </c>
      <c r="P8" s="101"/>
      <c r="Q8" s="100">
        <f>SUM(Q5:Q7)</f>
        <v>412605</v>
      </c>
      <c r="R8" s="101"/>
      <c r="S8" s="100">
        <f>SUM(S5:S7)</f>
        <v>0</v>
      </c>
      <c r="T8" s="101"/>
      <c r="U8" s="100">
        <f>SUM(U5:U7)</f>
        <v>0</v>
      </c>
      <c r="V8" s="102">
        <f>SUM(V5:V7)</f>
        <v>532769.85</v>
      </c>
      <c r="W8" s="103"/>
    </row>
    <row r="10" spans="1:24">
      <c r="M10" s="11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N13"/>
  <sheetViews>
    <sheetView zoomScaleNormal="100" workbookViewId="0">
      <selection activeCell="B21" sqref="B21"/>
    </sheetView>
  </sheetViews>
  <sheetFormatPr defaultColWidth="9" defaultRowHeight="16.5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10.625" style="80" customWidth="1"/>
    <col min="9" max="12" width="10.625" style="80" hidden="1" customWidth="1"/>
    <col min="13" max="14" width="10.625" style="80" customWidth="1"/>
    <col min="15" max="16384" width="9" style="81"/>
  </cols>
  <sheetData>
    <row r="1" spans="1:14" s="68" customFormat="1" ht="26.25" customHeight="1">
      <c r="A1" s="168" t="s">
        <v>60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</row>
    <row r="2" spans="1:14" s="68" customFormat="1" ht="20.100000000000001" customHeight="1">
      <c r="A2" s="169" t="s">
        <v>61</v>
      </c>
      <c r="B2" s="169" t="s">
        <v>62</v>
      </c>
      <c r="C2" s="170" t="s">
        <v>47</v>
      </c>
      <c r="D2" s="170" t="s">
        <v>63</v>
      </c>
      <c r="E2" s="172" t="s">
        <v>64</v>
      </c>
      <c r="F2" s="169"/>
      <c r="G2" s="173" t="s">
        <v>65</v>
      </c>
      <c r="H2" s="174"/>
      <c r="I2" s="175" t="s">
        <v>66</v>
      </c>
      <c r="J2" s="174"/>
      <c r="K2" s="175" t="s">
        <v>67</v>
      </c>
      <c r="L2" s="174"/>
      <c r="M2" s="175" t="s">
        <v>68</v>
      </c>
      <c r="N2" s="176"/>
    </row>
    <row r="3" spans="1:14" s="68" customFormat="1" ht="20.100000000000001" customHeight="1">
      <c r="A3" s="169"/>
      <c r="B3" s="169"/>
      <c r="C3" s="171"/>
      <c r="D3" s="171"/>
      <c r="E3" s="69" t="s">
        <v>69</v>
      </c>
      <c r="F3" s="69" t="s">
        <v>70</v>
      </c>
      <c r="G3" s="71" t="s">
        <v>69</v>
      </c>
      <c r="H3" s="70" t="s">
        <v>70</v>
      </c>
      <c r="I3" s="71" t="s">
        <v>69</v>
      </c>
      <c r="J3" s="70" t="s">
        <v>70</v>
      </c>
      <c r="K3" s="71" t="s">
        <v>69</v>
      </c>
      <c r="L3" s="70" t="s">
        <v>70</v>
      </c>
      <c r="M3" s="71" t="s">
        <v>69</v>
      </c>
      <c r="N3" s="69" t="s">
        <v>70</v>
      </c>
    </row>
    <row r="4" spans="1:14" s="68" customFormat="1" ht="20.100000000000001" customHeight="1">
      <c r="A4" s="166" t="s">
        <v>97</v>
      </c>
      <c r="B4" s="167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4" s="137" customFormat="1" ht="20.100000000000001" customHeight="1">
      <c r="A5" s="128" t="s">
        <v>101</v>
      </c>
      <c r="B5" s="129" t="s">
        <v>102</v>
      </c>
      <c r="C5" s="130" t="s">
        <v>103</v>
      </c>
      <c r="D5" s="131">
        <v>1</v>
      </c>
      <c r="E5" s="132"/>
      <c r="F5" s="133">
        <f t="shared" ref="F5:F7" si="0">D5*E5</f>
        <v>0</v>
      </c>
      <c r="G5" s="134">
        <v>167081</v>
      </c>
      <c r="H5" s="132">
        <f>D5*G5</f>
        <v>167081</v>
      </c>
      <c r="I5" s="132"/>
      <c r="J5" s="135"/>
      <c r="K5" s="132"/>
      <c r="L5" s="135"/>
      <c r="M5" s="136"/>
      <c r="N5" s="136">
        <f>F5+H5+J5+L5</f>
        <v>167081</v>
      </c>
    </row>
    <row r="6" spans="1:14" s="137" customFormat="1" ht="20.100000000000001" customHeight="1">
      <c r="A6" s="138" t="s">
        <v>105</v>
      </c>
      <c r="B6" s="109" t="s">
        <v>112</v>
      </c>
      <c r="C6" s="140"/>
      <c r="D6" s="131"/>
      <c r="E6" s="141"/>
      <c r="F6" s="142">
        <f t="shared" si="0"/>
        <v>0</v>
      </c>
      <c r="G6" s="133"/>
      <c r="H6" s="132"/>
      <c r="I6" s="142"/>
      <c r="J6" s="142"/>
      <c r="K6" s="142"/>
      <c r="L6" s="142"/>
      <c r="M6" s="140"/>
      <c r="N6" s="136">
        <f t="shared" ref="N6:N7" si="1">F6+H6+J6+L6</f>
        <v>0</v>
      </c>
    </row>
    <row r="7" spans="1:14" s="137" customFormat="1" ht="20.100000000000001" customHeight="1">
      <c r="A7" s="143" t="s">
        <v>71</v>
      </c>
      <c r="B7" s="139" t="s">
        <v>72</v>
      </c>
      <c r="C7" s="140" t="s">
        <v>73</v>
      </c>
      <c r="D7" s="131">
        <v>17</v>
      </c>
      <c r="E7" s="144">
        <v>2931</v>
      </c>
      <c r="F7" s="133">
        <f t="shared" si="0"/>
        <v>49827</v>
      </c>
      <c r="G7" s="133"/>
      <c r="H7" s="132">
        <f t="shared" ref="H7" si="2">D7*G7</f>
        <v>0</v>
      </c>
      <c r="I7" s="133"/>
      <c r="J7" s="133"/>
      <c r="K7" s="133"/>
      <c r="L7" s="133"/>
      <c r="M7" s="136"/>
      <c r="N7" s="136">
        <f t="shared" si="1"/>
        <v>49827</v>
      </c>
    </row>
    <row r="8" spans="1:14" s="137" customFormat="1" ht="20.100000000000001" customHeight="1">
      <c r="A8" s="138" t="s">
        <v>109</v>
      </c>
      <c r="B8" s="109" t="s">
        <v>111</v>
      </c>
      <c r="C8" s="140"/>
      <c r="D8" s="131"/>
      <c r="E8" s="141"/>
      <c r="F8" s="142">
        <f t="shared" ref="F8:F9" si="3">D8*E8</f>
        <v>0</v>
      </c>
      <c r="G8" s="133"/>
      <c r="H8" s="132"/>
      <c r="I8" s="142"/>
      <c r="J8" s="142"/>
      <c r="K8" s="142"/>
      <c r="L8" s="142"/>
      <c r="M8" s="140"/>
      <c r="N8" s="136">
        <f t="shared" ref="N8:N9" si="4">F8+H8+J8+L8</f>
        <v>0</v>
      </c>
    </row>
    <row r="9" spans="1:14" s="137" customFormat="1" ht="20.100000000000001" customHeight="1">
      <c r="A9" s="143" t="s">
        <v>71</v>
      </c>
      <c r="B9" s="139" t="s">
        <v>72</v>
      </c>
      <c r="C9" s="140" t="s">
        <v>73</v>
      </c>
      <c r="D9" s="131">
        <v>12</v>
      </c>
      <c r="E9" s="144">
        <v>2931</v>
      </c>
      <c r="F9" s="133">
        <f t="shared" si="3"/>
        <v>35172</v>
      </c>
      <c r="G9" s="133"/>
      <c r="H9" s="132">
        <f t="shared" ref="H9" si="5">D9*G9</f>
        <v>0</v>
      </c>
      <c r="I9" s="133"/>
      <c r="J9" s="133"/>
      <c r="K9" s="133"/>
      <c r="L9" s="133"/>
      <c r="M9" s="136"/>
      <c r="N9" s="136">
        <f t="shared" si="4"/>
        <v>35172</v>
      </c>
    </row>
    <row r="10" spans="1:14" s="137" customFormat="1" ht="20.100000000000001" customHeight="1">
      <c r="A10" s="138" t="s">
        <v>110</v>
      </c>
      <c r="B10" s="109" t="s">
        <v>111</v>
      </c>
      <c r="C10" s="140"/>
      <c r="D10" s="131"/>
      <c r="E10" s="141"/>
      <c r="F10" s="142">
        <f t="shared" ref="F10:F11" si="6">D10*E10</f>
        <v>0</v>
      </c>
      <c r="G10" s="133"/>
      <c r="H10" s="132"/>
      <c r="I10" s="142"/>
      <c r="J10" s="142"/>
      <c r="K10" s="142"/>
      <c r="L10" s="142"/>
      <c r="M10" s="140"/>
      <c r="N10" s="136">
        <f t="shared" ref="N10:N12" si="7">F10+H10+J10+L10</f>
        <v>0</v>
      </c>
    </row>
    <row r="11" spans="1:14" s="137" customFormat="1" ht="20.100000000000001" customHeight="1">
      <c r="A11" s="143" t="s">
        <v>71</v>
      </c>
      <c r="B11" s="139" t="s">
        <v>72</v>
      </c>
      <c r="C11" s="140" t="s">
        <v>73</v>
      </c>
      <c r="D11" s="131">
        <v>12</v>
      </c>
      <c r="E11" s="144">
        <v>2931</v>
      </c>
      <c r="F11" s="133">
        <f t="shared" si="6"/>
        <v>35172</v>
      </c>
      <c r="G11" s="133"/>
      <c r="H11" s="132">
        <f t="shared" ref="H11" si="8">D11*G11</f>
        <v>0</v>
      </c>
      <c r="I11" s="133"/>
      <c r="J11" s="133"/>
      <c r="K11" s="133"/>
      <c r="L11" s="133"/>
      <c r="M11" s="136"/>
      <c r="N11" s="136">
        <f t="shared" si="7"/>
        <v>35172</v>
      </c>
    </row>
    <row r="12" spans="1:14" s="137" customFormat="1" ht="20.100000000000001" customHeight="1">
      <c r="A12" s="181" t="s">
        <v>114</v>
      </c>
      <c r="B12" s="139" t="s">
        <v>104</v>
      </c>
      <c r="C12" s="140" t="s">
        <v>108</v>
      </c>
      <c r="D12" s="131">
        <v>1</v>
      </c>
      <c r="E12" s="144"/>
      <c r="F12" s="133"/>
      <c r="G12" s="125">
        <v>245524</v>
      </c>
      <c r="H12" s="132">
        <f>D12*G12</f>
        <v>245524</v>
      </c>
      <c r="I12" s="133"/>
      <c r="J12" s="133"/>
      <c r="K12" s="133"/>
      <c r="L12" s="133"/>
      <c r="M12" s="136"/>
      <c r="N12" s="136">
        <f t="shared" si="7"/>
        <v>245524</v>
      </c>
    </row>
    <row r="13" spans="1:14" s="68" customFormat="1" ht="20.100000000000001" customHeight="1">
      <c r="A13" s="105" t="s">
        <v>68</v>
      </c>
      <c r="B13" s="74"/>
      <c r="C13" s="75"/>
      <c r="D13" s="76"/>
      <c r="E13" s="77"/>
      <c r="F13" s="78">
        <f>SUM(F5:F12)</f>
        <v>120171</v>
      </c>
      <c r="G13" s="77"/>
      <c r="H13" s="78">
        <f>SUM(H5:H12)</f>
        <v>412605</v>
      </c>
      <c r="I13" s="77"/>
      <c r="J13" s="78">
        <f>SUM(J5:J11)</f>
        <v>0</v>
      </c>
      <c r="K13" s="77"/>
      <c r="L13" s="78">
        <f>SUM(L5:L11)</f>
        <v>0</v>
      </c>
      <c r="M13" s="79"/>
      <c r="N13" s="78">
        <f>SUM(N5:N12)</f>
        <v>532776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4"/>
  <sheetViews>
    <sheetView showGridLines="0" zoomScaleNormal="100" workbookViewId="0">
      <selection activeCell="G22" sqref="G22"/>
    </sheetView>
  </sheetViews>
  <sheetFormatPr defaultColWidth="9" defaultRowHeight="16.5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>
      <c r="A2" s="107" t="str">
        <f>'내역서(표준단가)'!A5</f>
        <v>L002</v>
      </c>
      <c r="B2" s="108">
        <f>'내역서(표준단가)'!F5</f>
        <v>0</v>
      </c>
      <c r="C2" s="108">
        <f>'내역서(표준단가)'!G5</f>
        <v>0</v>
      </c>
      <c r="D2" s="108">
        <f>'내역서(표준단가)'!H5</f>
        <v>0</v>
      </c>
      <c r="E2" s="108" t="str">
        <f>'내역서(표준단가)'!I5</f>
        <v>L002</v>
      </c>
      <c r="F2" s="145">
        <f>'내역서(표준단가)'!M5</f>
        <v>1</v>
      </c>
    </row>
    <row r="3" spans="1:6">
      <c r="A3" s="107" t="str">
        <f>'내역서(표준단가)'!A6</f>
        <v>M020531910380101</v>
      </c>
      <c r="B3" s="108">
        <f>'내역서(표준단가)'!F6</f>
        <v>0</v>
      </c>
      <c r="C3" s="108">
        <f>'내역서(표준단가)'!G6</f>
        <v>0</v>
      </c>
      <c r="D3" s="108" t="str">
        <f>'내역서(표준단가)'!H6</f>
        <v>M020531910380101</v>
      </c>
      <c r="E3" s="108">
        <f>'내역서(표준단가)'!I6</f>
        <v>0</v>
      </c>
      <c r="F3" s="145">
        <f>'내역서(표준단가)'!M6</f>
        <v>41</v>
      </c>
    </row>
    <row r="4" spans="1:6">
      <c r="A4" s="107" t="str">
        <f>'내역서(표준단가)'!A7</f>
        <v>L030</v>
      </c>
      <c r="B4" s="108">
        <f>'내역서(표준단가)'!F7</f>
        <v>0</v>
      </c>
      <c r="C4" s="108">
        <f>'내역서(표준단가)'!G7</f>
        <v>0</v>
      </c>
      <c r="D4" s="108">
        <f>'내역서(표준단가)'!H7</f>
        <v>0</v>
      </c>
      <c r="E4" s="108" t="str">
        <f>'내역서(표준단가)'!I7</f>
        <v>L030</v>
      </c>
      <c r="F4" s="145">
        <f>'내역서(표준단가)'!M7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3AB1-57BF-4892-993F-3450F90BF742}">
  <dimension ref="A1"/>
  <sheetViews>
    <sheetView workbookViewId="0">
      <selection activeCell="P20" sqref="P20"/>
    </sheetView>
  </sheetViews>
  <sheetFormatPr defaultRowHeight="16.5"/>
  <sheetData/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2동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2026-01-13T06:15:20Z</dcterms:modified>
</cp:coreProperties>
</file>
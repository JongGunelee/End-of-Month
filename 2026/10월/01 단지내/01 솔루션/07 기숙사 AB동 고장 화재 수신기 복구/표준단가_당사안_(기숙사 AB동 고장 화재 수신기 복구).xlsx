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11\06 작업폴더\02 기숙사 AB동 고장 화재 수신기 복구\"/>
    </mc:Choice>
  </mc:AlternateContent>
  <xr:revisionPtr revIDLastSave="0" documentId="13_ncr:1_{B4B0491F-277F-41CA-BAE8-BBC3F6DF6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2" l="1"/>
  <c r="E3" i="12"/>
  <c r="D3" i="12"/>
  <c r="C3" i="12"/>
  <c r="B3" i="12"/>
  <c r="F2" i="12"/>
  <c r="E2" i="12"/>
  <c r="D2" i="12"/>
  <c r="C2" i="12"/>
  <c r="B2" i="12"/>
  <c r="K6" i="11"/>
  <c r="Q7" i="11"/>
  <c r="O7" i="11"/>
  <c r="M7" i="11"/>
  <c r="M8" i="11" s="1"/>
  <c r="K7" i="11"/>
  <c r="A7" i="11"/>
  <c r="A3" i="12" s="1"/>
  <c r="Q6" i="11"/>
  <c r="O6" i="11"/>
  <c r="M6" i="11"/>
  <c r="A6" i="11"/>
  <c r="A2" i="12" s="1"/>
  <c r="Q8" i="11" l="1"/>
  <c r="K8" i="11"/>
  <c r="R6" i="11"/>
  <c r="O8" i="11"/>
  <c r="R7" i="11"/>
  <c r="R8" i="11" l="1"/>
  <c r="F16" i="5" l="1"/>
  <c r="F25" i="5" l="1"/>
  <c r="F24" i="5"/>
  <c r="F26" i="5" s="1"/>
  <c r="F23" i="5"/>
  <c r="F22" i="5"/>
  <c r="F15" i="5"/>
  <c r="F21" i="5" s="1"/>
  <c r="F27" i="5" l="1"/>
  <c r="F17" i="5"/>
  <c r="A1" i="11" l="1"/>
  <c r="A5" i="11"/>
  <c r="A9" i="11"/>
  <c r="F19" i="5" l="1"/>
  <c r="F28" i="5" l="1"/>
  <c r="F30" i="5" s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<sst xmlns="http://schemas.openxmlformats.org/spreadsheetml/2006/main" count="135" uniqueCount="112">
  <si>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</si>
  <si>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</si>
  <si>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</si>
  <si>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</si>
  <si>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</si>
  <si>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</si>
  <si>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</si>
  <si>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</si>
  <si>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</si>
  <si>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</si>
  <si>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</si>
  <si>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</si>
  <si>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</si>
  <si>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</si>
  <si>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</si>
  <si>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</si>
  <si>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</si>
  <si>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</si>
  <si>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</si>
  <si>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</si>
  <si>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</si>
  <si>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</si>
  <si>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</si>
  <si>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</si>
  <si>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</si>
  <si>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</si>
  <si>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</si>
  <si>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</si>
  <si>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일반관리비/이윤</t>
    <phoneticPr fontId="24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</si>
  <si>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</si>
  <si>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</si>
  <si>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</si>
  <si>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</si>
  <si>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</si>
  <si>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</si>
  <si>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</si>
  <si>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</si>
  <si>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</si>
  <si>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</si>
  <si>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</si>
  <si>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</si>
  <si>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</si>
  <si>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</si>
  <si>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</si>
  <si>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</si>
  <si>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</si>
  <si>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</si>
  <si>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</si>
  <si>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</si>
  <si>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</si>
  <si>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</si>
  <si>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</si>
  <si>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</si>
  <si>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</si>
  <si>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5" type="noConversion"/>
  </si>
  <si>
    <t>식</t>
    <phoneticPr fontId="24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</si>
  <si>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</si>
  <si>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</si>
  <si>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</si>
  <si>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</si>
  <si>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</si>
  <si>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</si>
  <si>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</si>
  <si>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</si>
  <si>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</si>
  <si>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</si>
  <si>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</si>
  <si>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</si>
  <si>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</si>
  <si>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</si>
  <si>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</si>
  <si>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</si>
  <si>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</si>
  <si>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추가ITEM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</si>
  <si>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</si>
  <si>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</si>
  <si>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</si>
  <si>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</si>
  <si>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</si>
  <si>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</si>
  <si>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</si>
  <si>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</si>
  <si>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</si>
  <si>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합          계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</si>
  <si>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</si>
  <si>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</si>
  <si>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 노무비*4.75%</t>
    <phoneticPr fontId="24" type="noConversion"/>
  </si>
  <si>
    <t> 노무비*3.595%</t>
    <phoneticPr fontId="24" type="noConversion"/>
  </si>
  <si>
    <t>  고용보험료</t>
    <phoneticPr fontId="24" type="noConversion"/>
  </si>
  <si>
    <t> 노무비*1.01%</t>
    <phoneticPr fontId="24" type="noConversion"/>
  </si>
  <si>
    <t>  산재보험료</t>
    <phoneticPr fontId="24" type="noConversion"/>
  </si>
  <si>
    <t> 노무비*3.56%</t>
    <phoneticPr fontId="24" type="noConversion"/>
  </si>
  <si>
    <t> (재료비+노무비)*3.11%</t>
    <phoneticPr fontId="24" type="noConversion"/>
  </si>
  <si>
    <t> (노무비+간접공사비)*5%</t>
    <phoneticPr fontId="24" type="noConversion"/>
  </si>
  <si>
    <t>건설기계대여금</t>
    <phoneticPr fontId="15" type="noConversion"/>
  </si>
  <si>
    <t>안전보건관리비</t>
    <phoneticPr fontId="24" type="noConversion"/>
  </si>
  <si>
    <t> 국민건강 보험료</t>
    <phoneticPr fontId="24" type="noConversion"/>
  </si>
  <si>
    <t>  국민연금 보험료</t>
    <phoneticPr fontId="24" type="noConversion"/>
  </si>
  <si>
    <t>  노인장기요양 보험료</t>
    <phoneticPr fontId="24" type="noConversion"/>
  </si>
  <si>
    <t> 건강보험료*13.34%</t>
    <phoneticPr fontId="24" type="noConversion"/>
  </si>
  <si>
    <t>L002</t>
    <phoneticPr fontId="8" type="noConversion"/>
  </si>
  <si>
    <t>보통인부</t>
    <phoneticPr fontId="8" type="noConversion"/>
  </si>
  <si>
    <t>인</t>
    <phoneticPr fontId="8" type="noConversion"/>
  </si>
  <si>
    <t>식</t>
    <phoneticPr fontId="8" type="noConversion"/>
  </si>
  <si>
    <t>999990</t>
    <phoneticPr fontId="8" type="noConversion"/>
  </si>
  <si>
    <t>출장비 포함</t>
    <phoneticPr fontId="8" type="noConversion"/>
  </si>
  <si>
    <t>★ 수신기 프로그램 수정 및  MMI 키보드 교체</t>
    <phoneticPr fontId="8" type="noConversion"/>
  </si>
  <si>
    <t>★ 방송 장비 점검 및 Program 수정</t>
    <phoneticPr fontId="8" type="noConversion"/>
  </si>
  <si>
    <t>수신기 프로그램 수정 및  MMI 키보드 교체</t>
    <phoneticPr fontId="8" type="noConversion"/>
  </si>
  <si>
    <t>각층별 사이렌 및 조작 및 점검</t>
    <phoneticPr fontId="8" type="noConversion"/>
  </si>
  <si>
    <t xml:space="preserve"> 2026 년 09 월 11 일</t>
    <phoneticPr fontId="8" type="noConversion"/>
  </si>
  <si>
    <t>기숙사 AB동 고장 화재 수신기 복구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</si>
</sst>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1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41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7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78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78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78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78" fontId="19" fillId="0" borderId="15" xfId="7" applyFont="1" applyFill="1" applyBorder="1" applyAlignment="1">
      <alignment horizontal="right" vertical="center"/>
    </xf>
    <xf numFmtId="176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41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41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78" fontId="26" fillId="5" borderId="15" xfId="7" applyFont="1" applyFill="1" applyBorder="1" applyAlignment="1">
      <alignment horizontal="right" vertical="center"/>
    </xf>
    <xf numFmtId="178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79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79" fontId="29" fillId="7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49" fontId="7" fillId="2" borderId="33" xfId="0" applyNumberFormat="1" applyFont="1" applyFill="1" applyBorder="1" applyAlignment="1">
      <alignment horizontal="center" vertical="center" wrapText="1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41" fontId="37" fillId="0" borderId="3" xfId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49" fontId="39" fillId="5" borderId="3" xfId="0" applyNumberFormat="1" applyFont="1" applyFill="1" applyBorder="1" applyAlignment="1">
      <alignment horizontal="center" vertical="center" wrapText="1"/>
    </xf>
    <xf numFmtId="41" fontId="39" fillId="5" borderId="3" xfId="0" applyNumberFormat="1" applyFont="1" applyFill="1" applyBorder="1" applyAlignment="1">
      <alignment horizontal="center" vertical="center" wrapText="1"/>
    </xf>
    <xf numFmtId="41" fontId="39" fillId="6" borderId="3" xfId="1" applyFont="1" applyFill="1" applyBorder="1" applyAlignment="1">
      <alignment horizontal="center" vertical="center"/>
    </xf>
    <xf numFmtId="41" fontId="39" fillId="0" borderId="3" xfId="1" applyFont="1" applyFill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41" fillId="9" borderId="24" xfId="0" applyFont="1" applyFill="1" applyBorder="1">
      <alignment vertical="center"/>
    </xf>
    <xf numFmtId="0" fontId="41" fillId="9" borderId="21" xfId="0" applyFont="1" applyFill="1" applyBorder="1">
      <alignment vertical="center"/>
    </xf>
    <xf numFmtId="0" fontId="37" fillId="4" borderId="3" xfId="3" applyFont="1" applyFill="1" applyBorder="1" applyAlignment="1">
      <alignment horizontal="center" vertical="center"/>
    </xf>
    <xf numFmtId="41" fontId="37" fillId="4" borderId="3" xfId="16" applyFont="1" applyFill="1" applyBorder="1" applyAlignment="1">
      <alignment horizontal="center" vertical="center"/>
    </xf>
    <xf numFmtId="176" fontId="37" fillId="4" borderId="3" xfId="5" applyFont="1" applyFill="1" applyBorder="1" applyAlignment="1">
      <alignment horizontal="center" vertical="center"/>
    </xf>
    <xf numFmtId="41" fontId="37" fillId="6" borderId="3" xfId="1" applyFont="1" applyFill="1" applyBorder="1" applyAlignment="1">
      <alignment horizontal="center"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49" fontId="37" fillId="5" borderId="3" xfId="0" applyNumberFormat="1" applyFont="1" applyFill="1" applyBorder="1" applyAlignment="1">
      <alignment horizontal="left" vertical="center" wrapText="1"/>
    </xf>
    <xf numFmtId="49" fontId="37" fillId="0" borderId="3" xfId="0" applyNumberFormat="1" applyFont="1" applyBorder="1" applyAlignment="1">
      <alignment horizontal="left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0" fontId="37" fillId="5" borderId="23" xfId="0" applyFont="1" applyFill="1" applyBorder="1" applyAlignment="1">
      <alignment horizontal="center" vertical="center"/>
    </xf>
    <xf numFmtId="49" fontId="37" fillId="7" borderId="3" xfId="0" applyNumberFormat="1" applyFont="1" applyFill="1" applyBorder="1" applyAlignment="1">
      <alignment horizontal="center" vertical="center"/>
    </xf>
    <xf numFmtId="0" fontId="42" fillId="10" borderId="3" xfId="3" applyFont="1" applyFill="1" applyBorder="1" applyAlignment="1">
      <alignment horizontal="center" vertical="center" shrinkToFit="1"/>
    </xf>
    <xf numFmtId="0" fontId="43" fillId="9" borderId="24" xfId="0" applyFont="1" applyFill="1" applyBorder="1">
      <alignment vertical="center"/>
    </xf>
    <xf numFmtId="0" fontId="26" fillId="0" borderId="15" xfId="8" applyFont="1" applyBorder="1" applyAlignment="1">
      <alignment horizontal="center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6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1" fontId="37" fillId="5" borderId="3" xfId="1" applyFont="1" applyFill="1" applyBorder="1" applyAlignment="1">
      <alignment horizontal="center" vertical="center" wrapText="1"/>
    </xf>
    <xf numFmtId="41" fontId="44" fillId="0" borderId="34" xfId="0" applyNumberFormat="1" applyFont="1" applyBorder="1">
      <alignment vertical="center"/>
    </xf>
    <xf numFmtId="0" fontId="44" fillId="0" borderId="37" xfId="0" applyFont="1" applyBorder="1" applyAlignment="1">
      <alignment horizontal="center" vertical="center"/>
    </xf>
    <xf numFmtId="0" fontId="44" fillId="0" borderId="35" xfId="0" applyFont="1" applyBorder="1">
      <alignment vertical="center"/>
    </xf>
    <xf numFmtId="0" fontId="44" fillId="0" borderId="0" xfId="0" applyFont="1">
      <alignment vertical="center"/>
    </xf>
    <xf numFmtId="0" fontId="37" fillId="6" borderId="22" xfId="0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center" vertical="center" wrapText="1"/>
    </xf>
    <xf numFmtId="41" fontId="37" fillId="0" borderId="3" xfId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41" fontId="37" fillId="5" borderId="3" xfId="0" applyNumberFormat="1" applyFont="1" applyFill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center" vertical="center"/>
    </xf>
    <xf numFmtId="41" fontId="37" fillId="0" borderId="38" xfId="1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41" fontId="47" fillId="10" borderId="34" xfId="0" applyNumberFormat="1" applyFont="1" applyFill="1" applyBorder="1">
      <alignment vertical="center"/>
    </xf>
    <xf numFmtId="41" fontId="47" fillId="0" borderId="34" xfId="0" applyNumberFormat="1" applyFont="1" applyBorder="1">
      <alignment vertical="center"/>
    </xf>
    <xf numFmtId="0" fontId="48" fillId="0" borderId="23" xfId="0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41" fontId="47" fillId="0" borderId="39" xfId="0" applyNumberFormat="1" applyFont="1" applyBorder="1" applyAlignment="1">
      <alignment horizontal="center" vertical="center"/>
    </xf>
    <xf numFmtId="41" fontId="47" fillId="0" borderId="36" xfId="0" applyNumberFormat="1" applyFont="1" applyBorder="1" applyAlignment="1">
      <alignment horizontal="center" vertical="center"/>
    </xf>
    <xf numFmtId="41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9" borderId="30" xfId="0" applyFont="1" applyFill="1" applyBorder="1" applyAlignment="1">
      <alignment horizontal="center" vertical="center"/>
    </xf>
    <xf numFmtId="0" fontId="43" fillId="9" borderId="4" xfId="0" applyFont="1" applyFill="1" applyBorder="1" applyAlignment="1">
      <alignment horizontal="center" vertical="center"/>
    </xf>
    <xf numFmtId="176" fontId="37" fillId="4" borderId="21" xfId="5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5" xfId="30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8" xr:uid="{7ED955DD-1546-414A-B711-6F73E7BB39E2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29" xr:uid="{F2A1EFD4-E35E-4862-AADA-8DC56405886E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4</xdr:row>
      <xdr:rowOff>152401</xdr:rowOff>
    </xdr:from>
    <xdr:to>
      <xdr:col>6</xdr:col>
      <xdr:colOff>2706820</xdr:colOff>
      <xdr:row>6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152400</xdr:rowOff>
    </xdr:from>
    <xdr:to>
      <xdr:col>10</xdr:col>
      <xdr:colOff>68265</xdr:colOff>
      <xdr:row>5</xdr:row>
      <xdr:rowOff>152541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342585-5E95-E3A2-0371-FF579D7C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730"/>
        <a:stretch>
          <a:fillRect/>
        </a:stretch>
      </xdr:blipFill>
      <xdr:spPr>
        <a:xfrm>
          <a:off x="95250" y="590550"/>
          <a:ext cx="11393490" cy="6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7</xdr:row>
      <xdr:rowOff>133350</xdr:rowOff>
    </xdr:from>
    <xdr:to>
      <xdr:col>3</xdr:col>
      <xdr:colOff>1344993</xdr:colOff>
      <xdr:row>45</xdr:row>
      <xdr:rowOff>11112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7192058-2756-4789-A718-668B69D0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619250"/>
          <a:ext cx="5840793" cy="784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4B70BC-CB47-40B4-905E-0008FE7F3939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tabSelected="1" view="pageBreakPreview" topLeftCell="A6" zoomScale="60" zoomScaleNormal="85" workbookViewId="0">
      <selection activeCell="B7" sqref="B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1" spans="1:9" ht="33">
      <c r="A1" s="127" t="s">
        <v>6</v>
      </c>
      <c r="B1" s="127"/>
      <c r="C1" s="127"/>
      <c r="D1" s="127"/>
      <c r="E1" s="127"/>
      <c r="F1" s="127"/>
      <c r="G1" s="127"/>
      <c r="H1" s="2"/>
    </row>
    <row r="2" spans="1:9" ht="14.25">
      <c r="A2" s="5"/>
      <c r="B2" s="5"/>
      <c r="C2" s="5"/>
      <c r="D2" s="5"/>
      <c r="E2" s="5"/>
      <c r="F2" s="5"/>
      <c r="G2" s="5"/>
      <c r="H2" s="5"/>
    </row>
    <row r="3" spans="1:9" ht="14.25">
      <c r="A3" s="5"/>
      <c r="B3" s="5"/>
      <c r="C3" s="5"/>
      <c r="D3" s="5"/>
      <c r="E3" s="5"/>
      <c r="H3" s="5"/>
    </row>
    <row r="4" spans="1:9" ht="27" customHeight="1">
      <c r="A4" s="55" t="s">
        <v>54</v>
      </c>
      <c r="B4" s="56"/>
      <c r="C4" s="57"/>
      <c r="D4" s="5"/>
      <c r="E4" s="5"/>
      <c r="F4" s="65" t="s">
        <v>29</v>
      </c>
      <c r="G4" s="70" t="s">
        <v>56</v>
      </c>
      <c r="H4" s="5"/>
    </row>
    <row r="5" spans="1:9" ht="27" customHeight="1">
      <c r="A5" s="5"/>
      <c r="B5" s="5"/>
      <c r="C5" s="5"/>
      <c r="D5" s="5"/>
      <c r="E5" s="5"/>
      <c r="F5" s="66" t="s">
        <v>32</v>
      </c>
      <c r="G5" s="71" t="s">
        <v>57</v>
      </c>
      <c r="H5" s="5"/>
    </row>
    <row r="6" spans="1:9" ht="27" customHeight="1">
      <c r="A6" s="55" t="s">
        <v>84</v>
      </c>
      <c r="B6" s="58" t="s">
        <v>111</v>
      </c>
      <c r="C6" s="59"/>
      <c r="D6" s="5"/>
      <c r="E6" s="60"/>
      <c r="F6" s="67" t="s">
        <v>33</v>
      </c>
      <c r="G6" s="71" t="s">
        <v>58</v>
      </c>
      <c r="H6" s="5"/>
    </row>
    <row r="7" spans="1:9" ht="27" customHeight="1">
      <c r="A7" s="5"/>
      <c r="B7" s="5"/>
      <c r="C7" s="5"/>
      <c r="D7" s="5"/>
      <c r="E7" s="5"/>
      <c r="F7" s="66" t="s">
        <v>34</v>
      </c>
      <c r="G7" s="71" t="s">
        <v>59</v>
      </c>
      <c r="H7" s="5"/>
    </row>
    <row r="8" spans="1:9" ht="27" customHeight="1">
      <c r="A8" s="55" t="s">
        <v>85</v>
      </c>
      <c r="B8" s="61" t="s">
        <v>110</v>
      </c>
      <c r="C8" s="62"/>
      <c r="D8" s="5"/>
      <c r="E8" s="5"/>
      <c r="F8" s="66" t="s">
        <v>35</v>
      </c>
      <c r="G8" s="71" t="s">
        <v>60</v>
      </c>
      <c r="H8" s="5"/>
    </row>
    <row r="9" spans="1:9" ht="27" customHeight="1">
      <c r="A9" s="5"/>
      <c r="B9" s="5"/>
      <c r="C9" s="5"/>
      <c r="D9" s="5"/>
      <c r="E9" s="5"/>
      <c r="F9" s="68" t="s">
        <v>30</v>
      </c>
      <c r="G9" s="72" t="s">
        <v>61</v>
      </c>
      <c r="H9" s="5"/>
      <c r="I9" s="5"/>
    </row>
    <row r="10" spans="1:9" ht="27" customHeight="1">
      <c r="A10" s="128"/>
      <c r="B10" s="129"/>
      <c r="C10" s="129"/>
      <c r="D10" s="5"/>
      <c r="E10" s="63"/>
      <c r="F10" s="69" t="s">
        <v>31</v>
      </c>
      <c r="G10" s="73" t="s">
        <v>62</v>
      </c>
      <c r="H10" s="63"/>
    </row>
    <row r="11" spans="1:9" ht="18.75" thickBot="1">
      <c r="A11" s="6" t="s">
        <v>7</v>
      </c>
      <c r="B11" s="6" t="str">
        <f>NUMBERSTRING(F31,1)</f>
        <v>삼백오만구천</v>
      </c>
      <c r="C11" s="7"/>
      <c r="D11" s="8" t="s">
        <v>8</v>
      </c>
      <c r="E11" s="9" t="s">
        <v>9</v>
      </c>
      <c r="F11" s="9" t="s">
        <v>9</v>
      </c>
      <c r="G11" s="10"/>
      <c r="H11" s="11"/>
    </row>
    <row r="12" spans="1:9" ht="15.75" thickTop="1" thickBot="1">
      <c r="A12" s="5"/>
      <c r="B12" s="5"/>
      <c r="C12" s="5"/>
      <c r="D12" s="5"/>
      <c r="E12" s="5"/>
      <c r="F12" s="5"/>
      <c r="G12" s="5"/>
      <c r="H12" s="11"/>
    </row>
    <row r="13" spans="1:9" ht="33" customHeight="1" thickBot="1">
      <c r="A13" s="12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4" t="s">
        <v>16</v>
      </c>
      <c r="H13" s="11"/>
    </row>
    <row r="14" spans="1:9" ht="33" customHeight="1" thickTop="1">
      <c r="A14" s="15"/>
      <c r="B14" s="16" t="s">
        <v>17</v>
      </c>
      <c r="C14" s="17"/>
      <c r="D14" s="18"/>
      <c r="E14" s="18"/>
      <c r="F14" s="19"/>
      <c r="G14" s="20"/>
    </row>
    <row r="15" spans="1:9" ht="33" customHeight="1">
      <c r="A15" s="21"/>
      <c r="B15" s="22" t="s">
        <v>18</v>
      </c>
      <c r="C15" s="23"/>
      <c r="D15" s="24"/>
      <c r="E15" s="24"/>
      <c r="F15" s="25">
        <f>'내역서(표준단가)'!K8</f>
        <v>0</v>
      </c>
      <c r="G15" s="26"/>
    </row>
    <row r="16" spans="1:9" ht="33" customHeight="1">
      <c r="A16" s="21"/>
      <c r="B16" s="22" t="s">
        <v>19</v>
      </c>
      <c r="C16" s="23"/>
      <c r="D16" s="24"/>
      <c r="E16" s="24"/>
      <c r="F16" s="25">
        <f>'내역서(표준단가)'!M8</f>
        <v>171037</v>
      </c>
      <c r="G16" s="27"/>
      <c r="H16" s="4"/>
      <c r="I16" s="4"/>
    </row>
    <row r="17" spans="1:9" ht="33" customHeight="1">
      <c r="A17" s="21"/>
      <c r="B17" s="22" t="s">
        <v>20</v>
      </c>
      <c r="C17" s="23"/>
      <c r="D17" s="24"/>
      <c r="E17" s="24"/>
      <c r="F17" s="25">
        <f>'내역서(표준단가)'!O8+'내역서(표준단가)'!Q8</f>
        <v>2850000</v>
      </c>
      <c r="G17" s="27"/>
      <c r="H17" s="4"/>
      <c r="I17" s="4"/>
    </row>
    <row r="18" spans="1:9" s="3" customFormat="1" ht="33" customHeight="1">
      <c r="A18" s="21"/>
      <c r="B18" s="22" t="s">
        <v>94</v>
      </c>
      <c r="C18" s="23"/>
      <c r="D18" s="24"/>
      <c r="E18" s="24"/>
      <c r="F18" s="25"/>
      <c r="G18" s="27"/>
    </row>
    <row r="19" spans="1:9" ht="33" customHeight="1">
      <c r="A19" s="21"/>
      <c r="B19" s="28" t="s">
        <v>21</v>
      </c>
      <c r="C19" s="28"/>
      <c r="D19" s="29"/>
      <c r="E19" s="29"/>
      <c r="F19" s="30">
        <f>F15+F16+F17</f>
        <v>3021037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4" t="s">
        <v>95</v>
      </c>
      <c r="C21" s="35" t="s">
        <v>92</v>
      </c>
      <c r="D21" s="22">
        <v>1</v>
      </c>
      <c r="E21" s="22" t="s">
        <v>55</v>
      </c>
      <c r="F21" s="34">
        <f>(F15+F16)*3.11%</f>
        <v>5319.2506999999996</v>
      </c>
      <c r="G21" s="27" t="s">
        <v>23</v>
      </c>
      <c r="H21" s="4"/>
      <c r="I21" s="4"/>
    </row>
    <row r="22" spans="1:9" ht="33" customHeight="1">
      <c r="A22" s="21"/>
      <c r="B22" s="104" t="s">
        <v>90</v>
      </c>
      <c r="C22" s="32" t="s">
        <v>91</v>
      </c>
      <c r="D22" s="22">
        <v>1</v>
      </c>
      <c r="E22" s="22" t="s">
        <v>55</v>
      </c>
      <c r="F22" s="34">
        <f>F16*3.56%</f>
        <v>6088.9171999999999</v>
      </c>
      <c r="G22" s="27" t="s">
        <v>23</v>
      </c>
      <c r="H22" s="4"/>
      <c r="I22" s="4"/>
    </row>
    <row r="23" spans="1:9" ht="33" customHeight="1">
      <c r="A23" s="21"/>
      <c r="B23" s="104" t="s">
        <v>88</v>
      </c>
      <c r="C23" s="32" t="s">
        <v>89</v>
      </c>
      <c r="D23" s="22">
        <v>1</v>
      </c>
      <c r="E23" s="22" t="s">
        <v>55</v>
      </c>
      <c r="F23" s="34">
        <f>F16*1.01%</f>
        <v>1727.4737</v>
      </c>
      <c r="G23" s="27" t="s">
        <v>23</v>
      </c>
      <c r="H23" s="4"/>
      <c r="I23" s="4"/>
    </row>
    <row r="24" spans="1:9" ht="33" customHeight="1">
      <c r="A24" s="21"/>
      <c r="B24" s="105" t="s">
        <v>96</v>
      </c>
      <c r="C24" s="32" t="s">
        <v>87</v>
      </c>
      <c r="D24" s="106">
        <v>1</v>
      </c>
      <c r="E24" s="106" t="s">
        <v>55</v>
      </c>
      <c r="F24" s="107">
        <f>F16*3.595%</f>
        <v>6148.7801500000005</v>
      </c>
      <c r="G24" s="108" t="s">
        <v>23</v>
      </c>
      <c r="H24" s="4"/>
      <c r="I24" s="4"/>
    </row>
    <row r="25" spans="1:9" ht="33" customHeight="1">
      <c r="A25" s="21"/>
      <c r="B25" s="104" t="s">
        <v>97</v>
      </c>
      <c r="C25" s="32" t="s">
        <v>86</v>
      </c>
      <c r="D25" s="22">
        <v>1</v>
      </c>
      <c r="E25" s="22" t="s">
        <v>55</v>
      </c>
      <c r="F25" s="34">
        <f>F16*4.75%</f>
        <v>8124.2574999999997</v>
      </c>
      <c r="G25" s="27" t="s">
        <v>23</v>
      </c>
      <c r="H25" s="4"/>
      <c r="I25" s="4"/>
    </row>
    <row r="26" spans="1:9" ht="33" customHeight="1">
      <c r="A26" s="21"/>
      <c r="B26" s="104" t="s">
        <v>98</v>
      </c>
      <c r="C26" s="32" t="s">
        <v>99</v>
      </c>
      <c r="D26" s="22">
        <v>1</v>
      </c>
      <c r="E26" s="22" t="s">
        <v>55</v>
      </c>
      <c r="F26" s="34">
        <f>F24*13.34%</f>
        <v>820.24727200999996</v>
      </c>
      <c r="G26" s="27" t="s">
        <v>23</v>
      </c>
      <c r="H26" s="4"/>
      <c r="I26" s="4"/>
    </row>
    <row r="27" spans="1:9" ht="33" customHeight="1">
      <c r="A27" s="21"/>
      <c r="B27" s="104" t="s">
        <v>28</v>
      </c>
      <c r="C27" s="35" t="s">
        <v>93</v>
      </c>
      <c r="D27" s="22">
        <v>1</v>
      </c>
      <c r="E27" s="22" t="s">
        <v>55</v>
      </c>
      <c r="F27" s="34">
        <f>SUM(F16+F25+F24+F26+F23+F22+F21)*5%</f>
        <v>9963.2963261005007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38192.222848110505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3059229.2228481104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3059000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1:G1"/>
    <mergeCell ref="A10:C10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FFFF00"/>
  </sheetPr>
  <dimension ref="A1:U9"/>
  <sheetViews>
    <sheetView showGridLines="0" view="pageBreakPreview" zoomScaleNormal="85" zoomScaleSheetLayoutView="100" workbookViewId="0">
      <selection activeCell="F6" sqref="F6"/>
    </sheetView>
  </sheetViews>
  <sheetFormatPr defaultColWidth="9" defaultRowHeight="13.5"/>
  <cols>
    <col min="1" max="1" width="9.375" style="75" customWidth="1"/>
    <col min="2" max="2" width="14" style="75" hidden="1" customWidth="1"/>
    <col min="3" max="3" width="19.25" style="75" hidden="1" customWidth="1"/>
    <col min="4" max="4" width="17.375" style="75" hidden="1" customWidth="1"/>
    <col min="5" max="5" width="16.75" style="75" hidden="1" customWidth="1"/>
    <col min="6" max="6" width="39" style="75" customWidth="1"/>
    <col min="7" max="7" width="27.875" style="75" customWidth="1"/>
    <col min="8" max="8" width="5" style="75" bestFit="1" customWidth="1"/>
    <col min="9" max="9" width="7.125" style="75" bestFit="1" customWidth="1"/>
    <col min="10" max="10" width="10.25" style="75" bestFit="1" customWidth="1"/>
    <col min="11" max="11" width="15.625" style="75" customWidth="1"/>
    <col min="12" max="12" width="8.5" style="75" bestFit="1" customWidth="1"/>
    <col min="13" max="13" width="15.625" style="75" customWidth="1"/>
    <col min="14" max="15" width="15.625" style="75" hidden="1" customWidth="1"/>
    <col min="16" max="16" width="10" style="75" bestFit="1" customWidth="1"/>
    <col min="17" max="17" width="15.125" style="75" bestFit="1" customWidth="1"/>
    <col min="18" max="18" width="15.625" style="75" customWidth="1"/>
    <col min="19" max="19" width="11.75" style="76" bestFit="1" customWidth="1"/>
    <col min="20" max="20" width="11.75" style="75" customWidth="1"/>
    <col min="21" max="16384" width="9" style="75"/>
  </cols>
  <sheetData>
    <row r="1" spans="1:21" ht="20.100000000000001" customHeight="1">
      <c r="A1" s="86" t="str">
        <f>B1&amp;C1&amp;D1&amp;E1</f>
        <v/>
      </c>
      <c r="J1" s="76"/>
      <c r="K1" s="87" t="s">
        <v>63</v>
      </c>
      <c r="M1" s="87" t="s">
        <v>63</v>
      </c>
      <c r="O1" s="87" t="s">
        <v>63</v>
      </c>
      <c r="Q1" s="87" t="s">
        <v>63</v>
      </c>
    </row>
    <row r="2" spans="1:21" ht="20.100000000000001" customHeight="1" thickBot="1">
      <c r="A2" s="136"/>
      <c r="B2" s="136"/>
      <c r="C2" s="136"/>
      <c r="D2" s="136"/>
      <c r="E2" s="136"/>
      <c r="J2" s="88"/>
      <c r="K2" s="89">
        <v>0.9</v>
      </c>
      <c r="M2" s="89">
        <v>0.88</v>
      </c>
      <c r="O2" s="89">
        <v>1</v>
      </c>
      <c r="Q2" s="89">
        <v>1</v>
      </c>
    </row>
    <row r="3" spans="1:21" ht="22.5" customHeight="1">
      <c r="A3" s="90"/>
      <c r="B3" s="103" t="s">
        <v>64</v>
      </c>
      <c r="C3" s="91"/>
      <c r="D3" s="91"/>
      <c r="E3" s="91"/>
      <c r="F3" s="133" t="s">
        <v>65</v>
      </c>
      <c r="G3" s="133"/>
      <c r="H3" s="133" t="s">
        <v>41</v>
      </c>
      <c r="I3" s="133" t="s">
        <v>5</v>
      </c>
      <c r="J3" s="132" t="s">
        <v>66</v>
      </c>
      <c r="K3" s="132"/>
      <c r="L3" s="132" t="s">
        <v>67</v>
      </c>
      <c r="M3" s="132"/>
      <c r="N3" s="139" t="s">
        <v>68</v>
      </c>
      <c r="O3" s="139"/>
      <c r="P3" s="139" t="s">
        <v>69</v>
      </c>
      <c r="Q3" s="139"/>
      <c r="R3" s="140" t="s">
        <v>70</v>
      </c>
      <c r="S3" s="137" t="s">
        <v>71</v>
      </c>
      <c r="T3" s="134" t="s">
        <v>36</v>
      </c>
    </row>
    <row r="4" spans="1:21" ht="22.5" customHeight="1">
      <c r="A4" s="114" t="s">
        <v>72</v>
      </c>
      <c r="B4" s="85" t="s">
        <v>73</v>
      </c>
      <c r="C4" s="85" t="s">
        <v>74</v>
      </c>
      <c r="D4" s="85" t="s">
        <v>75</v>
      </c>
      <c r="E4" s="85" t="s">
        <v>76</v>
      </c>
      <c r="F4" s="92" t="s">
        <v>77</v>
      </c>
      <c r="G4" s="92" t="s">
        <v>78</v>
      </c>
      <c r="H4" s="142"/>
      <c r="I4" s="142"/>
      <c r="J4" s="93" t="s">
        <v>79</v>
      </c>
      <c r="K4" s="94" t="s">
        <v>80</v>
      </c>
      <c r="L4" s="93" t="s">
        <v>81</v>
      </c>
      <c r="M4" s="94" t="s">
        <v>80</v>
      </c>
      <c r="N4" s="94" t="s">
        <v>82</v>
      </c>
      <c r="O4" s="94" t="s">
        <v>80</v>
      </c>
      <c r="P4" s="94" t="s">
        <v>82</v>
      </c>
      <c r="Q4" s="94" t="s">
        <v>80</v>
      </c>
      <c r="R4" s="141"/>
      <c r="S4" s="138"/>
      <c r="T4" s="135"/>
    </row>
    <row r="5" spans="1:21" ht="22.5" customHeight="1">
      <c r="A5" s="114" t="str">
        <f t="shared" ref="A5" si="0">B5&amp;C5&amp;D5&amp;E5</f>
        <v/>
      </c>
      <c r="B5" s="77"/>
      <c r="C5" s="77"/>
      <c r="D5" s="77"/>
      <c r="E5" s="77"/>
      <c r="F5" s="102" t="s">
        <v>111</v>
      </c>
      <c r="G5" s="78"/>
      <c r="H5" s="79"/>
      <c r="I5" s="80"/>
      <c r="J5" s="74"/>
      <c r="K5" s="81"/>
      <c r="L5" s="74"/>
      <c r="M5" s="81"/>
      <c r="N5" s="74"/>
      <c r="O5" s="81"/>
      <c r="P5" s="74"/>
      <c r="Q5" s="81"/>
      <c r="R5" s="82"/>
      <c r="S5" s="83"/>
      <c r="T5" s="84"/>
    </row>
    <row r="6" spans="1:21" s="118" customFormat="1" ht="22.5" customHeight="1">
      <c r="A6" s="114" t="str">
        <f t="shared" ref="A6" si="1">B6&amp;C6&amp;D6&amp;E6</f>
        <v>999990</v>
      </c>
      <c r="B6" s="96" t="s">
        <v>104</v>
      </c>
      <c r="C6" s="96"/>
      <c r="D6" s="101"/>
      <c r="E6" s="96"/>
      <c r="F6" s="97" t="s">
        <v>108</v>
      </c>
      <c r="G6" s="98" t="s">
        <v>105</v>
      </c>
      <c r="H6" s="115" t="s">
        <v>103</v>
      </c>
      <c r="I6" s="109">
        <v>1</v>
      </c>
      <c r="J6" s="74"/>
      <c r="K6" s="95">
        <f t="shared" ref="K6" si="2">ROUND(J6*K$2*I6,0)</f>
        <v>0</v>
      </c>
      <c r="L6" s="74"/>
      <c r="M6" s="95">
        <f t="shared" ref="M6" si="3">ROUND(L6*M$2*I6*S6,0)</f>
        <v>0</v>
      </c>
      <c r="N6" s="74"/>
      <c r="O6" s="95">
        <f t="shared" ref="O6" si="4">ROUND(N6*O$2*I6,0)</f>
        <v>0</v>
      </c>
      <c r="P6" s="74">
        <v>2850000</v>
      </c>
      <c r="Q6" s="95">
        <f t="shared" ref="Q6" si="5">ROUND(P6*Q$2*I6,0)</f>
        <v>2850000</v>
      </c>
      <c r="R6" s="74">
        <f t="shared" ref="R6" si="6">SUM(K6,M6,O6,Q6)</f>
        <v>2850000</v>
      </c>
      <c r="S6" s="99">
        <v>1</v>
      </c>
      <c r="T6" s="100"/>
      <c r="U6" s="117"/>
    </row>
    <row r="7" spans="1:21" s="118" customFormat="1" ht="22.5" customHeight="1" thickBot="1">
      <c r="A7" s="114" t="str">
        <f>B7&amp;C7&amp;D7&amp;E7</f>
        <v>L002</v>
      </c>
      <c r="B7" s="120"/>
      <c r="C7" s="120"/>
      <c r="D7" s="120"/>
      <c r="E7" s="120" t="s">
        <v>100</v>
      </c>
      <c r="F7" s="98" t="s">
        <v>101</v>
      </c>
      <c r="G7" s="98" t="s">
        <v>109</v>
      </c>
      <c r="H7" s="115" t="s">
        <v>102</v>
      </c>
      <c r="I7" s="119">
        <v>1</v>
      </c>
      <c r="J7" s="121"/>
      <c r="K7" s="95">
        <f>ROUND(J7*K$2*I7,0)</f>
        <v>0</v>
      </c>
      <c r="L7" s="116">
        <v>171037</v>
      </c>
      <c r="M7" s="95">
        <f>ROUND(L7*I7*S7,0)</f>
        <v>171037</v>
      </c>
      <c r="N7" s="74"/>
      <c r="O7" s="95">
        <f>ROUND(N7*O$2*I7,0)</f>
        <v>0</v>
      </c>
      <c r="P7" s="74"/>
      <c r="Q7" s="95">
        <f>ROUND(P7*Q$2*I7,0)</f>
        <v>0</v>
      </c>
      <c r="R7" s="116">
        <f>SUM(K7,M7,O7,Q7)</f>
        <v>171037</v>
      </c>
      <c r="S7" s="99">
        <v>1</v>
      </c>
      <c r="T7" s="126"/>
      <c r="U7" s="117"/>
    </row>
    <row r="8" spans="1:21" s="113" customFormat="1" ht="22.5" customHeight="1" thickBot="1">
      <c r="A8" s="130" t="s">
        <v>83</v>
      </c>
      <c r="B8" s="130"/>
      <c r="C8" s="130"/>
      <c r="D8" s="130"/>
      <c r="E8" s="130"/>
      <c r="F8" s="130"/>
      <c r="G8" s="130"/>
      <c r="H8" s="130"/>
      <c r="I8" s="131"/>
      <c r="J8" s="110"/>
      <c r="K8" s="110">
        <f>SUM(K6:K7)</f>
        <v>0</v>
      </c>
      <c r="L8" s="110"/>
      <c r="M8" s="124">
        <f>SUM(M6:M7)</f>
        <v>171037</v>
      </c>
      <c r="N8" s="110"/>
      <c r="O8" s="110">
        <f>SUM(O6:O7)</f>
        <v>0</v>
      </c>
      <c r="P8" s="110"/>
      <c r="Q8" s="124">
        <f>SUM(Q6:Q7)</f>
        <v>2850000</v>
      </c>
      <c r="R8" s="125">
        <f>SUM(R6:R7)</f>
        <v>3021037</v>
      </c>
      <c r="S8" s="111"/>
      <c r="T8" s="112"/>
    </row>
    <row r="9" spans="1:21" ht="20.100000000000001" customHeight="1">
      <c r="A9" s="86" t="str">
        <f>B9&amp;C9&amp;D9&amp;E9</f>
        <v/>
      </c>
    </row>
  </sheetData>
  <mergeCells count="12">
    <mergeCell ref="A8:I8"/>
    <mergeCell ref="J3:K3"/>
    <mergeCell ref="F3:G3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8" type="noConversion"/>
  <pageMargins left="0.7" right="0.7" top="0.75" bottom="0.75" header="0.3" footer="0.3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3"/>
  <sheetViews>
    <sheetView showGridLines="0" zoomScaleNormal="100" workbookViewId="0">
      <selection activeCell="C11" sqref="C11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>
      <c r="A2" s="53" t="str">
        <f>'내역서(표준단가)'!A6</f>
        <v>999990</v>
      </c>
      <c r="B2" s="54" t="str">
        <f>'내역서(표준단가)'!B6</f>
        <v>999990</v>
      </c>
      <c r="C2" s="54">
        <f>'내역서(표준단가)'!C6</f>
        <v>0</v>
      </c>
      <c r="D2" s="54">
        <f>'내역서(표준단가)'!D6</f>
        <v>0</v>
      </c>
      <c r="E2" s="54">
        <f>'내역서(표준단가)'!E6</f>
        <v>0</v>
      </c>
      <c r="F2" s="54">
        <f>'내역서(표준단가)'!I6</f>
        <v>1</v>
      </c>
    </row>
    <row r="3" spans="1:8">
      <c r="A3" s="53" t="str">
        <f>'내역서(표준단가)'!A7</f>
        <v>L002</v>
      </c>
      <c r="B3" s="54">
        <f>'내역서(표준단가)'!B7</f>
        <v>0</v>
      </c>
      <c r="C3" s="54">
        <f>'내역서(표준단가)'!C7</f>
        <v>0</v>
      </c>
      <c r="D3" s="54">
        <f>'내역서(표준단가)'!D7</f>
        <v>0</v>
      </c>
      <c r="E3" s="54" t="str">
        <f>'내역서(표준단가)'!E7</f>
        <v>L002</v>
      </c>
      <c r="F3" s="54">
        <f>'내역서(표준단가)'!I7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topLeftCell="A15" workbookViewId="0">
      <selection activeCell="E19" sqref="E19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37</v>
      </c>
      <c r="B1" s="64" t="s">
        <v>38</v>
      </c>
      <c r="C1" s="64" t="s">
        <v>39</v>
      </c>
      <c r="D1" s="64" t="s">
        <v>40</v>
      </c>
      <c r="E1" s="64" t="s">
        <v>41</v>
      </c>
      <c r="F1" s="64" t="s">
        <v>5</v>
      </c>
      <c r="G1" s="64" t="s">
        <v>42</v>
      </c>
      <c r="H1" s="64" t="s">
        <v>43</v>
      </c>
      <c r="I1" s="64" t="s">
        <v>44</v>
      </c>
      <c r="J1" s="64" t="s">
        <v>45</v>
      </c>
      <c r="K1" s="64" t="s">
        <v>46</v>
      </c>
      <c r="L1" s="64" t="s">
        <v>47</v>
      </c>
      <c r="M1" s="64" t="s">
        <v>48</v>
      </c>
      <c r="N1" s="64" t="s">
        <v>49</v>
      </c>
      <c r="O1" s="64" t="s">
        <v>50</v>
      </c>
      <c r="P1" s="64" t="s">
        <v>51</v>
      </c>
      <c r="Q1" s="64" t="s">
        <v>52</v>
      </c>
      <c r="R1" s="64" t="s">
        <v>53</v>
      </c>
    </row>
    <row r="2" spans="1:18">
      <c r="B2" s="122" t="s">
        <v>107</v>
      </c>
      <c r="E2" s="122" t="s">
        <v>106</v>
      </c>
    </row>
    <row r="7" spans="1:18">
      <c r="N7" s="123"/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2026-09-11T01:33:33Z</cp:lastPrinted>
  <dcterms:created xsi:type="dcterms:W3CDTF">2020-09-15T23:52:51Z</dcterms:created>
  <dcterms:modified xsi:type="dcterms:W3CDTF">2026-09-11T06:37:50Z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
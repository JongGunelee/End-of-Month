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0\06 작업폴더\04 사택 7동 놀이터 파손 미끄럼틀 교체\01 자료\"/>
    </mc:Choice>
  </mc:AlternateContent>
  <xr:revisionPtr revIDLastSave="0" documentId="13_ncr:1_{FC0D4917-8078-4081-A6EB-484DBEC2D6E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<sst xmlns="http://schemas.openxmlformats.org/spreadsheetml/2006/main" count="143" uniqueCount="122">
  <si>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</si>
  <si>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</si>
  <si>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</si>
  <si>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</si>
  <si>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</si>
  <si>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</si>
  <si>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</si>
  <si>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</si>
  <si>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</si>
  <si>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</si>
  <si>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</si>
  <si>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</si>
  <si>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</si>
  <si>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</si>
  <si>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</si>
  <si>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</si>
  <si>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</si>
  <si>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</si>
  <si>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</si>
  <si>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</si>
  <si>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</si>
  <si>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</si>
  <si>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</si>
  <si>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</si>
  <si>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</si>
  <si>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</si>
  <si>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</si>
  <si>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</si>
  <si>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</si>
  <si>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</si>
  <si>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</si>
  <si>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</si>
  <si>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</si>
  <si>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</si>
  <si>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</si>
  <si>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</si>
  <si>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</si>
  <si>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</si>
  <si>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</si>
  <si>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</si>
  <si>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</si>
  <si>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</si>
  <si>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</si>
  <si>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</si>
  <si>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</si>
  <si>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</si>
  <si>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</si>
  <si>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</si>
  <si>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</si>
  <si>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</si>
  <si>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</si>
  <si>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특별인부</t>
    <phoneticPr fontId="7" type="noConversion"/>
  </si>
  <si>
    <t>인</t>
    <phoneticPr fontId="7" type="noConversion"/>
  </si>
  <si>
    <t>현장정리 및 폐기물 처리</t>
    <phoneticPr fontId="7" type="noConversion"/>
  </si>
  <si>
    <t>원통 미끄럼 760*1100, 1개 교체</t>
    <phoneticPr fontId="7" type="noConversion"/>
  </si>
  <si>
    <t>원통 미끄럼 760*1100, 1개교체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</si>
  <si>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</si>
  <si>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</si>
  <si>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</si>
  <si>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</si>
  <si>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</si>
  <si>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</si>
  <si>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</si>
  <si>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</si>
  <si>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</si>
  <si>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</si>
  <si>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</si>
  <si>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</si>
  <si>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</si>
  <si>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</si>
  <si>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</si>
  <si>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</si>
  <si>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</si>
  <si>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</si>
  <si>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</si>
  <si>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</si>
  <si>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</si>
  <si>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</si>
  <si>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</si>
  <si>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</si>
  <si>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</si>
  <si>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</si>
  <si>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</si>
  <si>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</si>
  <si>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</si>
  <si>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</si>
  <si>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</si>
  <si>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</si>
  <si>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</si>
  <si>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</si>
  <si>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</si>
  <si>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</si>
  <si>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</si>
  <si>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</si>
  <si>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</si>
  <si>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</si>
  <si>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</si>
  <si>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</si>
  <si>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</si>
  <si>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</si>
  <si>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</si>
  <si>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</si>
  <si>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</si>
  <si>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</si>
  <si>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</si>
  <si>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</si>
  <si>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</si>
  <si>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</si>
  <si>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</si>
  <si>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</si>
  <si>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</si>
  <si>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</si>
  <si>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</si>
  <si>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</si>
  <si>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</si>
  <si>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</si>
  <si>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</si>
  <si>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</si>
  <si>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</si>
  <si>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</si>
  <si>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7동 놀이터 파손 미끄럼틀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</si>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</sst>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A196F575-EA0D-437A-B2FF-3B58F662D2AF}"/>
    <cellStyle name="쉼표 [0] 2 84" xfId="25" xr:uid="{86D11431-F598-442C-9F73-E452FAE2C95D}"/>
    <cellStyle name="쉼표 [0] 3" xfId="14" xr:uid="{8F7BE219-40E1-4BBB-A9BD-02188B74B2A3}"/>
    <cellStyle name="쉼표 [0] 4" xfId="22" xr:uid="{5106E8F4-1E3F-4F7C-873C-1852846503B3}"/>
    <cellStyle name="쉼표 [0] 5" xfId="24" xr:uid="{0959AF97-25B5-49A5-AECD-B443B6526F7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EEB978FF-0CA6-478A-956D-95F5CCA50BA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136898A6-FDD5-4813-9688-8E396EEDC153}"/>
    <cellStyle name="표준_P456 공장 및 복지동 전면 유리창 청소건 라상혁님_1129(최종)" xfId="21" xr:uid="{58F22B2E-53D1-455D-8072-9A05412EE8B5}"/>
    <cellStyle name="표준_S&amp;D_MAIN VALVE_최빈_2" xfId="18" xr:uid="{256A9707-56F0-4111-ACC2-4253365E2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78DC8B-B818-4052-B94A-C1D935E23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미끄럼틀 원형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212481</xdr:colOff>
      <xdr:row>6</xdr:row>
      <xdr:rowOff>36636</xdr:rowOff>
    </xdr:from>
    <xdr:to>
      <xdr:col>3</xdr:col>
      <xdr:colOff>619847</xdr:colOff>
      <xdr:row>35</xdr:row>
      <xdr:rowOff>36636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3984D35-FD67-4E51-99B8-152455B6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81" y="1047751"/>
          <a:ext cx="3763097" cy="4887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E102-0222-4781-9D54-5CEEC3194F2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 x14ac:dyDescent="0.3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 x14ac:dyDescent="0.3">
      <c r="A3" s="209" t="s">
        <v>56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 x14ac:dyDescent="0.3">
      <c r="A4" s="59" t="s">
        <v>57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 x14ac:dyDescent="0.3">
      <c r="A5" s="64"/>
      <c r="B5" s="120" t="s">
        <v>121</v>
      </c>
      <c r="C5" s="120"/>
      <c r="D5" s="120"/>
      <c r="E5" s="120"/>
      <c r="F5" s="120"/>
      <c r="G5" s="121"/>
      <c r="H5" s="121"/>
      <c r="I5" s="65"/>
      <c r="J5" s="65"/>
      <c r="K5" s="65"/>
      <c r="L5" s="65"/>
      <c r="M5" s="66"/>
      <c r="N5" s="66"/>
      <c r="O5" s="67"/>
    </row>
    <row r="6" spans="1:15" ht="12" customHeight="1" thickBot="1" x14ac:dyDescent="0.35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 x14ac:dyDescent="0.3">
      <c r="A7" s="212" t="s">
        <v>58</v>
      </c>
      <c r="B7" s="213"/>
      <c r="C7" s="214"/>
      <c r="D7" s="122">
        <v>2025</v>
      </c>
      <c r="E7" s="72" t="s">
        <v>59</v>
      </c>
      <c r="F7" s="123">
        <v>8</v>
      </c>
      <c r="G7" s="72" t="s">
        <v>60</v>
      </c>
      <c r="H7" s="123">
        <v>20</v>
      </c>
      <c r="I7" s="72" t="s">
        <v>61</v>
      </c>
      <c r="J7" s="73"/>
      <c r="K7" s="215" t="s">
        <v>62</v>
      </c>
      <c r="L7" s="74" t="s">
        <v>63</v>
      </c>
      <c r="M7" s="74" t="s">
        <v>64</v>
      </c>
      <c r="N7" s="74" t="s">
        <v>65</v>
      </c>
      <c r="O7" s="75" t="s">
        <v>66</v>
      </c>
    </row>
    <row r="8" spans="1:15" ht="23.25" customHeight="1" x14ac:dyDescent="0.3">
      <c r="A8" s="218" t="s">
        <v>67</v>
      </c>
      <c r="B8" s="219"/>
      <c r="C8" s="220"/>
      <c r="D8" s="221" t="s">
        <v>68</v>
      </c>
      <c r="E8" s="222"/>
      <c r="F8" s="222"/>
      <c r="G8" s="223"/>
      <c r="H8" s="224" t="s">
        <v>69</v>
      </c>
      <c r="I8" s="222"/>
      <c r="J8" s="225"/>
      <c r="K8" s="216"/>
      <c r="L8" s="76" t="s">
        <v>70</v>
      </c>
      <c r="M8" s="76" t="s">
        <v>71</v>
      </c>
      <c r="N8" s="76" t="s">
        <v>72</v>
      </c>
      <c r="O8" s="77" t="s">
        <v>73</v>
      </c>
    </row>
    <row r="9" spans="1:15" ht="23.25" customHeight="1" x14ac:dyDescent="0.3">
      <c r="A9" s="218" t="s">
        <v>74</v>
      </c>
      <c r="B9" s="219"/>
      <c r="C9" s="220"/>
      <c r="D9" s="226" t="s">
        <v>75</v>
      </c>
      <c r="E9" s="227"/>
      <c r="F9" s="227"/>
      <c r="G9" s="227"/>
      <c r="H9" s="227"/>
      <c r="I9" s="227"/>
      <c r="J9" s="228"/>
      <c r="K9" s="216"/>
      <c r="L9" s="76" t="s">
        <v>76</v>
      </c>
      <c r="M9" s="229" t="s">
        <v>77</v>
      </c>
      <c r="N9" s="219"/>
      <c r="O9" s="220"/>
    </row>
    <row r="10" spans="1:15" ht="23.25" customHeight="1" thickBot="1" x14ac:dyDescent="0.35">
      <c r="A10" s="230" t="s">
        <v>78</v>
      </c>
      <c r="B10" s="231"/>
      <c r="C10" s="232"/>
      <c r="D10" s="233" t="s">
        <v>79</v>
      </c>
      <c r="E10" s="234"/>
      <c r="F10" s="234"/>
      <c r="G10" s="234"/>
      <c r="H10" s="234"/>
      <c r="I10" s="234"/>
      <c r="J10" s="235"/>
      <c r="K10" s="217"/>
      <c r="L10" s="78" t="s">
        <v>80</v>
      </c>
      <c r="M10" s="78" t="s">
        <v>81</v>
      </c>
      <c r="N10" s="78" t="s">
        <v>82</v>
      </c>
      <c r="O10" s="79" t="s">
        <v>83</v>
      </c>
    </row>
    <row r="11" spans="1:15" ht="21.75" customHeight="1" x14ac:dyDescent="0.3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 x14ac:dyDescent="0.3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 x14ac:dyDescent="0.3">
      <c r="A13" s="86"/>
      <c r="B13" s="205" t="s">
        <v>120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7" t="s">
        <v>84</v>
      </c>
      <c r="O13" s="85"/>
    </row>
    <row r="14" spans="1:15" ht="9" customHeight="1" x14ac:dyDescent="0.3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 x14ac:dyDescent="0.3">
      <c r="A15" s="86"/>
      <c r="B15" s="188" t="str">
        <f>"견 적 금 액 : 一金"&amp;NUMBERSTRING(M32,1) &amp; "원정""(\"&amp; TEXT(M32,"#,###")&amp;"원) [VAT 별도]"</f>
        <v>견 적 금 액 : 一金구십팔만육천팔백오십원정"(\986,850원)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 x14ac:dyDescent="0.35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90"/>
      <c r="L16" s="190"/>
      <c r="M16" s="190"/>
      <c r="N16" s="190"/>
      <c r="O16" s="191"/>
    </row>
    <row r="17" spans="1:17" ht="27.75" customHeight="1" thickBot="1" x14ac:dyDescent="0.35">
      <c r="A17" s="88" t="s">
        <v>85</v>
      </c>
      <c r="B17" s="198" t="s">
        <v>86</v>
      </c>
      <c r="C17" s="199"/>
      <c r="D17" s="199"/>
      <c r="E17" s="199"/>
      <c r="F17" s="199"/>
      <c r="G17" s="200"/>
      <c r="H17" s="89" t="s">
        <v>87</v>
      </c>
      <c r="I17" s="90" t="s">
        <v>88</v>
      </c>
      <c r="J17" s="201" t="s">
        <v>89</v>
      </c>
      <c r="K17" s="202"/>
      <c r="L17" s="202"/>
      <c r="M17" s="203"/>
      <c r="N17" s="198" t="s">
        <v>90</v>
      </c>
      <c r="O17" s="204"/>
    </row>
    <row r="18" spans="1:17" ht="28.5" customHeight="1" x14ac:dyDescent="0.3">
      <c r="A18" s="91">
        <v>1</v>
      </c>
      <c r="B18" s="192" t="s">
        <v>33</v>
      </c>
      <c r="C18" s="193"/>
      <c r="D18" s="193"/>
      <c r="E18" s="193"/>
      <c r="F18" s="193"/>
      <c r="G18" s="194"/>
      <c r="H18" s="124">
        <v>1</v>
      </c>
      <c r="I18" s="125" t="s">
        <v>6</v>
      </c>
      <c r="J18" s="195">
        <f>IFERROR(LOOKUP(2, 1/(TRIM('내역서(표준단가)'!O4:O100)&lt;&gt;""), '내역서(표준단가)'!O4:O100), "-")</f>
        <v>760000</v>
      </c>
      <c r="K18" s="195"/>
      <c r="L18" s="195"/>
      <c r="M18" s="195"/>
      <c r="N18" s="196"/>
      <c r="O18" s="197"/>
    </row>
    <row r="19" spans="1:17" ht="28.5" customHeight="1" x14ac:dyDescent="0.3">
      <c r="A19" s="92">
        <v>2</v>
      </c>
      <c r="B19" s="172" t="s">
        <v>34</v>
      </c>
      <c r="C19" s="173"/>
      <c r="D19" s="173"/>
      <c r="E19" s="173"/>
      <c r="F19" s="173"/>
      <c r="G19" s="174"/>
      <c r="H19" s="126">
        <v>1</v>
      </c>
      <c r="I19" s="126" t="s">
        <v>6</v>
      </c>
      <c r="J19" s="175">
        <f>IFERROR(LOOKUP(2, 1/(TRIM('내역서(표준단가)'!Q4:Q100)&lt;&gt;""), '내역서(표준단가)'!Q4:Q100), "-")</f>
        <v>109660.5</v>
      </c>
      <c r="K19" s="176"/>
      <c r="L19" s="176"/>
      <c r="M19" s="177"/>
      <c r="N19" s="178"/>
      <c r="O19" s="179"/>
    </row>
    <row r="20" spans="1:17" ht="28.5" customHeight="1" x14ac:dyDescent="0.3">
      <c r="A20" s="92">
        <v>3</v>
      </c>
      <c r="B20" s="180" t="s">
        <v>91</v>
      </c>
      <c r="C20" s="181"/>
      <c r="D20" s="181"/>
      <c r="E20" s="181"/>
      <c r="F20" s="181"/>
      <c r="G20" s="182"/>
      <c r="H20" s="93">
        <v>1</v>
      </c>
      <c r="I20" s="93" t="s">
        <v>6</v>
      </c>
      <c r="J20" s="183">
        <f>IFERROR(SUM(J21:M29),"-")</f>
        <v>41383.540306887495</v>
      </c>
      <c r="K20" s="184"/>
      <c r="L20" s="184"/>
      <c r="M20" s="185"/>
      <c r="N20" s="186"/>
      <c r="O20" s="187"/>
      <c r="P20" s="94"/>
    </row>
    <row r="21" spans="1:17" ht="28.5" customHeight="1" x14ac:dyDescent="0.3">
      <c r="A21" s="91"/>
      <c r="B21" s="95"/>
      <c r="C21" s="164" t="s">
        <v>92</v>
      </c>
      <c r="D21" s="165"/>
      <c r="E21" s="165"/>
      <c r="F21" s="165"/>
      <c r="G21" s="166"/>
      <c r="H21" s="127">
        <v>1</v>
      </c>
      <c r="I21" s="127" t="s">
        <v>6</v>
      </c>
      <c r="J21" s="16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8"/>
      <c r="L21" s="168"/>
      <c r="M21" s="169"/>
      <c r="N21" s="170" t="s">
        <v>93</v>
      </c>
      <c r="O21" s="171"/>
    </row>
    <row r="22" spans="1:17" ht="28.5" customHeight="1" x14ac:dyDescent="0.3">
      <c r="A22" s="91"/>
      <c r="B22" s="95"/>
      <c r="C22" s="158" t="s">
        <v>94</v>
      </c>
      <c r="D22" s="159"/>
      <c r="E22" s="159"/>
      <c r="F22" s="159"/>
      <c r="G22" s="160"/>
      <c r="H22" s="96">
        <v>3.11</v>
      </c>
      <c r="I22" s="96" t="s">
        <v>95</v>
      </c>
      <c r="J22" s="161">
        <f>IFERROR((J18+J19)*H22%,"-")</f>
        <v>27046.44155</v>
      </c>
      <c r="K22" s="162"/>
      <c r="L22" s="162"/>
      <c r="M22" s="163"/>
      <c r="N22" s="154" t="s">
        <v>96</v>
      </c>
      <c r="O22" s="155"/>
    </row>
    <row r="23" spans="1:17" ht="28.5" customHeight="1" x14ac:dyDescent="0.3">
      <c r="A23" s="91"/>
      <c r="B23" s="95"/>
      <c r="C23" s="158" t="s">
        <v>97</v>
      </c>
      <c r="D23" s="159"/>
      <c r="E23" s="159"/>
      <c r="F23" s="159"/>
      <c r="G23" s="160"/>
      <c r="H23" s="96">
        <v>3.56</v>
      </c>
      <c r="I23" s="96" t="s">
        <v>98</v>
      </c>
      <c r="J23" s="161">
        <f>IFERROR(J19*H23%,"-")</f>
        <v>3903.9137999999998</v>
      </c>
      <c r="K23" s="162"/>
      <c r="L23" s="162"/>
      <c r="M23" s="163"/>
      <c r="N23" s="154" t="s">
        <v>99</v>
      </c>
      <c r="O23" s="155"/>
    </row>
    <row r="24" spans="1:17" ht="28.5" customHeight="1" x14ac:dyDescent="0.3">
      <c r="A24" s="91"/>
      <c r="B24" s="95"/>
      <c r="C24" s="158" t="s">
        <v>100</v>
      </c>
      <c r="D24" s="159"/>
      <c r="E24" s="159"/>
      <c r="F24" s="159"/>
      <c r="G24" s="160"/>
      <c r="H24" s="96">
        <v>1.01</v>
      </c>
      <c r="I24" s="96" t="s">
        <v>98</v>
      </c>
      <c r="J24" s="161">
        <f>IFERROR(J19*H24%,"-")</f>
        <v>1107.57105</v>
      </c>
      <c r="K24" s="162"/>
      <c r="L24" s="162"/>
      <c r="M24" s="163"/>
      <c r="N24" s="154" t="s">
        <v>101</v>
      </c>
      <c r="O24" s="155"/>
    </row>
    <row r="25" spans="1:17" ht="28.5" customHeight="1" x14ac:dyDescent="0.3">
      <c r="A25" s="91"/>
      <c r="B25" s="95"/>
      <c r="C25" s="158" t="s">
        <v>102</v>
      </c>
      <c r="D25" s="159"/>
      <c r="E25" s="159"/>
      <c r="F25" s="159"/>
      <c r="G25" s="160"/>
      <c r="H25" s="97">
        <v>3.5449999999999999</v>
      </c>
      <c r="I25" s="96" t="s">
        <v>98</v>
      </c>
      <c r="J25" s="161">
        <f>IFERROR(J19*H25%,"-")</f>
        <v>3887.4647250000003</v>
      </c>
      <c r="K25" s="162"/>
      <c r="L25" s="162"/>
      <c r="M25" s="163"/>
      <c r="N25" s="154" t="s">
        <v>103</v>
      </c>
      <c r="O25" s="155"/>
      <c r="Q25" s="94"/>
    </row>
    <row r="26" spans="1:17" ht="28.5" customHeight="1" x14ac:dyDescent="0.3">
      <c r="A26" s="91"/>
      <c r="B26" s="95"/>
      <c r="C26" s="158" t="s">
        <v>104</v>
      </c>
      <c r="D26" s="159"/>
      <c r="E26" s="159"/>
      <c r="F26" s="159"/>
      <c r="G26" s="160"/>
      <c r="H26" s="96">
        <v>4.5</v>
      </c>
      <c r="I26" s="96" t="s">
        <v>98</v>
      </c>
      <c r="J26" s="161">
        <f>IFERROR(J19*H26%,"-")</f>
        <v>4934.7224999999999</v>
      </c>
      <c r="K26" s="162"/>
      <c r="L26" s="162"/>
      <c r="M26" s="163"/>
      <c r="N26" s="154" t="s">
        <v>105</v>
      </c>
      <c r="O26" s="155"/>
      <c r="Q26" s="98"/>
    </row>
    <row r="27" spans="1:17" ht="28.5" customHeight="1" x14ac:dyDescent="0.3">
      <c r="A27" s="91"/>
      <c r="B27" s="95"/>
      <c r="C27" s="148" t="s">
        <v>106</v>
      </c>
      <c r="D27" s="149"/>
      <c r="E27" s="149"/>
      <c r="F27" s="149"/>
      <c r="G27" s="150"/>
      <c r="H27" s="99">
        <v>12.95</v>
      </c>
      <c r="I27" s="100" t="s">
        <v>98</v>
      </c>
      <c r="J27" s="151">
        <f>IFERROR($H$27*J25%,"-")</f>
        <v>503.42668188750002</v>
      </c>
      <c r="K27" s="152"/>
      <c r="L27" s="152"/>
      <c r="M27" s="153"/>
      <c r="N27" s="154" t="s">
        <v>107</v>
      </c>
      <c r="O27" s="155"/>
    </row>
    <row r="28" spans="1:17" ht="28.5" customHeight="1" x14ac:dyDescent="0.3">
      <c r="A28" s="91"/>
      <c r="B28" s="95"/>
      <c r="C28" s="148" t="s">
        <v>108</v>
      </c>
      <c r="D28" s="149"/>
      <c r="E28" s="149"/>
      <c r="F28" s="149"/>
      <c r="G28" s="150"/>
      <c r="H28" s="99">
        <v>8.1000000000000003E-2</v>
      </c>
      <c r="I28" s="100" t="s">
        <v>98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109</v>
      </c>
      <c r="O28" s="157"/>
    </row>
    <row r="29" spans="1:17" ht="28.5" customHeight="1" x14ac:dyDescent="0.3">
      <c r="A29" s="101"/>
      <c r="B29" s="102"/>
      <c r="C29" s="128" t="s">
        <v>110</v>
      </c>
      <c r="D29" s="129"/>
      <c r="E29" s="129"/>
      <c r="F29" s="129"/>
      <c r="G29" s="130"/>
      <c r="H29" s="103">
        <v>1</v>
      </c>
      <c r="I29" s="104" t="s">
        <v>111</v>
      </c>
      <c r="J29" s="131">
        <f>34*0</f>
        <v>0</v>
      </c>
      <c r="K29" s="132"/>
      <c r="L29" s="132"/>
      <c r="M29" s="133"/>
      <c r="N29" s="134" t="s">
        <v>112</v>
      </c>
      <c r="O29" s="135"/>
    </row>
    <row r="30" spans="1:17" ht="28.5" customHeight="1" x14ac:dyDescent="0.3">
      <c r="A30" s="101">
        <v>4</v>
      </c>
      <c r="B30" s="102"/>
      <c r="C30" s="128" t="s">
        <v>113</v>
      </c>
      <c r="D30" s="129"/>
      <c r="E30" s="129"/>
      <c r="F30" s="129"/>
      <c r="G30" s="130"/>
      <c r="H30" s="104">
        <v>5</v>
      </c>
      <c r="I30" s="105" t="s">
        <v>114</v>
      </c>
      <c r="J30" s="141">
        <f>IFERROR(IF(ISNUMBER(H30), SUM(J18:M20) * (H30 / 100), "-"), "-")</f>
        <v>45552.202015344374</v>
      </c>
      <c r="K30" s="142"/>
      <c r="L30" s="142"/>
      <c r="M30" s="143"/>
      <c r="N30" s="144" t="s">
        <v>115</v>
      </c>
      <c r="O30" s="145"/>
    </row>
    <row r="31" spans="1:17" ht="28.5" customHeight="1" thickBot="1" x14ac:dyDescent="0.35">
      <c r="A31" s="101">
        <v>5</v>
      </c>
      <c r="B31" s="102"/>
      <c r="C31" s="128" t="s">
        <v>116</v>
      </c>
      <c r="D31" s="129"/>
      <c r="E31" s="129"/>
      <c r="F31" s="129"/>
      <c r="G31" s="130"/>
      <c r="H31" s="104">
        <v>7.5</v>
      </c>
      <c r="I31" s="105" t="s">
        <v>98</v>
      </c>
      <c r="J31" s="131">
        <f>IFERROR(SUM(J18:M20, J30) * (H31 / 100), "-")+-41490</f>
        <v>30254.718174167385</v>
      </c>
      <c r="K31" s="132"/>
      <c r="L31" s="132"/>
      <c r="M31" s="133"/>
      <c r="N31" s="146" t="s">
        <v>117</v>
      </c>
      <c r="O31" s="147"/>
      <c r="Q31" s="106"/>
    </row>
    <row r="32" spans="1:17" ht="28.5" customHeight="1" thickBot="1" x14ac:dyDescent="0.35">
      <c r="A32" s="136" t="s">
        <v>118</v>
      </c>
      <c r="B32" s="137"/>
      <c r="C32" s="137"/>
      <c r="D32" s="137"/>
      <c r="E32" s="137"/>
      <c r="F32" s="137"/>
      <c r="G32" s="137"/>
      <c r="H32" s="137"/>
      <c r="I32" s="138"/>
      <c r="J32" s="107"/>
      <c r="K32" s="108"/>
      <c r="L32" s="108"/>
      <c r="M32" s="109">
        <f>IFERROR(ROUNDDOWN(SUM(J18:M20)+J30+J31,0),"-")</f>
        <v>986850</v>
      </c>
      <c r="N32" s="139"/>
      <c r="O32" s="140"/>
      <c r="P32" s="110"/>
    </row>
    <row r="33" spans="1:15" x14ac:dyDescent="0.3">
      <c r="A33" s="111" t="s">
        <v>119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 x14ac:dyDescent="0.3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 x14ac:dyDescent="0.3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x14ac:dyDescent="0.3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 x14ac:dyDescent="0.3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 x14ac:dyDescent="0.3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 x14ac:dyDescent="0.35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 x14ac:dyDescent="0.3">
      <c r="M42" s="106"/>
    </row>
    <row r="43" spans="1:15" x14ac:dyDescent="0.3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6" sqref="J6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6"/>
      <c r="B1" s="236"/>
      <c r="C1" s="236"/>
      <c r="D1" s="236"/>
      <c r="E1" s="236"/>
      <c r="F1" s="236"/>
      <c r="G1" s="236"/>
      <c r="H1" s="236"/>
      <c r="I1" s="236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6"/>
      <c r="B2" s="236"/>
      <c r="C2" s="236"/>
      <c r="D2" s="236"/>
      <c r="E2" s="236"/>
      <c r="F2" s="236"/>
      <c r="G2" s="236"/>
      <c r="H2" s="236"/>
      <c r="I2" s="236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7" t="s">
        <v>32</v>
      </c>
      <c r="K3" s="247"/>
      <c r="L3" s="245" t="s">
        <v>12</v>
      </c>
      <c r="M3" s="245" t="s">
        <v>5</v>
      </c>
      <c r="N3" s="241" t="s">
        <v>33</v>
      </c>
      <c r="O3" s="241"/>
      <c r="P3" s="241" t="s">
        <v>34</v>
      </c>
      <c r="Q3" s="241"/>
      <c r="R3" s="242" t="s">
        <v>35</v>
      </c>
      <c r="S3" s="242"/>
      <c r="T3" s="242" t="s">
        <v>36</v>
      </c>
      <c r="U3" s="242"/>
      <c r="V3" s="243" t="s">
        <v>37</v>
      </c>
      <c r="W3" s="239" t="s">
        <v>38</v>
      </c>
      <c r="X3" s="237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6"/>
      <c r="M4" s="246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44"/>
      <c r="W4" s="240"/>
      <c r="X4" s="238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50</v>
      </c>
      <c r="J5" s="28" t="s">
        <v>53</v>
      </c>
      <c r="K5" s="29" t="s">
        <v>51</v>
      </c>
      <c r="L5" s="14" t="s">
        <v>52</v>
      </c>
      <c r="M5" s="39">
        <v>0.5</v>
      </c>
      <c r="N5" s="36"/>
      <c r="O5" s="37">
        <f>M5*N5</f>
        <v>0</v>
      </c>
      <c r="P5" s="35">
        <v>219321</v>
      </c>
      <c r="Q5" s="37">
        <f>M5*P5</f>
        <v>109660.5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109660.5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54</v>
      </c>
      <c r="K6" s="29" t="s">
        <v>25</v>
      </c>
      <c r="L6" s="14" t="s">
        <v>26</v>
      </c>
      <c r="M6" s="39">
        <v>1</v>
      </c>
      <c r="N6" s="36">
        <v>760000</v>
      </c>
      <c r="O6" s="37">
        <f>M6*N6</f>
        <v>760000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760000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760000</v>
      </c>
      <c r="Q7" s="52">
        <f>SUM(Q5:Q6)</f>
        <v>109660.5</v>
      </c>
      <c r="S7" s="49">
        <f>SUM(S5:S6)</f>
        <v>0</v>
      </c>
      <c r="U7" s="49">
        <f>SUM(U5:U6)</f>
        <v>0</v>
      </c>
      <c r="V7" s="53">
        <f>SUM(V5:V6)</f>
        <v>869660.5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10" zoomScale="130" zoomScaleNormal="130" zoomScaleSheetLayoutView="85" workbookViewId="0">
      <selection activeCell="H21" sqref="H21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28" sqref="D28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55</v>
      </c>
      <c r="D2" s="3" t="s">
        <v>28</v>
      </c>
      <c r="E2" s="3" t="s">
        <v>29</v>
      </c>
      <c r="F2" s="23">
        <v>1</v>
      </c>
      <c r="G2" s="26">
        <v>760000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G35" sqref="G3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54">
        <f>'내역서(표준단가)'!M5</f>
        <v>0.5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2025-08-20T03:42:37Z</dcterms:modified>
</cp:coreProperties>
</file>
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1 솔루션\09 사택 2-203 수장공사\"/>
    </mc:Choice>
  </mc:AlternateContent>
  <xr:revisionPtr revIDLastSave="0" documentId="13_ncr:1_{F26CBC5B-20D9-4F59-B36B-7D54CDBEC4D8}" xr6:coauthVersionLast="47" xr6:coauthVersionMax="47" xr10:uidLastSave="{00000000-0000-0000-0000-000000000000}"/>
  <bookViews>
    <workbookView xWindow="14355" yWindow="0" windowWidth="14490" windowHeight="15525" firstSheet="4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OO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9" i="9"/>
  <c r="F9" i="9"/>
  <c r="H7" i="9"/>
  <c r="F7" i="9"/>
  <c r="H5" i="9"/>
  <c r="F5" i="9"/>
  <c r="J33" i="9" l="1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L33" i="9" l="1"/>
  <c r="F33" i="9"/>
  <c r="J18" i="4"/>
  <c r="J17" i="4"/>
  <c r="U15" i="4"/>
  <c r="S15" i="4"/>
  <c r="Q15" i="4"/>
  <c r="O15" i="4"/>
  <c r="A15" i="4"/>
  <c r="A12" i="1" s="1"/>
  <c r="A19" i="4"/>
  <c r="A16" i="4"/>
  <c r="A13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5" i="4" l="1"/>
  <c r="U16" i="4"/>
  <c r="S16" i="4"/>
  <c r="Q16" i="4"/>
  <c r="O16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6" i="4"/>
  <c r="V8" i="4"/>
  <c r="V10" i="4"/>
  <c r="V12" i="4"/>
  <c r="V13" i="4"/>
  <c r="V7" i="4"/>
  <c r="V9" i="4"/>
  <c r="V11" i="4"/>
  <c r="V14" i="4"/>
  <c r="V16" i="4"/>
  <c r="D20" i="9"/>
  <c r="D12" i="9"/>
  <c r="H11" i="9"/>
  <c r="N11" i="9" l="1"/>
  <c r="N12" i="9" s="1"/>
  <c r="N33" i="9" s="1"/>
  <c r="H12" i="9"/>
  <c r="H33" i="9" s="1"/>
  <c r="N30" i="9"/>
  <c r="N20" i="9"/>
  <c r="U19" i="4" l="1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Q20" i="4"/>
  <c r="S20" i="4" l="1"/>
  <c r="V20" i="4" l="1"/>
  <c r="F18" i="5" l="1"/>
  <c r="O20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<sst xmlns="http://schemas.openxmlformats.org/spreadsheetml/2006/main" count="271" uniqueCount="198">
  <si>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</si>
  <si>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</si>
  <si>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</si>
  <si>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</si>
  <si>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</si>
  <si>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</si>
  <si>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</si>
  <si>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</si>
  <si>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</si>
  <si>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</si>
  <si>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</si>
  <si>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</si>
  <si>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</si>
  <si>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</si>
  <si>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</si>
  <si>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</si>
  <si>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</si>
  <si>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</si>
  <si>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</si>
  <si>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</si>
  <si>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</si>
  <si>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</si>
  <si>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</si>
  <si>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</si>
  <si>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</si>
  <si>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</si>
  <si>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</si>
  <si>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</si>
  <si>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</si>
  <si>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</si>
  <si>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</si>
  <si>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</si>
  <si>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</si>
  <si>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</si>
  <si>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</si>
  <si>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</si>
  <si>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</si>
  <si>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</si>
  <si>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</si>
  <si>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</si>
  <si>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</si>
  <si>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</si>
  <si>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</si>
  <si>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</si>
  <si>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</si>
  <si>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</si>
  <si>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</si>
  <si>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</si>
  <si>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</si>
  <si>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</si>
  <si>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</si>
  <si>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</si>
  <si>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</si>
  <si>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</si>
  <si>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</si>
  <si>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</si>
  <si>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</si>
  <si>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</si>
  <si>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</si>
  <si>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</si>
  <si>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</si>
  <si>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</si>
  <si>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</si>
  <si>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</si>
  <si>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</si>
  <si>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</si>
  <si>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</si>
  <si>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</si>
  <si>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</si>
  <si>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</si>
  <si>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</si>
  <si>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</si>
  <si>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</si>
  <si>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</si>
  <si>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</si>
  <si>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</si>
  <si>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</si>
  <si>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</si>
  <si>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</si>
  <si>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</si>
  <si>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</si>
  <si>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</si>
  <si>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</si>
  <si>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</si>
  <si>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</si>
  <si>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</si>
  <si>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</si>
  <si>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</si>
  <si>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</si>
  <si>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</si>
  <si>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</si>
  <si>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</si>
  <si>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</si>
  <si>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</si>
  <si>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</si>
  <si>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</si>
  <si>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</si>
  <si>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</si>
  <si>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</si>
  <si>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</si>
  <si>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</si>
  <si>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</si>
  <si>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</si>
  <si>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</si>
  <si>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</si>
  <si>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</si>
  <si>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</si>
  <si>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</si>
  <si>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</si>
  <si>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</si>
  <si>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</si>
  <si>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</si>
  <si>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</si>
  <si>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</si>
  <si>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</si>
  <si>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</si>
  <si>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</si>
  <si>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</si>
  <si>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</si>
  <si>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</si>
  <si>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</si>
  <si>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</si>
  <si>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</si>
  <si>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</si>
  <si>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</si>
  <si>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</si>
  <si>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</si>
  <si>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</si>
  <si>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</si>
  <si>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</si>
  <si>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</si>
  <si>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</si>
  <si>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</si>
  <si>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</si>
  <si>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</si>
  <si>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</si>
  <si>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</si>
  <si>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</si>
  <si>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</si>
  <si>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</si>
  <si>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</si>
  <si>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</si>
  <si>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</si>
  <si>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</si>
  <si>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</si>
  <si>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</si>
  <si>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</si>
  <si>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</si>
  <si>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</si>
  <si>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</si>
  <si>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</si>
  <si>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</si>
  <si>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</si>
  <si>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</si>
  <si>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</si>
  <si>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</si>
  <si>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</si>
  <si>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</si>
  <si>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</si>
  <si>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</si>
  <si>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</si>
  <si>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</si>
  <si>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</si>
  <si>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</si>
  <si>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</si>
  <si>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</si>
  <si>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</si>
  <si>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</si>
  <si>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</si>
  <si>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</si>
  <si>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</si>
  <si>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</si>
  <si>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</si>
  <si>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</si>
  <si>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</si>
  <si>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</si>
  <si>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</si>
  <si>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</si>
  <si>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</si>
  <si>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</si>
  <si>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</si>
  <si>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</si>
  <si>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</si>
  <si>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</si>
  <si>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</si>
  <si>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</si>
  <si>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</si>
  <si>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</si>
  <si>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</si>
  <si>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</si>
  <si>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</si>
  <si>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</si>
  <si>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</si>
  <si>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 (재료비+노무비)*3.11%</t>
    <phoneticPr fontId="13" type="noConversion"/>
  </si>
  <si>
    <t xml:space="preserve"> 공사명 : 사택 2-203 수장공사</t>
    <phoneticPr fontId="11" type="noConversion"/>
  </si>
  <si>
    <t xml:space="preserve"> 견적일 : 2025년  01월  06일</t>
    <phoneticPr fontId="11" type="noConversion"/>
  </si>
  <si>
    <t>사택 2-203 수장공사</t>
    <phoneticPr fontId="13" type="noConversion"/>
  </si>
  <si>
    <t>앞뒤베란다 걸레받이 보수. 뒤 베란다 벽면 크랙보수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</si>
</sst>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41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31" fillId="0" borderId="42" xfId="18" applyFont="1" applyBorder="1" applyAlignment="1">
      <alignment horizontal="center" vertical="center"/>
    </xf>
    <xf numFmtId="0" fontId="31" fillId="12" borderId="29" xfId="17" applyFont="1" applyFill="1" applyBorder="1">
      <alignment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0" fontId="19" fillId="0" borderId="23" xfId="0" applyFont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/>
    </xf>
    <xf numFmtId="0" fontId="19" fillId="12" borderId="0" xfId="0" applyFont="1" applyFill="1">
      <alignment vertical="center"/>
    </xf>
    <xf numFmtId="177" fontId="24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35" xfId="13" applyNumberFormat="1" applyFont="1" applyBorder="1" applyAlignment="1">
      <alignment vertical="center" wrapText="1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35" fillId="0" borderId="15" xfId="3" applyFont="1" applyBorder="1" applyAlignment="1">
      <alignment horizontal="left" vertical="center"/>
    </xf>
    <xf numFmtId="178" fontId="35" fillId="0" borderId="15" xfId="5" applyFont="1" applyFill="1" applyBorder="1" applyAlignment="1">
      <alignment horizontal="right" vertical="center"/>
    </xf>
    <xf numFmtId="188" fontId="32" fillId="7" borderId="35" xfId="13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8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K29" sqref="K28:K29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64</v>
      </c>
      <c r="B5" s="7"/>
      <c r="C5" s="8"/>
      <c r="D5" s="5"/>
      <c r="E5" s="5"/>
      <c r="F5" s="9" t="s">
        <v>38</v>
      </c>
      <c r="G5" s="10" t="s">
        <v>68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69</v>
      </c>
      <c r="H6" s="5"/>
    </row>
    <row r="7" spans="1:9" ht="27" customHeight="1" x14ac:dyDescent="0.25">
      <c r="A7" s="174" t="s">
        <v>194</v>
      </c>
      <c r="B7" s="175"/>
      <c r="C7" s="176"/>
      <c r="D7" s="5"/>
      <c r="E7" s="13"/>
      <c r="F7" s="14" t="s">
        <v>42</v>
      </c>
      <c r="G7" s="12" t="s">
        <v>70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71</v>
      </c>
      <c r="H8" s="5"/>
    </row>
    <row r="9" spans="1:9" ht="27" customHeight="1" x14ac:dyDescent="0.25">
      <c r="A9" s="174" t="s">
        <v>195</v>
      </c>
      <c r="B9" s="175"/>
      <c r="C9" s="176"/>
      <c r="D9" s="5"/>
      <c r="E9" s="5"/>
      <c r="F9" s="11" t="s">
        <v>44</v>
      </c>
      <c r="G9" s="12" t="s">
        <v>72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73</v>
      </c>
      <c r="H10" s="5"/>
      <c r="I10" s="5"/>
    </row>
    <row r="11" spans="1:9" ht="27" customHeight="1" x14ac:dyDescent="0.25">
      <c r="A11" s="172"/>
      <c r="B11" s="173"/>
      <c r="C11" s="173"/>
      <c r="D11" s="5"/>
      <c r="E11" s="17"/>
      <c r="F11" s="18" t="s">
        <v>40</v>
      </c>
      <c r="G11" s="19" t="s">
        <v>74</v>
      </c>
      <c r="H11" s="17"/>
    </row>
    <row r="12" spans="1:9" ht="18.75" thickBot="1" x14ac:dyDescent="0.3">
      <c r="A12" s="20" t="s">
        <v>7</v>
      </c>
      <c r="B12" s="20" t="str">
        <f>NUMBERSTRING(F31,1)</f>
        <v>이백오십팔만오천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'내역서(표준단가)'!O20</f>
        <v>612383.99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'내역서(표준단가)'!Q20</f>
        <v>1601337.1149999998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'내역서(표준단가)'!S20+'내역서(표준단가)'!U20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2213721.1049999995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72060.170174999992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65</v>
      </c>
      <c r="D22" s="49">
        <v>1</v>
      </c>
      <c r="E22" s="49" t="s">
        <v>25</v>
      </c>
      <c r="F22" s="50">
        <f>F17*3.545%</f>
        <v>56767.400726749998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66</v>
      </c>
      <c r="D23" s="33">
        <v>1</v>
      </c>
      <c r="E23" s="33" t="s">
        <v>25</v>
      </c>
      <c r="F23" s="46">
        <f>F22*12.95%</f>
        <v>7351.3783941141246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16173.504861499998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67</v>
      </c>
      <c r="D25" s="33">
        <v>1</v>
      </c>
      <c r="E25" s="33" t="s">
        <v>25</v>
      </c>
      <c r="F25" s="46">
        <f>F17*3.56%</f>
        <v>57007.601293999993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168" t="s">
        <v>193</v>
      </c>
      <c r="D26" s="33">
        <v>1</v>
      </c>
      <c r="E26" s="33" t="s">
        <v>25</v>
      </c>
      <c r="F26" s="169">
        <f>(F16+F17)*3.11%</f>
        <v>68846.726365499984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93977.194840843193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372183.9766577073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2585905.0816577068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2585000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zoomScale="90" zoomScaleNormal="90" workbookViewId="0">
      <selection activeCell="A15" sqref="A15:XFD15"/>
    </sheetView>
  </sheetViews>
  <sheetFormatPr defaultColWidth="9" defaultRowHeight="12.75" x14ac:dyDescent="0.3"/>
  <cols>
    <col min="1" max="1" width="19.375" style="106" bestFit="1" customWidth="1"/>
    <col min="2" max="5" width="18.5" style="106" hidden="1" customWidth="1"/>
    <col min="6" max="6" width="60.25" style="82" hidden="1" customWidth="1"/>
    <col min="7" max="7" width="19.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6.375" style="82" bestFit="1" customWidth="1"/>
    <col min="12" max="12" width="5.25" style="82" bestFit="1" customWidth="1"/>
    <col min="13" max="13" width="7.625" style="82" bestFit="1" customWidth="1"/>
    <col min="14" max="14" width="10.25" style="82" bestFit="1" customWidth="1"/>
    <col min="15" max="15" width="13.125" style="82" bestFit="1" customWidth="1"/>
    <col min="16" max="16" width="10.2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83"/>
      <c r="O1" s="81" t="s">
        <v>173</v>
      </c>
      <c r="Q1" s="81" t="s">
        <v>173</v>
      </c>
      <c r="S1" s="81" t="s">
        <v>173</v>
      </c>
      <c r="U1" s="81" t="s">
        <v>173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174</v>
      </c>
      <c r="G3" s="87"/>
      <c r="H3" s="87"/>
      <c r="I3" s="87"/>
      <c r="J3" s="186" t="s">
        <v>175</v>
      </c>
      <c r="K3" s="186"/>
      <c r="L3" s="186" t="s">
        <v>51</v>
      </c>
      <c r="M3" s="186" t="s">
        <v>5</v>
      </c>
      <c r="N3" s="182" t="s">
        <v>176</v>
      </c>
      <c r="O3" s="182"/>
      <c r="P3" s="182" t="s">
        <v>177</v>
      </c>
      <c r="Q3" s="182"/>
      <c r="R3" s="183" t="s">
        <v>178</v>
      </c>
      <c r="S3" s="183"/>
      <c r="T3" s="183" t="s">
        <v>179</v>
      </c>
      <c r="U3" s="183"/>
      <c r="V3" s="184" t="s">
        <v>180</v>
      </c>
      <c r="W3" s="180" t="s">
        <v>181</v>
      </c>
      <c r="X3" s="178" t="s">
        <v>45</v>
      </c>
    </row>
    <row r="4" spans="1:24" ht="19.899999999999999" customHeight="1" x14ac:dyDescent="0.3">
      <c r="A4" s="88" t="s">
        <v>182</v>
      </c>
      <c r="B4" s="89"/>
      <c r="C4" s="89"/>
      <c r="D4" s="89"/>
      <c r="E4" s="89"/>
      <c r="F4" s="90" t="s">
        <v>183</v>
      </c>
      <c r="G4" s="90" t="s">
        <v>184</v>
      </c>
      <c r="H4" s="90" t="s">
        <v>185</v>
      </c>
      <c r="I4" s="90" t="s">
        <v>186</v>
      </c>
      <c r="J4" s="91" t="s">
        <v>187</v>
      </c>
      <c r="K4" s="91" t="s">
        <v>188</v>
      </c>
      <c r="L4" s="187"/>
      <c r="M4" s="187"/>
      <c r="N4" s="92" t="s">
        <v>189</v>
      </c>
      <c r="O4" s="93" t="s">
        <v>190</v>
      </c>
      <c r="P4" s="92" t="s">
        <v>191</v>
      </c>
      <c r="Q4" s="93" t="s">
        <v>190</v>
      </c>
      <c r="R4" s="93" t="s">
        <v>192</v>
      </c>
      <c r="S4" s="93" t="s">
        <v>190</v>
      </c>
      <c r="T4" s="93" t="s">
        <v>192</v>
      </c>
      <c r="U4" s="93" t="s">
        <v>190</v>
      </c>
      <c r="V4" s="185"/>
      <c r="W4" s="181"/>
      <c r="X4" s="179"/>
    </row>
    <row r="5" spans="1:24" ht="19.899999999999999" customHeight="1" x14ac:dyDescent="0.3">
      <c r="A5" s="94" t="str">
        <f t="shared" ref="A5:A19" si="0">F5&amp;G5&amp;H5&amp;I5</f>
        <v>D02641</v>
      </c>
      <c r="B5" s="95"/>
      <c r="C5" s="95"/>
      <c r="D5" s="95"/>
      <c r="E5" s="95"/>
      <c r="F5" s="97" t="s">
        <v>127</v>
      </c>
      <c r="G5" s="96"/>
      <c r="H5" s="96"/>
      <c r="I5" s="97"/>
      <c r="J5" s="98" t="s">
        <v>128</v>
      </c>
      <c r="K5" s="98" t="s">
        <v>129</v>
      </c>
      <c r="L5" s="98" t="s">
        <v>130</v>
      </c>
      <c r="M5" s="139">
        <v>105</v>
      </c>
      <c r="N5" s="99"/>
      <c r="O5" s="100">
        <f t="shared" ref="O5:O16" si="1">SUM(N5:N5)*M5*$O$2</f>
        <v>0</v>
      </c>
      <c r="P5" s="140">
        <v>6691</v>
      </c>
      <c r="Q5" s="100">
        <f t="shared" ref="Q5:Q16" si="2">(P5*M5)*$Q$2</f>
        <v>586633.42499999993</v>
      </c>
      <c r="R5" s="101"/>
      <c r="S5" s="100">
        <f t="shared" ref="S5:S16" si="3">R5*M5*$S$2</f>
        <v>0</v>
      </c>
      <c r="T5" s="101"/>
      <c r="U5" s="100">
        <f t="shared" ref="U5:U16" si="4">T5*M5*$U$2</f>
        <v>0</v>
      </c>
      <c r="V5" s="101">
        <f t="shared" ref="V5:V16" si="5">SUM(O5+Q5)+S5+U5</f>
        <v>586633.42499999993</v>
      </c>
      <c r="W5" s="102"/>
      <c r="X5" s="141"/>
    </row>
    <row r="6" spans="1:24" ht="19.899999999999999" customHeight="1" x14ac:dyDescent="0.3">
      <c r="A6" s="94" t="str">
        <f t="shared" si="0"/>
        <v>D02873</v>
      </c>
      <c r="B6" s="95"/>
      <c r="C6" s="95"/>
      <c r="D6" s="95"/>
      <c r="E6" s="95"/>
      <c r="F6" s="97" t="s">
        <v>131</v>
      </c>
      <c r="G6" s="96"/>
      <c r="H6" s="96"/>
      <c r="I6" s="97"/>
      <c r="J6" s="98" t="s">
        <v>132</v>
      </c>
      <c r="K6" s="98" t="s">
        <v>133</v>
      </c>
      <c r="L6" s="98" t="s">
        <v>130</v>
      </c>
      <c r="M6" s="139">
        <v>53</v>
      </c>
      <c r="N6" s="99"/>
      <c r="O6" s="100">
        <f t="shared" si="1"/>
        <v>0</v>
      </c>
      <c r="P6" s="140">
        <v>1618</v>
      </c>
      <c r="Q6" s="100">
        <f t="shared" si="2"/>
        <v>71604.59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71604.59</v>
      </c>
      <c r="W6" s="102"/>
      <c r="X6" s="141"/>
    </row>
    <row r="7" spans="1:24" ht="19.899999999999999" customHeight="1" x14ac:dyDescent="0.3">
      <c r="A7" s="94" t="str">
        <f t="shared" si="0"/>
        <v>D02859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130</v>
      </c>
      <c r="M7" s="139">
        <v>34</v>
      </c>
      <c r="N7" s="99"/>
      <c r="O7" s="100">
        <f t="shared" si="1"/>
        <v>0</v>
      </c>
      <c r="P7" s="140">
        <v>4855</v>
      </c>
      <c r="Q7" s="100">
        <f t="shared" si="2"/>
        <v>137833.44999999998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137833.44999999998</v>
      </c>
      <c r="W7" s="102"/>
      <c r="X7" s="141"/>
    </row>
    <row r="8" spans="1:24" ht="19.899999999999999" customHeight="1" x14ac:dyDescent="0.3">
      <c r="A8" s="94" t="str">
        <f t="shared" si="0"/>
        <v>D02558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130</v>
      </c>
      <c r="M8" s="139">
        <v>34</v>
      </c>
      <c r="N8" s="103"/>
      <c r="O8" s="100">
        <f t="shared" si="1"/>
        <v>0</v>
      </c>
      <c r="P8" s="140">
        <v>4453</v>
      </c>
      <c r="Q8" s="100">
        <f t="shared" si="2"/>
        <v>126420.67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126420.67</v>
      </c>
      <c r="W8" s="102"/>
      <c r="X8" s="141"/>
    </row>
    <row r="9" spans="1:24" ht="19.899999999999999" customHeight="1" x14ac:dyDescent="0.3">
      <c r="A9" s="94" t="str">
        <f t="shared" si="0"/>
        <v>D02825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130</v>
      </c>
      <c r="M9" s="139">
        <v>20</v>
      </c>
      <c r="N9" s="140">
        <v>528</v>
      </c>
      <c r="O9" s="100">
        <f t="shared" si="1"/>
        <v>8817.6</v>
      </c>
      <c r="P9" s="140">
        <v>10367</v>
      </c>
      <c r="Q9" s="100">
        <f t="shared" si="2"/>
        <v>173128.9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181946.5</v>
      </c>
      <c r="W9" s="102"/>
      <c r="X9" s="141"/>
    </row>
    <row r="10" spans="1:24" ht="19.899999999999999" customHeight="1" x14ac:dyDescent="0.3">
      <c r="A10" s="94" t="str">
        <f t="shared" si="0"/>
        <v>D02832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130</v>
      </c>
      <c r="M10" s="139">
        <v>20</v>
      </c>
      <c r="N10" s="140">
        <v>461</v>
      </c>
      <c r="O10" s="100">
        <f t="shared" si="1"/>
        <v>7698.7</v>
      </c>
      <c r="P10" s="140">
        <v>6146</v>
      </c>
      <c r="Q10" s="100">
        <f t="shared" si="2"/>
        <v>102638.2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110336.9</v>
      </c>
      <c r="W10" s="102"/>
      <c r="X10" s="141"/>
    </row>
    <row r="11" spans="1:24" ht="19.899999999999999" customHeight="1" x14ac:dyDescent="0.3">
      <c r="A11" s="94" t="str">
        <f t="shared" si="0"/>
        <v>D02830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130</v>
      </c>
      <c r="M11" s="139">
        <v>10</v>
      </c>
      <c r="N11" s="103"/>
      <c r="O11" s="100">
        <f t="shared" si="1"/>
        <v>0</v>
      </c>
      <c r="P11" s="140">
        <v>10426</v>
      </c>
      <c r="Q11" s="100">
        <f t="shared" si="2"/>
        <v>87057.099999999991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87057.099999999991</v>
      </c>
      <c r="W11" s="102"/>
      <c r="X11" s="141"/>
    </row>
    <row r="12" spans="1:24" ht="19.899999999999999" customHeight="1" x14ac:dyDescent="0.3">
      <c r="A12" s="94" t="str">
        <f t="shared" si="0"/>
        <v>D02836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130</v>
      </c>
      <c r="M12" s="139">
        <v>10</v>
      </c>
      <c r="N12" s="140">
        <v>611</v>
      </c>
      <c r="O12" s="100">
        <f t="shared" si="1"/>
        <v>5101.8499999999995</v>
      </c>
      <c r="P12" s="140">
        <v>3735</v>
      </c>
      <c r="Q12" s="100">
        <f t="shared" si="2"/>
        <v>31187.25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36289.1</v>
      </c>
      <c r="W12" s="102"/>
      <c r="X12" s="141"/>
    </row>
    <row r="13" spans="1:24" ht="19.899999999999999" customHeight="1" x14ac:dyDescent="0.3">
      <c r="A13" s="94" t="str">
        <f t="shared" si="0"/>
        <v>D02830</v>
      </c>
      <c r="B13" s="95"/>
      <c r="C13" s="95"/>
      <c r="D13" s="95"/>
      <c r="E13" s="95"/>
      <c r="F13" s="97" t="s">
        <v>146</v>
      </c>
      <c r="G13" s="96"/>
      <c r="H13" s="96"/>
      <c r="I13" s="97"/>
      <c r="J13" s="98" t="s">
        <v>147</v>
      </c>
      <c r="K13" s="98" t="s">
        <v>148</v>
      </c>
      <c r="L13" s="98" t="s">
        <v>130</v>
      </c>
      <c r="M13" s="139">
        <v>2</v>
      </c>
      <c r="N13" s="103"/>
      <c r="O13" s="100">
        <f t="shared" si="1"/>
        <v>0</v>
      </c>
      <c r="P13" s="140">
        <v>10426</v>
      </c>
      <c r="Q13" s="100">
        <f t="shared" si="2"/>
        <v>17411.419999999998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17411.419999999998</v>
      </c>
      <c r="W13" s="102"/>
      <c r="X13" s="141"/>
    </row>
    <row r="14" spans="1:24" ht="19.899999999999999" customHeight="1" x14ac:dyDescent="0.3">
      <c r="A14" s="94" t="str">
        <f t="shared" si="0"/>
        <v>D02835</v>
      </c>
      <c r="B14" s="95"/>
      <c r="C14" s="95"/>
      <c r="D14" s="95"/>
      <c r="E14" s="95"/>
      <c r="F14" s="97" t="s">
        <v>152</v>
      </c>
      <c r="G14" s="96"/>
      <c r="H14" s="96"/>
      <c r="I14" s="97"/>
      <c r="J14" s="98" t="s">
        <v>153</v>
      </c>
      <c r="K14" s="98" t="s">
        <v>151</v>
      </c>
      <c r="L14" s="98" t="s">
        <v>130</v>
      </c>
      <c r="M14" s="139">
        <v>2</v>
      </c>
      <c r="N14" s="140">
        <v>502</v>
      </c>
      <c r="O14" s="100">
        <f t="shared" si="1"/>
        <v>838.33999999999992</v>
      </c>
      <c r="P14" s="140">
        <v>3073</v>
      </c>
      <c r="Q14" s="100">
        <f t="shared" si="2"/>
        <v>5131.91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5970.25</v>
      </c>
      <c r="W14" s="102"/>
      <c r="X14" s="141"/>
    </row>
    <row r="15" spans="1:24" ht="19.899999999999999" customHeight="1" x14ac:dyDescent="0.3">
      <c r="A15" s="94" t="str">
        <f t="shared" ref="A15" si="6">F15&amp;G15&amp;H15&amp;I15</f>
        <v>M012003400500101</v>
      </c>
      <c r="B15" s="95"/>
      <c r="C15" s="95"/>
      <c r="D15" s="95"/>
      <c r="E15" s="95"/>
      <c r="F15" s="97"/>
      <c r="G15" s="96"/>
      <c r="H15" s="142" t="s">
        <v>160</v>
      </c>
      <c r="I15" s="97"/>
      <c r="J15" s="105" t="s">
        <v>161</v>
      </c>
      <c r="K15" s="105" t="s">
        <v>162</v>
      </c>
      <c r="L15" s="98" t="s">
        <v>130</v>
      </c>
      <c r="M15" s="139">
        <v>34</v>
      </c>
      <c r="N15" s="143">
        <v>15000</v>
      </c>
      <c r="O15" s="100">
        <f t="shared" ref="O15" si="7">SUM(N15:N15)*M15*$O$2</f>
        <v>425850</v>
      </c>
      <c r="P15" s="104"/>
      <c r="Q15" s="100">
        <f t="shared" ref="Q15" si="8">(P15*M15)*$Q$2</f>
        <v>0</v>
      </c>
      <c r="R15" s="101"/>
      <c r="S15" s="100">
        <f t="shared" ref="S15" si="9">R15*M15*$S$2</f>
        <v>0</v>
      </c>
      <c r="T15" s="101"/>
      <c r="U15" s="100">
        <f t="shared" ref="U15" si="10">T15*M15*$U$2</f>
        <v>0</v>
      </c>
      <c r="V15" s="101">
        <f t="shared" ref="V15" si="11">SUM(O15+Q15)+S15+U15</f>
        <v>425850</v>
      </c>
      <c r="W15" s="102"/>
      <c r="X15" s="141"/>
    </row>
    <row r="16" spans="1:24" ht="19.899999999999999" customHeight="1" x14ac:dyDescent="0.3">
      <c r="A16" s="94" t="str">
        <f t="shared" si="0"/>
        <v>M010602702400101</v>
      </c>
      <c r="B16" s="95"/>
      <c r="C16" s="95"/>
      <c r="D16" s="95"/>
      <c r="E16" s="95"/>
      <c r="F16" s="97"/>
      <c r="G16" s="96"/>
      <c r="H16" s="142" t="s">
        <v>154</v>
      </c>
      <c r="I16" s="97"/>
      <c r="J16" s="105" t="s">
        <v>155</v>
      </c>
      <c r="K16" s="105" t="s">
        <v>156</v>
      </c>
      <c r="L16" s="105" t="s">
        <v>157</v>
      </c>
      <c r="M16" s="139">
        <v>4</v>
      </c>
      <c r="N16" s="143">
        <v>15000</v>
      </c>
      <c r="O16" s="100">
        <f t="shared" si="1"/>
        <v>50100</v>
      </c>
      <c r="P16" s="104"/>
      <c r="Q16" s="100">
        <f t="shared" si="2"/>
        <v>0</v>
      </c>
      <c r="R16" s="101"/>
      <c r="S16" s="100">
        <f t="shared" si="3"/>
        <v>0</v>
      </c>
      <c r="T16" s="101"/>
      <c r="U16" s="100">
        <f t="shared" si="4"/>
        <v>0</v>
      </c>
      <c r="V16" s="101">
        <f t="shared" si="5"/>
        <v>50100</v>
      </c>
      <c r="W16" s="102"/>
      <c r="X16" s="141"/>
    </row>
    <row r="17" spans="1:24" ht="19.899999999999999" customHeight="1" x14ac:dyDescent="0.3">
      <c r="A17" s="94"/>
      <c r="B17" s="95"/>
      <c r="C17" s="95"/>
      <c r="D17" s="95"/>
      <c r="E17" s="95"/>
      <c r="F17" s="97"/>
      <c r="G17" s="96"/>
      <c r="H17" s="96"/>
      <c r="I17" s="97"/>
      <c r="J17" s="98" t="str">
        <f>"시중가_"&amp;K17&amp;")"</f>
        <v>시중가_합지벽지(LG하우시스 휘앙세))</v>
      </c>
      <c r="K17" s="98" t="s">
        <v>158</v>
      </c>
      <c r="L17" s="98" t="s">
        <v>130</v>
      </c>
      <c r="M17" s="144">
        <v>105</v>
      </c>
      <c r="N17" s="99">
        <v>1300</v>
      </c>
      <c r="O17" s="100">
        <f t="shared" ref="O17:O19" si="12">SUM(N17:N17)*M17*$O$2</f>
        <v>113977.5</v>
      </c>
      <c r="P17" s="104"/>
      <c r="Q17" s="100">
        <f t="shared" ref="Q17:Q19" si="13">(P17*M17)*$Q$2</f>
        <v>0</v>
      </c>
      <c r="R17" s="101"/>
      <c r="S17" s="100">
        <f t="shared" ref="S17:S19" si="14">R17*M17*$S$2</f>
        <v>0</v>
      </c>
      <c r="T17" s="101"/>
      <c r="U17" s="100">
        <f t="shared" ref="U17:U19" si="15">T17*M17*$U$2</f>
        <v>0</v>
      </c>
      <c r="V17" s="101">
        <f t="shared" ref="V17:V19" si="16">SUM(O17+Q17)+S17+U17</f>
        <v>113977.5</v>
      </c>
      <c r="W17" s="102"/>
      <c r="X17" s="141"/>
    </row>
    <row r="18" spans="1:24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"시중가_"&amp;K18&amp;""</f>
        <v>시중가_청소, 실내건축 일위대가 적용</v>
      </c>
      <c r="K18" s="98" t="s">
        <v>159</v>
      </c>
      <c r="L18" s="98" t="s">
        <v>130</v>
      </c>
      <c r="M18" s="144">
        <v>40</v>
      </c>
      <c r="N18" s="99"/>
      <c r="O18" s="100">
        <f t="shared" si="12"/>
        <v>0</v>
      </c>
      <c r="P18" s="104">
        <v>7853</v>
      </c>
      <c r="Q18" s="100">
        <f t="shared" si="13"/>
        <v>262290.2</v>
      </c>
      <c r="R18" s="101"/>
      <c r="S18" s="100">
        <f t="shared" si="14"/>
        <v>0</v>
      </c>
      <c r="T18" s="101"/>
      <c r="U18" s="100">
        <f t="shared" si="15"/>
        <v>0</v>
      </c>
      <c r="V18" s="101">
        <f t="shared" si="16"/>
        <v>262290.2</v>
      </c>
      <c r="W18" s="102"/>
      <c r="X18" s="141"/>
    </row>
    <row r="19" spans="1:24" ht="19.899999999999999" customHeight="1" x14ac:dyDescent="0.3">
      <c r="A19" s="94" t="str">
        <f t="shared" si="0"/>
        <v/>
      </c>
      <c r="B19" s="95"/>
      <c r="C19" s="95"/>
      <c r="D19" s="95"/>
      <c r="E19" s="95"/>
      <c r="F19" s="97"/>
      <c r="G19" s="96"/>
      <c r="H19" s="96"/>
      <c r="I19" s="97"/>
      <c r="J19" s="145"/>
      <c r="K19" s="145"/>
      <c r="L19" s="146"/>
      <c r="M19" s="144"/>
      <c r="N19" s="99"/>
      <c r="O19" s="100">
        <f t="shared" si="12"/>
        <v>0</v>
      </c>
      <c r="P19" s="104"/>
      <c r="Q19" s="100">
        <f t="shared" si="13"/>
        <v>0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0</v>
      </c>
      <c r="W19" s="147"/>
      <c r="X19" s="141"/>
    </row>
    <row r="20" spans="1:24" ht="19.899999999999999" customHeight="1" x14ac:dyDescent="0.3">
      <c r="A20" s="148"/>
      <c r="B20" s="148"/>
      <c r="C20" s="148"/>
      <c r="D20" s="148"/>
      <c r="E20" s="148"/>
      <c r="O20" s="149">
        <f>SUM(O5:O19)</f>
        <v>612383.99</v>
      </c>
      <c r="P20" s="150"/>
      <c r="Q20" s="149">
        <f>SUM(Q5:Q19)</f>
        <v>1601337.1149999998</v>
      </c>
      <c r="R20" s="150"/>
      <c r="S20" s="149">
        <f>SUM(S5:S19)</f>
        <v>0</v>
      </c>
      <c r="T20" s="150"/>
      <c r="U20" s="149">
        <f>SUM(U5:U19)</f>
        <v>0</v>
      </c>
      <c r="V20" s="151">
        <f>SUM(V5:V19)</f>
        <v>2213721.105</v>
      </c>
    </row>
    <row r="24" spans="1:24" x14ac:dyDescent="0.3">
      <c r="Q24" s="10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="90" zoomScaleNormal="90" workbookViewId="0">
      <selection activeCell="N45" sqref="N45"/>
    </sheetView>
  </sheetViews>
  <sheetFormatPr defaultColWidth="9" defaultRowHeight="14.25" x14ac:dyDescent="0.3"/>
  <cols>
    <col min="1" max="1" width="22.625" style="138" customWidth="1"/>
    <col min="2" max="2" width="27.625" style="138" customWidth="1"/>
    <col min="3" max="3" width="5.75" style="138" customWidth="1"/>
    <col min="4" max="4" width="5.25" style="138" customWidth="1"/>
    <col min="5" max="8" width="20.625" style="138" customWidth="1"/>
    <col min="9" max="12" width="20.625" style="138" hidden="1" customWidth="1"/>
    <col min="13" max="14" width="20.625" style="138" customWidth="1"/>
    <col min="15" max="15" width="32.75" style="138" customWidth="1"/>
    <col min="16" max="16384" width="9" style="108"/>
  </cols>
  <sheetData>
    <row r="1" spans="1:16" ht="27" customHeight="1" x14ac:dyDescent="0.3">
      <c r="A1" s="201" t="s">
        <v>75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2.95" customHeight="1" x14ac:dyDescent="0.3">
      <c r="A2" s="203" t="s">
        <v>76</v>
      </c>
      <c r="B2" s="204" t="s">
        <v>77</v>
      </c>
      <c r="C2" s="205" t="s">
        <v>51</v>
      </c>
      <c r="D2" s="205" t="s">
        <v>78</v>
      </c>
      <c r="E2" s="207" t="s">
        <v>79</v>
      </c>
      <c r="F2" s="204"/>
      <c r="G2" s="204" t="s">
        <v>80</v>
      </c>
      <c r="H2" s="204"/>
      <c r="I2" s="208" t="s">
        <v>81</v>
      </c>
      <c r="J2" s="209"/>
      <c r="K2" s="208" t="s">
        <v>82</v>
      </c>
      <c r="L2" s="209"/>
      <c r="M2" s="207" t="s">
        <v>83</v>
      </c>
      <c r="N2" s="204"/>
      <c r="O2" s="210" t="s">
        <v>84</v>
      </c>
    </row>
    <row r="3" spans="1:16" ht="12.95" customHeight="1" x14ac:dyDescent="0.3">
      <c r="A3" s="203"/>
      <c r="B3" s="204"/>
      <c r="C3" s="206"/>
      <c r="D3" s="206"/>
      <c r="E3" s="109" t="s">
        <v>85</v>
      </c>
      <c r="F3" s="109" t="s">
        <v>86</v>
      </c>
      <c r="G3" s="110" t="s">
        <v>85</v>
      </c>
      <c r="H3" s="109" t="s">
        <v>87</v>
      </c>
      <c r="I3" s="109"/>
      <c r="J3" s="109"/>
      <c r="K3" s="110" t="s">
        <v>85</v>
      </c>
      <c r="L3" s="109" t="s">
        <v>87</v>
      </c>
      <c r="M3" s="110" t="s">
        <v>85</v>
      </c>
      <c r="N3" s="109" t="s">
        <v>87</v>
      </c>
      <c r="O3" s="211"/>
    </row>
    <row r="4" spans="1:16" ht="12.95" customHeight="1" x14ac:dyDescent="0.3">
      <c r="A4" s="193" t="s">
        <v>196</v>
      </c>
      <c r="B4" s="194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spans="1:16" ht="12.95" customHeight="1" x14ac:dyDescent="0.3">
      <c r="A5" s="198" t="s">
        <v>88</v>
      </c>
      <c r="B5" s="112" t="s">
        <v>89</v>
      </c>
      <c r="C5" s="113" t="s">
        <v>90</v>
      </c>
      <c r="D5" s="114">
        <v>55</v>
      </c>
      <c r="E5" s="115">
        <v>1086</v>
      </c>
      <c r="F5" s="116">
        <f t="shared" ref="F5:F9" si="0">D5*E5</f>
        <v>59730</v>
      </c>
      <c r="G5" s="116">
        <v>5587</v>
      </c>
      <c r="H5" s="115">
        <f t="shared" ref="H5:H11" si="1">D5*G5</f>
        <v>307285</v>
      </c>
      <c r="I5" s="115"/>
      <c r="J5" s="115"/>
      <c r="K5" s="116"/>
      <c r="L5" s="116"/>
      <c r="M5" s="116"/>
      <c r="N5" s="116">
        <f>F5+H5+J5+L5</f>
        <v>367015</v>
      </c>
      <c r="O5" s="195" t="s">
        <v>167</v>
      </c>
    </row>
    <row r="6" spans="1:16" ht="12.95" customHeight="1" x14ac:dyDescent="0.3">
      <c r="A6" s="199"/>
      <c r="B6" s="164" t="s">
        <v>91</v>
      </c>
      <c r="C6" s="165" t="s">
        <v>90</v>
      </c>
      <c r="D6" s="170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96"/>
    </row>
    <row r="7" spans="1:16" ht="12.95" customHeight="1" x14ac:dyDescent="0.3">
      <c r="A7" s="199"/>
      <c r="B7" s="112" t="s">
        <v>92</v>
      </c>
      <c r="C7" s="113" t="s">
        <v>90</v>
      </c>
      <c r="D7" s="114">
        <v>30</v>
      </c>
      <c r="E7" s="115">
        <v>1086</v>
      </c>
      <c r="F7" s="116">
        <f t="shared" si="0"/>
        <v>32580</v>
      </c>
      <c r="G7" s="116">
        <v>5587</v>
      </c>
      <c r="H7" s="115">
        <f t="shared" si="1"/>
        <v>167610</v>
      </c>
      <c r="I7" s="115"/>
      <c r="J7" s="115"/>
      <c r="K7" s="116"/>
      <c r="L7" s="116"/>
      <c r="M7" s="116"/>
      <c r="N7" s="116">
        <f t="shared" ref="N7:N11" si="2">F7+H7+J7+L7</f>
        <v>200190</v>
      </c>
      <c r="O7" s="196"/>
    </row>
    <row r="8" spans="1:16" ht="12.95" customHeight="1" x14ac:dyDescent="0.3">
      <c r="A8" s="199"/>
      <c r="B8" s="164" t="s">
        <v>93</v>
      </c>
      <c r="C8" s="165" t="s">
        <v>90</v>
      </c>
      <c r="D8" s="170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96"/>
    </row>
    <row r="9" spans="1:16" ht="12.95" customHeight="1" x14ac:dyDescent="0.3">
      <c r="A9" s="199"/>
      <c r="B9" s="112" t="s">
        <v>94</v>
      </c>
      <c r="C9" s="113" t="s">
        <v>90</v>
      </c>
      <c r="D9" s="114">
        <v>20</v>
      </c>
      <c r="E9" s="115">
        <v>1086</v>
      </c>
      <c r="F9" s="116">
        <f t="shared" si="0"/>
        <v>21720</v>
      </c>
      <c r="G9" s="116">
        <v>5587</v>
      </c>
      <c r="H9" s="115">
        <f t="shared" si="1"/>
        <v>111740</v>
      </c>
      <c r="I9" s="115"/>
      <c r="J9" s="115"/>
      <c r="K9" s="116"/>
      <c r="L9" s="116"/>
      <c r="M9" s="116"/>
      <c r="N9" s="116">
        <f t="shared" si="2"/>
        <v>133460</v>
      </c>
      <c r="O9" s="196"/>
    </row>
    <row r="10" spans="1:16" ht="12.95" customHeight="1" x14ac:dyDescent="0.3">
      <c r="A10" s="199"/>
      <c r="B10" s="164" t="s">
        <v>95</v>
      </c>
      <c r="C10" s="165" t="s">
        <v>90</v>
      </c>
      <c r="D10" s="170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96"/>
    </row>
    <row r="11" spans="1:16" ht="12.95" customHeight="1" x14ac:dyDescent="0.3">
      <c r="A11" s="200"/>
      <c r="B11" s="112" t="s">
        <v>172</v>
      </c>
      <c r="C11" s="113" t="s">
        <v>90</v>
      </c>
      <c r="D11" s="117">
        <f>SUM(D5:D10)*50%</f>
        <v>52.5</v>
      </c>
      <c r="E11" s="115"/>
      <c r="F11" s="116"/>
      <c r="G11" s="116">
        <v>1351</v>
      </c>
      <c r="H11" s="115">
        <f t="shared" si="1"/>
        <v>70927.5</v>
      </c>
      <c r="I11" s="115"/>
      <c r="J11" s="115"/>
      <c r="K11" s="116"/>
      <c r="L11" s="116"/>
      <c r="M11" s="116"/>
      <c r="N11" s="116">
        <f t="shared" si="2"/>
        <v>70927.5</v>
      </c>
      <c r="O11" s="197"/>
    </row>
    <row r="12" spans="1:16" ht="12.95" customHeight="1" x14ac:dyDescent="0.3">
      <c r="A12" s="154" t="s">
        <v>96</v>
      </c>
      <c r="B12" s="118"/>
      <c r="C12" s="119"/>
      <c r="D12" s="120">
        <f>SUM(D5:D10)</f>
        <v>105</v>
      </c>
      <c r="E12" s="121"/>
      <c r="F12" s="121">
        <f>SUM(F5:F11)</f>
        <v>114030</v>
      </c>
      <c r="G12" s="121"/>
      <c r="H12" s="121">
        <f>SUM(H5:H11)</f>
        <v>657562.5</v>
      </c>
      <c r="I12" s="121"/>
      <c r="J12" s="121">
        <f>SUM(J5:J11)</f>
        <v>0</v>
      </c>
      <c r="K12" s="121"/>
      <c r="L12" s="121">
        <f>SUM(L5:L11)</f>
        <v>0</v>
      </c>
      <c r="M12" s="121"/>
      <c r="N12" s="121">
        <f>SUM(N5:N11)</f>
        <v>771592.5</v>
      </c>
      <c r="O12" s="121"/>
      <c r="P12" s="122"/>
    </row>
    <row r="13" spans="1:16" ht="12.95" customHeight="1" x14ac:dyDescent="0.3">
      <c r="A13" s="189" t="s">
        <v>97</v>
      </c>
      <c r="B13" s="112" t="s">
        <v>98</v>
      </c>
      <c r="C13" s="113" t="s">
        <v>90</v>
      </c>
      <c r="D13" s="117">
        <v>18</v>
      </c>
      <c r="E13" s="115"/>
      <c r="F13" s="115"/>
      <c r="G13" s="115">
        <v>4054</v>
      </c>
      <c r="H13" s="116">
        <f t="shared" ref="H13:H15" si="3">D13*G13</f>
        <v>72972</v>
      </c>
      <c r="I13" s="115"/>
      <c r="J13" s="115"/>
      <c r="K13" s="115"/>
      <c r="L13" s="116"/>
      <c r="M13" s="115"/>
      <c r="N13" s="116">
        <f t="shared" ref="N13:N19" si="4">F13+H13+J13+L13</f>
        <v>72972</v>
      </c>
      <c r="O13" s="195" t="s">
        <v>168</v>
      </c>
    </row>
    <row r="14" spans="1:16" ht="12.95" customHeight="1" x14ac:dyDescent="0.3">
      <c r="A14" s="190"/>
      <c r="B14" s="112" t="s">
        <v>99</v>
      </c>
      <c r="C14" s="113" t="s">
        <v>90</v>
      </c>
      <c r="D14" s="123">
        <v>9</v>
      </c>
      <c r="E14" s="115"/>
      <c r="F14" s="115"/>
      <c r="G14" s="115">
        <v>4054</v>
      </c>
      <c r="H14" s="116">
        <f t="shared" si="3"/>
        <v>36486</v>
      </c>
      <c r="I14" s="115"/>
      <c r="J14" s="115"/>
      <c r="K14" s="115"/>
      <c r="L14" s="116"/>
      <c r="M14" s="115"/>
      <c r="N14" s="116">
        <f t="shared" si="4"/>
        <v>36486</v>
      </c>
      <c r="O14" s="196"/>
    </row>
    <row r="15" spans="1:16" ht="12.95" customHeight="1" x14ac:dyDescent="0.3">
      <c r="A15" s="190"/>
      <c r="B15" s="112" t="s">
        <v>100</v>
      </c>
      <c r="C15" s="113" t="s">
        <v>90</v>
      </c>
      <c r="D15" s="123">
        <v>7</v>
      </c>
      <c r="E15" s="115"/>
      <c r="F15" s="115"/>
      <c r="G15" s="115">
        <v>4054</v>
      </c>
      <c r="H15" s="116">
        <f t="shared" si="3"/>
        <v>28378</v>
      </c>
      <c r="I15" s="115"/>
      <c r="J15" s="115"/>
      <c r="K15" s="115"/>
      <c r="L15" s="116"/>
      <c r="M15" s="115"/>
      <c r="N15" s="116">
        <f t="shared" si="4"/>
        <v>28378</v>
      </c>
      <c r="O15" s="196"/>
    </row>
    <row r="16" spans="1:16" ht="12.95" customHeight="1" x14ac:dyDescent="0.3">
      <c r="A16" s="190"/>
      <c r="B16" s="112" t="s">
        <v>101</v>
      </c>
      <c r="C16" s="113" t="s">
        <v>102</v>
      </c>
      <c r="D16" s="123">
        <v>4</v>
      </c>
      <c r="E16" s="116">
        <v>12525</v>
      </c>
      <c r="F16" s="116">
        <f>D16*E16</f>
        <v>50100</v>
      </c>
      <c r="G16" s="115"/>
      <c r="H16" s="116"/>
      <c r="I16" s="116"/>
      <c r="J16" s="116"/>
      <c r="K16" s="115"/>
      <c r="L16" s="116"/>
      <c r="M16" s="115"/>
      <c r="N16" s="116">
        <f t="shared" si="4"/>
        <v>50100</v>
      </c>
      <c r="O16" s="196"/>
    </row>
    <row r="17" spans="1:15" ht="12.95" customHeight="1" x14ac:dyDescent="0.3">
      <c r="A17" s="190"/>
      <c r="B17" s="112" t="s">
        <v>103</v>
      </c>
      <c r="C17" s="113" t="s">
        <v>90</v>
      </c>
      <c r="D17" s="117">
        <v>18</v>
      </c>
      <c r="E17" s="116">
        <v>12525</v>
      </c>
      <c r="F17" s="116">
        <f>D17*E17</f>
        <v>225450</v>
      </c>
      <c r="G17" s="115">
        <v>3718</v>
      </c>
      <c r="H17" s="116">
        <f>D17*G17</f>
        <v>66924</v>
      </c>
      <c r="I17" s="116"/>
      <c r="J17" s="116"/>
      <c r="K17" s="115"/>
      <c r="L17" s="116"/>
      <c r="M17" s="115"/>
      <c r="N17" s="116">
        <f t="shared" si="4"/>
        <v>292374</v>
      </c>
      <c r="O17" s="196"/>
    </row>
    <row r="18" spans="1:15" ht="12.95" customHeight="1" x14ac:dyDescent="0.3">
      <c r="A18" s="190"/>
      <c r="B18" s="112" t="s">
        <v>104</v>
      </c>
      <c r="C18" s="113" t="s">
        <v>90</v>
      </c>
      <c r="D18" s="123">
        <v>9</v>
      </c>
      <c r="E18" s="116">
        <v>12525</v>
      </c>
      <c r="F18" s="116">
        <f>D18*E18</f>
        <v>112725</v>
      </c>
      <c r="G18" s="115">
        <v>3718</v>
      </c>
      <c r="H18" s="116">
        <f>D18*G18</f>
        <v>33462</v>
      </c>
      <c r="I18" s="116"/>
      <c r="J18" s="116"/>
      <c r="K18" s="115"/>
      <c r="L18" s="116"/>
      <c r="M18" s="115"/>
      <c r="N18" s="116">
        <f t="shared" si="4"/>
        <v>146187</v>
      </c>
      <c r="O18" s="196"/>
    </row>
    <row r="19" spans="1:15" ht="12.95" customHeight="1" x14ac:dyDescent="0.3">
      <c r="A19" s="190"/>
      <c r="B19" s="112" t="s">
        <v>105</v>
      </c>
      <c r="C19" s="113" t="s">
        <v>90</v>
      </c>
      <c r="D19" s="123">
        <v>7</v>
      </c>
      <c r="E19" s="116">
        <v>12525</v>
      </c>
      <c r="F19" s="116">
        <f>D19*E19</f>
        <v>87675</v>
      </c>
      <c r="G19" s="115">
        <v>3718</v>
      </c>
      <c r="H19" s="116">
        <f>D19*G19</f>
        <v>26026</v>
      </c>
      <c r="I19" s="116"/>
      <c r="J19" s="116"/>
      <c r="K19" s="115"/>
      <c r="L19" s="116"/>
      <c r="M19" s="115"/>
      <c r="N19" s="116">
        <f t="shared" si="4"/>
        <v>113701</v>
      </c>
      <c r="O19" s="196"/>
    </row>
    <row r="20" spans="1:15" ht="12.95" customHeight="1" x14ac:dyDescent="0.3">
      <c r="A20" s="154" t="s">
        <v>96</v>
      </c>
      <c r="B20" s="118"/>
      <c r="C20" s="124"/>
      <c r="D20" s="124">
        <f>SUM(D17:D19)</f>
        <v>34</v>
      </c>
      <c r="E20" s="121"/>
      <c r="F20" s="121">
        <f>SUM(F13:F19)</f>
        <v>475950</v>
      </c>
      <c r="G20" s="121"/>
      <c r="H20" s="121">
        <f>SUM(H13:H19)</f>
        <v>264248</v>
      </c>
      <c r="I20" s="121"/>
      <c r="J20" s="121">
        <f>SUM(J13:J19)</f>
        <v>0</v>
      </c>
      <c r="K20" s="121"/>
      <c r="L20" s="121">
        <f>SUM(L13:L19)</f>
        <v>0</v>
      </c>
      <c r="M20" s="121"/>
      <c r="N20" s="121">
        <f>SUM(N13:N19)</f>
        <v>740198</v>
      </c>
      <c r="O20" s="121"/>
    </row>
    <row r="21" spans="1:15" ht="12.95" customHeight="1" x14ac:dyDescent="0.3">
      <c r="A21" s="152" t="s">
        <v>106</v>
      </c>
      <c r="B21" s="125"/>
      <c r="C21" s="126"/>
      <c r="D21" s="127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</row>
    <row r="22" spans="1:15" ht="12.95" customHeight="1" x14ac:dyDescent="0.3">
      <c r="A22" s="188" t="s">
        <v>107</v>
      </c>
      <c r="B22" s="164" t="s">
        <v>108</v>
      </c>
      <c r="C22" s="165" t="s">
        <v>90</v>
      </c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3"/>
    </row>
    <row r="23" spans="1:15" ht="12.95" customHeight="1" x14ac:dyDescent="0.3">
      <c r="A23" s="188"/>
      <c r="B23" s="125" t="s">
        <v>109</v>
      </c>
      <c r="C23" s="126" t="s">
        <v>90</v>
      </c>
      <c r="D23" s="127">
        <v>20</v>
      </c>
      <c r="E23" s="115">
        <v>385</v>
      </c>
      <c r="F23" s="115">
        <f t="shared" ref="F23:F29" si="5">D23*E23</f>
        <v>7700</v>
      </c>
      <c r="G23" s="115">
        <v>5132</v>
      </c>
      <c r="H23" s="115">
        <f t="shared" ref="H23:H27" si="6">D23*G23</f>
        <v>102640</v>
      </c>
      <c r="I23" s="115"/>
      <c r="J23" s="115"/>
      <c r="K23" s="115"/>
      <c r="L23" s="116"/>
      <c r="M23" s="115"/>
      <c r="N23" s="116">
        <f t="shared" ref="N23:N29" si="7">F23+H23+J23+L23</f>
        <v>110340</v>
      </c>
      <c r="O23" s="191" t="s">
        <v>197</v>
      </c>
    </row>
    <row r="24" spans="1:15" ht="12.95" customHeight="1" x14ac:dyDescent="0.3">
      <c r="A24" s="188" t="s">
        <v>110</v>
      </c>
      <c r="B24" s="125" t="s">
        <v>108</v>
      </c>
      <c r="C24" s="126" t="s">
        <v>90</v>
      </c>
      <c r="D24" s="127">
        <v>20</v>
      </c>
      <c r="E24" s="115">
        <v>441</v>
      </c>
      <c r="F24" s="115">
        <f>D24*E24</f>
        <v>8820</v>
      </c>
      <c r="G24" s="115">
        <v>8656</v>
      </c>
      <c r="H24" s="115">
        <f t="shared" si="6"/>
        <v>173120</v>
      </c>
      <c r="I24" s="115"/>
      <c r="J24" s="115"/>
      <c r="K24" s="115"/>
      <c r="L24" s="116"/>
      <c r="M24" s="115"/>
      <c r="N24" s="116">
        <f t="shared" si="7"/>
        <v>181940</v>
      </c>
      <c r="O24" s="192"/>
    </row>
    <row r="25" spans="1:15" ht="12.95" customHeight="1" x14ac:dyDescent="0.3">
      <c r="A25" s="188"/>
      <c r="B25" s="164" t="s">
        <v>109</v>
      </c>
      <c r="C25" s="165" t="s">
        <v>90</v>
      </c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3"/>
    </row>
    <row r="26" spans="1:15" ht="12.95" customHeight="1" x14ac:dyDescent="0.3">
      <c r="A26" s="188" t="s">
        <v>111</v>
      </c>
      <c r="B26" s="125" t="s">
        <v>112</v>
      </c>
      <c r="C26" s="126" t="s">
        <v>90</v>
      </c>
      <c r="D26" s="127">
        <v>10</v>
      </c>
      <c r="E26" s="115"/>
      <c r="F26" s="115">
        <f t="shared" si="5"/>
        <v>0</v>
      </c>
      <c r="G26" s="115">
        <v>8706</v>
      </c>
      <c r="H26" s="115">
        <f t="shared" si="6"/>
        <v>87060</v>
      </c>
      <c r="I26" s="115"/>
      <c r="J26" s="115"/>
      <c r="K26" s="115"/>
      <c r="L26" s="116"/>
      <c r="M26" s="115"/>
      <c r="N26" s="116">
        <f t="shared" si="7"/>
        <v>87060</v>
      </c>
      <c r="O26" s="163"/>
    </row>
    <row r="27" spans="1:15" ht="12.95" customHeight="1" x14ac:dyDescent="0.3">
      <c r="A27" s="188"/>
      <c r="B27" s="125" t="s">
        <v>113</v>
      </c>
      <c r="C27" s="126" t="s">
        <v>90</v>
      </c>
      <c r="D27" s="127">
        <v>10</v>
      </c>
      <c r="E27" s="115">
        <v>510</v>
      </c>
      <c r="F27" s="115">
        <f t="shared" ref="F27" si="8">D27*E27</f>
        <v>5100</v>
      </c>
      <c r="G27" s="115">
        <v>3119</v>
      </c>
      <c r="H27" s="115">
        <f t="shared" si="6"/>
        <v>31190</v>
      </c>
      <c r="I27" s="115"/>
      <c r="J27" s="115"/>
      <c r="K27" s="115"/>
      <c r="L27" s="116"/>
      <c r="M27" s="115"/>
      <c r="N27" s="116">
        <f t="shared" si="7"/>
        <v>36290</v>
      </c>
      <c r="O27" s="163"/>
    </row>
    <row r="28" spans="1:15" ht="12.95" customHeight="1" x14ac:dyDescent="0.3">
      <c r="A28" s="188" t="s">
        <v>114</v>
      </c>
      <c r="B28" s="125" t="s">
        <v>112</v>
      </c>
      <c r="C28" s="126" t="s">
        <v>90</v>
      </c>
      <c r="D28" s="127">
        <v>2</v>
      </c>
      <c r="E28" s="115"/>
      <c r="F28" s="115">
        <f t="shared" si="5"/>
        <v>0</v>
      </c>
      <c r="G28" s="115">
        <v>8706</v>
      </c>
      <c r="H28" s="115">
        <f>D28*G28</f>
        <v>17412</v>
      </c>
      <c r="I28" s="115"/>
      <c r="J28" s="115"/>
      <c r="K28" s="115"/>
      <c r="L28" s="116"/>
      <c r="M28" s="115"/>
      <c r="N28" s="116">
        <f t="shared" si="7"/>
        <v>17412</v>
      </c>
      <c r="O28" s="163"/>
    </row>
    <row r="29" spans="1:15" ht="12.95" customHeight="1" x14ac:dyDescent="0.3">
      <c r="A29" s="188"/>
      <c r="B29" s="125" t="s">
        <v>115</v>
      </c>
      <c r="C29" s="126" t="s">
        <v>90</v>
      </c>
      <c r="D29" s="127">
        <v>2</v>
      </c>
      <c r="E29" s="115">
        <v>419</v>
      </c>
      <c r="F29" s="115">
        <f t="shared" si="5"/>
        <v>838</v>
      </c>
      <c r="G29" s="115">
        <v>2566</v>
      </c>
      <c r="H29" s="115">
        <f t="shared" ref="H29" si="9">D29*G29</f>
        <v>5132</v>
      </c>
      <c r="I29" s="115"/>
      <c r="J29" s="115"/>
      <c r="K29" s="115"/>
      <c r="L29" s="116"/>
      <c r="M29" s="115"/>
      <c r="N29" s="116">
        <f t="shared" si="7"/>
        <v>5970</v>
      </c>
      <c r="O29" s="163"/>
    </row>
    <row r="30" spans="1:15" ht="12.95" customHeight="1" x14ac:dyDescent="0.3">
      <c r="A30" s="154" t="s">
        <v>96</v>
      </c>
      <c r="B30" s="128"/>
      <c r="C30" s="129"/>
      <c r="D30" s="120"/>
      <c r="E30" s="121"/>
      <c r="F30" s="121">
        <f>SUM(F21:F29)</f>
        <v>22458</v>
      </c>
      <c r="G30" s="121"/>
      <c r="H30" s="121">
        <f>SUM(H21:H29)</f>
        <v>416554</v>
      </c>
      <c r="I30" s="121"/>
      <c r="J30" s="121">
        <f>SUM(J21:J29)</f>
        <v>0</v>
      </c>
      <c r="K30" s="121"/>
      <c r="L30" s="121">
        <f>SUM(L21:L29)</f>
        <v>0</v>
      </c>
      <c r="M30" s="121"/>
      <c r="N30" s="121">
        <f>SUM(N21:N29)</f>
        <v>439012</v>
      </c>
      <c r="O30" s="121"/>
    </row>
    <row r="31" spans="1:15" ht="12.95" customHeight="1" x14ac:dyDescent="0.3">
      <c r="A31" s="153" t="s">
        <v>116</v>
      </c>
      <c r="B31" s="112" t="s">
        <v>117</v>
      </c>
      <c r="C31" s="113" t="s">
        <v>90</v>
      </c>
      <c r="D31" s="130">
        <v>40</v>
      </c>
      <c r="E31" s="116"/>
      <c r="F31" s="116"/>
      <c r="G31" s="115">
        <v>6557</v>
      </c>
      <c r="H31" s="116">
        <f>D31*G31</f>
        <v>262280</v>
      </c>
      <c r="I31" s="116"/>
      <c r="J31" s="116"/>
      <c r="K31" s="116"/>
      <c r="L31" s="116"/>
      <c r="M31" s="116"/>
      <c r="N31" s="116">
        <f>F31+H31+J31+L31</f>
        <v>262280</v>
      </c>
      <c r="O31" s="131" t="s">
        <v>166</v>
      </c>
    </row>
    <row r="32" spans="1:15" ht="12.95" customHeight="1" x14ac:dyDescent="0.3">
      <c r="A32" s="155" t="s">
        <v>96</v>
      </c>
      <c r="B32" s="118"/>
      <c r="C32" s="119"/>
      <c r="D32" s="132"/>
      <c r="E32" s="133"/>
      <c r="F32" s="133"/>
      <c r="G32" s="133"/>
      <c r="H32" s="121">
        <f>SUM(H31:H31)</f>
        <v>262280</v>
      </c>
      <c r="I32" s="133"/>
      <c r="J32" s="121">
        <f t="shared" ref="J32:N32" si="10">SUM(J31:J31)</f>
        <v>0</v>
      </c>
      <c r="K32" s="121"/>
      <c r="L32" s="121">
        <f t="shared" si="10"/>
        <v>0</v>
      </c>
      <c r="M32" s="121"/>
      <c r="N32" s="121">
        <f t="shared" si="10"/>
        <v>262280</v>
      </c>
      <c r="O32" s="133"/>
    </row>
    <row r="33" spans="1:15" ht="12.95" customHeight="1" x14ac:dyDescent="0.3">
      <c r="A33" s="156" t="s">
        <v>118</v>
      </c>
      <c r="B33" s="134"/>
      <c r="C33" s="135"/>
      <c r="D33" s="136"/>
      <c r="E33" s="137"/>
      <c r="F33" s="137">
        <f>F12+F20+F30+F32</f>
        <v>612438</v>
      </c>
      <c r="G33" s="137"/>
      <c r="H33" s="137">
        <f>H12+H20+H30+H32</f>
        <v>1600644.5</v>
      </c>
      <c r="I33" s="137"/>
      <c r="J33" s="137">
        <f>J12+J20+J30+J32</f>
        <v>0</v>
      </c>
      <c r="K33" s="137"/>
      <c r="L33" s="137">
        <f>L12+L20+L30+L32</f>
        <v>0</v>
      </c>
      <c r="M33" s="137"/>
      <c r="N33" s="137">
        <f>N12+N20+N30+N32</f>
        <v>2213082.5</v>
      </c>
      <c r="O33" s="137"/>
    </row>
  </sheetData>
  <mergeCells count="21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13:A19"/>
    <mergeCell ref="O23:O24"/>
    <mergeCell ref="A4:B4"/>
    <mergeCell ref="O5:O11"/>
    <mergeCell ref="A5:A11"/>
    <mergeCell ref="O13:O19"/>
    <mergeCell ref="A22:A23"/>
    <mergeCell ref="A24:A25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119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120</v>
      </c>
      <c r="B3" s="72" t="s">
        <v>121</v>
      </c>
      <c r="C3" s="72" t="s">
        <v>122</v>
      </c>
      <c r="D3" s="72" t="s">
        <v>123</v>
      </c>
      <c r="E3" s="73" t="s">
        <v>124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125</v>
      </c>
      <c r="C4" s="75" t="s">
        <v>126</v>
      </c>
      <c r="D4" s="76">
        <v>1300</v>
      </c>
      <c r="E4" s="77" t="s">
        <v>171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C18" sqref="C18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59" t="s">
        <v>47</v>
      </c>
      <c r="B1" s="160" t="s">
        <v>48</v>
      </c>
      <c r="C1" s="160" t="s">
        <v>49</v>
      </c>
      <c r="D1" s="160" t="s">
        <v>50</v>
      </c>
      <c r="E1" s="160" t="s">
        <v>51</v>
      </c>
      <c r="F1" s="160" t="s">
        <v>5</v>
      </c>
      <c r="G1" s="160" t="s">
        <v>52</v>
      </c>
      <c r="H1" s="160" t="s">
        <v>53</v>
      </c>
      <c r="I1" s="160" t="s">
        <v>54</v>
      </c>
      <c r="J1" s="160" t="s">
        <v>55</v>
      </c>
      <c r="K1" s="160" t="s">
        <v>56</v>
      </c>
      <c r="L1" s="160" t="s">
        <v>57</v>
      </c>
      <c r="M1" s="160" t="s">
        <v>58</v>
      </c>
      <c r="N1" s="160" t="s">
        <v>59</v>
      </c>
      <c r="O1" s="160" t="s">
        <v>60</v>
      </c>
      <c r="P1" s="160" t="s">
        <v>61</v>
      </c>
      <c r="Q1" s="160" t="s">
        <v>62</v>
      </c>
      <c r="R1" s="160" t="s">
        <v>63</v>
      </c>
    </row>
    <row r="2" spans="1:18" x14ac:dyDescent="0.3">
      <c r="A2" s="83">
        <v>999999</v>
      </c>
      <c r="B2" s="82" t="s">
        <v>163</v>
      </c>
      <c r="C2" s="83" t="s">
        <v>170</v>
      </c>
      <c r="D2" s="83" t="s">
        <v>169</v>
      </c>
      <c r="E2" s="83" t="s">
        <v>130</v>
      </c>
      <c r="F2" s="157">
        <v>105</v>
      </c>
      <c r="G2" s="158">
        <v>1086</v>
      </c>
      <c r="H2" s="158"/>
      <c r="I2" s="158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163</v>
      </c>
      <c r="C3" s="83" t="s">
        <v>165</v>
      </c>
      <c r="D3" s="83" t="s">
        <v>164</v>
      </c>
      <c r="E3" s="83" t="s">
        <v>130</v>
      </c>
      <c r="F3" s="157">
        <v>40</v>
      </c>
      <c r="G3" s="158"/>
      <c r="H3" s="158"/>
      <c r="I3" s="158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B19" sqref="B19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</row>
    <row r="2" spans="1:6" x14ac:dyDescent="0.3">
      <c r="A2" s="161" t="str">
        <f>'내역서(표준단가)'!A5</f>
        <v>D02641</v>
      </c>
      <c r="B2" s="162" t="str">
        <f>'내역서(표준단가)'!F5</f>
        <v>D02641</v>
      </c>
      <c r="C2" s="162">
        <f>'내역서(표준단가)'!G5</f>
        <v>0</v>
      </c>
      <c r="D2" s="162">
        <f>'내역서(표준단가)'!H5</f>
        <v>0</v>
      </c>
      <c r="E2" s="162">
        <f>'내역서(표준단가)'!I5</f>
        <v>0</v>
      </c>
      <c r="F2" s="162">
        <f>'내역서(표준단가)'!M5</f>
        <v>105</v>
      </c>
    </row>
    <row r="3" spans="1:6" x14ac:dyDescent="0.3">
      <c r="A3" s="161" t="str">
        <f>'내역서(표준단가)'!A6</f>
        <v>D02873</v>
      </c>
      <c r="B3" s="162" t="str">
        <f>'내역서(표준단가)'!F6</f>
        <v>D02873</v>
      </c>
      <c r="C3" s="162">
        <f>'내역서(표준단가)'!G6</f>
        <v>0</v>
      </c>
      <c r="D3" s="162">
        <f>'내역서(표준단가)'!H6</f>
        <v>0</v>
      </c>
      <c r="E3" s="162">
        <f>'내역서(표준단가)'!I6</f>
        <v>0</v>
      </c>
      <c r="F3" s="162">
        <f>'내역서(표준단가)'!M6</f>
        <v>53</v>
      </c>
    </row>
    <row r="4" spans="1:6" x14ac:dyDescent="0.3">
      <c r="A4" s="161" t="str">
        <f>'내역서(표준단가)'!A7</f>
        <v>D02859</v>
      </c>
      <c r="B4" s="162" t="str">
        <f>'내역서(표준단가)'!F7</f>
        <v>D02859</v>
      </c>
      <c r="C4" s="162">
        <f>'내역서(표준단가)'!G7</f>
        <v>0</v>
      </c>
      <c r="D4" s="162">
        <f>'내역서(표준단가)'!H7</f>
        <v>0</v>
      </c>
      <c r="E4" s="162">
        <f>'내역서(표준단가)'!I7</f>
        <v>0</v>
      </c>
      <c r="F4" s="162">
        <f>'내역서(표준단가)'!M7</f>
        <v>34</v>
      </c>
    </row>
    <row r="5" spans="1:6" x14ac:dyDescent="0.3">
      <c r="A5" s="161" t="str">
        <f>'내역서(표준단가)'!A8</f>
        <v>D02558</v>
      </c>
      <c r="B5" s="162" t="str">
        <f>'내역서(표준단가)'!F8</f>
        <v>D02558</v>
      </c>
      <c r="C5" s="162">
        <f>'내역서(표준단가)'!G8</f>
        <v>0</v>
      </c>
      <c r="D5" s="162">
        <f>'내역서(표준단가)'!H8</f>
        <v>0</v>
      </c>
      <c r="E5" s="162">
        <f>'내역서(표준단가)'!I8</f>
        <v>0</v>
      </c>
      <c r="F5" s="162">
        <f>'내역서(표준단가)'!M8</f>
        <v>34</v>
      </c>
    </row>
    <row r="6" spans="1:6" x14ac:dyDescent="0.3">
      <c r="A6" s="161" t="str">
        <f>'내역서(표준단가)'!A9</f>
        <v>D02825</v>
      </c>
      <c r="B6" s="162" t="str">
        <f>'내역서(표준단가)'!F9</f>
        <v>D02825</v>
      </c>
      <c r="C6" s="162">
        <f>'내역서(표준단가)'!G9</f>
        <v>0</v>
      </c>
      <c r="D6" s="162">
        <f>'내역서(표준단가)'!H9</f>
        <v>0</v>
      </c>
      <c r="E6" s="162">
        <f>'내역서(표준단가)'!I9</f>
        <v>0</v>
      </c>
      <c r="F6" s="162">
        <f>'내역서(표준단가)'!M9</f>
        <v>20</v>
      </c>
    </row>
    <row r="7" spans="1:6" x14ac:dyDescent="0.3">
      <c r="A7" s="161" t="str">
        <f>'내역서(표준단가)'!A10</f>
        <v>D02832</v>
      </c>
      <c r="B7" s="162" t="str">
        <f>'내역서(표준단가)'!F10</f>
        <v>D02832</v>
      </c>
      <c r="C7" s="162">
        <f>'내역서(표준단가)'!G10</f>
        <v>0</v>
      </c>
      <c r="D7" s="162">
        <f>'내역서(표준단가)'!H10</f>
        <v>0</v>
      </c>
      <c r="E7" s="162">
        <f>'내역서(표준단가)'!I10</f>
        <v>0</v>
      </c>
      <c r="F7" s="162">
        <f>'내역서(표준단가)'!M10</f>
        <v>20</v>
      </c>
    </row>
    <row r="8" spans="1:6" x14ac:dyDescent="0.3">
      <c r="A8" s="161" t="str">
        <f>'내역서(표준단가)'!A11</f>
        <v>D02830</v>
      </c>
      <c r="B8" s="162" t="str">
        <f>'내역서(표준단가)'!F11</f>
        <v>D02830</v>
      </c>
      <c r="C8" s="162">
        <f>'내역서(표준단가)'!G11</f>
        <v>0</v>
      </c>
      <c r="D8" s="162">
        <f>'내역서(표준단가)'!H11</f>
        <v>0</v>
      </c>
      <c r="E8" s="162">
        <f>'내역서(표준단가)'!I11</f>
        <v>0</v>
      </c>
      <c r="F8" s="162">
        <f>'내역서(표준단가)'!M11</f>
        <v>10</v>
      </c>
    </row>
    <row r="9" spans="1:6" x14ac:dyDescent="0.3">
      <c r="A9" s="161" t="str">
        <f>'내역서(표준단가)'!A12</f>
        <v>D02836</v>
      </c>
      <c r="B9" s="162" t="str">
        <f>'내역서(표준단가)'!F12</f>
        <v>D02836</v>
      </c>
      <c r="C9" s="162">
        <f>'내역서(표준단가)'!G12</f>
        <v>0</v>
      </c>
      <c r="D9" s="162">
        <f>'내역서(표준단가)'!H12</f>
        <v>0</v>
      </c>
      <c r="E9" s="162">
        <f>'내역서(표준단가)'!I12</f>
        <v>0</v>
      </c>
      <c r="F9" s="162">
        <f>'내역서(표준단가)'!M12</f>
        <v>10</v>
      </c>
    </row>
    <row r="10" spans="1:6" x14ac:dyDescent="0.3">
      <c r="A10" s="161" t="str">
        <f>'내역서(표준단가)'!A13</f>
        <v>D02830</v>
      </c>
      <c r="B10" s="162" t="str">
        <f>'내역서(표준단가)'!F13</f>
        <v>D02830</v>
      </c>
      <c r="C10" s="162">
        <f>'내역서(표준단가)'!G13</f>
        <v>0</v>
      </c>
      <c r="D10" s="162">
        <f>'내역서(표준단가)'!H13</f>
        <v>0</v>
      </c>
      <c r="E10" s="162">
        <f>'내역서(표준단가)'!I13</f>
        <v>0</v>
      </c>
      <c r="F10" s="162">
        <f>'내역서(표준단가)'!M13</f>
        <v>2</v>
      </c>
    </row>
    <row r="11" spans="1:6" x14ac:dyDescent="0.3">
      <c r="A11" s="161" t="str">
        <f>'내역서(표준단가)'!A14</f>
        <v>D02835</v>
      </c>
      <c r="B11" s="162" t="str">
        <f>'내역서(표준단가)'!F14</f>
        <v>D02835</v>
      </c>
      <c r="C11" s="162">
        <f>'내역서(표준단가)'!G14</f>
        <v>0</v>
      </c>
      <c r="D11" s="162">
        <f>'내역서(표준단가)'!H14</f>
        <v>0</v>
      </c>
      <c r="E11" s="162">
        <f>'내역서(표준단가)'!I14</f>
        <v>0</v>
      </c>
      <c r="F11" s="162">
        <f>'내역서(표준단가)'!M14</f>
        <v>2</v>
      </c>
    </row>
    <row r="12" spans="1:6" x14ac:dyDescent="0.3">
      <c r="A12" s="161" t="str">
        <f>'내역서(표준단가)'!A15</f>
        <v>M012003400500101</v>
      </c>
      <c r="B12" s="162">
        <f>'내역서(표준단가)'!F15</f>
        <v>0</v>
      </c>
      <c r="C12" s="162">
        <f>'내역서(표준단가)'!G15</f>
        <v>0</v>
      </c>
      <c r="D12" s="162" t="str">
        <f>'내역서(표준단가)'!H15</f>
        <v>M012003400500101</v>
      </c>
      <c r="E12" s="162">
        <f>'내역서(표준단가)'!I15</f>
        <v>0</v>
      </c>
      <c r="F12" s="162">
        <f>'내역서(표준단가)'!M15</f>
        <v>34</v>
      </c>
    </row>
    <row r="13" spans="1:6" x14ac:dyDescent="0.3">
      <c r="A13" s="161" t="str">
        <f>'내역서(표준단가)'!A16</f>
        <v>M010602702400101</v>
      </c>
      <c r="B13" s="162">
        <f>'내역서(표준단가)'!F16</f>
        <v>0</v>
      </c>
      <c r="C13" s="162">
        <f>'내역서(표준단가)'!G16</f>
        <v>0</v>
      </c>
      <c r="D13" s="162" t="str">
        <f>'내역서(표준단가)'!H16</f>
        <v>M010602702400101</v>
      </c>
      <c r="E13" s="162">
        <f>'내역서(표준단가)'!I16</f>
        <v>0</v>
      </c>
      <c r="F13" s="162">
        <f>'내역서(표준단가)'!M16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2025-02-07T05:48:31Z</dcterms:modified>
</cp:coreProperties>
</file>
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6 외부임차 월마감\25년-외부임차\02월\01 솔루션\02 임차사택 수장공사 최준용(Cell개발)\"/>
    </mc:Choice>
  </mc:AlternateContent>
  <xr:revisionPtr revIDLastSave="0" documentId="13_ncr:1_{99CDEB13-505C-4635-861C-995AF1907597}" xr6:coauthVersionLast="47" xr6:coauthVersionMax="47" xr10:uidLastSave="{00000000-0000-0000-0000-000000000000}"/>
  <bookViews>
    <workbookView xWindow="14310" yWindow="0" windowWidth="14490" windowHeight="15480" firstSheet="2" activeTab="4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rss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J24" i="9" l="1"/>
  <c r="J14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N8" i="9" s="1"/>
  <c r="H7" i="9"/>
  <c r="F7" i="9"/>
  <c r="H6" i="9"/>
  <c r="F6" i="9"/>
  <c r="H5" i="9"/>
  <c r="F5" i="9"/>
  <c r="N10" i="9" l="1"/>
  <c r="N6" i="9"/>
  <c r="N12" i="9"/>
  <c r="N5" i="9"/>
  <c r="N7" i="9"/>
  <c r="N9" i="9"/>
  <c r="N11" i="9"/>
  <c r="N20" i="9"/>
  <c r="N22" i="9"/>
  <c r="N21" i="9"/>
  <c r="N23" i="9"/>
  <c r="H24" i="9"/>
  <c r="J25" i="9"/>
  <c r="F14" i="9"/>
  <c r="L14" i="9"/>
  <c r="L24" i="9"/>
  <c r="F24" i="9"/>
  <c r="F25" i="9" l="1"/>
  <c r="J12" i="4"/>
  <c r="U10" i="4"/>
  <c r="S10" i="4"/>
  <c r="Q10" i="4"/>
  <c r="O10" i="4"/>
  <c r="A10" i="4"/>
  <c r="A7" i="1" s="1"/>
  <c r="A13" i="4"/>
  <c r="A11" i="4"/>
  <c r="A8" i="1" s="1"/>
  <c r="A9" i="4"/>
  <c r="A6" i="1" s="1"/>
  <c r="A8" i="4"/>
  <c r="A5" i="1" s="1"/>
  <c r="A7" i="4"/>
  <c r="A4" i="1" s="1"/>
  <c r="A6" i="4"/>
  <c r="A3" i="1" s="1"/>
  <c r="A5" i="4"/>
  <c r="A2" i="1" s="1"/>
  <c r="V10" i="4" l="1"/>
  <c r="U11" i="4"/>
  <c r="S11" i="4"/>
  <c r="Q11" i="4"/>
  <c r="O11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6" i="4"/>
  <c r="V8" i="4"/>
  <c r="V11" i="4"/>
  <c r="D24" i="9"/>
  <c r="D14" i="9"/>
  <c r="H13" i="9"/>
  <c r="N13" i="9" l="1"/>
  <c r="N14" i="9" s="1"/>
  <c r="H14" i="9"/>
  <c r="H25" i="9" s="1"/>
  <c r="N24" i="9"/>
  <c r="N25" i="9" l="1"/>
  <c r="U13" i="4"/>
  <c r="S13" i="4"/>
  <c r="Q13" i="4"/>
  <c r="O13" i="4"/>
  <c r="U12" i="4"/>
  <c r="S12" i="4"/>
  <c r="Q12" i="4"/>
  <c r="O12" i="4"/>
  <c r="V12" i="4" l="1"/>
  <c r="V13" i="4"/>
  <c r="U14" i="4"/>
  <c r="Q14" i="4"/>
  <c r="S14" i="4" l="1"/>
  <c r="V14" i="4" l="1"/>
  <c r="F18" i="5" l="1"/>
  <c r="O14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<sst xmlns="http://schemas.openxmlformats.org/spreadsheetml/2006/main" count="225" uniqueCount="173">
  <si>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</si>
  <si>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</si>
  <si>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</si>
  <si>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</si>
  <si>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</si>
  <si>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</si>
  <si>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</si>
  <si>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</si>
  <si>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</si>
  <si>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</si>
  <si>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</si>
  <si>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</si>
  <si>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</si>
  <si>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</si>
  <si>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</si>
  <si>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</si>
  <si>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</si>
  <si>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</si>
  <si>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</si>
  <si>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</si>
  <si>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</si>
  <si>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</si>
  <si>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</si>
  <si>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</si>
  <si>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</si>
  <si>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</si>
  <si>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</si>
  <si>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</si>
  <si>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</si>
  <si>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</si>
  <si>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</si>
  <si>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</si>
  <si>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</si>
  <si>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</si>
  <si>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</si>
  <si>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</si>
  <si>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</si>
  <si>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</si>
  <si>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</si>
  <si>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</si>
  <si>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</si>
  <si>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</si>
  <si>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</si>
  <si>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</si>
  <si>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</si>
  <si>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</si>
  <si>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</si>
  <si>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</si>
  <si>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</si>
  <si>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</si>
  <si>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</si>
  <si>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</si>
  <si>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</si>
  <si>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</si>
  <si>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</si>
  <si>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</si>
  <si>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</si>
  <si>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</si>
  <si>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</si>
  <si>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</si>
  <si>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</si>
  <si>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</si>
  <si>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</si>
  <si>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</si>
  <si>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</si>
  <si>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</si>
  <si>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</si>
  <si>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</si>
  <si>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</si>
  <si>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</si>
  <si>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</si>
  <si>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</si>
  <si>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</si>
  <si>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</si>
  <si>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</si>
  <si>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</si>
  <si>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</si>
  <si>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</si>
  <si>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</si>
  <si>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</si>
  <si>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</si>
  <si>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</si>
  <si>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</si>
  <si>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</si>
  <si>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</si>
  <si>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</si>
  <si>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</si>
  <si>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</si>
  <si>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</si>
  <si>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</si>
  <si>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</si>
  <si>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</si>
  <si>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</si>
  <si>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</si>
  <si>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</si>
  <si>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</si>
  <si>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</si>
  <si>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</si>
  <si>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</si>
  <si>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</si>
  <si>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</si>
  <si>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</si>
  <si>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</si>
  <si>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</si>
  <si>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</si>
  <si>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</si>
  <si>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</si>
  <si>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</si>
  <si>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</si>
  <si>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</si>
  <si>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</si>
  <si>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</si>
  <si>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</si>
  <si>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</si>
  <si>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</si>
  <si>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</si>
  <si>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</si>
  <si>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</si>
  <si>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</si>
  <si>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</si>
  <si>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</si>
  <si>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</si>
  <si>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</si>
  <si>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</si>
  <si>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</si>
  <si>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</si>
  <si>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</si>
  <si>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</si>
  <si>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</si>
  <si>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</si>
  <si>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</si>
  <si>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</si>
  <si>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</si>
  <si>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</si>
  <si>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</si>
  <si>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</si>
  <si>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</si>
  <si>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</si>
  <si>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</si>
  <si>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</si>
  <si>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</si>
  <si>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</si>
  <si>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</si>
  <si>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</si>
  <si>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</si>
  <si>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</si>
  <si>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</si>
  <si>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</si>
  <si>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</si>
  <si>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40%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</si>
  <si>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</si>
  <si>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</si>
  <si>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</si>
  <si>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</si>
  <si>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</si>
  <si>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</si>
  <si>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</si>
  <si>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</si>
  <si>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</si>
  <si>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</si>
  <si>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</si>
  <si>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</si>
  <si>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</si>
  <si>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</si>
  <si>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</si>
  <si>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</si>
  <si>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</si>
  <si>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</si>
  <si>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</si>
  <si>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</si>
  <si>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임차사택 수장공사-최준용책임</t>
    <phoneticPr fontId="11" type="noConversion"/>
  </si>
  <si>
    <t xml:space="preserve"> 견적일 : 2024 년  12월  30일</t>
    <phoneticPr fontId="11" type="noConversion"/>
  </si>
  <si>
    <t>임차사택 수장공사-최준용책임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</si>
</sst>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0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3" t="s">
        <v>6</v>
      </c>
      <c r="B2" s="153"/>
      <c r="C2" s="153"/>
      <c r="D2" s="153"/>
      <c r="E2" s="153"/>
      <c r="F2" s="153"/>
      <c r="G2" s="153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56" t="s">
        <v>170</v>
      </c>
      <c r="B7" s="157"/>
      <c r="C7" s="158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56" t="s">
        <v>171</v>
      </c>
      <c r="B9" s="157"/>
      <c r="C9" s="158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54"/>
      <c r="B11" s="155"/>
      <c r="C11" s="155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이백오십육만삼천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'내역서(표준단가)'!O14</f>
        <v>700732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'내역서(표준단가)'!Q14</f>
        <v>1511682.3299999998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'내역서(표준단가)'!S14+'내역서(표준단가)'!U14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2212414.33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68025.704849999995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53589.138598500002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6939.7934485057503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15267.991532999999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53815.890947999993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64823.739869000012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88707.229462350282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351169.48870935605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2563583.8187093562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2563000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70" zoomScaleNormal="70" workbookViewId="0">
      <selection activeCell="O12" sqref="O12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59"/>
      <c r="B1" s="159"/>
      <c r="C1" s="159"/>
      <c r="D1" s="159"/>
      <c r="E1" s="159"/>
      <c r="F1" s="159"/>
      <c r="G1" s="159"/>
      <c r="H1" s="159"/>
      <c r="I1" s="159"/>
      <c r="N1" s="83"/>
      <c r="O1" s="81" t="s">
        <v>150</v>
      </c>
      <c r="Q1" s="81" t="s">
        <v>150</v>
      </c>
      <c r="S1" s="81" t="s">
        <v>150</v>
      </c>
      <c r="U1" s="81" t="s">
        <v>150</v>
      </c>
    </row>
    <row r="2" spans="1:24" ht="19.899999999999999" customHeight="1" thickBot="1" x14ac:dyDescent="0.35">
      <c r="A2" s="159"/>
      <c r="B2" s="159"/>
      <c r="C2" s="159"/>
      <c r="D2" s="159"/>
      <c r="E2" s="159"/>
      <c r="F2" s="159"/>
      <c r="G2" s="159"/>
      <c r="H2" s="159"/>
      <c r="I2" s="159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151</v>
      </c>
      <c r="G3" s="87"/>
      <c r="H3" s="87"/>
      <c r="I3" s="87"/>
      <c r="J3" s="168" t="s">
        <v>152</v>
      </c>
      <c r="K3" s="168"/>
      <c r="L3" s="168" t="s">
        <v>52</v>
      </c>
      <c r="M3" s="168" t="s">
        <v>5</v>
      </c>
      <c r="N3" s="164" t="s">
        <v>153</v>
      </c>
      <c r="O3" s="164"/>
      <c r="P3" s="164" t="s">
        <v>154</v>
      </c>
      <c r="Q3" s="164"/>
      <c r="R3" s="165" t="s">
        <v>155</v>
      </c>
      <c r="S3" s="165"/>
      <c r="T3" s="165" t="s">
        <v>156</v>
      </c>
      <c r="U3" s="165"/>
      <c r="V3" s="166" t="s">
        <v>157</v>
      </c>
      <c r="W3" s="162" t="s">
        <v>158</v>
      </c>
      <c r="X3" s="160" t="s">
        <v>46</v>
      </c>
    </row>
    <row r="4" spans="1:24" ht="19.899999999999999" customHeight="1" x14ac:dyDescent="0.3">
      <c r="A4" s="88" t="s">
        <v>159</v>
      </c>
      <c r="B4" s="89"/>
      <c r="C4" s="89"/>
      <c r="D4" s="89"/>
      <c r="E4" s="89"/>
      <c r="F4" s="90" t="s">
        <v>160</v>
      </c>
      <c r="G4" s="90" t="s">
        <v>161</v>
      </c>
      <c r="H4" s="90" t="s">
        <v>162</v>
      </c>
      <c r="I4" s="90" t="s">
        <v>163</v>
      </c>
      <c r="J4" s="91" t="s">
        <v>164</v>
      </c>
      <c r="K4" s="91" t="s">
        <v>165</v>
      </c>
      <c r="L4" s="169"/>
      <c r="M4" s="169"/>
      <c r="N4" s="92" t="s">
        <v>166</v>
      </c>
      <c r="O4" s="93" t="s">
        <v>167</v>
      </c>
      <c r="P4" s="92" t="s">
        <v>168</v>
      </c>
      <c r="Q4" s="93" t="s">
        <v>167</v>
      </c>
      <c r="R4" s="93" t="s">
        <v>169</v>
      </c>
      <c r="S4" s="93" t="s">
        <v>167</v>
      </c>
      <c r="T4" s="93" t="s">
        <v>169</v>
      </c>
      <c r="U4" s="93" t="s">
        <v>167</v>
      </c>
      <c r="V4" s="167"/>
      <c r="W4" s="163"/>
      <c r="X4" s="161"/>
    </row>
    <row r="5" spans="1:24" s="104" customFormat="1" ht="19.899999999999999" customHeight="1" x14ac:dyDescent="0.3">
      <c r="A5" s="94" t="str">
        <f t="shared" ref="A5:A13" si="0">F5&amp;G5&amp;H5&amp;I5</f>
        <v>D02641</v>
      </c>
      <c r="B5" s="95"/>
      <c r="C5" s="95"/>
      <c r="D5" s="95"/>
      <c r="E5" s="95"/>
      <c r="F5" s="97" t="s">
        <v>120</v>
      </c>
      <c r="G5" s="96"/>
      <c r="H5" s="96"/>
      <c r="I5" s="97"/>
      <c r="J5" s="98" t="s">
        <v>121</v>
      </c>
      <c r="K5" s="98" t="s">
        <v>122</v>
      </c>
      <c r="L5" s="98" t="s">
        <v>123</v>
      </c>
      <c r="M5" s="139">
        <v>122</v>
      </c>
      <c r="N5" s="99"/>
      <c r="O5" s="100">
        <f t="shared" ref="O5:O11" si="1">SUM(N5:N5)*M5*$O$2</f>
        <v>0</v>
      </c>
      <c r="P5" s="140">
        <v>6691</v>
      </c>
      <c r="Q5" s="100">
        <f t="shared" ref="Q5:Q11" si="2">(P5*M5)*$Q$2</f>
        <v>681612.16999999993</v>
      </c>
      <c r="R5" s="101"/>
      <c r="S5" s="100">
        <f t="shared" ref="S5:S11" si="3">R5*M5*$S$2</f>
        <v>0</v>
      </c>
      <c r="T5" s="101"/>
      <c r="U5" s="100">
        <f t="shared" ref="U5:U11" si="4">T5*M5*$U$2</f>
        <v>0</v>
      </c>
      <c r="V5" s="101">
        <f t="shared" ref="V5:V11" si="5">SUM(O5+Q5)+S5+U5</f>
        <v>681612.16999999993</v>
      </c>
      <c r="W5" s="102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124</v>
      </c>
      <c r="G6" s="96"/>
      <c r="H6" s="96"/>
      <c r="I6" s="97"/>
      <c r="J6" s="98" t="s">
        <v>125</v>
      </c>
      <c r="K6" s="98" t="s">
        <v>122</v>
      </c>
      <c r="L6" s="98" t="s">
        <v>123</v>
      </c>
      <c r="M6" s="139">
        <v>62</v>
      </c>
      <c r="N6" s="99"/>
      <c r="O6" s="100">
        <f t="shared" si="1"/>
        <v>0</v>
      </c>
      <c r="P6" s="140">
        <v>8698</v>
      </c>
      <c r="Q6" s="100">
        <f t="shared" si="2"/>
        <v>450295.45999999996</v>
      </c>
      <c r="R6" s="101"/>
      <c r="S6" s="100">
        <f t="shared" si="3"/>
        <v>0</v>
      </c>
      <c r="T6" s="101"/>
      <c r="U6" s="100">
        <f t="shared" si="4"/>
        <v>0</v>
      </c>
      <c r="V6" s="101">
        <f t="shared" si="5"/>
        <v>450295.45999999996</v>
      </c>
      <c r="W6" s="102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126</v>
      </c>
      <c r="G7" s="96"/>
      <c r="H7" s="96"/>
      <c r="I7" s="97"/>
      <c r="J7" s="98" t="s">
        <v>127</v>
      </c>
      <c r="K7" s="98" t="s">
        <v>128</v>
      </c>
      <c r="L7" s="98" t="s">
        <v>123</v>
      </c>
      <c r="M7" s="139">
        <v>74</v>
      </c>
      <c r="N7" s="99"/>
      <c r="O7" s="100">
        <f t="shared" si="1"/>
        <v>0</v>
      </c>
      <c r="P7" s="140">
        <v>1618</v>
      </c>
      <c r="Q7" s="100">
        <f t="shared" si="2"/>
        <v>99976.22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99976.22</v>
      </c>
      <c r="W7" s="102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129</v>
      </c>
      <c r="G8" s="96"/>
      <c r="H8" s="96"/>
      <c r="I8" s="97"/>
      <c r="J8" s="98" t="s">
        <v>130</v>
      </c>
      <c r="K8" s="98" t="s">
        <v>131</v>
      </c>
      <c r="L8" s="98" t="s">
        <v>123</v>
      </c>
      <c r="M8" s="139">
        <v>36</v>
      </c>
      <c r="N8" s="99"/>
      <c r="O8" s="100">
        <f t="shared" si="1"/>
        <v>0</v>
      </c>
      <c r="P8" s="140">
        <v>4855</v>
      </c>
      <c r="Q8" s="100">
        <f t="shared" si="2"/>
        <v>145941.29999999999</v>
      </c>
      <c r="R8" s="101"/>
      <c r="S8" s="100">
        <f t="shared" si="3"/>
        <v>0</v>
      </c>
      <c r="T8" s="101"/>
      <c r="U8" s="100">
        <f t="shared" si="4"/>
        <v>0</v>
      </c>
      <c r="V8" s="101">
        <f t="shared" si="5"/>
        <v>145941.29999999999</v>
      </c>
      <c r="W8" s="102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132</v>
      </c>
      <c r="G9" s="96"/>
      <c r="H9" s="96"/>
      <c r="I9" s="97"/>
      <c r="J9" s="98" t="s">
        <v>133</v>
      </c>
      <c r="K9" s="98" t="s">
        <v>134</v>
      </c>
      <c r="L9" s="98" t="s">
        <v>123</v>
      </c>
      <c r="M9" s="139">
        <v>36</v>
      </c>
      <c r="N9" s="105"/>
      <c r="O9" s="100">
        <f t="shared" si="1"/>
        <v>0</v>
      </c>
      <c r="P9" s="140">
        <v>4453</v>
      </c>
      <c r="Q9" s="100">
        <f t="shared" si="2"/>
        <v>133857.18</v>
      </c>
      <c r="R9" s="101"/>
      <c r="S9" s="100">
        <f t="shared" si="3"/>
        <v>0</v>
      </c>
      <c r="T9" s="101"/>
      <c r="U9" s="100">
        <f t="shared" si="4"/>
        <v>0</v>
      </c>
      <c r="V9" s="101">
        <f t="shared" si="5"/>
        <v>133857.18</v>
      </c>
      <c r="W9" s="102"/>
      <c r="X9" s="103"/>
    </row>
    <row r="10" spans="1:24" s="104" customFormat="1" ht="19.899999999999999" customHeight="1" x14ac:dyDescent="0.3">
      <c r="A10" s="94" t="str">
        <f t="shared" ref="A10" si="6">F10&amp;G10&amp;H10&amp;I10</f>
        <v>M012003400500101</v>
      </c>
      <c r="B10" s="95"/>
      <c r="C10" s="95"/>
      <c r="D10" s="95"/>
      <c r="E10" s="95"/>
      <c r="F10" s="97"/>
      <c r="G10" s="96"/>
      <c r="H10" s="141" t="s">
        <v>140</v>
      </c>
      <c r="I10" s="97"/>
      <c r="J10" s="107" t="s">
        <v>141</v>
      </c>
      <c r="K10" s="107" t="s">
        <v>142</v>
      </c>
      <c r="L10" s="98" t="s">
        <v>123</v>
      </c>
      <c r="M10" s="139">
        <v>36</v>
      </c>
      <c r="N10" s="142">
        <v>15000</v>
      </c>
      <c r="O10" s="100">
        <f t="shared" ref="O10" si="7">SUM(N10:N10)*M10*$O$2</f>
        <v>450900</v>
      </c>
      <c r="P10" s="106"/>
      <c r="Q10" s="100">
        <f t="shared" ref="Q10" si="8">(P10*M10)*$Q$2</f>
        <v>0</v>
      </c>
      <c r="R10" s="101"/>
      <c r="S10" s="100">
        <f t="shared" ref="S10" si="9">R10*M10*$S$2</f>
        <v>0</v>
      </c>
      <c r="T10" s="101"/>
      <c r="U10" s="100">
        <f t="shared" ref="U10" si="10">T10*M10*$U$2</f>
        <v>0</v>
      </c>
      <c r="V10" s="101">
        <f t="shared" ref="V10" si="11">SUM(O10+Q10)+S10+U10</f>
        <v>450900</v>
      </c>
      <c r="W10" s="102"/>
      <c r="X10" s="103"/>
    </row>
    <row r="11" spans="1:24" s="104" customFormat="1" ht="19.899999999999999" customHeight="1" x14ac:dyDescent="0.3">
      <c r="A11" s="94" t="str">
        <f t="shared" si="0"/>
        <v>M010602702400101</v>
      </c>
      <c r="B11" s="95"/>
      <c r="C11" s="95"/>
      <c r="D11" s="95"/>
      <c r="E11" s="95"/>
      <c r="F11" s="97"/>
      <c r="G11" s="96"/>
      <c r="H11" s="141" t="s">
        <v>135</v>
      </c>
      <c r="I11" s="97"/>
      <c r="J11" s="107" t="s">
        <v>136</v>
      </c>
      <c r="K11" s="107" t="s">
        <v>137</v>
      </c>
      <c r="L11" s="107" t="s">
        <v>138</v>
      </c>
      <c r="M11" s="102">
        <v>4</v>
      </c>
      <c r="N11" s="142">
        <v>15000</v>
      </c>
      <c r="O11" s="100">
        <f t="shared" si="1"/>
        <v>50100</v>
      </c>
      <c r="P11" s="106"/>
      <c r="Q11" s="100">
        <f t="shared" si="2"/>
        <v>0</v>
      </c>
      <c r="R11" s="101"/>
      <c r="S11" s="100">
        <f t="shared" si="3"/>
        <v>0</v>
      </c>
      <c r="T11" s="101"/>
      <c r="U11" s="100">
        <f t="shared" si="4"/>
        <v>0</v>
      </c>
      <c r="V11" s="101">
        <f t="shared" si="5"/>
        <v>50100</v>
      </c>
      <c r="W11" s="102"/>
      <c r="X11" s="103"/>
    </row>
    <row r="12" spans="1:24" s="104" customFormat="1" ht="19.899999999999999" customHeight="1" x14ac:dyDescent="0.3">
      <c r="A12" s="94"/>
      <c r="B12" s="95"/>
      <c r="C12" s="95"/>
      <c r="D12" s="95"/>
      <c r="E12" s="95"/>
      <c r="F12" s="97"/>
      <c r="G12" s="96"/>
      <c r="H12" s="96"/>
      <c r="I12" s="97"/>
      <c r="J12" s="98" t="str">
        <f>"시중가_"&amp;K12&amp;")"</f>
        <v>시중가_합지벽지(LG하우시스 휘앙세))</v>
      </c>
      <c r="K12" s="98" t="s">
        <v>139</v>
      </c>
      <c r="L12" s="98" t="s">
        <v>123</v>
      </c>
      <c r="M12" s="139">
        <v>184</v>
      </c>
      <c r="N12" s="99">
        <v>1300</v>
      </c>
      <c r="O12" s="100">
        <f t="shared" ref="O12:O13" si="12">SUM(N12:N12)*M12*$O$2</f>
        <v>199732</v>
      </c>
      <c r="P12" s="106"/>
      <c r="Q12" s="100">
        <f t="shared" ref="Q12:Q13" si="13">(P12*M12)*$Q$2</f>
        <v>0</v>
      </c>
      <c r="R12" s="101"/>
      <c r="S12" s="100">
        <f t="shared" ref="S12:S13" si="14">R12*M12*$S$2</f>
        <v>0</v>
      </c>
      <c r="T12" s="101"/>
      <c r="U12" s="100">
        <f t="shared" ref="U12:U13" si="15">T12*M12*$U$2</f>
        <v>0</v>
      </c>
      <c r="V12" s="101">
        <f t="shared" ref="V12:V13" si="16">SUM(O12+Q12)+S12+U12</f>
        <v>199732</v>
      </c>
      <c r="W12" s="102"/>
      <c r="X12" s="103"/>
    </row>
    <row r="13" spans="1:24" s="104" customFormat="1" ht="19.899999999999999" customHeight="1" x14ac:dyDescent="0.3">
      <c r="A13" s="94" t="str">
        <f t="shared" si="0"/>
        <v/>
      </c>
      <c r="B13" s="95"/>
      <c r="C13" s="95"/>
      <c r="D13" s="95"/>
      <c r="E13" s="95"/>
      <c r="F13" s="97"/>
      <c r="G13" s="96"/>
      <c r="H13" s="96"/>
      <c r="I13" s="97"/>
      <c r="J13" s="143"/>
      <c r="K13" s="143"/>
      <c r="L13" s="144"/>
      <c r="M13" s="139"/>
      <c r="N13" s="99"/>
      <c r="O13" s="100">
        <f t="shared" si="12"/>
        <v>0</v>
      </c>
      <c r="P13" s="106"/>
      <c r="Q13" s="100">
        <f t="shared" si="13"/>
        <v>0</v>
      </c>
      <c r="R13" s="101"/>
      <c r="S13" s="100">
        <f t="shared" si="14"/>
        <v>0</v>
      </c>
      <c r="T13" s="101"/>
      <c r="U13" s="100">
        <f t="shared" si="15"/>
        <v>0</v>
      </c>
      <c r="V13" s="101">
        <f t="shared" si="16"/>
        <v>0</v>
      </c>
      <c r="W13" s="108"/>
      <c r="X13" s="103"/>
    </row>
    <row r="14" spans="1:24" s="110" customFormat="1" ht="19.899999999999999" customHeight="1" x14ac:dyDescent="0.3">
      <c r="A14" s="109"/>
      <c r="B14" s="109"/>
      <c r="C14" s="109"/>
      <c r="D14" s="109"/>
      <c r="E14" s="109"/>
      <c r="O14" s="111">
        <f>SUM(O5:O13)</f>
        <v>700732</v>
      </c>
      <c r="P14" s="112"/>
      <c r="Q14" s="111">
        <f>SUM(Q5:Q13)</f>
        <v>1511682.3299999998</v>
      </c>
      <c r="R14" s="112"/>
      <c r="S14" s="111">
        <f>SUM(S5:S13)</f>
        <v>0</v>
      </c>
      <c r="T14" s="112"/>
      <c r="U14" s="111">
        <f>SUM(U5:U13)</f>
        <v>0</v>
      </c>
      <c r="V14" s="113">
        <f>SUM(V5:V13)</f>
        <v>2212414.33</v>
      </c>
      <c r="W14" s="114"/>
    </row>
    <row r="18" spans="17:17" x14ac:dyDescent="0.3">
      <c r="Q18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38" customWidth="1"/>
    <col min="2" max="2" width="27.625" style="138" customWidth="1"/>
    <col min="3" max="3" width="5.75" style="138" customWidth="1"/>
    <col min="4" max="4" width="5.25" style="138" customWidth="1"/>
    <col min="5" max="8" width="20.625" style="138" customWidth="1"/>
    <col min="9" max="12" width="20.625" style="138" hidden="1" customWidth="1"/>
    <col min="13" max="14" width="20.625" style="138" customWidth="1"/>
    <col min="15" max="15" width="32.75" style="138" customWidth="1"/>
    <col min="16" max="16384" width="9" style="117"/>
  </cols>
  <sheetData>
    <row r="1" spans="1:16" ht="27" customHeight="1" x14ac:dyDescent="0.3">
      <c r="A1" s="181" t="s">
        <v>76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6" ht="12.95" customHeight="1" x14ac:dyDescent="0.3">
      <c r="A2" s="183" t="s">
        <v>77</v>
      </c>
      <c r="B2" s="184" t="s">
        <v>78</v>
      </c>
      <c r="C2" s="185" t="s">
        <v>52</v>
      </c>
      <c r="D2" s="185" t="s">
        <v>79</v>
      </c>
      <c r="E2" s="187" t="s">
        <v>80</v>
      </c>
      <c r="F2" s="184"/>
      <c r="G2" s="184" t="s">
        <v>81</v>
      </c>
      <c r="H2" s="184"/>
      <c r="I2" s="188" t="s">
        <v>82</v>
      </c>
      <c r="J2" s="189"/>
      <c r="K2" s="188" t="s">
        <v>83</v>
      </c>
      <c r="L2" s="189"/>
      <c r="M2" s="187" t="s">
        <v>84</v>
      </c>
      <c r="N2" s="184"/>
      <c r="O2" s="190" t="s">
        <v>85</v>
      </c>
    </row>
    <row r="3" spans="1:16" ht="12.95" customHeight="1" x14ac:dyDescent="0.3">
      <c r="A3" s="183"/>
      <c r="B3" s="184"/>
      <c r="C3" s="186"/>
      <c r="D3" s="18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191"/>
    </row>
    <row r="4" spans="1:16" ht="12.95" customHeight="1" x14ac:dyDescent="0.3">
      <c r="A4" s="179" t="s">
        <v>172</v>
      </c>
      <c r="B4" s="18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73" t="s">
        <v>89</v>
      </c>
      <c r="B5" s="121" t="s">
        <v>90</v>
      </c>
      <c r="C5" s="122" t="s">
        <v>91</v>
      </c>
      <c r="D5" s="123">
        <v>40</v>
      </c>
      <c r="E5" s="124">
        <v>1086</v>
      </c>
      <c r="F5" s="125">
        <f t="shared" ref="F5:F12" si="0">D5*E5</f>
        <v>43440</v>
      </c>
      <c r="G5" s="125">
        <v>5587</v>
      </c>
      <c r="H5" s="124">
        <f t="shared" ref="H5:H13" si="1">D5*G5</f>
        <v>223480</v>
      </c>
      <c r="I5" s="124"/>
      <c r="J5" s="124"/>
      <c r="K5" s="125"/>
      <c r="L5" s="125"/>
      <c r="M5" s="125"/>
      <c r="N5" s="125">
        <f>F5+H5+J5+L5</f>
        <v>266920</v>
      </c>
      <c r="O5" s="170" t="s">
        <v>144</v>
      </c>
    </row>
    <row r="6" spans="1:16" ht="12.95" customHeight="1" x14ac:dyDescent="0.3">
      <c r="A6" s="174"/>
      <c r="B6" s="121" t="s">
        <v>92</v>
      </c>
      <c r="C6" s="122" t="s">
        <v>91</v>
      </c>
      <c r="D6" s="123">
        <v>24</v>
      </c>
      <c r="E6" s="124">
        <v>1086</v>
      </c>
      <c r="F6" s="125">
        <f t="shared" si="0"/>
        <v>26064</v>
      </c>
      <c r="G6" s="125">
        <v>7263</v>
      </c>
      <c r="H6" s="124">
        <f t="shared" si="1"/>
        <v>174312</v>
      </c>
      <c r="I6" s="124"/>
      <c r="J6" s="124"/>
      <c r="K6" s="125"/>
      <c r="L6" s="125"/>
      <c r="M6" s="125"/>
      <c r="N6" s="125">
        <f t="shared" ref="N6:N13" si="2">F6+H6+J6+L6</f>
        <v>200376</v>
      </c>
      <c r="O6" s="171"/>
    </row>
    <row r="7" spans="1:16" ht="12.95" customHeight="1" x14ac:dyDescent="0.3">
      <c r="A7" s="174"/>
      <c r="B7" s="121" t="s">
        <v>93</v>
      </c>
      <c r="C7" s="122" t="s">
        <v>91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si="2"/>
        <v>213536</v>
      </c>
      <c r="O7" s="171"/>
    </row>
    <row r="8" spans="1:16" ht="12.95" customHeight="1" x14ac:dyDescent="0.3">
      <c r="A8" s="174"/>
      <c r="B8" s="121" t="s">
        <v>94</v>
      </c>
      <c r="C8" s="122" t="s">
        <v>91</v>
      </c>
      <c r="D8" s="123">
        <v>16</v>
      </c>
      <c r="E8" s="124">
        <v>1086</v>
      </c>
      <c r="F8" s="125">
        <f t="shared" si="0"/>
        <v>17376</v>
      </c>
      <c r="G8" s="125">
        <v>7263</v>
      </c>
      <c r="H8" s="124">
        <f t="shared" si="1"/>
        <v>116208</v>
      </c>
      <c r="I8" s="124"/>
      <c r="J8" s="124"/>
      <c r="K8" s="125"/>
      <c r="L8" s="125"/>
      <c r="M8" s="125"/>
      <c r="N8" s="125">
        <f t="shared" si="2"/>
        <v>133584</v>
      </c>
      <c r="O8" s="171"/>
    </row>
    <row r="9" spans="1:16" ht="12.95" customHeight="1" x14ac:dyDescent="0.3">
      <c r="A9" s="174"/>
      <c r="B9" s="121" t="s">
        <v>95</v>
      </c>
      <c r="C9" s="122" t="s">
        <v>91</v>
      </c>
      <c r="D9" s="123">
        <v>25</v>
      </c>
      <c r="E9" s="124">
        <v>1086</v>
      </c>
      <c r="F9" s="125">
        <f t="shared" si="0"/>
        <v>27150</v>
      </c>
      <c r="G9" s="125">
        <v>5587</v>
      </c>
      <c r="H9" s="124">
        <f t="shared" si="1"/>
        <v>139675</v>
      </c>
      <c r="I9" s="124"/>
      <c r="J9" s="124"/>
      <c r="K9" s="125"/>
      <c r="L9" s="125"/>
      <c r="M9" s="125"/>
      <c r="N9" s="125">
        <f t="shared" si="2"/>
        <v>166825</v>
      </c>
      <c r="O9" s="171"/>
    </row>
    <row r="10" spans="1:16" ht="12.95" customHeight="1" x14ac:dyDescent="0.3">
      <c r="A10" s="174"/>
      <c r="B10" s="121" t="s">
        <v>96</v>
      </c>
      <c r="C10" s="122" t="s">
        <v>91</v>
      </c>
      <c r="D10" s="123">
        <v>11</v>
      </c>
      <c r="E10" s="124">
        <v>1086</v>
      </c>
      <c r="F10" s="125">
        <f t="shared" si="0"/>
        <v>11946</v>
      </c>
      <c r="G10" s="125">
        <v>7263</v>
      </c>
      <c r="H10" s="124">
        <f t="shared" si="1"/>
        <v>79893</v>
      </c>
      <c r="I10" s="124"/>
      <c r="J10" s="124"/>
      <c r="K10" s="125"/>
      <c r="L10" s="125"/>
      <c r="M10" s="125"/>
      <c r="N10" s="125">
        <f t="shared" si="2"/>
        <v>91839</v>
      </c>
      <c r="O10" s="171"/>
    </row>
    <row r="11" spans="1:16" ht="12.95" customHeight="1" x14ac:dyDescent="0.3">
      <c r="A11" s="174"/>
      <c r="B11" s="121" t="s">
        <v>97</v>
      </c>
      <c r="C11" s="122" t="s">
        <v>91</v>
      </c>
      <c r="D11" s="123">
        <v>25</v>
      </c>
      <c r="E11" s="124">
        <v>1086</v>
      </c>
      <c r="F11" s="125">
        <f t="shared" si="0"/>
        <v>27150</v>
      </c>
      <c r="G11" s="125">
        <v>5587</v>
      </c>
      <c r="H11" s="124">
        <f t="shared" si="1"/>
        <v>139675</v>
      </c>
      <c r="I11" s="124"/>
      <c r="J11" s="124"/>
      <c r="K11" s="125"/>
      <c r="L11" s="125"/>
      <c r="M11" s="125"/>
      <c r="N11" s="125">
        <f t="shared" si="2"/>
        <v>166825</v>
      </c>
      <c r="O11" s="171"/>
    </row>
    <row r="12" spans="1:16" ht="12.95" customHeight="1" x14ac:dyDescent="0.3">
      <c r="A12" s="174"/>
      <c r="B12" s="121" t="s">
        <v>98</v>
      </c>
      <c r="C12" s="122" t="s">
        <v>91</v>
      </c>
      <c r="D12" s="123">
        <v>11</v>
      </c>
      <c r="E12" s="124">
        <v>1086</v>
      </c>
      <c r="F12" s="125">
        <f t="shared" si="0"/>
        <v>11946</v>
      </c>
      <c r="G12" s="125">
        <v>7263</v>
      </c>
      <c r="H12" s="124">
        <f t="shared" si="1"/>
        <v>79893</v>
      </c>
      <c r="I12" s="124"/>
      <c r="J12" s="124"/>
      <c r="K12" s="125"/>
      <c r="L12" s="125"/>
      <c r="M12" s="125"/>
      <c r="N12" s="125">
        <f t="shared" si="2"/>
        <v>91839</v>
      </c>
      <c r="O12" s="171"/>
    </row>
    <row r="13" spans="1:16" ht="12.95" customHeight="1" x14ac:dyDescent="0.3">
      <c r="A13" s="175"/>
      <c r="B13" s="121" t="s">
        <v>149</v>
      </c>
      <c r="C13" s="122" t="s">
        <v>91</v>
      </c>
      <c r="D13" s="126">
        <f>SUM(D5:D12)*40%</f>
        <v>73.600000000000009</v>
      </c>
      <c r="E13" s="124"/>
      <c r="F13" s="125"/>
      <c r="G13" s="125">
        <v>1351</v>
      </c>
      <c r="H13" s="124">
        <f t="shared" si="1"/>
        <v>99433.600000000006</v>
      </c>
      <c r="I13" s="124"/>
      <c r="J13" s="124"/>
      <c r="K13" s="125"/>
      <c r="L13" s="125"/>
      <c r="M13" s="125"/>
      <c r="N13" s="125">
        <f t="shared" si="2"/>
        <v>99433.600000000006</v>
      </c>
      <c r="O13" s="172"/>
    </row>
    <row r="14" spans="1:16" ht="12.95" customHeight="1" x14ac:dyDescent="0.3">
      <c r="A14" s="145" t="s">
        <v>99</v>
      </c>
      <c r="B14" s="127"/>
      <c r="C14" s="128"/>
      <c r="D14" s="129">
        <f>SUM(D5:D12)</f>
        <v>184</v>
      </c>
      <c r="E14" s="130"/>
      <c r="F14" s="130">
        <f>SUM(F5:F13)</f>
        <v>199824</v>
      </c>
      <c r="G14" s="130"/>
      <c r="H14" s="130">
        <f>SUM(H5:H13)</f>
        <v>1231353.6000000001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1431177.6</v>
      </c>
      <c r="O14" s="130"/>
      <c r="P14" s="131"/>
    </row>
    <row r="15" spans="1:16" ht="12.95" customHeight="1" x14ac:dyDescent="0.3">
      <c r="A15" s="176" t="s">
        <v>100</v>
      </c>
      <c r="B15" s="121" t="s">
        <v>101</v>
      </c>
      <c r="C15" s="122" t="s">
        <v>91</v>
      </c>
      <c r="D15" s="126">
        <v>15</v>
      </c>
      <c r="E15" s="124"/>
      <c r="F15" s="124"/>
      <c r="G15" s="124">
        <v>4054</v>
      </c>
      <c r="H15" s="125">
        <f t="shared" ref="H15:H18" si="3">D15*G15</f>
        <v>60810</v>
      </c>
      <c r="I15" s="124"/>
      <c r="J15" s="124"/>
      <c r="K15" s="124"/>
      <c r="L15" s="125"/>
      <c r="M15" s="124"/>
      <c r="N15" s="125">
        <f t="shared" ref="N15:N23" si="4">F15+H15+J15+L15</f>
        <v>60810</v>
      </c>
      <c r="O15" s="170" t="s">
        <v>145</v>
      </c>
    </row>
    <row r="16" spans="1:16" ht="12.95" customHeight="1" x14ac:dyDescent="0.3">
      <c r="A16" s="177"/>
      <c r="B16" s="121" t="s">
        <v>102</v>
      </c>
      <c r="C16" s="122" t="s">
        <v>91</v>
      </c>
      <c r="D16" s="132">
        <v>8</v>
      </c>
      <c r="E16" s="124"/>
      <c r="F16" s="124"/>
      <c r="G16" s="124">
        <v>4054</v>
      </c>
      <c r="H16" s="125">
        <f t="shared" si="3"/>
        <v>32432</v>
      </c>
      <c r="I16" s="124"/>
      <c r="J16" s="124"/>
      <c r="K16" s="124"/>
      <c r="L16" s="125"/>
      <c r="M16" s="124"/>
      <c r="N16" s="125">
        <f t="shared" si="4"/>
        <v>32432</v>
      </c>
      <c r="O16" s="171"/>
    </row>
    <row r="17" spans="1:15" ht="12.95" customHeight="1" x14ac:dyDescent="0.3">
      <c r="A17" s="177"/>
      <c r="B17" s="121" t="s">
        <v>103</v>
      </c>
      <c r="C17" s="122" t="s">
        <v>91</v>
      </c>
      <c r="D17" s="132">
        <v>7</v>
      </c>
      <c r="E17" s="124"/>
      <c r="F17" s="124"/>
      <c r="G17" s="124">
        <v>4054</v>
      </c>
      <c r="H17" s="125">
        <f t="shared" si="3"/>
        <v>28378</v>
      </c>
      <c r="I17" s="124"/>
      <c r="J17" s="124"/>
      <c r="K17" s="124"/>
      <c r="L17" s="125"/>
      <c r="M17" s="124"/>
      <c r="N17" s="125">
        <f t="shared" si="4"/>
        <v>28378</v>
      </c>
      <c r="O17" s="171"/>
    </row>
    <row r="18" spans="1:15" ht="12.95" customHeight="1" x14ac:dyDescent="0.3">
      <c r="A18" s="177"/>
      <c r="B18" s="121" t="s">
        <v>104</v>
      </c>
      <c r="C18" s="122" t="s">
        <v>91</v>
      </c>
      <c r="D18" s="132">
        <v>6</v>
      </c>
      <c r="E18" s="124"/>
      <c r="F18" s="124"/>
      <c r="G18" s="124">
        <v>4054</v>
      </c>
      <c r="H18" s="125">
        <f t="shared" si="3"/>
        <v>24324</v>
      </c>
      <c r="I18" s="124"/>
      <c r="J18" s="124"/>
      <c r="K18" s="124"/>
      <c r="L18" s="125"/>
      <c r="M18" s="124"/>
      <c r="N18" s="125">
        <f t="shared" si="4"/>
        <v>24324</v>
      </c>
      <c r="O18" s="171"/>
    </row>
    <row r="19" spans="1:15" ht="12.95" customHeight="1" x14ac:dyDescent="0.3">
      <c r="A19" s="177"/>
      <c r="B19" s="121" t="s">
        <v>105</v>
      </c>
      <c r="C19" s="122" t="s">
        <v>106</v>
      </c>
      <c r="D19" s="132">
        <v>4</v>
      </c>
      <c r="E19" s="125">
        <v>12525</v>
      </c>
      <c r="F19" s="125">
        <f>D19*E19</f>
        <v>50100</v>
      </c>
      <c r="G19" s="124"/>
      <c r="H19" s="125"/>
      <c r="I19" s="125"/>
      <c r="J19" s="125"/>
      <c r="K19" s="124"/>
      <c r="L19" s="125"/>
      <c r="M19" s="124"/>
      <c r="N19" s="125">
        <f t="shared" si="4"/>
        <v>50100</v>
      </c>
      <c r="O19" s="171"/>
    </row>
    <row r="20" spans="1:15" ht="12.95" customHeight="1" x14ac:dyDescent="0.3">
      <c r="A20" s="177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4"/>
        <v>243645</v>
      </c>
      <c r="O20" s="171"/>
    </row>
    <row r="21" spans="1:15" ht="12.95" customHeight="1" x14ac:dyDescent="0.3">
      <c r="A21" s="177"/>
      <c r="B21" s="121" t="s">
        <v>108</v>
      </c>
      <c r="C21" s="122" t="s">
        <v>91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4"/>
        <v>129944</v>
      </c>
      <c r="O21" s="171"/>
    </row>
    <row r="22" spans="1:15" ht="12.95" customHeight="1" x14ac:dyDescent="0.3">
      <c r="A22" s="177"/>
      <c r="B22" s="121" t="s">
        <v>109</v>
      </c>
      <c r="C22" s="122" t="s">
        <v>91</v>
      </c>
      <c r="D22" s="132">
        <v>7</v>
      </c>
      <c r="E22" s="125">
        <v>12525</v>
      </c>
      <c r="F22" s="125">
        <f>D22*E22</f>
        <v>87675</v>
      </c>
      <c r="G22" s="124">
        <v>3718</v>
      </c>
      <c r="H22" s="125">
        <f>D22*G22</f>
        <v>26026</v>
      </c>
      <c r="I22" s="125"/>
      <c r="J22" s="125"/>
      <c r="K22" s="124"/>
      <c r="L22" s="125"/>
      <c r="M22" s="124"/>
      <c r="N22" s="125">
        <f t="shared" si="4"/>
        <v>113701</v>
      </c>
      <c r="O22" s="171"/>
    </row>
    <row r="23" spans="1:15" ht="12.95" customHeight="1" x14ac:dyDescent="0.3">
      <c r="A23" s="178"/>
      <c r="B23" s="121" t="s">
        <v>110</v>
      </c>
      <c r="C23" s="122" t="s">
        <v>91</v>
      </c>
      <c r="D23" s="132">
        <v>6</v>
      </c>
      <c r="E23" s="125">
        <v>12525</v>
      </c>
      <c r="F23" s="125">
        <f>D23*E23</f>
        <v>75150</v>
      </c>
      <c r="G23" s="124">
        <v>3718</v>
      </c>
      <c r="H23" s="125">
        <f>D23*G23</f>
        <v>22308</v>
      </c>
      <c r="I23" s="125"/>
      <c r="J23" s="125"/>
      <c r="K23" s="124"/>
      <c r="L23" s="125"/>
      <c r="M23" s="124"/>
      <c r="N23" s="125">
        <f t="shared" si="4"/>
        <v>97458</v>
      </c>
      <c r="O23" s="172"/>
    </row>
    <row r="24" spans="1:15" ht="12.95" customHeight="1" x14ac:dyDescent="0.3">
      <c r="A24" s="145" t="s">
        <v>99</v>
      </c>
      <c r="B24" s="127"/>
      <c r="C24" s="133"/>
      <c r="D24" s="133">
        <f>SUM(D20:D23)</f>
        <v>36</v>
      </c>
      <c r="E24" s="130"/>
      <c r="F24" s="130">
        <f>SUM(F15:F23)</f>
        <v>501000</v>
      </c>
      <c r="G24" s="130"/>
      <c r="H24" s="130">
        <f>SUM(H15:H23)</f>
        <v>279792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780792</v>
      </c>
      <c r="O24" s="130"/>
    </row>
    <row r="25" spans="1:15" ht="12.95" customHeight="1" x14ac:dyDescent="0.3">
      <c r="A25" s="146" t="s">
        <v>111</v>
      </c>
      <c r="B25" s="134"/>
      <c r="C25" s="135"/>
      <c r="D25" s="136"/>
      <c r="E25" s="137"/>
      <c r="F25" s="137">
        <f>F14+F24</f>
        <v>700824</v>
      </c>
      <c r="G25" s="137"/>
      <c r="H25" s="137">
        <f>H14+H24</f>
        <v>1511145.6</v>
      </c>
      <c r="I25" s="137"/>
      <c r="J25" s="137" t="e">
        <f>J15+J24+#REF!+#REF!+#REF!+#REF!+#REF!+#REF!+#REF!</f>
        <v>#REF!</v>
      </c>
      <c r="K25" s="137"/>
      <c r="L25" s="137"/>
      <c r="M25" s="137"/>
      <c r="N25" s="137">
        <f>N14+N24</f>
        <v>2211969.6</v>
      </c>
      <c r="O25" s="137"/>
    </row>
  </sheetData>
  <mergeCells count="16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15:A23"/>
    <mergeCell ref="A4:B4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92" t="s">
        <v>112</v>
      </c>
      <c r="B2" s="192"/>
      <c r="G2" s="69"/>
      <c r="L2" s="69"/>
      <c r="N2" s="69"/>
      <c r="O2" s="70"/>
      <c r="P2" s="70"/>
    </row>
    <row r="3" spans="1:16" s="68" customFormat="1" x14ac:dyDescent="0.3">
      <c r="A3" s="71" t="s">
        <v>113</v>
      </c>
      <c r="B3" s="72" t="s">
        <v>114</v>
      </c>
      <c r="C3" s="72" t="s">
        <v>115</v>
      </c>
      <c r="D3" s="72" t="s">
        <v>116</v>
      </c>
      <c r="E3" s="73" t="s">
        <v>117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118</v>
      </c>
      <c r="C4" s="75" t="s">
        <v>119</v>
      </c>
      <c r="D4" s="76">
        <v>1300</v>
      </c>
      <c r="E4" s="77" t="s">
        <v>148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tabSelected="1" workbookViewId="0">
      <selection activeCell="A3" sqref="A3:XFD3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7.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49" t="s">
        <v>48</v>
      </c>
      <c r="B1" s="150" t="s">
        <v>49</v>
      </c>
      <c r="C1" s="150" t="s">
        <v>50</v>
      </c>
      <c r="D1" s="150" t="s">
        <v>51</v>
      </c>
      <c r="E1" s="150" t="s">
        <v>52</v>
      </c>
      <c r="F1" s="150" t="s">
        <v>5</v>
      </c>
      <c r="G1" s="150" t="s">
        <v>53</v>
      </c>
      <c r="H1" s="150" t="s">
        <v>54</v>
      </c>
      <c r="I1" s="150" t="s">
        <v>55</v>
      </c>
      <c r="J1" s="150" t="s">
        <v>56</v>
      </c>
      <c r="K1" s="150" t="s">
        <v>57</v>
      </c>
      <c r="L1" s="150" t="s">
        <v>58</v>
      </c>
      <c r="M1" s="150" t="s">
        <v>59</v>
      </c>
      <c r="N1" s="150" t="s">
        <v>60</v>
      </c>
      <c r="O1" s="150" t="s">
        <v>61</v>
      </c>
      <c r="P1" s="150" t="s">
        <v>62</v>
      </c>
      <c r="Q1" s="150" t="s">
        <v>63</v>
      </c>
      <c r="R1" s="150" t="s">
        <v>64</v>
      </c>
    </row>
    <row r="2" spans="1:18" x14ac:dyDescent="0.3">
      <c r="A2" s="83">
        <v>999999</v>
      </c>
      <c r="B2" s="82" t="s">
        <v>143</v>
      </c>
      <c r="C2" s="83" t="s">
        <v>147</v>
      </c>
      <c r="D2" s="83" t="s">
        <v>146</v>
      </c>
      <c r="E2" s="83" t="s">
        <v>123</v>
      </c>
      <c r="F2" s="147">
        <v>184</v>
      </c>
      <c r="G2" s="148">
        <v>1086</v>
      </c>
      <c r="H2" s="148"/>
      <c r="I2" s="148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D3" s="79"/>
    </row>
    <row r="4" spans="1:18" x14ac:dyDescent="0.3">
      <c r="D4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</row>
    <row r="2" spans="1:6" x14ac:dyDescent="0.3">
      <c r="A2" s="151" t="str">
        <f>'내역서(표준단가)'!A5</f>
        <v>D02641</v>
      </c>
      <c r="B2" s="152" t="str">
        <f>'내역서(표준단가)'!F5</f>
        <v>D02641</v>
      </c>
      <c r="C2" s="152">
        <f>'내역서(표준단가)'!G5</f>
        <v>0</v>
      </c>
      <c r="D2" s="152">
        <f>'내역서(표준단가)'!H5</f>
        <v>0</v>
      </c>
      <c r="E2" s="152">
        <f>'내역서(표준단가)'!I5</f>
        <v>0</v>
      </c>
      <c r="F2" s="152">
        <f>'내역서(표준단가)'!M5</f>
        <v>122</v>
      </c>
    </row>
    <row r="3" spans="1:6" x14ac:dyDescent="0.3">
      <c r="A3" s="151" t="str">
        <f>'내역서(표준단가)'!A6</f>
        <v>D02642</v>
      </c>
      <c r="B3" s="152" t="str">
        <f>'내역서(표준단가)'!F6</f>
        <v>D02642</v>
      </c>
      <c r="C3" s="152">
        <f>'내역서(표준단가)'!G6</f>
        <v>0</v>
      </c>
      <c r="D3" s="152">
        <f>'내역서(표준단가)'!H6</f>
        <v>0</v>
      </c>
      <c r="E3" s="152">
        <f>'내역서(표준단가)'!I6</f>
        <v>0</v>
      </c>
      <c r="F3" s="152">
        <f>'내역서(표준단가)'!M6</f>
        <v>62</v>
      </c>
    </row>
    <row r="4" spans="1:6" x14ac:dyDescent="0.3">
      <c r="A4" s="151" t="str">
        <f>'내역서(표준단가)'!A7</f>
        <v>D02873</v>
      </c>
      <c r="B4" s="152" t="str">
        <f>'내역서(표준단가)'!F7</f>
        <v>D02873</v>
      </c>
      <c r="C4" s="152">
        <f>'내역서(표준단가)'!G7</f>
        <v>0</v>
      </c>
      <c r="D4" s="152">
        <f>'내역서(표준단가)'!H7</f>
        <v>0</v>
      </c>
      <c r="E4" s="152">
        <f>'내역서(표준단가)'!I7</f>
        <v>0</v>
      </c>
      <c r="F4" s="152">
        <f>'내역서(표준단가)'!M7</f>
        <v>74</v>
      </c>
    </row>
    <row r="5" spans="1:6" x14ac:dyDescent="0.3">
      <c r="A5" s="151" t="str">
        <f>'내역서(표준단가)'!A8</f>
        <v>D02859</v>
      </c>
      <c r="B5" s="152" t="str">
        <f>'내역서(표준단가)'!F8</f>
        <v>D02859</v>
      </c>
      <c r="C5" s="152">
        <f>'내역서(표준단가)'!G8</f>
        <v>0</v>
      </c>
      <c r="D5" s="152">
        <f>'내역서(표준단가)'!H8</f>
        <v>0</v>
      </c>
      <c r="E5" s="152">
        <f>'내역서(표준단가)'!I8</f>
        <v>0</v>
      </c>
      <c r="F5" s="152">
        <f>'내역서(표준단가)'!M8</f>
        <v>36</v>
      </c>
    </row>
    <row r="6" spans="1:6" x14ac:dyDescent="0.3">
      <c r="A6" s="151" t="str">
        <f>'내역서(표준단가)'!A9</f>
        <v>D02558</v>
      </c>
      <c r="B6" s="152" t="str">
        <f>'내역서(표준단가)'!F9</f>
        <v>D02558</v>
      </c>
      <c r="C6" s="152">
        <f>'내역서(표준단가)'!G9</f>
        <v>0</v>
      </c>
      <c r="D6" s="152">
        <f>'내역서(표준단가)'!H9</f>
        <v>0</v>
      </c>
      <c r="E6" s="152">
        <f>'내역서(표준단가)'!I9</f>
        <v>0</v>
      </c>
      <c r="F6" s="152">
        <f>'내역서(표준단가)'!M9</f>
        <v>36</v>
      </c>
    </row>
    <row r="7" spans="1:6" x14ac:dyDescent="0.3">
      <c r="A7" s="151" t="str">
        <f>'내역서(표준단가)'!A10</f>
        <v>M012003400500101</v>
      </c>
      <c r="B7" s="152">
        <f>'내역서(표준단가)'!F10</f>
        <v>0</v>
      </c>
      <c r="C7" s="152">
        <f>'내역서(표준단가)'!G10</f>
        <v>0</v>
      </c>
      <c r="D7" s="152" t="str">
        <f>'내역서(표준단가)'!H10</f>
        <v>M012003400500101</v>
      </c>
      <c r="E7" s="152">
        <f>'내역서(표준단가)'!I10</f>
        <v>0</v>
      </c>
      <c r="F7" s="152">
        <f>'내역서(표준단가)'!M10</f>
        <v>36</v>
      </c>
    </row>
    <row r="8" spans="1:6" x14ac:dyDescent="0.3">
      <c r="A8" s="151" t="str">
        <f>'내역서(표준단가)'!A11</f>
        <v>M010602702400101</v>
      </c>
      <c r="B8" s="152">
        <f>'내역서(표준단가)'!F11</f>
        <v>0</v>
      </c>
      <c r="C8" s="152">
        <f>'내역서(표준단가)'!G11</f>
        <v>0</v>
      </c>
      <c r="D8" s="152" t="str">
        <f>'내역서(표준단가)'!H11</f>
        <v>M010602702400101</v>
      </c>
      <c r="E8" s="152">
        <f>'내역서(표준단가)'!I11</f>
        <v>0</v>
      </c>
      <c r="F8" s="152">
        <f>'내역서(표준단가)'!M11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Upload-rss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2025-01-15T07:18:59Z</dcterms:modified>
</cp:coreProperties>
</file>
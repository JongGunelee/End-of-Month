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02 기숙사 및 사택\05 기숙사 및 사택 월마감\25년-사택 작업\00 연간 긴급대응\01 상반기 정산 (01월-03월)\01 건축\기숙사 및 사택 긴급보수 작업(건축)-1차\"/>
    </mc:Choice>
  </mc:AlternateContent>
  <xr:revisionPtr revIDLastSave="0" documentId="13_ncr:1_{4E254C18-F71C-4DEA-B1B8-AF034987927E}" xr6:coauthVersionLast="47" xr6:coauthVersionMax="47" xr10:uidLastSave="{00000000-0000-0000-0000-000000000000}"/>
  <bookViews>
    <workbookView xWindow="-60" yWindow="-60" windowWidth="28920" windowHeight="15600" xr2:uid="{00000000-000D-0000-FFFF-FFFF00000000}"/>
  </bookViews>
  <sheets>
    <sheet name="관리소 접수 목록 입력"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_" localSheetId="0" hidden="1">#REF!</definedName>
    <definedName name="_" hidden="1">#REF!</definedName>
    <definedName name="___A52762">#REF!</definedName>
    <definedName name="___A82761">#REF!</definedName>
    <definedName name="__A52762">#REF!</definedName>
    <definedName name="__A8276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1">#N/A</definedName>
    <definedName name="_15A">[1]가격조사서!$D$4:$D$11</definedName>
    <definedName name="_A16800">#REF!</definedName>
    <definedName name="_A52762">#REF!</definedName>
    <definedName name="_A82761">#REF!</definedName>
    <definedName name="_C">#REF!</definedName>
    <definedName name="_Dist_Bin" hidden="1">#REF!</definedName>
    <definedName name="_Dist_Values" hidden="1">#REF!</definedName>
    <definedName name="_E7_E9_E11_E13_">#N/A</definedName>
    <definedName name="_Fill" localSheetId="0" hidden="1">[2]암거날개벽!#REF!</definedName>
    <definedName name="_Fill" hidden="1">[2]암거날개벽!#REF!</definedName>
    <definedName name="_xlnm._FilterDatabase" localSheetId="0" hidden="1">'관리소 접수 목록 입력'!$A$4:$Q$17</definedName>
    <definedName name="_xlnm._FilterDatabase" hidden="1">[3]실행내역!#REF!</definedName>
    <definedName name="_Key1" localSheetId="0" hidden="1">[4]내역서!#REF!</definedName>
    <definedName name="_Key1" hidden="1">[4]내역서!#REF!</definedName>
    <definedName name="_Key2" localSheetId="0" hidden="1">[5]프랜트면허!#REF!</definedName>
    <definedName name="_Key2" hidden="1">#REF!</definedName>
    <definedName name="_NMB96">#REF!</definedName>
    <definedName name="_Order1" hidden="1">255</definedName>
    <definedName name="_Order2" hidden="1">255</definedName>
    <definedName name="_Parse_Out" localSheetId="0" hidden="1">#REF!</definedName>
    <definedName name="_Parse_Out" hidden="1">#REF!</definedName>
    <definedName name="_PRN2">[4]내역서!#REF!</definedName>
    <definedName name="_PRN3">[4]내역서!#REF!</definedName>
    <definedName name="_PRN4">[4]내역서!#REF!</definedName>
    <definedName name="_PRN6">[4]내역서!#REF!</definedName>
    <definedName name="_PRN7">[4]내역서!#REF!</definedName>
    <definedName name="_Regression_Int" hidden="1">1</definedName>
    <definedName name="_Sort" localSheetId="0" hidden="1">[4]내역서!#REF!</definedName>
    <definedName name="_Sort" hidden="1">[4]내역서!#REF!</definedName>
    <definedName name="_STR2020">[6]LANGUAGE!$B$40</definedName>
    <definedName name="_STR2021">[6]LANGUAGE!$B$41</definedName>
    <definedName name="_STR2022">[6]LANGUAGE!$B$42</definedName>
    <definedName name="_STR2023">[6]LANGUAGE!$B$43</definedName>
    <definedName name="_STR2024">[6]LANGUAGE!$B$44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'[7]당월(1)'!#REF!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 localSheetId="0" hidden="1">{#N/A,#N/A,TRUE,"자재관리";#N/A,#N/A,TRUE,"품질"}</definedName>
    <definedName name="a\" hidden="1">{#N/A,#N/A,TRUE,"자재관리";#N/A,#N/A,TRUE,"품질"}</definedName>
    <definedName name="A1C1" localSheetId="0" hidden="1">#REF!</definedName>
    <definedName name="A1C1" hidden="1">#REF!</definedName>
    <definedName name="AAA">[8]EACT10!$A$1:$J$833</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Creative___Production">#REF!</definedName>
    <definedName name="Ad._Creative_and_Production">#REF!</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ministrative_SVC___Other_Charge">#REF!</definedName>
    <definedName name="Administrative_SVC_Other_Charge">#REF!</definedName>
    <definedName name="Advertisement">#REF!</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R">#REF!</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PAC">#REF!</definedName>
    <definedName name="Application_SM_Labor">#REF!</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Sales">#REF!</definedName>
    <definedName name="Audio_Conference_Service">#REF!</definedName>
    <definedName name="AV1노무">#REF!</definedName>
    <definedName name="AV1자재">#REF!</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ageInflationHKC">[9]Inputs!$H$40</definedName>
    <definedName name="BBB">[8]EACT10!$A$1:$J$833</definedName>
    <definedName name="Brand_new">#REF!</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cable">#REF!</definedName>
    <definedName name="Cafeteria">#REF!</definedName>
    <definedName name="Calculation3">#REF!</definedName>
    <definedName name="Certification">#REF!</definedName>
    <definedName name="China">#REF!</definedName>
    <definedName name="CIS">#REF!</definedName>
    <definedName name="Cluster">#REF!</definedName>
    <definedName name="CMDT2">#REF!</definedName>
    <definedName name="CODE">[4]내역서!#REF!</definedName>
    <definedName name="CODESUM3">[10]!CODESUM3</definedName>
    <definedName name="Commercial_Print">#REF!</definedName>
    <definedName name="Commutation">#REF!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[11]summary!#REF!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ustomer_Market_Research">#REF!</definedName>
    <definedName name="CV">#REF!</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hidden="1">{#N/A,#N/A,FALSE,"자재관리";#N/A,#N/A,FALSE,"자재관리";#N/A,#N/A,FALSE,"자재관리"}</definedName>
    <definedName name="DANGA">#REF!,#REF!</definedName>
    <definedName name="_xlnm.Database">#REF!</definedName>
    <definedName name="DataCenter_Utility">#REF!</definedName>
    <definedName name="date">#REF!</definedName>
    <definedName name="DDAFASDFSD" hidden="1">{#N/A,#N/A,FALSE,"Sheet1"}</definedName>
    <definedName name="DDD" localSheetId="0" hidden="1">#REF!</definedName>
    <definedName name="DDD" hidden="1">#REF!</definedName>
    <definedName name="ddddd" localSheetId="0"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livery">#REF!</definedName>
    <definedName name="Delivery_1">#REF!</definedName>
    <definedName name="Delivery_Service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count">#REF!</definedName>
    <definedName name="discountRate">[9]Inputs!$H$36</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hidden="1">{#N/A,#N/A,FALSE,"Sheet1"}</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hidden="1">{#N/A,#N/A,FALSE,"전력간선"}</definedName>
    <definedName name="dkkjkjkjk" hidden="1">{#N/A,#N/A,FALSE,"Sheet1"}</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I">#REF!</definedName>
    <definedName name="EDI_service">#REF!</definedName>
    <definedName name="Education">#REF!</definedName>
    <definedName name="Education_2">#REF!</definedName>
    <definedName name="Education_for_class">#REF!</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S_T">#REF!</definedName>
    <definedName name="EU">#REF!</definedName>
    <definedName name="Event_1">#REF!</definedName>
    <definedName name="Event_2">#REF!</definedName>
    <definedName name="exh6a">#REF!</definedName>
    <definedName name="_xlnm.Extract">#REF!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localSheetId="0" hidden="1">[12]수량산출!$A$1:$A$8561</definedName>
    <definedName name="FHFH" hidden="1">[13]수량산출!$A$1:$A$8561</definedName>
    <definedName name="FHFK" localSheetId="0" hidden="1">[12]수량산출!#REF!</definedName>
    <definedName name="FHFK" hidden="1">[13]수량산출!#REF!</definedName>
    <definedName name="Finance">#REF!</definedName>
    <definedName name="firstYear">[9]Inputs!$H$29</definedName>
    <definedName name="FIXT">[14]데이타!$U$23:$V$50</definedName>
    <definedName name="Flowers">#REF!</definedName>
    <definedName name="from">#REF!</definedName>
    <definedName name="Furniture___Carpeting___Floor_Covering">#REF!</definedName>
    <definedName name="Furniture_or_Carpeting_and_Floor_Covering">#REF!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rments_or_Uniform">#REF!</definedName>
    <definedName name="Garments_Uniform">#REF!</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neral_Technology_Outsourcing">#REF!</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[15]차액보증!#REF!</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P견적">[16]원가!$F$40</definedName>
    <definedName name="Grade">#REF!</definedName>
    <definedName name="Gsa">[11]summary!#REF!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lpdesk">#REF!</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0"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L">#REF!</definedName>
    <definedName name="HR">#REF!</definedName>
    <definedName name="HR_Consulting">#REF!</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#REF!,#REF!</definedName>
    <definedName name="IdxDiscountFactor">[11]summary!#REF!</definedName>
    <definedName name="IdxWageInflationHkc">[11]summary!#REF!</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SContResearchasi">[9]NPV!$I$318:$M$318</definedName>
    <definedName name="ISContResearchavi">[9]NPV!$I$416:$M$416</definedName>
    <definedName name="ISContResearchcstn">[9]NPV!$I$180:$M$180</definedName>
    <definedName name="ISContResearchMSTN">[9]NPV!$I$54:$M$54</definedName>
    <definedName name="IsOrgRd_Asi">[9]NPV!$I$321:$M$321</definedName>
    <definedName name="IsOrgRd_CSTN">[9]NPV!$I$181:$M$181</definedName>
    <definedName name="IsOrgRd_MSTN">[9]NPV!$I$55:$M$55</definedName>
    <definedName name="IsRevenueAvi">[9]NPV!$I$402:$M$402</definedName>
    <definedName name="IsRevenueCSTN">[9]NPV!$I$148:$M$148</definedName>
    <definedName name="IsRevenueMSTN">[9]NPV!$I$18:$M$18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[17]ITEM!#REF!</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hidden="1">{#N/A,#N/A,FALSE,"자재관리";#N/A,#N/A,FALSE,"자재관리";#N/A,#N/A,FALSE,"자재관리"}</definedName>
    <definedName name="KA">[18]MOTOR!$B$61:$E$68</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[19]기준_국가명!$C$3:$H$3</definedName>
    <definedName name="KKK" localSheetId="0" hidden="1">#REF!</definedName>
    <definedName name="KKK" hidden="1">#REF!</definedName>
    <definedName name="kkkkk" localSheetId="0"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hidden="1">{#N/A,#N/A,TRUE,"자재관리";#N/A,#N/A,TRUE,"품질"}</definedName>
    <definedName name="Laundry_Services">#REF!</definedName>
    <definedName name="Legal">#REF!</definedName>
    <definedName name="list">#REF!</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0" hidden="1">#REF!</definedName>
    <definedName name="lll" hidden="1">#REF!</definedName>
    <definedName name="Logistics">#REF!</definedName>
    <definedName name="Logistics_1">#REF!</definedName>
    <definedName name="Logistics_2">#REF!</definedName>
    <definedName name="LsContResearchLTPS">'[9]LTPS Calculations'!$I$113:$M$113</definedName>
    <definedName name="LsRdCost3">'[9]LTPS Calculations'!$I$114:$M$114</definedName>
    <definedName name="LsUnitRDCost3">'[9]LTPS Calculations'!#REF!</definedName>
    <definedName name="m" hidden="1">#REF!</definedName>
    <definedName name="Macro1">[20]!Macro1</definedName>
    <definedName name="Macro10">[21]!Macro10</definedName>
    <definedName name="Macro11">[22]!Macro11</definedName>
    <definedName name="Macro12">[21]!Macro12</definedName>
    <definedName name="Macro13">[21]!Macro13</definedName>
    <definedName name="Macro14">[21]!Macro14</definedName>
    <definedName name="Macro2">[21]!Macro2</definedName>
    <definedName name="MACRO3">[23]!Macro3</definedName>
    <definedName name="Macro4">[22]!Macro4</definedName>
    <definedName name="Macro5">[21]!Macro5</definedName>
    <definedName name="Macro6">[21]!Macro6</definedName>
    <definedName name="Macro7">[21]!Macro7</definedName>
    <definedName name="Macro8">[21]!Macro8</definedName>
    <definedName name="Macro9">[21]!Macro9</definedName>
    <definedName name="Manufacturing_Equipments">#REF!</definedName>
    <definedName name="Manufacturing_Outsourcing_1">#REF!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localSheetId="0" hidden="1">{#N/A,#N/A,FALSE,"자재관리";#N/A,#N/A,FALSE,"자재관리";#N/A,#N/A,FALSE,"자재관리"}</definedName>
    <definedName name="MC" hidden="1">{#N/A,#N/A,FALSE,"자재관리";#N/A,#N/A,FALSE,"자재관리";#N/A,#N/A,FALSE,"자재관리"}</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illion">1000000</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HL">[22]Sheet1!$A$4:$H$5</definedName>
    <definedName name="Mold">#REF!</definedName>
    <definedName name="Mold_1">#REF!</definedName>
    <definedName name="Mold_2">#REF!</definedName>
    <definedName name="MONEY">#REF!,#REF!</definedName>
    <definedName name="MONTH">#REF!</definedName>
    <definedName name="Mould_1">#REF!</definedName>
    <definedName name="Mould_2">#REF!</definedName>
    <definedName name="MwSalesVolCellLTPS">'[9]Mobile Window'!#REF!</definedName>
    <definedName name="MwSalesVolSphLTPS">'[9]Mobile Window'!#REF!</definedName>
    <definedName name="NA">#REF!</definedName>
    <definedName name="NAME">#N/A</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[24]터널조도!$AR$19:$AT$25</definedName>
    <definedName name="NOMUBY">#REF!</definedName>
    <definedName name="nonono">#REF!</definedName>
    <definedName name="Office_Furniture">#REF!</definedName>
    <definedName name="Office_Supplies">#REF!</definedName>
    <definedName name="one">1</definedName>
    <definedName name="OOO" localSheetId="0"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ther_IT_Product">#REF!</definedName>
    <definedName name="Other_Telecommunication">#REF!</definedName>
    <definedName name="Others">#REF!</definedName>
    <definedName name="OthersGSA">[11]summary!#REF!</definedName>
    <definedName name="Output_Device">#REF!</definedName>
    <definedName name="Output_Devices">#REF!</definedName>
    <definedName name="Output_Devices_Rent_Lease">#REF!</definedName>
    <definedName name="ownership">[25]Sheet1!$E$2:$E$7</definedName>
    <definedName name="P_Level3_KOR_Corp">'[26]Key Data_Y13'!$E$3:$E$67</definedName>
    <definedName name="P1693a3">#REF!</definedName>
    <definedName name="P90061755">[27]PART_DISCOUNT!$B$22</definedName>
    <definedName name="P90061755DISCOUNT">[27]PART_DISCOUNT!$E$22</definedName>
    <definedName name="P90065755">[27]PART_DISCOUNT!$B$21</definedName>
    <definedName name="P90065755DISCOUNT">[27]PART_DISCOUNT!$E$21</definedName>
    <definedName name="P90152455">[27]PART_DISCOUNT!$B$20</definedName>
    <definedName name="P90152455DISCOUNT">[27]PART_DISCOUNT!$E$20</definedName>
    <definedName name="P90270755">[27]PART_DISCOUNT!$B$19</definedName>
    <definedName name="P90270755DISCOUNT">[27]PART_DISCOUNT!$E$19</definedName>
    <definedName name="P90317655">[27]PART_DISCOUNT!$B$14</definedName>
    <definedName name="P90317655DISCOUNT">[27]PART_DISCOUNT!$E$14</definedName>
    <definedName name="P90458255">[27]PART_DISCOUNT!$B$17</definedName>
    <definedName name="P90458255DISCOUNT">[27]PART_DISCOUNT!$E$17</definedName>
    <definedName name="P90464555">[27]PART_DISCOUNT!$B$16</definedName>
    <definedName name="P90464555DISCOUNT">[27]PART_DISCOUNT!$E$16</definedName>
    <definedName name="P90464655">[27]PART_DISCOUNT!$B$15</definedName>
    <definedName name="P90464655DISCOUNT">[27]PART_DISCOUNT!$E$15</definedName>
    <definedName name="P90493155">[27]PART_DISCOUNT!$B$18</definedName>
    <definedName name="P90493155DISCOUNT">[27]PART_DISCOUNT!$E$18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[28]DATA!$N$4:$P$12</definedName>
    <definedName name="Performance">#REF!</definedName>
    <definedName name="PH">#REF!</definedName>
    <definedName name="PIPE40">#REF!</definedName>
    <definedName name="pLength">[9]Inputs!$H$31</definedName>
    <definedName name="pp">#REF!,#REF!</definedName>
    <definedName name="ppcp">'[29]RAW MATL PRICE'!$D$36</definedName>
    <definedName name="ppp">[30]!Macro9</definedName>
    <definedName name="PR_1">#REF!</definedName>
    <definedName name="PR_2">#REF!</definedName>
    <definedName name="Pre_Purchased">#REF!</definedName>
    <definedName name="Premium_LTPS">[11]summary!#REF!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_xlnm.Print_Area" localSheetId="0">'관리소 접수 목록 입력'!$B$1:$O$17</definedName>
    <definedName name="_xlnm.Print_Area">#REF!</definedName>
    <definedName name="Print_Area_MI">#REF!</definedName>
    <definedName name="PRINT_AREA_MI1">#REF!</definedName>
    <definedName name="PRINT_PAPER">#REF!</definedName>
    <definedName name="Print_Services">#REF!</definedName>
    <definedName name="_xlnm.Print_Titles">#REF!,#REF!</definedName>
    <definedName name="PRINT_TITLES_MI">#REF!</definedName>
    <definedName name="Printing">#REF!</definedName>
    <definedName name="Printing_Kitting_Services">#REF!</definedName>
    <definedName name="PRN">#REF!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motion">#REF!</definedName>
    <definedName name="Promotion_1">#REF!</definedName>
    <definedName name="Promotion_2">#REF!</definedName>
    <definedName name="Q" localSheetId="0" hidden="1">{#N/A,#N/A,FALSE,"자재관리";#N/A,#N/A,FALSE,"자재관리";#N/A,#N/A,FALSE,"자재관리"}</definedName>
    <definedName name="Q" hidden="1">{#N/A,#N/A,FALSE,"자재관리";#N/A,#N/A,FALSE,"자재관리";#N/A,#N/A,FALSE,"자재관리"}</definedName>
    <definedName name="qq" hidden="1">{#N/A,#N/A,FALSE,"단가표지"}</definedName>
    <definedName name="qqq" localSheetId="0" hidden="1">{#N/A,#N/A,FALSE,"전력간선"}</definedName>
    <definedName name="qqq" hidden="1">{#N/A,#N/A,FALSE,"전력간선"}</definedName>
    <definedName name="QQQW" localSheetId="0" hidden="1">{#N/A,#N/A,FALSE,"전력간선"}</definedName>
    <definedName name="QQQW" hidden="1">{#N/A,#N/A,FALSE,"전력간선"}</definedName>
    <definedName name="Quick_Services">#REF!</definedName>
    <definedName name="qw" hidden="1">{#N/A,#N/A,FALSE,"단가표지"}</definedName>
    <definedName name="QWERRTT" hidden="1">{#N/A,#N/A,FALSE,"Sheet1"}</definedName>
    <definedName name="R_D">#REF!</definedName>
    <definedName name="R_D_1">#REF!</definedName>
    <definedName name="R_D_Material">#REF!</definedName>
    <definedName name="R_D_Software">#REF!</definedName>
    <definedName name="R_D_Software_Maintenance">#REF!</definedName>
    <definedName name="Real_Estate">#REF!</definedName>
    <definedName name="Region">#REF!</definedName>
    <definedName name="Relocation">#REF!</definedName>
    <definedName name="Rental_car">#REF!</definedName>
    <definedName name="ret" localSheetId="0" hidden="1">{#N/A,#N/A,FALSE,"전력간선"}</definedName>
    <definedName name="ret" hidden="1">{#N/A,#N/A,FALSE,"전력간선"}</definedName>
    <definedName name="RevenueAsi">[9]Revenue!$I$311:$M$311</definedName>
    <definedName name="RevenueLTPS">[9]Revenue!$I$312:$M$312</definedName>
    <definedName name="Revision">#REF!</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hidden="1">{#N/A,#N/A,FALSE,"전력간선"}</definedName>
    <definedName name="RK" localSheetId="0" hidden="1">[12]수량산출!#REF!</definedName>
    <definedName name="RK" hidden="1">[13]수량산출!#REF!</definedName>
    <definedName name="RND">#REF!</definedName>
    <definedName name="RnD_Outsourcing_Services">#REF!</definedName>
    <definedName name="RND_Part">#REF!</definedName>
    <definedName name="RND_Supplier_Name">#REF!</definedName>
    <definedName name="RND_Vendor_Code">#REF!</definedName>
    <definedName name="Royalty">#REF!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hidden="1">{#N/A,#N/A,TRUE,"자재관리";#N/A,#N/A,TRUE,"품질"}</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fety">#REF!</definedName>
    <definedName name="Safety_Certification">#REF!</definedName>
    <definedName name="Safety_Certification1">#REF!</definedName>
    <definedName name="SCA">#REF!</definedName>
    <definedName name="SD" localSheetId="0" hidden="1">{#N/A,#N/A,FALSE,"자재관리";#N/A,#N/A,FALSE,"자재관리";#N/A,#N/A,FALSE,"자재관리"}</definedName>
    <definedName name="SD" hidden="1">{#N/A,#N/A,FALSE,"자재관리";#N/A,#N/A,FALSE,"자재관리";#N/A,#N/A,FALSE,"자재관리"}</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op_Construction_or_Rennovation">#REF!</definedName>
    <definedName name="SI_Project">#REF!</definedName>
    <definedName name="SI_Project1">#REF!</definedName>
    <definedName name="SIL">[14]데이타!$R$23:$S$32</definedName>
    <definedName name="Site_Maintenance">#REF!</definedName>
    <definedName name="SM_Labor">#REF!</definedName>
    <definedName name="SMS_MMS">#REF!</definedName>
    <definedName name="Software">#REF!</definedName>
    <definedName name="Software_1">#REF!</definedName>
    <definedName name="Software_2">#REF!</definedName>
    <definedName name="SORT" localSheetId="0" hidden="1">#REF!</definedName>
    <definedName name="SORT" hidden="1">#REF!</definedName>
    <definedName name="SORT1" hidden="1">#REF!</definedName>
    <definedName name="sourcingPremiumLTPS">[9]Inputs!$H$115</definedName>
    <definedName name="sss" localSheetId="0" hidden="1">{#N/A,#N/A,FALSE,"전력간선"}</definedName>
    <definedName name="sss" hidden="1">{#N/A,#N/A,FALSE,"전력간선"}</definedName>
    <definedName name="Standard_Certification">#REF!</definedName>
    <definedName name="Standard_Certification1">#REF!</definedName>
    <definedName name="Strategy_Consulting">#REF!</definedName>
    <definedName name="SUM_A">[10]!SUM_A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newcase">'[9]LTPS Calculations'!#REF!</definedName>
    <definedName name="t" localSheetId="0" hidden="1">{#N/A,#N/A,TRUE,"자재관리";#N/A,#N/A,TRUE,"품질"}</definedName>
    <definedName name="t" hidden="1">{#N/A,#N/A,TRUE,"자재관리";#N/A,#N/A,TRUE,"품질"}</definedName>
    <definedName name="TaxRateAsi">[11]summary!#REF!</definedName>
    <definedName name="TaxRateCSTN">[11]summary!#REF!</definedName>
    <definedName name="TaxRateMSTN">[11]summary!#REF!</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housand">1000</definedName>
    <definedName name="tka" localSheetId="0" hidden="1">{#N/A,#N/A,FALSE,"전력간선"}</definedName>
    <definedName name="tka" hidden="1">{#N/A,#N/A,FALSE,"전력간선"}</definedName>
    <definedName name="Top">#REF!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TTT" localSheetId="0" hidden="1">#REF!</definedName>
    <definedName name="TTTT" hidden="1">#REF!</definedName>
    <definedName name="Type">#REF!</definedName>
    <definedName name="Uniform">#REF!</definedName>
    <definedName name="Utilities">#REF!</definedName>
    <definedName name="uu">[31]DATA!$B$4:$F$495</definedName>
    <definedName name="uwehdiueih" localSheetId="0" hidden="1">{#N/A,#N/A,FALSE,"자재관리";#N/A,#N/A,FALSE,"자재관리";#N/A,#N/A,FALSE,"자재관리"}</definedName>
    <definedName name="uwehdiueih" hidden="1">{#N/A,#N/A,FALSE,"자재관리";#N/A,#N/A,FALSE,"자재관리";#N/A,#N/A,FALSE,"자재관리"}</definedName>
    <definedName name="Vehicle">#REF!</definedName>
    <definedName name="Voice_Service">#REF!</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N_Service">#REF!</definedName>
    <definedName name="Warehouse_Storage">#REF!</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ContMarginAsi">#REF!</definedName>
    <definedName name="Wfcooasi1">#REF!</definedName>
    <definedName name="Wfifoasi">#REF!</definedName>
    <definedName name="WfSalesAsi">#REF!</definedName>
    <definedName name="Wftaxrateasi">#REF!</definedName>
    <definedName name="WJDEHDRHS" localSheetId="0" hidden="1">{#N/A,#N/A,FALSE,"CCTV"}</definedName>
    <definedName name="WJDEHDRHS" hidden="1">{#N/A,#N/A,FALSE,"CCTV"}</definedName>
    <definedName name="wm.조골재1" hidden="1">{#N/A,#N/A,FALSE,"조골재"}</definedName>
    <definedName name="Workstation">#REF!</definedName>
    <definedName name="WQR" hidden="1">{#N/A,#N/A,FALSE,"Sheet1"}</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일위대가." localSheetId="0" hidden="1">{#N/A,#N/A,TRUE,"대가1"}</definedName>
    <definedName name="wrn.일위대가." hidden="1">{#N/A,#N/A,TRUE,"대가1"}</definedName>
    <definedName name="wrn.조골재." hidden="1">{#N/A,#N/A,FALSE,"조골재"}</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'[32]Key Data_Y13'!$H$3:$H$2649</definedName>
    <definedName name="X" localSheetId="0" hidden="1">{#N/A,#N/A,TRUE,"자재관리";#N/A,#N/A,TRUE,"품질"}</definedName>
    <definedName name="X" hidden="1">{#N/A,#N/A,TRUE,"자재관리";#N/A,#N/A,TRUE,"품질"}</definedName>
    <definedName name="yy" localSheetId="0" hidden="1">{#N/A,#N/A,FALSE,"전력간선"}</definedName>
    <definedName name="yy" hidden="1">{#N/A,#N/A,FALSE,"전력간선"}</definedName>
    <definedName name="YY0" localSheetId="0" hidden="1">{#N/A,#N/A,FALSE,"전력간선"}</definedName>
    <definedName name="YY0" hidden="1">{#N/A,#N/A,FALSE,"전력간선"}</definedName>
    <definedName name="yyy" localSheetId="0" hidden="1">[33]수량산출!$A$1:$A$8561</definedName>
    <definedName name="yyy" hidden="1">[34]수량산출!$A$1:$A$8561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ero">0</definedName>
    <definedName name="ZP">#REF!</definedName>
    <definedName name="ㄱ">#REF!</definedName>
    <definedName name="가">#REF!</definedName>
    <definedName name="가로등부표1">[21]!Macro13</definedName>
    <definedName name="가로등부표2">#REF!,#REF!</definedName>
    <definedName name="가스" localSheetId="0" hidden="1">{#N/A,#N/A,FALSE,"CCTV"}</definedName>
    <definedName name="가스" hidden="1">{#N/A,#N/A,FALSE,"CCTV"}</definedName>
    <definedName name="가스실행내역" localSheetId="0" hidden="1">{#N/A,#N/A,FALSE,"전력간선"}</definedName>
    <definedName name="가스실행내역" hidden="1">{#N/A,#N/A,FALSE,"전력간선"}</definedName>
    <definedName name="가실" localSheetId="0" hidden="1">{#N/A,#N/A,FALSE,"전력간선"}</definedName>
    <definedName name="가실" hidden="1">{#N/A,#N/A,FALSE,"전력간선"}</definedName>
    <definedName name="가아" localSheetId="0" hidden="1">[35]수량산출!#REF!</definedName>
    <definedName name="가아" hidden="1">[36]수량산출!#REF!</definedName>
    <definedName name="간접노무비">#REF!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#REF!</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0" hidden="1">#REF!</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보수">#REF!</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갤겁">'[37]조사방법 참조'!$F$1:$F$40</definedName>
    <definedName name="거ㅏ" localSheetId="0" hidden="1">[38]수량산출!$A$3:$H$8539</definedName>
    <definedName name="거ㅏ" hidden="1">[39]수량산출!$A$3:$H$8539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시운전">#REF!</definedName>
    <definedName name="겨격" hidden="1">#REF!</definedName>
    <definedName name="견적" hidden="1">'[40]내역서1999.8최종'!$A$1:$A$2438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#REF!</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방법">[25]Sheet1!$B$2:$B$8</definedName>
    <definedName name="계약의뢰" hidden="1">[41]프랜트면허!#REF!</definedName>
    <definedName name="고재">#REF!</definedName>
    <definedName name="고케">#REF!</definedName>
    <definedName name="공급가액">#REF!</definedName>
    <definedName name="공내역" localSheetId="0" hidden="1">{#N/A,#N/A,FALSE,"CCTV"}</definedName>
    <definedName name="공내역" hidden="1">{#N/A,#N/A,FALSE,"CCTV"}</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사내역1">#REF!</definedName>
    <definedName name="공사명">#REF!</definedName>
    <definedName name="공사비">#REF!</definedName>
    <definedName name="공사수립계획서" localSheetId="0" hidden="1">#REF!</definedName>
    <definedName name="공사수립계획서" hidden="1">#REF!</definedName>
    <definedName name="공장동" localSheetId="0" hidden="1">#REF!</definedName>
    <definedName name="공장동" hidden="1">#REF!</definedName>
    <definedName name="공정">#REF!</definedName>
    <definedName name="관급">#REF!,#REF!,#REF!</definedName>
    <definedName name="관급자재비">#REF!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매요청_부서명">'[26]Key Data_Y13'!$H$3:$H$2649</definedName>
    <definedName name="구산갑지" hidden="1">#REF!</definedName>
    <definedName name="구자관" localSheetId="0"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hidden="1">{#N/A,#N/A,TRUE,"자재관리";#N/A,#N/A,TRUE,"품질"}</definedName>
    <definedName name="기계공">[42]노임단가!#REF!</definedName>
    <definedName name="기계단가1" localSheetId="0" hidden="1">{#N/A,#N/A,FALSE,"전력간선"}</definedName>
    <definedName name="기계단가1" hidden="1">{#N/A,#N/A,FALSE,"전력간선"}</definedName>
    <definedName name="기계설치공">[42]노임단가!#REF!</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존단가">[25]Sheet1!$A$2:$A$8</definedName>
    <definedName name="기준">#REF!</definedName>
    <definedName name="기타경비">#REF!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hidden="1">{#N/A,#N/A,TRUE,"자재관리";#N/A,#N/A,TRUE,"품질"}</definedName>
    <definedName name="ㄴㄴㄴ" localSheetId="0" hidden="1">{#N/A,#N/A,FALSE,"자재관리";#N/A,#N/A,FALSE,"자재관리";#N/A,#N/A,FALSE,"자재관리"}</definedName>
    <definedName name="ㄴㄴㄴ" hidden="1">{#N/A,#N/A,FALSE,"자재관리";#N/A,#N/A,FALSE,"자재관리";#N/A,#N/A,FALSE,"자재관리"}</definedName>
    <definedName name="ㄴㄴㄴㄴ" localSheetId="0" hidden="1">#REF!</definedName>
    <definedName name="ㄴㄴㄴㄴ" hidden="1">#REF!</definedName>
    <definedName name="ㄴㄴㄴㄴㄴ" localSheetId="0"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hidden="1">{#N/A,#N/A,FALSE,"자재관리";#N/A,#N/A,FALSE,"자재관리";#N/A,#N/A,FALSE,"자재관리"}</definedName>
    <definedName name="ㄴㅇㄹ">#REF!</definedName>
    <definedName name="ㄴㅌㄴㅌ" localSheetId="0"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hidden="1">{#N/A,#N/A,FALSE,"CCTV"}</definedName>
    <definedName name="내역서">#REF!</definedName>
    <definedName name="내역점검" localSheetId="0"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전">#REF!</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#REF!,#REF!,#REF!,#REF!</definedName>
    <definedName name="노출형">[14]DATA!$E$50:$F$59</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0" hidden="1">#REF!</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_가">#REF!</definedName>
    <definedName name="단_가2">#REF!</definedName>
    <definedName name="단_가3">#REF!</definedName>
    <definedName name="단_가4">#REF!</definedName>
    <definedName name="단_가5">#REF!</definedName>
    <definedName name="단_가6">#REF!</definedName>
    <definedName name="단가">#REF!,#REF!</definedName>
    <definedName name="단가2">#REF!</definedName>
    <definedName name="단가비교표">#REF!,#REF!</definedName>
    <definedName name="단가산출서" localSheetId="0"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열작업" localSheetId="0" hidden="1">#REF!</definedName>
    <definedName name="단열작업" hidden="1">#REF!</definedName>
    <definedName name="단위">[43]품목!$C$2:$C$51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금지불조건">#REF!</definedName>
    <definedName name="대륙">[44]기준_국가명!$C$3:$H$3</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근좌표">#REF!</definedName>
    <definedName name="도급공사">#REF!</definedName>
    <definedName name="도급분">#REF!</definedName>
    <definedName name="도급분경비">#REF!</definedName>
    <definedName name="도급예산액">#REF!</definedName>
    <definedName name="도급예상액">#REF!</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#REF!</definedName>
    <definedName name="ㄹ224">#REF!</definedName>
    <definedName name="ㄹ32" localSheetId="0" hidden="1">#REF!</definedName>
    <definedName name="ㄹ32" hidden="1">#REF!</definedName>
    <definedName name="ㄹㄷ">#REF!</definedName>
    <definedName name="ㄹㄹ">#REF!</definedName>
    <definedName name="ㄹㅇ">#REF!</definedName>
    <definedName name="ㄹㅇㄹㅇ" localSheetId="0" hidden="1">#REF!</definedName>
    <definedName name="ㄹㅇㄹㅇ" hidden="1">#REF!</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6300">#REF!</definedName>
    <definedName name="ㅁ60">[45]직노!#REF!</definedName>
    <definedName name="ㅁㄱㄷ" localSheetId="0" hidden="1">{#N/A,#N/A,FALSE,"자재관리";#N/A,#N/A,FALSE,"자재관리";#N/A,#N/A,FALSE,"자재관리"}</definedName>
    <definedName name="ㅁㄱㄷ" hidden="1">{#N/A,#N/A,FALSE,"자재관리";#N/A,#N/A,FALSE,"자재관리";#N/A,#N/A,FALSE,"자재관리"}</definedName>
    <definedName name="ㅁㄴㄹㄷㅁㄴㅇㄹㄷㅈ">#REF!</definedName>
    <definedName name="ㅁㅁ" localSheetId="0" hidden="1">{#N/A,#N/A,FALSE,"전력간선"}</definedName>
    <definedName name="ㅁㅁ" hidden="1">{#N/A,#N/A,FALSE,"전력간선"}</definedName>
    <definedName name="ㅁㅇ" localSheetId="0" hidden="1">{#N/A,#N/A,FALSE,"자재관리";#N/A,#N/A,FALSE,"자재관리";#N/A,#N/A,FALSE,"자재관리"}</definedName>
    <definedName name="ㅁㅇ" hidden="1">{#N/A,#N/A,FALSE,"자재관리";#N/A,#N/A,FALSE,"자재관리";#N/A,#N/A,FALSE,"자재관리"}</definedName>
    <definedName name="ㅁㅇㄹ" hidden="1">{#N/A,#N/A,FALSE,"Sheet1"}</definedName>
    <definedName name="ㅁㅇㄹㅁㅇㄹㅇㅁㄴ" hidden="1">{#N/A,#N/A,FALSE,"Sheet1"}</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매입개방">[14]DATA!$E$6:$F$15</definedName>
    <definedName name="면벽">[46]도근좌표!$B$5:$R$17</definedName>
    <definedName name="명신" localSheetId="0" hidden="1">{#N/A,#N/A,FALSE,"전력간선"}</definedName>
    <definedName name="명신" hidden="1">{#N/A,#N/A,FALSE,"전력간선"}</definedName>
    <definedName name="명지입찰">#REF!</definedName>
    <definedName name="목도">[47]단위단가!$B$11</definedName>
    <definedName name="목표" localSheetId="0"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래">#REF!</definedName>
    <definedName name="미래표지">#REF!</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장공">[42]노임단가!#REF!</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#REF!</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ㄷㄷㅈ">'[48]Key Data_Y13'!$E$3:$E$67</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이어_성명">'[49]Key Data'!$B$3:$B$5</definedName>
    <definedName name="방수공">[42]노임단가!#REF!</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관공">[42]노임단가!#REF!</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전">#REF!</definedName>
    <definedName name="보">#REF!</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인">#REF!</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통인부">#REF!</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[50]설계명세!#REF!</definedName>
    <definedName name="본부">[51]Data!$J$4:$J$11</definedName>
    <definedName name="본사분자재">#REF!</definedName>
    <definedName name="본사재료비">#REF!</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부가가치세">#REF!</definedName>
    <definedName name="부대">[52]도근좌표!$B$5:$R$17</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계">#REF!</definedName>
    <definedName name="비목1">#REF!</definedName>
    <definedName name="비목2">#REF!</definedName>
    <definedName name="비목3">#REF!</definedName>
    <definedName name="비목4">#REF!</definedName>
    <definedName name="비용">#REF!</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hidden="1">{#N/A,#N/A,FALSE,"자재관리";#N/A,#N/A,FALSE,"자재관리";#N/A,#N/A,FALSE,"자재관리"}</definedName>
    <definedName name="ㅅㅅ" localSheetId="0" hidden="1">#REF!</definedName>
    <definedName name="ㅅㅅ" hidden="1">#REF!</definedName>
    <definedName name="ㅅ서">#REF!</definedName>
    <definedName name="사급분자재">#REF!</definedName>
    <definedName name="사업소분자재">#REF!</definedName>
    <definedName name="사업소재료비">'[53]20_10_100'!#REF!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재보험료">#REF!</definedName>
    <definedName name="산출서" hidden="1">{#N/A,#N/A,FALSE,"Sheet1"}</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대예산대비표" hidden="1">#REF!</definedName>
    <definedName name="설시운전">#REF!</definedName>
    <definedName name="설치12c">#REF!</definedName>
    <definedName name="설치12ㅊ">#REF!</definedName>
    <definedName name="설치17c">#REF!</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hidden="1">{#N/A,#N/A,FALSE,"자재관리";#N/A,#N/A,FALSE,"자재관리";#N/A,#N/A,FALSE,"자재관리"}</definedName>
    <definedName name="소">#REF!</definedName>
    <definedName name="소분류">#REF!</definedName>
    <definedName name="소화갑지" localSheetId="0" hidden="1">{#N/A,#N/A,FALSE,"CCTV"}</definedName>
    <definedName name="소화갑지" hidden="1">{#N/A,#N/A,FALSE,"CCTV"}</definedName>
    <definedName name="속초조양부대입찰요청서">[54]확약서!#REF!</definedName>
    <definedName name="속초조양원하도급예정금액대비">[54]확약서!#REF!</definedName>
    <definedName name="속초조양지급자재">[54]확약서!#REF!</definedName>
    <definedName name="속초조양하도급사항">[54]확약서!#REF!</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순공사비">#REF!</definedName>
    <definedName name="순공사원가">#REF!</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실행">#REF!</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hidden="1">{#N/A,#N/A,TRUE,"자재관리";#N/A,#N/A,TRUE,"품질"}</definedName>
    <definedName name="ㅇㄴㅇㄴ" localSheetId="0" hidden="1">{#N/A,#N/A,FALSE,"CCTV"}</definedName>
    <definedName name="ㅇㄴㅇㄴ" hidden="1">{#N/A,#N/A,FALSE,"CCTV"}</definedName>
    <definedName name="ㅇㄹㅇㄹ" localSheetId="0" hidden="1">#REF!</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hidden="1">{#N/A,#N/A,FALSE,"자재관리";#N/A,#N/A,FALSE,"자재관리";#N/A,#N/A,FALSE,"자재관리"}</definedName>
    <definedName name="ㅇㅇㄹ" localSheetId="0" hidden="1">#REF!</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[55]기준_국가명!$C$3:$H$3</definedName>
    <definedName name="ㅇㅇㅇㅇ">[56]기준_국가명!$C$3:$H$3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아" localSheetId="0"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비">#REF!</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포메">#REF!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식">#REF!</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얼">#REF!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명">'[49]Key Data'!$J$3:$J$45</definedName>
    <definedName name="없음">#REF!</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hidden="1">{#N/A,#N/A,FALSE,"전력간선"}</definedName>
    <definedName name="예상도급내역" localSheetId="0" hidden="1">{#N/A,#N/A,FALSE,"CCTV"}</definedName>
    <definedName name="예상도급내역" hidden="1">{#N/A,#N/A,FALSE,"CCTV"}</definedName>
    <definedName name="오">#REF!</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0" hidden="1">#REF!</definedName>
    <definedName name="완공3" hidden="1">#REF!</definedName>
    <definedName name="용접">#REF!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운전">#REF!</definedName>
    <definedName name="운전사">#REF!</definedName>
    <definedName name="운전사_기계">[42]노임단가!#REF!</definedName>
    <definedName name="운전사_운반차">[42]노임단가!#REF!</definedName>
    <definedName name="운전조">#REF!</definedName>
    <definedName name="원가TABLE" localSheetId="0"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위치">[54]!원위치</definedName>
    <definedName name="월">'[57]Drop Down'!$B$4:$B$15</definedName>
    <definedName name="월2">#REF!</definedName>
    <definedName name="유리공">[42]노임단가!#REF!</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hidden="1">{#N/A,#N/A,FALSE,"전력간선"}</definedName>
    <definedName name="이봉해" localSheetId="0"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윤">#REF!</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건비">'[58]노무비 근거'!$B$3:$D$23</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대">#REF!</definedName>
    <definedName name="일련번호">#REF!</definedName>
    <definedName name="일반관리비">#REF!</definedName>
    <definedName name="일위">#REF!,#REF!</definedName>
    <definedName name="일위대가">#REF!</definedName>
    <definedName name="일의01">[45]직노!#REF!</definedName>
    <definedName name="ㅈ" localSheetId="0" hidden="1">{#N/A,#N/A,FALSE,"자재관리";#N/A,#N/A,FALSE,"자재관리";#N/A,#N/A,FALSE,"자재관리"}</definedName>
    <definedName name="ㅈ" hidden="1">{#N/A,#N/A,FALSE,"자재관리";#N/A,#N/A,FALSE,"자재관리";#N/A,#N/A,FALSE,"자재관리"}</definedName>
    <definedName name="ㅈㅈㅈㅈ">#REF!</definedName>
    <definedName name="작업">#REF!</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재료비1" localSheetId="0" hidden="1">{#N/A,#N/A,FALSE,"자재관리";#N/A,#N/A,FALSE,"자재관리";#N/A,#N/A,FALSE,"자재관리"}</definedName>
    <definedName name="재료비1" hidden="1">{#N/A,#N/A,FALSE,"자재관리";#N/A,#N/A,FALSE,"자재관리";#N/A,#N/A,FALSE,"자재관리"}</definedName>
    <definedName name="저케">#REF!</definedName>
    <definedName name="전기" localSheetId="0" hidden="1">{#N/A,#N/A,FALSE,"전력간선"}</definedName>
    <definedName name="전기" hidden="1">{#N/A,#N/A,FALSE,"전력간선"}</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서양식">[59]DB!$1:$950</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hidden="1">{#N/A,#N/A,FALSE,"CCTV"}</definedName>
    <definedName name="제목">#REF!</definedName>
    <definedName name="조명율표">[60]조명율표!$B$4:$F$495</definedName>
    <definedName name="조사구분">'[61]조사방법 참조'!$A$2:$A$3</definedName>
    <definedName name="조사방법">[62]조사방식!$C$2:$D$2</definedName>
    <definedName name="조용영" hidden="1">{#N/A,#N/A,FALSE,"Sheet1"}</definedName>
    <definedName name="조장">#REF!</definedName>
    <definedName name="조적" hidden="1">#REF!</definedName>
    <definedName name="조적공">[42]노임단가!#REF!</definedName>
    <definedName name="조정">#REF!</definedName>
    <definedName name="조정내역2" localSheetId="0"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기운전조수">[42]노임단가!#REF!</definedName>
    <definedName name="중기조장">[42]노임단가!#REF!</definedName>
    <definedName name="중분류">#REF!</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입자재">#REF!</definedName>
    <definedName name="지입재료비">#REF!</definedName>
    <definedName name="직접경비">#REF!</definedName>
    <definedName name="직접노무비">#REF!</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공">#REF!</definedName>
    <definedName name="청마총괄">[63]직노!#REF!</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_원_가">[64]손익분석!#REF!</definedName>
    <definedName name="총공" hidden="1">{#N/A,#N/A,FALSE,"운반시간"}</definedName>
    <definedName name="총공사비">#REF!</definedName>
    <definedName name="총괄">#REF!</definedName>
    <definedName name="총괄표">[63]직노!#REF!</definedName>
    <definedName name="총노무">#REF!</definedName>
    <definedName name="총원가">#REF!</definedName>
    <definedName name="총원가2">#REF!</definedName>
    <definedName name="총자재">#REF!</definedName>
    <definedName name="최종">#REF!</definedName>
    <definedName name="최종갑지1" localSheetId="0"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콘크">#REF!</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hidden="1">{#N/A,#N/A,FALSE,"골재소요량";#N/A,#N/A,FALSE,"골재소요량"}</definedName>
    <definedName name="통1">#REF!</definedName>
    <definedName name="통신설비공">#REF!</definedName>
    <definedName name="통신케이블공">#REF!</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특고">#REF!</definedName>
    <definedName name="특별">#REF!</definedName>
    <definedName name="팀별" localSheetId="0"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이프펜던트">[14]DATA!$E$17:$F$26</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hidden="1">{#N/A,#N/A,FALSE,"자재관리";#N/A,#N/A,FALSE,"자재관리";#N/A,#N/A,FALSE,"자재관리"}</definedName>
    <definedName name="품_______명">#REF!</definedName>
    <definedName name="품의">[65]DB!$1:$950</definedName>
    <definedName name="프랜트전공">#REF!</definedName>
    <definedName name="ㅎ" localSheetId="0" hidden="1">{#N/A,#N/A,TRUE,"자재관리";#N/A,#N/A,TRUE,"품질"}</definedName>
    <definedName name="ㅎ" hidden="1">{#N/A,#N/A,TRUE,"자재관리";#N/A,#N/A,TRUE,"품질"}</definedName>
    <definedName name="ㅎ114">#REF!</definedName>
    <definedName name="ㅎ314">#REF!</definedName>
    <definedName name="ㅎㄷㅁ">#REF!</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hidden="1">{#N/A,#N/A,FALSE,"CCTV"}</definedName>
    <definedName name="하도">#REF!</definedName>
    <definedName name="하도비율">#REF!</definedName>
    <definedName name="하행터널" localSheetId="0"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hidden="1">{#N/A,#N/A,FALSE,"Sheet1"}</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전수탁비">#REF!</definedName>
    <definedName name="할석공">[42]노임단가!#REF!</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[25]Sheet1!$C$2:$C$8</definedName>
    <definedName name="행열변환_1.행열변환_1">[23]!행열변환_1.행열변환_1</definedName>
    <definedName name="행열변환_2.행열변환_2">[23]!행열변환_2.행열변환_2</definedName>
    <definedName name="행열변환_3.행열변환_3">[66]!행열변환_3.행열변환_3</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도사">[42]노임단가!#REF!</definedName>
    <definedName name="현설자재수량검토" localSheetId="0" hidden="1">{#N/A,#N/A,FALSE,"전력간선"}</definedName>
    <definedName name="현설자재수량검토" hidden="1">{#N/A,#N/A,FALSE,"전력간선"}</definedName>
    <definedName name="현천기자재비">#REF!</definedName>
    <definedName name="형틀">#REF!</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회사분">#REF!</definedName>
    <definedName name="회사분경비">'[53]20_10_100'!#REF!</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0"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ㅓ" localSheetId="0"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0" hidden="1">{#N/A,#N/A,FALSE,"자재관리";#N/A,#N/A,FALSE,"자재관리";#N/A,#N/A,FALSE,"자재관리"}</definedName>
    <definedName name="ㅛ" hidden="1">{#N/A,#N/A,FALSE,"자재관리";#N/A,#N/A,FALSE,"자재관리";#N/A,#N/A,FALSE,"자재관리"}</definedName>
    <definedName name="ㅛㅛㅛㅛ" localSheetId="0" hidden="1">[33]수량산출!$A$1:$A$8561</definedName>
    <definedName name="ㅛㅛㅛㅛ" hidden="1">[34]수량산출!$A$1:$A$8561</definedName>
    <definedName name="ㅜ" localSheetId="0" hidden="1">[38]수량산출!#REF!</definedName>
    <definedName name="ㅜ" hidden="1">[39]수량산출!#REF!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18" l="1"/>
  <c r="J16" i="18" s="1"/>
  <c r="I15" i="18"/>
  <c r="J15" i="18" s="1"/>
  <c r="I14" i="18"/>
  <c r="J14" i="18" s="1"/>
  <c r="I13" i="18"/>
  <c r="J13" i="18" s="1"/>
  <c r="I12" i="18"/>
  <c r="J12" i="18" s="1"/>
  <c r="I11" i="18"/>
  <c r="J11" i="18" s="1"/>
  <c r="I10" i="18"/>
  <c r="J10" i="18" s="1"/>
  <c r="I9" i="18"/>
  <c r="J9" i="18" s="1"/>
  <c r="I8" i="18"/>
  <c r="J8" i="18" s="1"/>
  <c r="I7" i="18"/>
  <c r="J7" i="18" s="1"/>
  <c r="D4" i="18"/>
  <c r="I6" i="18"/>
  <c r="J6" i="18" s="1"/>
  <c r="I5" i="18"/>
  <c r="J5" i="18" s="1"/>
  <c r="I4" i="18" l="1"/>
  <c r="J4" i="18"/>
</calcChain>
</file>

<file path=xl/sharedStrings.xml><?xml version="1.0" encoding="utf-8"?>
<sst xmlns="http://schemas.openxmlformats.org/spreadsheetml/2006/main" count="91" uniqueCount="56">
  <si>
    <t>샘플&gt;</t>
    <phoneticPr fontId="8" type="noConversion"/>
  </si>
  <si>
    <t>일성</t>
    <phoneticPr fontId="8" type="noConversion"/>
  </si>
  <si>
    <t>3
(관리제외)</t>
    <phoneticPr fontId="8" type="noConversion"/>
  </si>
  <si>
    <t>1월1일</t>
    <phoneticPr fontId="8" type="noConversion"/>
  </si>
  <si>
    <t>14시30분</t>
    <phoneticPr fontId="8" type="noConversion"/>
  </si>
  <si>
    <t>1월2일</t>
    <phoneticPr fontId="8" type="noConversion"/>
  </si>
  <si>
    <t>15시30분</t>
    <phoneticPr fontId="8" type="noConversion"/>
  </si>
  <si>
    <t>사택 5동</t>
    <phoneticPr fontId="8" type="noConversion"/>
  </si>
  <si>
    <t>관리소
담당자</t>
    <phoneticPr fontId="8" type="noConversion"/>
  </si>
  <si>
    <t xml:space="preserve">- 문끌림 4개소/ 방충망 7개소/ 신발장 시트지 1개소
- 빨래건조 4개소 /  누수 천장 임시 철거 및 보수 </t>
    <phoneticPr fontId="8" type="noConversion"/>
  </si>
  <si>
    <t>건수</t>
    <phoneticPr fontId="8" type="noConversion"/>
  </si>
  <si>
    <t>업체명</t>
    <phoneticPr fontId="8" type="noConversion"/>
  </si>
  <si>
    <t>인원</t>
    <phoneticPr fontId="8" type="noConversion"/>
  </si>
  <si>
    <t>시작</t>
    <phoneticPr fontId="8" type="noConversion"/>
  </si>
  <si>
    <t>종료</t>
    <phoneticPr fontId="8" type="noConversion"/>
  </si>
  <si>
    <t>건물동</t>
    <phoneticPr fontId="8" type="noConversion"/>
  </si>
  <si>
    <t>호실</t>
    <phoneticPr fontId="8" type="noConversion"/>
  </si>
  <si>
    <t>작업지시</t>
    <phoneticPr fontId="8" type="noConversion"/>
  </si>
  <si>
    <t>보수 내용</t>
    <phoneticPr fontId="8" type="noConversion"/>
  </si>
  <si>
    <t>비 고</t>
    <phoneticPr fontId="8" type="noConversion"/>
  </si>
  <si>
    <t>일자</t>
    <phoneticPr fontId="8" type="noConversion"/>
  </si>
  <si>
    <t>시간</t>
    <phoneticPr fontId="8" type="noConversion"/>
  </si>
  <si>
    <t>일성건축</t>
    <phoneticPr fontId="8" type="noConversion"/>
  </si>
  <si>
    <t>남해원</t>
    <phoneticPr fontId="8" type="noConversion"/>
  </si>
  <si>
    <t>작업시간</t>
    <phoneticPr fontId="7" type="noConversion"/>
  </si>
  <si>
    <t>총시간</t>
    <phoneticPr fontId="7" type="noConversion"/>
  </si>
  <si>
    <t>(종료-시간)</t>
    <phoneticPr fontId="8" type="noConversion"/>
  </si>
  <si>
    <t>(인원*작업시간)</t>
    <phoneticPr fontId="8" type="noConversion"/>
  </si>
  <si>
    <t>8
9</t>
    <phoneticPr fontId="7" type="noConversion"/>
  </si>
  <si>
    <t>9
102</t>
    <phoneticPr fontId="7" type="noConversion"/>
  </si>
  <si>
    <t>A</t>
    <phoneticPr fontId="7" type="noConversion"/>
  </si>
  <si>
    <t>A
B</t>
    <phoneticPr fontId="7" type="noConversion"/>
  </si>
  <si>
    <t>A
B
8</t>
    <phoneticPr fontId="7" type="noConversion"/>
  </si>
  <si>
    <t>8
5</t>
    <phoneticPr fontId="7" type="noConversion"/>
  </si>
  <si>
    <t>206
303</t>
    <phoneticPr fontId="7" type="noConversion"/>
  </si>
  <si>
    <t>303
201</t>
    <phoneticPr fontId="7" type="noConversion"/>
  </si>
  <si>
    <t>401-6
503-4
504-2
504-5</t>
    <phoneticPr fontId="7" type="noConversion"/>
  </si>
  <si>
    <t>703-3
703-4
902-3</t>
    <phoneticPr fontId="7" type="noConversion"/>
  </si>
  <si>
    <t>503-4
702-1
206</t>
    <phoneticPr fontId="7" type="noConversion"/>
  </si>
  <si>
    <t>206
310</t>
    <phoneticPr fontId="7" type="noConversion"/>
  </si>
  <si>
    <t>501
401
303</t>
    <phoneticPr fontId="7" type="noConversion"/>
  </si>
  <si>
    <t>503
501</t>
    <phoneticPr fontId="7" type="noConversion"/>
  </si>
  <si>
    <t>뒤베란다 창고 누수점검 및 실리콘 완료
뒤베란다 창고문 철거 완료
화장실 우측방 입구 바닥 평탄화
화장실문 시트지 보수 1개소</t>
    <phoneticPr fontId="8" type="noConversion"/>
  </si>
  <si>
    <t>현관문 도어 가스켓 교체
현관문 도어 가스켓 교체
방충망 7개소 교체</t>
    <phoneticPr fontId="7" type="noConversion"/>
  </si>
  <si>
    <t>문 보수 1개소
뒤베라낟 천장 패임 보수
문 보수 1개소</t>
    <phoneticPr fontId="7" type="noConversion"/>
  </si>
  <si>
    <t>[이정민,구진회]</t>
    <phoneticPr fontId="7" type="noConversion"/>
  </si>
  <si>
    <t>화장실문 시트지 보수 1개소
안방 걸레 받이 들뜸 보수
문 보수 1개소 완료
거실 걸레 받이 2개소 교체</t>
    <phoneticPr fontId="7" type="noConversion"/>
  </si>
  <si>
    <t>화장실 도어 보수
방도어 보수
화장실 도어, 방도어 2개소
화장실 도어, 방도어 2개소</t>
    <phoneticPr fontId="7" type="noConversion"/>
  </si>
  <si>
    <t>화장실 도어, 방도어 2개소
화장실 도어, 방도어 2개소
방도어 보수</t>
    <phoneticPr fontId="7" type="noConversion"/>
  </si>
  <si>
    <t>[구진회]</t>
    <phoneticPr fontId="7" type="noConversion"/>
  </si>
  <si>
    <t>방충망 7개소 교체</t>
    <phoneticPr fontId="7" type="noConversion"/>
  </si>
  <si>
    <t>블라인드 설치
방도어 보수
뒤베란다 창고 문틀 설치
방충망 7개소 교체</t>
    <phoneticPr fontId="7" type="noConversion"/>
  </si>
  <si>
    <t>걸레받이 파소 2개소
도어 보수 2개소
안방문틀 보수
방충망 3개소 교체</t>
    <phoneticPr fontId="7" type="noConversion"/>
  </si>
  <si>
    <t>뒤베란다 창고문 재설치
방충망 7개소 교체
앞베라낟 내,외부 실리콘 보수</t>
    <phoneticPr fontId="7" type="noConversion"/>
  </si>
  <si>
    <t>방충망 3개소 교체
화장실 문 시트지 교체
뒷베란다 벽면 및 바닥 크랙보수(실리콘)
도어 보수 1개소</t>
    <phoneticPr fontId="7" type="noConversion"/>
  </si>
  <si>
    <t>누수 탐지(미래설비)
대기 인원 (일성건축) 
→ 씽크대 철거,원복 하지 않음</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</si>
</sst>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_);_(* \(#,##0\);_(* &quot;-&quot;_);_(@_)"/>
    <numFmt numFmtId="177" formatCode="_ * #,##0_ ;_ * \-#,##0_ ;_ * &quot;-&quot;_ ;_ @_ "/>
    <numFmt numFmtId="178" formatCode="mm&quot;월&quot;\ dd&quot;일&quot;"/>
    <numFmt numFmtId="179" formatCode="[hh]\ &quot;시간&quot;\ mm\ &quot;분&quot;"/>
  </numFmts>
  <fonts count="29"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8"/>
      <name val="맑은 고딕"/>
      <family val="2"/>
      <charset val="129"/>
      <scheme val="minor"/>
    </font>
    <font>
      <sz val="10"/>
      <color indexed="64"/>
      <name val="Arial"/>
      <family val="2"/>
    </font>
    <font>
      <b/>
      <sz val="10"/>
      <color indexed="64"/>
      <name val="Arial"/>
      <family val="2"/>
    </font>
    <font>
      <sz val="11"/>
      <name val="돋움"/>
      <family val="3"/>
      <charset val="129"/>
    </font>
    <font>
      <b/>
      <sz val="11"/>
      <color theme="1"/>
      <name val="맑은 고딕"/>
      <family val="3"/>
      <charset val="129"/>
      <scheme val="minor"/>
    </font>
    <font>
      <b/>
      <sz val="11"/>
      <color rgb="FFFF00FF"/>
      <name val="맑은 고딕"/>
      <family val="3"/>
      <charset val="129"/>
      <scheme val="minor"/>
    </font>
    <font>
      <sz val="11"/>
      <color theme="1" tint="0.249977111117893"/>
      <name val="맑은 고딕"/>
      <family val="2"/>
      <charset val="129"/>
      <scheme val="minor"/>
    </font>
    <font>
      <sz val="9"/>
      <color theme="0" tint="-0.34998626667073579"/>
      <name val="맑은 고딕"/>
      <family val="3"/>
      <charset val="129"/>
      <scheme val="minor"/>
    </font>
    <font>
      <sz val="12"/>
      <color theme="0" tint="-0.34998626667073579"/>
      <name val="맑은 고딕"/>
      <family val="3"/>
      <charset val="129"/>
      <scheme val="minor"/>
    </font>
    <font>
      <b/>
      <sz val="15"/>
      <name val="맑은 고딕"/>
      <family val="3"/>
      <charset val="129"/>
      <scheme val="minor"/>
    </font>
    <font>
      <sz val="15"/>
      <color theme="0" tint="-0.34998626667073579"/>
      <name val="맑은 고딕"/>
      <family val="3"/>
      <charset val="129"/>
      <scheme val="minor"/>
    </font>
    <font>
      <sz val="15"/>
      <color rgb="FFFF0000"/>
      <name val="맑은 고딕"/>
      <family val="3"/>
      <charset val="129"/>
      <scheme val="minor"/>
    </font>
    <font>
      <sz val="15"/>
      <color rgb="FFFF00FF"/>
      <name val="맑은 고딕"/>
      <family val="3"/>
      <charset val="129"/>
      <scheme val="minor"/>
    </font>
    <font>
      <b/>
      <sz val="15"/>
      <color rgb="FFFF00FF"/>
      <name val="맑은 고딕"/>
      <family val="3"/>
      <charset val="129"/>
      <scheme val="minor"/>
    </font>
    <font>
      <b/>
      <sz val="15"/>
      <color rgb="FFFF0000"/>
      <name val="맑은 고딕"/>
      <family val="3"/>
      <charset val="129"/>
      <scheme val="minor"/>
    </font>
    <font>
      <b/>
      <sz val="15"/>
      <color theme="1"/>
      <name val="맑은 고딕"/>
      <family val="3"/>
      <charset val="129"/>
      <scheme val="minor"/>
    </font>
    <font>
      <b/>
      <sz val="17"/>
      <color rgb="FFFF00FF"/>
      <name val="맑은 고딕"/>
      <family val="3"/>
      <charset val="129"/>
      <scheme val="minor"/>
    </font>
    <font>
      <b/>
      <sz val="17"/>
      <color rgb="FFFF0000"/>
      <name val="맑은 고딕"/>
      <family val="3"/>
      <charset val="129"/>
      <scheme val="minor"/>
    </font>
    <font>
      <sz val="11"/>
      <color theme="0" tint="-0.34998626667073579"/>
      <name val="맑은 고딕"/>
      <family val="3"/>
      <charset val="129"/>
      <scheme val="minor"/>
    </font>
    <font>
      <b/>
      <sz val="11"/>
      <color theme="0" tint="-0.249977111117893"/>
      <name val="맑은 고딕"/>
      <family val="3"/>
      <charset val="129"/>
      <scheme val="minor"/>
    </font>
    <font>
      <sz val="17"/>
      <color rgb="FFFF0000"/>
      <name val="맑은 고딕"/>
      <family val="3"/>
      <charset val="129"/>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30">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auto="1"/>
      </left>
      <right style="hair">
        <color indexed="64"/>
      </right>
      <top style="hair">
        <color indexed="64"/>
      </top>
      <bottom style="thin">
        <color auto="1"/>
      </bottom>
      <diagonal/>
    </border>
    <border>
      <left style="hair">
        <color auto="1"/>
      </left>
      <right style="thin">
        <color auto="1"/>
      </right>
      <top style="hair">
        <color auto="1"/>
      </top>
      <bottom style="thin">
        <color auto="1"/>
      </bottom>
      <diagonal/>
    </border>
    <border>
      <left style="hair">
        <color theme="0" tint="-0.24994659260841701"/>
      </left>
      <right style="hair">
        <color theme="0" tint="-0.2499465926084170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style="thin">
        <color theme="0" tint="-0.24994659260841701"/>
      </left>
      <right style="thin">
        <color theme="0" tint="-0.24994659260841701"/>
      </right>
      <top style="thin">
        <color indexed="64"/>
      </top>
      <bottom/>
      <diagonal/>
    </border>
  </borders>
  <cellStyleXfs count="23">
    <xf numFmtId="0" fontId="0" fillId="0" borderId="0">
      <alignment vertical="center"/>
    </xf>
    <xf numFmtId="0" fontId="9" fillId="0" borderId="0"/>
    <xf numFmtId="176" fontId="6" fillId="0" borderId="0" applyFont="0" applyFill="0" applyBorder="0" applyAlignment="0" applyProtection="0">
      <alignment vertical="center"/>
    </xf>
    <xf numFmtId="177" fontId="10" fillId="0" borderId="0" applyFont="0" applyFill="0" applyBorder="0" applyAlignment="0" applyProtection="0"/>
    <xf numFmtId="0" fontId="6" fillId="0" borderId="0">
      <alignment vertical="center"/>
    </xf>
    <xf numFmtId="9" fontId="10" fillId="0" borderId="0" applyFont="0" applyFill="0" applyBorder="0" applyAlignment="0" applyProtection="0"/>
    <xf numFmtId="0" fontId="9" fillId="0" borderId="0"/>
    <xf numFmtId="0" fontId="5" fillId="0" borderId="0">
      <alignment vertical="center"/>
    </xf>
    <xf numFmtId="9" fontId="5"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alignment vertical="center"/>
    </xf>
    <xf numFmtId="176" fontId="11"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4" fillId="0" borderId="0">
      <alignment vertical="center"/>
    </xf>
    <xf numFmtId="9" fontId="4" fillId="0" borderId="0" applyFont="0" applyFill="0" applyBorder="0" applyAlignment="0" applyProtection="0">
      <alignment vertical="center"/>
    </xf>
    <xf numFmtId="176" fontId="4" fillId="0" borderId="0" applyFont="0" applyFill="0" applyBorder="0" applyAlignment="0" applyProtection="0">
      <alignment vertical="center"/>
    </xf>
    <xf numFmtId="0" fontId="3" fillId="0" borderId="0">
      <alignment vertical="center"/>
    </xf>
    <xf numFmtId="0" fontId="2" fillId="0" borderId="0">
      <alignment vertical="center"/>
    </xf>
    <xf numFmtId="176" fontId="2" fillId="0" borderId="0" applyFont="0" applyFill="0" applyBorder="0" applyAlignment="0" applyProtection="0">
      <alignment vertical="center"/>
    </xf>
    <xf numFmtId="0" fontId="1" fillId="0" borderId="0">
      <alignment vertical="center"/>
    </xf>
  </cellStyleXfs>
  <cellXfs count="70">
    <xf numFmtId="0" fontId="0" fillId="0" borderId="0" xfId="0">
      <alignment vertical="center"/>
    </xf>
    <xf numFmtId="0" fontId="1" fillId="0" borderId="0" xfId="22">
      <alignment vertical="center"/>
    </xf>
    <xf numFmtId="0" fontId="1" fillId="0" borderId="0" xfId="22" applyAlignment="1">
      <alignment horizontal="center" vertical="center"/>
    </xf>
    <xf numFmtId="0" fontId="12" fillId="0" borderId="12" xfId="22" applyFont="1" applyBorder="1" applyAlignment="1">
      <alignment horizontal="center" vertical="center"/>
    </xf>
    <xf numFmtId="0" fontId="12" fillId="0" borderId="14" xfId="22" applyFont="1" applyBorder="1" applyAlignment="1">
      <alignment horizontal="center" vertical="center"/>
    </xf>
    <xf numFmtId="0" fontId="14" fillId="0" borderId="0" xfId="22" applyFont="1" applyAlignment="1">
      <alignment horizontal="center" vertical="center"/>
    </xf>
    <xf numFmtId="20" fontId="1" fillId="0" borderId="0" xfId="22" applyNumberFormat="1">
      <alignment vertical="center"/>
    </xf>
    <xf numFmtId="176" fontId="1" fillId="0" borderId="0" xfId="22" applyNumberFormat="1">
      <alignment vertical="center"/>
    </xf>
    <xf numFmtId="0" fontId="15" fillId="0" borderId="25" xfId="22" applyFont="1" applyBorder="1">
      <alignment vertical="center"/>
    </xf>
    <xf numFmtId="0" fontId="12" fillId="0" borderId="0" xfId="22" applyFont="1" applyAlignment="1">
      <alignment horizontal="center" vertical="center"/>
    </xf>
    <xf numFmtId="0" fontId="13" fillId="0" borderId="0" xfId="22" applyFont="1" applyAlignment="1">
      <alignment horizontal="center" vertical="center"/>
    </xf>
    <xf numFmtId="0" fontId="17" fillId="0" borderId="15" xfId="22" applyFont="1" applyBorder="1" applyAlignment="1">
      <alignment horizontal="center" vertical="center"/>
    </xf>
    <xf numFmtId="0" fontId="18" fillId="0" borderId="16" xfId="22" applyFont="1" applyBorder="1" applyAlignment="1">
      <alignment horizontal="center" vertical="center"/>
    </xf>
    <xf numFmtId="178" fontId="18" fillId="0" borderId="17" xfId="22" applyNumberFormat="1" applyFont="1" applyBorder="1" applyAlignment="1">
      <alignment horizontal="center" vertical="center"/>
    </xf>
    <xf numFmtId="20" fontId="20" fillId="0" borderId="17" xfId="22" applyNumberFormat="1" applyFont="1" applyBorder="1" applyAlignment="1">
      <alignment horizontal="center" vertical="center"/>
    </xf>
    <xf numFmtId="179" fontId="19" fillId="0" borderId="17" xfId="22" applyNumberFormat="1" applyFont="1" applyBorder="1" applyAlignment="1">
      <alignment horizontal="center" vertical="center"/>
    </xf>
    <xf numFmtId="0" fontId="18" fillId="0" borderId="17" xfId="22" applyFont="1" applyBorder="1" applyAlignment="1">
      <alignment horizontal="center" vertical="center"/>
    </xf>
    <xf numFmtId="0" fontId="17" fillId="0" borderId="19" xfId="22" applyFont="1" applyBorder="1" applyAlignment="1">
      <alignment horizontal="center" vertical="center"/>
    </xf>
    <xf numFmtId="0" fontId="18" fillId="0" borderId="20" xfId="22" applyFont="1" applyBorder="1" applyAlignment="1">
      <alignment horizontal="center" vertical="center"/>
    </xf>
    <xf numFmtId="178" fontId="18" fillId="0" borderId="1" xfId="22" applyNumberFormat="1" applyFont="1" applyBorder="1" applyAlignment="1">
      <alignment horizontal="center" vertical="center"/>
    </xf>
    <xf numFmtId="20" fontId="20" fillId="0" borderId="1" xfId="22" applyNumberFormat="1" applyFont="1" applyBorder="1" applyAlignment="1">
      <alignment horizontal="center" vertical="center"/>
    </xf>
    <xf numFmtId="179" fontId="19" fillId="0" borderId="1" xfId="22" applyNumberFormat="1" applyFont="1" applyBorder="1" applyAlignment="1">
      <alignment horizontal="center" vertical="center"/>
    </xf>
    <xf numFmtId="0" fontId="18" fillId="0" borderId="1" xfId="22" applyFont="1" applyBorder="1" applyAlignment="1">
      <alignment horizontal="center" vertical="center"/>
    </xf>
    <xf numFmtId="0" fontId="18" fillId="0" borderId="1" xfId="22" applyFont="1" applyBorder="1" applyAlignment="1">
      <alignment horizontal="center" vertical="center" wrapText="1"/>
    </xf>
    <xf numFmtId="0" fontId="17" fillId="0" borderId="22" xfId="22" applyFont="1" applyBorder="1" applyAlignment="1">
      <alignment horizontal="center" vertical="center"/>
    </xf>
    <xf numFmtId="0" fontId="18" fillId="0" borderId="23" xfId="22" applyFont="1" applyBorder="1" applyAlignment="1">
      <alignment horizontal="center" vertical="center"/>
    </xf>
    <xf numFmtId="0" fontId="19" fillId="0" borderId="24" xfId="22" applyFont="1" applyBorder="1" applyAlignment="1">
      <alignment horizontal="center" vertical="center"/>
    </xf>
    <xf numFmtId="178" fontId="18" fillId="0" borderId="24" xfId="22" applyNumberFormat="1" applyFont="1" applyBorder="1" applyAlignment="1">
      <alignment horizontal="center" vertical="center"/>
    </xf>
    <xf numFmtId="20" fontId="20" fillId="0" borderId="24" xfId="22" applyNumberFormat="1" applyFont="1" applyBorder="1" applyAlignment="1">
      <alignment horizontal="center" vertical="center"/>
    </xf>
    <xf numFmtId="179" fontId="19" fillId="0" borderId="24" xfId="22" applyNumberFormat="1" applyFont="1" applyBorder="1" applyAlignment="1">
      <alignment horizontal="center" vertical="center"/>
    </xf>
    <xf numFmtId="0" fontId="18" fillId="0" borderId="24" xfId="22" applyFont="1" applyBorder="1" applyAlignment="1">
      <alignment horizontal="center" vertical="center" wrapText="1"/>
    </xf>
    <xf numFmtId="0" fontId="18" fillId="0" borderId="24" xfId="22" applyFont="1" applyBorder="1" applyAlignment="1">
      <alignment horizontal="center" vertical="center"/>
    </xf>
    <xf numFmtId="0" fontId="21" fillId="2" borderId="8" xfId="22" applyFont="1" applyFill="1" applyBorder="1" applyAlignment="1">
      <alignment horizontal="center" vertical="center"/>
    </xf>
    <xf numFmtId="0" fontId="22" fillId="2" borderId="8" xfId="22" applyFont="1" applyFill="1" applyBorder="1" applyAlignment="1">
      <alignment horizontal="center" vertical="center"/>
    </xf>
    <xf numFmtId="0" fontId="23" fillId="2" borderId="2" xfId="22" applyFont="1" applyFill="1" applyBorder="1" applyAlignment="1">
      <alignment horizontal="center" vertical="center"/>
    </xf>
    <xf numFmtId="0" fontId="21" fillId="2" borderId="3" xfId="22" applyFont="1" applyFill="1" applyBorder="1" applyAlignment="1">
      <alignment horizontal="center" vertical="center"/>
    </xf>
    <xf numFmtId="0" fontId="21" fillId="2" borderId="10" xfId="22" applyFont="1" applyFill="1" applyBorder="1" applyAlignment="1">
      <alignment horizontal="center" vertical="center"/>
    </xf>
    <xf numFmtId="0" fontId="22" fillId="2" borderId="10" xfId="22" applyFont="1" applyFill="1" applyBorder="1" applyAlignment="1">
      <alignment horizontal="center" vertical="center"/>
    </xf>
    <xf numFmtId="0" fontId="16" fillId="0" borderId="24" xfId="22" applyFont="1" applyBorder="1" applyAlignment="1">
      <alignment vertical="center" wrapText="1"/>
    </xf>
    <xf numFmtId="179" fontId="24" fillId="3" borderId="0" xfId="22" applyNumberFormat="1" applyFont="1" applyFill="1" applyAlignment="1">
      <alignment horizontal="center" vertical="center"/>
    </xf>
    <xf numFmtId="179" fontId="25" fillId="3" borderId="0" xfId="22" applyNumberFormat="1" applyFont="1" applyFill="1" applyAlignment="1">
      <alignment horizontal="center" vertical="center"/>
    </xf>
    <xf numFmtId="0" fontId="26" fillId="0" borderId="4" xfId="22" applyFont="1" applyBorder="1" applyAlignment="1">
      <alignment horizontal="center" vertical="center"/>
    </xf>
    <xf numFmtId="0" fontId="26" fillId="0" borderId="4" xfId="22" applyFont="1" applyBorder="1" applyAlignment="1">
      <alignment horizontal="center" vertical="center" wrapText="1"/>
    </xf>
    <xf numFmtId="14" fontId="26" fillId="0" borderId="4" xfId="22" quotePrefix="1" applyNumberFormat="1" applyFont="1" applyBorder="1" applyAlignment="1">
      <alignment horizontal="center" vertical="center"/>
    </xf>
    <xf numFmtId="0" fontId="26" fillId="0" borderId="4" xfId="22" quotePrefix="1" applyFont="1" applyBorder="1" applyAlignment="1">
      <alignment vertical="center" wrapText="1"/>
    </xf>
    <xf numFmtId="0" fontId="27" fillId="0" borderId="0" xfId="22" applyFont="1" applyAlignment="1">
      <alignment horizontal="center" vertical="center"/>
    </xf>
    <xf numFmtId="0" fontId="18" fillId="0" borderId="26" xfId="22" applyFont="1" applyBorder="1" applyAlignment="1">
      <alignment horizontal="center" vertical="center"/>
    </xf>
    <xf numFmtId="178" fontId="18" fillId="0" borderId="27" xfId="22" applyNumberFormat="1" applyFont="1" applyBorder="1" applyAlignment="1">
      <alignment horizontal="center" vertical="center"/>
    </xf>
    <xf numFmtId="20" fontId="20" fillId="0" borderId="27" xfId="22" applyNumberFormat="1" applyFont="1" applyBorder="1" applyAlignment="1">
      <alignment horizontal="center" vertical="center"/>
    </xf>
    <xf numFmtId="0" fontId="18" fillId="0" borderId="27" xfId="22" applyFont="1" applyBorder="1" applyAlignment="1">
      <alignment horizontal="center" vertical="center"/>
    </xf>
    <xf numFmtId="0" fontId="18" fillId="0" borderId="17" xfId="22" applyFont="1" applyBorder="1" applyAlignment="1">
      <alignment horizontal="center" vertical="center" wrapText="1"/>
    </xf>
    <xf numFmtId="0" fontId="18" fillId="0" borderId="27" xfId="22" applyFont="1" applyBorder="1" applyAlignment="1">
      <alignment horizontal="center" vertical="center" wrapText="1"/>
    </xf>
    <xf numFmtId="0" fontId="18" fillId="0" borderId="29" xfId="22" applyFont="1" applyBorder="1" applyAlignment="1">
      <alignment horizontal="center" vertical="center" wrapText="1"/>
    </xf>
    <xf numFmtId="0" fontId="18" fillId="0" borderId="17" xfId="22" applyFont="1" applyBorder="1" applyAlignment="1">
      <alignment vertical="center" wrapText="1"/>
    </xf>
    <xf numFmtId="0" fontId="18" fillId="0" borderId="1" xfId="22" applyFont="1" applyBorder="1" applyAlignment="1">
      <alignment vertical="center" wrapText="1"/>
    </xf>
    <xf numFmtId="0" fontId="18" fillId="0" borderId="27" xfId="22" applyFont="1" applyBorder="1" applyAlignment="1">
      <alignment vertical="center" wrapText="1"/>
    </xf>
    <xf numFmtId="0" fontId="18" fillId="0" borderId="18" xfId="22" applyFont="1" applyBorder="1">
      <alignment vertical="center"/>
    </xf>
    <xf numFmtId="0" fontId="18" fillId="0" borderId="21" xfId="22" applyFont="1" applyBorder="1">
      <alignment vertical="center"/>
    </xf>
    <xf numFmtId="0" fontId="18" fillId="0" borderId="28" xfId="22" applyFont="1" applyBorder="1">
      <alignment vertical="center"/>
    </xf>
    <xf numFmtId="179" fontId="1" fillId="0" borderId="0" xfId="22" applyNumberFormat="1">
      <alignment vertical="center"/>
    </xf>
    <xf numFmtId="0" fontId="25" fillId="0" borderId="13" xfId="22" applyFont="1" applyBorder="1" applyAlignment="1">
      <alignment horizontal="center" vertical="center"/>
    </xf>
    <xf numFmtId="0" fontId="28" fillId="0" borderId="17" xfId="22" applyFont="1" applyBorder="1" applyAlignment="1">
      <alignment horizontal="center" vertical="center"/>
    </xf>
    <xf numFmtId="0" fontId="28" fillId="0" borderId="1" xfId="22" applyFont="1" applyBorder="1" applyAlignment="1">
      <alignment horizontal="center" vertical="center"/>
    </xf>
    <xf numFmtId="0" fontId="28" fillId="0" borderId="27" xfId="22" applyFont="1" applyBorder="1" applyAlignment="1">
      <alignment horizontal="center" vertical="center"/>
    </xf>
    <xf numFmtId="0" fontId="23" fillId="2" borderId="9" xfId="22" applyFont="1" applyFill="1" applyBorder="1" applyAlignment="1">
      <alignment horizontal="center" vertical="center"/>
    </xf>
    <xf numFmtId="0" fontId="23" fillId="2" borderId="11" xfId="22" applyFont="1" applyFill="1" applyBorder="1" applyAlignment="1">
      <alignment horizontal="center" vertical="center"/>
    </xf>
    <xf numFmtId="0" fontId="23" fillId="2" borderId="5" xfId="22" applyFont="1" applyFill="1" applyBorder="1" applyAlignment="1">
      <alignment horizontal="center" vertical="center"/>
    </xf>
    <xf numFmtId="0" fontId="22" fillId="2" borderId="5" xfId="22" applyFont="1" applyFill="1" applyBorder="1" applyAlignment="1">
      <alignment horizontal="center" vertical="center"/>
    </xf>
    <xf numFmtId="0" fontId="23" fillId="2" borderId="6" xfId="22" applyFont="1" applyFill="1" applyBorder="1" applyAlignment="1">
      <alignment horizontal="center" vertical="center"/>
    </xf>
    <xf numFmtId="0" fontId="23" fillId="2" borderId="7" xfId="22" applyFont="1" applyFill="1" applyBorder="1" applyAlignment="1">
      <alignment horizontal="center" vertical="center"/>
    </xf>
  </cellXfs>
  <cellStyles count="23">
    <cellStyle name="백분율 2" xfId="8" xr:uid="{00000000-0005-0000-0000-000001000000}"/>
    <cellStyle name="백분율 2 64" xfId="5" xr:uid="{00000000-0005-0000-0000-000002000000}"/>
    <cellStyle name="백분율 4" xfId="17" xr:uid="{00000000-0005-0000-0000-000003000000}"/>
    <cellStyle name="쉼표 [0] 17" xfId="3" xr:uid="{00000000-0005-0000-0000-000005000000}"/>
    <cellStyle name="쉼표 [0] 2" xfId="2" xr:uid="{00000000-0005-0000-0000-000006000000}"/>
    <cellStyle name="쉼표 [0] 2 2" xfId="9" xr:uid="{00000000-0005-0000-0000-000007000000}"/>
    <cellStyle name="쉼표 [0] 2 2 2" xfId="21" xr:uid="{ACA8B6EC-4BE7-4948-8908-375F9DE97EAC}"/>
    <cellStyle name="쉼표 [0] 2 2 29" xfId="11" xr:uid="{00000000-0005-0000-0000-000008000000}"/>
    <cellStyle name="쉼표 [0] 2 4" xfId="18" xr:uid="{00000000-0005-0000-0000-000009000000}"/>
    <cellStyle name="쉼표 [0] 3" xfId="12" xr:uid="{00000000-0005-0000-0000-00000A000000}"/>
    <cellStyle name="쉼표 [0] 4" xfId="15" xr:uid="{00000000-0005-0000-0000-00000B000000}"/>
    <cellStyle name="표준" xfId="0" builtinId="0"/>
    <cellStyle name="표준 10 10 2" xfId="1" xr:uid="{00000000-0005-0000-0000-00000E000000}"/>
    <cellStyle name="표준 2" xfId="4" xr:uid="{00000000-0005-0000-0000-00000F000000}"/>
    <cellStyle name="표준 2 10 5" xfId="6" xr:uid="{00000000-0005-0000-0000-000010000000}"/>
    <cellStyle name="표준 2 2" xfId="19" xr:uid="{70DC468D-458E-4BC0-B63E-E5E5C5D1C698}"/>
    <cellStyle name="표준 3" xfId="13" xr:uid="{00000000-0005-0000-0000-000011000000}"/>
    <cellStyle name="표준 4" xfId="10" xr:uid="{00000000-0005-0000-0000-000012000000}"/>
    <cellStyle name="표준 5" xfId="7" xr:uid="{00000000-0005-0000-0000-000013000000}"/>
    <cellStyle name="표준 5 2" xfId="20" xr:uid="{E7A4D92F-D301-4615-8A4D-F9BFD18D2930}"/>
    <cellStyle name="표준 6" xfId="22" xr:uid="{6BF871C1-8047-4423-B9B3-C2F7C57C2A4E}"/>
    <cellStyle name="표준 7" xfId="14" xr:uid="{00000000-0005-0000-0000-000014000000}"/>
    <cellStyle name="표준 8" xfId="16" xr:uid="{00000000-0005-0000-0000-00001500000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styles" Target="styles.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sheetData sheetId="3059" refreshError="1"/>
      <sheetData sheetId="3060" refreshError="1"/>
      <sheetData sheetId="3061" refreshError="1"/>
      <sheetData sheetId="3062" refreshError="1"/>
      <sheetData sheetId="3063" refreshError="1"/>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sheetData sheetId="3232"/>
      <sheetData sheetId="3233"/>
      <sheetData sheetId="3234"/>
      <sheetData sheetId="3235" refreshError="1"/>
      <sheetData sheetId="3236" refreshError="1"/>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단면상수 및 주빔설계"/>
      <sheetName val="향후예상"/>
      <sheetName val="견적대비 견적서"/>
      <sheetName val="FILE1"/>
      <sheetName val="전선 및 전선관"/>
      <sheetName val="광양 3기 유입수"/>
      <sheetName val="가로등"/>
      <sheetName val="PILE"/>
      <sheetName val="960318-1"/>
      <sheetName val="실행"/>
      <sheetName val="증감내역"/>
      <sheetName val="하수급견적대비"/>
      <sheetName val="견적사양비교표"/>
      <sheetName val="내역서 "/>
      <sheetName val="FB25JN"/>
      <sheetName val="1_설계조건"/>
      <sheetName val="sum1_(2)"/>
      <sheetName val="_견적서"/>
      <sheetName val="BSD_(2)"/>
      <sheetName val="표지_(2)"/>
      <sheetName val="공사비_내역"/>
      <sheetName val="1공구(을)"/>
      <sheetName val="접수부"/>
      <sheetName val="신당동집계표"/>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U_2"/>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s>
    <definedNames>
      <definedName name="Macro1"/>
    </definedNames>
    <sheetDataSet>
      <sheetData sheetId="0">
        <row r="21">
          <cell r="M21">
            <v>0</v>
          </cell>
        </row>
      </sheetData>
      <sheetData sheetId="1">
        <row r="21">
          <cell r="M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refreshError="1"/>
      <sheetData sheetId="439" refreshError="1"/>
      <sheetData sheetId="440" refreshError="1"/>
      <sheetData sheetId="441"/>
      <sheetData sheetId="442" refreshError="1"/>
      <sheetData sheetId="443"/>
      <sheetData sheetId="444" refreshError="1"/>
      <sheetData sheetId="445" refreshError="1"/>
      <sheetData sheetId="446"/>
      <sheetData sheetId="447"/>
      <sheetData sheetId="448"/>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sheetData sheetId="1524"/>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sheetData sheetId="1753" refreshError="1"/>
      <sheetData sheetId="1754"/>
      <sheetData sheetId="1755" refreshError="1"/>
      <sheetData sheetId="1756" refreshError="1"/>
      <sheetData sheetId="1757" refreshError="1"/>
      <sheetData sheetId="1758"/>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수문일1"/>
      <sheetName val="단면 (2)"/>
      <sheetName val="BR.1(원)"/>
      <sheetName val="건축내역서"/>
      <sheetName val="설비내역서"/>
      <sheetName val="전기내역서"/>
      <sheetName val="주형지지보"/>
      <sheetName val="Data&amp;Result"/>
      <sheetName val="현황CODE"/>
      <sheetName val="손익현황"/>
      <sheetName val="토목변경"/>
      <sheetName val="수량집계"/>
      <sheetName val="일위대가집계"/>
      <sheetName val="BOX 본체"/>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변경총괄지(1)"/>
      <sheetName val="UNIT"/>
      <sheetName val="48신설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130325_Y13 GP_CI_Tracker_Corp V"/>
      <sheetName val="AHU집계"/>
      <sheetName val="공조기휀"/>
      <sheetName val="공조기"/>
      <sheetName val="P-산#1-1(WOWA1)"/>
      <sheetName val="날개벽"/>
      <sheetName val="N賃率-職"/>
      <sheetName val="터널조도"/>
      <sheetName val="EQT-ESTN"/>
      <sheetName val="I一般比"/>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제경비율"/>
      <sheetName val="Total"/>
      <sheetName val="인제내역"/>
      <sheetName val="수량산출"/>
      <sheetName val="개산공사비"/>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토공(우물통,기타) "/>
      <sheetName val="CATV타견적(미래)"/>
      <sheetName val="직재"/>
      <sheetName val="CTEMCOST"/>
      <sheetName val="프랜트면허"/>
      <sheetName val="품목"/>
      <sheetName val="Total"/>
      <sheetName val="파이프류"/>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일위대가"/>
      <sheetName val="총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도근좌표"/>
      <sheetName val="N賃率-職"/>
      <sheetName val="내역서"/>
      <sheetName val="수량산출"/>
      <sheetName val="수리결과"/>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빗물받이(910-510-410)"/>
      <sheetName val="Total"/>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일위"/>
      <sheetName val="wall"/>
      <sheetName val="도근좌표"/>
      <sheetName val="산출내역서집계표"/>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시화점실행"/>
      <sheetName val="실행철강하도"/>
      <sheetName val="내역서"/>
      <sheetName val="직재"/>
      <sheetName val="일위"/>
      <sheetName val="수량산출"/>
      <sheetName val="금융비용"/>
      <sheetName val="FAB별"/>
      <sheetName val="130110_2012 Technology_CI Track"/>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재료비노무비"/>
      <sheetName val="접속도로1"/>
      <sheetName val="노임단가 (2)"/>
      <sheetName val="노임단가 _2_"/>
      <sheetName val="가시설단위수량"/>
      <sheetName val="SORCE1"/>
      <sheetName val="SHL"/>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0303"/>
      <sheetName val="제품"/>
      <sheetName val="수토공단위당"/>
      <sheetName val="정산을지"/>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단가일람"/>
      <sheetName val="조경일람"/>
      <sheetName val="직노"/>
      <sheetName val="노무비 근거"/>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Sheet1 (2)"/>
      <sheetName val="http___gw_kunyoung21_co_kr__J_2"/>
      <sheetName val="http___gw_kunyoung21_co_kr__J_3"/>
      <sheetName val=""/>
      <sheetName val="직노"/>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s>
    <definedNames>
      <definedName name="행열변환_3.행열변환_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F02A-9256-46F6-AD43-C4FC2B144491}">
  <sheetPr>
    <tabColor rgb="FFFFFF00"/>
    <pageSetUpPr fitToPage="1"/>
  </sheetPr>
  <dimension ref="A1:Q18"/>
  <sheetViews>
    <sheetView tabSelected="1" view="pageBreakPreview" zoomScale="70" zoomScaleNormal="115" zoomScaleSheetLayoutView="70" workbookViewId="0">
      <pane xSplit="1" ySplit="4" topLeftCell="B11" activePane="bottomRight" state="frozen"/>
      <selection pane="topRight" activeCell="B1" sqref="B1"/>
      <selection pane="bottomLeft" activeCell="A6" sqref="A6"/>
      <selection pane="bottomRight" activeCell="N15" sqref="N15"/>
    </sheetView>
  </sheetViews>
  <sheetFormatPr defaultRowHeight="16.5" x14ac:dyDescent="0.3"/>
  <cols>
    <col min="1" max="1" width="3.5" style="1" bestFit="1" customWidth="1"/>
    <col min="2" max="2" width="10.375" style="1" customWidth="1"/>
    <col min="3" max="3" width="13" style="1" customWidth="1"/>
    <col min="4" max="4" width="10.5" style="1" customWidth="1"/>
    <col min="5" max="5" width="14.5" style="1" customWidth="1"/>
    <col min="6" max="6" width="9.125" style="1" customWidth="1"/>
    <col min="7" max="7" width="14.875" style="1" customWidth="1"/>
    <col min="8" max="8" width="10.125" style="1" customWidth="1"/>
    <col min="9" max="9" width="27.625" style="1" bestFit="1" customWidth="1"/>
    <col min="10" max="10" width="26.125" style="1" customWidth="1"/>
    <col min="11" max="11" width="9.125" style="1" customWidth="1"/>
    <col min="12" max="12" width="12.5" style="1" customWidth="1"/>
    <col min="13" max="13" width="12.75" style="1" customWidth="1"/>
    <col min="14" max="14" width="47.375" style="1" customWidth="1"/>
    <col min="15" max="15" width="20.125" style="1" bestFit="1" customWidth="1"/>
    <col min="16" max="16" width="9" style="1"/>
    <col min="17" max="17" width="14.25" style="1" bestFit="1" customWidth="1"/>
    <col min="18" max="16384" width="9" style="1"/>
  </cols>
  <sheetData>
    <row r="1" spans="1:17" ht="33" x14ac:dyDescent="0.3">
      <c r="B1" s="45" t="s">
        <v>0</v>
      </c>
      <c r="C1" s="41" t="s">
        <v>1</v>
      </c>
      <c r="D1" s="42" t="s">
        <v>2</v>
      </c>
      <c r="E1" s="43" t="s">
        <v>3</v>
      </c>
      <c r="F1" s="43" t="s">
        <v>4</v>
      </c>
      <c r="G1" s="43" t="s">
        <v>5</v>
      </c>
      <c r="H1" s="43" t="s">
        <v>6</v>
      </c>
      <c r="I1" s="43"/>
      <c r="J1" s="43"/>
      <c r="K1" s="41" t="s">
        <v>7</v>
      </c>
      <c r="L1" s="41">
        <v>201</v>
      </c>
      <c r="M1" s="42" t="s">
        <v>8</v>
      </c>
      <c r="N1" s="44" t="s">
        <v>9</v>
      </c>
      <c r="O1" s="2"/>
    </row>
    <row r="2" spans="1:17" ht="20.100000000000001" customHeight="1" x14ac:dyDescent="0.3">
      <c r="B2" s="66" t="s">
        <v>10</v>
      </c>
      <c r="C2" s="66" t="s">
        <v>11</v>
      </c>
      <c r="D2" s="67" t="s">
        <v>12</v>
      </c>
      <c r="E2" s="68" t="s">
        <v>13</v>
      </c>
      <c r="F2" s="69"/>
      <c r="G2" s="68" t="s">
        <v>14</v>
      </c>
      <c r="H2" s="69"/>
      <c r="I2" s="32" t="s">
        <v>24</v>
      </c>
      <c r="J2" s="33" t="s">
        <v>25</v>
      </c>
      <c r="K2" s="64" t="s">
        <v>15</v>
      </c>
      <c r="L2" s="64" t="s">
        <v>16</v>
      </c>
      <c r="M2" s="64" t="s">
        <v>17</v>
      </c>
      <c r="N2" s="64" t="s">
        <v>18</v>
      </c>
      <c r="O2" s="64" t="s">
        <v>19</v>
      </c>
    </row>
    <row r="3" spans="1:17" ht="24" x14ac:dyDescent="0.3">
      <c r="B3" s="66"/>
      <c r="C3" s="66"/>
      <c r="D3" s="67"/>
      <c r="E3" s="34" t="s">
        <v>20</v>
      </c>
      <c r="F3" s="35" t="s">
        <v>21</v>
      </c>
      <c r="G3" s="34" t="s">
        <v>20</v>
      </c>
      <c r="H3" s="35" t="s">
        <v>21</v>
      </c>
      <c r="I3" s="36" t="s">
        <v>26</v>
      </c>
      <c r="J3" s="37" t="s">
        <v>27</v>
      </c>
      <c r="K3" s="65"/>
      <c r="L3" s="65"/>
      <c r="M3" s="65"/>
      <c r="N3" s="65"/>
      <c r="O3" s="65"/>
    </row>
    <row r="4" spans="1:17" ht="24.95" customHeight="1" x14ac:dyDescent="0.3">
      <c r="B4" s="3"/>
      <c r="C4" s="3"/>
      <c r="D4" s="60">
        <f>SUM(D5:D17)</f>
        <v>23</v>
      </c>
      <c r="E4" s="9"/>
      <c r="F4" s="9"/>
      <c r="G4" s="9"/>
      <c r="H4" s="10"/>
      <c r="I4" s="39">
        <f>SUM(I5:I17)</f>
        <v>3.1875</v>
      </c>
      <c r="J4" s="40">
        <f>SUM(J5:J17)</f>
        <v>6.2708333333333339</v>
      </c>
      <c r="K4" s="9"/>
      <c r="L4" s="9"/>
      <c r="M4" s="9"/>
      <c r="N4" s="9"/>
      <c r="O4" s="4"/>
    </row>
    <row r="5" spans="1:17" ht="96" x14ac:dyDescent="0.3">
      <c r="A5" s="5">
        <v>1</v>
      </c>
      <c r="B5" s="11">
        <v>1</v>
      </c>
      <c r="C5" s="12" t="s">
        <v>22</v>
      </c>
      <c r="D5" s="61">
        <v>2</v>
      </c>
      <c r="E5" s="13">
        <v>45679</v>
      </c>
      <c r="F5" s="14">
        <v>0.375</v>
      </c>
      <c r="G5" s="13">
        <v>45679</v>
      </c>
      <c r="H5" s="14">
        <v>0.69444444444444442</v>
      </c>
      <c r="I5" s="14">
        <f t="shared" ref="I5:I14" si="0">H5-F5</f>
        <v>0.31944444444444442</v>
      </c>
      <c r="J5" s="15">
        <f t="shared" ref="J5:J14" si="1">I5*D5</f>
        <v>0.63888888888888884</v>
      </c>
      <c r="K5" s="52" t="s">
        <v>28</v>
      </c>
      <c r="L5" s="50" t="s">
        <v>34</v>
      </c>
      <c r="M5" s="16" t="s">
        <v>23</v>
      </c>
      <c r="N5" s="53" t="s">
        <v>42</v>
      </c>
      <c r="O5" s="56" t="s">
        <v>45</v>
      </c>
      <c r="P5" s="6"/>
      <c r="Q5" s="59"/>
    </row>
    <row r="6" spans="1:17" ht="96" x14ac:dyDescent="0.3">
      <c r="A6" s="5">
        <v>2</v>
      </c>
      <c r="B6" s="17">
        <v>2</v>
      </c>
      <c r="C6" s="18" t="s">
        <v>22</v>
      </c>
      <c r="D6" s="62">
        <v>2</v>
      </c>
      <c r="E6" s="19">
        <v>45680</v>
      </c>
      <c r="F6" s="20">
        <v>0.375</v>
      </c>
      <c r="G6" s="19">
        <v>45680</v>
      </c>
      <c r="H6" s="20">
        <v>0.6875</v>
      </c>
      <c r="I6" s="20">
        <f t="shared" si="0"/>
        <v>0.3125</v>
      </c>
      <c r="J6" s="21">
        <f t="shared" si="1"/>
        <v>0.625</v>
      </c>
      <c r="K6" s="23" t="s">
        <v>29</v>
      </c>
      <c r="L6" s="23" t="s">
        <v>35</v>
      </c>
      <c r="M6" s="22" t="s">
        <v>23</v>
      </c>
      <c r="N6" s="54" t="s">
        <v>46</v>
      </c>
      <c r="O6" s="57" t="s">
        <v>45</v>
      </c>
      <c r="P6" s="6"/>
    </row>
    <row r="7" spans="1:17" ht="96" x14ac:dyDescent="0.3">
      <c r="A7" s="5">
        <v>3</v>
      </c>
      <c r="B7" s="17">
        <v>3</v>
      </c>
      <c r="C7" s="46" t="s">
        <v>22</v>
      </c>
      <c r="D7" s="63">
        <v>2</v>
      </c>
      <c r="E7" s="47">
        <v>45681</v>
      </c>
      <c r="F7" s="48">
        <v>0.375</v>
      </c>
      <c r="G7" s="47">
        <v>45681</v>
      </c>
      <c r="H7" s="48">
        <v>0.69444444444444442</v>
      </c>
      <c r="I7" s="20">
        <f t="shared" si="0"/>
        <v>0.31944444444444442</v>
      </c>
      <c r="J7" s="21">
        <f t="shared" si="1"/>
        <v>0.63888888888888884</v>
      </c>
      <c r="K7" s="49" t="s">
        <v>30</v>
      </c>
      <c r="L7" s="51" t="s">
        <v>36</v>
      </c>
      <c r="M7" s="49" t="s">
        <v>23</v>
      </c>
      <c r="N7" s="55" t="s">
        <v>47</v>
      </c>
      <c r="O7" s="58" t="s">
        <v>45</v>
      </c>
      <c r="P7" s="6"/>
    </row>
    <row r="8" spans="1:17" ht="72" x14ac:dyDescent="0.3">
      <c r="A8" s="5">
        <v>4</v>
      </c>
      <c r="B8" s="17">
        <v>4</v>
      </c>
      <c r="C8" s="46" t="s">
        <v>22</v>
      </c>
      <c r="D8" s="63">
        <v>2</v>
      </c>
      <c r="E8" s="47">
        <v>45691</v>
      </c>
      <c r="F8" s="48">
        <v>0.375</v>
      </c>
      <c r="G8" s="47">
        <v>45691</v>
      </c>
      <c r="H8" s="20">
        <v>0.6875</v>
      </c>
      <c r="I8" s="20">
        <f t="shared" si="0"/>
        <v>0.3125</v>
      </c>
      <c r="J8" s="21">
        <f t="shared" si="1"/>
        <v>0.625</v>
      </c>
      <c r="K8" s="51" t="s">
        <v>31</v>
      </c>
      <c r="L8" s="51" t="s">
        <v>37</v>
      </c>
      <c r="M8" s="49" t="s">
        <v>23</v>
      </c>
      <c r="N8" s="55" t="s">
        <v>48</v>
      </c>
      <c r="O8" s="58" t="s">
        <v>45</v>
      </c>
      <c r="P8" s="6"/>
    </row>
    <row r="9" spans="1:17" ht="96" x14ac:dyDescent="0.3">
      <c r="A9" s="5">
        <v>5</v>
      </c>
      <c r="B9" s="17">
        <v>5</v>
      </c>
      <c r="C9" s="46" t="s">
        <v>22</v>
      </c>
      <c r="D9" s="63">
        <v>2</v>
      </c>
      <c r="E9" s="47">
        <v>45692</v>
      </c>
      <c r="F9" s="48">
        <v>0.375</v>
      </c>
      <c r="G9" s="47">
        <v>45692</v>
      </c>
      <c r="H9" s="20">
        <v>0.6875</v>
      </c>
      <c r="I9" s="20">
        <f t="shared" si="0"/>
        <v>0.3125</v>
      </c>
      <c r="J9" s="21">
        <f t="shared" si="1"/>
        <v>0.625</v>
      </c>
      <c r="K9" s="51" t="s">
        <v>32</v>
      </c>
      <c r="L9" s="51" t="s">
        <v>38</v>
      </c>
      <c r="M9" s="49" t="s">
        <v>23</v>
      </c>
      <c r="N9" s="55" t="s">
        <v>51</v>
      </c>
      <c r="O9" s="58" t="s">
        <v>45</v>
      </c>
      <c r="P9" s="6"/>
    </row>
    <row r="10" spans="1:17" ht="72" x14ac:dyDescent="0.3">
      <c r="A10" s="5">
        <v>6</v>
      </c>
      <c r="B10" s="17">
        <v>6</v>
      </c>
      <c r="C10" s="46" t="s">
        <v>22</v>
      </c>
      <c r="D10" s="63">
        <v>2</v>
      </c>
      <c r="E10" s="47">
        <v>45694</v>
      </c>
      <c r="F10" s="48">
        <v>0.375</v>
      </c>
      <c r="G10" s="47">
        <v>45694</v>
      </c>
      <c r="H10" s="20">
        <v>0.6875</v>
      </c>
      <c r="I10" s="20">
        <f t="shared" si="0"/>
        <v>0.3125</v>
      </c>
      <c r="J10" s="21">
        <f t="shared" si="1"/>
        <v>0.625</v>
      </c>
      <c r="K10" s="49">
        <v>8</v>
      </c>
      <c r="L10" s="51" t="s">
        <v>39</v>
      </c>
      <c r="M10" s="49" t="s">
        <v>23</v>
      </c>
      <c r="N10" s="55" t="s">
        <v>53</v>
      </c>
      <c r="O10" s="58" t="s">
        <v>45</v>
      </c>
      <c r="P10" s="6"/>
    </row>
    <row r="11" spans="1:17" ht="72" x14ac:dyDescent="0.3">
      <c r="A11" s="5">
        <v>7</v>
      </c>
      <c r="B11" s="17">
        <v>7</v>
      </c>
      <c r="C11" s="46" t="s">
        <v>22</v>
      </c>
      <c r="D11" s="63">
        <v>2</v>
      </c>
      <c r="E11" s="47">
        <v>45695</v>
      </c>
      <c r="F11" s="48">
        <v>0.375</v>
      </c>
      <c r="G11" s="47">
        <v>45695</v>
      </c>
      <c r="H11" s="20">
        <v>0.6875</v>
      </c>
      <c r="I11" s="20">
        <f t="shared" si="0"/>
        <v>0.3125</v>
      </c>
      <c r="J11" s="21">
        <f t="shared" si="1"/>
        <v>0.625</v>
      </c>
      <c r="K11" s="51" t="s">
        <v>28</v>
      </c>
      <c r="L11" s="51" t="s">
        <v>40</v>
      </c>
      <c r="M11" s="49" t="s">
        <v>23</v>
      </c>
      <c r="N11" s="55" t="s">
        <v>43</v>
      </c>
      <c r="O11" s="58" t="s">
        <v>45</v>
      </c>
      <c r="P11" s="6"/>
    </row>
    <row r="12" spans="1:17" ht="72" x14ac:dyDescent="0.3">
      <c r="A12" s="5">
        <v>8</v>
      </c>
      <c r="B12" s="17">
        <v>8</v>
      </c>
      <c r="C12" s="46" t="s">
        <v>22</v>
      </c>
      <c r="D12" s="63">
        <v>2</v>
      </c>
      <c r="E12" s="47">
        <v>45698</v>
      </c>
      <c r="F12" s="48">
        <v>0.54166666666666663</v>
      </c>
      <c r="G12" s="47">
        <v>45698</v>
      </c>
      <c r="H12" s="20">
        <v>0.6875</v>
      </c>
      <c r="I12" s="20">
        <f t="shared" si="0"/>
        <v>0.14583333333333337</v>
      </c>
      <c r="J12" s="21">
        <f t="shared" si="1"/>
        <v>0.29166666666666674</v>
      </c>
      <c r="K12" s="51" t="s">
        <v>33</v>
      </c>
      <c r="L12" s="51" t="s">
        <v>41</v>
      </c>
      <c r="M12" s="49" t="s">
        <v>23</v>
      </c>
      <c r="N12" s="55" t="s">
        <v>44</v>
      </c>
      <c r="O12" s="58" t="s">
        <v>45</v>
      </c>
      <c r="P12" s="6"/>
    </row>
    <row r="13" spans="1:17" ht="96" x14ac:dyDescent="0.3">
      <c r="A13" s="5">
        <v>9</v>
      </c>
      <c r="B13" s="17">
        <v>9</v>
      </c>
      <c r="C13" s="46" t="s">
        <v>22</v>
      </c>
      <c r="D13" s="63">
        <v>2</v>
      </c>
      <c r="E13" s="47">
        <v>45699</v>
      </c>
      <c r="F13" s="48">
        <v>0.375</v>
      </c>
      <c r="G13" s="47">
        <v>45699</v>
      </c>
      <c r="H13" s="20">
        <v>0.67361111111111116</v>
      </c>
      <c r="I13" s="20">
        <f t="shared" si="0"/>
        <v>0.29861111111111116</v>
      </c>
      <c r="J13" s="21">
        <f t="shared" si="1"/>
        <v>0.59722222222222232</v>
      </c>
      <c r="K13" s="49">
        <v>2</v>
      </c>
      <c r="L13" s="49">
        <v>203</v>
      </c>
      <c r="M13" s="49" t="s">
        <v>23</v>
      </c>
      <c r="N13" s="55" t="s">
        <v>54</v>
      </c>
      <c r="O13" s="58" t="s">
        <v>45</v>
      </c>
      <c r="P13" s="6"/>
    </row>
    <row r="14" spans="1:17" ht="96" customHeight="1" x14ac:dyDescent="0.3">
      <c r="A14" s="5">
        <v>10</v>
      </c>
      <c r="B14" s="17">
        <v>10</v>
      </c>
      <c r="C14" s="46" t="s">
        <v>22</v>
      </c>
      <c r="D14" s="63">
        <v>2</v>
      </c>
      <c r="E14" s="47">
        <v>45701</v>
      </c>
      <c r="F14" s="48">
        <v>0.375</v>
      </c>
      <c r="G14" s="47">
        <v>45711</v>
      </c>
      <c r="H14" s="20">
        <v>0.6875</v>
      </c>
      <c r="I14" s="20">
        <f t="shared" si="0"/>
        <v>0.3125</v>
      </c>
      <c r="J14" s="21">
        <f t="shared" si="1"/>
        <v>0.625</v>
      </c>
      <c r="K14" s="49">
        <v>102</v>
      </c>
      <c r="L14" s="49">
        <v>205</v>
      </c>
      <c r="M14" s="49" t="s">
        <v>23</v>
      </c>
      <c r="N14" s="55" t="s">
        <v>52</v>
      </c>
      <c r="O14" s="58" t="s">
        <v>45</v>
      </c>
      <c r="P14" s="6"/>
    </row>
    <row r="15" spans="1:17" ht="96" customHeight="1" x14ac:dyDescent="0.3">
      <c r="A15" s="5">
        <v>11</v>
      </c>
      <c r="B15" s="17">
        <v>11</v>
      </c>
      <c r="C15" s="46" t="s">
        <v>22</v>
      </c>
      <c r="D15" s="63">
        <v>2</v>
      </c>
      <c r="E15" s="47">
        <v>45702</v>
      </c>
      <c r="F15" s="48">
        <v>0.375</v>
      </c>
      <c r="G15" s="47">
        <v>45702</v>
      </c>
      <c r="H15" s="20">
        <v>0.5</v>
      </c>
      <c r="I15" s="20">
        <f t="shared" ref="I15" si="2">H15-F15</f>
        <v>0.125</v>
      </c>
      <c r="J15" s="21">
        <f t="shared" ref="J15" si="3">I15*D15</f>
        <v>0.25</v>
      </c>
      <c r="K15" s="49">
        <v>5</v>
      </c>
      <c r="L15" s="49">
        <v>301</v>
      </c>
      <c r="M15" s="49" t="s">
        <v>23</v>
      </c>
      <c r="N15" s="55" t="s">
        <v>55</v>
      </c>
      <c r="O15" s="58" t="s">
        <v>45</v>
      </c>
      <c r="P15" s="6"/>
    </row>
    <row r="16" spans="1:17" ht="96" customHeight="1" x14ac:dyDescent="0.3">
      <c r="A16" s="5">
        <v>12</v>
      </c>
      <c r="B16" s="17">
        <v>12</v>
      </c>
      <c r="C16" s="46" t="s">
        <v>22</v>
      </c>
      <c r="D16" s="63">
        <v>1</v>
      </c>
      <c r="E16" s="47">
        <v>45707</v>
      </c>
      <c r="F16" s="48">
        <v>0.54166666666666663</v>
      </c>
      <c r="G16" s="47">
        <v>45707</v>
      </c>
      <c r="H16" s="20">
        <v>0.64583333333333337</v>
      </c>
      <c r="I16" s="20">
        <f t="shared" ref="I16" si="4">H16-F16</f>
        <v>0.10416666666666674</v>
      </c>
      <c r="J16" s="21">
        <f t="shared" ref="J16" si="5">I16*D16</f>
        <v>0.10416666666666674</v>
      </c>
      <c r="K16" s="49">
        <v>5</v>
      </c>
      <c r="L16" s="49">
        <v>501</v>
      </c>
      <c r="M16" s="49" t="s">
        <v>23</v>
      </c>
      <c r="N16" s="55" t="s">
        <v>50</v>
      </c>
      <c r="O16" s="58" t="s">
        <v>49</v>
      </c>
      <c r="P16" s="6"/>
    </row>
    <row r="17" spans="1:17" ht="24" x14ac:dyDescent="0.3">
      <c r="A17" s="5"/>
      <c r="B17" s="24"/>
      <c r="C17" s="25"/>
      <c r="D17" s="26"/>
      <c r="E17" s="27"/>
      <c r="F17" s="28"/>
      <c r="G17" s="27"/>
      <c r="H17" s="28"/>
      <c r="I17" s="28"/>
      <c r="J17" s="29"/>
      <c r="K17" s="30"/>
      <c r="L17" s="30"/>
      <c r="M17" s="31"/>
      <c r="N17" s="38"/>
      <c r="O17" s="8"/>
      <c r="P17" s="6"/>
    </row>
    <row r="18" spans="1:17" x14ac:dyDescent="0.3">
      <c r="Q18" s="7"/>
    </row>
  </sheetData>
  <autoFilter ref="A4:Q17" xr:uid="{B1FDF02A-9256-46F6-AD43-C4FC2B144491}">
    <sortState xmlns:xlrd2="http://schemas.microsoft.com/office/spreadsheetml/2017/richdata2" ref="A5:Q17">
      <sortCondition ref="A4:A17"/>
    </sortState>
  </autoFilter>
  <mergeCells count="10">
    <mergeCell ref="L2:L3"/>
    <mergeCell ref="M2:M3"/>
    <mergeCell ref="N2:N3"/>
    <mergeCell ref="O2:O3"/>
    <mergeCell ref="B2:B3"/>
    <mergeCell ref="C2:C3"/>
    <mergeCell ref="D2:D3"/>
    <mergeCell ref="E2:F2"/>
    <mergeCell ref="G2:H2"/>
    <mergeCell ref="K2:K3"/>
  </mergeCells>
  <phoneticPr fontId="7" type="noConversion"/>
  <printOptions horizontalCentered="1"/>
  <pageMargins left="0" right="0" top="0.59055118110236227" bottom="0" header="0" footer="0"/>
  <pageSetup paperSize="9" scale="40" orientation="portrait" r:id="rId1"/>
  <headerFooter>
    <oddHeader>&amp;C&amp;"-,굵게"&amp;26
긴급보수 및 비품성 작업 관리대장 (건축)</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관리소 접수 목록 입력</vt:lpstr>
      <vt:lpstr>'관리소 접수 목록 입력'!Print_Area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2024-04-19T00:03:31Z</cp:lastPrinted>
  <dcterms:created xsi:type="dcterms:W3CDTF">2020-09-15T23:52:51Z</dcterms:created>
  <dcterms:modified xsi:type="dcterms:W3CDTF">2025-04-08T23:08:45Z</dcterms:modified>
</cp:coreProperties>
</file>
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1 사택 102-304 수장공사\01 자료\"/>
    </mc:Choice>
  </mc:AlternateContent>
  <xr:revisionPtr revIDLastSave="0" documentId="13_ncr:1_{99A79BC7-667F-407F-B63D-D63820FF6360}" xr6:coauthVersionLast="47" xr6:coauthVersionMax="47" xr10:uidLastSave="{00000000-0000-0000-0000-000000000000}"/>
  <bookViews>
    <workbookView xWindow="390" yWindow="0" windowWidth="21540" windowHeight="1624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J22" i="12" l="1"/>
  <c r="J24" i="12"/>
  <c r="J23" i="12"/>
  <c r="J26" i="12"/>
  <c r="J25" i="12"/>
  <c r="J27" i="12" s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<sst xmlns="http://schemas.openxmlformats.org/spreadsheetml/2006/main" count="216" uniqueCount="167">
  <si>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</si>
  <si>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</si>
  <si>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</si>
  <si>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</si>
  <si>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</si>
  <si>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</si>
  <si>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</si>
  <si>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</si>
  <si>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</si>
  <si>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</si>
  <si>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</si>
  <si>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</si>
  <si>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</si>
  <si>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</si>
  <si>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</si>
  <si>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</si>
  <si>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</si>
  <si>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</si>
  <si>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</si>
  <si>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</si>
  <si>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</si>
  <si>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</si>
  <si>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</si>
  <si>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</si>
  <si>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</si>
  <si>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</si>
  <si>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</si>
  <si>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</si>
  <si>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</si>
  <si>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</si>
  <si>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</si>
  <si>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</si>
  <si>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</si>
  <si>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</si>
  <si>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</si>
  <si>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</si>
  <si>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</si>
  <si>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</si>
  <si>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</si>
  <si>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</si>
  <si>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</si>
  <si>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</si>
  <si>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</si>
  <si>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</si>
  <si>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</si>
  <si>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</si>
  <si>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</si>
  <si>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</si>
  <si>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</si>
  <si>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</si>
  <si>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</si>
  <si>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</si>
  <si>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</si>
  <si>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</si>
  <si>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</si>
  <si>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</si>
  <si>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</si>
  <si>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</si>
  <si>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</si>
  <si>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</si>
  <si>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</si>
  <si>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</si>
  <si>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</si>
  <si>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</si>
  <si>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</si>
  <si>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</si>
  <si>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</si>
  <si>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</si>
  <si>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</si>
  <si>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</si>
  <si>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</si>
  <si>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</si>
  <si>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</si>
  <si>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</si>
  <si>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</si>
  <si>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</si>
  <si>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</si>
  <si>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</si>
  <si>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</si>
  <si>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</si>
  <si>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</si>
  <si>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</si>
  <si>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</si>
  <si>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</si>
  <si>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</si>
  <si>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</si>
  <si>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</si>
  <si>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</si>
  <si>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</si>
  <si>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</si>
  <si>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</si>
  <si>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</si>
  <si>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</si>
  <si>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</si>
  <si>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</si>
  <si>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</si>
  <si>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</si>
  <si>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</si>
  <si>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</si>
  <si>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</si>
  <si>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>사택 102-304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</si>
  <si>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</si>
  <si>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</si>
  <si>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</si>
  <si>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</si>
  <si>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</si>
  <si>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</si>
  <si>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</si>
  <si>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</si>
  <si>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</si>
  <si>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</si>
  <si>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</si>
  <si>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</si>
  <si>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</si>
  <si>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</si>
  <si>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</si>
  <si>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</si>
  <si>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</si>
  <si>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</si>
  <si>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</si>
  <si>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</si>
  <si>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</si>
  <si>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</si>
  <si>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</si>
  <si>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</si>
  <si>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</si>
  <si>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</si>
  <si>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</si>
  <si>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</si>
  <si>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</si>
  <si>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</si>
  <si>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</si>
  <si>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</si>
  <si>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</si>
  <si>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</si>
  <si>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</si>
  <si>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</si>
  <si>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</si>
  <si>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</si>
  <si>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</si>
  <si>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</si>
  <si>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</si>
  <si>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</si>
  <si>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</si>
  <si>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</si>
  <si>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</si>
  <si>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</si>
  <si>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</si>
  <si>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</si>
  <si>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</si>
  <si>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</si>
  <si>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</si>
  <si>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</si>
  <si>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</si>
  <si>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</si>
  <si>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</si>
  <si>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</si>
  <si>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</si>
  <si>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</si>
  <si>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</si>
  <si>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</si>
  <si>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</si>
  <si>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</si>
  <si>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</si>
  <si>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</si>
  <si>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102-304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</si>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</sst>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1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C8258E7-09DB-405E-9668-CC4C3D7DB659}"/>
    <cellStyle name="쉼표 [0] 2 84" xfId="24" xr:uid="{67B8C3ED-D952-44E6-BA6D-26B74606BFA7}"/>
    <cellStyle name="쉼표 [0] 3" xfId="14" xr:uid="{8F7BE219-40E1-4BBB-A9BD-02188B74B2A3}"/>
    <cellStyle name="쉼표 [0] 4" xfId="21" xr:uid="{D6277624-3C51-4D3D-9F87-A03547D553B6}"/>
    <cellStyle name="쉼표 [0] 5" xfId="23" xr:uid="{EBDACF14-4729-44B9-A66B-5052F4515C2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4A40D84-0DF1-4BA2-920E-E4B2B08DE47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E004B3E-05EF-46B8-8FE1-997404E6938C}"/>
    <cellStyle name="표준_P456 공장 및 복지동 전면 유리창 청소건 라상혁님_1129(최종)" xfId="20" xr:uid="{A714FB38-1B6F-47F8-86F3-33F824097D84}"/>
    <cellStyle name="표준_S&amp;D_MAIN VALVE_최빈_2" xfId="17" xr:uid="{F2A3AFF1-14FC-4AF4-BB4D-97042F1A9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745FE1-9FDD-4B73-B0C5-E38C00EF3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DE74-A28E-4E31-8E67-BEB3AF2AC64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101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103</v>
      </c>
      <c r="B7" s="256"/>
      <c r="C7" s="257"/>
      <c r="D7" s="169">
        <v>2025</v>
      </c>
      <c r="E7" s="120" t="s">
        <v>104</v>
      </c>
      <c r="F7" s="120">
        <v>9</v>
      </c>
      <c r="G7" s="120" t="s">
        <v>105</v>
      </c>
      <c r="H7" s="120">
        <v>18</v>
      </c>
      <c r="I7" s="120" t="s">
        <v>106</v>
      </c>
      <c r="J7" s="121"/>
      <c r="K7" s="258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261" t="s">
        <v>112</v>
      </c>
      <c r="B8" s="262"/>
      <c r="C8" s="263"/>
      <c r="D8" s="264" t="s">
        <v>113</v>
      </c>
      <c r="E8" s="265"/>
      <c r="F8" s="265"/>
      <c r="G8" s="266"/>
      <c r="H8" s="267" t="s">
        <v>114</v>
      </c>
      <c r="I8" s="265"/>
      <c r="J8" s="268"/>
      <c r="K8" s="259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261" t="s">
        <v>119</v>
      </c>
      <c r="B9" s="262"/>
      <c r="C9" s="263"/>
      <c r="D9" s="269" t="s">
        <v>120</v>
      </c>
      <c r="E9" s="270"/>
      <c r="F9" s="270"/>
      <c r="G9" s="270"/>
      <c r="H9" s="270"/>
      <c r="I9" s="270"/>
      <c r="J9" s="271"/>
      <c r="K9" s="259"/>
      <c r="L9" s="124" t="s">
        <v>121</v>
      </c>
      <c r="M9" s="272" t="s">
        <v>122</v>
      </c>
      <c r="N9" s="262"/>
      <c r="O9" s="263"/>
    </row>
    <row r="10" spans="1:15" ht="23.25" customHeight="1" thickBot="1" x14ac:dyDescent="0.35">
      <c r="A10" s="273" t="s">
        <v>123</v>
      </c>
      <c r="B10" s="274"/>
      <c r="C10" s="275"/>
      <c r="D10" s="276" t="s">
        <v>124</v>
      </c>
      <c r="E10" s="277"/>
      <c r="F10" s="277"/>
      <c r="G10" s="277"/>
      <c r="H10" s="277"/>
      <c r="I10" s="277"/>
      <c r="J10" s="278"/>
      <c r="K10" s="260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165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一金사백칠십만팔천오백원정"(\4,708,500원)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130</v>
      </c>
      <c r="B17" s="241" t="s">
        <v>131</v>
      </c>
      <c r="C17" s="242"/>
      <c r="D17" s="242"/>
      <c r="E17" s="242"/>
      <c r="F17" s="242"/>
      <c r="G17" s="243"/>
      <c r="H17" s="137" t="s">
        <v>132</v>
      </c>
      <c r="I17" s="138" t="s">
        <v>133</v>
      </c>
      <c r="J17" s="244" t="s">
        <v>134</v>
      </c>
      <c r="K17" s="245"/>
      <c r="L17" s="245"/>
      <c r="M17" s="246"/>
      <c r="N17" s="241" t="s">
        <v>135</v>
      </c>
      <c r="O17" s="247"/>
    </row>
    <row r="18" spans="1:17" ht="28.5" customHeight="1" x14ac:dyDescent="0.3">
      <c r="A18" s="139">
        <v>1</v>
      </c>
      <c r="B18" s="235" t="s">
        <v>42</v>
      </c>
      <c r="C18" s="236"/>
      <c r="D18" s="236"/>
      <c r="E18" s="236"/>
      <c r="F18" s="236"/>
      <c r="G18" s="237"/>
      <c r="H18" s="170">
        <v>1</v>
      </c>
      <c r="I18" s="171" t="s">
        <v>1</v>
      </c>
      <c r="J18" s="238">
        <f>IFERROR(LOOKUP(2, 1/(TRIM('내역서(표준단가)'!O4:O100)&lt;&gt;""), '내역서(표준단가)'!O4:O100), "-")</f>
        <v>883853.60384999996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43</v>
      </c>
      <c r="C19" s="219"/>
      <c r="D19" s="219"/>
      <c r="E19" s="219"/>
      <c r="F19" s="219"/>
      <c r="G19" s="220"/>
      <c r="H19" s="172">
        <v>1</v>
      </c>
      <c r="I19" s="172" t="s">
        <v>1</v>
      </c>
      <c r="J19" s="221">
        <f>IFERROR(LOOKUP(2, 1/(TRIM('내역서(표준단가)'!Q4:Q100)&lt;&gt;""), '내역서(표준단가)'!Q4:Q100), "-")</f>
        <v>2842839.0554520003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136</v>
      </c>
      <c r="C20" s="219"/>
      <c r="D20" s="219"/>
      <c r="E20" s="219"/>
      <c r="F20" s="219"/>
      <c r="G20" s="220"/>
      <c r="H20" s="141">
        <v>1</v>
      </c>
      <c r="I20" s="141" t="s">
        <v>1</v>
      </c>
      <c r="J20" s="226">
        <f>IFERROR(SUM(J21:M29),"-")</f>
        <v>487575.12301435467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137</v>
      </c>
      <c r="D21" s="211"/>
      <c r="E21" s="211"/>
      <c r="F21" s="211"/>
      <c r="G21" s="212"/>
      <c r="H21" s="173">
        <v>1</v>
      </c>
      <c r="I21" s="173" t="s">
        <v>1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138</v>
      </c>
      <c r="O21" s="217"/>
    </row>
    <row r="22" spans="1:17" ht="28.5" customHeight="1" x14ac:dyDescent="0.3">
      <c r="A22" s="139"/>
      <c r="B22" s="143"/>
      <c r="C22" s="204" t="s">
        <v>139</v>
      </c>
      <c r="D22" s="205"/>
      <c r="E22" s="205"/>
      <c r="F22" s="205"/>
      <c r="G22" s="206"/>
      <c r="H22" s="144">
        <v>3.11</v>
      </c>
      <c r="I22" s="144" t="s">
        <v>140</v>
      </c>
      <c r="J22" s="207">
        <f>IFERROR((J18+J19)*H22%,"-")</f>
        <v>115900.14170429221</v>
      </c>
      <c r="K22" s="208"/>
      <c r="L22" s="208"/>
      <c r="M22" s="209"/>
      <c r="N22" s="200" t="s">
        <v>141</v>
      </c>
      <c r="O22" s="201"/>
    </row>
    <row r="23" spans="1:17" ht="28.5" customHeight="1" x14ac:dyDescent="0.3">
      <c r="A23" s="139"/>
      <c r="B23" s="143"/>
      <c r="C23" s="204" t="s">
        <v>142</v>
      </c>
      <c r="D23" s="205"/>
      <c r="E23" s="205"/>
      <c r="F23" s="205"/>
      <c r="G23" s="206"/>
      <c r="H23" s="144">
        <v>3.56</v>
      </c>
      <c r="I23" s="144" t="s">
        <v>143</v>
      </c>
      <c r="J23" s="207">
        <f>IFERROR(J19*H23%,"-")</f>
        <v>101205.07037409121</v>
      </c>
      <c r="K23" s="208"/>
      <c r="L23" s="208"/>
      <c r="M23" s="209"/>
      <c r="N23" s="200" t="s">
        <v>144</v>
      </c>
      <c r="O23" s="201"/>
    </row>
    <row r="24" spans="1:17" ht="28.5" customHeight="1" x14ac:dyDescent="0.3">
      <c r="A24" s="139"/>
      <c r="B24" s="143"/>
      <c r="C24" s="204" t="s">
        <v>145</v>
      </c>
      <c r="D24" s="205"/>
      <c r="E24" s="205"/>
      <c r="F24" s="205"/>
      <c r="G24" s="206"/>
      <c r="H24" s="144">
        <v>1.01</v>
      </c>
      <c r="I24" s="144" t="s">
        <v>143</v>
      </c>
      <c r="J24" s="207">
        <f>IFERROR(J19*H24%,"-")</f>
        <v>28712.674460065202</v>
      </c>
      <c r="K24" s="208"/>
      <c r="L24" s="208"/>
      <c r="M24" s="209"/>
      <c r="N24" s="200" t="s">
        <v>146</v>
      </c>
      <c r="O24" s="201"/>
    </row>
    <row r="25" spans="1:17" ht="28.5" customHeight="1" x14ac:dyDescent="0.3">
      <c r="A25" s="139"/>
      <c r="B25" s="143"/>
      <c r="C25" s="204" t="s">
        <v>147</v>
      </c>
      <c r="D25" s="205"/>
      <c r="E25" s="205"/>
      <c r="F25" s="205"/>
      <c r="G25" s="206"/>
      <c r="H25" s="145">
        <v>3.5449999999999999</v>
      </c>
      <c r="I25" s="144" t="s">
        <v>143</v>
      </c>
      <c r="J25" s="207">
        <f>IFERROR(J19*H25%,"-")</f>
        <v>100778.64451577341</v>
      </c>
      <c r="K25" s="208"/>
      <c r="L25" s="208"/>
      <c r="M25" s="209"/>
      <c r="N25" s="200" t="s">
        <v>148</v>
      </c>
      <c r="O25" s="201"/>
      <c r="Q25" s="142"/>
    </row>
    <row r="26" spans="1:17" ht="28.5" customHeight="1" x14ac:dyDescent="0.3">
      <c r="A26" s="139"/>
      <c r="B26" s="143"/>
      <c r="C26" s="204" t="s">
        <v>149</v>
      </c>
      <c r="D26" s="205"/>
      <c r="E26" s="205"/>
      <c r="F26" s="205"/>
      <c r="G26" s="206"/>
      <c r="H26" s="144">
        <v>4.5</v>
      </c>
      <c r="I26" s="144" t="s">
        <v>143</v>
      </c>
      <c r="J26" s="207">
        <f>IFERROR(J19*H26%,"-")</f>
        <v>127927.75749534002</v>
      </c>
      <c r="K26" s="208"/>
      <c r="L26" s="208"/>
      <c r="M26" s="209"/>
      <c r="N26" s="200" t="s">
        <v>150</v>
      </c>
      <c r="O26" s="201"/>
      <c r="Q26" s="146"/>
    </row>
    <row r="27" spans="1:17" ht="28.5" customHeight="1" x14ac:dyDescent="0.3">
      <c r="A27" s="139"/>
      <c r="B27" s="143"/>
      <c r="C27" s="194" t="s">
        <v>151</v>
      </c>
      <c r="D27" s="195"/>
      <c r="E27" s="195"/>
      <c r="F27" s="195"/>
      <c r="G27" s="196"/>
      <c r="H27" s="147">
        <v>12.95</v>
      </c>
      <c r="I27" s="148" t="s">
        <v>143</v>
      </c>
      <c r="J27" s="197">
        <f>IFERROR($H$27*J25%,"-")</f>
        <v>13050.834464792655</v>
      </c>
      <c r="K27" s="198"/>
      <c r="L27" s="198"/>
      <c r="M27" s="199"/>
      <c r="N27" s="200" t="s">
        <v>152</v>
      </c>
      <c r="O27" s="201"/>
    </row>
    <row r="28" spans="1:17" ht="28.5" customHeight="1" x14ac:dyDescent="0.3">
      <c r="A28" s="139"/>
      <c r="B28" s="143"/>
      <c r="C28" s="194" t="s">
        <v>153</v>
      </c>
      <c r="D28" s="195"/>
      <c r="E28" s="195"/>
      <c r="F28" s="195"/>
      <c r="G28" s="196"/>
      <c r="H28" s="147">
        <v>8.1000000000000003E-2</v>
      </c>
      <c r="I28" s="148" t="s">
        <v>143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154</v>
      </c>
      <c r="O28" s="203"/>
    </row>
    <row r="29" spans="1:17" ht="28.5" customHeight="1" x14ac:dyDescent="0.3">
      <c r="A29" s="149"/>
      <c r="B29" s="150"/>
      <c r="C29" s="174" t="s">
        <v>155</v>
      </c>
      <c r="D29" s="175"/>
      <c r="E29" s="175"/>
      <c r="F29" s="175"/>
      <c r="G29" s="176"/>
      <c r="H29" s="151">
        <v>1</v>
      </c>
      <c r="I29" s="152" t="s">
        <v>156</v>
      </c>
      <c r="J29" s="177">
        <f>34*0</f>
        <v>0</v>
      </c>
      <c r="K29" s="178"/>
      <c r="L29" s="178"/>
      <c r="M29" s="179"/>
      <c r="N29" s="180" t="s">
        <v>157</v>
      </c>
      <c r="O29" s="181"/>
    </row>
    <row r="30" spans="1:17" ht="28.5" customHeight="1" x14ac:dyDescent="0.3">
      <c r="A30" s="149">
        <v>4</v>
      </c>
      <c r="B30" s="150"/>
      <c r="C30" s="174" t="s">
        <v>158</v>
      </c>
      <c r="D30" s="175"/>
      <c r="E30" s="175"/>
      <c r="F30" s="175"/>
      <c r="G30" s="176"/>
      <c r="H30" s="152">
        <v>5</v>
      </c>
      <c r="I30" s="153" t="s">
        <v>159</v>
      </c>
      <c r="J30" s="187">
        <f>IFERROR(IF(ISNUMBER(H30), SUM(J18:M20) * (H30 / 100), "-"), "-")</f>
        <v>210713.38911581776</v>
      </c>
      <c r="K30" s="188"/>
      <c r="L30" s="188"/>
      <c r="M30" s="189"/>
      <c r="N30" s="190" t="s">
        <v>160</v>
      </c>
      <c r="O30" s="191"/>
    </row>
    <row r="31" spans="1:17" ht="28.5" customHeight="1" thickBot="1" x14ac:dyDescent="0.35">
      <c r="A31" s="149">
        <v>5</v>
      </c>
      <c r="B31" s="150"/>
      <c r="C31" s="174" t="s">
        <v>161</v>
      </c>
      <c r="D31" s="175"/>
      <c r="E31" s="175"/>
      <c r="F31" s="175"/>
      <c r="G31" s="176"/>
      <c r="H31" s="152">
        <v>7.5</v>
      </c>
      <c r="I31" s="153" t="s">
        <v>143</v>
      </c>
      <c r="J31" s="177">
        <f>IFERROR(SUM(J18:M20, J30) * (H31 / 100), "-")+-48354</f>
        <v>283519.58785741293</v>
      </c>
      <c r="K31" s="178"/>
      <c r="L31" s="178"/>
      <c r="M31" s="179"/>
      <c r="N31" s="192" t="s">
        <v>162</v>
      </c>
      <c r="O31" s="193"/>
      <c r="Q31" s="154"/>
    </row>
    <row r="32" spans="1:17" ht="28.5" customHeight="1" thickBot="1" x14ac:dyDescent="0.35">
      <c r="A32" s="182" t="s">
        <v>163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4708500</v>
      </c>
      <c r="N32" s="185"/>
      <c r="O32" s="186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0" t="s">
        <v>41</v>
      </c>
      <c r="K3" s="290"/>
      <c r="L3" s="288" t="s">
        <v>3</v>
      </c>
      <c r="M3" s="288" t="s">
        <v>0</v>
      </c>
      <c r="N3" s="284" t="s">
        <v>42</v>
      </c>
      <c r="O3" s="284"/>
      <c r="P3" s="284" t="s">
        <v>43</v>
      </c>
      <c r="Q3" s="284"/>
      <c r="R3" s="285" t="s">
        <v>44</v>
      </c>
      <c r="S3" s="285"/>
      <c r="T3" s="285" t="s">
        <v>45</v>
      </c>
      <c r="U3" s="285"/>
      <c r="V3" s="286" t="s">
        <v>46</v>
      </c>
      <c r="W3" s="282" t="s">
        <v>47</v>
      </c>
      <c r="X3" s="280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89"/>
      <c r="M4" s="289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7"/>
      <c r="W4" s="283"/>
      <c r="X4" s="281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99</v>
      </c>
      <c r="L5" s="57" t="s">
        <v>96</v>
      </c>
      <c r="M5" s="74">
        <v>11.2659</v>
      </c>
      <c r="N5" s="94">
        <v>20900</v>
      </c>
      <c r="O5" s="70">
        <f t="shared" ref="O5" si="1">SUM(N5:N5)*M5*$O$2</f>
        <v>196606.85384999998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196606.85384999998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883853.60384999996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3726692.6593020004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B33" sqref="B33:B34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1" t="s">
        <v>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15" customHeight="1" x14ac:dyDescent="0.3">
      <c r="A2" s="302" t="s">
        <v>5</v>
      </c>
      <c r="B2" s="303" t="s">
        <v>6</v>
      </c>
      <c r="C2" s="304" t="s">
        <v>3</v>
      </c>
      <c r="D2" s="304" t="s">
        <v>7</v>
      </c>
      <c r="E2" s="306" t="s">
        <v>8</v>
      </c>
      <c r="F2" s="303"/>
      <c r="G2" s="303" t="s">
        <v>9</v>
      </c>
      <c r="H2" s="303"/>
      <c r="I2" s="307" t="s">
        <v>10</v>
      </c>
      <c r="J2" s="308"/>
      <c r="K2" s="307" t="s">
        <v>11</v>
      </c>
      <c r="L2" s="308"/>
      <c r="M2" s="306" t="s">
        <v>12</v>
      </c>
      <c r="N2" s="303"/>
      <c r="O2" s="309" t="s">
        <v>13</v>
      </c>
    </row>
    <row r="3" spans="1:15" ht="15" customHeight="1" x14ac:dyDescent="0.3">
      <c r="A3" s="302"/>
      <c r="B3" s="303"/>
      <c r="C3" s="305"/>
      <c r="D3" s="305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0"/>
    </row>
    <row r="4" spans="1:15" ht="15" customHeight="1" x14ac:dyDescent="0.3">
      <c r="A4" s="299" t="s">
        <v>100</v>
      </c>
      <c r="B4" s="30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97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1" t="s">
        <v>78</v>
      </c>
    </row>
    <row r="6" spans="1:15" ht="15" customHeight="1" x14ac:dyDescent="0.3">
      <c r="A6" s="298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292"/>
    </row>
    <row r="7" spans="1:15" ht="15" customHeight="1" x14ac:dyDescent="0.3">
      <c r="A7" s="298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292"/>
    </row>
    <row r="8" spans="1:15" ht="15" customHeight="1" x14ac:dyDescent="0.3">
      <c r="A8" s="298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292"/>
    </row>
    <row r="9" spans="1:15" ht="15" customHeight="1" x14ac:dyDescent="0.3">
      <c r="A9" s="298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2"/>
    </row>
    <row r="10" spans="1:15" ht="15" customHeight="1" x14ac:dyDescent="0.3">
      <c r="A10" s="298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292"/>
    </row>
    <row r="11" spans="1:15" ht="15" customHeight="1" x14ac:dyDescent="0.3">
      <c r="A11" s="298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2"/>
    </row>
    <row r="12" spans="1:15" ht="15" customHeight="1" x14ac:dyDescent="0.3">
      <c r="A12" s="298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92"/>
    </row>
    <row r="13" spans="1:15" ht="15" customHeight="1" x14ac:dyDescent="0.3">
      <c r="A13" s="45" t="s">
        <v>27</v>
      </c>
      <c r="B13" s="46"/>
      <c r="C13" s="47"/>
      <c r="D13" s="48">
        <f>SUM(D5:D12)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293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2"/>
    </row>
    <row r="15" spans="1:15" ht="15" customHeight="1" x14ac:dyDescent="0.3">
      <c r="A15" s="293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2"/>
    </row>
    <row r="16" spans="1:15" ht="15" customHeight="1" x14ac:dyDescent="0.3">
      <c r="A16" s="293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2"/>
    </row>
    <row r="17" spans="1:15" ht="15" customHeight="1" x14ac:dyDescent="0.3">
      <c r="A17" s="294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295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296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296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296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296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11.2659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2025-09-18T06:59:32Z</dcterms:modified>
</cp:coreProperties>
</file>
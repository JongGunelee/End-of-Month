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3 금일작업\Downloads\"/>
    </mc:Choice>
  </mc:AlternateContent>
  <xr:revisionPtr revIDLastSave="0" documentId="13_ncr:1_{019EB5D2-B100-4B96-A738-819A03AAC902}" xr6:coauthVersionLast="47" xr6:coauthVersionMax="47" xr10:uidLastSave="{00000000-0000-0000-0000-000000000000}"/>
  <bookViews>
    <workbookView xWindow="-60" yWindow="-60" windowWidth="28920" windowHeight="16320" activeTab="1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/>
  <c r="A3" i="1" s="1"/>
  <c r="A5" i="4"/>
  <c r="A2" i="1" s="1"/>
  <c r="F3" i="1"/>
  <c r="E3" i="1"/>
  <c r="D3" i="1"/>
  <c r="C3" i="1"/>
  <c r="B3" i="1"/>
  <c r="F2" i="1"/>
  <c r="E2" i="1"/>
  <c r="D2" i="1"/>
  <c r="C2" i="1"/>
  <c r="B2" i="1"/>
  <c r="O6" i="4" l="1"/>
  <c r="V6" i="4" s="1"/>
  <c r="Q5" i="4"/>
  <c r="O5" i="4"/>
  <c r="V5" i="4" l="1"/>
  <c r="Q7" i="4" l="1"/>
  <c r="F17" i="5" s="1"/>
  <c r="U7" i="4" l="1"/>
  <c r="O7" i="4"/>
  <c r="F16" i="5" s="1"/>
  <c r="F26" i="5" s="1"/>
  <c r="S7" i="4"/>
  <c r="F18" i="5" l="1"/>
  <c r="V7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<sst xmlns="http://schemas.openxmlformats.org/spreadsheetml/2006/main" count="109" uniqueCount="89">
  <si>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</si>
  <si>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</si>
  <si>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</si>
  <si>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</si>
  <si>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</si>
  <si>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</si>
  <si>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</si>
  <si>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</si>
  <si>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</si>
  <si>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</si>
  <si>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</si>
  <si>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</si>
  <si>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</si>
  <si>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</si>
  <si>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</si>
  <si>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</si>
  <si>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</si>
  <si>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</si>
  <si>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</si>
  <si>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</si>
  <si>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</si>
  <si>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</si>
  <si>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</si>
  <si>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</si>
  <si>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</si>
  <si>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</si>
  <si>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</si>
  <si>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</si>
  <si>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</si>
  <si>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</si>
  <si>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</si>
  <si>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</si>
  <si>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</si>
  <si>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</si>
  <si>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</si>
  <si>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</si>
  <si>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</si>
  <si>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</si>
  <si>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</si>
  <si>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</si>
  <si>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</si>
  <si>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</si>
  <si>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</si>
  <si>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</si>
  <si>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</si>
  <si>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</si>
  <si>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</si>
  <si>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단위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</si>
  <si>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</si>
  <si>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</si>
  <si>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</si>
  <si>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</si>
  <si>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</si>
  <si>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</si>
  <si>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</si>
  <si>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</si>
  <si>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</si>
  <si>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</si>
  <si>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</si>
  <si>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</si>
  <si>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</si>
  <si>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</si>
  <si>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</si>
  <si>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</si>
  <si>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</si>
  <si>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</si>
  <si>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</si>
  <si>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</si>
  <si>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</si>
  <si>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</si>
  <si>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</si>
  <si>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</si>
  <si>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</si>
  <si>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</si>
  <si>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</si>
  <si>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</si>
  <si>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</si>
  <si>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</si>
  <si>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노무비할증</t>
    <phoneticPr fontId="6" type="noConversion"/>
  </si>
  <si>
    <t> (재료비+노무비)*3.11%</t>
    <phoneticPr fontId="14" type="noConversion"/>
  </si>
  <si>
    <t>M020252912050101</t>
  </si>
  <si>
    <t xml:space="preserve">1액형 실리콘, 다목적건축죠인트실링용(300㎖) </t>
    <phoneticPr fontId="6" type="noConversion"/>
  </si>
  <si>
    <t>Ctg</t>
    <phoneticPr fontId="6" type="noConversion"/>
  </si>
  <si>
    <t>인</t>
    <phoneticPr fontId="6" type="noConversion"/>
  </si>
  <si>
    <t>L003</t>
  </si>
  <si>
    <t>시중노임단가,특별인부</t>
    <phoneticPr fontId="6" type="noConversion"/>
  </si>
  <si>
    <t xml:space="preserve"> 견적일 : 2025 년  11월  10일</t>
    <phoneticPr fontId="12" type="noConversion"/>
  </si>
  <si>
    <t xml:space="preserve"> 공사명 : 사택 102동 화단보수</t>
    <phoneticPr fontId="12" type="noConversion"/>
  </si>
  <si>
    <t>102동 화단보수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</si>
</sst>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.000_ "/>
    <numFmt numFmtId="184" formatCode="0.000_ "/>
    <numFmt numFmtId="185" formatCode="#,##0;\-#,##0;"/>
    <numFmt numFmtId="186" formatCode="0.000"/>
  </numFmts>
  <fonts count="2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0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21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31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3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0" borderId="3" xfId="1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1" fillId="0" borderId="0" xfId="0" applyFont="1">
      <alignment vertical="center"/>
    </xf>
    <xf numFmtId="49" fontId="20" fillId="7" borderId="3" xfId="0" applyNumberFormat="1" applyFont="1" applyFill="1" applyBorder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184" fontId="20" fillId="0" borderId="1" xfId="1" applyNumberFormat="1" applyFont="1" applyBorder="1" applyAlignment="1">
      <alignment horizontal="center" vertical="center"/>
    </xf>
    <xf numFmtId="183" fontId="20" fillId="5" borderId="3" xfId="1" applyNumberFormat="1" applyFont="1" applyFill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185" fontId="20" fillId="5" borderId="3" xfId="0" applyNumberFormat="1" applyFont="1" applyFill="1" applyBorder="1" applyAlignment="1">
      <alignment horizontal="right" vertical="center" wrapText="1"/>
    </xf>
    <xf numFmtId="185" fontId="20" fillId="6" borderId="3" xfId="1" applyNumberFormat="1" applyFont="1" applyFill="1" applyBorder="1" applyAlignment="1">
      <alignment horizontal="right" vertical="center" wrapText="1"/>
    </xf>
    <xf numFmtId="185" fontId="20" fillId="0" borderId="3" xfId="1" applyNumberFormat="1" applyFont="1" applyFill="1" applyBorder="1" applyAlignment="1">
      <alignment horizontal="right" vertical="center" wrapText="1"/>
    </xf>
    <xf numFmtId="186" fontId="20" fillId="5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177" fontId="25" fillId="0" borderId="0" xfId="0" applyNumberFormat="1" applyFont="1">
      <alignment vertical="center"/>
    </xf>
    <xf numFmtId="0" fontId="23" fillId="10" borderId="0" xfId="0" applyFont="1" applyFill="1">
      <alignment vertical="center"/>
    </xf>
    <xf numFmtId="177" fontId="13" fillId="10" borderId="0" xfId="0" applyNumberFormat="1" applyFont="1" applyFill="1">
      <alignment vertical="center"/>
    </xf>
    <xf numFmtId="0" fontId="24" fillId="0" borderId="0" xfId="0" applyFont="1">
      <alignment vertical="center"/>
    </xf>
    <xf numFmtId="177" fontId="24" fillId="0" borderId="0" xfId="0" applyNumberFormat="1" applyFont="1">
      <alignment vertical="center"/>
    </xf>
    <xf numFmtId="0" fontId="24" fillId="5" borderId="0" xfId="0" applyFont="1" applyFill="1">
      <alignment vertical="center"/>
    </xf>
    <xf numFmtId="0" fontId="26" fillId="7" borderId="3" xfId="0" applyNumberFormat="1" applyFont="1" applyFill="1" applyBorder="1" applyAlignment="1">
      <alignment horizontal="center" vertical="center"/>
    </xf>
    <xf numFmtId="49" fontId="28" fillId="7" borderId="3" xfId="0" applyNumberFormat="1" applyFont="1" applyFill="1" applyBorder="1" applyAlignment="1">
      <alignment horizontal="center" vertical="center" wrapText="1"/>
    </xf>
    <xf numFmtId="49" fontId="26" fillId="5" borderId="3" xfId="0" applyNumberFormat="1" applyFont="1" applyFill="1" applyBorder="1" applyAlignment="1">
      <alignment horizontal="center" vertical="center"/>
    </xf>
    <xf numFmtId="177" fontId="27" fillId="5" borderId="3" xfId="1" applyFont="1" applyFill="1" applyBorder="1" applyAlignment="1">
      <alignment horizontal="center" vertical="center" wrapText="1"/>
    </xf>
    <xf numFmtId="0" fontId="26" fillId="5" borderId="3" xfId="0" applyFont="1" applyFill="1" applyBorder="1" applyAlignment="1">
      <alignment horizontal="center" vertical="center"/>
    </xf>
    <xf numFmtId="177" fontId="26" fillId="5" borderId="3" xfId="1" applyFont="1" applyFill="1" applyBorder="1" applyAlignment="1">
      <alignment horizontal="center" vertical="center"/>
    </xf>
    <xf numFmtId="49" fontId="26" fillId="5" borderId="3" xfId="0" applyNumberFormat="1" applyFont="1" applyFill="1" applyBorder="1" applyAlignment="1">
      <alignment horizontal="center" vertical="center" wrapText="1"/>
    </xf>
    <xf numFmtId="0" fontId="26" fillId="5" borderId="3" xfId="0" applyFont="1" applyFill="1" applyBorder="1" applyAlignment="1">
      <alignment horizontal="center" vertical="center" wrapText="1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</cellXfs>
  <cellStyles count="2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" xfId="20" xr:uid="{141CB4A6-AD51-4F68-A595-C05C113EC465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ABAB3B17-49F0-44FD-BCBF-671F1EE89880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16" zoomScale="85" zoomScaleNormal="85" workbookViewId="0">
      <selection activeCell="I18" sqref="I18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13" t="s">
        <v>6</v>
      </c>
      <c r="B2" s="113"/>
      <c r="C2" s="113"/>
      <c r="D2" s="113"/>
      <c r="E2" s="113"/>
      <c r="F2" s="113"/>
      <c r="G2" s="113"/>
      <c r="H2" s="2"/>
    </row>
    <row r="3" spans="1:9" ht="14.25">
      <c r="A3" s="85"/>
      <c r="B3" s="85"/>
      <c r="C3" s="85"/>
      <c r="D3" s="85"/>
      <c r="E3" s="85"/>
      <c r="F3" s="85"/>
      <c r="G3" s="85"/>
      <c r="H3" s="85"/>
    </row>
    <row r="4" spans="1:9" ht="14.25">
      <c r="A4" s="85"/>
      <c r="B4" s="85"/>
      <c r="C4" s="85"/>
      <c r="D4" s="85"/>
      <c r="E4" s="85"/>
      <c r="H4" s="85"/>
    </row>
    <row r="5" spans="1:9" ht="27" customHeight="1">
      <c r="A5" s="86" t="s">
        <v>48</v>
      </c>
      <c r="B5" s="4"/>
      <c r="C5" s="5"/>
      <c r="D5" s="85"/>
      <c r="E5" s="85"/>
      <c r="F5" s="6" t="s">
        <v>38</v>
      </c>
      <c r="G5" s="7" t="s">
        <v>52</v>
      </c>
      <c r="H5" s="85"/>
    </row>
    <row r="6" spans="1:9" ht="27" customHeight="1">
      <c r="A6" s="85"/>
      <c r="B6" s="85"/>
      <c r="C6" s="85"/>
      <c r="D6" s="85"/>
      <c r="E6" s="85"/>
      <c r="F6" s="8" t="s">
        <v>41</v>
      </c>
      <c r="G6" s="9" t="s">
        <v>53</v>
      </c>
      <c r="H6" s="85"/>
    </row>
    <row r="7" spans="1:9" ht="27" customHeight="1">
      <c r="A7" s="116" t="s">
        <v>87</v>
      </c>
      <c r="B7" s="117"/>
      <c r="C7" s="118"/>
      <c r="D7" s="85"/>
      <c r="E7" s="10"/>
      <c r="F7" s="11" t="s">
        <v>42</v>
      </c>
      <c r="G7" s="9" t="s">
        <v>54</v>
      </c>
      <c r="H7" s="85"/>
    </row>
    <row r="8" spans="1:9" ht="27" customHeight="1">
      <c r="A8" s="85"/>
      <c r="B8" s="85"/>
      <c r="C8" s="85"/>
      <c r="D8" s="85"/>
      <c r="E8" s="85"/>
      <c r="F8" s="8" t="s">
        <v>43</v>
      </c>
      <c r="G8" s="9" t="s">
        <v>55</v>
      </c>
      <c r="H8" s="85"/>
    </row>
    <row r="9" spans="1:9" ht="27" customHeight="1">
      <c r="A9" s="116" t="s">
        <v>86</v>
      </c>
      <c r="B9" s="117"/>
      <c r="C9" s="118"/>
      <c r="D9" s="85"/>
      <c r="E9" s="85"/>
      <c r="F9" s="8" t="s">
        <v>44</v>
      </c>
      <c r="G9" s="9" t="s">
        <v>56</v>
      </c>
      <c r="H9" s="85"/>
    </row>
    <row r="10" spans="1:9" ht="27" customHeight="1">
      <c r="A10" s="85"/>
      <c r="B10" s="85"/>
      <c r="C10" s="85"/>
      <c r="D10" s="85"/>
      <c r="E10" s="85"/>
      <c r="F10" s="12" t="s">
        <v>39</v>
      </c>
      <c r="G10" s="13" t="s">
        <v>57</v>
      </c>
      <c r="H10" s="85"/>
      <c r="I10" s="85"/>
    </row>
    <row r="11" spans="1:9" ht="27" customHeight="1">
      <c r="A11" s="114"/>
      <c r="B11" s="115"/>
      <c r="C11" s="115"/>
      <c r="D11" s="85"/>
      <c r="E11" s="14"/>
      <c r="F11" s="15" t="s">
        <v>40</v>
      </c>
      <c r="G11" s="16" t="s">
        <v>58</v>
      </c>
      <c r="H11" s="14"/>
    </row>
    <row r="12" spans="1:9" ht="18.75" thickBot="1">
      <c r="A12" s="17" t="s">
        <v>7</v>
      </c>
      <c r="B12" s="17" t="str">
        <f>NUMBERSTRING(F31,1)</f>
        <v>팔십이만사천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85"/>
      <c r="B13" s="85"/>
      <c r="C13" s="85"/>
      <c r="D13" s="85"/>
      <c r="E13" s="85"/>
      <c r="F13" s="85"/>
      <c r="G13" s="85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'내역서(표준단가)'!O7</f>
        <v>20875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'내역서(표준단가)'!Q7</f>
        <v>657963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678838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29608.334999999999</v>
      </c>
      <c r="G21" s="35" t="s">
        <v>26</v>
      </c>
    </row>
    <row r="22" spans="1:7" ht="33" customHeight="1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23324.788350000003</v>
      </c>
      <c r="G22" s="48" t="s">
        <v>28</v>
      </c>
    </row>
    <row r="23" spans="1:7" ht="33" customHeight="1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3020.5600913250005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6645.4263000000001</v>
      </c>
      <c r="G24" s="35" t="s">
        <v>28</v>
      </c>
    </row>
    <row r="25" spans="1:7" ht="33" customHeight="1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23423.482800000002</v>
      </c>
      <c r="G25" s="35" t="s">
        <v>28</v>
      </c>
    </row>
    <row r="26" spans="1:7" ht="33" customHeight="1">
      <c r="A26" s="29"/>
      <c r="B26" s="42" t="s">
        <v>32</v>
      </c>
      <c r="C26" s="49" t="s">
        <v>79</v>
      </c>
      <c r="D26" s="30">
        <v>1</v>
      </c>
      <c r="E26" s="30" t="s">
        <v>25</v>
      </c>
      <c r="F26" s="43">
        <f>(F16+F17)*3.11%</f>
        <v>21111.861799999999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38254.872717066253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145389.32705839127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824227.3270583913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824000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5.75">
      <c r="B33" s="64"/>
    </row>
    <row r="34" spans="2:2" ht="15.7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Y7"/>
  <sheetViews>
    <sheetView showGridLines="0" tabSelected="1" zoomScale="80" zoomScaleNormal="80" workbookViewId="0">
      <pane ySplit="4" topLeftCell="A5" activePane="bottomLeft" state="frozen"/>
      <selection pane="bottomLeft" activeCell="V7" sqref="V7"/>
    </sheetView>
  </sheetViews>
  <sheetFormatPr defaultColWidth="9" defaultRowHeight="38.1" customHeight="1"/>
  <cols>
    <col min="1" max="1" width="22.625" style="104" bestFit="1" customWidth="1"/>
    <col min="2" max="5" width="4.625" style="104" hidden="1" customWidth="1"/>
    <col min="6" max="6" width="9" style="95" hidden="1" customWidth="1"/>
    <col min="7" max="9" width="12.625" style="95" hidden="1" customWidth="1"/>
    <col min="10" max="11" width="30.625" style="91" customWidth="1"/>
    <col min="12" max="12" width="6.75" style="95" bestFit="1" customWidth="1"/>
    <col min="13" max="13" width="8.25" style="95" customWidth="1"/>
    <col min="14" max="14" width="10.625" style="95" bestFit="1" customWidth="1"/>
    <col min="15" max="15" width="13" style="95" customWidth="1"/>
    <col min="16" max="16" width="12" style="95" bestFit="1" customWidth="1"/>
    <col min="17" max="17" width="15.5" style="95" customWidth="1"/>
    <col min="18" max="18" width="9" style="95" customWidth="1"/>
    <col min="19" max="19" width="8.75" style="95" bestFit="1" customWidth="1"/>
    <col min="20" max="20" width="10.5" style="95" customWidth="1"/>
    <col min="21" max="21" width="8.75" style="95" bestFit="1" customWidth="1"/>
    <col min="22" max="22" width="15.625" style="95" bestFit="1" customWidth="1"/>
    <col min="23" max="23" width="10.625" style="66" bestFit="1" customWidth="1"/>
    <col min="24" max="24" width="8.5" style="95" bestFit="1" customWidth="1"/>
    <col min="25" max="25" width="16.375" style="95" customWidth="1"/>
    <col min="26" max="16384" width="9" style="95"/>
  </cols>
  <sheetData>
    <row r="1" spans="1:25" ht="19.899999999999999" customHeight="1">
      <c r="A1" s="119"/>
      <c r="B1" s="119"/>
      <c r="C1" s="119"/>
      <c r="D1" s="119"/>
      <c r="E1" s="119"/>
      <c r="F1" s="119"/>
      <c r="G1" s="119"/>
      <c r="H1" s="119"/>
      <c r="I1" s="119"/>
      <c r="N1" s="66"/>
      <c r="O1" s="93" t="s">
        <v>59</v>
      </c>
      <c r="Q1" s="93" t="s">
        <v>59</v>
      </c>
      <c r="S1" s="93" t="s">
        <v>59</v>
      </c>
      <c r="U1" s="93" t="s">
        <v>59</v>
      </c>
    </row>
    <row r="2" spans="1:25" ht="19.899999999999999" customHeight="1" thickBot="1">
      <c r="A2" s="119"/>
      <c r="B2" s="119"/>
      <c r="C2" s="119"/>
      <c r="D2" s="119"/>
      <c r="E2" s="119"/>
      <c r="F2" s="119"/>
      <c r="G2" s="119"/>
      <c r="H2" s="119"/>
      <c r="I2" s="119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5" ht="19.899999999999999" customHeight="1">
      <c r="A3" s="96"/>
      <c r="B3" s="97"/>
      <c r="C3" s="97"/>
      <c r="D3" s="97"/>
      <c r="E3" s="97"/>
      <c r="F3" s="97" t="s">
        <v>60</v>
      </c>
      <c r="G3" s="97"/>
      <c r="H3" s="97"/>
      <c r="I3" s="97"/>
      <c r="J3" s="130" t="s">
        <v>61</v>
      </c>
      <c r="K3" s="130"/>
      <c r="L3" s="128" t="s">
        <v>47</v>
      </c>
      <c r="M3" s="128" t="s">
        <v>5</v>
      </c>
      <c r="N3" s="124" t="s">
        <v>62</v>
      </c>
      <c r="O3" s="124"/>
      <c r="P3" s="124" t="s">
        <v>63</v>
      </c>
      <c r="Q3" s="124"/>
      <c r="R3" s="125" t="s">
        <v>64</v>
      </c>
      <c r="S3" s="125"/>
      <c r="T3" s="125" t="s">
        <v>65</v>
      </c>
      <c r="U3" s="125"/>
      <c r="V3" s="126" t="s">
        <v>66</v>
      </c>
      <c r="W3" s="122" t="s">
        <v>78</v>
      </c>
      <c r="X3" s="120" t="s">
        <v>45</v>
      </c>
    </row>
    <row r="4" spans="1:25" ht="19.899999999999999" customHeight="1">
      <c r="A4" s="69" t="s">
        <v>67</v>
      </c>
      <c r="B4" s="94"/>
      <c r="C4" s="94"/>
      <c r="D4" s="94"/>
      <c r="E4" s="94"/>
      <c r="F4" s="70" t="s">
        <v>68</v>
      </c>
      <c r="G4" s="70" t="s">
        <v>69</v>
      </c>
      <c r="H4" s="70" t="s">
        <v>70</v>
      </c>
      <c r="I4" s="70" t="s">
        <v>71</v>
      </c>
      <c r="J4" s="92" t="s">
        <v>72</v>
      </c>
      <c r="K4" s="92" t="s">
        <v>73</v>
      </c>
      <c r="L4" s="129"/>
      <c r="M4" s="129"/>
      <c r="N4" s="71" t="s">
        <v>74</v>
      </c>
      <c r="O4" s="72" t="s">
        <v>75</v>
      </c>
      <c r="P4" s="71" t="s">
        <v>76</v>
      </c>
      <c r="Q4" s="72" t="s">
        <v>75</v>
      </c>
      <c r="R4" s="72" t="s">
        <v>77</v>
      </c>
      <c r="S4" s="72" t="s">
        <v>75</v>
      </c>
      <c r="T4" s="72" t="s">
        <v>77</v>
      </c>
      <c r="U4" s="72" t="s">
        <v>75</v>
      </c>
      <c r="V4" s="127"/>
      <c r="W4" s="123"/>
      <c r="X4" s="121"/>
    </row>
    <row r="5" spans="1:25" s="98" customFormat="1" ht="38.1" customHeight="1">
      <c r="A5" s="73" t="str">
        <f t="shared" ref="A5:A6" si="0">F5&amp;G5&amp;H5&amp;I5</f>
        <v>L003</v>
      </c>
      <c r="B5" s="82"/>
      <c r="C5" s="82"/>
      <c r="D5" s="82"/>
      <c r="E5" s="82"/>
      <c r="F5" s="78"/>
      <c r="G5" s="74"/>
      <c r="H5" s="105"/>
      <c r="I5" s="106" t="s">
        <v>84</v>
      </c>
      <c r="J5" s="111" t="s">
        <v>88</v>
      </c>
      <c r="K5" s="107" t="s">
        <v>85</v>
      </c>
      <c r="L5" s="107" t="s">
        <v>83</v>
      </c>
      <c r="M5" s="90">
        <v>3</v>
      </c>
      <c r="N5" s="108"/>
      <c r="O5" s="88">
        <f t="shared" ref="O5:O6" si="1">SUM(N5:N5)*M5*$O$2</f>
        <v>0</v>
      </c>
      <c r="P5" s="87">
        <v>219321</v>
      </c>
      <c r="Q5" s="88">
        <f>M5*P5</f>
        <v>657963</v>
      </c>
      <c r="R5" s="89"/>
      <c r="S5" s="88"/>
      <c r="T5" s="89"/>
      <c r="U5" s="88"/>
      <c r="V5" s="75">
        <f t="shared" ref="V5" si="2">SUM(O5+Q5)+S5+U5</f>
        <v>657963</v>
      </c>
      <c r="W5" s="84"/>
      <c r="X5" s="76"/>
      <c r="Y5" s="99"/>
    </row>
    <row r="6" spans="1:25" s="98" customFormat="1" ht="38.1" customHeight="1">
      <c r="A6" s="73" t="str">
        <f t="shared" si="0"/>
        <v>M020252912050101</v>
      </c>
      <c r="B6" s="82"/>
      <c r="C6" s="82"/>
      <c r="D6" s="82"/>
      <c r="E6" s="82"/>
      <c r="F6" s="78"/>
      <c r="G6" s="74"/>
      <c r="H6" s="105" t="s">
        <v>80</v>
      </c>
      <c r="I6" s="78"/>
      <c r="J6" s="111" t="s">
        <v>88</v>
      </c>
      <c r="K6" s="112" t="s">
        <v>81</v>
      </c>
      <c r="L6" s="109" t="s">
        <v>82</v>
      </c>
      <c r="M6" s="90">
        <v>5</v>
      </c>
      <c r="N6" s="110">
        <v>5000</v>
      </c>
      <c r="O6" s="88">
        <f t="shared" si="1"/>
        <v>20875</v>
      </c>
      <c r="P6" s="87"/>
      <c r="Q6" s="88"/>
      <c r="R6" s="89"/>
      <c r="S6" s="88"/>
      <c r="T6" s="89"/>
      <c r="U6" s="88"/>
      <c r="V6" s="75">
        <f t="shared" ref="V6" si="3">SUM(O6+Q6)+S6+U6</f>
        <v>20875</v>
      </c>
      <c r="W6" s="84"/>
      <c r="X6" s="76"/>
      <c r="Y6" s="99"/>
    </row>
    <row r="7" spans="1:25" ht="38.1" customHeight="1">
      <c r="A7" s="100"/>
      <c r="B7" s="95"/>
      <c r="C7" s="95"/>
      <c r="D7" s="95"/>
      <c r="E7" s="95"/>
      <c r="O7" s="101">
        <f>SUM(O5:O6)</f>
        <v>20875</v>
      </c>
      <c r="P7" s="102"/>
      <c r="Q7" s="101">
        <f>SUM(Q5:Q6)</f>
        <v>657963</v>
      </c>
      <c r="R7" s="102"/>
      <c r="S7" s="101">
        <f>SUM(S5:S6)</f>
        <v>0</v>
      </c>
      <c r="T7" s="102"/>
      <c r="U7" s="101">
        <f>SUM(U5:U6)</f>
        <v>0</v>
      </c>
      <c r="V7" s="103">
        <f>SUM(V5:V6)</f>
        <v>678838</v>
      </c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Normal="100" workbookViewId="0">
      <selection activeCell="M29" sqref="L29:M29"/>
    </sheetView>
  </sheetViews>
  <sheetFormatPr defaultColWidth="9" defaultRowHeight="14.2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7"/>
  </cols>
  <sheetData>
    <row r="1" spans="1:6" ht="18" customHeight="1">
      <c r="A1" s="79" t="s">
        <v>0</v>
      </c>
      <c r="B1" s="79" t="s">
        <v>1</v>
      </c>
      <c r="C1" s="79" t="s">
        <v>2</v>
      </c>
      <c r="D1" s="79" t="s">
        <v>3</v>
      </c>
      <c r="E1" s="79" t="s">
        <v>4</v>
      </c>
      <c r="F1" s="79" t="s">
        <v>5</v>
      </c>
    </row>
    <row r="2" spans="1:6">
      <c r="A2" s="80" t="str">
        <f>'내역서(표준단가)'!A5</f>
        <v>L003</v>
      </c>
      <c r="B2" s="81">
        <f>'내역서(표준단가)'!F5</f>
        <v>0</v>
      </c>
      <c r="C2" s="81">
        <f>'내역서(표준단가)'!G5</f>
        <v>0</v>
      </c>
      <c r="D2" s="81">
        <f>'내역서(표준단가)'!H5</f>
        <v>0</v>
      </c>
      <c r="E2" s="81" t="str">
        <f>'내역서(표준단가)'!I5</f>
        <v>L003</v>
      </c>
      <c r="F2" s="83">
        <f>'내역서(표준단가)'!M5</f>
        <v>3</v>
      </c>
    </row>
    <row r="3" spans="1:6">
      <c r="A3" s="80" t="str">
        <f>'내역서(표준단가)'!A6</f>
        <v>M020252912050101</v>
      </c>
      <c r="B3" s="81">
        <f>'내역서(표준단가)'!F6</f>
        <v>0</v>
      </c>
      <c r="C3" s="81">
        <f>'내역서(표준단가)'!G6</f>
        <v>0</v>
      </c>
      <c r="D3" s="81" t="str">
        <f>'내역서(표준단가)'!H6</f>
        <v>M020252912050101</v>
      </c>
      <c r="E3" s="81">
        <f>'내역서(표준단가)'!I6</f>
        <v>0</v>
      </c>
      <c r="F3" s="83">
        <f>'내역서(표준단가)'!M6</f>
        <v>5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2025-11-11T05:24:34Z</dcterms:modified>
</cp:coreProperties>
</file>
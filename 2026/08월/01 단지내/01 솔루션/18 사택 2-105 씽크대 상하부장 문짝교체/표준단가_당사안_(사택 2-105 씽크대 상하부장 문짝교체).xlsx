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D8CE5BDB-EB5A-413F-B68D-7FB55615B2B3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M5" i="4" l="1"/>
  <c r="F2" i="1" l="1"/>
  <c r="E2" i="1" l="1"/>
  <c r="D2" i="1"/>
  <c r="C2" i="1"/>
  <c r="B2" i="1"/>
  <c r="A5" i="4"/>
  <c r="A2" i="1" s="1"/>
  <c r="Q6" i="4" l="1"/>
  <c r="O6" i="4"/>
  <c r="M6" i="4"/>
  <c r="K6" i="4"/>
  <c r="R6" i="4" l="1"/>
  <c r="K5" i="4"/>
  <c r="Q5" i="4" l="1"/>
  <c r="O5" i="4"/>
  <c r="R5" i="4" l="1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<sst xmlns="http://schemas.openxmlformats.org/spreadsheetml/2006/main" count="130" uniqueCount="109">
  <si>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</si>
  <si>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</si>
  <si>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</si>
  <si>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</si>
  <si>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</si>
  <si>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</si>
  <si>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</si>
  <si>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</si>
  <si>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</si>
  <si>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</si>
  <si>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</si>
  <si>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</si>
  <si>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</si>
  <si>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</si>
  <si>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</si>
  <si>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</si>
  <si>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</si>
  <si>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</si>
  <si>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</si>
  <si>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</si>
  <si>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</si>
  <si>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</si>
  <si>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</si>
  <si>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</si>
  <si>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</si>
  <si>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</si>
  <si>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</si>
  <si>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</si>
  <si>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</si>
  <si>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</si>
  <si>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</si>
  <si>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</si>
  <si>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</si>
  <si>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</si>
  <si>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</si>
  <si>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</si>
  <si>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</si>
  <si>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</si>
  <si>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</si>
  <si>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</si>
  <si>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</si>
  <si>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</si>
  <si>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</si>
  <si>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</si>
  <si>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</si>
  <si>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</si>
  <si>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</si>
  <si>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</si>
  <si>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</si>
  <si>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</si>
  <si>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</si>
  <si>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</si>
  <si>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</si>
  <si>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</si>
  <si>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</si>
  <si>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</si>
  <si>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</si>
  <si>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</si>
  <si>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</si>
  <si>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</si>
  <si>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</si>
  <si>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</si>
  <si>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</si>
  <si>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</si>
  <si>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</si>
  <si>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</si>
  <si>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</si>
  <si>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</si>
  <si>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</si>
  <si>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</si>
  <si>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</si>
  <si>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</si>
  <si>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</si>
  <si>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</si>
  <si>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</si>
  <si>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</si>
  <si>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</si>
  <si>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</si>
  <si>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</si>
  <si>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</si>
  <si>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</si>
  <si>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</si>
  <si>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</si>
  <si>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</si>
  <si>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</si>
  <si>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</si>
  <si>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</si>
  <si>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</si>
  <si>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</si>
  <si>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</si>
  <si>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</si>
  <si>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</si>
  <si>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</si>
  <si>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</si>
  <si>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</si>
  <si>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</si>
  <si>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</si>
  <si>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</si>
  <si>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</si>
  <si>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</si>
  <si>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</si>
  <si>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</si>
  <si>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</si>
  <si>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</si>
  <si>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</si>
  <si>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</si>
  <si>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</si>
  <si>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2-105 씽크대 상하부장 문짝교체</t>
    <phoneticPr fontId="12" type="noConversion"/>
  </si>
  <si>
    <t xml:space="preserve"> 견적일 : 2026년  06월  22일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</si>
</sst>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20" fillId="10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9" sqref="H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2" t="s">
        <v>6</v>
      </c>
      <c r="B2" s="122"/>
      <c r="C2" s="122"/>
      <c r="D2" s="122"/>
      <c r="E2" s="122"/>
      <c r="F2" s="122"/>
      <c r="G2" s="122"/>
      <c r="H2" s="2"/>
    </row>
    <row r="3" spans="1:9" ht="13.5">
      <c r="A3" s="86"/>
      <c r="B3" s="86"/>
      <c r="C3" s="86"/>
      <c r="D3" s="86"/>
      <c r="E3" s="86"/>
      <c r="F3" s="86"/>
      <c r="G3" s="86"/>
      <c r="H3" s="86"/>
    </row>
    <row r="4" spans="1:9" ht="13.5">
      <c r="A4" s="86"/>
      <c r="B4" s="86"/>
      <c r="C4" s="86"/>
      <c r="D4" s="86"/>
      <c r="E4" s="86"/>
      <c r="H4" s="86"/>
    </row>
    <row r="5" spans="1:9" ht="27" customHeight="1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>
      <c r="A7" s="125" t="s">
        <v>107</v>
      </c>
      <c r="B7" s="126"/>
      <c r="C7" s="127"/>
      <c r="D7" s="86"/>
      <c r="E7" s="10"/>
      <c r="F7" s="11" t="s">
        <v>41</v>
      </c>
      <c r="G7" s="9" t="s">
        <v>68</v>
      </c>
      <c r="H7" s="86"/>
    </row>
    <row r="8" spans="1:9" ht="27" customHeight="1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>
      <c r="A9" s="125" t="s">
        <v>108</v>
      </c>
      <c r="B9" s="126"/>
      <c r="C9" s="127"/>
      <c r="D9" s="86"/>
      <c r="E9" s="86"/>
      <c r="F9" s="8" t="s">
        <v>43</v>
      </c>
      <c r="G9" s="9" t="s">
        <v>70</v>
      </c>
      <c r="H9" s="86"/>
    </row>
    <row r="10" spans="1:9" ht="27" customHeight="1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>
      <c r="A11" s="123"/>
      <c r="B11" s="124"/>
      <c r="C11" s="124"/>
      <c r="D11" s="86"/>
      <c r="E11" s="14"/>
      <c r="F11" s="15" t="s">
        <v>39</v>
      </c>
      <c r="G11" s="16" t="s">
        <v>72</v>
      </c>
      <c r="H11" s="14"/>
    </row>
    <row r="12" spans="1:9" ht="19.5" thickBot="1">
      <c r="A12" s="17" t="s">
        <v>7</v>
      </c>
      <c r="B12" s="17" t="str">
        <f>NUMBERSTRING(F31,1)</f>
        <v>일백일십오만이천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'내역서(표준단가)'!K7</f>
        <v>850000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1074490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5" t="s">
        <v>23</v>
      </c>
      <c r="C21" s="116" t="s">
        <v>105</v>
      </c>
      <c r="D21" s="117">
        <v>1</v>
      </c>
      <c r="E21" s="117" t="s">
        <v>24</v>
      </c>
      <c r="F21" s="118">
        <f>F17*4.75%</f>
        <v>10663.275</v>
      </c>
      <c r="G21" s="35" t="s">
        <v>25</v>
      </c>
    </row>
    <row r="22" spans="1:7" ht="33" customHeight="1">
      <c r="A22" s="29"/>
      <c r="B22" s="119" t="s">
        <v>26</v>
      </c>
      <c r="C22" s="116" t="s">
        <v>106</v>
      </c>
      <c r="D22" s="120">
        <v>1</v>
      </c>
      <c r="E22" s="120" t="s">
        <v>24</v>
      </c>
      <c r="F22" s="121">
        <f>F17*3.595%</f>
        <v>8070.415500000001</v>
      </c>
      <c r="G22" s="44" t="s">
        <v>27</v>
      </c>
    </row>
    <row r="23" spans="1:7" ht="33" customHeight="1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>
      <c r="A26" s="29"/>
      <c r="B26" s="42" t="s">
        <v>31</v>
      </c>
      <c r="C26" s="45" t="s">
        <v>104</v>
      </c>
      <c r="D26" s="30">
        <v>1</v>
      </c>
      <c r="E26" s="30" t="s">
        <v>24</v>
      </c>
      <c r="F26" s="43">
        <f>(F16+F17)*3.11%</f>
        <v>33416.638999999996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14397.232065362501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77851.873372612507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1152341.8733726125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1152000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H14" sqref="H14"/>
    </sheetView>
  </sheetViews>
  <sheetFormatPr defaultColWidth="9" defaultRowHeight="38.1" customHeight="1"/>
  <cols>
    <col min="1" max="1" width="8.875" style="110" customWidth="1"/>
    <col min="2" max="2" width="20.625" style="62" hidden="1" customWidth="1"/>
    <col min="3" max="3" width="15.125" style="62" hidden="1" customWidth="1"/>
    <col min="4" max="4" width="14.625" style="62" hidden="1" customWidth="1"/>
    <col min="5" max="5" width="13.875" style="62" hidden="1" customWidth="1"/>
    <col min="6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>
      <c r="A1" s="128"/>
      <c r="B1" s="128"/>
      <c r="C1" s="128"/>
      <c r="D1" s="128"/>
      <c r="E1" s="128"/>
      <c r="J1" s="63"/>
      <c r="K1" s="103" t="s">
        <v>80</v>
      </c>
      <c r="M1" s="103" t="s">
        <v>80</v>
      </c>
      <c r="O1" s="103" t="s">
        <v>80</v>
      </c>
      <c r="Q1" s="103" t="s">
        <v>80</v>
      </c>
    </row>
    <row r="2" spans="1:20" ht="19.899999999999999" customHeight="1" thickBot="1">
      <c r="A2" s="128"/>
      <c r="B2" s="128"/>
      <c r="C2" s="128"/>
      <c r="D2" s="128"/>
      <c r="E2" s="128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>
      <c r="A3" s="104"/>
      <c r="B3" s="104" t="s">
        <v>81</v>
      </c>
      <c r="C3" s="105"/>
      <c r="D3" s="105"/>
      <c r="E3" s="105"/>
      <c r="F3" s="139" t="s">
        <v>82</v>
      </c>
      <c r="G3" s="139"/>
      <c r="H3" s="137" t="s">
        <v>50</v>
      </c>
      <c r="I3" s="137" t="s">
        <v>5</v>
      </c>
      <c r="J3" s="133" t="s">
        <v>83</v>
      </c>
      <c r="K3" s="133"/>
      <c r="L3" s="133" t="s">
        <v>84</v>
      </c>
      <c r="M3" s="133"/>
      <c r="N3" s="134" t="s">
        <v>85</v>
      </c>
      <c r="O3" s="134"/>
      <c r="P3" s="134" t="s">
        <v>86</v>
      </c>
      <c r="Q3" s="134"/>
      <c r="R3" s="135" t="s">
        <v>87</v>
      </c>
      <c r="S3" s="131" t="s">
        <v>88</v>
      </c>
      <c r="T3" s="129" t="s">
        <v>44</v>
      </c>
    </row>
    <row r="4" spans="1:20" ht="19.899999999999999" customHeight="1">
      <c r="A4" s="66" t="s">
        <v>89</v>
      </c>
      <c r="B4" s="67" t="s">
        <v>90</v>
      </c>
      <c r="C4" s="67" t="s">
        <v>91</v>
      </c>
      <c r="D4" s="67" t="s">
        <v>92</v>
      </c>
      <c r="E4" s="67" t="s">
        <v>93</v>
      </c>
      <c r="F4" s="101" t="s">
        <v>94</v>
      </c>
      <c r="G4" s="101" t="s">
        <v>95</v>
      </c>
      <c r="H4" s="138"/>
      <c r="I4" s="138"/>
      <c r="J4" s="68" t="s">
        <v>96</v>
      </c>
      <c r="K4" s="69" t="s">
        <v>97</v>
      </c>
      <c r="L4" s="68" t="s">
        <v>98</v>
      </c>
      <c r="M4" s="69" t="s">
        <v>97</v>
      </c>
      <c r="N4" s="69" t="s">
        <v>99</v>
      </c>
      <c r="O4" s="69" t="s">
        <v>97</v>
      </c>
      <c r="P4" s="69" t="s">
        <v>99</v>
      </c>
      <c r="Q4" s="69" t="s">
        <v>97</v>
      </c>
      <c r="R4" s="136"/>
      <c r="S4" s="132"/>
      <c r="T4" s="130"/>
    </row>
    <row r="5" spans="1:20" s="106" customFormat="1" ht="38.1" customHeight="1">
      <c r="A5" s="70" t="str">
        <f t="shared" ref="A5" si="0">B5&amp;C5&amp;D5&amp;E5</f>
        <v>L003</v>
      </c>
      <c r="B5" s="71"/>
      <c r="C5" s="75"/>
      <c r="D5" s="85"/>
      <c r="E5" s="90" t="s">
        <v>100</v>
      </c>
      <c r="F5" s="88" t="s">
        <v>101</v>
      </c>
      <c r="G5" s="89" t="s">
        <v>102</v>
      </c>
      <c r="H5" s="72" t="s">
        <v>103</v>
      </c>
      <c r="I5" s="99">
        <v>1</v>
      </c>
      <c r="J5" s="96"/>
      <c r="K5" s="97">
        <f>I5*J5</f>
        <v>0</v>
      </c>
      <c r="L5" s="114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>
      <c r="A6" s="70"/>
      <c r="B6" s="71"/>
      <c r="C6" s="75"/>
      <c r="D6" s="85"/>
      <c r="E6" s="71"/>
      <c r="F6" s="88" t="s">
        <v>73</v>
      </c>
      <c r="G6" s="89" t="s">
        <v>74</v>
      </c>
      <c r="H6" s="72" t="s">
        <v>75</v>
      </c>
      <c r="I6" s="99">
        <v>1</v>
      </c>
      <c r="J6" s="96">
        <v>850000</v>
      </c>
      <c r="K6" s="97">
        <f>I6*J6</f>
        <v>850000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850000</v>
      </c>
      <c r="S6" s="76"/>
      <c r="T6" s="74"/>
    </row>
    <row r="7" spans="1:20" s="108" customFormat="1" ht="38.1" customHeight="1">
      <c r="A7" s="107"/>
      <c r="F7" s="102"/>
      <c r="G7" s="102"/>
      <c r="K7" s="112">
        <f>SUM(K5:K6)</f>
        <v>850000</v>
      </c>
      <c r="M7" s="112">
        <f>SUM(M5:M6)</f>
        <v>224490</v>
      </c>
      <c r="O7" s="109">
        <f>SUM(O5:O6)</f>
        <v>0</v>
      </c>
      <c r="Q7" s="109">
        <f>SUM(Q5:Q6)</f>
        <v>0</v>
      </c>
      <c r="R7" s="113">
        <f>SUM(R5:R6)</f>
        <v>1074490</v>
      </c>
      <c r="S7" s="77"/>
    </row>
    <row r="11" spans="1:20" ht="38.1" customHeight="1">
      <c r="M11" s="11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3.5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3.5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>
      <c r="A2" s="63">
        <v>999999</v>
      </c>
      <c r="B2" s="63" t="s">
        <v>76</v>
      </c>
      <c r="C2" s="63" t="s">
        <v>77</v>
      </c>
      <c r="D2" s="63" t="s">
        <v>78</v>
      </c>
      <c r="E2" s="63" t="s">
        <v>79</v>
      </c>
      <c r="F2" s="81">
        <v>1</v>
      </c>
      <c r="G2" s="84">
        <v>850000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2026-01-20T04:07:01Z</dcterms:created>
  <dcterms:modified xsi:type="dcterms:W3CDTF">2026-06-22T00:09:52Z</dcterms:modified>
</cp:coreProperties>
</file>
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4E8FAF83-253B-4CE7-ACFA-B5150D564970}" xr6:coauthVersionLast="36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D13" i="9" l="1"/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2" i="4"/>
  <c r="S12" i="4"/>
  <c r="Q12" i="4"/>
  <c r="O12" i="4"/>
  <c r="A12" i="4"/>
  <c r="A9" i="10" s="1"/>
  <c r="U7" i="4"/>
  <c r="S7" i="4"/>
  <c r="Q7" i="4"/>
  <c r="O7" i="4"/>
  <c r="A7" i="4"/>
  <c r="A4" i="10" s="1"/>
  <c r="U6" i="4"/>
  <c r="S6" i="4"/>
  <c r="Q6" i="4"/>
  <c r="O6" i="4"/>
  <c r="A6" i="4"/>
  <c r="A3" i="10" s="1"/>
  <c r="V6" i="4" l="1"/>
  <c r="V12" i="4"/>
  <c r="V7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F17" i="5" s="1"/>
  <c r="V8" i="4"/>
  <c r="V11" i="4"/>
  <c r="V10" i="4"/>
  <c r="U13" i="4" l="1"/>
  <c r="O13" i="4"/>
  <c r="F16" i="5" s="1"/>
  <c r="F26" i="5" s="1"/>
  <c r="S13" i="4"/>
  <c r="F18" i="5" l="1"/>
  <c r="V13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<sst xmlns="http://schemas.openxmlformats.org/spreadsheetml/2006/main" count="203" uniqueCount="154">
  <si>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</si>
  <si>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</si>
  <si>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</si>
  <si>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</si>
  <si>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</si>
  <si>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</si>
  <si>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</si>
  <si>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</si>
  <si>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</si>
  <si>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</si>
  <si>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</si>
  <si>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</si>
  <si>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</si>
  <si>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</si>
  <si>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</si>
  <si>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</si>
  <si>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</si>
  <si>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</si>
  <si>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</si>
  <si>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</si>
  <si>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</si>
  <si>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</si>
  <si>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</si>
  <si>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</si>
  <si>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</si>
  <si>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</si>
  <si>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</si>
  <si>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</si>
  <si>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</si>
  <si>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</si>
  <si>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</si>
  <si>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</si>
  <si>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</si>
  <si>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</si>
  <si>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</si>
  <si>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</si>
  <si>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</si>
  <si>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</si>
  <si>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</si>
  <si>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</si>
  <si>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</si>
  <si>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</si>
  <si>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</si>
  <si>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</si>
  <si>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</si>
  <si>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</si>
  <si>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</si>
  <si>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</si>
  <si>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</si>
  <si>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</si>
  <si>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</si>
  <si>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</si>
  <si>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</si>
  <si>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</si>
  <si>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</si>
  <si>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</si>
  <si>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</si>
  <si>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</si>
  <si>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</si>
  <si>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</si>
  <si>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</si>
  <si>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</si>
  <si>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</si>
  <si>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</si>
  <si>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</si>
  <si>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</si>
  <si>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</si>
  <si>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</si>
  <si>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</si>
  <si>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</si>
  <si>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</si>
  <si>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</si>
  <si>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</si>
  <si>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</si>
  <si>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</si>
  <si>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</si>
  <si>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</si>
  <si>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</si>
  <si>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</si>
  <si>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</si>
  <si>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</si>
  <si>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</si>
  <si>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</si>
  <si>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</si>
  <si>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</si>
  <si>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</si>
  <si>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</si>
  <si>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</si>
  <si>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</si>
  <si>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</si>
  <si>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</si>
  <si>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</si>
  <si>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</si>
  <si>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</si>
  <si>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</si>
  <si>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</si>
  <si>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</si>
  <si>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</si>
  <si>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</si>
  <si>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</si>
  <si>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</si>
  <si>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</si>
  <si>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</si>
  <si>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</si>
  <si>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</si>
  <si>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</si>
  <si>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</si>
  <si>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</si>
  <si>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</si>
  <si>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</si>
  <si>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</si>
  <si>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</si>
  <si>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</si>
  <si>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</si>
  <si>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</si>
  <si>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</si>
  <si>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</si>
  <si>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</si>
  <si>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</si>
  <si>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</si>
  <si>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</si>
  <si>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</si>
  <si>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</si>
  <si>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</si>
  <si>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</si>
  <si>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</si>
  <si>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</si>
  <si>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</si>
  <si>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</si>
  <si>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</si>
  <si>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</si>
  <si>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</si>
  <si>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</si>
  <si>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</si>
  <si>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</si>
  <si>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</si>
  <si>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</si>
  <si>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</si>
  <si>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</si>
  <si>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</si>
  <si>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</si>
  <si>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</si>
  <si>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</si>
  <si>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</si>
  <si>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</si>
  <si>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</si>
  <si>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</si>
  <si>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</si>
  <si>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</si>
  <si>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</si>
  <si>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2025 년  11월  03일</t>
    <phoneticPr fontId="11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</si>
  <si>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소요량186/16.51=11.2659R/L</t>
    </r>
    <phoneticPr fontId="5" type="noConversion"/>
  </si>
  <si>
    <t xml:space="preserve"> 공사명 : 사택 102-403 수장공사</t>
    <phoneticPr fontId="11" type="noConversion"/>
  </si>
  <si>
    <t>사택 102-403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</si>
</sst>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184" fontId="24" fillId="6" borderId="30" xfId="13" applyNumberFormat="1" applyFont="1" applyFill="1" applyBorder="1" applyAlignment="1">
      <alignment horizontal="center" vertical="center"/>
    </xf>
    <xf numFmtId="177" fontId="24" fillId="6" borderId="30" xfId="13" applyFont="1" applyFill="1" applyBorder="1" applyAlignment="1">
      <alignment horizontal="center" vertical="center"/>
    </xf>
    <xf numFmtId="185" fontId="24" fillId="6" borderId="30" xfId="13" applyNumberFormat="1" applyFont="1" applyFill="1" applyBorder="1" applyAlignment="1">
      <alignment horizontal="center" vertical="center"/>
    </xf>
    <xf numFmtId="182" fontId="24" fillId="6" borderId="30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5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9" t="s">
        <v>1</v>
      </c>
      <c r="B2" s="169"/>
      <c r="C2" s="169"/>
      <c r="D2" s="169"/>
      <c r="E2" s="169"/>
      <c r="F2" s="169"/>
      <c r="G2" s="169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72" t="s">
        <v>152</v>
      </c>
      <c r="B7" s="173"/>
      <c r="C7" s="174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72" t="s">
        <v>150</v>
      </c>
      <c r="B9" s="173"/>
      <c r="C9" s="174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70"/>
      <c r="B11" s="171"/>
      <c r="C11" s="171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사백삼십팔만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'내역서(표준단가)'!O13</f>
        <v>883925.15500000003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'내역서(표준단가)'!Q13</f>
        <v>2842839.0554520003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3726764.2104520006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127927.75749534002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100778.64451577341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13050.834464792657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28712.674460065202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101205.07037409121</v>
      </c>
      <c r="G25" s="35" t="s">
        <v>23</v>
      </c>
    </row>
    <row r="26" spans="1:7" ht="33" customHeight="1">
      <c r="A26" s="29"/>
      <c r="B26" s="42" t="s">
        <v>27</v>
      </c>
      <c r="C26" s="49" t="s">
        <v>130</v>
      </c>
      <c r="D26" s="30">
        <v>1</v>
      </c>
      <c r="E26" s="30" t="s">
        <v>20</v>
      </c>
      <c r="F26" s="43">
        <f>(F16+F17)*3.11%</f>
        <v>115902.36694505722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166520.82018535599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654098.16844047571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4380862.3788924767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4380000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K17" sqref="K17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5"/>
      <c r="B1" s="175"/>
      <c r="C1" s="175"/>
      <c r="D1" s="175"/>
      <c r="E1" s="175"/>
      <c r="F1" s="175"/>
      <c r="G1" s="175"/>
      <c r="H1" s="175"/>
      <c r="I1" s="175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5"/>
      <c r="B2" s="175"/>
      <c r="C2" s="175"/>
      <c r="D2" s="175"/>
      <c r="E2" s="175"/>
      <c r="F2" s="175"/>
      <c r="G2" s="175"/>
      <c r="H2" s="175"/>
      <c r="I2" s="175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6" t="s">
        <v>91</v>
      </c>
      <c r="K3" s="186"/>
      <c r="L3" s="184" t="s">
        <v>42</v>
      </c>
      <c r="M3" s="184" t="s">
        <v>0</v>
      </c>
      <c r="N3" s="180" t="s">
        <v>92</v>
      </c>
      <c r="O3" s="180"/>
      <c r="P3" s="180" t="s">
        <v>93</v>
      </c>
      <c r="Q3" s="180"/>
      <c r="R3" s="181" t="s">
        <v>94</v>
      </c>
      <c r="S3" s="181"/>
      <c r="T3" s="181" t="s">
        <v>95</v>
      </c>
      <c r="U3" s="181"/>
      <c r="V3" s="182" t="s">
        <v>96</v>
      </c>
      <c r="W3" s="178" t="s">
        <v>97</v>
      </c>
      <c r="X3" s="176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5"/>
      <c r="M4" s="185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83"/>
      <c r="W4" s="179"/>
      <c r="X4" s="177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131</v>
      </c>
      <c r="I5" s="102"/>
      <c r="J5" s="141" t="s">
        <v>132</v>
      </c>
      <c r="K5" s="141" t="s">
        <v>151</v>
      </c>
      <c r="L5" s="121" t="s">
        <v>147</v>
      </c>
      <c r="M5" s="140">
        <v>11.27</v>
      </c>
      <c r="N5" s="160">
        <v>20900</v>
      </c>
      <c r="O5" s="136">
        <f t="shared" ref="O5" si="1">SUM(N5:N5)*M5*$O$2</f>
        <v>196678.405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196678.405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148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" si="12">F7&amp;G7&amp;H7&amp;I7</f>
        <v>M020809012520101</v>
      </c>
      <c r="B7" s="105"/>
      <c r="C7" s="105"/>
      <c r="D7" s="105"/>
      <c r="E7" s="105"/>
      <c r="F7" s="102"/>
      <c r="G7" s="73"/>
      <c r="H7" s="73" t="s">
        <v>134</v>
      </c>
      <c r="I7" s="102"/>
      <c r="J7" s="141" t="s">
        <v>135</v>
      </c>
      <c r="K7" s="141" t="s">
        <v>136</v>
      </c>
      <c r="L7" s="121" t="s">
        <v>133</v>
      </c>
      <c r="M7" s="140">
        <v>61.8</v>
      </c>
      <c r="N7" s="139">
        <v>13000</v>
      </c>
      <c r="O7" s="136">
        <f t="shared" ref="O7:O11" si="13">SUM(N7:N7)*M7*$O$2</f>
        <v>670839</v>
      </c>
      <c r="P7" s="135"/>
      <c r="Q7" s="136">
        <f t="shared" ref="Q7:Q12" si="14">(P7*M7)*$Q$2</f>
        <v>0</v>
      </c>
      <c r="R7" s="137"/>
      <c r="S7" s="136">
        <f t="shared" ref="S7:S12" si="15">R7*M7*$S$2</f>
        <v>0</v>
      </c>
      <c r="T7" s="137"/>
      <c r="U7" s="136">
        <f t="shared" ref="U7:U12" si="16">T7*M7*$U$2</f>
        <v>0</v>
      </c>
      <c r="V7" s="76">
        <f t="shared" ref="V7:V12" si="17">SUM(O7+Q7)+S7+U7</f>
        <v>670839</v>
      </c>
      <c r="W7" s="120"/>
      <c r="X7" s="77"/>
    </row>
    <row r="8" spans="1:24" s="150" customFormat="1" ht="38.1" customHeight="1">
      <c r="A8" s="72" t="str">
        <f t="shared" ref="A8:A12" si="18">F8&amp;G8&amp;H8&amp;I8</f>
        <v>E00000803071260401</v>
      </c>
      <c r="B8" s="105"/>
      <c r="C8" s="105"/>
      <c r="D8" s="105"/>
      <c r="E8" s="105"/>
      <c r="F8" s="102"/>
      <c r="G8" s="73" t="s">
        <v>112</v>
      </c>
      <c r="H8" s="73"/>
      <c r="I8" s="102"/>
      <c r="J8" s="141" t="s">
        <v>113</v>
      </c>
      <c r="K8" s="141" t="s">
        <v>149</v>
      </c>
      <c r="L8" s="74" t="s">
        <v>110</v>
      </c>
      <c r="M8" s="140">
        <v>1.0132000000000001</v>
      </c>
      <c r="N8" s="138"/>
      <c r="O8" s="136">
        <f t="shared" si="13"/>
        <v>0</v>
      </c>
      <c r="P8" s="135">
        <v>487076</v>
      </c>
      <c r="Q8" s="136">
        <f t="shared" si="14"/>
        <v>412077.01167200005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412077.01167200005</v>
      </c>
      <c r="W8" s="120"/>
      <c r="X8" s="77"/>
    </row>
    <row r="9" spans="1:24" s="150" customFormat="1" ht="38.1" customHeight="1">
      <c r="A9" s="72" t="str">
        <f t="shared" si="18"/>
        <v>M020412614110102</v>
      </c>
      <c r="B9" s="105"/>
      <c r="C9" s="105"/>
      <c r="D9" s="105"/>
      <c r="E9" s="105"/>
      <c r="F9" s="102"/>
      <c r="G9" s="73"/>
      <c r="H9" s="161" t="s">
        <v>127</v>
      </c>
      <c r="I9" s="102"/>
      <c r="J9" s="162" t="s">
        <v>126</v>
      </c>
      <c r="K9" s="162" t="s">
        <v>124</v>
      </c>
      <c r="L9" s="133" t="s">
        <v>123</v>
      </c>
      <c r="M9" s="140">
        <v>0.3</v>
      </c>
      <c r="N9" s="163">
        <v>65500</v>
      </c>
      <c r="O9" s="136">
        <f t="shared" si="13"/>
        <v>16407.75</v>
      </c>
      <c r="P9" s="135"/>
      <c r="Q9" s="136"/>
      <c r="R9" s="137"/>
      <c r="S9" s="136"/>
      <c r="T9" s="137"/>
      <c r="U9" s="136"/>
      <c r="V9" s="76">
        <f t="shared" si="17"/>
        <v>16407.75</v>
      </c>
      <c r="W9" s="120"/>
      <c r="X9" s="77"/>
    </row>
    <row r="10" spans="1:24" s="150" customFormat="1" ht="38.1" customHeight="1">
      <c r="A10" s="72" t="str">
        <f t="shared" si="18"/>
        <v>E00000803061120402</v>
      </c>
      <c r="B10" s="105"/>
      <c r="C10" s="105"/>
      <c r="D10" s="105"/>
      <c r="E10" s="105"/>
      <c r="F10" s="102"/>
      <c r="G10" s="73" t="s">
        <v>114</v>
      </c>
      <c r="H10" s="73"/>
      <c r="I10" s="102"/>
      <c r="J10" s="141" t="s">
        <v>115</v>
      </c>
      <c r="K10" s="141" t="s">
        <v>116</v>
      </c>
      <c r="L10" s="121" t="s">
        <v>121</v>
      </c>
      <c r="M10" s="140">
        <v>28</v>
      </c>
      <c r="N10" s="122"/>
      <c r="O10" s="75">
        <f t="shared" si="13"/>
        <v>0</v>
      </c>
      <c r="P10" s="132">
        <v>10432</v>
      </c>
      <c r="Q10" s="75">
        <f t="shared" si="14"/>
        <v>243900.16</v>
      </c>
      <c r="R10" s="76"/>
      <c r="S10" s="75">
        <f t="shared" si="15"/>
        <v>0</v>
      </c>
      <c r="T10" s="76"/>
      <c r="U10" s="75">
        <f t="shared" si="16"/>
        <v>0</v>
      </c>
      <c r="V10" s="76">
        <f t="shared" si="17"/>
        <v>243900.16</v>
      </c>
      <c r="W10" s="120"/>
      <c r="X10" s="77"/>
    </row>
    <row r="11" spans="1:24" s="150" customFormat="1" ht="38.1" customHeight="1">
      <c r="A11" s="72" t="str">
        <f t="shared" si="18"/>
        <v>E00000803061300201</v>
      </c>
      <c r="B11" s="105"/>
      <c r="C11" s="105"/>
      <c r="D11" s="105"/>
      <c r="E11" s="105"/>
      <c r="F11" s="102"/>
      <c r="G11" s="73" t="s">
        <v>118</v>
      </c>
      <c r="H11" s="73"/>
      <c r="I11" s="102"/>
      <c r="J11" s="141" t="s">
        <v>119</v>
      </c>
      <c r="K11" s="141" t="s">
        <v>120</v>
      </c>
      <c r="L11" s="121" t="s">
        <v>117</v>
      </c>
      <c r="M11" s="140">
        <v>28</v>
      </c>
      <c r="N11" s="122"/>
      <c r="O11" s="75">
        <f t="shared" si="13"/>
        <v>0</v>
      </c>
      <c r="P11" s="132">
        <v>6179</v>
      </c>
      <c r="Q11" s="75">
        <f t="shared" si="14"/>
        <v>144465.01999999999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144465.01999999999</v>
      </c>
      <c r="W11" s="120"/>
      <c r="X11" s="77"/>
    </row>
    <row r="12" spans="1:24" s="150" customFormat="1" ht="38.1" customHeight="1">
      <c r="A12" s="72" t="str">
        <f t="shared" si="18"/>
        <v>E00000801011510701</v>
      </c>
      <c r="B12" s="105"/>
      <c r="C12" s="105"/>
      <c r="D12" s="105"/>
      <c r="E12" s="105"/>
      <c r="F12" s="102"/>
      <c r="G12" s="73" t="s">
        <v>146</v>
      </c>
      <c r="H12" s="73"/>
      <c r="I12" s="102"/>
      <c r="J12" s="151" t="s">
        <v>137</v>
      </c>
      <c r="K12" s="151" t="s">
        <v>138</v>
      </c>
      <c r="L12" s="121" t="s">
        <v>139</v>
      </c>
      <c r="M12" s="140">
        <v>96</v>
      </c>
      <c r="N12" s="152"/>
      <c r="O12" s="75">
        <f t="shared" ref="O12" si="19">SUM(N12:N12)*M12*$O$2</f>
        <v>0</v>
      </c>
      <c r="P12" s="164">
        <v>4966</v>
      </c>
      <c r="Q12" s="75">
        <f t="shared" si="14"/>
        <v>398074.56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398074.56</v>
      </c>
      <c r="W12" s="120"/>
      <c r="X12" s="77"/>
    </row>
    <row r="13" spans="1:24" s="158" customFormat="1" ht="38.1" customHeight="1">
      <c r="A13" s="153"/>
      <c r="B13" s="154"/>
      <c r="C13" s="154"/>
      <c r="D13" s="154"/>
      <c r="E13" s="154"/>
      <c r="F13" s="154"/>
      <c r="G13" s="154"/>
      <c r="H13" s="154"/>
      <c r="I13" s="154"/>
      <c r="J13" s="144"/>
      <c r="K13" s="144"/>
      <c r="L13" s="154"/>
      <c r="M13" s="154"/>
      <c r="N13" s="154"/>
      <c r="O13" s="155">
        <f>SUM(O5:O12)</f>
        <v>883925.15500000003</v>
      </c>
      <c r="P13" s="156"/>
      <c r="Q13" s="155">
        <f>SUM(Q5:Q12)</f>
        <v>2842839.0554520003</v>
      </c>
      <c r="R13" s="156"/>
      <c r="S13" s="155">
        <f>SUM(S5:S12)</f>
        <v>0</v>
      </c>
      <c r="T13" s="156"/>
      <c r="U13" s="155">
        <f>SUM(U5:U12)</f>
        <v>0</v>
      </c>
      <c r="V13" s="157">
        <f>SUM(V5:V12)</f>
        <v>3726764.2104520001</v>
      </c>
      <c r="W13" s="108"/>
      <c r="X13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97" t="s">
        <v>54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</row>
    <row r="2" spans="1:15" ht="15" customHeight="1">
      <c r="A2" s="198" t="s">
        <v>55</v>
      </c>
      <c r="B2" s="199" t="s">
        <v>56</v>
      </c>
      <c r="C2" s="200" t="s">
        <v>42</v>
      </c>
      <c r="D2" s="200" t="s">
        <v>57</v>
      </c>
      <c r="E2" s="202" t="s">
        <v>58</v>
      </c>
      <c r="F2" s="199"/>
      <c r="G2" s="199" t="s">
        <v>59</v>
      </c>
      <c r="H2" s="199"/>
      <c r="I2" s="203" t="s">
        <v>60</v>
      </c>
      <c r="J2" s="204"/>
      <c r="K2" s="203" t="s">
        <v>61</v>
      </c>
      <c r="L2" s="204"/>
      <c r="M2" s="202" t="s">
        <v>62</v>
      </c>
      <c r="N2" s="199"/>
      <c r="O2" s="205" t="s">
        <v>63</v>
      </c>
    </row>
    <row r="3" spans="1:15" ht="15" customHeight="1">
      <c r="A3" s="198"/>
      <c r="B3" s="199"/>
      <c r="C3" s="201"/>
      <c r="D3" s="201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206"/>
    </row>
    <row r="4" spans="1:15" ht="15" customHeight="1">
      <c r="A4" s="195" t="s">
        <v>153</v>
      </c>
      <c r="B4" s="196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193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1" si="0">D5*E5</f>
        <v>89845</v>
      </c>
      <c r="G5" s="84">
        <v>8839.9</v>
      </c>
      <c r="H5" s="84">
        <f t="shared" ref="H5:H11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87" t="s">
        <v>128</v>
      </c>
    </row>
    <row r="6" spans="1:15" ht="15" customHeight="1">
      <c r="A6" s="194"/>
      <c r="B6" s="165" t="s">
        <v>70</v>
      </c>
      <c r="C6" s="166" t="s">
        <v>69</v>
      </c>
      <c r="D6" s="167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88"/>
    </row>
    <row r="7" spans="1:15" ht="15" customHeight="1">
      <c r="A7" s="194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ref="N7:N11" si="2">F7+H7+J7+L7</f>
        <v>376082.2</v>
      </c>
      <c r="O7" s="188"/>
    </row>
    <row r="8" spans="1:15" ht="15" customHeight="1">
      <c r="A8" s="194"/>
      <c r="B8" s="165" t="s">
        <v>72</v>
      </c>
      <c r="C8" s="166" t="s">
        <v>69</v>
      </c>
      <c r="D8" s="167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88"/>
    </row>
    <row r="9" spans="1:15" ht="15" customHeight="1">
      <c r="A9" s="194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88"/>
    </row>
    <row r="10" spans="1:15" ht="15" customHeight="1">
      <c r="A10" s="194"/>
      <c r="B10" s="165" t="s">
        <v>74</v>
      </c>
      <c r="C10" s="166" t="s">
        <v>69</v>
      </c>
      <c r="D10" s="167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88"/>
    </row>
    <row r="11" spans="1:15" ht="15" customHeight="1">
      <c r="A11" s="194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88"/>
    </row>
    <row r="12" spans="1:15" ht="15" customHeight="1">
      <c r="A12" s="194"/>
      <c r="B12" s="165" t="s">
        <v>76</v>
      </c>
      <c r="C12" s="166" t="s">
        <v>69</v>
      </c>
      <c r="D12" s="167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88"/>
    </row>
    <row r="13" spans="1:15" ht="15" customHeight="1">
      <c r="A13" s="109" t="s">
        <v>77</v>
      </c>
      <c r="B13" s="110"/>
      <c r="C13" s="111"/>
      <c r="D13" s="112">
        <f>SUM(D5:D12)</f>
        <v>186</v>
      </c>
      <c r="E13" s="113"/>
      <c r="F13" s="113">
        <f>SUM(F5:F12)</f>
        <v>196602</v>
      </c>
      <c r="G13" s="113"/>
      <c r="H13" s="113">
        <f>SUM(H5:H12)</f>
        <v>1644221.4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1840823.4</v>
      </c>
      <c r="O13" s="113"/>
    </row>
    <row r="14" spans="1:15" ht="15" customHeight="1">
      <c r="A14" s="189" t="s">
        <v>129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88"/>
    </row>
    <row r="15" spans="1:15" ht="15" customHeight="1">
      <c r="A15" s="189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88"/>
    </row>
    <row r="16" spans="1:15" ht="15" customHeight="1">
      <c r="A16" s="189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88"/>
    </row>
    <row r="17" spans="1:15" ht="15" customHeight="1">
      <c r="A17" s="190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1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125</v>
      </c>
      <c r="B20" s="134" t="s">
        <v>124</v>
      </c>
      <c r="C20" s="134" t="s">
        <v>123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192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192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192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192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140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122</v>
      </c>
      <c r="B28" s="86"/>
      <c r="C28" s="87"/>
      <c r="D28" s="97"/>
      <c r="E28" s="99"/>
      <c r="F28" s="100">
        <f>F13+F18+F25+F27</f>
        <v>883848.9</v>
      </c>
      <c r="G28" s="100"/>
      <c r="H28" s="100">
        <f>H13+H18+H25+H27</f>
        <v>2842781.98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3726630.88</v>
      </c>
      <c r="O28" s="99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F17" sqref="F17:F18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141</v>
      </c>
      <c r="B1" s="115" t="s">
        <v>142</v>
      </c>
      <c r="C1" s="115" t="s">
        <v>143</v>
      </c>
      <c r="D1" s="115" t="s">
        <v>144</v>
      </c>
      <c r="E1" s="115" t="s">
        <v>145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11.27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M020809012520101</v>
      </c>
      <c r="B4" s="117">
        <f>'내역서(표준단가)'!F7</f>
        <v>0</v>
      </c>
      <c r="C4" s="117">
        <f>'내역서(표준단가)'!G7</f>
        <v>0</v>
      </c>
      <c r="D4" s="117" t="str">
        <f>'내역서(표준단가)'!H7</f>
        <v>M020809012520101</v>
      </c>
      <c r="E4" s="117">
        <f>'내역서(표준단가)'!I7</f>
        <v>0</v>
      </c>
      <c r="F4" s="118">
        <f>'내역서(표준단가)'!M7</f>
        <v>61.8</v>
      </c>
    </row>
    <row r="5" spans="1:6">
      <c r="A5" s="116" t="str">
        <f>'내역서(표준단가)'!A8</f>
        <v>E00000803071260401</v>
      </c>
      <c r="B5" s="117">
        <f>'내역서(표준단가)'!F8</f>
        <v>0</v>
      </c>
      <c r="C5" s="117" t="str">
        <f>'내역서(표준단가)'!G8</f>
        <v>E00000803071260401</v>
      </c>
      <c r="D5" s="117">
        <f>'내역서(표준단가)'!H8</f>
        <v>0</v>
      </c>
      <c r="E5" s="117">
        <f>'내역서(표준단가)'!I8</f>
        <v>0</v>
      </c>
      <c r="F5" s="118">
        <f>'내역서(표준단가)'!M8</f>
        <v>1.0132000000000001</v>
      </c>
    </row>
    <row r="6" spans="1:6">
      <c r="A6" s="116" t="str">
        <f>'내역서(표준단가)'!A9</f>
        <v>M020412614110102</v>
      </c>
      <c r="B6" s="117">
        <f>'내역서(표준단가)'!F9</f>
        <v>0</v>
      </c>
      <c r="C6" s="117">
        <f>'내역서(표준단가)'!G9</f>
        <v>0</v>
      </c>
      <c r="D6" s="117" t="str">
        <f>'내역서(표준단가)'!H9</f>
        <v>M020412614110102</v>
      </c>
      <c r="E6" s="117">
        <f>'내역서(표준단가)'!I9</f>
        <v>0</v>
      </c>
      <c r="F6" s="118">
        <f>'내역서(표준단가)'!M9</f>
        <v>0.3</v>
      </c>
    </row>
    <row r="7" spans="1:6">
      <c r="A7" s="116" t="str">
        <f>'내역서(표준단가)'!A10</f>
        <v>E00000803061120402</v>
      </c>
      <c r="B7" s="117">
        <f>'내역서(표준단가)'!F10</f>
        <v>0</v>
      </c>
      <c r="C7" s="117" t="str">
        <f>'내역서(표준단가)'!G10</f>
        <v>E00000803061120402</v>
      </c>
      <c r="D7" s="117">
        <f>'내역서(표준단가)'!H10</f>
        <v>0</v>
      </c>
      <c r="E7" s="117">
        <f>'내역서(표준단가)'!I10</f>
        <v>0</v>
      </c>
      <c r="F7" s="118">
        <f>'내역서(표준단가)'!M10</f>
        <v>28</v>
      </c>
    </row>
    <row r="8" spans="1:6">
      <c r="A8" s="116" t="str">
        <f>'내역서(표준단가)'!A11</f>
        <v>E00000803061300201</v>
      </c>
      <c r="B8" s="117">
        <f>'내역서(표준단가)'!F11</f>
        <v>0</v>
      </c>
      <c r="C8" s="117" t="str">
        <f>'내역서(표준단가)'!G11</f>
        <v>E00000803061300201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E00000801011510701</v>
      </c>
      <c r="B9" s="117">
        <f>'내역서(표준단가)'!F12</f>
        <v>0</v>
      </c>
      <c r="C9" s="117" t="str">
        <f>'내역서(표준단가)'!G12</f>
        <v>E00000801011510701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L38" sqref="L38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2025-10-31T02:37:02Z</dcterms:modified>
</cp:coreProperties>
</file>
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3 사택 2-408 수장공사\"/>
    </mc:Choice>
  </mc:AlternateContent>
  <xr:revisionPtr revIDLastSave="0" documentId="13_ncr:1_{0281A0EC-A281-4BBE-82D3-E5FECA4584C1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7" i="9"/>
  <c r="Q6" i="9" s="1"/>
  <c r="D6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9" l="1"/>
  <c r="D11" i="9"/>
  <c r="U5" i="4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8" i="4"/>
  <c r="V6" i="4"/>
  <c r="A13" i="4" l="1"/>
  <c r="A10" i="1" s="1"/>
  <c r="F22" i="9"/>
  <c r="N22" i="9" s="1"/>
  <c r="F17" i="9"/>
  <c r="N17" i="9" s="1"/>
  <c r="O13" i="4"/>
  <c r="S13" i="4"/>
  <c r="U13" i="4"/>
  <c r="O10" i="4"/>
  <c r="V10" i="4" s="1"/>
  <c r="A10" i="4"/>
  <c r="A7" i="1" s="1"/>
  <c r="V13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N24" i="9"/>
  <c r="H15" i="9"/>
  <c r="N20" i="9"/>
  <c r="N25" i="9"/>
  <c r="F11" i="9"/>
  <c r="N14" i="9"/>
  <c r="H27" i="9"/>
  <c r="H11" i="9"/>
  <c r="N8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F16" i="5" s="1"/>
  <c r="F26" i="5" s="1"/>
  <c r="S19" i="4"/>
  <c r="F18" i="5" l="1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<sst xmlns="http://schemas.openxmlformats.org/spreadsheetml/2006/main" count="235" uniqueCount="170">
  <si>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</si>
  <si>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</si>
  <si>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</si>
  <si>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</si>
  <si>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</si>
  <si>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</si>
  <si>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</si>
  <si>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</si>
  <si>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</si>
  <si>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</si>
  <si>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</si>
  <si>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</si>
  <si>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</si>
  <si>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</si>
  <si>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</si>
  <si>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</si>
  <si>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</si>
  <si>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</si>
  <si>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</si>
  <si>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</si>
  <si>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</si>
  <si>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</si>
  <si>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</si>
  <si>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</si>
  <si>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</si>
  <si>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</si>
  <si>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</si>
  <si>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</si>
  <si>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</si>
  <si>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</si>
  <si>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</si>
  <si>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</si>
  <si>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</si>
  <si>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</si>
  <si>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</si>
  <si>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</si>
  <si>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</si>
  <si>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</si>
  <si>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</si>
  <si>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</si>
  <si>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</si>
  <si>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</si>
  <si>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</si>
  <si>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</si>
  <si>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</si>
  <si>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</si>
  <si>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</si>
  <si>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</si>
  <si>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</si>
  <si>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</si>
  <si>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</si>
  <si>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</si>
  <si>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</si>
  <si>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</si>
  <si>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</si>
  <si>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</si>
  <si>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</si>
  <si>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</si>
  <si>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</si>
  <si>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</si>
  <si>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</si>
  <si>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</si>
  <si>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</si>
  <si>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</si>
  <si>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</si>
  <si>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</si>
  <si>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</si>
  <si>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</si>
  <si>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</si>
  <si>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</si>
  <si>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</si>
  <si>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</si>
  <si>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</si>
  <si>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</si>
  <si>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</si>
  <si>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</si>
  <si>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</si>
  <si>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</si>
  <si>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</si>
  <si>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</si>
  <si>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</si>
  <si>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</si>
  <si>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</si>
  <si>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</si>
  <si>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</si>
  <si>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</si>
  <si>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</si>
  <si>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</si>
  <si>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</si>
  <si>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</si>
  <si>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</si>
  <si>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</si>
  <si>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</si>
  <si>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</si>
  <si>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</si>
  <si>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</si>
  <si>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</si>
  <si>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</si>
  <si>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</si>
  <si>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</si>
  <si>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</si>
  <si>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</si>
  <si>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</si>
  <si>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</si>
  <si>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</si>
  <si>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</si>
  <si>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</si>
  <si>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</si>
  <si>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</si>
  <si>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</si>
  <si>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</si>
  <si>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</si>
  <si>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</si>
  <si>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</si>
  <si>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</si>
  <si>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</si>
  <si>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</si>
  <si>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</si>
  <si>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</si>
  <si>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</si>
  <si>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</si>
  <si>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</si>
  <si>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</si>
  <si>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</si>
  <si>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</si>
  <si>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</si>
  <si>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</si>
  <si>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</si>
  <si>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</si>
  <si>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</si>
  <si>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</si>
  <si>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</si>
  <si>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</si>
  <si>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</si>
  <si>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</si>
  <si>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</si>
  <si>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</si>
  <si>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</si>
  <si>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</si>
  <si>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</si>
  <si>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</si>
  <si>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</si>
  <si>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</si>
  <si>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</si>
  <si>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</si>
  <si>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</si>
  <si>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</si>
  <si>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</si>
  <si>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</si>
  <si>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</si>
  <si>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</si>
  <si>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</si>
  <si>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</si>
  <si>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</si>
  <si>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</si>
  <si>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</si>
  <si>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</si>
  <si>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</si>
  <si>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</si>
  <si>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</si>
  <si>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</si>
  <si>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합지벽지 1R/L=93㎝(고정)×17.75m=16.51㎡, 소요량158/16.51=9.569R/L</t>
    <phoneticPr fontId="5" type="noConversion"/>
  </si>
  <si>
    <t xml:space="preserve"> 공사명 : 사택 2-408 수장공사</t>
    <phoneticPr fontId="11" type="noConversion"/>
  </si>
  <si>
    <t xml:space="preserve"> 견적일 : 2025 년  08월  04일</t>
    <phoneticPr fontId="11" type="noConversion"/>
  </si>
  <si>
    <t>사택 2-408 수장공사</t>
    <phoneticPr fontId="5" type="noConversion"/>
  </si>
  <si>
    <t>천정</t>
    <phoneticPr fontId="5" type="noConversion"/>
  </si>
  <si>
    <t>벽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</si>
  <si>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</t>
    </r>
    <r>
      <rPr>
        <sz val="10"/>
        <rFont val="LG스마트체 Regular"/>
        <family val="3"/>
        <charset val="129"/>
      </rPr>
      <t>/일당46=2.174</t>
    </r>
    <phoneticPr fontId="5" type="noConversion"/>
  </si>
  <si>
    <t>일당 시공량-천장 35㎡ 적산정보 500p 참조, 시공총량58/일당35=1.657</t>
    <phoneticPr fontId="5" type="noConversion"/>
  </si>
  <si>
    <t xml:space="preserve">앞,뒤베란다 걸레받이 및 벽면 부분도색(벽면, 천정 곰팡이제거포함),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</si>
</sst>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3" fontId="19" fillId="0" borderId="3" xfId="1" applyNumberFormat="1" applyFont="1" applyFill="1" applyBorder="1" applyAlignment="1">
      <alignment horizontal="center" vertical="center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180" fontId="22" fillId="0" borderId="16" xfId="6" applyNumberFormat="1" applyFont="1" applyBorder="1" applyAlignment="1">
      <alignment vertical="center"/>
    </xf>
    <xf numFmtId="177" fontId="20" fillId="0" borderId="0" xfId="1" applyFont="1">
      <alignment vertical="center"/>
    </xf>
    <xf numFmtId="193" fontId="27" fillId="0" borderId="3" xfId="1" applyNumberFormat="1" applyFont="1" applyFill="1" applyBorder="1" applyAlignment="1">
      <alignment horizontal="center" vertical="center"/>
    </xf>
    <xf numFmtId="185" fontId="28" fillId="0" borderId="31" xfId="13" applyNumberFormat="1" applyFont="1" applyFill="1" applyBorder="1" applyAlignment="1">
      <alignment horizontal="center" vertical="center"/>
    </xf>
    <xf numFmtId="177" fontId="28" fillId="0" borderId="31" xfId="13" applyFont="1" applyFill="1" applyBorder="1" applyAlignment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189" fontId="28" fillId="0" borderId="31" xfId="13" applyNumberFormat="1" applyFont="1" applyFill="1" applyBorder="1" applyAlignment="1">
      <alignment horizontal="center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91" fontId="24" fillId="0" borderId="31" xfId="13" applyNumberFormat="1" applyFont="1" applyBorder="1" applyAlignment="1">
      <alignment horizontal="center" vertical="center" wrapText="1"/>
    </xf>
    <xf numFmtId="194" fontId="28" fillId="0" borderId="31" xfId="13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186" fontId="29" fillId="0" borderId="31" xfId="13" applyNumberFormat="1" applyFont="1" applyFill="1" applyBorder="1" applyAlignment="1">
      <alignment horizontal="center" vertical="center"/>
    </xf>
    <xf numFmtId="193" fontId="30" fillId="0" borderId="3" xfId="1" applyNumberFormat="1" applyFont="1" applyFill="1" applyBorder="1" applyAlignment="1">
      <alignment horizontal="center" vertical="center"/>
    </xf>
    <xf numFmtId="185" fontId="28" fillId="7" borderId="31" xfId="13" applyNumberFormat="1" applyFont="1" applyFill="1" applyBorder="1" applyAlignment="1">
      <alignment horizontal="center" vertical="center"/>
    </xf>
    <xf numFmtId="177" fontId="28" fillId="7" borderId="31" xfId="13" applyFont="1" applyFill="1" applyBorder="1" applyAlignment="1">
      <alignment horizontal="center" vertical="center"/>
    </xf>
    <xf numFmtId="194" fontId="28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6" fontId="20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29" fillId="5" borderId="32" xfId="13" applyNumberFormat="1" applyFont="1" applyFill="1" applyBorder="1" applyAlignment="1">
      <alignment horizontal="center" vertical="center" wrapText="1"/>
    </xf>
    <xf numFmtId="183" fontId="29" fillId="5" borderId="36" xfId="13" applyNumberFormat="1" applyFont="1" applyFill="1" applyBorder="1" applyAlignment="1">
      <alignment horizontal="center" vertical="center" wrapText="1"/>
    </xf>
    <xf numFmtId="183" fontId="29" fillId="5" borderId="35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M18" sqref="M18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87" t="s">
        <v>6</v>
      </c>
      <c r="B2" s="187"/>
      <c r="C2" s="187"/>
      <c r="D2" s="187"/>
      <c r="E2" s="187"/>
      <c r="F2" s="187"/>
      <c r="G2" s="187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90" t="s">
        <v>162</v>
      </c>
      <c r="B7" s="191"/>
      <c r="C7" s="192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90" t="s">
        <v>163</v>
      </c>
      <c r="B9" s="191"/>
      <c r="C9" s="192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88"/>
      <c r="B11" s="189"/>
      <c r="C11" s="189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삼백육십육만칠천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622786.50349999999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2478736.8118000003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3101523.3153000004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111543.156531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87871.219978310008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11379.322987191146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25035.241799180003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88243.030500080014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148</v>
      </c>
      <c r="D26" s="30">
        <v>1</v>
      </c>
      <c r="E26" s="30" t="s">
        <v>25</v>
      </c>
      <c r="F26" s="43">
        <f>(F16+F17)*3.11%</f>
        <v>96457.375105830011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144963.30793507956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565492.65483667073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3667015.9701366713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3667000</v>
      </c>
      <c r="G31" s="159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AC14" sqref="AC14"/>
    </sheetView>
  </sheetViews>
  <sheetFormatPr defaultColWidth="9" defaultRowHeight="38.1" customHeight="1" x14ac:dyDescent="0.3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 x14ac:dyDescent="0.3">
      <c r="A1" s="193"/>
      <c r="B1" s="193"/>
      <c r="C1" s="193"/>
      <c r="D1" s="193"/>
      <c r="E1" s="193"/>
      <c r="F1" s="193"/>
      <c r="G1" s="193"/>
      <c r="H1" s="193"/>
      <c r="I1" s="193"/>
      <c r="N1" s="66"/>
      <c r="O1" s="135" t="s">
        <v>96</v>
      </c>
      <c r="Q1" s="135" t="s">
        <v>96</v>
      </c>
      <c r="S1" s="135" t="s">
        <v>96</v>
      </c>
      <c r="U1" s="135" t="s">
        <v>96</v>
      </c>
    </row>
    <row r="2" spans="1:24" ht="19.899999999999999" customHeight="1" thickBot="1" x14ac:dyDescent="0.35">
      <c r="A2" s="193"/>
      <c r="B2" s="193"/>
      <c r="C2" s="193"/>
      <c r="D2" s="193"/>
      <c r="E2" s="193"/>
      <c r="F2" s="193"/>
      <c r="G2" s="193"/>
      <c r="H2" s="193"/>
      <c r="I2" s="19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38"/>
      <c r="B3" s="139"/>
      <c r="C3" s="139"/>
      <c r="D3" s="139"/>
      <c r="E3" s="139"/>
      <c r="F3" s="139" t="s">
        <v>97</v>
      </c>
      <c r="G3" s="139"/>
      <c r="H3" s="139"/>
      <c r="I3" s="139"/>
      <c r="J3" s="204" t="s">
        <v>98</v>
      </c>
      <c r="K3" s="204"/>
      <c r="L3" s="202" t="s">
        <v>47</v>
      </c>
      <c r="M3" s="202" t="s">
        <v>5</v>
      </c>
      <c r="N3" s="198" t="s">
        <v>99</v>
      </c>
      <c r="O3" s="198"/>
      <c r="P3" s="198" t="s">
        <v>100</v>
      </c>
      <c r="Q3" s="198"/>
      <c r="R3" s="199" t="s">
        <v>101</v>
      </c>
      <c r="S3" s="199"/>
      <c r="T3" s="199" t="s">
        <v>102</v>
      </c>
      <c r="U3" s="199"/>
      <c r="V3" s="200" t="s">
        <v>103</v>
      </c>
      <c r="W3" s="196" t="s">
        <v>104</v>
      </c>
      <c r="X3" s="194" t="s">
        <v>45</v>
      </c>
    </row>
    <row r="4" spans="1:24" ht="19.899999999999999" customHeight="1" x14ac:dyDescent="0.3">
      <c r="A4" s="69" t="s">
        <v>105</v>
      </c>
      <c r="B4" s="136"/>
      <c r="C4" s="136"/>
      <c r="D4" s="136"/>
      <c r="E4" s="136"/>
      <c r="F4" s="70" t="s">
        <v>106</v>
      </c>
      <c r="G4" s="70" t="s">
        <v>107</v>
      </c>
      <c r="H4" s="70" t="s">
        <v>108</v>
      </c>
      <c r="I4" s="70" t="s">
        <v>109</v>
      </c>
      <c r="J4" s="133" t="s">
        <v>110</v>
      </c>
      <c r="K4" s="133" t="s">
        <v>111</v>
      </c>
      <c r="L4" s="203"/>
      <c r="M4" s="203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201"/>
      <c r="W4" s="197"/>
      <c r="X4" s="195"/>
    </row>
    <row r="5" spans="1:24" s="140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0"/>
      <c r="G5" s="74"/>
      <c r="H5" s="74" t="s">
        <v>149</v>
      </c>
      <c r="I5" s="100"/>
      <c r="J5" s="169" t="s">
        <v>150</v>
      </c>
      <c r="K5" s="170" t="s">
        <v>161</v>
      </c>
      <c r="L5" s="171" t="s">
        <v>158</v>
      </c>
      <c r="M5" s="161">
        <v>9.5690000000000008</v>
      </c>
      <c r="N5" s="150">
        <v>20900</v>
      </c>
      <c r="O5" s="128">
        <f t="shared" ref="O5" si="1">SUM(N5:N5)*M5*$O$2</f>
        <v>166993.40349999999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6">
        <f t="shared" ref="V5" si="5">SUM(O5+Q5)+S5+U5</f>
        <v>166993.40349999999</v>
      </c>
      <c r="W5" s="117"/>
      <c r="X5" s="77"/>
    </row>
    <row r="6" spans="1:24" s="140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69" t="s">
        <v>118</v>
      </c>
      <c r="K6" s="170" t="s">
        <v>167</v>
      </c>
      <c r="L6" s="169" t="s">
        <v>117</v>
      </c>
      <c r="M6" s="154">
        <v>2.1739999999999999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884184.19203999988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6">
        <f t="shared" ref="V6" si="11">SUM(O6+Q6)+S6+U6</f>
        <v>884184.19203999988</v>
      </c>
      <c r="W6" s="117"/>
      <c r="X6" s="77"/>
    </row>
    <row r="7" spans="1:24" s="140" customFormat="1" ht="38.1" customHeight="1" x14ac:dyDescent="0.3">
      <c r="A7" s="73" t="str">
        <f t="shared" ref="A7:A8" si="12">F7&amp;G7&amp;H7&amp;I7</f>
        <v>E00000803071260301</v>
      </c>
      <c r="B7" s="106"/>
      <c r="C7" s="106"/>
      <c r="D7" s="106"/>
      <c r="E7" s="106"/>
      <c r="F7" s="100"/>
      <c r="G7" s="74" t="s">
        <v>116</v>
      </c>
      <c r="H7" s="74"/>
      <c r="I7" s="100"/>
      <c r="J7" s="169" t="s">
        <v>119</v>
      </c>
      <c r="K7" s="170" t="s">
        <v>168</v>
      </c>
      <c r="L7" s="169" t="s">
        <v>117</v>
      </c>
      <c r="M7" s="154">
        <v>1.657</v>
      </c>
      <c r="N7" s="130"/>
      <c r="O7" s="128">
        <f t="shared" ref="O7:O17" si="13">SUM(N7:N7)*M7*$O$2</f>
        <v>0</v>
      </c>
      <c r="P7" s="127">
        <v>487076</v>
      </c>
      <c r="Q7" s="128">
        <f t="shared" ref="Q7:Q18" si="14">(P7*M7)*$Q$2</f>
        <v>673915.91821999999</v>
      </c>
      <c r="R7" s="129"/>
      <c r="S7" s="128">
        <f t="shared" ref="S7:S18" si="15">R7*M7*$S$2</f>
        <v>0</v>
      </c>
      <c r="T7" s="129"/>
      <c r="U7" s="128">
        <f t="shared" ref="U7:U18" si="16">T7*M7*$U$2</f>
        <v>0</v>
      </c>
      <c r="V7" s="76">
        <f t="shared" ref="V7:V18" si="17">SUM(O7+Q7)+S7+U7</f>
        <v>673915.91821999999</v>
      </c>
      <c r="W7" s="117"/>
      <c r="X7" s="77"/>
    </row>
    <row r="8" spans="1:24" s="140" customFormat="1" ht="38.1" customHeight="1" x14ac:dyDescent="0.3">
      <c r="A8" s="73" t="str">
        <f t="shared" si="12"/>
        <v>M020809012520101</v>
      </c>
      <c r="B8" s="106"/>
      <c r="C8" s="106"/>
      <c r="D8" s="106"/>
      <c r="E8" s="106"/>
      <c r="F8" s="100"/>
      <c r="G8" s="74"/>
      <c r="H8" s="74" t="s">
        <v>152</v>
      </c>
      <c r="I8" s="100"/>
      <c r="J8" s="169" t="s">
        <v>153</v>
      </c>
      <c r="K8" s="169" t="s">
        <v>154</v>
      </c>
      <c r="L8" s="172" t="s">
        <v>151</v>
      </c>
      <c r="M8" s="154">
        <v>39.6</v>
      </c>
      <c r="N8" s="131">
        <v>13000</v>
      </c>
      <c r="O8" s="128">
        <f t="shared" si="13"/>
        <v>429858</v>
      </c>
      <c r="P8" s="127"/>
      <c r="Q8" s="128">
        <f t="shared" si="14"/>
        <v>0</v>
      </c>
      <c r="R8" s="129"/>
      <c r="S8" s="128">
        <f t="shared" si="15"/>
        <v>0</v>
      </c>
      <c r="T8" s="129"/>
      <c r="U8" s="128">
        <f t="shared" si="16"/>
        <v>0</v>
      </c>
      <c r="V8" s="76">
        <f t="shared" si="17"/>
        <v>429858</v>
      </c>
      <c r="W8" s="117"/>
      <c r="X8" s="77"/>
    </row>
    <row r="9" spans="1:24" s="140" customFormat="1" ht="38.1" customHeight="1" x14ac:dyDescent="0.3">
      <c r="A9" s="73" t="str">
        <f t="shared" ref="A9:A18" si="18">F9&amp;G9&amp;H9&amp;I9</f>
        <v>E00000803071260401</v>
      </c>
      <c r="B9" s="106"/>
      <c r="C9" s="106"/>
      <c r="D9" s="106"/>
      <c r="E9" s="106"/>
      <c r="F9" s="100"/>
      <c r="G9" s="74" t="s">
        <v>120</v>
      </c>
      <c r="H9" s="74"/>
      <c r="I9" s="100"/>
      <c r="J9" s="169" t="s">
        <v>121</v>
      </c>
      <c r="K9" s="169" t="s">
        <v>159</v>
      </c>
      <c r="L9" s="169" t="s">
        <v>117</v>
      </c>
      <c r="M9" s="154">
        <v>0.64900000000000002</v>
      </c>
      <c r="N9" s="130"/>
      <c r="O9" s="128">
        <f t="shared" si="13"/>
        <v>0</v>
      </c>
      <c r="P9" s="127">
        <v>487076</v>
      </c>
      <c r="Q9" s="128">
        <f t="shared" si="14"/>
        <v>263953.79054000002</v>
      </c>
      <c r="R9" s="129"/>
      <c r="S9" s="128">
        <f t="shared" si="15"/>
        <v>0</v>
      </c>
      <c r="T9" s="129"/>
      <c r="U9" s="128">
        <f t="shared" si="16"/>
        <v>0</v>
      </c>
      <c r="V9" s="76">
        <f t="shared" si="17"/>
        <v>263953.79054000002</v>
      </c>
      <c r="W9" s="117"/>
      <c r="X9" s="77"/>
    </row>
    <row r="10" spans="1:24" s="140" customFormat="1" ht="38.1" customHeight="1" x14ac:dyDescent="0.3">
      <c r="A10" s="73" t="str">
        <f t="shared" si="18"/>
        <v>M020412614110102</v>
      </c>
      <c r="B10" s="106"/>
      <c r="C10" s="106"/>
      <c r="D10" s="106"/>
      <c r="E10" s="106"/>
      <c r="F10" s="100"/>
      <c r="G10" s="74"/>
      <c r="H10" s="151" t="s">
        <v>146</v>
      </c>
      <c r="I10" s="100"/>
      <c r="J10" s="173" t="s">
        <v>145</v>
      </c>
      <c r="K10" s="173" t="s">
        <v>140</v>
      </c>
      <c r="L10" s="174" t="s">
        <v>139</v>
      </c>
      <c r="M10" s="178">
        <v>0.2</v>
      </c>
      <c r="N10" s="152">
        <v>65500</v>
      </c>
      <c r="O10" s="128">
        <f t="shared" si="13"/>
        <v>10938.5</v>
      </c>
      <c r="P10" s="127"/>
      <c r="Q10" s="128"/>
      <c r="R10" s="129"/>
      <c r="S10" s="128"/>
      <c r="T10" s="129"/>
      <c r="U10" s="128"/>
      <c r="V10" s="76">
        <f t="shared" si="17"/>
        <v>10938.5</v>
      </c>
      <c r="W10" s="117"/>
      <c r="X10" s="77"/>
    </row>
    <row r="11" spans="1:24" s="140" customFormat="1" ht="38.1" customHeight="1" x14ac:dyDescent="0.3">
      <c r="A11" s="73" t="str">
        <f t="shared" si="18"/>
        <v>E00000803061120402</v>
      </c>
      <c r="B11" s="106"/>
      <c r="C11" s="106"/>
      <c r="D11" s="106"/>
      <c r="E11" s="106"/>
      <c r="F11" s="100"/>
      <c r="G11" s="74" t="s">
        <v>122</v>
      </c>
      <c r="H11" s="74"/>
      <c r="I11" s="100"/>
      <c r="J11" s="169" t="s">
        <v>123</v>
      </c>
      <c r="K11" s="170" t="s">
        <v>124</v>
      </c>
      <c r="L11" s="171" t="s">
        <v>137</v>
      </c>
      <c r="M11" s="161">
        <v>20</v>
      </c>
      <c r="N11" s="127"/>
      <c r="O11" s="128">
        <f t="shared" si="13"/>
        <v>0</v>
      </c>
      <c r="P11" s="127">
        <v>10432</v>
      </c>
      <c r="Q11" s="128">
        <f t="shared" si="14"/>
        <v>174214.39999999999</v>
      </c>
      <c r="R11" s="129"/>
      <c r="S11" s="128">
        <f t="shared" si="15"/>
        <v>0</v>
      </c>
      <c r="T11" s="129"/>
      <c r="U11" s="128">
        <f t="shared" si="16"/>
        <v>0</v>
      </c>
      <c r="V11" s="76">
        <f t="shared" si="17"/>
        <v>174214.39999999999</v>
      </c>
      <c r="W11" s="117"/>
      <c r="X11" s="77"/>
    </row>
    <row r="12" spans="1:24" s="140" customFormat="1" ht="38.1" customHeight="1" x14ac:dyDescent="0.3">
      <c r="A12" s="73" t="str">
        <f t="shared" si="18"/>
        <v>E00000803061300201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69" t="s">
        <v>127</v>
      </c>
      <c r="K12" s="170" t="s">
        <v>128</v>
      </c>
      <c r="L12" s="171" t="s">
        <v>125</v>
      </c>
      <c r="M12" s="161">
        <v>17.399999999999999</v>
      </c>
      <c r="N12" s="127"/>
      <c r="O12" s="128">
        <f t="shared" si="13"/>
        <v>0</v>
      </c>
      <c r="P12" s="127">
        <v>6179</v>
      </c>
      <c r="Q12" s="128">
        <f t="shared" si="14"/>
        <v>89774.690999999992</v>
      </c>
      <c r="R12" s="129"/>
      <c r="S12" s="128">
        <f t="shared" si="15"/>
        <v>0</v>
      </c>
      <c r="T12" s="129"/>
      <c r="U12" s="128">
        <f t="shared" si="16"/>
        <v>0</v>
      </c>
      <c r="V12" s="76">
        <f t="shared" si="17"/>
        <v>89774.690999999992</v>
      </c>
      <c r="W12" s="117"/>
      <c r="X12" s="77"/>
    </row>
    <row r="13" spans="1:24" s="140" customFormat="1" ht="38.1" customHeight="1" x14ac:dyDescent="0.3">
      <c r="A13" s="73" t="str">
        <f t="shared" si="18"/>
        <v>M020411810170101</v>
      </c>
      <c r="B13" s="106"/>
      <c r="C13" s="106"/>
      <c r="D13" s="106"/>
      <c r="E13" s="106"/>
      <c r="F13" s="100"/>
      <c r="G13" s="74"/>
      <c r="H13" s="151" t="s">
        <v>141</v>
      </c>
      <c r="I13" s="100"/>
      <c r="J13" s="173" t="s">
        <v>142</v>
      </c>
      <c r="K13" s="173" t="s">
        <v>143</v>
      </c>
      <c r="L13" s="174" t="s">
        <v>139</v>
      </c>
      <c r="M13" s="154">
        <v>0.2</v>
      </c>
      <c r="N13" s="152">
        <v>89800</v>
      </c>
      <c r="O13" s="128">
        <f t="shared" si="13"/>
        <v>14996.599999999999</v>
      </c>
      <c r="P13" s="127"/>
      <c r="Q13" s="128"/>
      <c r="R13" s="129"/>
      <c r="S13" s="128">
        <f t="shared" si="15"/>
        <v>0</v>
      </c>
      <c r="T13" s="129"/>
      <c r="U13" s="128">
        <f t="shared" si="16"/>
        <v>0</v>
      </c>
      <c r="V13" s="76">
        <f t="shared" si="17"/>
        <v>14996.599999999999</v>
      </c>
      <c r="W13" s="117"/>
      <c r="X13" s="77"/>
    </row>
    <row r="14" spans="1:24" s="140" customFormat="1" ht="38.1" customHeight="1" x14ac:dyDescent="0.3">
      <c r="A14" s="73" t="str">
        <f t="shared" si="18"/>
        <v>E00000803061120802</v>
      </c>
      <c r="B14" s="106"/>
      <c r="C14" s="106"/>
      <c r="D14" s="106"/>
      <c r="E14" s="106"/>
      <c r="F14" s="100"/>
      <c r="G14" s="74" t="s">
        <v>129</v>
      </c>
      <c r="H14" s="74"/>
      <c r="I14" s="100"/>
      <c r="J14" s="169" t="s">
        <v>130</v>
      </c>
      <c r="K14" s="169" t="s">
        <v>131</v>
      </c>
      <c r="L14" s="172" t="s">
        <v>125</v>
      </c>
      <c r="M14" s="154">
        <v>10</v>
      </c>
      <c r="N14" s="141"/>
      <c r="O14" s="75">
        <f t="shared" si="13"/>
        <v>0</v>
      </c>
      <c r="P14" s="142">
        <v>2422</v>
      </c>
      <c r="Q14" s="75">
        <f t="shared" si="14"/>
        <v>20223.7</v>
      </c>
      <c r="R14" s="76"/>
      <c r="S14" s="75">
        <f t="shared" si="15"/>
        <v>0</v>
      </c>
      <c r="T14" s="76"/>
      <c r="U14" s="75">
        <f t="shared" si="16"/>
        <v>0</v>
      </c>
      <c r="V14" s="76">
        <f t="shared" si="17"/>
        <v>20223.7</v>
      </c>
      <c r="W14" s="117"/>
      <c r="X14" s="77"/>
    </row>
    <row r="15" spans="1:24" s="140" customFormat="1" ht="38.1" customHeight="1" x14ac:dyDescent="0.3">
      <c r="A15" s="73" t="str">
        <f t="shared" si="18"/>
        <v>E00000803061300701</v>
      </c>
      <c r="B15" s="106"/>
      <c r="C15" s="106"/>
      <c r="D15" s="106"/>
      <c r="E15" s="106"/>
      <c r="F15" s="100"/>
      <c r="G15" s="74" t="s">
        <v>132</v>
      </c>
      <c r="H15" s="74"/>
      <c r="I15" s="100"/>
      <c r="J15" s="169" t="s">
        <v>133</v>
      </c>
      <c r="K15" s="169" t="s">
        <v>128</v>
      </c>
      <c r="L15" s="172" t="s">
        <v>125</v>
      </c>
      <c r="M15" s="154">
        <v>10</v>
      </c>
      <c r="N15" s="118"/>
      <c r="O15" s="75">
        <f t="shared" si="13"/>
        <v>0</v>
      </c>
      <c r="P15" s="142">
        <v>3756</v>
      </c>
      <c r="Q15" s="75">
        <f t="shared" si="14"/>
        <v>31362.6</v>
      </c>
      <c r="R15" s="76"/>
      <c r="S15" s="75">
        <f t="shared" si="15"/>
        <v>0</v>
      </c>
      <c r="T15" s="76"/>
      <c r="U15" s="75">
        <f t="shared" si="16"/>
        <v>0</v>
      </c>
      <c r="V15" s="76">
        <f t="shared" si="17"/>
        <v>31362.6</v>
      </c>
      <c r="W15" s="117"/>
      <c r="X15" s="77"/>
    </row>
    <row r="16" spans="1:24" s="140" customFormat="1" ht="38.1" customHeight="1" x14ac:dyDescent="0.3">
      <c r="A16" s="73" t="str">
        <f t="shared" si="18"/>
        <v>E00000803061120802</v>
      </c>
      <c r="B16" s="106"/>
      <c r="C16" s="106"/>
      <c r="D16" s="106"/>
      <c r="E16" s="106"/>
      <c r="F16" s="100"/>
      <c r="G16" s="74" t="s">
        <v>129</v>
      </c>
      <c r="H16" s="74"/>
      <c r="I16" s="100"/>
      <c r="J16" s="169" t="s">
        <v>134</v>
      </c>
      <c r="K16" s="169" t="s">
        <v>131</v>
      </c>
      <c r="L16" s="172" t="s">
        <v>125</v>
      </c>
      <c r="M16" s="154">
        <v>2</v>
      </c>
      <c r="N16" s="141"/>
      <c r="O16" s="75">
        <f t="shared" si="13"/>
        <v>0</v>
      </c>
      <c r="P16" s="142">
        <v>2422</v>
      </c>
      <c r="Q16" s="75">
        <f t="shared" si="14"/>
        <v>4044.74</v>
      </c>
      <c r="R16" s="76"/>
      <c r="S16" s="75">
        <f t="shared" si="15"/>
        <v>0</v>
      </c>
      <c r="T16" s="76"/>
      <c r="U16" s="75">
        <f t="shared" si="16"/>
        <v>0</v>
      </c>
      <c r="V16" s="76">
        <f t="shared" si="17"/>
        <v>4044.74</v>
      </c>
      <c r="W16" s="117"/>
      <c r="X16" s="77"/>
    </row>
    <row r="17" spans="1:24" s="140" customFormat="1" ht="38.1" customHeight="1" x14ac:dyDescent="0.3">
      <c r="A17" s="73" t="str">
        <f t="shared" si="18"/>
        <v>E00000803061300401</v>
      </c>
      <c r="B17" s="106"/>
      <c r="C17" s="106"/>
      <c r="D17" s="106"/>
      <c r="E17" s="106"/>
      <c r="F17" s="100"/>
      <c r="G17" s="74" t="s">
        <v>135</v>
      </c>
      <c r="H17" s="74"/>
      <c r="I17" s="100"/>
      <c r="J17" s="169" t="s">
        <v>136</v>
      </c>
      <c r="K17" s="169" t="s">
        <v>128</v>
      </c>
      <c r="L17" s="172" t="s">
        <v>125</v>
      </c>
      <c r="M17" s="154">
        <v>2</v>
      </c>
      <c r="N17" s="118"/>
      <c r="O17" s="75">
        <f t="shared" si="13"/>
        <v>0</v>
      </c>
      <c r="P17" s="142">
        <v>5677</v>
      </c>
      <c r="Q17" s="75">
        <f t="shared" si="14"/>
        <v>9480.59</v>
      </c>
      <c r="R17" s="76"/>
      <c r="S17" s="75">
        <f t="shared" si="15"/>
        <v>0</v>
      </c>
      <c r="T17" s="76"/>
      <c r="U17" s="75">
        <f t="shared" si="16"/>
        <v>0</v>
      </c>
      <c r="V17" s="76">
        <f t="shared" si="17"/>
        <v>9480.59</v>
      </c>
      <c r="W17" s="117"/>
      <c r="X17" s="77"/>
    </row>
    <row r="18" spans="1:24" s="140" customFormat="1" ht="38.1" customHeight="1" x14ac:dyDescent="0.3">
      <c r="A18" s="73" t="str">
        <f t="shared" si="18"/>
        <v>E00000801011510701</v>
      </c>
      <c r="B18" s="106"/>
      <c r="C18" s="106"/>
      <c r="D18" s="106"/>
      <c r="E18" s="106"/>
      <c r="F18" s="100"/>
      <c r="G18" s="74" t="s">
        <v>157</v>
      </c>
      <c r="H18" s="74"/>
      <c r="I18" s="100"/>
      <c r="J18" s="175" t="s">
        <v>155</v>
      </c>
      <c r="K18" s="175" t="s">
        <v>160</v>
      </c>
      <c r="L18" s="176" t="s">
        <v>156</v>
      </c>
      <c r="M18" s="154">
        <v>79</v>
      </c>
      <c r="N18" s="141"/>
      <c r="O18" s="75">
        <f t="shared" ref="O18" si="19">SUM(N18:N18)*M18*$O$2</f>
        <v>0</v>
      </c>
      <c r="P18" s="153">
        <v>4966</v>
      </c>
      <c r="Q18" s="75">
        <f t="shared" si="14"/>
        <v>327582.19</v>
      </c>
      <c r="R18" s="76"/>
      <c r="S18" s="75">
        <f t="shared" si="15"/>
        <v>0</v>
      </c>
      <c r="T18" s="76"/>
      <c r="U18" s="75">
        <f t="shared" si="16"/>
        <v>0</v>
      </c>
      <c r="V18" s="76">
        <f t="shared" si="17"/>
        <v>327582.19</v>
      </c>
      <c r="W18" s="117"/>
      <c r="X18" s="77"/>
    </row>
    <row r="19" spans="1:24" s="148" customFormat="1" ht="38.1" customHeight="1" x14ac:dyDescent="0.3">
      <c r="A19" s="143"/>
      <c r="B19" s="144"/>
      <c r="C19" s="144"/>
      <c r="D19" s="144"/>
      <c r="E19" s="144"/>
      <c r="F19" s="144"/>
      <c r="G19" s="144"/>
      <c r="H19" s="144"/>
      <c r="I19" s="144"/>
      <c r="J19" s="134"/>
      <c r="K19" s="134"/>
      <c r="L19" s="144"/>
      <c r="M19" s="144"/>
      <c r="N19" s="144"/>
      <c r="O19" s="145">
        <f>SUM(O5:O18)</f>
        <v>622786.50349999999</v>
      </c>
      <c r="P19" s="146"/>
      <c r="Q19" s="145">
        <f>SUM(Q5:Q18)</f>
        <v>2478736.8118000003</v>
      </c>
      <c r="R19" s="146"/>
      <c r="S19" s="145">
        <f>SUM(S5:S18)</f>
        <v>0</v>
      </c>
      <c r="T19" s="146"/>
      <c r="U19" s="145">
        <f>SUM(U5:U18)</f>
        <v>0</v>
      </c>
      <c r="V19" s="147">
        <f>SUM(V5:V18)</f>
        <v>3101523.3153000004</v>
      </c>
      <c r="W19" s="109"/>
      <c r="X19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tabSelected="1" zoomScaleNormal="100" workbookViewId="0">
      <selection activeCell="P25" sqref="P25"/>
    </sheetView>
  </sheetViews>
  <sheetFormatPr defaultColWidth="9" defaultRowHeight="14.25" x14ac:dyDescent="0.3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7" ht="27" customHeight="1" x14ac:dyDescent="0.3">
      <c r="A1" s="217" t="s">
        <v>59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</row>
    <row r="2" spans="1:17" ht="15" customHeight="1" x14ac:dyDescent="0.3">
      <c r="A2" s="218" t="s">
        <v>60</v>
      </c>
      <c r="B2" s="219" t="s">
        <v>61</v>
      </c>
      <c r="C2" s="220" t="s">
        <v>47</v>
      </c>
      <c r="D2" s="220" t="s">
        <v>62</v>
      </c>
      <c r="E2" s="222" t="s">
        <v>63</v>
      </c>
      <c r="F2" s="219"/>
      <c r="G2" s="219" t="s">
        <v>64</v>
      </c>
      <c r="H2" s="219"/>
      <c r="I2" s="223" t="s">
        <v>65</v>
      </c>
      <c r="J2" s="224"/>
      <c r="K2" s="223" t="s">
        <v>66</v>
      </c>
      <c r="L2" s="224"/>
      <c r="M2" s="222" t="s">
        <v>67</v>
      </c>
      <c r="N2" s="219"/>
      <c r="O2" s="225" t="s">
        <v>68</v>
      </c>
    </row>
    <row r="3" spans="1:17" ht="15" customHeight="1" x14ac:dyDescent="0.3">
      <c r="A3" s="218"/>
      <c r="B3" s="219"/>
      <c r="C3" s="221"/>
      <c r="D3" s="221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26"/>
    </row>
    <row r="4" spans="1:17" ht="15" customHeight="1" x14ac:dyDescent="0.3">
      <c r="A4" s="215" t="s">
        <v>164</v>
      </c>
      <c r="B4" s="21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7" ht="15" customHeight="1" x14ac:dyDescent="0.3">
      <c r="A5" s="206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08"/>
      <c r="P5" s="78" t="s">
        <v>165</v>
      </c>
      <c r="Q5" s="186">
        <f>D6+D8+D10</f>
        <v>58.2</v>
      </c>
    </row>
    <row r="6" spans="1:17" ht="15" customHeight="1" x14ac:dyDescent="0.3">
      <c r="A6" s="207"/>
      <c r="B6" s="162" t="s">
        <v>75</v>
      </c>
      <c r="C6" s="163" t="s">
        <v>74</v>
      </c>
      <c r="D6" s="177">
        <f>37-2.8</f>
        <v>34.200000000000003</v>
      </c>
      <c r="E6" s="83">
        <v>1057</v>
      </c>
      <c r="F6" s="83">
        <f t="shared" si="0"/>
        <v>36149.4</v>
      </c>
      <c r="G6" s="83">
        <v>11617.4</v>
      </c>
      <c r="H6" s="83">
        <f t="shared" si="1"/>
        <v>397315.08</v>
      </c>
      <c r="I6" s="83"/>
      <c r="J6" s="83"/>
      <c r="K6" s="83"/>
      <c r="L6" s="83"/>
      <c r="M6" s="83"/>
      <c r="N6" s="83">
        <f t="shared" ref="N6:N10" si="2">F6+H6+J6+L6</f>
        <v>433464.48000000004</v>
      </c>
      <c r="O6" s="209"/>
      <c r="P6" s="78" t="s">
        <v>166</v>
      </c>
      <c r="Q6" s="186">
        <f>D5+D7+D9</f>
        <v>99.7</v>
      </c>
    </row>
    <row r="7" spans="1:17" ht="15" customHeight="1" x14ac:dyDescent="0.3">
      <c r="A7" s="207"/>
      <c r="B7" s="162" t="s">
        <v>76</v>
      </c>
      <c r="C7" s="163" t="s">
        <v>74</v>
      </c>
      <c r="D7" s="177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si="2"/>
        <v>244453.43</v>
      </c>
      <c r="O7" s="209"/>
    </row>
    <row r="8" spans="1:17" ht="15" customHeight="1" x14ac:dyDescent="0.3">
      <c r="A8" s="207"/>
      <c r="B8" s="155" t="s">
        <v>77</v>
      </c>
      <c r="C8" s="156" t="s">
        <v>74</v>
      </c>
      <c r="D8" s="157">
        <v>12</v>
      </c>
      <c r="E8" s="83">
        <v>1057</v>
      </c>
      <c r="F8" s="83">
        <f t="shared" si="0"/>
        <v>12684</v>
      </c>
      <c r="G8" s="83">
        <v>11617.4</v>
      </c>
      <c r="H8" s="83">
        <f t="shared" si="1"/>
        <v>139408.79999999999</v>
      </c>
      <c r="I8" s="83"/>
      <c r="J8" s="83"/>
      <c r="K8" s="83"/>
      <c r="L8" s="83"/>
      <c r="M8" s="83"/>
      <c r="N8" s="83">
        <f t="shared" si="2"/>
        <v>152092.79999999999</v>
      </c>
      <c r="O8" s="209"/>
    </row>
    <row r="9" spans="1:17" ht="15" customHeight="1" x14ac:dyDescent="0.3">
      <c r="A9" s="207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09"/>
    </row>
    <row r="10" spans="1:17" ht="15" customHeight="1" x14ac:dyDescent="0.3">
      <c r="A10" s="207"/>
      <c r="B10" s="155" t="s">
        <v>79</v>
      </c>
      <c r="C10" s="156" t="s">
        <v>74</v>
      </c>
      <c r="D10" s="157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209"/>
    </row>
    <row r="11" spans="1:17" ht="15" customHeight="1" x14ac:dyDescent="0.3">
      <c r="A11" s="110" t="s">
        <v>80</v>
      </c>
      <c r="B11" s="111"/>
      <c r="C11" s="112"/>
      <c r="D11" s="116">
        <f>SUM(D5:D10)</f>
        <v>157.9</v>
      </c>
      <c r="E11" s="113"/>
      <c r="F11" s="113">
        <f>SUM(F5:F10)</f>
        <v>166900.29999999999</v>
      </c>
      <c r="G11" s="113"/>
      <c r="H11" s="113">
        <f>SUM(H5:H10)</f>
        <v>1557470.7100000002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1724371.01</v>
      </c>
      <c r="O11" s="113"/>
    </row>
    <row r="12" spans="1:17" ht="15" customHeight="1" x14ac:dyDescent="0.3">
      <c r="A12" s="210" t="s">
        <v>147</v>
      </c>
      <c r="B12" s="81" t="s">
        <v>81</v>
      </c>
      <c r="C12" s="82" t="s">
        <v>74</v>
      </c>
      <c r="D12" s="166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09"/>
    </row>
    <row r="13" spans="1:17" ht="15" customHeight="1" x14ac:dyDescent="0.3">
      <c r="A13" s="210"/>
      <c r="B13" s="81" t="s">
        <v>82</v>
      </c>
      <c r="C13" s="82" t="s">
        <v>74</v>
      </c>
      <c r="D13" s="167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09"/>
    </row>
    <row r="14" spans="1:17" ht="15" customHeight="1" x14ac:dyDescent="0.3">
      <c r="A14" s="210"/>
      <c r="B14" s="81" t="s">
        <v>83</v>
      </c>
      <c r="C14" s="82" t="s">
        <v>74</v>
      </c>
      <c r="D14" s="167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09"/>
    </row>
    <row r="15" spans="1:17" ht="15" customHeight="1" x14ac:dyDescent="0.3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7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58" t="s">
        <v>144</v>
      </c>
      <c r="B17" s="164" t="s">
        <v>140</v>
      </c>
      <c r="C17" s="164" t="s">
        <v>139</v>
      </c>
      <c r="D17" s="165">
        <v>0.2</v>
      </c>
      <c r="E17" s="83">
        <v>54693</v>
      </c>
      <c r="F17" s="119">
        <f>D17*E17</f>
        <v>10938.6</v>
      </c>
      <c r="G17" s="83"/>
      <c r="H17" s="83"/>
      <c r="I17" s="83"/>
      <c r="J17" s="83"/>
      <c r="K17" s="83"/>
      <c r="L17" s="83"/>
      <c r="M17" s="83"/>
      <c r="N17" s="120">
        <f t="shared" ref="N17:N26" si="4">F17+H17+J17+L17</f>
        <v>10938.6</v>
      </c>
      <c r="O17" s="212" t="s">
        <v>169</v>
      </c>
    </row>
    <row r="18" spans="1:15" ht="15" customHeight="1" x14ac:dyDescent="0.3">
      <c r="A18" s="211" t="s">
        <v>85</v>
      </c>
      <c r="B18" s="179" t="s">
        <v>86</v>
      </c>
      <c r="C18" s="180" t="s">
        <v>74</v>
      </c>
      <c r="D18" s="181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213"/>
    </row>
    <row r="19" spans="1:15" ht="15" customHeight="1" x14ac:dyDescent="0.3">
      <c r="A19" s="211"/>
      <c r="B19" s="162" t="s">
        <v>87</v>
      </c>
      <c r="C19" s="163" t="s">
        <v>74</v>
      </c>
      <c r="D19" s="168">
        <f>20-2.6</f>
        <v>17.399999999999999</v>
      </c>
      <c r="E19" s="120"/>
      <c r="F19" s="120">
        <f t="shared" ref="F19:F26" si="5">D19*E19</f>
        <v>0</v>
      </c>
      <c r="G19" s="120">
        <v>5159</v>
      </c>
      <c r="H19" s="120">
        <f t="shared" ref="H19:H24" si="6">D19*G19</f>
        <v>89766.599999999991</v>
      </c>
      <c r="I19" s="120"/>
      <c r="J19" s="120"/>
      <c r="K19" s="120"/>
      <c r="L19" s="120"/>
      <c r="M19" s="120"/>
      <c r="N19" s="120">
        <f t="shared" si="4"/>
        <v>89766.599999999991</v>
      </c>
      <c r="O19" s="213"/>
    </row>
    <row r="20" spans="1:15" ht="15" customHeight="1" x14ac:dyDescent="0.3">
      <c r="A20" s="205" t="s">
        <v>88</v>
      </c>
      <c r="B20" s="89" t="s">
        <v>86</v>
      </c>
      <c r="C20" s="90" t="s">
        <v>74</v>
      </c>
      <c r="D20" s="114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3"/>
    </row>
    <row r="21" spans="1:15" ht="15" customHeight="1" x14ac:dyDescent="0.3">
      <c r="A21" s="205"/>
      <c r="B21" s="183" t="s">
        <v>87</v>
      </c>
      <c r="C21" s="184" t="s">
        <v>74</v>
      </c>
      <c r="D21" s="185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213"/>
    </row>
    <row r="22" spans="1:15" ht="15" customHeight="1" x14ac:dyDescent="0.3">
      <c r="A22" s="126" t="s">
        <v>142</v>
      </c>
      <c r="B22" s="125" t="s">
        <v>143</v>
      </c>
      <c r="C22" s="125" t="s">
        <v>139</v>
      </c>
      <c r="D22" s="114">
        <v>0.2</v>
      </c>
      <c r="E22" s="83">
        <v>74987</v>
      </c>
      <c r="F22" s="120">
        <f t="shared" ref="F22:F24" si="7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si="4"/>
        <v>14997.400000000001</v>
      </c>
      <c r="O22" s="214"/>
    </row>
    <row r="23" spans="1:15" ht="15" customHeight="1" x14ac:dyDescent="0.3">
      <c r="A23" s="205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si="5"/>
        <v>0</v>
      </c>
      <c r="G23" s="83">
        <v>2022</v>
      </c>
      <c r="H23" s="83">
        <f t="shared" si="6"/>
        <v>20220</v>
      </c>
      <c r="I23" s="83"/>
      <c r="J23" s="83"/>
      <c r="K23" s="83"/>
      <c r="L23" s="119"/>
      <c r="M23" s="83"/>
      <c r="N23" s="119">
        <f t="shared" si="4"/>
        <v>20220</v>
      </c>
      <c r="O23" s="83"/>
    </row>
    <row r="24" spans="1:15" ht="15" customHeight="1" x14ac:dyDescent="0.3">
      <c r="A24" s="205"/>
      <c r="B24" s="89" t="s">
        <v>91</v>
      </c>
      <c r="C24" s="90" t="s">
        <v>74</v>
      </c>
      <c r="D24" s="91">
        <v>10</v>
      </c>
      <c r="E24" s="83"/>
      <c r="F24" s="83">
        <f t="shared" si="7"/>
        <v>0</v>
      </c>
      <c r="G24" s="83">
        <v>3136</v>
      </c>
      <c r="H24" s="83">
        <f t="shared" si="6"/>
        <v>31360</v>
      </c>
      <c r="I24" s="83"/>
      <c r="J24" s="83"/>
      <c r="K24" s="83"/>
      <c r="L24" s="119"/>
      <c r="M24" s="83"/>
      <c r="N24" s="119">
        <f t="shared" si="4"/>
        <v>31360</v>
      </c>
      <c r="O24" s="83"/>
    </row>
    <row r="25" spans="1:15" ht="15" customHeight="1" x14ac:dyDescent="0.3">
      <c r="A25" s="205" t="s">
        <v>92</v>
      </c>
      <c r="B25" s="89" t="s">
        <v>90</v>
      </c>
      <c r="C25" s="90" t="s">
        <v>74</v>
      </c>
      <c r="D25" s="91">
        <v>2</v>
      </c>
      <c r="E25" s="83"/>
      <c r="F25" s="83">
        <f t="shared" si="5"/>
        <v>0</v>
      </c>
      <c r="G25" s="83">
        <v>2022</v>
      </c>
      <c r="H25" s="83">
        <f>D25*G25</f>
        <v>4044</v>
      </c>
      <c r="I25" s="83"/>
      <c r="J25" s="83"/>
      <c r="K25" s="83"/>
      <c r="L25" s="119"/>
      <c r="M25" s="83"/>
      <c r="N25" s="119">
        <f t="shared" si="4"/>
        <v>4044</v>
      </c>
      <c r="O25" s="83"/>
    </row>
    <row r="26" spans="1:15" ht="15" customHeight="1" x14ac:dyDescent="0.3">
      <c r="A26" s="205"/>
      <c r="B26" s="89" t="s">
        <v>93</v>
      </c>
      <c r="C26" s="90" t="s">
        <v>74</v>
      </c>
      <c r="D26" s="91">
        <v>2</v>
      </c>
      <c r="E26" s="83"/>
      <c r="F26" s="83">
        <f t="shared" si="5"/>
        <v>0</v>
      </c>
      <c r="G26" s="83">
        <v>4740</v>
      </c>
      <c r="H26" s="83">
        <f t="shared" ref="H26" si="8">D26*G26</f>
        <v>9480</v>
      </c>
      <c r="I26" s="83"/>
      <c r="J26" s="83"/>
      <c r="K26" s="83"/>
      <c r="L26" s="119"/>
      <c r="M26" s="83"/>
      <c r="N26" s="119">
        <f t="shared" si="4"/>
        <v>9480</v>
      </c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25936</v>
      </c>
      <c r="G27" s="87"/>
      <c r="H27" s="87">
        <f>SUM(H16:H26)</f>
        <v>329090.59999999998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355026.60000000003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 x14ac:dyDescent="0.3">
      <c r="A30" s="101" t="s">
        <v>138</v>
      </c>
      <c r="B30" s="84"/>
      <c r="C30" s="85"/>
      <c r="D30" s="95"/>
      <c r="E30" s="97"/>
      <c r="F30" s="98">
        <f>F11+F15+F27+F29</f>
        <v>623779.80000000005</v>
      </c>
      <c r="G30" s="98"/>
      <c r="H30" s="98">
        <f>H11+H15+H27+H29</f>
        <v>2478897.8800000004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3102677.68</v>
      </c>
      <c r="O30" s="97"/>
    </row>
    <row r="36" spans="2:2" x14ac:dyDescent="0.3">
      <c r="B36" s="160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7:O2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A16" sqref="A16:XFD2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9.5690000000000008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2.1739999999999999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1.657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20</v>
      </c>
    </row>
    <row r="9" spans="1:6" x14ac:dyDescent="0.3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17.399999999999999</v>
      </c>
    </row>
    <row r="10" spans="1:6" x14ac:dyDescent="0.3">
      <c r="A10" s="104" t="str">
        <f>'내역서(표준단가)'!A13</f>
        <v>M020411810170101</v>
      </c>
      <c r="B10" s="105">
        <f>'내역서(표준단가)'!F13</f>
        <v>0</v>
      </c>
      <c r="C10" s="105">
        <f>'내역서(표준단가)'!G13</f>
        <v>0</v>
      </c>
      <c r="D10" s="105" t="str">
        <f>'내역서(표준단가)'!H13</f>
        <v>M020411810170101</v>
      </c>
      <c r="E10" s="105">
        <f>'내역서(표준단가)'!I13</f>
        <v>0</v>
      </c>
      <c r="F10" s="115">
        <f>'내역서(표준단가)'!M13</f>
        <v>0.2</v>
      </c>
    </row>
    <row r="11" spans="1:6" x14ac:dyDescent="0.3">
      <c r="A11" s="104" t="str">
        <f>'내역서(표준단가)'!A14</f>
        <v>E00000803061120802</v>
      </c>
      <c r="B11" s="105">
        <f>'내역서(표준단가)'!F14</f>
        <v>0</v>
      </c>
      <c r="C11" s="105" t="str">
        <f>'내역서(표준단가)'!G14</f>
        <v>E00000803061120802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10</v>
      </c>
    </row>
    <row r="12" spans="1:6" x14ac:dyDescent="0.3">
      <c r="A12" s="104" t="str">
        <f>'내역서(표준단가)'!A15</f>
        <v>E00000803061300701</v>
      </c>
      <c r="B12" s="105">
        <f>'내역서(표준단가)'!F15</f>
        <v>0</v>
      </c>
      <c r="C12" s="105" t="str">
        <f>'내역서(표준단가)'!G15</f>
        <v>E00000803061300701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10</v>
      </c>
    </row>
    <row r="13" spans="1:6" x14ac:dyDescent="0.3">
      <c r="A13" s="104" t="str">
        <f>'내역서(표준단가)'!A16</f>
        <v>E00000803061120802</v>
      </c>
      <c r="B13" s="105">
        <f>'내역서(표준단가)'!F16</f>
        <v>0</v>
      </c>
      <c r="C13" s="105" t="str">
        <f>'내역서(표준단가)'!G16</f>
        <v>E00000803061120802</v>
      </c>
      <c r="D13" s="105">
        <f>'내역서(표준단가)'!H16</f>
        <v>0</v>
      </c>
      <c r="E13" s="105">
        <f>'내역서(표준단가)'!I16</f>
        <v>0</v>
      </c>
      <c r="F13" s="115">
        <f>'내역서(표준단가)'!M16</f>
        <v>2</v>
      </c>
    </row>
    <row r="14" spans="1:6" x14ac:dyDescent="0.3">
      <c r="A14" s="104" t="str">
        <f>'내역서(표준단가)'!A17</f>
        <v>E00000803061300401</v>
      </c>
      <c r="B14" s="105">
        <f>'내역서(표준단가)'!F17</f>
        <v>0</v>
      </c>
      <c r="C14" s="105" t="str">
        <f>'내역서(표준단가)'!G17</f>
        <v>E00000803061300401</v>
      </c>
      <c r="D14" s="105">
        <f>'내역서(표준단가)'!H17</f>
        <v>0</v>
      </c>
      <c r="E14" s="105">
        <f>'내역서(표준단가)'!I17</f>
        <v>0</v>
      </c>
      <c r="F14" s="115">
        <f>'내역서(표준단가)'!M17</f>
        <v>2</v>
      </c>
    </row>
    <row r="15" spans="1:6" x14ac:dyDescent="0.3">
      <c r="A15" s="104" t="str">
        <f>'내역서(표준단가)'!A18</f>
        <v>E00000801011510701</v>
      </c>
      <c r="B15" s="105">
        <f>'내역서(표준단가)'!F18</f>
        <v>0</v>
      </c>
      <c r="C15" s="105" t="str">
        <f>'내역서(표준단가)'!G18</f>
        <v>E00000801011510701</v>
      </c>
      <c r="D15" s="105">
        <f>'내역서(표준단가)'!H18</f>
        <v>0</v>
      </c>
      <c r="E15" s="105">
        <f>'내역서(표준단가)'!I18</f>
        <v>0</v>
      </c>
      <c r="F15" s="115">
        <f>'내역서(표준단가)'!M18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2025-08-25T03:18:33Z</dcterms:modified>
</cp:coreProperties>
</file>
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0251002\04 PR당사안\"/>
    </mc:Choice>
  </mc:AlternateContent>
  <xr:revisionPtr revIDLastSave="0" documentId="13_ncr:1_{5ECA0B5C-5448-42D8-9727-9D1681798A08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20" r:id="rId1"/>
    <sheet name="내역서(표준단가)" sheetId="19" r:id="rId2"/>
    <sheet name="Upload" sheetId="1" r:id="rId3"/>
    <sheet name="Upload-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0" l="1"/>
  <c r="J21" i="20"/>
  <c r="J19" i="20"/>
  <c r="J18" i="20"/>
  <c r="J29" i="20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J24" i="20" l="1"/>
  <c r="J23" i="20"/>
  <c r="J26" i="20"/>
  <c r="J25" i="20"/>
  <c r="J27" i="20" s="1"/>
  <c r="J22" i="20"/>
  <c r="F2" i="1"/>
  <c r="E2" i="1"/>
  <c r="D2" i="1"/>
  <c r="C2" i="1"/>
  <c r="B2" i="1"/>
  <c r="J28" i="20" l="1"/>
  <c r="J20" i="20" s="1"/>
  <c r="U5" i="19"/>
  <c r="S5" i="19"/>
  <c r="Q5" i="19"/>
  <c r="Q12" i="19" s="1"/>
  <c r="O5" i="19"/>
  <c r="O12" i="19" s="1"/>
  <c r="A2" i="1"/>
  <c r="J30" i="20" l="1"/>
  <c r="U12" i="19"/>
  <c r="S12" i="19"/>
  <c r="V5" i="19"/>
  <c r="V12" i="19" s="1"/>
  <c r="M32" i="20" l="1"/>
  <c r="B1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<sst xmlns="http://schemas.openxmlformats.org/spreadsheetml/2006/main" count="168" uniqueCount="139">
  <si>
    <t>구분</t>
  </si>
  <si>
    <t>표준단가</t>
  </si>
  <si>
    <t>표준품셈</t>
  </si>
  <si>
    <t>물가정보</t>
  </si>
  <si>
    <t>노임단가</t>
  </si>
  <si>
    <t>수량</t>
  </si>
  <si>
    <t>단위</t>
  </si>
  <si>
    <t>식</t>
    <phoneticPr fontId="15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</si>
  <si>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</si>
  <si>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</si>
  <si>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</si>
  <si>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</si>
  <si>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</si>
  <si>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</si>
  <si>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</si>
  <si>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</si>
  <si>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</si>
  <si>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</si>
  <si>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</si>
  <si>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</si>
  <si>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</si>
  <si>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</si>
  <si>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</si>
  <si>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</si>
  <si>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10" type="noConversion"/>
  </si>
  <si>
    <t>시중가</t>
    <phoneticPr fontId="10" type="noConversion"/>
  </si>
  <si>
    <t>L003</t>
  </si>
  <si>
    <t>빨래건조대</t>
    <phoneticPr fontId="10" type="noConversion"/>
  </si>
  <si>
    <t>베란다 우수배관 트랩</t>
    <phoneticPr fontId="10" type="noConversion"/>
  </si>
  <si>
    <t>EA</t>
    <phoneticPr fontId="10" type="noConversion"/>
  </si>
  <si>
    <r>
      <rPr>
        <sz val="10"/>
        <color rgb="FF000000"/>
        <rFont val="돋움"/>
        <family val="3"/>
        <charset val="129"/>
      </rPr>
      <t>할증기준</t>
    </r>
    <phoneticPr fontId="10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</si>
  <si>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2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</si>
  <si>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10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</si>
  <si>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10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</si>
  <si>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</si>
  <si>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</si>
  <si>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</si>
  <si>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</si>
  <si>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</si>
  <si>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</si>
  <si>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</si>
  <si>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10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</si>
  <si>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</si>
  <si>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</si>
  <si>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10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</si>
  <si>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10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</si>
  <si>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</si>
  <si>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10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</si>
  <si>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</si>
  <si>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10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</si>
  <si>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</si>
  <si>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2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</si>
  <si>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</si>
  <si>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10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</si>
  <si>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</si>
  <si>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</si>
  <si>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</si>
  <si>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</si>
  <si>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</si>
  <si>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</si>
  <si>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</si>
  <si>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</si>
  <si>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</si>
  <si>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</si>
  <si>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</si>
  <si>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</si>
  <si>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</si>
  <si>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10" type="noConversion"/>
  </si>
  <si>
    <t>MFA, 1,000×1,000㎜, AL도장</t>
    <phoneticPr fontId="10" type="noConversion"/>
  </si>
  <si>
    <t>M020450310340103</t>
    <phoneticPr fontId="10" type="noConversion"/>
  </si>
  <si>
    <t>M2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</si>
  <si>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</si>
  <si>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</si>
  <si>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</si>
  <si>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</si>
  <si>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</si>
  <si>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</si>
  <si>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</si>
  <si>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</si>
  <si>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</si>
  <si>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</si>
  <si>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</si>
  <si>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</si>
  <si>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</si>
  <si>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</si>
  <si>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</si>
  <si>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</si>
  <si>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</si>
  <si>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</si>
  <si>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</si>
  <si>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</si>
  <si>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</si>
  <si>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</si>
  <si>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</si>
  <si>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</si>
  <si>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</si>
  <si>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</si>
  <si>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</si>
  <si>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</si>
  <si>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</si>
  <si>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</si>
  <si>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</si>
  <si>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</si>
  <si>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</si>
  <si>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</si>
  <si>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재료비</t>
    <phoneticPr fontId="12" type="noConversion"/>
  </si>
  <si>
    <t>노무비</t>
    <phoneticPr fontId="12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</si>
  <si>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</si>
  <si>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</si>
  <si>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</si>
  <si>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</si>
  <si>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</si>
  <si>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</si>
  <si>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</si>
  <si>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</si>
  <si>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</si>
  <si>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</si>
  <si>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</si>
  <si>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</si>
  <si>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</si>
  <si>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</si>
  <si>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</si>
  <si>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5" type="noConversion"/>
  </si>
  <si>
    <t>건강보험료*12.95%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</si>
  <si>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</si>
  <si>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</si>
  <si>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</si>
  <si>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</si>
  <si>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</si>
  <si>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</si>
  <si>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</si>
  <si>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</si>
  <si>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</si>
  <si>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</si>
  <si>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</si>
  <si>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</si>
  <si>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대전 업무지원팀 / 김규환님 귀하</t>
  </si>
  <si>
    <t>서 현</t>
    <phoneticPr fontId="15" type="noConversion"/>
  </si>
  <si>
    <t>기숙사 및 사택 긴급보수 작업(건축)-7차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</si>
</sst>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.00_);_(&quot;₩&quot;* \(#,##0.00\);_(&quot;₩&quot;* &quot;-&quot;??_);_(@_)"/>
    <numFmt numFmtId="179" formatCode="_ * #,##0_ ;_ * \-#,##0_ ;_ * &quot;-&quot;_ ;_ @_ "/>
    <numFmt numFmtId="180" formatCode="#"/>
    <numFmt numFmtId="181" formatCode="_-* #,##0.0_-;\-* #,##0.0_-;_-* &quot;-&quot;_-;_-@_-"/>
    <numFmt numFmtId="182" formatCode="#,###,###,###"/>
    <numFmt numFmtId="183" formatCode="0.0%"/>
    <numFmt numFmtId="184" formatCode="&quot;공사명:&quot;\ @"/>
    <numFmt numFmtId="185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49" fontId="9" fillId="2" borderId="0" xfId="0" applyNumberFormat="1" applyFont="1" applyFill="1" applyAlignment="1">
      <alignment horizontal="center" vertical="center" wrapText="1"/>
    </xf>
    <xf numFmtId="180" fontId="16" fillId="7" borderId="0" xfId="1" applyNumberFormat="1" applyFont="1" applyFill="1" applyBorder="1" applyAlignment="1">
      <alignment horizontal="center" vertical="center"/>
    </xf>
    <xf numFmtId="180" fontId="16" fillId="0" borderId="0" xfId="1" applyNumberFormat="1" applyFont="1" applyBorder="1" applyAlignment="1">
      <alignment horizontal="center" vertical="center"/>
    </xf>
    <xf numFmtId="176" fontId="22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5" fillId="0" borderId="0" xfId="1" applyFont="1" applyFill="1" applyBorder="1" applyAlignment="1">
      <alignment horizontal="center" vertical="center"/>
    </xf>
    <xf numFmtId="176" fontId="26" fillId="0" borderId="0" xfId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76" fontId="23" fillId="6" borderId="8" xfId="1" applyFont="1" applyFill="1" applyBorder="1" applyAlignment="1">
      <alignment horizontal="center" vertical="center" wrapText="1"/>
    </xf>
    <xf numFmtId="176" fontId="23" fillId="0" borderId="8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49" fontId="23" fillId="7" borderId="8" xfId="0" applyNumberFormat="1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7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3" fillId="0" borderId="9" xfId="0" applyFont="1" applyBorder="1" applyAlignment="1">
      <alignment horizontal="center" vertical="center"/>
    </xf>
    <xf numFmtId="176" fontId="25" fillId="5" borderId="8" xfId="1" applyFont="1" applyFill="1" applyBorder="1" applyAlignment="1">
      <alignment horizontal="center" vertical="center" wrapText="1"/>
    </xf>
    <xf numFmtId="49" fontId="25" fillId="5" borderId="8" xfId="0" applyNumberFormat="1" applyFont="1" applyFill="1" applyBorder="1" applyAlignment="1">
      <alignment horizontal="center" vertical="center" wrapText="1"/>
    </xf>
    <xf numFmtId="176" fontId="21" fillId="5" borderId="8" xfId="1" applyFont="1" applyFill="1" applyBorder="1" applyAlignment="1">
      <alignment horizontal="center" vertical="center"/>
    </xf>
    <xf numFmtId="182" fontId="23" fillId="0" borderId="8" xfId="0" applyNumberFormat="1" applyFont="1" applyBorder="1" applyAlignment="1">
      <alignment horizontal="right" vertical="center" wrapText="1"/>
    </xf>
    <xf numFmtId="9" fontId="23" fillId="0" borderId="8" xfId="0" applyNumberFormat="1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3" fontId="23" fillId="3" borderId="0" xfId="2" applyNumberFormat="1" applyFont="1" applyFill="1" applyAlignment="1">
      <alignment horizontal="center" vertical="center"/>
    </xf>
    <xf numFmtId="0" fontId="23" fillId="8" borderId="4" xfId="0" applyFont="1" applyFill="1" applyBorder="1">
      <alignment vertical="center"/>
    </xf>
    <xf numFmtId="0" fontId="23" fillId="8" borderId="5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8" xfId="25" applyFont="1" applyFill="1" applyBorder="1" applyAlignment="1">
      <alignment horizontal="center" vertical="center"/>
    </xf>
    <xf numFmtId="179" fontId="23" fillId="4" borderId="8" xfId="5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49" fontId="24" fillId="5" borderId="8" xfId="0" applyNumberFormat="1" applyFont="1" applyFill="1" applyBorder="1" applyAlignment="1">
      <alignment horizontal="center" vertical="center" wrapText="1"/>
    </xf>
    <xf numFmtId="0" fontId="27" fillId="9" borderId="0" xfId="0" applyFont="1" applyFill="1">
      <alignment vertical="center"/>
    </xf>
    <xf numFmtId="0" fontId="27" fillId="0" borderId="0" xfId="0" applyFont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49" fontId="25" fillId="0" borderId="8" xfId="0" applyNumberFormat="1" applyFont="1" applyBorder="1" applyAlignment="1">
      <alignment horizontal="center" vertical="center" wrapText="1"/>
    </xf>
    <xf numFmtId="181" fontId="21" fillId="0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49" fontId="39" fillId="5" borderId="8" xfId="0" applyNumberFormat="1" applyFont="1" applyFill="1" applyBorder="1" applyAlignment="1">
      <alignment horizontal="center" vertical="center" wrapText="1"/>
    </xf>
    <xf numFmtId="178" fontId="23" fillId="0" borderId="0" xfId="0" applyNumberFormat="1" applyFont="1">
      <alignment vertical="center"/>
    </xf>
    <xf numFmtId="176" fontId="23" fillId="0" borderId="0" xfId="1" applyFont="1">
      <alignment vertical="center"/>
    </xf>
    <xf numFmtId="0" fontId="41" fillId="0" borderId="0" xfId="29" applyFont="1">
      <alignment vertical="center"/>
    </xf>
    <xf numFmtId="0" fontId="40" fillId="0" borderId="13" xfId="28" applyFont="1" applyBorder="1" applyAlignment="1">
      <alignment horizontal="center" vertical="center"/>
    </xf>
    <xf numFmtId="0" fontId="40" fillId="0" borderId="0" xfId="28" applyFont="1" applyAlignment="1">
      <alignment horizontal="center" vertical="center"/>
    </xf>
    <xf numFmtId="0" fontId="40" fillId="0" borderId="14" xfId="28" applyFont="1" applyBorder="1" applyAlignment="1">
      <alignment horizontal="center" vertical="center"/>
    </xf>
    <xf numFmtId="0" fontId="43" fillId="0" borderId="13" xfId="28" applyFont="1" applyBorder="1" applyAlignment="1">
      <alignment horizontal="left" vertical="center"/>
    </xf>
    <xf numFmtId="0" fontId="44" fillId="0" borderId="0" xfId="28" applyFont="1" applyAlignment="1">
      <alignment vertical="center"/>
    </xf>
    <xf numFmtId="0" fontId="44" fillId="0" borderId="0" xfId="28" applyFont="1" applyAlignment="1">
      <alignment horizontal="left" vertical="center" textRotation="1"/>
    </xf>
    <xf numFmtId="0" fontId="45" fillId="0" borderId="0" xfId="28" applyFont="1" applyAlignment="1">
      <alignment horizontal="centerContinuous" vertical="center"/>
    </xf>
    <xf numFmtId="0" fontId="45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2"/>
    </xf>
    <xf numFmtId="0" fontId="41" fillId="0" borderId="15" xfId="28" applyFont="1" applyBorder="1" applyAlignment="1">
      <alignment vertical="center"/>
    </xf>
    <xf numFmtId="0" fontId="41" fillId="0" borderId="0" xfId="28" applyFont="1" applyAlignment="1">
      <alignment vertical="center"/>
    </xf>
    <xf numFmtId="0" fontId="45" fillId="0" borderId="14" xfId="28" applyFont="1" applyBorder="1" applyAlignment="1">
      <alignment horizontal="right" vertical="center"/>
    </xf>
    <xf numFmtId="0" fontId="46" fillId="0" borderId="13" xfId="28" applyFont="1" applyBorder="1" applyAlignment="1">
      <alignment vertical="center"/>
    </xf>
    <xf numFmtId="0" fontId="46" fillId="0" borderId="0" xfId="28" applyFont="1" applyAlignment="1">
      <alignment vertical="center"/>
    </xf>
    <xf numFmtId="0" fontId="45" fillId="0" borderId="0" xfId="28" applyFont="1" applyAlignment="1">
      <alignment horizontal="right" vertical="center"/>
    </xf>
    <xf numFmtId="0" fontId="46" fillId="0" borderId="14" xfId="28" applyFont="1" applyBorder="1" applyAlignment="1">
      <alignment vertical="center"/>
    </xf>
    <xf numFmtId="0" fontId="41" fillId="0" borderId="17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5" xfId="28" applyFont="1" applyBorder="1" applyAlignment="1">
      <alignment horizontal="center" vertical="center"/>
    </xf>
    <xf numFmtId="0" fontId="41" fillId="0" borderId="6" xfId="28" applyFont="1" applyBorder="1" applyAlignment="1">
      <alignment horizontal="center" vertical="center"/>
    </xf>
    <xf numFmtId="0" fontId="41" fillId="0" borderId="8" xfId="28" applyFont="1" applyBorder="1" applyAlignment="1">
      <alignment horizontal="center" vertical="center"/>
    </xf>
    <xf numFmtId="0" fontId="49" fillId="0" borderId="9" xfId="28" applyFont="1" applyBorder="1" applyAlignment="1">
      <alignment horizontal="center" vertical="center"/>
    </xf>
    <xf numFmtId="0" fontId="41" fillId="0" borderId="27" xfId="28" applyFont="1" applyBorder="1" applyAlignment="1">
      <alignment horizontal="center" vertical="center"/>
    </xf>
    <xf numFmtId="0" fontId="41" fillId="0" borderId="28" xfId="28" applyFont="1" applyBorder="1" applyAlignment="1">
      <alignment horizontal="center" vertical="center"/>
    </xf>
    <xf numFmtId="0" fontId="41" fillId="0" borderId="13" xfId="28" applyFont="1" applyBorder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Alignment="1">
      <alignment horizontal="left" vertical="center" indent="1"/>
    </xf>
    <xf numFmtId="0" fontId="45" fillId="0" borderId="0" xfId="28" applyFont="1" applyAlignment="1">
      <alignment vertical="center"/>
    </xf>
    <xf numFmtId="0" fontId="41" fillId="0" borderId="13" xfId="28" applyFont="1" applyBorder="1" applyAlignment="1">
      <alignment vertical="center"/>
    </xf>
    <xf numFmtId="0" fontId="41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1"/>
    </xf>
    <xf numFmtId="0" fontId="51" fillId="0" borderId="0" xfId="28" applyFont="1" applyAlignment="1">
      <alignment vertical="center"/>
    </xf>
    <xf numFmtId="0" fontId="51" fillId="12" borderId="29" xfId="28" applyFont="1" applyFill="1" applyBorder="1" applyAlignment="1">
      <alignment horizontal="center" vertical="center"/>
    </xf>
    <xf numFmtId="0" fontId="51" fillId="12" borderId="30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0" fontId="41" fillId="0" borderId="34" xfId="28" applyFont="1" applyBorder="1" applyAlignment="1">
      <alignment horizontal="center" vertical="center"/>
    </xf>
    <xf numFmtId="0" fontId="41" fillId="0" borderId="38" xfId="28" applyFont="1" applyBorder="1" applyAlignment="1">
      <alignment horizontal="center" vertical="center"/>
    </xf>
    <xf numFmtId="0" fontId="41" fillId="0" borderId="44" xfId="31" applyFont="1" applyBorder="1" applyAlignment="1">
      <alignment horizontal="center" vertical="center"/>
    </xf>
    <xf numFmtId="176" fontId="41" fillId="0" borderId="0" xfId="29" applyNumberFormat="1" applyFont="1">
      <alignment vertical="center"/>
    </xf>
    <xf numFmtId="0" fontId="41" fillId="0" borderId="48" xfId="31" applyFont="1" applyBorder="1" applyAlignment="1">
      <alignment horizontal="left" vertical="center" wrapText="1" indent="1"/>
    </xf>
    <xf numFmtId="0" fontId="45" fillId="0" borderId="53" xfId="31" applyFont="1" applyBorder="1" applyAlignment="1">
      <alignment horizontal="center" vertical="center"/>
    </xf>
    <xf numFmtId="185" fontId="45" fillId="0" borderId="53" xfId="31" applyNumberFormat="1" applyFont="1" applyBorder="1" applyAlignment="1">
      <alignment horizontal="center" vertical="center"/>
    </xf>
    <xf numFmtId="177" fontId="41" fillId="0" borderId="0" xfId="29" applyNumberFormat="1" applyFont="1">
      <alignment vertical="center"/>
    </xf>
    <xf numFmtId="2" fontId="45" fillId="0" borderId="55" xfId="31" applyNumberFormat="1" applyFont="1" applyBorder="1" applyAlignment="1">
      <alignment horizontal="center" vertical="center"/>
    </xf>
    <xf numFmtId="0" fontId="45" fillId="0" borderId="58" xfId="31" applyFont="1" applyBorder="1" applyAlignment="1">
      <alignment horizontal="center" vertical="center"/>
    </xf>
    <xf numFmtId="0" fontId="41" fillId="0" borderId="60" xfId="28" applyFont="1" applyBorder="1" applyAlignment="1">
      <alignment horizontal="center" vertical="center"/>
    </xf>
    <xf numFmtId="0" fontId="41" fillId="0" borderId="61" xfId="31" applyFont="1" applyBorder="1" applyAlignment="1">
      <alignment horizontal="left" vertical="center" wrapText="1" indent="1"/>
    </xf>
    <xf numFmtId="1" fontId="45" fillId="0" borderId="62" xfId="31" applyNumberFormat="1" applyFont="1" applyBorder="1" applyAlignment="1">
      <alignment horizontal="center" vertical="center"/>
    </xf>
    <xf numFmtId="0" fontId="45" fillId="0" borderId="62" xfId="31" applyFont="1" applyBorder="1" applyAlignment="1">
      <alignment horizontal="center" vertical="center"/>
    </xf>
    <xf numFmtId="0" fontId="45" fillId="0" borderId="66" xfId="31" applyFont="1" applyBorder="1" applyAlignment="1">
      <alignment horizontal="center" vertical="center"/>
    </xf>
    <xf numFmtId="176" fontId="41" fillId="0" borderId="0" xfId="32" applyFont="1">
      <alignment vertical="center"/>
    </xf>
    <xf numFmtId="176" fontId="55" fillId="13" borderId="31" xfId="28" applyNumberFormat="1" applyFont="1" applyFill="1" applyBorder="1" applyAlignment="1">
      <alignment horizontal="right" vertical="center"/>
    </xf>
    <xf numFmtId="0" fontId="55" fillId="13" borderId="31" xfId="28" applyFont="1" applyFill="1" applyBorder="1" applyAlignment="1">
      <alignment horizontal="right" vertical="center"/>
    </xf>
    <xf numFmtId="176" fontId="55" fillId="13" borderId="68" xfId="32" applyFont="1" applyFill="1" applyBorder="1" applyAlignment="1">
      <alignment horizontal="right" vertical="center"/>
    </xf>
    <xf numFmtId="179" fontId="41" fillId="0" borderId="0" xfId="34" applyFont="1" applyAlignment="1">
      <alignment vertical="center"/>
    </xf>
    <xf numFmtId="49" fontId="45" fillId="0" borderId="13" xfId="28" applyNumberFormat="1" applyFont="1" applyBorder="1" applyAlignment="1">
      <alignment horizontal="left" vertical="center" indent="1"/>
    </xf>
    <xf numFmtId="49" fontId="41" fillId="0" borderId="0" xfId="28" applyNumberFormat="1" applyFont="1" applyAlignment="1">
      <alignment vertical="center"/>
    </xf>
    <xf numFmtId="49" fontId="41" fillId="0" borderId="14" xfId="28" applyNumberFormat="1" applyFont="1" applyBorder="1" applyAlignment="1">
      <alignment vertical="center"/>
    </xf>
    <xf numFmtId="49" fontId="41" fillId="0" borderId="13" xfId="28" applyNumberFormat="1" applyFont="1" applyBorder="1" applyAlignment="1">
      <alignment vertical="center"/>
    </xf>
    <xf numFmtId="0" fontId="46" fillId="0" borderId="0" xfId="31" applyFont="1" applyAlignment="1">
      <alignment horizontal="left" vertical="center"/>
    </xf>
    <xf numFmtId="0" fontId="46" fillId="0" borderId="14" xfId="31" applyFont="1" applyBorder="1" applyAlignment="1">
      <alignment horizontal="left" vertical="center"/>
    </xf>
    <xf numFmtId="49" fontId="41" fillId="0" borderId="70" xfId="28" applyNumberFormat="1" applyFont="1" applyBorder="1" applyAlignment="1">
      <alignment vertical="center"/>
    </xf>
    <xf numFmtId="49" fontId="41" fillId="0" borderId="71" xfId="28" applyNumberFormat="1" applyFont="1" applyBorder="1" applyAlignment="1">
      <alignment vertical="center"/>
    </xf>
    <xf numFmtId="49" fontId="41" fillId="0" borderId="72" xfId="28" applyNumberFormat="1" applyFont="1" applyBorder="1" applyAlignment="1">
      <alignment vertical="center"/>
    </xf>
    <xf numFmtId="0" fontId="46" fillId="0" borderId="15" xfId="28" applyFont="1" applyFill="1" applyBorder="1" applyAlignment="1">
      <alignment vertical="center"/>
    </xf>
    <xf numFmtId="0" fontId="41" fillId="0" borderId="15" xfId="28" applyFont="1" applyFill="1" applyBorder="1" applyAlignment="1">
      <alignment vertical="center"/>
    </xf>
    <xf numFmtId="0" fontId="41" fillId="0" borderId="16" xfId="28" applyFont="1" applyFill="1" applyBorder="1" applyAlignment="1">
      <alignment horizontal="right" vertical="center"/>
    </xf>
    <xf numFmtId="0" fontId="41" fillId="0" borderId="17" xfId="28" applyFont="1" applyFill="1" applyBorder="1" applyAlignment="1">
      <alignment horizontal="center" vertical="center"/>
    </xf>
    <xf numFmtId="0" fontId="41" fillId="0" borderId="35" xfId="31" applyFont="1" applyFill="1" applyBorder="1" applyAlignment="1">
      <alignment horizontal="center" vertical="center"/>
    </xf>
    <xf numFmtId="0" fontId="41" fillId="0" borderId="37" xfId="31" applyFont="1" applyFill="1" applyBorder="1" applyAlignment="1">
      <alignment horizontal="center" vertical="center"/>
    </xf>
    <xf numFmtId="0" fontId="41" fillId="0" borderId="42" xfId="31" applyFont="1" applyFill="1" applyBorder="1" applyAlignment="1">
      <alignment horizontal="center" vertical="center"/>
    </xf>
    <xf numFmtId="0" fontId="45" fillId="0" borderId="49" xfId="31" applyFont="1" applyFill="1" applyBorder="1" applyAlignment="1">
      <alignment horizontal="center" vertical="center"/>
    </xf>
    <xf numFmtId="0" fontId="45" fillId="0" borderId="62" xfId="31" applyFont="1" applyBorder="1" applyAlignment="1">
      <alignment horizontal="left" vertical="center" wrapText="1" indent="1"/>
    </xf>
    <xf numFmtId="0" fontId="45" fillId="0" borderId="63" xfId="31" applyFont="1" applyBorder="1" applyAlignment="1">
      <alignment horizontal="left" vertical="center" wrapText="1" indent="1"/>
    </xf>
    <xf numFmtId="0" fontId="45" fillId="0" borderId="64" xfId="31" applyFont="1" applyBorder="1" applyAlignment="1">
      <alignment horizontal="left" vertical="center" wrapText="1" indent="1"/>
    </xf>
    <xf numFmtId="176" fontId="41" fillId="0" borderId="62" xfId="32" applyFont="1" applyFill="1" applyBorder="1" applyAlignment="1">
      <alignment horizontal="right" vertical="center"/>
    </xf>
    <xf numFmtId="176" fontId="41" fillId="0" borderId="63" xfId="32" applyFont="1" applyFill="1" applyBorder="1" applyAlignment="1">
      <alignment horizontal="right" vertical="center"/>
    </xf>
    <xf numFmtId="176" fontId="41" fillId="0" borderId="64" xfId="32" applyFont="1" applyFill="1" applyBorder="1" applyAlignment="1">
      <alignment horizontal="right" vertical="center"/>
    </xf>
    <xf numFmtId="176" fontId="41" fillId="0" borderId="62" xfId="33" applyFont="1" applyFill="1" applyBorder="1" applyAlignment="1">
      <alignment horizontal="left" vertical="center"/>
    </xf>
    <xf numFmtId="176" fontId="41" fillId="0" borderId="65" xfId="33" applyFont="1" applyFill="1" applyBorder="1" applyAlignment="1">
      <alignment horizontal="left" vertical="center"/>
    </xf>
    <xf numFmtId="0" fontId="55" fillId="13" borderId="67" xfId="28" applyFont="1" applyFill="1" applyBorder="1" applyAlignment="1">
      <alignment horizontal="center" vertical="center"/>
    </xf>
    <xf numFmtId="0" fontId="55" fillId="13" borderId="31" xfId="28" applyFont="1" applyFill="1" applyBorder="1" applyAlignment="1">
      <alignment horizontal="center" vertical="center"/>
    </xf>
    <xf numFmtId="0" fontId="55" fillId="13" borderId="68" xfId="28" applyFont="1" applyFill="1" applyBorder="1" applyAlignment="1">
      <alignment horizontal="center" vertical="center"/>
    </xf>
    <xf numFmtId="9" fontId="55" fillId="13" borderId="69" xfId="2" applyFont="1" applyFill="1" applyBorder="1" applyAlignment="1">
      <alignment horizontal="center" vertical="center"/>
    </xf>
    <xf numFmtId="9" fontId="55" fillId="13" borderId="33" xfId="2" applyFont="1" applyFill="1" applyBorder="1" applyAlignment="1">
      <alignment horizontal="center" vertical="center"/>
    </xf>
    <xf numFmtId="176" fontId="41" fillId="0" borderId="44" xfId="32" applyFont="1" applyFill="1" applyBorder="1" applyAlignment="1">
      <alignment horizontal="right" vertical="center"/>
    </xf>
    <xf numFmtId="176" fontId="41" fillId="0" borderId="45" xfId="32" applyFont="1" applyFill="1" applyBorder="1" applyAlignment="1">
      <alignment horizontal="right" vertical="center"/>
    </xf>
    <xf numFmtId="176" fontId="41" fillId="0" borderId="46" xfId="32" applyFont="1" applyFill="1" applyBorder="1" applyAlignment="1">
      <alignment horizontal="right" vertical="center"/>
    </xf>
    <xf numFmtId="176" fontId="41" fillId="0" borderId="44" xfId="33" applyFont="1" applyFill="1" applyBorder="1" applyAlignment="1">
      <alignment horizontal="left" vertical="center"/>
    </xf>
    <xf numFmtId="176" fontId="41" fillId="0" borderId="47" xfId="33" applyFont="1" applyFill="1" applyBorder="1" applyAlignment="1">
      <alignment horizontal="left" vertical="center"/>
    </xf>
    <xf numFmtId="176" fontId="54" fillId="0" borderId="62" xfId="33" applyFont="1" applyBorder="1" applyAlignment="1">
      <alignment horizontal="left" vertical="center"/>
    </xf>
    <xf numFmtId="176" fontId="54" fillId="0" borderId="65" xfId="33" applyFont="1" applyBorder="1" applyAlignment="1">
      <alignment horizontal="left" vertical="center"/>
    </xf>
    <xf numFmtId="0" fontId="45" fillId="0" borderId="55" xfId="31" applyFont="1" applyBorder="1" applyAlignment="1">
      <alignment horizontal="left" vertical="center" wrapText="1" indent="1"/>
    </xf>
    <xf numFmtId="0" fontId="45" fillId="0" borderId="56" xfId="31" applyFont="1" applyBorder="1" applyAlignment="1">
      <alignment horizontal="left" vertical="center" wrapText="1" indent="1"/>
    </xf>
    <xf numFmtId="0" fontId="45" fillId="0" borderId="57" xfId="31" applyFont="1" applyBorder="1" applyAlignment="1">
      <alignment horizontal="left" vertical="center" wrapText="1" indent="1"/>
    </xf>
    <xf numFmtId="176" fontId="41" fillId="0" borderId="55" xfId="32" applyFont="1" applyFill="1" applyBorder="1" applyAlignment="1">
      <alignment horizontal="right" vertical="center"/>
    </xf>
    <xf numFmtId="176" fontId="41" fillId="0" borderId="56" xfId="32" applyFont="1" applyFill="1" applyBorder="1" applyAlignment="1">
      <alignment horizontal="right" vertical="center"/>
    </xf>
    <xf numFmtId="176" fontId="41" fillId="0" borderId="57" xfId="32" applyFont="1" applyFill="1" applyBorder="1" applyAlignment="1">
      <alignment horizontal="right" vertical="center"/>
    </xf>
    <xf numFmtId="176" fontId="41" fillId="0" borderId="53" xfId="33" applyFont="1" applyFill="1" applyBorder="1" applyAlignment="1">
      <alignment horizontal="left" vertical="center"/>
    </xf>
    <xf numFmtId="176" fontId="41" fillId="0" borderId="21" xfId="33" applyFont="1" applyFill="1" applyBorder="1" applyAlignment="1">
      <alignment horizontal="left" vertical="center"/>
    </xf>
    <xf numFmtId="176" fontId="41" fillId="0" borderId="55" xfId="33" applyFont="1" applyFill="1" applyBorder="1" applyAlignment="1">
      <alignment horizontal="left" vertical="center"/>
    </xf>
    <xf numFmtId="176" fontId="41" fillId="0" borderId="59" xfId="33" applyFont="1" applyFill="1" applyBorder="1" applyAlignment="1">
      <alignment horizontal="left" vertical="center"/>
    </xf>
    <xf numFmtId="0" fontId="45" fillId="0" borderId="53" xfId="31" applyFont="1" applyBorder="1" applyAlignment="1">
      <alignment horizontal="left" vertical="center" wrapText="1" indent="1"/>
    </xf>
    <xf numFmtId="0" fontId="45" fillId="0" borderId="2" xfId="31" applyFont="1" applyBorder="1" applyAlignment="1">
      <alignment horizontal="left" vertical="center" wrapText="1" indent="1"/>
    </xf>
    <xf numFmtId="0" fontId="45" fillId="0" borderId="54" xfId="31" applyFont="1" applyBorder="1" applyAlignment="1">
      <alignment horizontal="left" vertical="center" wrapText="1" indent="1"/>
    </xf>
    <xf numFmtId="176" fontId="41" fillId="0" borderId="53" xfId="32" applyFont="1" applyFill="1" applyBorder="1" applyAlignment="1">
      <alignment horizontal="right" vertical="center"/>
    </xf>
    <xf numFmtId="176" fontId="41" fillId="0" borderId="2" xfId="32" applyFont="1" applyFill="1" applyBorder="1" applyAlignment="1">
      <alignment horizontal="right" vertical="center"/>
    </xf>
    <xf numFmtId="176" fontId="41" fillId="0" borderId="54" xfId="32" applyFont="1" applyFill="1" applyBorder="1" applyAlignment="1">
      <alignment horizontal="right" vertical="center"/>
    </xf>
    <xf numFmtId="0" fontId="45" fillId="0" borderId="49" xfId="31" applyFont="1" applyFill="1" applyBorder="1" applyAlignment="1">
      <alignment horizontal="left" vertical="center" wrapText="1" indent="1"/>
    </xf>
    <xf numFmtId="0" fontId="45" fillId="0" borderId="50" xfId="31" applyFont="1" applyFill="1" applyBorder="1" applyAlignment="1">
      <alignment horizontal="left" vertical="center" wrapText="1" indent="1"/>
    </xf>
    <xf numFmtId="0" fontId="45" fillId="0" borderId="51" xfId="31" applyFont="1" applyFill="1" applyBorder="1" applyAlignment="1">
      <alignment horizontal="left" vertical="center" wrapText="1" indent="1"/>
    </xf>
    <xf numFmtId="176" fontId="41" fillId="0" borderId="49" xfId="32" applyFont="1" applyFill="1" applyBorder="1" applyAlignment="1">
      <alignment horizontal="right" vertical="center"/>
    </xf>
    <xf numFmtId="176" fontId="41" fillId="0" borderId="50" xfId="32" applyFont="1" applyFill="1" applyBorder="1" applyAlignment="1">
      <alignment horizontal="right" vertical="center"/>
    </xf>
    <xf numFmtId="176" fontId="41" fillId="0" borderId="51" xfId="32" applyFont="1" applyFill="1" applyBorder="1" applyAlignment="1">
      <alignment horizontal="right" vertical="center"/>
    </xf>
    <xf numFmtId="176" fontId="41" fillId="0" borderId="49" xfId="33" applyFont="1" applyBorder="1" applyAlignment="1">
      <alignment horizontal="left" vertical="center"/>
    </xf>
    <xf numFmtId="176" fontId="41" fillId="0" borderId="52" xfId="33" applyFont="1" applyBorder="1" applyAlignment="1">
      <alignment horizontal="left" vertical="center"/>
    </xf>
    <xf numFmtId="0" fontId="41" fillId="0" borderId="39" xfId="31" applyFont="1" applyFill="1" applyBorder="1" applyAlignment="1">
      <alignment horizontal="center" vertical="center" wrapText="1"/>
    </xf>
    <xf numFmtId="0" fontId="41" fillId="0" borderId="40" xfId="31" applyFont="1" applyFill="1" applyBorder="1" applyAlignment="1">
      <alignment horizontal="center" vertical="center" wrapText="1"/>
    </xf>
    <xf numFmtId="0" fontId="41" fillId="0" borderId="41" xfId="31" applyFont="1" applyFill="1" applyBorder="1" applyAlignment="1">
      <alignment horizontal="center" vertical="center" wrapText="1"/>
    </xf>
    <xf numFmtId="176" fontId="41" fillId="0" borderId="39" xfId="32" applyFont="1" applyFill="1" applyBorder="1" applyAlignment="1">
      <alignment horizontal="right" vertical="center"/>
    </xf>
    <xf numFmtId="176" fontId="41" fillId="0" borderId="40" xfId="32" applyFont="1" applyFill="1" applyBorder="1" applyAlignment="1">
      <alignment horizontal="right" vertical="center"/>
    </xf>
    <xf numFmtId="176" fontId="41" fillId="0" borderId="41" xfId="32" applyFont="1" applyFill="1" applyBorder="1" applyAlignment="1">
      <alignment horizontal="right" vertical="center"/>
    </xf>
    <xf numFmtId="176" fontId="41" fillId="0" borderId="39" xfId="33" applyFont="1" applyBorder="1" applyAlignment="1">
      <alignment horizontal="left" vertical="center"/>
    </xf>
    <xf numFmtId="176" fontId="41" fillId="0" borderId="43" xfId="33" applyFont="1" applyBorder="1" applyAlignment="1">
      <alignment horizontal="left" vertical="center"/>
    </xf>
    <xf numFmtId="0" fontId="41" fillId="0" borderId="39" xfId="31" applyFont="1" applyBorder="1" applyAlignment="1">
      <alignment horizontal="center" vertical="center" wrapText="1"/>
    </xf>
    <xf numFmtId="0" fontId="41" fillId="0" borderId="40" xfId="31" applyFont="1" applyBorder="1" applyAlignment="1">
      <alignment horizontal="center" vertical="center" wrapText="1"/>
    </xf>
    <xf numFmtId="0" fontId="41" fillId="0" borderId="41" xfId="31" applyFont="1" applyBorder="1" applyAlignment="1">
      <alignment horizontal="center" vertical="center" wrapText="1"/>
    </xf>
    <xf numFmtId="176" fontId="41" fillId="0" borderId="44" xfId="32" applyFont="1" applyBorder="1" applyAlignment="1">
      <alignment horizontal="center" vertical="center"/>
    </xf>
    <xf numFmtId="176" fontId="41" fillId="0" borderId="45" xfId="32" applyFont="1" applyBorder="1" applyAlignment="1">
      <alignment horizontal="center" vertical="center"/>
    </xf>
    <xf numFmtId="176" fontId="41" fillId="0" borderId="46" xfId="32" applyFont="1" applyBorder="1" applyAlignment="1">
      <alignment horizontal="center" vertical="center"/>
    </xf>
    <xf numFmtId="176" fontId="41" fillId="0" borderId="44" xfId="33" applyFont="1" applyBorder="1" applyAlignment="1">
      <alignment horizontal="left" vertical="center"/>
    </xf>
    <xf numFmtId="176" fontId="41" fillId="0" borderId="47" xfId="33" applyFont="1" applyBorder="1" applyAlignment="1">
      <alignment horizontal="left" vertical="center"/>
    </xf>
    <xf numFmtId="0" fontId="52" fillId="11" borderId="0" xfId="30" applyFont="1" applyFill="1" applyAlignment="1">
      <alignment horizontal="left" vertical="center"/>
    </xf>
    <xf numFmtId="0" fontId="52" fillId="11" borderId="14" xfId="30" applyFont="1" applyFill="1" applyBorder="1" applyAlignment="1">
      <alignment horizontal="left" vertical="center"/>
    </xf>
    <xf numFmtId="0" fontId="41" fillId="0" borderId="0" xfId="28" applyFont="1" applyAlignment="1">
      <alignment horizontal="right" vertical="center"/>
    </xf>
    <xf numFmtId="0" fontId="41" fillId="0" borderId="14" xfId="28" applyFont="1" applyBorder="1" applyAlignment="1">
      <alignment horizontal="right" vertical="center"/>
    </xf>
    <xf numFmtId="0" fontId="41" fillId="0" borderId="35" xfId="31" applyFont="1" applyFill="1" applyBorder="1" applyAlignment="1">
      <alignment horizontal="center" vertical="center" wrapText="1"/>
    </xf>
    <xf numFmtId="0" fontId="41" fillId="0" borderId="17" xfId="31" applyFont="1" applyFill="1" applyBorder="1" applyAlignment="1">
      <alignment horizontal="center" vertical="center" wrapText="1"/>
    </xf>
    <xf numFmtId="0" fontId="41" fillId="0" borderId="36" xfId="31" applyFont="1" applyFill="1" applyBorder="1" applyAlignment="1">
      <alignment horizontal="center" vertical="center" wrapText="1"/>
    </xf>
    <xf numFmtId="176" fontId="41" fillId="0" borderId="37" xfId="32" applyFont="1" applyFill="1" applyBorder="1" applyAlignment="1">
      <alignment horizontal="right" vertical="center"/>
    </xf>
    <xf numFmtId="176" fontId="41" fillId="0" borderId="35" xfId="31" applyNumberFormat="1" applyFont="1" applyBorder="1" applyAlignment="1">
      <alignment horizontal="left" vertical="center"/>
    </xf>
    <xf numFmtId="176" fontId="41" fillId="0" borderId="18" xfId="31" applyNumberFormat="1" applyFont="1" applyBorder="1" applyAlignment="1">
      <alignment horizontal="left" vertical="center"/>
    </xf>
    <xf numFmtId="0" fontId="51" fillId="12" borderId="30" xfId="28" applyFont="1" applyFill="1" applyBorder="1" applyAlignment="1">
      <alignment horizontal="center" vertical="center"/>
    </xf>
    <xf numFmtId="0" fontId="51" fillId="12" borderId="31" xfId="28" applyFont="1" applyFill="1" applyBorder="1" applyAlignment="1">
      <alignment horizontal="center" vertical="center"/>
    </xf>
    <xf numFmtId="0" fontId="51" fillId="12" borderId="32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3" fontId="51" fillId="12" borderId="31" xfId="28" applyNumberFormat="1" applyFont="1" applyFill="1" applyBorder="1" applyAlignment="1">
      <alignment horizontal="center" vertical="center"/>
    </xf>
    <xf numFmtId="3" fontId="51" fillId="12" borderId="32" xfId="28" applyNumberFormat="1" applyFont="1" applyFill="1" applyBorder="1" applyAlignment="1">
      <alignment horizontal="center" vertical="center"/>
    </xf>
    <xf numFmtId="0" fontId="51" fillId="12" borderId="33" xfId="28" applyFont="1" applyFill="1" applyBorder="1" applyAlignment="1">
      <alignment horizontal="center" vertical="center"/>
    </xf>
    <xf numFmtId="184" fontId="50" fillId="11" borderId="0" xfId="28" applyNumberFormat="1" applyFont="1" applyFill="1" applyAlignment="1">
      <alignment horizontal="left" vertical="center"/>
    </xf>
    <xf numFmtId="0" fontId="40" fillId="0" borderId="10" xfId="28" applyFont="1" applyBorder="1" applyAlignment="1">
      <alignment horizontal="center" vertical="center"/>
    </xf>
    <xf numFmtId="0" fontId="40" fillId="0" borderId="11" xfId="28" applyFont="1" applyBorder="1" applyAlignment="1">
      <alignment horizontal="center" vertical="center"/>
    </xf>
    <xf numFmtId="0" fontId="40" fillId="0" borderId="12" xfId="28" applyFont="1" applyBorder="1" applyAlignment="1">
      <alignment horizontal="center" vertical="center"/>
    </xf>
    <xf numFmtId="0" fontId="42" fillId="0" borderId="13" xfId="28" applyFont="1" applyBorder="1" applyAlignment="1" applyProtection="1">
      <alignment horizontal="center" vertical="center"/>
      <protection locked="0"/>
    </xf>
    <xf numFmtId="0" fontId="42" fillId="0" borderId="0" xfId="28" applyFont="1" applyAlignment="1" applyProtection="1">
      <alignment horizontal="center" vertical="center"/>
      <protection locked="0"/>
    </xf>
    <xf numFmtId="0" fontId="42" fillId="0" borderId="14" xfId="28" applyFont="1" applyBorder="1" applyAlignment="1" applyProtection="1">
      <alignment horizontal="center" vertical="center"/>
      <protection locked="0"/>
    </xf>
    <xf numFmtId="0" fontId="41" fillId="10" borderId="16" xfId="28" applyFont="1" applyFill="1" applyBorder="1" applyAlignment="1">
      <alignment horizontal="center" vertical="center"/>
    </xf>
    <xf numFmtId="0" fontId="41" fillId="10" borderId="17" xfId="28" applyFont="1" applyFill="1" applyBorder="1" applyAlignment="1">
      <alignment horizontal="center" vertical="center"/>
    </xf>
    <xf numFmtId="0" fontId="41" fillId="10" borderId="18" xfId="28" applyFont="1" applyFill="1" applyBorder="1" applyAlignment="1">
      <alignment horizontal="center" vertical="center"/>
    </xf>
    <xf numFmtId="0" fontId="41" fillId="0" borderId="19" xfId="28" applyFont="1" applyBorder="1" applyAlignment="1">
      <alignment horizontal="center" vertical="center" wrapText="1"/>
    </xf>
    <xf numFmtId="0" fontId="41" fillId="0" borderId="22" xfId="28" applyFont="1" applyBorder="1" applyAlignment="1">
      <alignment horizontal="center" vertical="center"/>
    </xf>
    <xf numFmtId="0" fontId="41" fillId="0" borderId="26" xfId="28" applyFont="1" applyBorder="1" applyAlignment="1">
      <alignment horizontal="center" vertical="center"/>
    </xf>
    <xf numFmtId="0" fontId="41" fillId="0" borderId="20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21" xfId="28" applyFont="1" applyBorder="1" applyAlignment="1">
      <alignment horizontal="center" vertical="center"/>
    </xf>
    <xf numFmtId="0" fontId="48" fillId="0" borderId="20" xfId="28" applyFont="1" applyBorder="1" applyAlignment="1">
      <alignment horizontal="center" vertical="center"/>
    </xf>
    <xf numFmtId="0" fontId="46" fillId="0" borderId="2" xfId="28" applyFont="1" applyBorder="1" applyAlignment="1">
      <alignment horizontal="center" vertical="center"/>
    </xf>
    <xf numFmtId="0" fontId="46" fillId="0" borderId="3" xfId="28" applyFont="1" applyBorder="1" applyAlignment="1">
      <alignment horizontal="center" vertical="center"/>
    </xf>
    <xf numFmtId="0" fontId="48" fillId="0" borderId="1" xfId="28" applyFont="1" applyBorder="1" applyAlignment="1">
      <alignment horizontal="center" vertical="center"/>
    </xf>
    <xf numFmtId="0" fontId="46" fillId="0" borderId="21" xfId="28" applyFont="1" applyBorder="1" applyAlignment="1">
      <alignment horizontal="center" vertical="center"/>
    </xf>
    <xf numFmtId="0" fontId="41" fillId="0" borderId="20" xfId="28" applyFont="1" applyBorder="1" applyAlignment="1">
      <alignment horizontal="left" vertical="center" indent="1"/>
    </xf>
    <xf numFmtId="0" fontId="41" fillId="0" borderId="2" xfId="28" applyFont="1" applyBorder="1" applyAlignment="1">
      <alignment horizontal="left" vertical="center" indent="1"/>
    </xf>
    <xf numFmtId="0" fontId="41" fillId="0" borderId="21" xfId="28" applyFont="1" applyBorder="1" applyAlignment="1">
      <alignment horizontal="left" vertical="center" indent="1"/>
    </xf>
    <xf numFmtId="0" fontId="41" fillId="0" borderId="1" xfId="28" applyFont="1" applyBorder="1" applyAlignment="1">
      <alignment horizontal="center" vertical="center"/>
    </xf>
    <xf numFmtId="0" fontId="41" fillId="0" borderId="23" xfId="28" applyFont="1" applyBorder="1" applyAlignment="1">
      <alignment horizontal="center" vertical="center"/>
    </xf>
    <xf numFmtId="0" fontId="41" fillId="0" borderId="24" xfId="28" applyFont="1" applyBorder="1" applyAlignment="1">
      <alignment horizontal="center" vertical="center"/>
    </xf>
    <xf numFmtId="0" fontId="41" fillId="0" borderId="25" xfId="28" applyFont="1" applyBorder="1" applyAlignment="1">
      <alignment horizontal="center" vertical="center"/>
    </xf>
    <xf numFmtId="0" fontId="41" fillId="0" borderId="23" xfId="28" applyFont="1" applyBorder="1" applyAlignment="1">
      <alignment horizontal="left" vertical="center" indent="1"/>
    </xf>
    <xf numFmtId="0" fontId="41" fillId="0" borderId="24" xfId="28" applyFont="1" applyBorder="1" applyAlignment="1">
      <alignment horizontal="left" vertical="center" indent="1"/>
    </xf>
    <xf numFmtId="0" fontId="41" fillId="0" borderId="25" xfId="28" applyFont="1" applyBorder="1" applyAlignment="1">
      <alignment horizontal="left" vertical="center" indent="1"/>
    </xf>
    <xf numFmtId="176" fontId="36" fillId="0" borderId="0" xfId="1" applyFont="1" applyAlignment="1">
      <alignment vertical="center"/>
    </xf>
    <xf numFmtId="176" fontId="33" fillId="0" borderId="0" xfId="1" applyFont="1" applyAlignment="1">
      <alignment vertical="center"/>
    </xf>
    <xf numFmtId="176" fontId="34" fillId="0" borderId="0" xfId="1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5" xfId="3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5" xfId="25" applyFont="1" applyFill="1" applyBorder="1" applyAlignment="1">
      <alignment horizontal="center" vertical="center"/>
    </xf>
    <xf numFmtId="179" fontId="23" fillId="4" borderId="5" xfId="5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</cellXfs>
  <cellStyles count="36">
    <cellStyle name="백분율" xfId="2" builtinId="5"/>
    <cellStyle name="백분율 2" xfId="10" xr:uid="{00000000-0005-0000-0000-000001000000}"/>
    <cellStyle name="백분율 2 64" xfId="7" xr:uid="{00000000-0005-0000-0000-000002000000}"/>
    <cellStyle name="백분율 4" xfId="19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1" xr:uid="{00000000-0005-0000-0000-000007000000}"/>
    <cellStyle name="쉼표 [0] 2 2 2" xfId="23" xr:uid="{00000000-0005-0000-0000-000008000000}"/>
    <cellStyle name="쉼표 [0] 2 2 29" xfId="13" xr:uid="{00000000-0005-0000-0000-000009000000}"/>
    <cellStyle name="쉼표 [0] 2 2 29 2" xfId="33" xr:uid="{E932BA9D-804E-4F03-83DC-E95FB334DE9D}"/>
    <cellStyle name="쉼표 [0] 2 3" xfId="25" xr:uid="{00000000-0005-0000-0000-00000A000000}"/>
    <cellStyle name="쉼표 [0] 2 4" xfId="20" xr:uid="{00000000-0005-0000-0000-00000B000000}"/>
    <cellStyle name="쉼표 [0] 2 4 2" xfId="26" xr:uid="{00000000-0005-0000-0000-00000C000000}"/>
    <cellStyle name="쉼표 [0] 2 84" xfId="35" xr:uid="{7A9C8F36-1596-4F8C-8258-CF44FF01A26D}"/>
    <cellStyle name="쉼표 [0] 3" xfId="14" xr:uid="{00000000-0005-0000-0000-00000D000000}"/>
    <cellStyle name="쉼표 [0] 4" xfId="17" xr:uid="{00000000-0005-0000-0000-00000E000000}"/>
    <cellStyle name="쉼표 [0] 5" xfId="32" xr:uid="{46A13ABD-DD48-42EF-8C82-7BA4A3F095E8}"/>
    <cellStyle name="쉼표 [0] 5 2" xfId="34" xr:uid="{C2ADB941-8384-4A4F-A54E-A538191F6867}"/>
    <cellStyle name="표준" xfId="0" builtinId="0"/>
    <cellStyle name="표준 10 10 2" xfId="3" xr:uid="{00000000-0005-0000-0000-000011000000}"/>
    <cellStyle name="표준 10 2" xfId="29" xr:uid="{643CF07A-E70D-46D7-8ED4-9B483D841730}"/>
    <cellStyle name="표준 2" xfId="6" xr:uid="{00000000-0005-0000-0000-000012000000}"/>
    <cellStyle name="표준 2 10 5" xfId="8" xr:uid="{00000000-0005-0000-0000-000013000000}"/>
    <cellStyle name="표준 2 2" xfId="21" xr:uid="{00000000-0005-0000-0000-000014000000}"/>
    <cellStyle name="표준 3" xfId="15" xr:uid="{00000000-0005-0000-0000-000015000000}"/>
    <cellStyle name="표준 4" xfId="12" xr:uid="{00000000-0005-0000-0000-000016000000}"/>
    <cellStyle name="표준 4 2" xfId="27" xr:uid="{00000000-0005-0000-0000-000017000000}"/>
    <cellStyle name="표준 5" xfId="9" xr:uid="{00000000-0005-0000-0000-000018000000}"/>
    <cellStyle name="표준 5 2" xfId="22" xr:uid="{00000000-0005-0000-0000-000019000000}"/>
    <cellStyle name="표준 6" xfId="24" xr:uid="{00000000-0005-0000-0000-00001A000000}"/>
    <cellStyle name="표준 7" xfId="16" xr:uid="{00000000-0005-0000-0000-00001B000000}"/>
    <cellStyle name="표준 8" xfId="18" xr:uid="{00000000-0005-0000-0000-00001C000000}"/>
    <cellStyle name="표준_p1공장 외벽청소(08.03.17)" xfId="30" xr:uid="{43FE5EBE-13B7-43CC-9916-1728326E08A8}"/>
    <cellStyle name="표준_P456 공장 및 복지동 전면 유리창 청소건 라상혁님_1129(최종)" xfId="31" xr:uid="{C50434AF-5102-403F-98F1-96B2B950D7A4}"/>
    <cellStyle name="표준_S&amp;D_MAIN VALVE_최빈_2" xfId="28" xr:uid="{531DDBE0-E334-45EB-B250-178A503F498C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080558-C382-4408-A342-AD5507F22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8B43-D554-4786-971F-D6C3D85FFF3A}">
  <sheetPr>
    <tabColor rgb="FF0000FF"/>
  </sheetPr>
  <dimension ref="A1:Q43"/>
  <sheetViews>
    <sheetView tabSelected="1" view="pageBreakPreview" zoomScale="85" zoomScaleNormal="85" zoomScaleSheetLayoutView="85" workbookViewId="0">
      <selection activeCell="H14" sqref="H14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>
      <c r="A1" s="201"/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3"/>
    </row>
    <row r="2" spans="1:15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>
      <c r="A3" s="204" t="s">
        <v>71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</row>
    <row r="4" spans="1:15" ht="16.5" customHeight="1">
      <c r="A4" s="54" t="s">
        <v>72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>
      <c r="A5" s="59"/>
      <c r="B5" s="115" t="s">
        <v>136</v>
      </c>
      <c r="C5" s="115"/>
      <c r="D5" s="115"/>
      <c r="E5" s="115"/>
      <c r="F5" s="115"/>
      <c r="G5" s="116"/>
      <c r="H5" s="116"/>
      <c r="I5" s="60"/>
      <c r="J5" s="60"/>
      <c r="K5" s="60"/>
      <c r="L5" s="60"/>
      <c r="M5" s="61"/>
      <c r="N5" s="61"/>
      <c r="O5" s="62"/>
    </row>
    <row r="6" spans="1:15" ht="12" customHeight="1" thickBot="1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>
      <c r="A7" s="207" t="s">
        <v>73</v>
      </c>
      <c r="B7" s="208"/>
      <c r="C7" s="209"/>
      <c r="D7" s="117">
        <v>2025</v>
      </c>
      <c r="E7" s="67" t="s">
        <v>74</v>
      </c>
      <c r="F7" s="118">
        <v>10</v>
      </c>
      <c r="G7" s="67" t="s">
        <v>75</v>
      </c>
      <c r="H7" s="118">
        <v>2</v>
      </c>
      <c r="I7" s="67" t="s">
        <v>76</v>
      </c>
      <c r="J7" s="68"/>
      <c r="K7" s="210" t="s">
        <v>77</v>
      </c>
      <c r="L7" s="69" t="s">
        <v>78</v>
      </c>
      <c r="M7" s="69" t="s">
        <v>79</v>
      </c>
      <c r="N7" s="69" t="s">
        <v>80</v>
      </c>
      <c r="O7" s="70" t="s">
        <v>81</v>
      </c>
    </row>
    <row r="8" spans="1:15" ht="23.25" customHeight="1">
      <c r="A8" s="213" t="s">
        <v>82</v>
      </c>
      <c r="B8" s="214"/>
      <c r="C8" s="215"/>
      <c r="D8" s="216" t="s">
        <v>83</v>
      </c>
      <c r="E8" s="217"/>
      <c r="F8" s="217"/>
      <c r="G8" s="218"/>
      <c r="H8" s="219" t="s">
        <v>84</v>
      </c>
      <c r="I8" s="217"/>
      <c r="J8" s="220"/>
      <c r="K8" s="211"/>
      <c r="L8" s="71" t="s">
        <v>85</v>
      </c>
      <c r="M8" s="71" t="s">
        <v>86</v>
      </c>
      <c r="N8" s="71" t="s">
        <v>87</v>
      </c>
      <c r="O8" s="72" t="s">
        <v>137</v>
      </c>
    </row>
    <row r="9" spans="1:15" ht="23.25" customHeight="1">
      <c r="A9" s="213" t="s">
        <v>88</v>
      </c>
      <c r="B9" s="214"/>
      <c r="C9" s="215"/>
      <c r="D9" s="221" t="s">
        <v>89</v>
      </c>
      <c r="E9" s="222"/>
      <c r="F9" s="222"/>
      <c r="G9" s="222"/>
      <c r="H9" s="222"/>
      <c r="I9" s="222"/>
      <c r="J9" s="223"/>
      <c r="K9" s="211"/>
      <c r="L9" s="71" t="s">
        <v>90</v>
      </c>
      <c r="M9" s="224" t="s">
        <v>91</v>
      </c>
      <c r="N9" s="214"/>
      <c r="O9" s="215"/>
    </row>
    <row r="10" spans="1:15" ht="23.25" customHeight="1" thickBot="1">
      <c r="A10" s="225" t="s">
        <v>92</v>
      </c>
      <c r="B10" s="226"/>
      <c r="C10" s="227"/>
      <c r="D10" s="228" t="s">
        <v>93</v>
      </c>
      <c r="E10" s="229"/>
      <c r="F10" s="229"/>
      <c r="G10" s="229"/>
      <c r="H10" s="229"/>
      <c r="I10" s="229"/>
      <c r="J10" s="230"/>
      <c r="K10" s="212"/>
      <c r="L10" s="73" t="s">
        <v>94</v>
      </c>
      <c r="M10" s="73" t="s">
        <v>95</v>
      </c>
      <c r="N10" s="73" t="s">
        <v>96</v>
      </c>
      <c r="O10" s="74" t="s">
        <v>97</v>
      </c>
    </row>
    <row r="11" spans="1:15" ht="21.75" customHeight="1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>
      <c r="A13" s="81"/>
      <c r="B13" s="200" t="s">
        <v>138</v>
      </c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82" t="s">
        <v>98</v>
      </c>
      <c r="O13" s="80"/>
    </row>
    <row r="14" spans="1:15" ht="9" customHeight="1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>
      <c r="A15" s="81"/>
      <c r="B15" s="183" t="str">
        <f>"견 적 금 액 : 一金"&amp;NUMBERSTRING(M32,1) &amp; "원정""(\"&amp; TEXT(M32,"#,###")&amp;"원) [VAT 별도]"</f>
        <v>견 적 금 액 : 一金사백팔십구만칠천칠백원정"(\4,897,700원) [VAT 별도]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4"/>
    </row>
    <row r="16" spans="1:15" ht="15" thickBot="1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85"/>
      <c r="L16" s="185"/>
      <c r="M16" s="185"/>
      <c r="N16" s="185"/>
      <c r="O16" s="186"/>
    </row>
    <row r="17" spans="1:17" ht="27.75" customHeight="1" thickBot="1">
      <c r="A17" s="83" t="s">
        <v>99</v>
      </c>
      <c r="B17" s="193" t="s">
        <v>100</v>
      </c>
      <c r="C17" s="194"/>
      <c r="D17" s="194"/>
      <c r="E17" s="194"/>
      <c r="F17" s="194"/>
      <c r="G17" s="195"/>
      <c r="H17" s="84" t="s">
        <v>101</v>
      </c>
      <c r="I17" s="85" t="s">
        <v>102</v>
      </c>
      <c r="J17" s="196" t="s">
        <v>103</v>
      </c>
      <c r="K17" s="197"/>
      <c r="L17" s="197"/>
      <c r="M17" s="198"/>
      <c r="N17" s="193" t="s">
        <v>104</v>
      </c>
      <c r="O17" s="199"/>
    </row>
    <row r="18" spans="1:17" ht="28.5" customHeight="1">
      <c r="A18" s="86">
        <v>1</v>
      </c>
      <c r="B18" s="187" t="s">
        <v>105</v>
      </c>
      <c r="C18" s="188"/>
      <c r="D18" s="188"/>
      <c r="E18" s="188"/>
      <c r="F18" s="188"/>
      <c r="G18" s="189"/>
      <c r="H18" s="119">
        <v>1</v>
      </c>
      <c r="I18" s="120" t="s">
        <v>7</v>
      </c>
      <c r="J18" s="190">
        <f>IFERROR(LOOKUP(2, 1/(TRIM('내역서(표준단가)'!O4:O100)&lt;&gt;""), '내역서(표준단가)'!O4:O100), "-")</f>
        <v>437864</v>
      </c>
      <c r="K18" s="190"/>
      <c r="L18" s="190"/>
      <c r="M18" s="190"/>
      <c r="N18" s="191"/>
      <c r="O18" s="192"/>
    </row>
    <row r="19" spans="1:17" ht="28.5" customHeight="1">
      <c r="A19" s="87">
        <v>2</v>
      </c>
      <c r="B19" s="167" t="s">
        <v>106</v>
      </c>
      <c r="C19" s="168"/>
      <c r="D19" s="168"/>
      <c r="E19" s="168"/>
      <c r="F19" s="168"/>
      <c r="G19" s="169"/>
      <c r="H19" s="121">
        <v>1</v>
      </c>
      <c r="I19" s="121" t="s">
        <v>7</v>
      </c>
      <c r="J19" s="170">
        <f>IFERROR(LOOKUP(2, 1/(TRIM('내역서(표준단가)'!Q4:Q100)&lt;&gt;""), '내역서(표준단가)'!Q4:Q100), "-")</f>
        <v>3365014</v>
      </c>
      <c r="K19" s="171"/>
      <c r="L19" s="171"/>
      <c r="M19" s="172"/>
      <c r="N19" s="173"/>
      <c r="O19" s="174"/>
    </row>
    <row r="20" spans="1:17" ht="28.5" customHeight="1">
      <c r="A20" s="87">
        <v>3</v>
      </c>
      <c r="B20" s="175" t="s">
        <v>107</v>
      </c>
      <c r="C20" s="176"/>
      <c r="D20" s="176"/>
      <c r="E20" s="176"/>
      <c r="F20" s="176"/>
      <c r="G20" s="177"/>
      <c r="H20" s="88">
        <v>1</v>
      </c>
      <c r="I20" s="88" t="s">
        <v>7</v>
      </c>
      <c r="J20" s="178">
        <f>IFERROR(SUM(J21:M29),"-")</f>
        <v>558214.04404585005</v>
      </c>
      <c r="K20" s="179"/>
      <c r="L20" s="179"/>
      <c r="M20" s="180"/>
      <c r="N20" s="181"/>
      <c r="O20" s="182"/>
      <c r="P20" s="89"/>
    </row>
    <row r="21" spans="1:17" ht="28.5" customHeight="1">
      <c r="A21" s="86"/>
      <c r="B21" s="90"/>
      <c r="C21" s="159" t="s">
        <v>108</v>
      </c>
      <c r="D21" s="160"/>
      <c r="E21" s="160"/>
      <c r="F21" s="160"/>
      <c r="G21" s="161"/>
      <c r="H21" s="122">
        <v>1</v>
      </c>
      <c r="I21" s="122" t="s">
        <v>7</v>
      </c>
      <c r="J21" s="16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3"/>
      <c r="L21" s="163"/>
      <c r="M21" s="164"/>
      <c r="N21" s="165" t="s">
        <v>109</v>
      </c>
      <c r="O21" s="166"/>
    </row>
    <row r="22" spans="1:17" ht="28.5" customHeight="1">
      <c r="A22" s="86"/>
      <c r="B22" s="90"/>
      <c r="C22" s="153" t="s">
        <v>110</v>
      </c>
      <c r="D22" s="154"/>
      <c r="E22" s="154"/>
      <c r="F22" s="154"/>
      <c r="G22" s="155"/>
      <c r="H22" s="91">
        <v>3.11</v>
      </c>
      <c r="I22" s="91" t="s">
        <v>111</v>
      </c>
      <c r="J22" s="156">
        <f>IFERROR((J18+J19)*H22%,"-")</f>
        <v>118269.5058</v>
      </c>
      <c r="K22" s="157"/>
      <c r="L22" s="157"/>
      <c r="M22" s="158"/>
      <c r="N22" s="149" t="s">
        <v>112</v>
      </c>
      <c r="O22" s="150"/>
    </row>
    <row r="23" spans="1:17" ht="28.5" customHeight="1">
      <c r="A23" s="86"/>
      <c r="B23" s="90"/>
      <c r="C23" s="153" t="s">
        <v>113</v>
      </c>
      <c r="D23" s="154"/>
      <c r="E23" s="154"/>
      <c r="F23" s="154"/>
      <c r="G23" s="155"/>
      <c r="H23" s="91">
        <v>3.56</v>
      </c>
      <c r="I23" s="91" t="s">
        <v>114</v>
      </c>
      <c r="J23" s="156">
        <f>IFERROR(J19*H23%,"-")</f>
        <v>119794.4984</v>
      </c>
      <c r="K23" s="157"/>
      <c r="L23" s="157"/>
      <c r="M23" s="158"/>
      <c r="N23" s="149" t="s">
        <v>115</v>
      </c>
      <c r="O23" s="150"/>
    </row>
    <row r="24" spans="1:17" ht="28.5" customHeight="1">
      <c r="A24" s="86"/>
      <c r="B24" s="90"/>
      <c r="C24" s="153" t="s">
        <v>116</v>
      </c>
      <c r="D24" s="154"/>
      <c r="E24" s="154"/>
      <c r="F24" s="154"/>
      <c r="G24" s="155"/>
      <c r="H24" s="91">
        <v>1.01</v>
      </c>
      <c r="I24" s="91" t="s">
        <v>114</v>
      </c>
      <c r="J24" s="156">
        <f>IFERROR(J19*H24%,"-")</f>
        <v>33986.6414</v>
      </c>
      <c r="K24" s="157"/>
      <c r="L24" s="157"/>
      <c r="M24" s="158"/>
      <c r="N24" s="149" t="s">
        <v>117</v>
      </c>
      <c r="O24" s="150"/>
    </row>
    <row r="25" spans="1:17" ht="28.5" customHeight="1">
      <c r="A25" s="86"/>
      <c r="B25" s="90"/>
      <c r="C25" s="153" t="s">
        <v>118</v>
      </c>
      <c r="D25" s="154"/>
      <c r="E25" s="154"/>
      <c r="F25" s="154"/>
      <c r="G25" s="155"/>
      <c r="H25" s="92">
        <v>3.5449999999999999</v>
      </c>
      <c r="I25" s="91" t="s">
        <v>114</v>
      </c>
      <c r="J25" s="156">
        <f>IFERROR(J19*H25%,"-")</f>
        <v>119289.74630000001</v>
      </c>
      <c r="K25" s="157"/>
      <c r="L25" s="157"/>
      <c r="M25" s="158"/>
      <c r="N25" s="149" t="s">
        <v>119</v>
      </c>
      <c r="O25" s="150"/>
      <c r="Q25" s="89"/>
    </row>
    <row r="26" spans="1:17" ht="28.5" customHeight="1">
      <c r="A26" s="86"/>
      <c r="B26" s="90"/>
      <c r="C26" s="153" t="s">
        <v>120</v>
      </c>
      <c r="D26" s="154"/>
      <c r="E26" s="154"/>
      <c r="F26" s="154"/>
      <c r="G26" s="155"/>
      <c r="H26" s="91">
        <v>4.5</v>
      </c>
      <c r="I26" s="91" t="s">
        <v>114</v>
      </c>
      <c r="J26" s="156">
        <f>IFERROR(J19*H26%,"-")</f>
        <v>151425.63</v>
      </c>
      <c r="K26" s="157"/>
      <c r="L26" s="157"/>
      <c r="M26" s="158"/>
      <c r="N26" s="149" t="s">
        <v>121</v>
      </c>
      <c r="O26" s="150"/>
      <c r="Q26" s="93"/>
    </row>
    <row r="27" spans="1:17" ht="28.5" customHeight="1">
      <c r="A27" s="86"/>
      <c r="B27" s="90"/>
      <c r="C27" s="143" t="s">
        <v>122</v>
      </c>
      <c r="D27" s="144"/>
      <c r="E27" s="144"/>
      <c r="F27" s="144"/>
      <c r="G27" s="145"/>
      <c r="H27" s="94">
        <v>12.95</v>
      </c>
      <c r="I27" s="95" t="s">
        <v>114</v>
      </c>
      <c r="J27" s="146">
        <f>IFERROR($H$27*J25%,"-")</f>
        <v>15448.022145850002</v>
      </c>
      <c r="K27" s="147"/>
      <c r="L27" s="147"/>
      <c r="M27" s="148"/>
      <c r="N27" s="149" t="s">
        <v>123</v>
      </c>
      <c r="O27" s="150"/>
    </row>
    <row r="28" spans="1:17" ht="28.5" customHeight="1">
      <c r="A28" s="86"/>
      <c r="B28" s="90"/>
      <c r="C28" s="143" t="s">
        <v>124</v>
      </c>
      <c r="D28" s="144"/>
      <c r="E28" s="144"/>
      <c r="F28" s="144"/>
      <c r="G28" s="145"/>
      <c r="H28" s="94">
        <v>8.1000000000000003E-2</v>
      </c>
      <c r="I28" s="95" t="s">
        <v>114</v>
      </c>
      <c r="J28" s="146" t="str">
        <f>IFERROR(IF(SUM(J21:J27,J18:J19)&gt;=10000000,SUM(J21:J27,J18:J19)*H28%,"-"),"-")</f>
        <v>-</v>
      </c>
      <c r="K28" s="147"/>
      <c r="L28" s="147"/>
      <c r="M28" s="148"/>
      <c r="N28" s="151" t="s">
        <v>125</v>
      </c>
      <c r="O28" s="152"/>
    </row>
    <row r="29" spans="1:17" ht="28.5" customHeight="1">
      <c r="A29" s="96"/>
      <c r="B29" s="97"/>
      <c r="C29" s="123" t="s">
        <v>126</v>
      </c>
      <c r="D29" s="124"/>
      <c r="E29" s="124"/>
      <c r="F29" s="124"/>
      <c r="G29" s="125"/>
      <c r="H29" s="98">
        <v>1</v>
      </c>
      <c r="I29" s="99" t="s">
        <v>127</v>
      </c>
      <c r="J29" s="126">
        <f>34*0</f>
        <v>0</v>
      </c>
      <c r="K29" s="127"/>
      <c r="L29" s="127"/>
      <c r="M29" s="128"/>
      <c r="N29" s="129" t="s">
        <v>128</v>
      </c>
      <c r="O29" s="130"/>
    </row>
    <row r="30" spans="1:17" ht="28.5" customHeight="1">
      <c r="A30" s="96">
        <v>4</v>
      </c>
      <c r="B30" s="97"/>
      <c r="C30" s="123" t="s">
        <v>129</v>
      </c>
      <c r="D30" s="124"/>
      <c r="E30" s="124"/>
      <c r="F30" s="124"/>
      <c r="G30" s="125"/>
      <c r="H30" s="99">
        <v>5</v>
      </c>
      <c r="I30" s="100" t="s">
        <v>130</v>
      </c>
      <c r="J30" s="136">
        <f>IFERROR(IF(ISNUMBER(H30), SUM(J18:M20) * (H30 / 100), "-"), "-")</f>
        <v>218054.6022022925</v>
      </c>
      <c r="K30" s="137"/>
      <c r="L30" s="137"/>
      <c r="M30" s="138"/>
      <c r="N30" s="139" t="s">
        <v>131</v>
      </c>
      <c r="O30" s="140"/>
    </row>
    <row r="31" spans="1:17" ht="28.5" customHeight="1" thickBot="1">
      <c r="A31" s="96">
        <v>5</v>
      </c>
      <c r="B31" s="97"/>
      <c r="C31" s="123" t="s">
        <v>132</v>
      </c>
      <c r="D31" s="124"/>
      <c r="E31" s="124"/>
      <c r="F31" s="124"/>
      <c r="G31" s="125"/>
      <c r="H31" s="99">
        <v>7.5</v>
      </c>
      <c r="I31" s="100" t="s">
        <v>114</v>
      </c>
      <c r="J31" s="126">
        <f>IFERROR(SUM(J18:M20, J30) * (H31 / 100), "-")+-24882</f>
        <v>318553.99846861063</v>
      </c>
      <c r="K31" s="127"/>
      <c r="L31" s="127"/>
      <c r="M31" s="128"/>
      <c r="N31" s="141" t="s">
        <v>133</v>
      </c>
      <c r="O31" s="142"/>
      <c r="Q31" s="101"/>
    </row>
    <row r="32" spans="1:17" ht="28.5" customHeight="1" thickBot="1">
      <c r="A32" s="131" t="s">
        <v>134</v>
      </c>
      <c r="B32" s="132"/>
      <c r="C32" s="132"/>
      <c r="D32" s="132"/>
      <c r="E32" s="132"/>
      <c r="F32" s="132"/>
      <c r="G32" s="132"/>
      <c r="H32" s="132"/>
      <c r="I32" s="133"/>
      <c r="J32" s="102"/>
      <c r="K32" s="103"/>
      <c r="L32" s="103"/>
      <c r="M32" s="104">
        <f>IFERROR(ROUNDDOWN(SUM(J18:M20)+J30+J31,0),"-")</f>
        <v>4897700</v>
      </c>
      <c r="N32" s="134"/>
      <c r="O32" s="135"/>
      <c r="P32" s="105"/>
    </row>
    <row r="33" spans="1:15">
      <c r="A33" s="106" t="s">
        <v>135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>
      <c r="M42" s="101"/>
    </row>
    <row r="43" spans="1:15">
      <c r="M43" s="10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X20"/>
  <sheetViews>
    <sheetView showGridLines="0" zoomScale="85" zoomScaleNormal="85" workbookViewId="0">
      <selection activeCell="J15" sqref="J15:L15"/>
    </sheetView>
  </sheetViews>
  <sheetFormatPr defaultColWidth="9" defaultRowHeight="12.75"/>
  <cols>
    <col min="1" max="1" width="17.625" style="19" bestFit="1" customWidth="1"/>
    <col min="2" max="5" width="18.5" style="19" hidden="1" customWidth="1"/>
    <col min="6" max="6" width="13.875" style="8" hidden="1" customWidth="1"/>
    <col min="7" max="7" width="14.5" style="8" hidden="1" customWidth="1"/>
    <col min="8" max="8" width="16.625" style="8" hidden="1" customWidth="1"/>
    <col min="9" max="9" width="11.5" style="8" hidden="1" customWidth="1"/>
    <col min="10" max="10" width="33.5" style="8" bestFit="1" customWidth="1"/>
    <col min="11" max="11" width="25" style="8" bestFit="1" customWidth="1"/>
    <col min="12" max="12" width="9.625" style="8" bestFit="1" customWidth="1"/>
    <col min="13" max="13" width="7.625" style="8" customWidth="1"/>
    <col min="14" max="14" width="11.625" style="8" bestFit="1" customWidth="1"/>
    <col min="15" max="15" width="12.5" style="8" customWidth="1"/>
    <col min="16" max="16" width="9.625" style="8" customWidth="1"/>
    <col min="17" max="17" width="13.5" style="8" bestFit="1" customWidth="1"/>
    <col min="18" max="18" width="8.5" style="8" hidden="1" customWidth="1"/>
    <col min="19" max="19" width="10.5" style="8" hidden="1" customWidth="1"/>
    <col min="20" max="20" width="9.25" style="8" customWidth="1"/>
    <col min="21" max="21" width="9.75" style="8" customWidth="1"/>
    <col min="22" max="22" width="13.5" style="8" bestFit="1" customWidth="1"/>
    <col min="23" max="23" width="10.625" style="9" bestFit="1" customWidth="1"/>
    <col min="24" max="24" width="8.5" style="8" bestFit="1" customWidth="1"/>
    <col min="25" max="16384" width="9" style="8"/>
  </cols>
  <sheetData>
    <row r="1" spans="1:24" ht="30" customHeight="1">
      <c r="A1" s="236"/>
      <c r="B1" s="236"/>
      <c r="C1" s="236"/>
      <c r="D1" s="236"/>
      <c r="E1" s="236"/>
      <c r="F1" s="236"/>
      <c r="G1" s="236"/>
      <c r="H1" s="236"/>
      <c r="I1" s="236"/>
      <c r="N1" s="9"/>
      <c r="O1" s="9" t="s">
        <v>31</v>
      </c>
      <c r="Q1" s="9" t="s">
        <v>31</v>
      </c>
      <c r="S1" s="9" t="s">
        <v>31</v>
      </c>
      <c r="U1" s="9" t="s">
        <v>31</v>
      </c>
    </row>
    <row r="2" spans="1:24" ht="30" customHeight="1" thickBot="1">
      <c r="A2" s="236"/>
      <c r="B2" s="236"/>
      <c r="C2" s="236"/>
      <c r="D2" s="236"/>
      <c r="E2" s="236"/>
      <c r="F2" s="236"/>
      <c r="G2" s="236"/>
      <c r="H2" s="236"/>
      <c r="I2" s="236"/>
      <c r="N2" s="27"/>
      <c r="O2" s="28">
        <v>0.83499999999999996</v>
      </c>
      <c r="Q2" s="28">
        <v>0.83499999999999996</v>
      </c>
      <c r="S2" s="28">
        <v>0.83499999999999996</v>
      </c>
      <c r="U2" s="28">
        <v>0.83499999999999996</v>
      </c>
    </row>
    <row r="3" spans="1:24" ht="30" customHeight="1">
      <c r="A3" s="29"/>
      <c r="B3" s="30"/>
      <c r="C3" s="30"/>
      <c r="D3" s="30"/>
      <c r="E3" s="30"/>
      <c r="F3" s="30" t="s">
        <v>32</v>
      </c>
      <c r="G3" s="30"/>
      <c r="H3" s="30"/>
      <c r="I3" s="30"/>
      <c r="J3" s="237" t="s">
        <v>33</v>
      </c>
      <c r="K3" s="237"/>
      <c r="L3" s="237" t="s">
        <v>34</v>
      </c>
      <c r="M3" s="237" t="s">
        <v>35</v>
      </c>
      <c r="N3" s="239" t="s">
        <v>36</v>
      </c>
      <c r="O3" s="239"/>
      <c r="P3" s="239" t="s">
        <v>37</v>
      </c>
      <c r="Q3" s="239"/>
      <c r="R3" s="240" t="s">
        <v>38</v>
      </c>
      <c r="S3" s="240"/>
      <c r="T3" s="240" t="s">
        <v>39</v>
      </c>
      <c r="U3" s="240"/>
      <c r="V3" s="241" t="s">
        <v>40</v>
      </c>
      <c r="W3" s="243" t="s">
        <v>41</v>
      </c>
      <c r="X3" s="234" t="s">
        <v>30</v>
      </c>
    </row>
    <row r="4" spans="1:24" ht="30" customHeight="1">
      <c r="A4" s="31" t="s">
        <v>42</v>
      </c>
      <c r="B4" s="35"/>
      <c r="C4" s="35"/>
      <c r="D4" s="35"/>
      <c r="E4" s="35"/>
      <c r="F4" s="17" t="s">
        <v>43</v>
      </c>
      <c r="G4" s="17" t="s">
        <v>44</v>
      </c>
      <c r="H4" s="17" t="s">
        <v>45</v>
      </c>
      <c r="I4" s="17" t="s">
        <v>46</v>
      </c>
      <c r="J4" s="32" t="s">
        <v>47</v>
      </c>
      <c r="K4" s="32" t="s">
        <v>48</v>
      </c>
      <c r="L4" s="238"/>
      <c r="M4" s="238"/>
      <c r="N4" s="33" t="s">
        <v>49</v>
      </c>
      <c r="O4" s="34" t="s">
        <v>50</v>
      </c>
      <c r="P4" s="33" t="s">
        <v>51</v>
      </c>
      <c r="Q4" s="34" t="s">
        <v>50</v>
      </c>
      <c r="R4" s="34" t="s">
        <v>52</v>
      </c>
      <c r="S4" s="34" t="s">
        <v>50</v>
      </c>
      <c r="T4" s="34" t="s">
        <v>52</v>
      </c>
      <c r="U4" s="34" t="s">
        <v>50</v>
      </c>
      <c r="V4" s="242"/>
      <c r="W4" s="244"/>
      <c r="X4" s="235"/>
    </row>
    <row r="5" spans="1:24" s="15" customFormat="1" ht="30" customHeight="1">
      <c r="A5" s="10" t="s">
        <v>26</v>
      </c>
      <c r="B5" s="11"/>
      <c r="C5" s="11"/>
      <c r="D5" s="11"/>
      <c r="E5" s="11"/>
      <c r="F5" s="16"/>
      <c r="G5" s="12"/>
      <c r="H5" s="12"/>
      <c r="I5" s="16" t="s">
        <v>26</v>
      </c>
      <c r="J5" s="23" t="s">
        <v>56</v>
      </c>
      <c r="K5" s="36" t="s">
        <v>59</v>
      </c>
      <c r="L5" s="24" t="s">
        <v>64</v>
      </c>
      <c r="M5" s="44">
        <v>6</v>
      </c>
      <c r="N5" s="22"/>
      <c r="O5" s="13">
        <f t="shared" ref="O5:O10" si="0">SUM(N5:N5)*M5*$O$2</f>
        <v>0</v>
      </c>
      <c r="P5" s="25">
        <v>219321</v>
      </c>
      <c r="Q5" s="13">
        <f>M5*P5</f>
        <v>1315926</v>
      </c>
      <c r="R5" s="14"/>
      <c r="S5" s="13">
        <f t="shared" ref="S5" si="1">R5*M5*$S$2</f>
        <v>0</v>
      </c>
      <c r="T5" s="14"/>
      <c r="U5" s="13">
        <f t="shared" ref="U5" si="2">T5*M5*$U$2</f>
        <v>0</v>
      </c>
      <c r="V5" s="14">
        <f t="shared" ref="V5" si="3">SUM(O5+Q5)+S5+U5</f>
        <v>1315926</v>
      </c>
      <c r="W5" s="26"/>
      <c r="X5" s="21"/>
    </row>
    <row r="6" spans="1:24" s="15" customFormat="1" ht="30" customHeight="1">
      <c r="A6" s="10" t="s">
        <v>54</v>
      </c>
      <c r="B6" s="11"/>
      <c r="C6" s="11"/>
      <c r="D6" s="11"/>
      <c r="E6" s="11"/>
      <c r="F6" s="16"/>
      <c r="G6" s="12"/>
      <c r="H6" s="12"/>
      <c r="I6" s="16"/>
      <c r="J6" s="23" t="s">
        <v>56</v>
      </c>
      <c r="K6" s="36" t="s">
        <v>60</v>
      </c>
      <c r="L6" s="24" t="s">
        <v>64</v>
      </c>
      <c r="M6" s="44">
        <v>8</v>
      </c>
      <c r="N6" s="22"/>
      <c r="O6" s="13">
        <f t="shared" si="0"/>
        <v>0</v>
      </c>
      <c r="P6" s="25">
        <v>167081</v>
      </c>
      <c r="Q6" s="13">
        <f t="shared" ref="Q6:Q10" si="4">M6*P6</f>
        <v>1336648</v>
      </c>
      <c r="R6" s="14"/>
      <c r="S6" s="13"/>
      <c r="T6" s="14"/>
      <c r="U6" s="13"/>
      <c r="V6" s="14"/>
      <c r="W6" s="26"/>
      <c r="X6" s="21"/>
    </row>
    <row r="7" spans="1:24" s="15" customFormat="1" ht="30" customHeight="1">
      <c r="A7" s="10" t="s">
        <v>55</v>
      </c>
      <c r="B7" s="11"/>
      <c r="C7" s="11"/>
      <c r="D7" s="11"/>
      <c r="E7" s="11"/>
      <c r="F7" s="16"/>
      <c r="G7" s="12"/>
      <c r="H7" s="12"/>
      <c r="I7" s="16"/>
      <c r="J7" s="23" t="s">
        <v>56</v>
      </c>
      <c r="K7" s="36" t="s">
        <v>61</v>
      </c>
      <c r="L7" s="24" t="s">
        <v>64</v>
      </c>
      <c r="M7" s="44">
        <v>3</v>
      </c>
      <c r="N7" s="22"/>
      <c r="O7" s="13">
        <f t="shared" si="0"/>
        <v>0</v>
      </c>
      <c r="P7" s="25">
        <v>237480</v>
      </c>
      <c r="Q7" s="13">
        <f t="shared" si="4"/>
        <v>712440</v>
      </c>
      <c r="R7" s="14"/>
      <c r="S7" s="13"/>
      <c r="T7" s="14"/>
      <c r="U7" s="13"/>
      <c r="V7" s="14"/>
      <c r="W7" s="26"/>
      <c r="X7" s="21"/>
    </row>
    <row r="8" spans="1:24" s="15" customFormat="1" ht="30" customHeight="1">
      <c r="A8" s="10" t="s">
        <v>69</v>
      </c>
      <c r="B8" s="11"/>
      <c r="C8" s="11"/>
      <c r="D8" s="11"/>
      <c r="E8" s="11"/>
      <c r="F8" s="16"/>
      <c r="G8" s="12"/>
      <c r="H8" s="12"/>
      <c r="I8" s="16"/>
      <c r="J8" s="47" t="s">
        <v>67</v>
      </c>
      <c r="K8" s="36" t="s">
        <v>68</v>
      </c>
      <c r="L8" s="24" t="s">
        <v>70</v>
      </c>
      <c r="M8" s="44">
        <v>7</v>
      </c>
      <c r="N8" s="22">
        <v>43712.574850299403</v>
      </c>
      <c r="O8" s="13">
        <f t="shared" si="0"/>
        <v>255500</v>
      </c>
      <c r="P8" s="25"/>
      <c r="Q8" s="13">
        <f t="shared" si="4"/>
        <v>0</v>
      </c>
      <c r="R8" s="14"/>
      <c r="S8" s="13"/>
      <c r="T8" s="14"/>
      <c r="U8" s="13"/>
      <c r="V8" s="14"/>
      <c r="W8" s="26"/>
      <c r="X8" s="21"/>
    </row>
    <row r="9" spans="1:24" s="15" customFormat="1" ht="30" customHeight="1">
      <c r="A9" s="10">
        <v>999999</v>
      </c>
      <c r="B9" s="11"/>
      <c r="C9" s="11"/>
      <c r="D9" s="11"/>
      <c r="E9" s="11"/>
      <c r="F9" s="16"/>
      <c r="G9" s="12"/>
      <c r="H9" s="12"/>
      <c r="I9" s="16"/>
      <c r="J9" s="23" t="s">
        <v>57</v>
      </c>
      <c r="K9" s="36" t="s">
        <v>62</v>
      </c>
      <c r="L9" s="24" t="s">
        <v>65</v>
      </c>
      <c r="M9" s="44">
        <v>6</v>
      </c>
      <c r="N9" s="22">
        <v>25900</v>
      </c>
      <c r="O9" s="13">
        <f t="shared" si="0"/>
        <v>129759</v>
      </c>
      <c r="P9" s="25"/>
      <c r="Q9" s="13">
        <f t="shared" si="4"/>
        <v>0</v>
      </c>
      <c r="R9" s="14"/>
      <c r="S9" s="13"/>
      <c r="T9" s="14"/>
      <c r="U9" s="13"/>
      <c r="V9" s="14"/>
      <c r="W9" s="26"/>
      <c r="X9" s="21"/>
    </row>
    <row r="10" spans="1:24" s="15" customFormat="1" ht="30" customHeight="1">
      <c r="A10" s="10">
        <v>999999</v>
      </c>
      <c r="B10" s="11"/>
      <c r="C10" s="11"/>
      <c r="D10" s="11"/>
      <c r="E10" s="11"/>
      <c r="F10" s="16"/>
      <c r="G10" s="12"/>
      <c r="H10" s="12"/>
      <c r="I10" s="16"/>
      <c r="J10" s="23" t="s">
        <v>58</v>
      </c>
      <c r="K10" s="36" t="s">
        <v>63</v>
      </c>
      <c r="L10" s="24" t="s">
        <v>66</v>
      </c>
      <c r="M10" s="44">
        <v>6</v>
      </c>
      <c r="N10" s="22">
        <v>10500</v>
      </c>
      <c r="O10" s="13">
        <f t="shared" si="0"/>
        <v>52605</v>
      </c>
      <c r="P10" s="25"/>
      <c r="Q10" s="13">
        <f t="shared" si="4"/>
        <v>0</v>
      </c>
      <c r="R10" s="14"/>
      <c r="S10" s="13"/>
      <c r="T10" s="14"/>
      <c r="U10" s="13"/>
      <c r="V10" s="14"/>
      <c r="W10" s="26"/>
      <c r="X10" s="21"/>
    </row>
    <row r="11" spans="1:24" s="15" customFormat="1" ht="30" customHeight="1">
      <c r="A11" s="10"/>
      <c r="B11" s="11"/>
      <c r="C11" s="11"/>
      <c r="D11" s="11"/>
      <c r="E11" s="11"/>
      <c r="F11" s="16"/>
      <c r="G11" s="12"/>
      <c r="H11" s="12"/>
      <c r="I11" s="16"/>
      <c r="J11" s="43"/>
      <c r="K11" s="46"/>
      <c r="L11" s="24"/>
      <c r="M11" s="44"/>
      <c r="N11" s="25"/>
      <c r="O11" s="13"/>
      <c r="P11" s="25"/>
      <c r="Q11" s="13"/>
      <c r="R11" s="14"/>
      <c r="S11" s="13"/>
      <c r="T11" s="14"/>
      <c r="U11" s="13"/>
      <c r="V11" s="14"/>
      <c r="W11" s="26"/>
      <c r="X11" s="21"/>
    </row>
    <row r="12" spans="1:24" s="18" customFormat="1" ht="30" customHeight="1">
      <c r="A12" s="37"/>
      <c r="B12" s="37"/>
      <c r="C12" s="37"/>
      <c r="D12" s="37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>
        <f>SUM(O5:O11)</f>
        <v>437864</v>
      </c>
      <c r="P12" s="38"/>
      <c r="Q12" s="39">
        <f>SUM(Q5:Q11)</f>
        <v>3365014</v>
      </c>
      <c r="R12" s="38"/>
      <c r="S12" s="39">
        <f>SUM(S5:S11)</f>
        <v>0</v>
      </c>
      <c r="T12" s="38"/>
      <c r="U12" s="39">
        <f>SUM(U5:U11)</f>
        <v>0</v>
      </c>
      <c r="V12" s="39">
        <f>SUM(V5:V11)</f>
        <v>1315926</v>
      </c>
      <c r="W12" s="40"/>
      <c r="X12" s="38"/>
    </row>
    <row r="13" spans="1:24" ht="30" customHeight="1">
      <c r="J13" s="231"/>
      <c r="K13" s="231"/>
      <c r="L13" s="231"/>
      <c r="M13" s="231"/>
      <c r="Q13" s="20"/>
    </row>
    <row r="14" spans="1:24" ht="30" customHeight="1">
      <c r="J14" s="231"/>
      <c r="K14" s="231"/>
      <c r="L14" s="231"/>
      <c r="M14" s="42"/>
      <c r="N14" s="49"/>
      <c r="V14" s="20" t="s">
        <v>53</v>
      </c>
    </row>
    <row r="15" spans="1:24" ht="30" customHeight="1">
      <c r="J15" s="231"/>
      <c r="K15" s="231"/>
      <c r="L15" s="231"/>
      <c r="M15" s="42"/>
      <c r="N15" s="49"/>
      <c r="V15" s="20" t="s">
        <v>53</v>
      </c>
    </row>
    <row r="16" spans="1:24" ht="30" customHeight="1">
      <c r="J16" s="231"/>
      <c r="K16" s="231"/>
      <c r="L16" s="231"/>
      <c r="M16" s="42"/>
      <c r="N16" s="48"/>
      <c r="V16" s="20" t="s">
        <v>53</v>
      </c>
    </row>
    <row r="17" spans="10:22" ht="30" customHeight="1">
      <c r="J17" s="231"/>
      <c r="K17" s="231"/>
      <c r="L17" s="231"/>
      <c r="M17" s="42"/>
      <c r="N17" s="48"/>
      <c r="V17" s="20" t="s">
        <v>53</v>
      </c>
    </row>
    <row r="18" spans="10:22" ht="30" customHeight="1">
      <c r="J18" s="231"/>
      <c r="K18" s="231"/>
      <c r="L18" s="231"/>
      <c r="M18" s="42"/>
      <c r="N18" s="48"/>
      <c r="V18" s="20" t="s">
        <v>53</v>
      </c>
    </row>
    <row r="19" spans="10:22" ht="30" customHeight="1">
      <c r="J19" s="232"/>
      <c r="K19" s="232"/>
      <c r="L19" s="232"/>
      <c r="M19" s="41"/>
    </row>
    <row r="20" spans="10:22" ht="30" customHeight="1">
      <c r="J20" s="233"/>
      <c r="K20" s="232"/>
      <c r="L20" s="232"/>
      <c r="M20" s="41"/>
    </row>
  </sheetData>
  <mergeCells count="20"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  <mergeCell ref="J15:L15"/>
    <mergeCell ref="J14:L14"/>
    <mergeCell ref="J19:L19"/>
    <mergeCell ref="J20:L20"/>
    <mergeCell ref="J18:L18"/>
    <mergeCell ref="J16:L16"/>
    <mergeCell ref="J17:L17"/>
  </mergeCells>
  <phoneticPr fontId="10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3" customWidth="1"/>
    <col min="2" max="2" width="21.625" style="3" customWidth="1"/>
    <col min="3" max="3" width="22.375" style="3" customWidth="1"/>
    <col min="4" max="4" width="24.125" style="3" customWidth="1"/>
    <col min="5" max="5" width="13" style="3" customWidth="1"/>
    <col min="6" max="6" width="7.5" style="3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tr">
        <f>'내역서(표준단가)'!A5</f>
        <v>L003</v>
      </c>
      <c r="B2" s="3">
        <f>'내역서(표준단가)'!F5</f>
        <v>0</v>
      </c>
      <c r="C2" s="3">
        <f>'내역서(표준단가)'!G5</f>
        <v>0</v>
      </c>
      <c r="D2" s="3">
        <f>'내역서(표준단가)'!H5</f>
        <v>0</v>
      </c>
      <c r="E2" s="3" t="str">
        <f>'내역서(표준단가)'!I5</f>
        <v>L003</v>
      </c>
      <c r="F2" s="3">
        <f>'내역서(표준단가)'!M5</f>
        <v>6</v>
      </c>
    </row>
    <row r="3" spans="1:6">
      <c r="A3" s="2" t="str">
        <f>'내역서(표준단가)'!A6</f>
        <v>L002</v>
      </c>
      <c r="B3" s="3">
        <f>'내역서(표준단가)'!F6</f>
        <v>0</v>
      </c>
      <c r="C3" s="3">
        <f>'내역서(표준단가)'!G6</f>
        <v>0</v>
      </c>
      <c r="D3" s="3">
        <f>'내역서(표준단가)'!H6</f>
        <v>0</v>
      </c>
      <c r="E3" s="3">
        <f>'내역서(표준단가)'!I6</f>
        <v>0</v>
      </c>
      <c r="F3" s="3">
        <f>'내역서(표준단가)'!M6</f>
        <v>8</v>
      </c>
    </row>
    <row r="4" spans="1:6">
      <c r="A4" s="2" t="str">
        <f>'내역서(표준단가)'!A7</f>
        <v>L009</v>
      </c>
      <c r="B4" s="3">
        <f>'내역서(표준단가)'!F7</f>
        <v>0</v>
      </c>
      <c r="C4" s="3">
        <f>'내역서(표준단가)'!G7</f>
        <v>0</v>
      </c>
      <c r="D4" s="3">
        <f>'내역서(표준단가)'!H7</f>
        <v>0</v>
      </c>
      <c r="E4" s="3">
        <f>'내역서(표준단가)'!I7</f>
        <v>0</v>
      </c>
      <c r="F4" s="3">
        <f>'내역서(표준단가)'!M7</f>
        <v>3</v>
      </c>
    </row>
    <row r="5" spans="1:6">
      <c r="A5" s="2" t="str">
        <f>'내역서(표준단가)'!A8</f>
        <v>M020450310340103</v>
      </c>
      <c r="B5" s="3">
        <f>'내역서(표준단가)'!F8</f>
        <v>0</v>
      </c>
      <c r="C5" s="3">
        <f>'내역서(표준단가)'!G8</f>
        <v>0</v>
      </c>
      <c r="D5" s="3">
        <f>'내역서(표준단가)'!H8</f>
        <v>0</v>
      </c>
      <c r="E5" s="3">
        <f>'내역서(표준단가)'!I8</f>
        <v>0</v>
      </c>
      <c r="F5" s="3">
        <f>'내역서(표준단가)'!M8</f>
        <v>7</v>
      </c>
    </row>
    <row r="6" spans="1:6">
      <c r="A6" s="2">
        <f>'내역서(표준단가)'!A9</f>
        <v>999999</v>
      </c>
      <c r="B6" s="3">
        <f>'내역서(표준단가)'!F9</f>
        <v>0</v>
      </c>
      <c r="C6" s="3">
        <f>'내역서(표준단가)'!G9</f>
        <v>0</v>
      </c>
      <c r="D6" s="3">
        <f>'내역서(표준단가)'!H9</f>
        <v>0</v>
      </c>
      <c r="E6" s="3">
        <f>'내역서(표준단가)'!I9</f>
        <v>0</v>
      </c>
      <c r="F6" s="3">
        <f>'내역서(표준단가)'!M9</f>
        <v>6</v>
      </c>
    </row>
    <row r="7" spans="1:6">
      <c r="A7" s="2">
        <f>'내역서(표준단가)'!A10</f>
        <v>999999</v>
      </c>
      <c r="B7" s="3">
        <f>'내역서(표준단가)'!F10</f>
        <v>0</v>
      </c>
      <c r="C7" s="3">
        <f>'내역서(표준단가)'!G10</f>
        <v>0</v>
      </c>
      <c r="D7" s="3">
        <f>'내역서(표준단가)'!H10</f>
        <v>0</v>
      </c>
      <c r="E7" s="3">
        <f>'내역서(표준단가)'!I10</f>
        <v>0</v>
      </c>
      <c r="F7" s="3">
        <f>'내역서(표준단가)'!M10</f>
        <v>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ht="17.100000000000001" customHeight="1">
      <c r="A2">
        <v>999999</v>
      </c>
      <c r="B2" s="5" t="s">
        <v>24</v>
      </c>
      <c r="C2" s="5" t="s">
        <v>25</v>
      </c>
      <c r="D2" s="5" t="s">
        <v>27</v>
      </c>
      <c r="E2" s="5" t="s">
        <v>29</v>
      </c>
      <c r="F2" s="6">
        <v>6</v>
      </c>
      <c r="G2" s="7">
        <v>25900</v>
      </c>
      <c r="M2" s="4"/>
      <c r="N2" s="4"/>
    </row>
    <row r="3" spans="1:18" ht="17.100000000000001" customHeight="1">
      <c r="A3">
        <v>999999</v>
      </c>
      <c r="B3" s="5" t="s">
        <v>24</v>
      </c>
      <c r="C3" s="5" t="s">
        <v>25</v>
      </c>
      <c r="D3" s="45" t="s">
        <v>28</v>
      </c>
      <c r="E3" s="5" t="s">
        <v>29</v>
      </c>
      <c r="F3" s="6">
        <v>6</v>
      </c>
      <c r="G3" s="7">
        <v>10500</v>
      </c>
      <c r="M3" s="4"/>
      <c r="N3" s="4"/>
    </row>
  </sheetData>
  <phoneticPr fontId="10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2025-10-02T06:06:53Z</dcterms:modified>
</cp:coreProperties>
</file>
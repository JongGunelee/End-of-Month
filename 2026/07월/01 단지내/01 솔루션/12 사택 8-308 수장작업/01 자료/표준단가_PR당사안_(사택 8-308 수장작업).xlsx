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E6FDFFEB-EDCB-43D6-892E-9FBD697BCBB4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13" i="9"/>
  <c r="F2" i="1"/>
  <c r="E2" i="1"/>
  <c r="D2" i="1"/>
  <c r="C2" i="1"/>
  <c r="B2" i="1"/>
  <c r="J28" i="11" l="1"/>
  <c r="J20" i="11" s="1"/>
  <c r="Q5" i="4"/>
  <c r="O5" i="4"/>
  <c r="M5" i="4"/>
  <c r="K5" i="4"/>
  <c r="A5" i="4"/>
  <c r="A2" i="1" s="1"/>
  <c r="J30" i="11" l="1"/>
  <c r="R5" i="4"/>
  <c r="Q6" i="4"/>
  <c r="O6" i="4"/>
  <c r="M6" i="4"/>
  <c r="K6" i="4"/>
  <c r="A6" i="4"/>
  <c r="A3" i="1" s="1"/>
  <c r="P7" i="9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7" i="4"/>
  <c r="O7" i="4"/>
  <c r="M7" i="4"/>
  <c r="K7" i="4"/>
  <c r="R7" i="4" l="1"/>
  <c r="F25" i="9" l="1"/>
  <c r="N25" i="9" s="1"/>
  <c r="F20" i="9"/>
  <c r="N20" i="9" s="1"/>
  <c r="K12" i="4"/>
  <c r="O12" i="4"/>
  <c r="Q12" i="4"/>
  <c r="K9" i="4"/>
  <c r="R9" i="4" s="1"/>
  <c r="R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N29" i="9" l="1"/>
  <c r="L33" i="9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7" i="4"/>
  <c r="O17" i="4"/>
  <c r="M17" i="4"/>
  <c r="K17" i="4"/>
  <c r="N33" i="9" l="1"/>
  <c r="R17" i="4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K18" i="4" l="1"/>
  <c r="M18" i="4"/>
  <c r="R8" i="4"/>
  <c r="R11" i="4"/>
  <c r="R14" i="4"/>
  <c r="R15" i="4"/>
  <c r="R10" i="4"/>
  <c r="R13" i="4"/>
  <c r="R16" i="4"/>
  <c r="R18" i="4" l="1"/>
  <c r="Q18" i="4"/>
  <c r="O18" i="4"/>
</calcChain>
</file>

<file path=xl/sharedStrings.xml><?xml version="1.0" encoding="utf-8"?>
<sst xmlns="http://schemas.openxmlformats.org/spreadsheetml/2006/main" count="249" uniqueCount="183">
  <si>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</si>
  <si>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</si>
  <si>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</si>
  <si>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</si>
  <si>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</si>
  <si>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</si>
  <si>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</si>
  <si>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</si>
  <si>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</si>
  <si>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</si>
  <si>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</si>
  <si>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</si>
  <si>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</si>
  <si>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</si>
  <si>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</si>
  <si>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</si>
  <si>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</si>
  <si>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</si>
  <si>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</si>
  <si>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</si>
  <si>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</si>
  <si>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</si>
  <si>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</si>
  <si>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</si>
  <si>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</si>
  <si>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</si>
  <si>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</si>
  <si>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</si>
  <si>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</si>
  <si>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</si>
  <si>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</si>
  <si>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</si>
  <si>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</si>
  <si>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</si>
  <si>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</si>
  <si>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</si>
  <si>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</si>
  <si>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</si>
  <si>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</si>
  <si>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</si>
  <si>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</si>
  <si>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</si>
  <si>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</si>
  <si>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</si>
  <si>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</si>
  <si>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</si>
  <si>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</si>
  <si>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</si>
  <si>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</si>
  <si>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</si>
  <si>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</si>
  <si>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</si>
  <si>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</si>
  <si>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</si>
  <si>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</si>
  <si>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</si>
  <si>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</si>
  <si>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</si>
  <si>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</si>
  <si>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</si>
  <si>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</si>
  <si>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</si>
  <si>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</si>
  <si>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</si>
  <si>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</si>
  <si>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</si>
  <si>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</si>
  <si>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</si>
  <si>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</si>
  <si>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</si>
  <si>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</si>
  <si>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</si>
  <si>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</si>
  <si>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</si>
  <si>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</si>
  <si>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</si>
  <si>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</si>
  <si>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</si>
  <si>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</si>
  <si>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</si>
  <si>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</si>
  <si>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</si>
  <si>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</si>
  <si>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</si>
  <si>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</si>
  <si>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</si>
  <si>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</si>
  <si>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</si>
  <si>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</si>
  <si>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</si>
  <si>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</si>
  <si>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</si>
  <si>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</si>
  <si>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</si>
  <si>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</si>
  <si>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</si>
  <si>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</si>
  <si>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</si>
  <si>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</si>
  <si>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</si>
  <si>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</si>
  <si>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</si>
  <si>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</si>
  <si>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</si>
  <si>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</si>
  <si>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</si>
  <si>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</si>
  <si>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</si>
  <si>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</si>
  <si>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</si>
  <si>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</si>
  <si>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</si>
  <si>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</si>
  <si>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</si>
  <si>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</si>
  <si>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8-308 수장작업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</si>
  <si>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</si>
  <si>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</si>
  <si>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</si>
  <si>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</si>
  <si>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</si>
  <si>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</si>
  <si>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</si>
  <si>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</si>
  <si>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</si>
  <si>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</si>
  <si>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</si>
  <si>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</si>
  <si>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</si>
  <si>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</si>
  <si>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</si>
  <si>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</si>
  <si>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</si>
  <si>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</si>
  <si>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</si>
  <si>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</si>
  <si>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</si>
  <si>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</si>
  <si>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</si>
  <si>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</si>
  <si>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</si>
  <si>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</si>
  <si>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</si>
  <si>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</si>
  <si>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</si>
  <si>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</si>
  <si>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</si>
  <si>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</si>
  <si>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</si>
  <si>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</si>
  <si>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</si>
  <si>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</si>
  <si>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</si>
  <si>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</si>
  <si>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</si>
  <si>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</si>
  <si>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</si>
  <si>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</si>
  <si>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</si>
  <si>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</si>
  <si>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</si>
  <si>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</si>
  <si>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</si>
  <si>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</si>
  <si>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</si>
  <si>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</si>
  <si>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</si>
  <si>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</si>
  <si>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</si>
  <si>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</si>
  <si>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</si>
  <si>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</si>
  <si>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</si>
  <si>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</si>
  <si>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</si>
  <si>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</si>
  <si>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</si>
  <si>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</si>
  <si>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</si>
  <si>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</si>
  <si>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</si>
  <si>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8-308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</si>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</sst>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1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2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8" fillId="0" borderId="12" xfId="11" applyNumberFormat="1" applyFont="1" applyBorder="1" applyAlignment="1">
      <alignment vertical="center"/>
    </xf>
    <xf numFmtId="0" fontId="18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5782EB9-CEB4-40DD-85C2-1C46DB6DDDED}"/>
    <cellStyle name="쉼표 [0] 2 84" xfId="24" xr:uid="{67637400-462B-42A8-A419-E609AF1B2B09}"/>
    <cellStyle name="쉼표 [0] 3" xfId="14" xr:uid="{8F7BE219-40E1-4BBB-A9BD-02188B74B2A3}"/>
    <cellStyle name="쉼표 [0] 4" xfId="21" xr:uid="{4121F845-6EBB-42A4-AD1E-50756B87D93A}"/>
    <cellStyle name="쉼표 [0] 5" xfId="23" xr:uid="{FF28E715-4FDC-4326-A043-5D7FB7A31C7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F35BD6F-2F77-4D52-9827-08A396F05C2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7D74886F-E719-4635-8849-F00348E2527B}"/>
    <cellStyle name="표준_P456 공장 및 복지동 전면 유리창 청소건 라상혁님_1129(최종)" xfId="20" xr:uid="{92C522F9-EA9D-422A-A904-9F4D3EA0C8A4}"/>
    <cellStyle name="표준_S&amp;D_MAIN VALVE_최빈_2" xfId="17" xr:uid="{0F79C8D1-3CF3-42D4-8C32-5C4F774D70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E283E2-EF60-4589-B93D-8B5718F7A1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43F3-9FF4-4FCA-8F46-FB6085854AE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>
      <c r="A1" s="258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60"/>
    </row>
    <row r="2" spans="1:15" ht="9.75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>
      <c r="A3" s="261" t="s">
        <v>117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/>
    </row>
    <row r="4" spans="1:15" ht="16.5" customHeight="1">
      <c r="A4" s="111" t="s">
        <v>118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>
      <c r="A5" s="116"/>
      <c r="B5" s="172" t="s">
        <v>182</v>
      </c>
      <c r="C5" s="172"/>
      <c r="D5" s="172"/>
      <c r="E5" s="172"/>
      <c r="F5" s="172"/>
      <c r="G5" s="173"/>
      <c r="H5" s="173"/>
      <c r="I5" s="117"/>
      <c r="J5" s="117"/>
      <c r="K5" s="117"/>
      <c r="L5" s="117"/>
      <c r="M5" s="118"/>
      <c r="N5" s="118"/>
      <c r="O5" s="119"/>
    </row>
    <row r="6" spans="1:15" ht="12" customHeight="1" thickBo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>
      <c r="A7" s="264" t="s">
        <v>119</v>
      </c>
      <c r="B7" s="265"/>
      <c r="C7" s="266"/>
      <c r="D7" s="174">
        <v>2026</v>
      </c>
      <c r="E7" s="124" t="s">
        <v>120</v>
      </c>
      <c r="F7" s="175">
        <v>5</v>
      </c>
      <c r="G7" s="124" t="s">
        <v>121</v>
      </c>
      <c r="H7" s="175">
        <v>26</v>
      </c>
      <c r="I7" s="124" t="s">
        <v>122</v>
      </c>
      <c r="J7" s="125"/>
      <c r="K7" s="267" t="s">
        <v>123</v>
      </c>
      <c r="L7" s="126" t="s">
        <v>124</v>
      </c>
      <c r="M7" s="126" t="s">
        <v>125</v>
      </c>
      <c r="N7" s="126" t="s">
        <v>126</v>
      </c>
      <c r="O7" s="127" t="s">
        <v>127</v>
      </c>
    </row>
    <row r="8" spans="1:15" ht="23.25" customHeight="1">
      <c r="A8" s="270" t="s">
        <v>128</v>
      </c>
      <c r="B8" s="271"/>
      <c r="C8" s="272"/>
      <c r="D8" s="273" t="s">
        <v>129</v>
      </c>
      <c r="E8" s="274"/>
      <c r="F8" s="274"/>
      <c r="G8" s="275"/>
      <c r="H8" s="276" t="s">
        <v>130</v>
      </c>
      <c r="I8" s="274"/>
      <c r="J8" s="277"/>
      <c r="K8" s="268"/>
      <c r="L8" s="128" t="s">
        <v>131</v>
      </c>
      <c r="M8" s="128" t="s">
        <v>132</v>
      </c>
      <c r="N8" s="128" t="s">
        <v>133</v>
      </c>
      <c r="O8" s="129" t="s">
        <v>134</v>
      </c>
    </row>
    <row r="9" spans="1:15" ht="23.25" customHeight="1">
      <c r="A9" s="270" t="s">
        <v>135</v>
      </c>
      <c r="B9" s="271"/>
      <c r="C9" s="272"/>
      <c r="D9" s="278" t="s">
        <v>136</v>
      </c>
      <c r="E9" s="279"/>
      <c r="F9" s="279"/>
      <c r="G9" s="279"/>
      <c r="H9" s="279"/>
      <c r="I9" s="279"/>
      <c r="J9" s="280"/>
      <c r="K9" s="268"/>
      <c r="L9" s="128" t="s">
        <v>137</v>
      </c>
      <c r="M9" s="281" t="s">
        <v>138</v>
      </c>
      <c r="N9" s="271"/>
      <c r="O9" s="272"/>
    </row>
    <row r="10" spans="1:15" ht="23.25" customHeight="1" thickBot="1">
      <c r="A10" s="282" t="s">
        <v>139</v>
      </c>
      <c r="B10" s="283"/>
      <c r="C10" s="284"/>
      <c r="D10" s="285" t="s">
        <v>140</v>
      </c>
      <c r="E10" s="286"/>
      <c r="F10" s="286"/>
      <c r="G10" s="286"/>
      <c r="H10" s="286"/>
      <c r="I10" s="286"/>
      <c r="J10" s="287"/>
      <c r="K10" s="269"/>
      <c r="L10" s="130" t="s">
        <v>141</v>
      </c>
      <c r="M10" s="130" t="s">
        <v>142</v>
      </c>
      <c r="N10" s="130" t="s">
        <v>143</v>
      </c>
      <c r="O10" s="131" t="s">
        <v>144</v>
      </c>
    </row>
    <row r="11" spans="1:15" ht="21.75" customHeight="1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>
      <c r="A13" s="138"/>
      <c r="B13" s="257" t="s">
        <v>181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139" t="s">
        <v>145</v>
      </c>
      <c r="O13" s="137"/>
    </row>
    <row r="14" spans="1:15" ht="9" customHeight="1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>
      <c r="A15" s="138"/>
      <c r="B15" s="240" t="str">
        <f>"견 적 금 액 : 一金"&amp;NUMBERSTRING(M32,1) &amp; "원정""(\"&amp; TEXT(M32,"#,###")&amp;"원) [VAT 별도]"</f>
        <v>견 적 금 액 : 一金사백칠십일만사천구백오십원정"(\4,714,950원) [VAT 별도]</v>
      </c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1"/>
    </row>
    <row r="16" spans="1:15" ht="15" thickBot="1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42"/>
      <c r="L16" s="242"/>
      <c r="M16" s="242"/>
      <c r="N16" s="242"/>
      <c r="O16" s="243"/>
    </row>
    <row r="17" spans="1:17" ht="27.75" customHeight="1" thickBot="1">
      <c r="A17" s="140" t="s">
        <v>146</v>
      </c>
      <c r="B17" s="250" t="s">
        <v>147</v>
      </c>
      <c r="C17" s="251"/>
      <c r="D17" s="251"/>
      <c r="E17" s="251"/>
      <c r="F17" s="251"/>
      <c r="G17" s="252"/>
      <c r="H17" s="141" t="s">
        <v>148</v>
      </c>
      <c r="I17" s="142" t="s">
        <v>149</v>
      </c>
      <c r="J17" s="253" t="s">
        <v>150</v>
      </c>
      <c r="K17" s="254"/>
      <c r="L17" s="254"/>
      <c r="M17" s="255"/>
      <c r="N17" s="250" t="s">
        <v>151</v>
      </c>
      <c r="O17" s="256"/>
    </row>
    <row r="18" spans="1:17" ht="28.5" customHeight="1">
      <c r="A18" s="143">
        <v>1</v>
      </c>
      <c r="B18" s="244" t="s">
        <v>52</v>
      </c>
      <c r="C18" s="245"/>
      <c r="D18" s="245"/>
      <c r="E18" s="245"/>
      <c r="F18" s="245"/>
      <c r="G18" s="246"/>
      <c r="H18" s="176">
        <v>1</v>
      </c>
      <c r="I18" s="177" t="s">
        <v>6</v>
      </c>
      <c r="J18" s="247">
        <f>IFERROR(LOOKUP(2, 1/(TRIM('내역서(표준단가)'!K4:K100)&lt;&gt;""), '내역서(표준단가)'!K4:K100), "-")</f>
        <v>831963.35549999995</v>
      </c>
      <c r="K18" s="247"/>
      <c r="L18" s="247"/>
      <c r="M18" s="247"/>
      <c r="N18" s="248"/>
      <c r="O18" s="249"/>
    </row>
    <row r="19" spans="1:17" ht="28.5" customHeight="1">
      <c r="A19" s="144">
        <v>2</v>
      </c>
      <c r="B19" s="224" t="s">
        <v>53</v>
      </c>
      <c r="C19" s="225"/>
      <c r="D19" s="225"/>
      <c r="E19" s="225"/>
      <c r="F19" s="225"/>
      <c r="G19" s="226"/>
      <c r="H19" s="178">
        <v>1</v>
      </c>
      <c r="I19" s="178" t="s">
        <v>6</v>
      </c>
      <c r="J19" s="227">
        <f>IFERROR(LOOKUP(2, 1/(TRIM('내역서(표준단가)'!M4:M100)&lt;&gt;""), '내역서(표준단가)'!M4:M100), "-")</f>
        <v>2889314.0161779998</v>
      </c>
      <c r="K19" s="228"/>
      <c r="L19" s="228"/>
      <c r="M19" s="229"/>
      <c r="N19" s="230"/>
      <c r="O19" s="231"/>
    </row>
    <row r="20" spans="1:17" ht="28.5" customHeight="1">
      <c r="A20" s="144">
        <v>3</v>
      </c>
      <c r="B20" s="232" t="s">
        <v>152</v>
      </c>
      <c r="C20" s="233"/>
      <c r="D20" s="233"/>
      <c r="E20" s="233"/>
      <c r="F20" s="233"/>
      <c r="G20" s="234"/>
      <c r="H20" s="145">
        <v>1</v>
      </c>
      <c r="I20" s="145" t="s">
        <v>6</v>
      </c>
      <c r="J20" s="235">
        <f>IFERROR(SUM(J21:M29),"-")</f>
        <v>502535.25967761659</v>
      </c>
      <c r="K20" s="236"/>
      <c r="L20" s="236"/>
      <c r="M20" s="237"/>
      <c r="N20" s="238"/>
      <c r="O20" s="239"/>
      <c r="P20" s="146"/>
    </row>
    <row r="21" spans="1:17" ht="28.5" customHeight="1">
      <c r="A21" s="143"/>
      <c r="B21" s="147"/>
      <c r="C21" s="216" t="s">
        <v>153</v>
      </c>
      <c r="D21" s="217"/>
      <c r="E21" s="217"/>
      <c r="F21" s="217"/>
      <c r="G21" s="218"/>
      <c r="H21" s="179">
        <v>1</v>
      </c>
      <c r="I21" s="179" t="s">
        <v>6</v>
      </c>
      <c r="J21" s="219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0"/>
      <c r="L21" s="220"/>
      <c r="M21" s="221"/>
      <c r="N21" s="222" t="s">
        <v>154</v>
      </c>
      <c r="O21" s="223"/>
    </row>
    <row r="22" spans="1:17" ht="28.5" customHeight="1">
      <c r="A22" s="143"/>
      <c r="B22" s="147"/>
      <c r="C22" s="210" t="s">
        <v>155</v>
      </c>
      <c r="D22" s="211"/>
      <c r="E22" s="211"/>
      <c r="F22" s="211"/>
      <c r="G22" s="212"/>
      <c r="H22" s="148">
        <v>3.11</v>
      </c>
      <c r="I22" s="148" t="s">
        <v>156</v>
      </c>
      <c r="J22" s="213">
        <f>IFERROR((J18+J19)*H22%,"-")</f>
        <v>115731.72625918579</v>
      </c>
      <c r="K22" s="214"/>
      <c r="L22" s="214"/>
      <c r="M22" s="215"/>
      <c r="N22" s="206" t="s">
        <v>157</v>
      </c>
      <c r="O22" s="207"/>
    </row>
    <row r="23" spans="1:17" ht="28.5" customHeight="1">
      <c r="A23" s="143"/>
      <c r="B23" s="147"/>
      <c r="C23" s="210" t="s">
        <v>158</v>
      </c>
      <c r="D23" s="211"/>
      <c r="E23" s="211"/>
      <c r="F23" s="211"/>
      <c r="G23" s="212"/>
      <c r="H23" s="148">
        <v>3.56</v>
      </c>
      <c r="I23" s="148" t="s">
        <v>159</v>
      </c>
      <c r="J23" s="213">
        <f>IFERROR(J19*H23%,"-")</f>
        <v>102859.57897593679</v>
      </c>
      <c r="K23" s="214"/>
      <c r="L23" s="214"/>
      <c r="M23" s="215"/>
      <c r="N23" s="206" t="s">
        <v>160</v>
      </c>
      <c r="O23" s="207"/>
    </row>
    <row r="24" spans="1:17" ht="28.5" customHeight="1">
      <c r="A24" s="143"/>
      <c r="B24" s="147"/>
      <c r="C24" s="210" t="s">
        <v>161</v>
      </c>
      <c r="D24" s="211"/>
      <c r="E24" s="211"/>
      <c r="F24" s="211"/>
      <c r="G24" s="212"/>
      <c r="H24" s="148">
        <v>1.01</v>
      </c>
      <c r="I24" s="148" t="s">
        <v>159</v>
      </c>
      <c r="J24" s="213">
        <f>IFERROR(J19*H24%,"-")</f>
        <v>29182.071563397796</v>
      </c>
      <c r="K24" s="214"/>
      <c r="L24" s="214"/>
      <c r="M24" s="215"/>
      <c r="N24" s="206" t="s">
        <v>162</v>
      </c>
      <c r="O24" s="207"/>
    </row>
    <row r="25" spans="1:17" ht="28.5" customHeight="1">
      <c r="A25" s="143"/>
      <c r="B25" s="147"/>
      <c r="C25" s="210" t="s">
        <v>163</v>
      </c>
      <c r="D25" s="211"/>
      <c r="E25" s="211"/>
      <c r="F25" s="211"/>
      <c r="G25" s="212"/>
      <c r="H25" s="149">
        <v>3.5950000000000002</v>
      </c>
      <c r="I25" s="148" t="s">
        <v>159</v>
      </c>
      <c r="J25" s="213">
        <f>IFERROR(J19*H25%,"-")</f>
        <v>103870.83888159911</v>
      </c>
      <c r="K25" s="214"/>
      <c r="L25" s="214"/>
      <c r="M25" s="215"/>
      <c r="N25" s="206" t="s">
        <v>164</v>
      </c>
      <c r="O25" s="207"/>
      <c r="Q25" s="146"/>
    </row>
    <row r="26" spans="1:17" ht="28.5" customHeight="1">
      <c r="A26" s="143"/>
      <c r="B26" s="147"/>
      <c r="C26" s="210" t="s">
        <v>165</v>
      </c>
      <c r="D26" s="211"/>
      <c r="E26" s="211"/>
      <c r="F26" s="211"/>
      <c r="G26" s="212"/>
      <c r="H26" s="148">
        <v>4.75</v>
      </c>
      <c r="I26" s="148" t="s">
        <v>159</v>
      </c>
      <c r="J26" s="213">
        <f>IFERROR(J19*H26%,"-")</f>
        <v>137242.41576845499</v>
      </c>
      <c r="K26" s="214"/>
      <c r="L26" s="214"/>
      <c r="M26" s="215"/>
      <c r="N26" s="206" t="s">
        <v>166</v>
      </c>
      <c r="O26" s="207"/>
      <c r="Q26" s="150"/>
    </row>
    <row r="27" spans="1:17" ht="28.5" customHeight="1">
      <c r="A27" s="143"/>
      <c r="B27" s="147"/>
      <c r="C27" s="200" t="s">
        <v>167</v>
      </c>
      <c r="D27" s="201"/>
      <c r="E27" s="201"/>
      <c r="F27" s="201"/>
      <c r="G27" s="202"/>
      <c r="H27" s="151">
        <v>13.14</v>
      </c>
      <c r="I27" s="152" t="s">
        <v>159</v>
      </c>
      <c r="J27" s="203">
        <f>IFERROR($H$27*J25%,"-")</f>
        <v>13648.628229042124</v>
      </c>
      <c r="K27" s="204"/>
      <c r="L27" s="204"/>
      <c r="M27" s="205"/>
      <c r="N27" s="206" t="s">
        <v>168</v>
      </c>
      <c r="O27" s="207"/>
    </row>
    <row r="28" spans="1:17" ht="28.5" customHeight="1">
      <c r="A28" s="143"/>
      <c r="B28" s="147"/>
      <c r="C28" s="200" t="s">
        <v>169</v>
      </c>
      <c r="D28" s="201"/>
      <c r="E28" s="201"/>
      <c r="F28" s="201"/>
      <c r="G28" s="202"/>
      <c r="H28" s="151">
        <v>8.1000000000000003E-2</v>
      </c>
      <c r="I28" s="152" t="s">
        <v>159</v>
      </c>
      <c r="J28" s="203" t="str">
        <f>IFERROR(IF(SUM(J21:J27,J18:J19)&gt;=10000000,SUM(J21:J27,J18:J19)*H28%,"-"),"-")</f>
        <v>-</v>
      </c>
      <c r="K28" s="204"/>
      <c r="L28" s="204"/>
      <c r="M28" s="205"/>
      <c r="N28" s="208" t="s">
        <v>170</v>
      </c>
      <c r="O28" s="209"/>
    </row>
    <row r="29" spans="1:17" ht="28.5" customHeight="1">
      <c r="A29" s="153"/>
      <c r="B29" s="154"/>
      <c r="C29" s="180" t="s">
        <v>171</v>
      </c>
      <c r="D29" s="181"/>
      <c r="E29" s="181"/>
      <c r="F29" s="181"/>
      <c r="G29" s="182"/>
      <c r="H29" s="155">
        <v>1</v>
      </c>
      <c r="I29" s="156" t="s">
        <v>172</v>
      </c>
      <c r="J29" s="183">
        <f>34*0</f>
        <v>0</v>
      </c>
      <c r="K29" s="184"/>
      <c r="L29" s="184"/>
      <c r="M29" s="185"/>
      <c r="N29" s="186" t="s">
        <v>173</v>
      </c>
      <c r="O29" s="187"/>
    </row>
    <row r="30" spans="1:17" ht="28.5" customHeight="1">
      <c r="A30" s="153">
        <v>4</v>
      </c>
      <c r="B30" s="154"/>
      <c r="C30" s="180" t="s">
        <v>174</v>
      </c>
      <c r="D30" s="181"/>
      <c r="E30" s="181"/>
      <c r="F30" s="181"/>
      <c r="G30" s="182"/>
      <c r="H30" s="156">
        <v>5</v>
      </c>
      <c r="I30" s="157" t="s">
        <v>175</v>
      </c>
      <c r="J30" s="193">
        <f>IFERROR(IF(ISNUMBER(H30), SUM(J18:M20) * (H30 / 100), "-"), "-")</f>
        <v>211190.63156778083</v>
      </c>
      <c r="K30" s="194"/>
      <c r="L30" s="194"/>
      <c r="M30" s="195"/>
      <c r="N30" s="196" t="s">
        <v>176</v>
      </c>
      <c r="O30" s="197"/>
    </row>
    <row r="31" spans="1:17" ht="28.5" customHeight="1" thickBot="1">
      <c r="A31" s="153">
        <v>5</v>
      </c>
      <c r="B31" s="154"/>
      <c r="C31" s="180" t="s">
        <v>177</v>
      </c>
      <c r="D31" s="181"/>
      <c r="E31" s="181"/>
      <c r="F31" s="181"/>
      <c r="G31" s="182"/>
      <c r="H31" s="156">
        <v>7.5</v>
      </c>
      <c r="I31" s="157" t="s">
        <v>159</v>
      </c>
      <c r="J31" s="183">
        <f>IFERROR(SUM(J18:M20, J30) * (H31 / 100), "-")+-52678</f>
        <v>279947.24471925478</v>
      </c>
      <c r="K31" s="184"/>
      <c r="L31" s="184"/>
      <c r="M31" s="185"/>
      <c r="N31" s="198" t="s">
        <v>178</v>
      </c>
      <c r="O31" s="199"/>
      <c r="Q31" s="158"/>
    </row>
    <row r="32" spans="1:17" ht="28.5" customHeight="1" thickBot="1">
      <c r="A32" s="188" t="s">
        <v>179</v>
      </c>
      <c r="B32" s="189"/>
      <c r="C32" s="189"/>
      <c r="D32" s="189"/>
      <c r="E32" s="189"/>
      <c r="F32" s="189"/>
      <c r="G32" s="189"/>
      <c r="H32" s="189"/>
      <c r="I32" s="190"/>
      <c r="J32" s="159"/>
      <c r="K32" s="160"/>
      <c r="L32" s="160"/>
      <c r="M32" s="161">
        <f>IFERROR(ROUNDDOWN(SUM(J18:M20)+J30+J31,0),"-")</f>
        <v>4714950</v>
      </c>
      <c r="N32" s="191"/>
      <c r="O32" s="192"/>
      <c r="P32" s="162"/>
    </row>
    <row r="33" spans="1:15">
      <c r="A33" s="163" t="s">
        <v>180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>
      <c r="M42" s="158"/>
    </row>
    <row r="43" spans="1:15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8"/>
  <sheetViews>
    <sheetView showGridLines="0" zoomScale="90" zoomScaleNormal="90" workbookViewId="0">
      <pane ySplit="4" topLeftCell="A8" activePane="bottomLeft" state="frozen"/>
      <selection pane="bottomLeft" activeCell="G16" sqref="G16"/>
    </sheetView>
  </sheetViews>
  <sheetFormatPr defaultColWidth="9" defaultRowHeight="38.1" customHeight="1"/>
  <cols>
    <col min="1" max="1" width="20.5" style="85" bestFit="1" customWidth="1"/>
    <col min="2" max="2" width="9" style="74" hidden="1" customWidth="1"/>
    <col min="3" max="5" width="12.625" style="74" hidden="1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customWidth="1"/>
    <col min="15" max="15" width="8.375" style="74" bestFit="1" customWidth="1"/>
    <col min="16" max="16" width="10.5" style="74" customWidth="1"/>
    <col min="17" max="17" width="8.375" style="74" bestFit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88"/>
      <c r="B1" s="288"/>
      <c r="C1" s="288"/>
      <c r="D1" s="288"/>
      <c r="E1" s="288"/>
      <c r="J1" s="2"/>
      <c r="K1" s="73" t="s">
        <v>49</v>
      </c>
      <c r="M1" s="73" t="s">
        <v>49</v>
      </c>
      <c r="O1" s="73" t="s">
        <v>49</v>
      </c>
      <c r="Q1" s="73" t="s">
        <v>49</v>
      </c>
    </row>
    <row r="2" spans="1:20" ht="19.899999999999999" customHeight="1" thickBot="1">
      <c r="A2" s="288"/>
      <c r="B2" s="288"/>
      <c r="C2" s="288"/>
      <c r="D2" s="288"/>
      <c r="E2" s="288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50</v>
      </c>
      <c r="C3" s="76"/>
      <c r="D3" s="76"/>
      <c r="E3" s="76"/>
      <c r="F3" s="299" t="s">
        <v>51</v>
      </c>
      <c r="G3" s="299"/>
      <c r="H3" s="297" t="s">
        <v>8</v>
      </c>
      <c r="I3" s="297" t="s">
        <v>5</v>
      </c>
      <c r="J3" s="293" t="s">
        <v>52</v>
      </c>
      <c r="K3" s="293"/>
      <c r="L3" s="293" t="s">
        <v>53</v>
      </c>
      <c r="M3" s="293"/>
      <c r="N3" s="294" t="s">
        <v>54</v>
      </c>
      <c r="O3" s="294"/>
      <c r="P3" s="294" t="s">
        <v>55</v>
      </c>
      <c r="Q3" s="294"/>
      <c r="R3" s="295" t="s">
        <v>56</v>
      </c>
      <c r="S3" s="291" t="s">
        <v>57</v>
      </c>
      <c r="T3" s="289" t="s">
        <v>7</v>
      </c>
    </row>
    <row r="4" spans="1:20" ht="19.899999999999999" customHeight="1">
      <c r="A4" s="5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70" t="s">
        <v>63</v>
      </c>
      <c r="G4" s="70" t="s">
        <v>64</v>
      </c>
      <c r="H4" s="298"/>
      <c r="I4" s="298"/>
      <c r="J4" s="7" t="s">
        <v>65</v>
      </c>
      <c r="K4" s="8" t="s">
        <v>66</v>
      </c>
      <c r="L4" s="7" t="s">
        <v>67</v>
      </c>
      <c r="M4" s="8" t="s">
        <v>66</v>
      </c>
      <c r="N4" s="8" t="s">
        <v>68</v>
      </c>
      <c r="O4" s="8" t="s">
        <v>66</v>
      </c>
      <c r="P4" s="8" t="s">
        <v>68</v>
      </c>
      <c r="Q4" s="8" t="s">
        <v>66</v>
      </c>
      <c r="R4" s="296"/>
      <c r="S4" s="292"/>
      <c r="T4" s="290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101</v>
      </c>
      <c r="E5" s="34"/>
      <c r="F5" s="68" t="s">
        <v>102</v>
      </c>
      <c r="G5" s="68" t="s">
        <v>116</v>
      </c>
      <c r="H5" s="50" t="s">
        <v>110</v>
      </c>
      <c r="I5" s="67">
        <v>8.2370000000000001</v>
      </c>
      <c r="J5" s="93">
        <v>20900</v>
      </c>
      <c r="K5" s="64">
        <f t="shared" ref="K5" si="1">SUM(J5:J5)*I5*$K$2</f>
        <v>143748.00549999997</v>
      </c>
      <c r="L5" s="63"/>
      <c r="M5" s="64">
        <f t="shared" ref="M5:M16" si="2">(L5*I5)*$M$2</f>
        <v>0</v>
      </c>
      <c r="N5" s="65"/>
      <c r="O5" s="64">
        <f t="shared" ref="O5:O16" si="3">N5*I5*$O$2</f>
        <v>0</v>
      </c>
      <c r="P5" s="65"/>
      <c r="Q5" s="64">
        <f t="shared" ref="Q5:Q16" si="4">P5*I5*$Q$2</f>
        <v>0</v>
      </c>
      <c r="R5" s="13">
        <f t="shared" ref="R5:R16" si="5">SUM(K5+M5)+O5+Q5</f>
        <v>143748.00549999997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69</v>
      </c>
      <c r="D6" s="10"/>
      <c r="E6" s="34"/>
      <c r="F6" s="68" t="s">
        <v>71</v>
      </c>
      <c r="G6" s="68" t="s">
        <v>111</v>
      </c>
      <c r="H6" s="11" t="s">
        <v>70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7" si="11">B7&amp;C7&amp;D7&amp;E7</f>
        <v>M020809012520101</v>
      </c>
      <c r="B7" s="34"/>
      <c r="C7" s="10"/>
      <c r="D7" s="10" t="s">
        <v>104</v>
      </c>
      <c r="E7" s="34"/>
      <c r="F7" s="68" t="s">
        <v>105</v>
      </c>
      <c r="G7" s="68" t="s">
        <v>106</v>
      </c>
      <c r="H7" s="50" t="s">
        <v>103</v>
      </c>
      <c r="I7" s="67">
        <v>59.5</v>
      </c>
      <c r="J7" s="95">
        <v>13000</v>
      </c>
      <c r="K7" s="64">
        <f t="shared" ref="K7:K16" si="12">SUM(J7:J7)*I7*$K$2</f>
        <v>645872.5</v>
      </c>
      <c r="L7" s="63"/>
      <c r="M7" s="64">
        <f t="shared" si="2"/>
        <v>0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645872.5</v>
      </c>
      <c r="S7" s="49"/>
      <c r="T7" s="14"/>
    </row>
    <row r="8" spans="1:20" s="77" customFormat="1" ht="38.1" customHeight="1">
      <c r="A8" s="9" t="str">
        <f t="shared" si="11"/>
        <v>E00000803071260401</v>
      </c>
      <c r="B8" s="34"/>
      <c r="C8" s="10" t="s">
        <v>72</v>
      </c>
      <c r="D8" s="10"/>
      <c r="E8" s="34"/>
      <c r="F8" s="68" t="s">
        <v>73</v>
      </c>
      <c r="G8" s="68" t="s">
        <v>112</v>
      </c>
      <c r="H8" s="11" t="s">
        <v>70</v>
      </c>
      <c r="I8" s="67">
        <v>0.97540000000000004</v>
      </c>
      <c r="J8" s="66"/>
      <c r="K8" s="64">
        <f t="shared" si="12"/>
        <v>0</v>
      </c>
      <c r="L8" s="94">
        <v>510462</v>
      </c>
      <c r="M8" s="64">
        <f t="shared" si="2"/>
        <v>415750.37005799997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415750.37005799997</v>
      </c>
      <c r="S8" s="49"/>
      <c r="T8" s="14"/>
    </row>
    <row r="9" spans="1:20" s="77" customFormat="1" ht="38.1" customHeight="1">
      <c r="A9" s="9" t="str">
        <f t="shared" si="11"/>
        <v>M020412614110102</v>
      </c>
      <c r="B9" s="34"/>
      <c r="C9" s="10"/>
      <c r="D9" s="59" t="s">
        <v>98</v>
      </c>
      <c r="E9" s="34"/>
      <c r="F9" s="71" t="s">
        <v>97</v>
      </c>
      <c r="G9" s="71" t="s">
        <v>92</v>
      </c>
      <c r="H9" s="60" t="s">
        <v>91</v>
      </c>
      <c r="I9" s="67">
        <v>0.5</v>
      </c>
      <c r="J9" s="93">
        <v>65500</v>
      </c>
      <c r="K9" s="64">
        <f t="shared" si="12"/>
        <v>27346.25</v>
      </c>
      <c r="L9" s="63"/>
      <c r="M9" s="64"/>
      <c r="N9" s="65"/>
      <c r="O9" s="64"/>
      <c r="P9" s="65"/>
      <c r="Q9" s="64"/>
      <c r="R9" s="13">
        <f t="shared" si="5"/>
        <v>27346.25</v>
      </c>
      <c r="S9" s="49"/>
      <c r="T9" s="14"/>
    </row>
    <row r="10" spans="1:20" s="77" customFormat="1" ht="38.1" customHeight="1">
      <c r="A10" s="9" t="str">
        <f t="shared" si="11"/>
        <v>E00000803061120402</v>
      </c>
      <c r="B10" s="34"/>
      <c r="C10" s="10" t="s">
        <v>74</v>
      </c>
      <c r="D10" s="10"/>
      <c r="E10" s="34"/>
      <c r="F10" s="68" t="s">
        <v>75</v>
      </c>
      <c r="G10" s="68" t="s">
        <v>76</v>
      </c>
      <c r="H10" s="50" t="s">
        <v>89</v>
      </c>
      <c r="I10" s="67">
        <v>48</v>
      </c>
      <c r="J10" s="63"/>
      <c r="K10" s="64">
        <f t="shared" si="12"/>
        <v>0</v>
      </c>
      <c r="L10" s="96">
        <v>10752</v>
      </c>
      <c r="M10" s="64">
        <f t="shared" si="2"/>
        <v>430940.15999999997</v>
      </c>
      <c r="N10" s="65"/>
      <c r="O10" s="64">
        <f t="shared" si="3"/>
        <v>0</v>
      </c>
      <c r="P10" s="65"/>
      <c r="Q10" s="64">
        <f t="shared" si="4"/>
        <v>0</v>
      </c>
      <c r="R10" s="13">
        <f t="shared" si="5"/>
        <v>430940.15999999997</v>
      </c>
      <c r="S10" s="49"/>
      <c r="T10" s="14"/>
    </row>
    <row r="11" spans="1:20" s="77" customFormat="1" ht="38.1" customHeight="1">
      <c r="A11" s="9" t="str">
        <f t="shared" si="11"/>
        <v>E00000803061300201</v>
      </c>
      <c r="B11" s="34"/>
      <c r="C11" s="10" t="s">
        <v>78</v>
      </c>
      <c r="D11" s="10"/>
      <c r="E11" s="34"/>
      <c r="F11" s="68" t="s">
        <v>79</v>
      </c>
      <c r="G11" s="68" t="s">
        <v>80</v>
      </c>
      <c r="H11" s="50" t="s">
        <v>77</v>
      </c>
      <c r="I11" s="67">
        <v>48</v>
      </c>
      <c r="J11" s="63"/>
      <c r="K11" s="64">
        <f t="shared" si="12"/>
        <v>0</v>
      </c>
      <c r="L11" s="94">
        <v>6368</v>
      </c>
      <c r="M11" s="64">
        <f t="shared" si="2"/>
        <v>255229.44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255229.44</v>
      </c>
      <c r="S11" s="49"/>
      <c r="T11" s="14"/>
    </row>
    <row r="12" spans="1:20" s="77" customFormat="1" ht="38.1" customHeight="1">
      <c r="A12" s="9" t="str">
        <f t="shared" si="11"/>
        <v>M020411810170101</v>
      </c>
      <c r="B12" s="34"/>
      <c r="C12" s="10"/>
      <c r="D12" s="59" t="s">
        <v>93</v>
      </c>
      <c r="E12" s="34"/>
      <c r="F12" s="71" t="s">
        <v>94</v>
      </c>
      <c r="G12" s="71" t="s">
        <v>95</v>
      </c>
      <c r="H12" s="60" t="s">
        <v>91</v>
      </c>
      <c r="I12" s="67">
        <v>0.2</v>
      </c>
      <c r="J12" s="101">
        <v>89800</v>
      </c>
      <c r="K12" s="64">
        <f t="shared" si="12"/>
        <v>14996.599999999999</v>
      </c>
      <c r="L12" s="63"/>
      <c r="M12" s="64"/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14996.599999999999</v>
      </c>
      <c r="S12" s="49"/>
      <c r="T12" s="14"/>
    </row>
    <row r="13" spans="1:20" s="77" customFormat="1" ht="38.1" customHeight="1">
      <c r="A13" s="9" t="str">
        <f t="shared" si="11"/>
        <v>E00000803061120802</v>
      </c>
      <c r="B13" s="34"/>
      <c r="C13" s="10" t="s">
        <v>81</v>
      </c>
      <c r="D13" s="10"/>
      <c r="E13" s="34"/>
      <c r="F13" s="68" t="s">
        <v>82</v>
      </c>
      <c r="G13" s="68" t="s">
        <v>83</v>
      </c>
      <c r="H13" s="50" t="s">
        <v>77</v>
      </c>
      <c r="I13" s="67">
        <v>16</v>
      </c>
      <c r="J13" s="78"/>
      <c r="K13" s="12">
        <f t="shared" si="12"/>
        <v>0</v>
      </c>
      <c r="L13" s="94">
        <v>2496</v>
      </c>
      <c r="M13" s="12">
        <f t="shared" si="2"/>
        <v>33346.559999999998</v>
      </c>
      <c r="N13" s="13"/>
      <c r="O13" s="12">
        <f t="shared" si="3"/>
        <v>0</v>
      </c>
      <c r="P13" s="13"/>
      <c r="Q13" s="12">
        <f t="shared" si="4"/>
        <v>0</v>
      </c>
      <c r="R13" s="13">
        <f t="shared" si="5"/>
        <v>33346.559999999998</v>
      </c>
      <c r="S13" s="49"/>
      <c r="T13" s="14"/>
    </row>
    <row r="14" spans="1:20" s="77" customFormat="1" ht="38.1" customHeight="1">
      <c r="A14" s="9" t="str">
        <f t="shared" si="11"/>
        <v>E00000803061300701</v>
      </c>
      <c r="B14" s="34"/>
      <c r="C14" s="10" t="s">
        <v>84</v>
      </c>
      <c r="D14" s="10"/>
      <c r="E14" s="34"/>
      <c r="F14" s="68" t="s">
        <v>85</v>
      </c>
      <c r="G14" s="68" t="s">
        <v>80</v>
      </c>
      <c r="H14" s="50" t="s">
        <v>77</v>
      </c>
      <c r="I14" s="67">
        <v>16</v>
      </c>
      <c r="J14" s="51"/>
      <c r="K14" s="12">
        <f t="shared" si="12"/>
        <v>0</v>
      </c>
      <c r="L14" s="94">
        <v>3871</v>
      </c>
      <c r="M14" s="12">
        <f t="shared" si="2"/>
        <v>51716.56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51716.56</v>
      </c>
      <c r="S14" s="49"/>
      <c r="T14" s="14"/>
    </row>
    <row r="15" spans="1:20" s="77" customFormat="1" ht="38.1" customHeight="1">
      <c r="A15" s="9" t="str">
        <f t="shared" si="11"/>
        <v>E00000803061120802</v>
      </c>
      <c r="B15" s="34"/>
      <c r="C15" s="10" t="s">
        <v>81</v>
      </c>
      <c r="D15" s="10"/>
      <c r="E15" s="34"/>
      <c r="F15" s="68" t="s">
        <v>86</v>
      </c>
      <c r="G15" s="68" t="s">
        <v>83</v>
      </c>
      <c r="H15" s="50" t="s">
        <v>77</v>
      </c>
      <c r="I15" s="67">
        <v>2</v>
      </c>
      <c r="J15" s="78"/>
      <c r="K15" s="12">
        <f t="shared" si="12"/>
        <v>0</v>
      </c>
      <c r="L15" s="94">
        <v>2496</v>
      </c>
      <c r="M15" s="12">
        <f t="shared" si="2"/>
        <v>4168.32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4168.32</v>
      </c>
      <c r="S15" s="49"/>
      <c r="T15" s="14"/>
    </row>
    <row r="16" spans="1:20" s="77" customFormat="1" ht="38.1" customHeight="1">
      <c r="A16" s="9" t="str">
        <f t="shared" si="11"/>
        <v>E00000803061300401</v>
      </c>
      <c r="B16" s="34"/>
      <c r="C16" s="10" t="s">
        <v>87</v>
      </c>
      <c r="D16" s="10"/>
      <c r="E16" s="34"/>
      <c r="F16" s="68" t="s">
        <v>88</v>
      </c>
      <c r="G16" s="68" t="s">
        <v>80</v>
      </c>
      <c r="H16" s="50" t="s">
        <v>77</v>
      </c>
      <c r="I16" s="67">
        <v>2</v>
      </c>
      <c r="J16" s="51"/>
      <c r="K16" s="12">
        <f t="shared" si="12"/>
        <v>0</v>
      </c>
      <c r="L16" s="94">
        <v>5851</v>
      </c>
      <c r="M16" s="12">
        <f t="shared" si="2"/>
        <v>9771.17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9771.17</v>
      </c>
      <c r="S16" s="49"/>
      <c r="T16" s="14"/>
    </row>
    <row r="17" spans="1:20" s="77" customFormat="1" ht="38.1" customHeight="1">
      <c r="A17" s="9" t="str">
        <f t="shared" si="11"/>
        <v>E00000801011510701</v>
      </c>
      <c r="B17" s="34"/>
      <c r="C17" s="10" t="s">
        <v>109</v>
      </c>
      <c r="D17" s="10"/>
      <c r="E17" s="34"/>
      <c r="F17" s="97" t="s">
        <v>113</v>
      </c>
      <c r="G17" s="11" t="s">
        <v>108</v>
      </c>
      <c r="H17" s="98" t="s">
        <v>114</v>
      </c>
      <c r="I17" s="67">
        <v>100</v>
      </c>
      <c r="J17" s="78"/>
      <c r="K17" s="12">
        <f t="shared" ref="K17" si="13">SUM(J17:J17)*I17*$K$2</f>
        <v>0</v>
      </c>
      <c r="L17" s="94">
        <v>5131</v>
      </c>
      <c r="M17" s="12">
        <f t="shared" ref="M17" si="14">(L17*I17)*$M$2</f>
        <v>428438.5</v>
      </c>
      <c r="N17" s="13"/>
      <c r="O17" s="12">
        <f t="shared" ref="O17" si="15">N17*I17*$O$2</f>
        <v>0</v>
      </c>
      <c r="P17" s="13"/>
      <c r="Q17" s="12">
        <f t="shared" ref="Q17" si="16">P17*I17*$Q$2</f>
        <v>0</v>
      </c>
      <c r="R17" s="13">
        <f t="shared" ref="R17" si="17">SUM(K17+M17)+O17+Q17</f>
        <v>428438.5</v>
      </c>
      <c r="S17" s="49"/>
      <c r="T17" s="14"/>
    </row>
    <row r="18" spans="1:20" s="84" customFormat="1" ht="38.1" customHeight="1">
      <c r="A18" s="79"/>
      <c r="B18" s="80"/>
      <c r="C18" s="80"/>
      <c r="D18" s="80"/>
      <c r="E18" s="80"/>
      <c r="F18" s="72"/>
      <c r="G18" s="72"/>
      <c r="H18" s="80"/>
      <c r="I18" s="80"/>
      <c r="J18" s="80"/>
      <c r="K18" s="81">
        <f>SUM(K5:K17)</f>
        <v>831963.35549999995</v>
      </c>
      <c r="L18" s="82"/>
      <c r="M18" s="81">
        <f>SUM(M5:M17)</f>
        <v>2889314.0161779998</v>
      </c>
      <c r="N18" s="82"/>
      <c r="O18" s="81">
        <f>SUM(O5:O17)</f>
        <v>0</v>
      </c>
      <c r="P18" s="82"/>
      <c r="Q18" s="81">
        <f>SUM(Q5:Q17)</f>
        <v>0</v>
      </c>
      <c r="R18" s="83">
        <f>SUM(R5:R17)</f>
        <v>3721277.3716779999</v>
      </c>
      <c r="S18" s="42"/>
      <c r="T18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topLeftCell="A2" zoomScaleNormal="100" workbookViewId="0">
      <selection activeCell="G34" sqref="G3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11" t="s">
        <v>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</row>
    <row r="2" spans="1:16" ht="15" customHeight="1">
      <c r="A2" s="312" t="s">
        <v>10</v>
      </c>
      <c r="B2" s="313" t="s">
        <v>11</v>
      </c>
      <c r="C2" s="314" t="s">
        <v>8</v>
      </c>
      <c r="D2" s="314" t="s">
        <v>12</v>
      </c>
      <c r="E2" s="316" t="s">
        <v>13</v>
      </c>
      <c r="F2" s="313"/>
      <c r="G2" s="313" t="s">
        <v>14</v>
      </c>
      <c r="H2" s="313"/>
      <c r="I2" s="317" t="s">
        <v>15</v>
      </c>
      <c r="J2" s="318"/>
      <c r="K2" s="317" t="s">
        <v>16</v>
      </c>
      <c r="L2" s="318"/>
      <c r="M2" s="316" t="s">
        <v>17</v>
      </c>
      <c r="N2" s="313"/>
      <c r="O2" s="319" t="s">
        <v>18</v>
      </c>
    </row>
    <row r="3" spans="1:16" ht="15" customHeight="1">
      <c r="A3" s="312"/>
      <c r="B3" s="313"/>
      <c r="C3" s="315"/>
      <c r="D3" s="315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20"/>
    </row>
    <row r="4" spans="1:16" ht="15" customHeight="1">
      <c r="A4" s="309" t="s">
        <v>115</v>
      </c>
      <c r="B4" s="31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1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1" si="0">D5*E5</f>
        <v>42280</v>
      </c>
      <c r="G5" s="99">
        <v>9266</v>
      </c>
      <c r="H5" s="20">
        <f t="shared" ref="H5:H11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03" t="s">
        <v>99</v>
      </c>
    </row>
    <row r="6" spans="1:16" ht="15" customHeight="1">
      <c r="A6" s="302"/>
      <c r="B6" s="102" t="s">
        <v>25</v>
      </c>
      <c r="C6" s="103" t="s">
        <v>24</v>
      </c>
      <c r="D6" s="104"/>
      <c r="E6" s="105"/>
      <c r="F6" s="106"/>
      <c r="G6" s="105"/>
      <c r="H6" s="106"/>
      <c r="I6" s="106"/>
      <c r="J6" s="106"/>
      <c r="K6" s="106"/>
      <c r="L6" s="106"/>
      <c r="M6" s="106"/>
      <c r="N6" s="106"/>
      <c r="O6" s="304"/>
    </row>
    <row r="7" spans="1:16" ht="15" customHeight="1">
      <c r="A7" s="302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1" si="2">F7+H7+J7+L7</f>
        <v>330336</v>
      </c>
      <c r="O7" s="304"/>
      <c r="P7" s="48">
        <f>D6+D8+D10+D12</f>
        <v>0</v>
      </c>
    </row>
    <row r="8" spans="1:16" ht="15" customHeight="1">
      <c r="A8" s="302"/>
      <c r="B8" s="102" t="s">
        <v>27</v>
      </c>
      <c r="C8" s="103" t="s">
        <v>24</v>
      </c>
      <c r="D8" s="104"/>
      <c r="E8" s="105"/>
      <c r="F8" s="106"/>
      <c r="G8" s="105"/>
      <c r="H8" s="106"/>
      <c r="I8" s="106"/>
      <c r="J8" s="106"/>
      <c r="K8" s="106"/>
      <c r="L8" s="106"/>
      <c r="M8" s="106"/>
      <c r="N8" s="106"/>
      <c r="O8" s="304"/>
    </row>
    <row r="9" spans="1:16" ht="15" customHeight="1">
      <c r="A9" s="302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04"/>
    </row>
    <row r="10" spans="1:16" ht="15" customHeight="1">
      <c r="A10" s="302"/>
      <c r="B10" s="102" t="s">
        <v>29</v>
      </c>
      <c r="C10" s="103" t="s">
        <v>24</v>
      </c>
      <c r="D10" s="104"/>
      <c r="E10" s="105"/>
      <c r="F10" s="106"/>
      <c r="G10" s="105"/>
      <c r="H10" s="106"/>
      <c r="I10" s="106"/>
      <c r="J10" s="106"/>
      <c r="K10" s="106"/>
      <c r="L10" s="106"/>
      <c r="M10" s="106"/>
      <c r="N10" s="106"/>
      <c r="O10" s="304"/>
    </row>
    <row r="11" spans="1:16" ht="15" customHeight="1">
      <c r="A11" s="302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04"/>
    </row>
    <row r="12" spans="1:16" ht="15" customHeight="1">
      <c r="A12" s="302"/>
      <c r="B12" s="102" t="s">
        <v>31</v>
      </c>
      <c r="C12" s="103" t="s">
        <v>24</v>
      </c>
      <c r="D12" s="104"/>
      <c r="E12" s="105"/>
      <c r="F12" s="106"/>
      <c r="G12" s="105"/>
      <c r="H12" s="106"/>
      <c r="I12" s="106"/>
      <c r="J12" s="106"/>
      <c r="K12" s="106"/>
      <c r="L12" s="106"/>
      <c r="M12" s="106"/>
      <c r="N12" s="106"/>
      <c r="O12" s="304"/>
    </row>
    <row r="13" spans="1:16" ht="15" customHeight="1">
      <c r="A13" s="43" t="s">
        <v>32</v>
      </c>
      <c r="B13" s="44"/>
      <c r="C13" s="45"/>
      <c r="D13" s="87">
        <f>SUM(D5:D12)</f>
        <v>136</v>
      </c>
      <c r="E13" s="52"/>
      <c r="F13" s="46">
        <f>SUM(F5:F12)</f>
        <v>143752</v>
      </c>
      <c r="G13" s="46"/>
      <c r="H13" s="46">
        <f>SUM(H5:H12)</f>
        <v>1260176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1403928</v>
      </c>
      <c r="O13" s="46"/>
    </row>
    <row r="14" spans="1:16" ht="15" customHeight="1">
      <c r="A14" s="305" t="s">
        <v>100</v>
      </c>
      <c r="B14" s="18" t="s">
        <v>33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04"/>
    </row>
    <row r="15" spans="1:16" ht="15" customHeight="1">
      <c r="A15" s="305"/>
      <c r="B15" s="18" t="s">
        <v>34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04"/>
    </row>
    <row r="16" spans="1:16" ht="15" customHeight="1">
      <c r="A16" s="305"/>
      <c r="B16" s="18" t="s">
        <v>35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04"/>
    </row>
    <row r="17" spans="1:15" ht="15" customHeight="1">
      <c r="A17" s="306"/>
      <c r="B17" s="18" t="s">
        <v>36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07"/>
    </row>
    <row r="18" spans="1:15" ht="15" customHeight="1">
      <c r="A18" s="35" t="s">
        <v>32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37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96</v>
      </c>
      <c r="B20" s="61" t="s">
        <v>92</v>
      </c>
      <c r="C20" s="61" t="s">
        <v>91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20"/>
    </row>
    <row r="21" spans="1:15" ht="15" customHeight="1">
      <c r="A21" s="308" t="s">
        <v>38</v>
      </c>
      <c r="B21" s="25" t="s">
        <v>39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20"/>
    </row>
    <row r="22" spans="1:15" ht="15" customHeight="1">
      <c r="A22" s="308"/>
      <c r="B22" s="25" t="s">
        <v>40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20"/>
    </row>
    <row r="23" spans="1:15" ht="15" customHeight="1">
      <c r="A23" s="308" t="s">
        <v>41</v>
      </c>
      <c r="B23" s="25" t="s">
        <v>39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20"/>
    </row>
    <row r="24" spans="1:15" ht="15" customHeight="1">
      <c r="A24" s="308"/>
      <c r="B24" s="25" t="s">
        <v>40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20"/>
    </row>
    <row r="25" spans="1:15" ht="15" customHeight="1">
      <c r="A25" s="62" t="s">
        <v>94</v>
      </c>
      <c r="B25" s="61" t="s">
        <v>95</v>
      </c>
      <c r="C25" s="61" t="s">
        <v>91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00" t="s">
        <v>42</v>
      </c>
      <c r="B26" s="25" t="s">
        <v>43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00"/>
      <c r="B27" s="25" t="s">
        <v>44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00" t="s">
        <v>45</v>
      </c>
      <c r="B28" s="25" t="s">
        <v>43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00"/>
      <c r="B29" s="25" t="s">
        <v>46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32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47</v>
      </c>
      <c r="B31" s="18" t="s">
        <v>107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48</v>
      </c>
    </row>
    <row r="32" spans="1:15" ht="15" customHeight="1">
      <c r="A32" s="36" t="s">
        <v>32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90</v>
      </c>
      <c r="B33" s="21"/>
      <c r="C33" s="22"/>
      <c r="D33" s="92"/>
      <c r="E33" s="31"/>
      <c r="F33" s="32">
        <f>F13+F18+F30+F32</f>
        <v>831967.6</v>
      </c>
      <c r="G33" s="32"/>
      <c r="H33" s="32">
        <f>H13+H18+H30+H32</f>
        <v>2889458.5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3721426.1</v>
      </c>
      <c r="O33" s="3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A15" sqref="A15:XFD16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8.2370000000000001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M020809012520101</v>
      </c>
      <c r="B4" s="39">
        <f>'내역서(표준단가)'!B7</f>
        <v>0</v>
      </c>
      <c r="C4" s="39">
        <f>'내역서(표준단가)'!C7</f>
        <v>0</v>
      </c>
      <c r="D4" s="39" t="str">
        <f>'내역서(표준단가)'!D7</f>
        <v>M020809012520101</v>
      </c>
      <c r="E4" s="39">
        <f>'내역서(표준단가)'!E7</f>
        <v>0</v>
      </c>
      <c r="F4" s="47">
        <f>'내역서(표준단가)'!I7</f>
        <v>59.5</v>
      </c>
    </row>
    <row r="5" spans="1:6">
      <c r="A5" s="38" t="str">
        <f>'내역서(표준단가)'!A8</f>
        <v>E00000803071260401</v>
      </c>
      <c r="B5" s="39">
        <f>'내역서(표준단가)'!B8</f>
        <v>0</v>
      </c>
      <c r="C5" s="39" t="str">
        <f>'내역서(표준단가)'!C8</f>
        <v>E00000803071260401</v>
      </c>
      <c r="D5" s="39">
        <f>'내역서(표준단가)'!D8</f>
        <v>0</v>
      </c>
      <c r="E5" s="39">
        <f>'내역서(표준단가)'!E8</f>
        <v>0</v>
      </c>
      <c r="F5" s="47">
        <f>'내역서(표준단가)'!I8</f>
        <v>0.97540000000000004</v>
      </c>
    </row>
    <row r="6" spans="1:6">
      <c r="A6" s="38" t="str">
        <f>'내역서(표준단가)'!A9</f>
        <v>M020412614110102</v>
      </c>
      <c r="B6" s="39">
        <f>'내역서(표준단가)'!B9</f>
        <v>0</v>
      </c>
      <c r="C6" s="39">
        <f>'내역서(표준단가)'!C9</f>
        <v>0</v>
      </c>
      <c r="D6" s="39" t="str">
        <f>'내역서(표준단가)'!D9</f>
        <v>M020412614110102</v>
      </c>
      <c r="E6" s="39">
        <f>'내역서(표준단가)'!E9</f>
        <v>0</v>
      </c>
      <c r="F6" s="47">
        <f>'내역서(표준단가)'!I9</f>
        <v>0.5</v>
      </c>
    </row>
    <row r="7" spans="1:6">
      <c r="A7" s="38" t="str">
        <f>'내역서(표준단가)'!A10</f>
        <v>E00000803061120402</v>
      </c>
      <c r="B7" s="39">
        <f>'내역서(표준단가)'!B10</f>
        <v>0</v>
      </c>
      <c r="C7" s="39" t="str">
        <f>'내역서(표준단가)'!C10</f>
        <v>E00000803061120402</v>
      </c>
      <c r="D7" s="39">
        <f>'내역서(표준단가)'!D10</f>
        <v>0</v>
      </c>
      <c r="E7" s="39">
        <f>'내역서(표준단가)'!E10</f>
        <v>0</v>
      </c>
      <c r="F7" s="47">
        <f>'내역서(표준단가)'!I10</f>
        <v>48</v>
      </c>
    </row>
    <row r="8" spans="1:6">
      <c r="A8" s="38" t="str">
        <f>'내역서(표준단가)'!A11</f>
        <v>E00000803061300201</v>
      </c>
      <c r="B8" s="39">
        <f>'내역서(표준단가)'!B11</f>
        <v>0</v>
      </c>
      <c r="C8" s="39" t="str">
        <f>'내역서(표준단가)'!C11</f>
        <v>E00000803061300201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M020411810170101</v>
      </c>
      <c r="B9" s="39">
        <f>'내역서(표준단가)'!B12</f>
        <v>0</v>
      </c>
      <c r="C9" s="39">
        <f>'내역서(표준단가)'!C12</f>
        <v>0</v>
      </c>
      <c r="D9" s="39" t="str">
        <f>'내역서(표준단가)'!D12</f>
        <v>M020411810170101</v>
      </c>
      <c r="E9" s="39">
        <f>'내역서(표준단가)'!E12</f>
        <v>0</v>
      </c>
      <c r="F9" s="47">
        <f>'내역서(표준단가)'!I12</f>
        <v>0.2</v>
      </c>
    </row>
    <row r="10" spans="1:6">
      <c r="A10" s="38" t="str">
        <f>'내역서(표준단가)'!A13</f>
        <v>E00000803061120802</v>
      </c>
      <c r="B10" s="39">
        <f>'내역서(표준단가)'!B13</f>
        <v>0</v>
      </c>
      <c r="C10" s="39" t="str">
        <f>'내역서(표준단가)'!C13</f>
        <v>E00000803061120802</v>
      </c>
      <c r="D10" s="39">
        <f>'내역서(표준단가)'!D13</f>
        <v>0</v>
      </c>
      <c r="E10" s="39">
        <f>'내역서(표준단가)'!E13</f>
        <v>0</v>
      </c>
      <c r="F10" s="47">
        <f>'내역서(표준단가)'!I13</f>
        <v>16</v>
      </c>
    </row>
    <row r="11" spans="1:6">
      <c r="A11" s="38" t="str">
        <f>'내역서(표준단가)'!A14</f>
        <v>E00000803061300701</v>
      </c>
      <c r="B11" s="39">
        <f>'내역서(표준단가)'!B14</f>
        <v>0</v>
      </c>
      <c r="C11" s="39" t="str">
        <f>'내역서(표준단가)'!C14</f>
        <v>E00000803061300701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E00000803061120802</v>
      </c>
      <c r="B12" s="39">
        <f>'내역서(표준단가)'!B15</f>
        <v>0</v>
      </c>
      <c r="C12" s="39" t="str">
        <f>'내역서(표준단가)'!C15</f>
        <v>E00000803061120802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2</v>
      </c>
    </row>
    <row r="13" spans="1:6">
      <c r="A13" s="38" t="str">
        <f>'내역서(표준단가)'!A16</f>
        <v>E00000803061300401</v>
      </c>
      <c r="B13" s="39">
        <f>'내역서(표준단가)'!B16</f>
        <v>0</v>
      </c>
      <c r="C13" s="39" t="str">
        <f>'내역서(표준단가)'!C16</f>
        <v>E00000803061300401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E00000801011510701</v>
      </c>
      <c r="B14" s="39">
        <f>'내역서(표준단가)'!B17</f>
        <v>0</v>
      </c>
      <c r="C14" s="39" t="str">
        <f>'내역서(표준단가)'!C17</f>
        <v>E00000801011510701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2026-05-26T01:38:53Z</dcterms:modified>
</cp:coreProperties>
</file>
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BA076E9A-8C65-4083-A628-691E62FBA6C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V6" i="4" l="1"/>
  <c r="V5" i="4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<sst xmlns="http://schemas.openxmlformats.org/spreadsheetml/2006/main" count="130" uniqueCount="108">
  <si>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</si>
  <si>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</si>
  <si>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</si>
  <si>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</si>
  <si>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</si>
  <si>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</si>
  <si>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</si>
  <si>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</si>
  <si>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</si>
  <si>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</si>
  <si>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</si>
  <si>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</si>
  <si>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</si>
  <si>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</si>
  <si>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</si>
  <si>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</si>
  <si>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</si>
  <si>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</si>
  <si>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</si>
  <si>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</si>
  <si>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</si>
  <si>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</si>
  <si>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</si>
  <si>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</si>
  <si>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</si>
  <si>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</si>
  <si>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</si>
  <si>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</si>
  <si>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</si>
  <si>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</si>
  <si>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</si>
  <si>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</si>
  <si>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</si>
  <si>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</si>
  <si>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</si>
  <si>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</si>
  <si>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</si>
  <si>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</si>
  <si>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</si>
  <si>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</si>
  <si>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</si>
  <si>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</si>
  <si>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</si>
  <si>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</si>
  <si>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</si>
  <si>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</si>
  <si>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</si>
  <si>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</si>
  <si>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</si>
  <si>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</si>
  <si>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</si>
  <si>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</si>
  <si>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</si>
  <si>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</si>
  <si>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</si>
  <si>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</si>
  <si>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</si>
  <si>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</si>
  <si>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</si>
  <si>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</si>
  <si>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</si>
  <si>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</si>
  <si>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</si>
  <si>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</si>
  <si>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</si>
  <si>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</si>
  <si>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</si>
  <si>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</si>
  <si>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</si>
  <si>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</si>
  <si>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</si>
  <si>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</si>
  <si>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</si>
  <si>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</si>
  <si>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</si>
  <si>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</si>
  <si>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</si>
  <si>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</si>
  <si>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</si>
  <si>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</si>
  <si>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</si>
  <si>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</si>
  <si>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</si>
  <si>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</si>
  <si>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</si>
  <si>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</si>
  <si>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</si>
  <si>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</si>
  <si>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</si>
  <si>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</si>
  <si>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</si>
  <si>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</si>
  <si>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</si>
  <si>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</si>
  <si>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</si>
  <si>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</si>
  <si>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</si>
  <si>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</si>
  <si>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</si>
  <si>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</si>
  <si>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</si>
  <si>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</si>
  <si>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</si>
  <si>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</si>
  <si>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</si>
  <si>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</si>
  <si>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5-206 씽크대 상하부장 문짝교체</t>
    <phoneticPr fontId="12" type="noConversion"/>
  </si>
  <si>
    <t xml:space="preserve"> 견적일 : 2026년  01월  23일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</si>
</sst>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7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5" xfId="8" applyFont="1" applyFill="1" applyBorder="1" applyAlignment="1">
      <alignment horizontal="center" vertical="center"/>
    </xf>
    <xf numFmtId="0" fontId="20" fillId="5" borderId="15" xfId="6" applyFont="1" applyFill="1" applyBorder="1" applyAlignment="1">
      <alignment vertical="center"/>
    </xf>
    <xf numFmtId="0" fontId="20" fillId="5" borderId="15" xfId="6" applyFont="1" applyFill="1" applyBorder="1" applyAlignment="1">
      <alignment horizontal="center" vertical="center"/>
    </xf>
    <xf numFmtId="178" fontId="20" fillId="5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7" sqref="L1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9" t="s">
        <v>6</v>
      </c>
      <c r="B2" s="119"/>
      <c r="C2" s="119"/>
      <c r="D2" s="119"/>
      <c r="E2" s="119"/>
      <c r="F2" s="119"/>
      <c r="G2" s="119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2" t="s">
        <v>106</v>
      </c>
      <c r="B7" s="123"/>
      <c r="C7" s="124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2" t="s">
        <v>107</v>
      </c>
      <c r="B9" s="123"/>
      <c r="C9" s="124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0"/>
      <c r="B11" s="121"/>
      <c r="C11" s="121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1019321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31700.883099999999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13984.804030688751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74359.88464446376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1093680.8846444637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1093000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5" bestFit="1" customWidth="1"/>
    <col min="2" max="5" width="18.5" style="115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5"/>
      <c r="B1" s="125"/>
      <c r="C1" s="125"/>
      <c r="D1" s="125"/>
      <c r="E1" s="125"/>
      <c r="F1" s="125"/>
      <c r="G1" s="125"/>
      <c r="H1" s="125"/>
      <c r="I1" s="125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5"/>
      <c r="B2" s="125"/>
      <c r="C2" s="125"/>
      <c r="D2" s="125"/>
      <c r="E2" s="125"/>
      <c r="F2" s="125"/>
      <c r="G2" s="125"/>
      <c r="H2" s="125"/>
      <c r="I2" s="125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6" t="s">
        <v>82</v>
      </c>
      <c r="K3" s="136"/>
      <c r="L3" s="134" t="s">
        <v>51</v>
      </c>
      <c r="M3" s="134" t="s">
        <v>5</v>
      </c>
      <c r="N3" s="130" t="s">
        <v>83</v>
      </c>
      <c r="O3" s="130"/>
      <c r="P3" s="130" t="s">
        <v>84</v>
      </c>
      <c r="Q3" s="130"/>
      <c r="R3" s="131" t="s">
        <v>85</v>
      </c>
      <c r="S3" s="131"/>
      <c r="T3" s="131" t="s">
        <v>86</v>
      </c>
      <c r="U3" s="131"/>
      <c r="V3" s="132" t="s">
        <v>87</v>
      </c>
      <c r="W3" s="128" t="s">
        <v>88</v>
      </c>
      <c r="X3" s="126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5"/>
      <c r="M4" s="135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3"/>
      <c r="W4" s="129"/>
      <c r="X4" s="127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800000</v>
      </c>
      <c r="O6" s="103">
        <f>M6*N6</f>
        <v>800000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800000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7">
        <f>SUM(O5:O6)</f>
        <v>800000</v>
      </c>
      <c r="Q7" s="117">
        <f>SUM(Q5:Q6)</f>
        <v>219321</v>
      </c>
      <c r="S7" s="117">
        <f>SUM(S5:S6)</f>
        <v>0</v>
      </c>
      <c r="U7" s="117">
        <f>SUM(U5:U6)</f>
        <v>0</v>
      </c>
      <c r="V7" s="118">
        <f>SUM(V5:V6)</f>
        <v>1019321</v>
      </c>
      <c r="W7" s="83"/>
    </row>
    <row r="11" spans="1:24" ht="38.1" customHeight="1" x14ac:dyDescent="0.3">
      <c r="Q11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800000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2026-01-31T06:49:46Z</dcterms:created>
  <dcterms:modified xsi:type="dcterms:W3CDTF">2026-02-01T01:36:08Z</dcterms:modified>
</cp:coreProperties>
</file>
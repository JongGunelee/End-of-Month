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완료]기숙사 및 사택 긴급보수 작업(건축)-5차\"/>
    </mc:Choice>
  </mc:AlternateContent>
  <xr:revisionPtr revIDLastSave="0" documentId="13_ncr:1_{18BBD0CD-7E27-4473-A6DF-D9DC2BB5F236}" xr6:coauthVersionLast="47" xr6:coauthVersionMax="47" xr10:uidLastSave="{00000000-0000-0000-0000-000000000000}"/>
  <bookViews>
    <workbookView xWindow="-60" yWindow="-60" windowWidth="28920" windowHeight="16320" activeTab="2" xr2:uid="{00000000-000D-0000-FFFF-FFFF00000000}"/>
  </bookViews>
  <sheets>
    <sheet name="갑지" sheetId="20" r:id="rId1"/>
    <sheet name="내역서(표준단가)" sheetId="19" r:id="rId2"/>
    <sheet name="관리소 접수 입력-5차" sheetId="16"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5" i="16" l="1"/>
  <c r="Q5" i="19"/>
  <c r="P74" i="16"/>
  <c r="V74" i="16"/>
  <c r="U74" i="16"/>
  <c r="T74" i="16"/>
  <c r="S74" i="16"/>
  <c r="R74" i="16"/>
  <c r="Q74" i="16"/>
  <c r="D74" i="16"/>
  <c r="Y74" i="16"/>
  <c r="X74" i="16"/>
  <c r="W74" i="16"/>
  <c r="O73" i="16" l="1"/>
  <c r="I73" i="16"/>
  <c r="J73" i="16" s="1"/>
  <c r="O72" i="16"/>
  <c r="I72" i="16"/>
  <c r="J72" i="16" s="1"/>
  <c r="O71" i="16"/>
  <c r="I71" i="16"/>
  <c r="J71" i="16" s="1"/>
  <c r="O70" i="16"/>
  <c r="I70" i="16"/>
  <c r="J70" i="16" s="1"/>
  <c r="I69" i="16"/>
  <c r="J69" i="16" s="1"/>
  <c r="I68" i="16"/>
  <c r="J68" i="16" s="1"/>
  <c r="I67" i="16"/>
  <c r="J67" i="16" s="1"/>
  <c r="I66" i="16"/>
  <c r="J66" i="16" s="1"/>
  <c r="O65" i="16"/>
  <c r="I65" i="16"/>
  <c r="J65" i="16" s="1"/>
  <c r="I64" i="16"/>
  <c r="J64" i="16" s="1"/>
  <c r="I63" i="16"/>
  <c r="J63" i="16" s="1"/>
  <c r="O62" i="16"/>
  <c r="I62" i="16"/>
  <c r="J62" i="16" s="1"/>
  <c r="P49" i="16"/>
  <c r="P59" i="16" s="1"/>
  <c r="O74" i="16" l="1"/>
  <c r="O59" i="16"/>
  <c r="Y59" i="16"/>
  <c r="X59" i="16"/>
  <c r="W59" i="16"/>
  <c r="V59" i="16"/>
  <c r="U59" i="16"/>
  <c r="T59" i="16"/>
  <c r="S59" i="16"/>
  <c r="R59" i="16"/>
  <c r="Q59" i="16"/>
  <c r="D59" i="16"/>
  <c r="I58" i="16"/>
  <c r="J58" i="16" s="1"/>
  <c r="I57" i="16"/>
  <c r="J57" i="16" s="1"/>
  <c r="I56" i="16"/>
  <c r="J56" i="16" s="1"/>
  <c r="I55" i="16"/>
  <c r="J55" i="16" s="1"/>
  <c r="I54" i="16"/>
  <c r="J54" i="16" s="1"/>
  <c r="I53" i="16"/>
  <c r="J53" i="16" s="1"/>
  <c r="I52" i="16"/>
  <c r="J52" i="16" s="1"/>
  <c r="I51" i="16"/>
  <c r="J51" i="16" s="1"/>
  <c r="I50" i="16"/>
  <c r="J50" i="16" s="1"/>
  <c r="S46" i="16"/>
  <c r="I59" i="16" l="1"/>
  <c r="J59" i="16"/>
  <c r="W46" i="16"/>
  <c r="U6" i="19" l="1"/>
  <c r="S6" i="19"/>
  <c r="Q6" i="19"/>
  <c r="O6" i="19"/>
  <c r="A6" i="19"/>
  <c r="U5" i="19"/>
  <c r="S5" i="19"/>
  <c r="O5" i="19"/>
  <c r="A5" i="19"/>
  <c r="Y46" i="16"/>
  <c r="X46" i="16"/>
  <c r="V46" i="16"/>
  <c r="U46" i="16"/>
  <c r="T46" i="16"/>
  <c r="R46" i="16"/>
  <c r="Q46" i="16"/>
  <c r="P46" i="16"/>
  <c r="D46" i="16"/>
  <c r="I44" i="16"/>
  <c r="J44" i="16" s="1"/>
  <c r="I43" i="16"/>
  <c r="J43" i="16" s="1"/>
  <c r="I42" i="16"/>
  <c r="J42" i="16" s="1"/>
  <c r="I41" i="16"/>
  <c r="I40" i="16"/>
  <c r="J40" i="16" s="1"/>
  <c r="I39" i="16"/>
  <c r="J39" i="16" s="1"/>
  <c r="I38" i="16"/>
  <c r="J38" i="16" s="1"/>
  <c r="I37" i="16"/>
  <c r="J37" i="16" s="1"/>
  <c r="I36" i="16"/>
  <c r="J36" i="16" s="1"/>
  <c r="I35" i="16"/>
  <c r="J35" i="16" s="1"/>
  <c r="I34" i="16"/>
  <c r="J34" i="16" s="1"/>
  <c r="I33" i="16"/>
  <c r="J33" i="16" s="1"/>
  <c r="I32" i="16"/>
  <c r="J32" i="16" s="1"/>
  <c r="I31" i="16"/>
  <c r="J31" i="16" s="1"/>
  <c r="I30" i="16"/>
  <c r="J30" i="16" s="1"/>
  <c r="O29" i="16"/>
  <c r="O46" i="16" s="1"/>
  <c r="I29" i="16"/>
  <c r="D26" i="16"/>
  <c r="V26" i="16"/>
  <c r="U26" i="16"/>
  <c r="T26" i="16"/>
  <c r="Q26" i="16"/>
  <c r="P26" i="16"/>
  <c r="J41" i="16" l="1"/>
  <c r="V5" i="19"/>
  <c r="O7" i="19"/>
  <c r="F16" i="20" s="1"/>
  <c r="Q7" i="19"/>
  <c r="S7" i="19"/>
  <c r="U7" i="19"/>
  <c r="I46" i="16"/>
  <c r="I74" i="16" s="1"/>
  <c r="V6" i="19"/>
  <c r="J29" i="16"/>
  <c r="J46" i="16" s="1"/>
  <c r="J74" i="16" l="1"/>
  <c r="F17" i="20"/>
  <c r="F24" i="20" s="1"/>
  <c r="F18" i="20"/>
  <c r="V7" i="19"/>
  <c r="F26" i="20" l="1"/>
  <c r="F21" i="20"/>
  <c r="F19" i="20"/>
  <c r="F25" i="20"/>
  <c r="F22" i="20"/>
  <c r="F23" i="20" s="1"/>
  <c r="F27" i="20" l="1"/>
  <c r="F28" i="20" s="1"/>
  <c r="F30" i="20" s="1"/>
  <c r="F31" i="20" s="1"/>
  <c r="B12" i="20" s="1"/>
  <c r="O24" i="16" l="1"/>
  <c r="O23" i="16"/>
  <c r="O22" i="16"/>
  <c r="O21" i="16"/>
  <c r="O20" i="16"/>
  <c r="O19" i="16"/>
  <c r="I24" i="16"/>
  <c r="J24" i="16" s="1"/>
  <c r="I23" i="16"/>
  <c r="J23" i="16" s="1"/>
  <c r="I22" i="16"/>
  <c r="J22" i="16" s="1"/>
  <c r="I21" i="16"/>
  <c r="J21" i="16" s="1"/>
  <c r="I20" i="16"/>
  <c r="J20" i="16" s="1"/>
  <c r="I19" i="16"/>
  <c r="J19" i="16" s="1"/>
  <c r="O26"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<sst xmlns="http://schemas.openxmlformats.org/spreadsheetml/2006/main" count="474" uniqueCount="251">
  <si>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</si>
  <si>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</si>
  <si>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</si>
  <si>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</si>
  <si>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</si>
  <si>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</si>
  <si>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</si>
  <si>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</si>
  <si>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</si>
  <si>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</si>
  <si>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</si>
  <si>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</si>
  <si>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</si>
  <si>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</si>
  <si>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</si>
  <si>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</si>
  <si>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</si>
  <si>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</si>
  <si>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</si>
  <si>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</si>
  <si>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</si>
  <si>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</si>
  <si>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</si>
  <si>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</si>
  <si>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</si>
  <si>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</si>
  <si>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</si>
  <si>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</si>
  <si>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</si>
  <si>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</si>
  <si>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</si>
  <si>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</si>
  <si>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</si>
  <si>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</si>
  <si>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</si>
  <si>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</si>
  <si>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</si>
  <si>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</si>
  <si>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</si>
  <si>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</si>
  <si>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</si>
  <si>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</si>
  <si>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</si>
  <si>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</si>
  <si>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</si>
  <si>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</si>
  <si>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</si>
  <si>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</si>
  <si>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</si>
  <si>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</si>
  <si>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</si>
  <si>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</si>
  <si>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</si>
  <si>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</si>
  <si>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</si>
  <si>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</si>
  <si>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</si>
  <si>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</si>
  <si>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</si>
  <si>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</si>
  <si>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</si>
  <si>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</si>
  <si>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</si>
  <si>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</si>
  <si>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</si>
  <si>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</si>
  <si>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</si>
  <si>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</si>
  <si>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</si>
  <si>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</si>
  <si>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</si>
  <si>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</si>
  <si>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</si>
  <si>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</si>
  <si>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</si>
  <si>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</si>
  <si>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</si>
  <si>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</si>
  <si>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</si>
  <si>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</si>
  <si>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</si>
  <si>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</si>
  <si>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</si>
  <si>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</si>
  <si>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</si>
  <si>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</si>
  <si>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</si>
  <si>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</si>
  <si>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</si>
  <si>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</si>
  <si>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</si>
  <si>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</si>
  <si>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</si>
  <si>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</si>
  <si>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</si>
  <si>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</si>
  <si>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</si>
  <si>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</si>
  <si>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</si>
  <si>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</si>
  <si>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</si>
  <si>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</si>
  <si>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</si>
  <si>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</si>
  <si>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</si>
  <si>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</si>
  <si>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</si>
  <si>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</si>
  <si>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</si>
  <si>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</si>
  <si>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</si>
  <si>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</si>
  <si>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</si>
  <si>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</si>
  <si>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</si>
  <si>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</si>
  <si>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</si>
  <si>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</si>
  <si>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</si>
  <si>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</si>
  <si>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</si>
  <si>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</si>
  <si>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</si>
  <si>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</si>
  <si>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</si>
  <si>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</si>
  <si>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</si>
  <si>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</si>
  <si>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</si>
  <si>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</si>
  <si>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</si>
  <si>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</si>
  <si>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</si>
  <si>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</si>
  <si>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</si>
  <si>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</si>
  <si>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</si>
  <si>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</si>
  <si>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</si>
  <si>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</si>
  <si>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</si>
  <si>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</si>
  <si>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</si>
  <si>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</si>
  <si>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</si>
  <si>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</si>
  <si>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</si>
  <si>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</si>
  <si>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</si>
  <si>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</si>
  <si>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</si>
  <si>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</si>
  <si>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</si>
  <si>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</si>
  <si>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</si>
  <si>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</si>
  <si>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</si>
  <si>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</si>
  <si>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</si>
  <si>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</si>
  <si>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이보드(23T) 
1장, 
열반사 단열재
2.5m2</t>
    <phoneticPr fontId="9" type="noConversion"/>
  </si>
  <si>
    <t>=&gt;금회 이월</t>
    <phoneticPr fontId="11"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</si>
  <si>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</si>
  <si>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</si>
  <si>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</si>
  <si>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</si>
  <si>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</si>
  <si>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</si>
  <si>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</si>
  <si>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</si>
  <si>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</si>
  <si>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</si>
  <si>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</si>
  <si>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</si>
  <si>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</si>
  <si>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</si>
  <si>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</si>
  <si>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</si>
  <si>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</si>
  <si>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</si>
  <si>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</si>
  <si>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</si>
  <si>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</si>
  <si>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</si>
  <si>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</si>
  <si>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</si>
  <si>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</si>
  <si>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</si>
  <si>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</si>
  <si>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</si>
  <si>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</si>
  <si>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</si>
  <si>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</si>
  <si>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</si>
  <si>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</si>
  <si>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</si>
  <si>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</si>
  <si>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</si>
  <si>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</si>
  <si>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</si>
  <si>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특별인부(</t>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</si>
  <si>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</si>
  <si>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</si>
  <si>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</si>
  <si>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</si>
  <si>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</si>
  <si>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</si>
  <si>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</si>
  <si>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</si>
  <si>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</si>
  <si>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</si>
  <si>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</si>
  <si>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</si>
  <si>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</si>
  <si>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3차분 (정산 완료)</t>
    <phoneticPr fontId="9" type="noConversion"/>
  </si>
  <si>
    <t>방충망
(㎡=개)</t>
    <phoneticPr fontId="9" type="noConversion"/>
  </si>
  <si>
    <t>4차분 (정산 완료)</t>
    <phoneticPr fontId="9" type="noConversion"/>
  </si>
  <si>
    <t xml:space="preserve">5
7
8
</t>
    <phoneticPr fontId="9" type="noConversion"/>
  </si>
  <si>
    <t xml:space="preserve">401
504
405
</t>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</si>
  <si>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</si>
  <si>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101
9</t>
    <phoneticPr fontId="9" type="noConversion"/>
  </si>
  <si>
    <t>404
204</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</si>
  <si>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</si>
  <si>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9
9</t>
    <phoneticPr fontId="9" type="noConversion"/>
  </si>
  <si>
    <t xml:space="preserve">
204
103
</t>
    <phoneticPr fontId="9" type="noConversion"/>
  </si>
  <si>
    <t>문보수 5개소 완료
방충망 3개소 완료</t>
    <phoneticPr fontId="9" type="noConversion"/>
  </si>
  <si>
    <t>9
7
2
5</t>
    <phoneticPr fontId="9" type="noConversion"/>
  </si>
  <si>
    <t>103
105
202
406</t>
    <phoneticPr fontId="9" type="noConversion"/>
  </si>
  <si>
    <t xml:space="preserve"> 방충망 4개소 완료
문보수 1개소 완료
뒤베란다 벽면 크렉보수 완료
씽크대 상판 실리콘 제거 및 재시공 완료
문보수 2개소 완료</t>
    <phoneticPr fontId="9" type="noConversion"/>
  </si>
  <si>
    <t>103
7</t>
    <phoneticPr fontId="9" type="noConversion"/>
  </si>
  <si>
    <t>206
503</t>
    <phoneticPr fontId="9" type="noConversion"/>
  </si>
  <si>
    <t>씽크대 상판 실리콘 제거 및 재코킹 완료
걸레받이 1개소 교체 완료
문보수 2개소 완료
방충망 2개소 완료
문보수 1개소 완료</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</si>
  <si>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</si>
  <si>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</si>
  <si>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</si>
  <si>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</si>
  <si>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</si>
  <si>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</si>
  <si>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</si>
  <si>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</si>
  <si>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</si>
  <si>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</si>
  <si>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</si>
  <si>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</si>
  <si>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r>
      <t xml:space="preserve">3차 정산시
이월(2.91개)
</t>
    </r>
    <r>
      <rPr>
        <b/>
        <sz val="28"/>
        <color theme="0" tint="-0.249977111117893"/>
        <rFont val="맑은 고딕"/>
        <family val="3"/>
        <charset val="129"/>
        <scheme val="minor"/>
      </rPr>
      <t>4차 정산시
이월(2.62개)</t>
    </r>
    <phoneticPr fontId="9" type="noConversion"/>
  </si>
  <si>
    <r>
      <t xml:space="preserve">4차분 이월 방충망
2.62개 정산
5차분 정산 방충망
3.73개
</t>
    </r>
    <r>
      <rPr>
        <b/>
        <sz val="12"/>
        <color rgb="FFFF0000"/>
        <rFont val="LG스마트체 Regular"/>
        <family val="3"/>
        <charset val="129"/>
      </rPr>
      <t>6차분 이월 방충망</t>
    </r>
    <r>
      <rPr>
        <sz val="12"/>
        <color rgb="FFFF0000"/>
        <rFont val="LG스마트체 Regular"/>
        <family val="3"/>
        <charset val="129"/>
      </rPr>
      <t xml:space="preserve">
</t>
    </r>
    <r>
      <rPr>
        <b/>
        <sz val="12"/>
        <color rgb="FFFF0000"/>
        <rFont val="LG스마트체 Regular"/>
        <family val="3"/>
        <charset val="129"/>
      </rPr>
      <t>20.27</t>
    </r>
    <phoneticPr fontId="9" type="noConversion"/>
  </si>
  <si>
    <r>
      <t xml:space="preserve">방충망 총 24개 에서 </t>
    </r>
    <r>
      <rPr>
        <b/>
        <sz val="23"/>
        <color rgb="FFFF00FF"/>
        <rFont val="맑은 고딕"/>
        <family val="3"/>
        <charset val="129"/>
        <scheme val="minor"/>
      </rPr>
      <t>3.73</t>
    </r>
    <r>
      <rPr>
        <b/>
        <sz val="20"/>
        <color rgb="FFFF00FF"/>
        <rFont val="맑은 고딕"/>
        <family val="3"/>
        <charset val="129"/>
        <scheme val="minor"/>
      </rPr>
      <t>개 금회 정산</t>
    </r>
    <phoneticPr fontId="9" type="noConversion"/>
  </si>
  <si>
    <t>5차분 (정산 완료)</t>
    <phoneticPr fontId="9" type="noConversion"/>
  </si>
  <si>
    <t xml:space="preserve"> 공사명 : 기숙사 및 사택 긴급 보수작업(건축)-5차</t>
    <phoneticPr fontId="15" type="noConversion"/>
  </si>
  <si>
    <t xml:space="preserve"> 견적일 : 2025년  09월 24일</t>
    <phoneticPr fontId="15" type="noConversion"/>
  </si>
  <si>
    <t>절감</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</si>
</sst>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12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color indexed="8"/>
      <name val="Malgun Gothic"/>
      <family val="3"/>
      <charset val="129"/>
    </font>
    <font>
      <sz val="20"/>
      <color rgb="FFFF0000"/>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20"/>
      <name val="맑은 고딕"/>
      <family val="3"/>
      <charset val="129"/>
      <scheme val="minor"/>
    </font>
    <font>
      <sz val="12"/>
      <name val="LG스마트체 Regular"/>
      <family val="3"/>
      <charset val="129"/>
    </font>
    <font>
      <sz val="20"/>
      <color indexed="8"/>
      <name val="맑은 고딕"/>
      <family val="2"/>
      <scheme val="minor"/>
    </font>
    <font>
      <sz val="20"/>
      <color theme="0" tint="-0.249977111117893"/>
      <name val="맑은 고딕"/>
      <family val="3"/>
      <charset val="129"/>
      <scheme val="minor"/>
    </font>
    <font>
      <b/>
      <sz val="20"/>
      <color theme="0" tint="-0.249977111117893"/>
      <name val="맑은 고딕"/>
      <family val="3"/>
      <charset val="129"/>
      <scheme val="minor"/>
    </font>
    <font>
      <b/>
      <sz val="28"/>
      <color theme="0" tint="-0.249977111117893"/>
      <name val="맑은 고딕"/>
      <family val="3"/>
      <charset val="129"/>
      <scheme val="minor"/>
    </font>
    <font>
      <b/>
      <sz val="23"/>
      <color theme="0" tint="-0.249977111117893"/>
      <name val="맑은 고딕"/>
      <family val="3"/>
      <charset val="129"/>
      <scheme val="minor"/>
    </font>
    <font>
      <sz val="23"/>
      <color theme="0" tint="-0.249977111117893"/>
      <name val="맑은 고딕"/>
      <family val="3"/>
      <charset val="129"/>
      <scheme val="minor"/>
    </font>
    <font>
      <sz val="24"/>
      <color rgb="FFFF00FF"/>
      <name val="LG스마트체 Regular"/>
      <family val="3"/>
      <charset val="129"/>
    </font>
    <font>
      <b/>
      <sz val="30"/>
      <color rgb="FFFF00FF"/>
      <name val="맑은 고딕"/>
      <family val="3"/>
      <charset val="129"/>
      <scheme val="minor"/>
    </font>
    <font>
      <b/>
      <sz val="23"/>
      <color rgb="FFFF00FF"/>
      <name val="맑은 고딕"/>
      <family val="3"/>
      <charset val="129"/>
      <scheme val="minor"/>
    </font>
    <font>
      <b/>
      <sz val="30"/>
      <color theme="0" tint="-0.249977111117893"/>
      <name val="맑은 고딕"/>
      <family val="3"/>
      <charset val="129"/>
      <scheme val="minor"/>
    </font>
    <font>
      <sz val="28"/>
      <color theme="0" tint="-0.249977111117893"/>
      <name val="맑은 고딕"/>
      <family val="3"/>
      <charset val="129"/>
      <scheme val="minor"/>
    </font>
    <font>
      <b/>
      <sz val="23"/>
      <color rgb="FFFF0000"/>
      <name val="맑은 고딕"/>
      <family val="3"/>
      <charset val="129"/>
      <scheme val="minor"/>
    </font>
    <font>
      <b/>
      <sz val="20"/>
      <color rgb="FFFF0000"/>
      <name val="맑은 고딕"/>
      <family val="3"/>
      <charset val="129"/>
      <scheme val="minor"/>
    </font>
    <font>
      <sz val="30"/>
      <color rgb="FFFF0000"/>
      <name val="맑은 고딕"/>
      <family val="3"/>
      <charset val="129"/>
      <scheme val="minor"/>
    </font>
    <font>
      <sz val="12"/>
      <color rgb="FFFF00FF"/>
      <name val="LG스마트체 Regular"/>
      <family val="3"/>
      <charset val="129"/>
    </font>
    <font>
      <sz val="12"/>
      <color rgb="FFFF0000"/>
      <name val="LG스마트체 Regular"/>
      <family val="3"/>
      <charset val="129"/>
    </font>
    <font>
      <b/>
      <sz val="11"/>
      <color rgb="FFFF00FF"/>
      <name val="LG스마트체 Regular"/>
      <family val="3"/>
      <charset val="129"/>
    </font>
    <font>
      <b/>
      <sz val="12"/>
      <color rgb="FFFF0000"/>
      <name val="LG스마트체 Regular"/>
      <family val="3"/>
      <charset val="129"/>
    </font>
    <font>
      <sz val="20"/>
      <color theme="1"/>
      <name val="LG스마트체 Regular"/>
      <family val="3"/>
      <charset val="129"/>
    </font>
    <font>
      <sz val="16"/>
      <color theme="1"/>
      <name val="LG스마트체 Regular"/>
      <family val="3"/>
      <charset val="129"/>
    </font>
    <font>
      <b/>
      <sz val="23"/>
      <color theme="1" tint="0.499984740745262"/>
      <name val="맑은 고딕"/>
      <family val="3"/>
      <charset val="129"/>
      <scheme val="minor"/>
    </font>
    <font>
      <b/>
      <sz val="30"/>
      <color theme="1" tint="0.499984740745262"/>
      <name val="맑은 고딕"/>
      <family val="3"/>
      <charset val="129"/>
      <scheme val="minor"/>
    </font>
    <font>
      <b/>
      <sz val="30"/>
      <color rgb="FF0000FF"/>
      <name val="맑은 고딕"/>
      <family val="3"/>
      <charset val="129"/>
      <scheme val="minor"/>
    </font>
    <font>
      <b/>
      <sz val="45"/>
      <color rgb="FF0000FF"/>
      <name val="맑은 고딕"/>
      <family val="3"/>
      <charset val="129"/>
      <scheme val="minor"/>
    </font>
  </fonts>
  <fills count="2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rgb="FF92D050"/>
        <bgColor indexed="64"/>
      </patternFill>
    </fill>
  </fills>
  <borders count="11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style="thin">
        <color theme="0" tint="-0.24994659260841701"/>
      </left>
      <right style="medium">
        <color auto="1"/>
      </right>
      <top/>
      <bottom style="thin">
        <color theme="0" tint="-0.24994659260841701"/>
      </bottom>
      <diagonal/>
    </border>
    <border>
      <left style="thick">
        <color theme="0" tint="-0.499984740745262"/>
      </left>
      <right style="thick">
        <color theme="0" tint="-0.499984740745262"/>
      </right>
      <top style="thick">
        <color theme="0" tint="-0.499984740745262"/>
      </top>
      <bottom style="thin">
        <color theme="0" tint="-0.24994659260841701"/>
      </bottom>
      <diagonal/>
    </border>
    <border>
      <left style="thick">
        <color theme="0" tint="-0.499984740745262"/>
      </left>
      <right style="thick">
        <color theme="0" tint="-0.499984740745262"/>
      </right>
      <top style="thin">
        <color theme="0" tint="-0.24994659260841701"/>
      </top>
      <bottom style="thick">
        <color theme="0" tint="-0.499984740745262"/>
      </bottom>
      <diagonal/>
    </border>
    <border>
      <left style="thick">
        <color theme="0" tint="-0.499984740745262"/>
      </left>
      <right style="thick">
        <color theme="0" tint="-0.499984740745262"/>
      </right>
      <top style="thin">
        <color theme="0" tint="-0.24994659260841701"/>
      </top>
      <bottom style="thin">
        <color theme="0" tint="-0.24994659260841701"/>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style="thick">
        <color theme="0" tint="-0.499984740745262"/>
      </top>
      <bottom style="thin">
        <color theme="0" tint="-0.24994659260841701"/>
      </bottom>
      <diagonal/>
    </border>
    <border>
      <left style="thick">
        <color theme="0" tint="-0.499984740745262"/>
      </left>
      <right/>
      <top style="thin">
        <color theme="0" tint="-0.24994659260841701"/>
      </top>
      <bottom style="thin">
        <color theme="0" tint="-0.24994659260841701"/>
      </bottom>
      <diagonal/>
    </border>
    <border>
      <left style="thick">
        <color theme="0" tint="-0.499984740745262"/>
      </left>
      <right/>
      <top/>
      <bottom style="thick">
        <color theme="0" tint="-0.499984740745262"/>
      </bottom>
      <diagonal/>
    </border>
    <border>
      <left style="medium">
        <color indexed="64"/>
      </left>
      <right style="thin">
        <color theme="0" tint="-0.24994659260841701"/>
      </right>
      <top style="thick">
        <color theme="0" tint="-0.499984740745262"/>
      </top>
      <bottom style="thin">
        <color theme="0" tint="-0.24994659260841701"/>
      </bottom>
      <diagonal/>
    </border>
    <border>
      <left style="medium">
        <color indexed="64"/>
      </left>
      <right style="thin">
        <color theme="0" tint="-0.24994659260841701"/>
      </right>
      <top style="thin">
        <color theme="0" tint="-0.24994659260841701"/>
      </top>
      <bottom style="thick">
        <color theme="0" tint="-0.499984740745262"/>
      </bottom>
      <diagonal/>
    </border>
    <border>
      <left/>
      <right style="medium">
        <color indexed="64"/>
      </right>
      <top/>
      <bottom/>
      <diagonal/>
    </border>
    <border>
      <left style="thick">
        <color rgb="FFFF0000"/>
      </left>
      <right style="medium">
        <color indexed="64"/>
      </right>
      <top style="thick">
        <color rgb="FFFF0000"/>
      </top>
      <bottom style="thick">
        <color rgb="FFFF0000"/>
      </bottom>
      <diagonal/>
    </border>
    <border>
      <left style="thin">
        <color indexed="64"/>
      </left>
      <right style="medium">
        <color auto="1"/>
      </right>
      <top/>
      <bottom style="thin">
        <color theme="0" tint="-0.24994659260841701"/>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509">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177" fontId="29" fillId="0" borderId="0" xfId="0" applyNumberFormat="1" applyFont="1">
      <alignment vertical="center"/>
    </xf>
    <xf numFmtId="0" fontId="26" fillId="0" borderId="0" xfId="0" applyFont="1">
      <alignment vertical="center"/>
    </xf>
    <xf numFmtId="0" fontId="27" fillId="4" borderId="0" xfId="0" applyFont="1" applyFill="1">
      <alignment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9" fillId="4" borderId="32" xfId="22" applyFont="1" applyFill="1" applyBorder="1" applyAlignment="1">
      <alignment horizontal="center" vertical="center" wrapText="1"/>
    </xf>
    <xf numFmtId="0" fontId="62"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3"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4" fillId="0" borderId="48" xfId="22" applyFont="1" applyBorder="1" applyAlignment="1">
      <alignment vertical="center" wrapText="1"/>
    </xf>
    <xf numFmtId="0" fontId="59" fillId="4" borderId="58" xfId="22" applyFont="1" applyFill="1" applyBorder="1" applyAlignment="1">
      <alignment horizontal="center" vertical="center" wrapText="1"/>
    </xf>
    <xf numFmtId="184" fontId="67" fillId="10" borderId="46" xfId="22" applyNumberFormat="1" applyFont="1" applyFill="1" applyBorder="1" applyAlignment="1">
      <alignment horizontal="center" vertical="center"/>
    </xf>
    <xf numFmtId="0" fontId="68" fillId="9" borderId="30" xfId="22" applyFont="1" applyFill="1" applyBorder="1" applyAlignment="1">
      <alignment horizontal="center" vertical="center"/>
    </xf>
    <xf numFmtId="0" fontId="68" fillId="9" borderId="14" xfId="22" applyFont="1" applyFill="1" applyBorder="1" applyAlignment="1">
      <alignment horizontal="center" vertical="center"/>
    </xf>
    <xf numFmtId="0" fontId="61" fillId="9" borderId="14" xfId="22" applyFont="1" applyFill="1" applyBorder="1" applyAlignment="1">
      <alignment horizontal="center" vertical="center"/>
    </xf>
    <xf numFmtId="0" fontId="61" fillId="9" borderId="57" xfId="22" applyFont="1" applyFill="1" applyBorder="1" applyAlignment="1">
      <alignment horizontal="center" vertical="center"/>
    </xf>
    <xf numFmtId="0" fontId="66" fillId="13" borderId="14" xfId="22" applyFont="1" applyFill="1" applyBorder="1" applyAlignment="1">
      <alignment horizontal="center" vertical="center"/>
    </xf>
    <xf numFmtId="0" fontId="69"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3" xfId="22" applyFont="1" applyFill="1" applyBorder="1" applyAlignment="1">
      <alignment horizontal="center" vertical="center"/>
    </xf>
    <xf numFmtId="0" fontId="70" fillId="0" borderId="35" xfId="22" applyFont="1" applyBorder="1" applyAlignment="1">
      <alignment horizontal="center" vertical="center"/>
    </xf>
    <xf numFmtId="0" fontId="70" fillId="0" borderId="35" xfId="22" applyFont="1" applyBorder="1" applyAlignment="1">
      <alignment horizontal="center" vertical="center" wrapText="1"/>
    </xf>
    <xf numFmtId="14" fontId="70" fillId="0" borderId="35" xfId="22" quotePrefix="1" applyNumberFormat="1" applyFont="1" applyBorder="1" applyAlignment="1">
      <alignment horizontal="center" vertical="center"/>
    </xf>
    <xf numFmtId="0" fontId="70" fillId="0" borderId="35" xfId="22" quotePrefix="1" applyFont="1" applyBorder="1" applyAlignment="1">
      <alignment vertical="center" wrapText="1"/>
    </xf>
    <xf numFmtId="0" fontId="71" fillId="0" borderId="0" xfId="22" applyFont="1" applyAlignment="1">
      <alignment horizontal="center" vertical="center"/>
    </xf>
    <xf numFmtId="0" fontId="73"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8" fillId="4" borderId="32" xfId="22" applyFont="1" applyFill="1" applyBorder="1" applyAlignment="1">
      <alignment horizontal="center" vertical="center" wrapText="1"/>
    </xf>
    <xf numFmtId="0" fontId="37" fillId="0" borderId="32" xfId="22" applyFont="1" applyBorder="1" applyAlignment="1">
      <alignment vertical="center" wrapText="1"/>
    </xf>
    <xf numFmtId="0" fontId="73"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177" fontId="27" fillId="3" borderId="2" xfId="23" applyFont="1" applyFill="1" applyBorder="1" applyAlignment="1">
      <alignment horizontal="center" vertical="center"/>
    </xf>
    <xf numFmtId="0" fontId="56"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0" fontId="74" fillId="10" borderId="34" xfId="22" applyFont="1" applyFill="1" applyBorder="1" applyAlignment="1">
      <alignment horizontal="centerContinuous" vertical="center"/>
    </xf>
    <xf numFmtId="0" fontId="65" fillId="10" borderId="14" xfId="22" applyFont="1" applyFill="1" applyBorder="1" applyAlignment="1">
      <alignment horizontal="centerContinuous" vertical="center"/>
    </xf>
    <xf numFmtId="186" fontId="74" fillId="10" borderId="14" xfId="22" applyNumberFormat="1" applyFont="1" applyFill="1" applyBorder="1" applyAlignment="1">
      <alignment horizontal="center" vertical="center"/>
    </xf>
    <xf numFmtId="20" fontId="74" fillId="10" borderId="14" xfId="22" applyNumberFormat="1" applyFont="1" applyFill="1" applyBorder="1" applyAlignment="1">
      <alignment horizontal="center" vertical="center"/>
    </xf>
    <xf numFmtId="20" fontId="76" fillId="10" borderId="14" xfId="22" applyNumberFormat="1" applyFont="1" applyFill="1" applyBorder="1" applyAlignment="1">
      <alignment horizontal="center" vertical="center"/>
    </xf>
    <xf numFmtId="184" fontId="72" fillId="10" borderId="57" xfId="22" applyNumberFormat="1" applyFont="1" applyFill="1" applyBorder="1" applyAlignment="1">
      <alignment horizontal="center" vertical="center"/>
    </xf>
    <xf numFmtId="0" fontId="72" fillId="10" borderId="14" xfId="22" applyFont="1" applyFill="1" applyBorder="1" applyAlignment="1">
      <alignment horizontal="center" vertical="center" wrapText="1"/>
    </xf>
    <xf numFmtId="0" fontId="74" fillId="10" borderId="14" xfId="22" applyFont="1" applyFill="1" applyBorder="1" applyAlignment="1">
      <alignment horizontal="center" vertical="center" wrapText="1"/>
    </xf>
    <xf numFmtId="0" fontId="74" fillId="10" borderId="14" xfId="22" applyFont="1" applyFill="1" applyBorder="1" applyAlignment="1">
      <alignment horizontal="center" vertical="center"/>
    </xf>
    <xf numFmtId="0" fontId="72"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2" fillId="10" borderId="32" xfId="22" applyFont="1" applyFill="1" applyBorder="1" applyAlignment="1">
      <alignment horizontal="center" vertical="center" wrapText="1"/>
    </xf>
    <xf numFmtId="0" fontId="30" fillId="0" borderId="74" xfId="22" applyFont="1" applyBorder="1" applyAlignment="1">
      <alignment horizontal="center" vertical="center"/>
    </xf>
    <xf numFmtId="0" fontId="30" fillId="0" borderId="75" xfId="22" applyFont="1" applyBorder="1" applyAlignment="1">
      <alignment horizontal="center" vertical="center"/>
    </xf>
    <xf numFmtId="0" fontId="30" fillId="0" borderId="76"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78"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78"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78" xfId="22" applyFont="1" applyFill="1" applyBorder="1" applyAlignment="1">
      <alignment horizontal="center" vertical="center"/>
    </xf>
    <xf numFmtId="0" fontId="62" fillId="10" borderId="14" xfId="22" applyFont="1" applyFill="1" applyBorder="1" applyAlignment="1">
      <alignment horizontal="center" vertical="center" wrapText="1"/>
    </xf>
    <xf numFmtId="0" fontId="62" fillId="10" borderId="78" xfId="22" applyFont="1" applyFill="1" applyBorder="1" applyAlignment="1">
      <alignment horizontal="center" vertical="center" wrapText="1"/>
    </xf>
    <xf numFmtId="0" fontId="60" fillId="4" borderId="78" xfId="22" applyFont="1" applyFill="1" applyBorder="1" applyAlignment="1">
      <alignment horizontal="center" vertical="center" wrapText="1"/>
    </xf>
    <xf numFmtId="0" fontId="59" fillId="4" borderId="78" xfId="22" applyFont="1" applyFill="1" applyBorder="1" applyAlignment="1">
      <alignment horizontal="center" vertical="center" wrapText="1"/>
    </xf>
    <xf numFmtId="0" fontId="78" fillId="0" borderId="0" xfId="22" applyFont="1">
      <alignment vertical="center"/>
    </xf>
    <xf numFmtId="0" fontId="78" fillId="0" borderId="0" xfId="22" quotePrefix="1" applyFont="1">
      <alignment vertical="center"/>
    </xf>
    <xf numFmtId="0" fontId="65" fillId="0" borderId="47" xfId="22" applyFont="1" applyBorder="1" applyAlignment="1">
      <alignment horizontal="center" vertical="center" wrapText="1"/>
    </xf>
    <xf numFmtId="0" fontId="50" fillId="0" borderId="82" xfId="22" applyFont="1" applyBorder="1" applyAlignment="1">
      <alignment horizontal="center" vertical="center"/>
    </xf>
    <xf numFmtId="0" fontId="35" fillId="0" borderId="83" xfId="22" applyFont="1" applyBorder="1" applyAlignment="1">
      <alignment horizontal="center" vertical="center"/>
    </xf>
    <xf numFmtId="0" fontId="61"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4" fillId="12" borderId="84" xfId="22" applyFont="1" applyFill="1" applyBorder="1" applyAlignment="1">
      <alignment horizontal="center" vertical="center"/>
    </xf>
    <xf numFmtId="0" fontId="60" fillId="13" borderId="85" xfId="22" applyFont="1" applyFill="1" applyBorder="1" applyAlignment="1">
      <alignment horizontal="center" vertical="center"/>
    </xf>
    <xf numFmtId="186" fontId="44" fillId="12" borderId="85" xfId="22" applyNumberFormat="1" applyFont="1" applyFill="1" applyBorder="1" applyAlignment="1">
      <alignment horizontal="center" vertical="center"/>
    </xf>
    <xf numFmtId="20" fontId="44" fillId="12" borderId="85" xfId="22" applyNumberFormat="1" applyFont="1" applyFill="1" applyBorder="1" applyAlignment="1">
      <alignment horizontal="center" vertical="center"/>
    </xf>
    <xf numFmtId="20" fontId="45" fillId="14" borderId="85" xfId="22" applyNumberFormat="1" applyFont="1" applyFill="1" applyBorder="1" applyAlignment="1">
      <alignment horizontal="center" vertical="center"/>
    </xf>
    <xf numFmtId="184" fontId="37" fillId="12" borderId="85" xfId="22" applyNumberFormat="1" applyFont="1" applyFill="1" applyBorder="1" applyAlignment="1">
      <alignment horizontal="center" vertical="center"/>
    </xf>
    <xf numFmtId="0" fontId="37" fillId="12" borderId="85" xfId="22" applyFont="1" applyFill="1" applyBorder="1" applyAlignment="1">
      <alignment horizontal="center" vertical="center" wrapText="1"/>
    </xf>
    <xf numFmtId="0" fontId="44" fillId="12" borderId="85" xfId="22" applyFont="1" applyFill="1" applyBorder="1" applyAlignment="1">
      <alignment horizontal="center" vertical="center" wrapText="1"/>
    </xf>
    <xf numFmtId="0" fontId="44" fillId="12" borderId="85" xfId="22" applyFont="1" applyFill="1" applyBorder="1" applyAlignment="1">
      <alignment horizontal="center" vertical="center"/>
    </xf>
    <xf numFmtId="0" fontId="37" fillId="12" borderId="85" xfId="22" applyFont="1" applyFill="1" applyBorder="1" applyAlignment="1">
      <alignment vertical="center" wrapText="1"/>
    </xf>
    <xf numFmtId="0" fontId="44" fillId="12" borderId="88" xfId="22" applyFont="1" applyFill="1" applyBorder="1" applyAlignment="1">
      <alignment horizontal="center" vertical="center"/>
    </xf>
    <xf numFmtId="0" fontId="60" fillId="13" borderId="89" xfId="22" applyFont="1" applyFill="1" applyBorder="1" applyAlignment="1">
      <alignment horizontal="center" vertical="center"/>
    </xf>
    <xf numFmtId="186" fontId="44" fillId="12" borderId="89" xfId="22" applyNumberFormat="1" applyFont="1" applyFill="1" applyBorder="1" applyAlignment="1">
      <alignment horizontal="center" vertical="center"/>
    </xf>
    <xf numFmtId="20" fontId="44" fillId="12" borderId="89" xfId="22" applyNumberFormat="1" applyFont="1" applyFill="1" applyBorder="1" applyAlignment="1">
      <alignment horizontal="center" vertical="center"/>
    </xf>
    <xf numFmtId="20" fontId="45" fillId="14" borderId="89" xfId="22" applyNumberFormat="1" applyFont="1" applyFill="1" applyBorder="1" applyAlignment="1">
      <alignment horizontal="center" vertical="center"/>
    </xf>
    <xf numFmtId="184" fontId="37" fillId="12" borderId="89" xfId="22" applyNumberFormat="1" applyFont="1" applyFill="1" applyBorder="1" applyAlignment="1">
      <alignment horizontal="center" vertical="center"/>
    </xf>
    <xf numFmtId="0" fontId="37" fillId="12" borderId="89" xfId="22" applyFont="1" applyFill="1" applyBorder="1" applyAlignment="1">
      <alignment horizontal="center" vertical="center"/>
    </xf>
    <xf numFmtId="0" fontId="44" fillId="12" borderId="89" xfId="22" applyFont="1" applyFill="1" applyBorder="1" applyAlignment="1">
      <alignment horizontal="center" vertical="center"/>
    </xf>
    <xf numFmtId="0" fontId="37" fillId="12" borderId="89" xfId="22" applyFont="1" applyFill="1" applyBorder="1" applyAlignment="1">
      <alignment vertical="center" wrapText="1"/>
    </xf>
    <xf numFmtId="0" fontId="79" fillId="19" borderId="0" xfId="22" quotePrefix="1" applyFont="1" applyFill="1" applyAlignment="1">
      <alignment vertical="center" wrapText="1"/>
    </xf>
    <xf numFmtId="0" fontId="80" fillId="0" borderId="35" xfId="22" quotePrefix="1" applyFont="1" applyBorder="1">
      <alignment vertical="center"/>
    </xf>
    <xf numFmtId="0" fontId="81" fillId="10" borderId="34" xfId="22" applyFont="1" applyFill="1" applyBorder="1" applyAlignment="1">
      <alignment horizontal="centerContinuous" vertical="center"/>
    </xf>
    <xf numFmtId="186" fontId="81" fillId="10" borderId="14" xfId="22" applyNumberFormat="1" applyFont="1" applyFill="1" applyBorder="1" applyAlignment="1">
      <alignment horizontal="center" vertical="center"/>
    </xf>
    <xf numFmtId="20" fontId="81" fillId="10" borderId="14" xfId="22" applyNumberFormat="1" applyFont="1" applyFill="1" applyBorder="1" applyAlignment="1">
      <alignment horizontal="center" vertical="center"/>
    </xf>
    <xf numFmtId="184" fontId="81" fillId="10" borderId="57" xfId="22" applyNumberFormat="1" applyFont="1" applyFill="1" applyBorder="1" applyAlignment="1">
      <alignment horizontal="center" vertical="center"/>
    </xf>
    <xf numFmtId="0" fontId="81" fillId="10" borderId="14" xfId="22" applyFont="1" applyFill="1" applyBorder="1" applyAlignment="1">
      <alignment horizontal="center" vertical="center" wrapText="1"/>
    </xf>
    <xf numFmtId="0" fontId="81" fillId="10" borderId="14" xfId="22" applyFont="1" applyFill="1" applyBorder="1" applyAlignment="1">
      <alignment horizontal="center" vertical="center"/>
    </xf>
    <xf numFmtId="0" fontId="81" fillId="10" borderId="14" xfId="22" applyFont="1" applyFill="1" applyBorder="1" applyAlignment="1">
      <alignment vertical="center" wrapText="1"/>
    </xf>
    <xf numFmtId="0" fontId="69" fillId="10" borderId="32" xfId="22" applyFont="1" applyFill="1" applyBorder="1" applyAlignment="1">
      <alignment horizontal="center" vertical="center" wrapText="1"/>
    </xf>
    <xf numFmtId="0" fontId="82" fillId="10" borderId="32" xfId="22" applyFont="1" applyFill="1" applyBorder="1" applyAlignment="1">
      <alignment horizontal="center" vertical="center" wrapText="1"/>
    </xf>
    <xf numFmtId="0" fontId="83" fillId="10" borderId="43" xfId="22" applyFont="1" applyFill="1" applyBorder="1" applyAlignment="1">
      <alignment horizontal="center" vertical="center" wrapText="1"/>
    </xf>
    <xf numFmtId="0" fontId="84" fillId="0" borderId="0" xfId="22" applyFont="1">
      <alignment vertical="center"/>
    </xf>
    <xf numFmtId="0" fontId="85" fillId="0" borderId="0" xfId="0" applyFont="1">
      <alignment vertical="center"/>
    </xf>
    <xf numFmtId="0" fontId="61" fillId="4" borderId="32" xfId="22" applyFont="1" applyFill="1" applyBorder="1" applyAlignment="1">
      <alignment horizontal="center" vertical="center" wrapText="1"/>
    </xf>
    <xf numFmtId="0" fontId="61" fillId="4" borderId="60" xfId="22" applyFont="1" applyFill="1" applyBorder="1" applyAlignment="1">
      <alignment horizontal="center" vertical="center" wrapText="1"/>
    </xf>
    <xf numFmtId="0" fontId="61" fillId="4" borderId="14" xfId="22" applyFont="1" applyFill="1" applyBorder="1" applyAlignment="1">
      <alignment horizontal="center" vertical="center" wrapText="1"/>
    </xf>
    <xf numFmtId="0" fontId="61" fillId="4" borderId="78"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79" xfId="22" applyFont="1" applyFill="1" applyBorder="1" applyAlignment="1">
      <alignment horizontal="center" vertical="center" wrapText="1"/>
    </xf>
    <xf numFmtId="0" fontId="50" fillId="4" borderId="80" xfId="22" applyFont="1" applyFill="1" applyBorder="1" applyAlignment="1">
      <alignment horizontal="center" vertical="center" wrapText="1"/>
    </xf>
    <xf numFmtId="0" fontId="61" fillId="0" borderId="47" xfId="22" applyFont="1" applyBorder="1" applyAlignment="1">
      <alignment horizontal="center" vertical="center" wrapText="1"/>
    </xf>
    <xf numFmtId="0" fontId="61" fillId="0" borderId="71" xfId="22" applyFont="1" applyBorder="1" applyAlignment="1">
      <alignment horizontal="center" vertical="center" wrapText="1"/>
    </xf>
    <xf numFmtId="0" fontId="61" fillId="9" borderId="46" xfId="22" applyFont="1" applyFill="1" applyBorder="1" applyAlignment="1">
      <alignment horizontal="center" vertical="center"/>
    </xf>
    <xf numFmtId="0" fontId="61" fillId="4" borderId="59" xfId="22" applyFont="1" applyFill="1" applyBorder="1" applyAlignment="1">
      <alignment horizontal="center" vertical="center" wrapText="1"/>
    </xf>
    <xf numFmtId="0" fontId="61" fillId="4" borderId="81" xfId="22" applyFont="1" applyFill="1" applyBorder="1" applyAlignment="1">
      <alignment horizontal="center" vertical="center" wrapText="1"/>
    </xf>
    <xf numFmtId="0" fontId="68" fillId="11" borderId="31" xfId="22" applyFont="1" applyFill="1" applyBorder="1" applyAlignment="1">
      <alignment horizontal="center" vertical="center" wrapText="1"/>
    </xf>
    <xf numFmtId="0" fontId="61" fillId="4" borderId="31" xfId="22" applyFont="1" applyFill="1" applyBorder="1" applyAlignment="1">
      <alignment horizontal="center" vertical="center" wrapText="1"/>
    </xf>
    <xf numFmtId="0" fontId="61" fillId="4" borderId="30" xfId="22" applyFont="1" applyFill="1" applyBorder="1" applyAlignment="1">
      <alignment horizontal="center" vertical="center" wrapText="1"/>
    </xf>
    <xf numFmtId="0" fontId="61" fillId="4" borderId="77" xfId="22" applyFont="1" applyFill="1" applyBorder="1" applyAlignment="1">
      <alignment horizontal="center" vertical="center" wrapText="1"/>
    </xf>
    <xf numFmtId="0" fontId="68" fillId="11" borderId="32" xfId="22" applyFont="1" applyFill="1" applyBorder="1" applyAlignment="1">
      <alignment horizontal="center" vertical="center" wrapText="1"/>
    </xf>
    <xf numFmtId="0" fontId="68" fillId="11" borderId="32" xfId="22" applyFont="1" applyFill="1" applyBorder="1" applyAlignment="1">
      <alignment horizontal="center" vertical="center"/>
    </xf>
    <xf numFmtId="0" fontId="61" fillId="4" borderId="32" xfId="22" applyFont="1" applyFill="1" applyBorder="1" applyAlignment="1">
      <alignment horizontal="center" vertical="center"/>
    </xf>
    <xf numFmtId="0" fontId="61" fillId="4" borderId="14" xfId="22" applyFont="1" applyFill="1" applyBorder="1" applyAlignment="1">
      <alignment horizontal="center" vertical="center"/>
    </xf>
    <xf numFmtId="0" fontId="61" fillId="4" borderId="78" xfId="22" applyFont="1" applyFill="1" applyBorder="1" applyAlignment="1">
      <alignment horizontal="center" vertical="center"/>
    </xf>
    <xf numFmtId="0" fontId="61" fillId="11" borderId="32" xfId="22" applyFont="1" applyFill="1" applyBorder="1" applyAlignment="1">
      <alignment horizontal="center" vertical="center" wrapText="1"/>
    </xf>
    <xf numFmtId="0" fontId="61" fillId="11" borderId="58" xfId="22" applyFont="1" applyFill="1" applyBorder="1" applyAlignment="1">
      <alignment horizontal="center" vertical="center" wrapText="1"/>
    </xf>
    <xf numFmtId="0" fontId="61" fillId="11" borderId="60" xfId="22" applyFont="1" applyFill="1" applyBorder="1" applyAlignment="1">
      <alignment horizontal="center" vertical="center" wrapText="1"/>
    </xf>
    <xf numFmtId="0" fontId="61" fillId="15" borderId="86" xfId="22" applyFont="1" applyFill="1" applyBorder="1" applyAlignment="1">
      <alignment horizontal="center" vertical="center" wrapText="1"/>
    </xf>
    <xf numFmtId="0" fontId="61" fillId="15" borderId="87" xfId="22" applyFont="1" applyFill="1" applyBorder="1" applyAlignment="1">
      <alignment horizontal="center" vertical="center" wrapText="1"/>
    </xf>
    <xf numFmtId="0" fontId="61" fillId="15" borderId="87" xfId="22" applyFont="1" applyFill="1" applyBorder="1" applyAlignment="1">
      <alignment horizontal="center" vertical="center"/>
    </xf>
    <xf numFmtId="0" fontId="61" fillId="4" borderId="59" xfId="22" applyFont="1" applyFill="1" applyBorder="1" applyAlignment="1">
      <alignment horizontal="center" vertical="center"/>
    </xf>
    <xf numFmtId="0" fontId="61" fillId="15" borderId="90"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177" fontId="26" fillId="0" borderId="19" xfId="1" applyFont="1" applyFill="1" applyBorder="1" applyAlignment="1">
      <alignment vertical="center"/>
    </xf>
    <xf numFmtId="0" fontId="86" fillId="9" borderId="14" xfId="22" applyFont="1" applyFill="1" applyBorder="1" applyAlignment="1">
      <alignment horizontal="center" vertical="center"/>
    </xf>
    <xf numFmtId="0" fontId="87" fillId="10" borderId="42" xfId="22" applyFont="1" applyFill="1" applyBorder="1" applyAlignment="1">
      <alignment horizontal="centerContinuous" vertical="center"/>
    </xf>
    <xf numFmtId="0" fontId="89"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1" fillId="11" borderId="46" xfId="22" applyFont="1" applyFill="1" applyBorder="1" applyAlignment="1">
      <alignment horizontal="center" vertical="center"/>
    </xf>
    <xf numFmtId="0" fontId="90" fillId="20" borderId="0" xfId="22" quotePrefix="1" applyFont="1" applyFill="1" applyAlignment="1">
      <alignment vertical="center" wrapText="1"/>
    </xf>
    <xf numFmtId="0" fontId="91" fillId="0" borderId="35" xfId="22" quotePrefix="1" applyFont="1" applyBorder="1">
      <alignment vertical="center"/>
    </xf>
    <xf numFmtId="185" fontId="92" fillId="9" borderId="2" xfId="1" applyNumberFormat="1" applyFont="1" applyFill="1" applyBorder="1" applyAlignment="1">
      <alignment horizontal="center" vertical="center"/>
    </xf>
    <xf numFmtId="177" fontId="93" fillId="9" borderId="0" xfId="0" applyNumberFormat="1" applyFont="1" applyFill="1">
      <alignment vertical="center"/>
    </xf>
    <xf numFmtId="180" fontId="94" fillId="7" borderId="0" xfId="3" applyNumberFormat="1" applyFont="1" applyFill="1" applyAlignment="1">
      <alignment vertical="center"/>
    </xf>
    <xf numFmtId="0" fontId="89" fillId="9" borderId="46" xfId="22" applyFont="1" applyFill="1" applyBorder="1" applyAlignment="1">
      <alignment horizontal="center" vertical="center"/>
    </xf>
    <xf numFmtId="186" fontId="95" fillId="0" borderId="46" xfId="22" applyNumberFormat="1" applyFont="1" applyBorder="1" applyAlignment="1">
      <alignment horizontal="center" vertical="center"/>
    </xf>
    <xf numFmtId="20" fontId="95" fillId="0" borderId="46" xfId="22" applyNumberFormat="1" applyFont="1" applyBorder="1" applyAlignment="1">
      <alignment horizontal="center" vertical="center"/>
    </xf>
    <xf numFmtId="184" fontId="41" fillId="10" borderId="46" xfId="22" applyNumberFormat="1" applyFont="1" applyFill="1" applyBorder="1" applyAlignment="1">
      <alignment horizontal="center" vertical="center"/>
    </xf>
    <xf numFmtId="0" fontId="95" fillId="0" borderId="46" xfId="22" applyFont="1" applyBorder="1" applyAlignment="1">
      <alignment horizontal="center" vertical="center"/>
    </xf>
    <xf numFmtId="0" fontId="95" fillId="0" borderId="46" xfId="22" applyFont="1" applyBorder="1" applyAlignment="1">
      <alignment horizontal="center" vertical="center" wrapText="1"/>
    </xf>
    <xf numFmtId="0" fontId="95" fillId="0" borderId="46" xfId="22" applyFont="1" applyBorder="1" applyAlignment="1">
      <alignment vertical="center" wrapText="1"/>
    </xf>
    <xf numFmtId="0" fontId="95" fillId="0" borderId="48" xfId="22" applyFont="1" applyBorder="1" applyAlignment="1">
      <alignment vertical="center" wrapText="1"/>
    </xf>
    <xf numFmtId="0" fontId="46" fillId="0" borderId="0" xfId="0" applyFont="1">
      <alignment vertical="center"/>
    </xf>
    <xf numFmtId="0" fontId="96" fillId="0" borderId="0" xfId="0" applyFont="1">
      <alignment vertical="center"/>
    </xf>
    <xf numFmtId="0" fontId="48" fillId="4" borderId="14" xfId="22" applyFont="1" applyFill="1" applyBorder="1" applyAlignment="1">
      <alignment horizontal="center" vertical="center" wrapText="1"/>
    </xf>
    <xf numFmtId="0" fontId="44" fillId="0" borderId="57" xfId="22" applyFont="1" applyBorder="1" applyAlignment="1">
      <alignment horizontal="center" vertical="center"/>
    </xf>
    <xf numFmtId="0" fontId="73" fillId="9" borderId="57" xfId="22" applyFont="1" applyFill="1" applyBorder="1" applyAlignment="1">
      <alignment horizontal="center" vertical="center"/>
    </xf>
    <xf numFmtId="186" fontId="44" fillId="0" borderId="57" xfId="22" applyNumberFormat="1" applyFont="1" applyBorder="1" applyAlignment="1">
      <alignment horizontal="center" vertical="center"/>
    </xf>
    <xf numFmtId="20" fontId="44" fillId="0" borderId="57" xfId="22" applyNumberFormat="1" applyFont="1" applyBorder="1" applyAlignment="1">
      <alignment horizontal="center" vertical="center"/>
    </xf>
    <xf numFmtId="20" fontId="37" fillId="10" borderId="57" xfId="22" applyNumberFormat="1" applyFont="1" applyFill="1" applyBorder="1" applyAlignment="1">
      <alignment horizontal="center" vertical="center"/>
    </xf>
    <xf numFmtId="184" fontId="38" fillId="0" borderId="57" xfId="22" applyNumberFormat="1" applyFont="1" applyBorder="1" applyAlignment="1">
      <alignment horizontal="center" vertical="center"/>
    </xf>
    <xf numFmtId="0" fontId="37" fillId="0" borderId="57" xfId="22" applyFont="1" applyBorder="1" applyAlignment="1">
      <alignment horizontal="center" vertical="center" wrapText="1"/>
    </xf>
    <xf numFmtId="0" fontId="44" fillId="0" borderId="57" xfId="22" applyFont="1" applyBorder="1" applyAlignment="1">
      <alignment horizontal="center" vertical="center" wrapText="1"/>
    </xf>
    <xf numFmtId="0" fontId="37" fillId="0" borderId="57" xfId="22" applyFont="1" applyBorder="1" applyAlignment="1">
      <alignment vertical="center" wrapText="1"/>
    </xf>
    <xf numFmtId="0" fontId="48" fillId="4" borderId="57" xfId="22" applyFont="1" applyFill="1" applyBorder="1" applyAlignment="1">
      <alignment horizontal="center" vertical="center" wrapText="1"/>
    </xf>
    <xf numFmtId="186" fontId="47" fillId="0" borderId="93" xfId="22" applyNumberFormat="1" applyFont="1" applyBorder="1" applyAlignment="1">
      <alignment horizontal="center" vertical="center"/>
    </xf>
    <xf numFmtId="20" fontId="47" fillId="0" borderId="93" xfId="22" applyNumberFormat="1" applyFont="1" applyBorder="1" applyAlignment="1">
      <alignment horizontal="center" vertical="center"/>
    </xf>
    <xf numFmtId="0" fontId="43" fillId="0" borderId="93" xfId="22" applyFont="1" applyBorder="1" applyAlignment="1">
      <alignment horizontal="center" vertical="center"/>
    </xf>
    <xf numFmtId="0" fontId="43" fillId="0" borderId="93" xfId="22" applyFont="1" applyBorder="1" applyAlignment="1">
      <alignment horizontal="center" vertical="center" wrapText="1"/>
    </xf>
    <xf numFmtId="0" fontId="43" fillId="0" borderId="93" xfId="22" applyFont="1" applyBorder="1" applyAlignment="1">
      <alignment vertical="center" wrapText="1"/>
    </xf>
    <xf numFmtId="0" fontId="88" fillId="4" borderId="93" xfId="22" applyFont="1" applyFill="1" applyBorder="1" applyAlignment="1">
      <alignment horizontal="center" vertical="center"/>
    </xf>
    <xf numFmtId="0" fontId="88" fillId="10" borderId="95" xfId="22" applyFont="1" applyFill="1" applyBorder="1" applyAlignment="1">
      <alignment horizontal="centerContinuous" vertical="center"/>
    </xf>
    <xf numFmtId="0" fontId="81" fillId="10" borderId="74" xfId="22" applyFont="1" applyFill="1" applyBorder="1" applyAlignment="1">
      <alignment horizontal="centerContinuous" vertical="center"/>
    </xf>
    <xf numFmtId="0" fontId="69" fillId="10" borderId="75" xfId="22" applyFont="1" applyFill="1" applyBorder="1" applyAlignment="1">
      <alignment horizontal="centerContinuous" vertical="center"/>
    </xf>
    <xf numFmtId="186" fontId="81" fillId="10" borderId="75" xfId="22" applyNumberFormat="1" applyFont="1" applyFill="1" applyBorder="1" applyAlignment="1">
      <alignment horizontal="center" vertical="center"/>
    </xf>
    <xf numFmtId="20" fontId="81" fillId="10" borderId="75" xfId="22" applyNumberFormat="1" applyFont="1" applyFill="1" applyBorder="1" applyAlignment="1">
      <alignment horizontal="center" vertical="center"/>
    </xf>
    <xf numFmtId="184" fontId="81" fillId="10" borderId="75" xfId="22" applyNumberFormat="1" applyFont="1" applyFill="1" applyBorder="1" applyAlignment="1">
      <alignment horizontal="center" vertical="center"/>
    </xf>
    <xf numFmtId="0" fontId="81" fillId="10" borderId="75" xfId="22" applyFont="1" applyFill="1" applyBorder="1" applyAlignment="1">
      <alignment horizontal="center" vertical="center" wrapText="1"/>
    </xf>
    <xf numFmtId="0" fontId="81" fillId="10" borderId="75" xfId="22" applyFont="1" applyFill="1" applyBorder="1" applyAlignment="1">
      <alignment horizontal="center" vertical="center"/>
    </xf>
    <xf numFmtId="0" fontId="81" fillId="10" borderId="75" xfId="22" applyFont="1" applyFill="1" applyBorder="1" applyAlignment="1">
      <alignment vertical="center" wrapText="1"/>
    </xf>
    <xf numFmtId="0" fontId="69" fillId="10" borderId="96" xfId="22" applyFont="1" applyFill="1" applyBorder="1" applyAlignment="1">
      <alignment horizontal="center" vertical="center" wrapText="1"/>
    </xf>
    <xf numFmtId="0" fontId="82" fillId="10" borderId="96" xfId="22" applyFont="1" applyFill="1" applyBorder="1" applyAlignment="1">
      <alignment horizontal="center" vertical="center" wrapText="1"/>
    </xf>
    <xf numFmtId="0" fontId="83" fillId="10" borderId="38" xfId="22" applyFont="1" applyFill="1" applyBorder="1" applyAlignment="1">
      <alignment horizontal="center" vertical="center" wrapText="1"/>
    </xf>
    <xf numFmtId="0" fontId="35" fillId="0" borderId="97" xfId="22" applyFont="1" applyBorder="1" applyAlignment="1">
      <alignment horizontal="center" vertical="center" wrapText="1"/>
    </xf>
    <xf numFmtId="0" fontId="41" fillId="0" borderId="55" xfId="22" applyFont="1" applyBorder="1" applyAlignment="1">
      <alignment horizontal="center" vertical="center"/>
    </xf>
    <xf numFmtId="0" fontId="35" fillId="0" borderId="98" xfId="22" applyFont="1" applyBorder="1" applyAlignment="1">
      <alignment horizontal="center" vertical="center" wrapText="1"/>
    </xf>
    <xf numFmtId="0" fontId="58" fillId="0" borderId="66" xfId="22" applyFont="1" applyBorder="1" applyAlignment="1">
      <alignment horizontal="center" vertical="center" wrapText="1"/>
    </xf>
    <xf numFmtId="0" fontId="97" fillId="0" borderId="0" xfId="0" applyFont="1">
      <alignment vertical="center"/>
    </xf>
    <xf numFmtId="0" fontId="35" fillId="0" borderId="99" xfId="22" applyFont="1" applyBorder="1" applyAlignment="1">
      <alignment horizontal="center" vertical="center" wrapText="1"/>
    </xf>
    <xf numFmtId="0" fontId="16" fillId="0" borderId="0" xfId="10" applyFont="1"/>
    <xf numFmtId="180" fontId="94" fillId="0" borderId="0" xfId="3" applyNumberFormat="1" applyFont="1" applyAlignment="1">
      <alignment vertical="center"/>
    </xf>
    <xf numFmtId="180" fontId="57" fillId="0" borderId="0" xfId="3" applyNumberFormat="1" applyFont="1"/>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8" fillId="11" borderId="32" xfId="22" applyFont="1" applyFill="1" applyBorder="1" applyAlignment="1">
      <alignment horizontal="center" vertical="center" wrapText="1"/>
    </xf>
    <xf numFmtId="0" fontId="99" fillId="4" borderId="32" xfId="22" applyFont="1" applyFill="1" applyBorder="1" applyAlignment="1">
      <alignment horizontal="center" vertical="center" wrapText="1"/>
    </xf>
    <xf numFmtId="0" fontId="100" fillId="9" borderId="32" xfId="22" applyFont="1" applyFill="1" applyBorder="1" applyAlignment="1">
      <alignment horizontal="center" vertical="center" wrapText="1"/>
    </xf>
    <xf numFmtId="0" fontId="99" fillId="4" borderId="58" xfId="22" applyFont="1" applyFill="1" applyBorder="1" applyAlignment="1">
      <alignment horizontal="center" vertical="center" wrapText="1"/>
    </xf>
    <xf numFmtId="0" fontId="101" fillId="16" borderId="100" xfId="22" applyFont="1" applyFill="1" applyBorder="1" applyAlignment="1">
      <alignment horizontal="center" vertical="center" wrapText="1"/>
    </xf>
    <xf numFmtId="0" fontId="99" fillId="4" borderId="59" xfId="22" applyFont="1" applyFill="1" applyBorder="1" applyAlignment="1">
      <alignment horizontal="center" vertical="center" wrapText="1"/>
    </xf>
    <xf numFmtId="0" fontId="98" fillId="11" borderId="58" xfId="22" applyFont="1" applyFill="1" applyBorder="1" applyAlignment="1">
      <alignment horizontal="center" vertical="center" wrapText="1"/>
    </xf>
    <xf numFmtId="0" fontId="101" fillId="16" borderId="102" xfId="22" applyFont="1" applyFill="1" applyBorder="1" applyAlignment="1">
      <alignment horizontal="center" vertical="center" wrapText="1"/>
    </xf>
    <xf numFmtId="0" fontId="102" fillId="17" borderId="104" xfId="22" applyFont="1" applyFill="1" applyBorder="1" applyAlignment="1">
      <alignment horizontal="center" vertical="center" wrapText="1"/>
    </xf>
    <xf numFmtId="0" fontId="102" fillId="17" borderId="105" xfId="22" applyFont="1" applyFill="1" applyBorder="1" applyAlignment="1">
      <alignment horizontal="center" vertical="center" wrapText="1"/>
    </xf>
    <xf numFmtId="49" fontId="100" fillId="18" borderId="105" xfId="22" applyNumberFormat="1" applyFont="1" applyFill="1" applyBorder="1" applyAlignment="1">
      <alignment horizontal="center" vertical="center" wrapText="1"/>
    </xf>
    <xf numFmtId="0" fontId="100" fillId="17" borderId="105" xfId="22" applyFont="1" applyFill="1" applyBorder="1" applyAlignment="1">
      <alignment horizontal="center" vertical="center" wrapText="1"/>
    </xf>
    <xf numFmtId="0" fontId="102" fillId="17" borderId="106" xfId="22" applyFont="1" applyFill="1" applyBorder="1" applyAlignment="1">
      <alignment horizontal="center" vertical="center" wrapText="1"/>
    </xf>
    <xf numFmtId="0" fontId="101" fillId="16" borderId="103" xfId="22" applyFont="1" applyFill="1" applyBorder="1" applyAlignment="1">
      <alignment horizontal="center" vertical="center" wrapText="1"/>
    </xf>
    <xf numFmtId="0" fontId="99" fillId="4" borderId="64" xfId="22" applyFont="1" applyFill="1" applyBorder="1" applyAlignment="1">
      <alignment horizontal="center" vertical="center" wrapText="1"/>
    </xf>
    <xf numFmtId="2" fontId="100" fillId="4" borderId="69" xfId="22" applyNumberFormat="1" applyFont="1" applyFill="1" applyBorder="1" applyAlignment="1">
      <alignment horizontal="center" vertical="center"/>
    </xf>
    <xf numFmtId="0" fontId="100" fillId="4" borderId="46" xfId="22" applyFont="1" applyFill="1" applyBorder="1" applyAlignment="1">
      <alignment horizontal="center" vertical="center"/>
    </xf>
    <xf numFmtId="0" fontId="82" fillId="12" borderId="100" xfId="22" applyFont="1" applyFill="1" applyBorder="1" applyAlignment="1">
      <alignment horizontal="center" vertical="center" wrapText="1"/>
    </xf>
    <xf numFmtId="0" fontId="82" fillId="12" borderId="101" xfId="22" applyFont="1" applyFill="1" applyBorder="1" applyAlignment="1">
      <alignment horizontal="center" vertical="center" wrapText="1"/>
    </xf>
    <xf numFmtId="0" fontId="100" fillId="11" borderId="69" xfId="22" applyFont="1" applyFill="1" applyBorder="1" applyAlignment="1">
      <alignment horizontal="center" vertical="center"/>
    </xf>
    <xf numFmtId="0" fontId="89" fillId="9" borderId="93" xfId="22" applyFont="1" applyFill="1" applyBorder="1" applyAlignment="1">
      <alignment horizontal="center" vertical="center"/>
    </xf>
    <xf numFmtId="186" fontId="95" fillId="0" borderId="93" xfId="22" applyNumberFormat="1" applyFont="1" applyBorder="1" applyAlignment="1">
      <alignment horizontal="center" vertical="center"/>
    </xf>
    <xf numFmtId="20" fontId="95" fillId="0" borderId="93" xfId="22" applyNumberFormat="1" applyFont="1" applyBorder="1" applyAlignment="1">
      <alignment horizontal="center" vertical="center"/>
    </xf>
    <xf numFmtId="184" fontId="41" fillId="10" borderId="93" xfId="22" applyNumberFormat="1" applyFont="1" applyFill="1" applyBorder="1" applyAlignment="1">
      <alignment horizontal="center" vertical="center"/>
    </xf>
    <xf numFmtId="0" fontId="95" fillId="0" borderId="93" xfId="22" applyFont="1" applyBorder="1" applyAlignment="1">
      <alignment horizontal="center" vertical="center"/>
    </xf>
    <xf numFmtId="0" fontId="95" fillId="0" borderId="93" xfId="22" applyFont="1" applyBorder="1" applyAlignment="1">
      <alignment horizontal="center" vertical="center" wrapText="1"/>
    </xf>
    <xf numFmtId="0" fontId="95" fillId="0" borderId="93" xfId="22" applyFont="1" applyBorder="1" applyAlignment="1">
      <alignment vertical="center" wrapText="1"/>
    </xf>
    <xf numFmtId="0" fontId="89" fillId="4" borderId="93" xfId="22" applyFont="1" applyFill="1" applyBorder="1" applyAlignment="1">
      <alignment horizontal="center" vertical="center"/>
    </xf>
    <xf numFmtId="0" fontId="95" fillId="0" borderId="94" xfId="22" applyFont="1" applyBorder="1" applyAlignment="1">
      <alignment vertical="center" wrapText="1"/>
    </xf>
    <xf numFmtId="0" fontId="41" fillId="4" borderId="32" xfId="22" applyFont="1" applyFill="1" applyBorder="1" applyAlignment="1">
      <alignment horizontal="center" vertical="center" wrapText="1"/>
    </xf>
    <xf numFmtId="0" fontId="43" fillId="4" borderId="32" xfId="22" applyFont="1" applyFill="1" applyBorder="1" applyAlignment="1">
      <alignment horizontal="center" vertical="center" wrapText="1"/>
    </xf>
    <xf numFmtId="0" fontId="37" fillId="0" borderId="14" xfId="22" applyFont="1" applyBorder="1" applyAlignment="1">
      <alignment horizontal="center" vertical="top" wrapText="1"/>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33" fillId="0" borderId="0" xfId="22" applyFont="1" applyAlignment="1">
      <alignment horizontal="center" vertical="center"/>
    </xf>
    <xf numFmtId="0" fontId="30" fillId="0" borderId="0" xfId="22" applyFont="1" applyAlignment="1">
      <alignment horizontal="center" vertical="center"/>
    </xf>
    <xf numFmtId="0" fontId="41" fillId="12" borderId="107" xfId="22" applyFont="1" applyFill="1" applyBorder="1" applyAlignment="1">
      <alignment horizontal="center" vertical="center"/>
    </xf>
    <xf numFmtId="0" fontId="41" fillId="12" borderId="42" xfId="22" applyFont="1" applyFill="1" applyBorder="1" applyAlignment="1">
      <alignment horizontal="center" vertical="center"/>
    </xf>
    <xf numFmtId="0" fontId="41" fillId="12" borderId="108" xfId="22" applyFont="1" applyFill="1" applyBorder="1" applyAlignment="1">
      <alignment horizontal="center" vertical="center"/>
    </xf>
    <xf numFmtId="0" fontId="2" fillId="0" borderId="61" xfId="22" applyBorder="1">
      <alignment vertical="center"/>
    </xf>
    <xf numFmtId="0" fontId="72" fillId="0" borderId="0" xfId="22" applyFont="1">
      <alignment vertical="center"/>
    </xf>
    <xf numFmtId="0" fontId="2" fillId="0" borderId="109" xfId="22" applyBorder="1">
      <alignment vertical="center"/>
    </xf>
    <xf numFmtId="0" fontId="99" fillId="4" borderId="0" xfId="22" applyFont="1" applyFill="1" applyAlignment="1">
      <alignment horizontal="center" vertical="center" wrapText="1"/>
    </xf>
    <xf numFmtId="0" fontId="0" fillId="0" borderId="111" xfId="0" applyBorder="1">
      <alignment vertical="center"/>
    </xf>
    <xf numFmtId="0" fontId="0" fillId="0" borderId="43" xfId="0" applyBorder="1">
      <alignment vertical="center"/>
    </xf>
    <xf numFmtId="177" fontId="103" fillId="0" borderId="15" xfId="1" applyFont="1" applyBorder="1" applyAlignment="1">
      <alignment vertical="center"/>
    </xf>
    <xf numFmtId="0" fontId="104" fillId="9" borderId="93" xfId="22" applyFont="1" applyFill="1" applyBorder="1" applyAlignment="1">
      <alignment horizontal="center" vertical="center"/>
    </xf>
    <xf numFmtId="0" fontId="104" fillId="4" borderId="93" xfId="22" applyFont="1" applyFill="1" applyBorder="1" applyAlignment="1">
      <alignment horizontal="center" vertical="center"/>
    </xf>
    <xf numFmtId="187" fontId="92" fillId="9" borderId="2" xfId="1" applyNumberFormat="1" applyFont="1" applyFill="1" applyBorder="1" applyAlignment="1">
      <alignment horizontal="center" vertical="center"/>
    </xf>
    <xf numFmtId="0" fontId="105" fillId="4" borderId="32" xfId="22" applyFont="1" applyFill="1" applyBorder="1" applyAlignment="1">
      <alignment horizontal="center" vertical="center" wrapText="1"/>
    </xf>
    <xf numFmtId="0" fontId="98" fillId="11" borderId="14" xfId="22" applyFont="1" applyFill="1" applyBorder="1" applyAlignment="1">
      <alignment horizontal="center" vertical="center" wrapText="1"/>
    </xf>
    <xf numFmtId="0" fontId="101" fillId="0" borderId="14" xfId="22" applyFont="1" applyBorder="1" applyAlignment="1">
      <alignment horizontal="center" vertical="center" wrapText="1"/>
    </xf>
    <xf numFmtId="0" fontId="99" fillId="4" borderId="14" xfId="22" applyFont="1" applyFill="1" applyBorder="1" applyAlignment="1">
      <alignment horizontal="center" vertical="center" wrapText="1"/>
    </xf>
    <xf numFmtId="0" fontId="102" fillId="11" borderId="14" xfId="22" applyFont="1" applyFill="1" applyBorder="1" applyAlignment="1">
      <alignment horizontal="center" vertical="center" wrapText="1"/>
    </xf>
    <xf numFmtId="49" fontId="100" fillId="11" borderId="14" xfId="22" applyNumberFormat="1" applyFont="1" applyFill="1" applyBorder="1" applyAlignment="1">
      <alignment horizontal="center" vertical="center" wrapText="1"/>
    </xf>
    <xf numFmtId="0" fontId="100" fillId="11" borderId="14" xfId="22" applyFont="1" applyFill="1" applyBorder="1" applyAlignment="1">
      <alignment horizontal="center" vertical="center" wrapText="1"/>
    </xf>
    <xf numFmtId="0" fontId="102" fillId="11" borderId="57" xfId="22" applyFont="1" applyFill="1" applyBorder="1" applyAlignment="1">
      <alignment horizontal="center" vertical="center" wrapText="1"/>
    </xf>
    <xf numFmtId="0" fontId="101" fillId="0" borderId="57" xfId="22" applyFont="1" applyBorder="1" applyAlignment="1">
      <alignment horizontal="center" vertical="center" wrapText="1"/>
    </xf>
    <xf numFmtId="0" fontId="99" fillId="4" borderId="57" xfId="22" applyFont="1" applyFill="1" applyBorder="1" applyAlignment="1">
      <alignment horizontal="center" vertical="center" wrapText="1"/>
    </xf>
    <xf numFmtId="2" fontId="106" fillId="4" borderId="93" xfId="22" applyNumberFormat="1" applyFont="1" applyFill="1" applyBorder="1" applyAlignment="1">
      <alignment horizontal="center" vertical="center"/>
    </xf>
    <xf numFmtId="0" fontId="106" fillId="9" borderId="93" xfId="22" applyFont="1" applyFill="1" applyBorder="1" applyAlignment="1">
      <alignment horizontal="center" vertical="center"/>
    </xf>
    <xf numFmtId="49" fontId="107" fillId="12" borderId="110" xfId="22" quotePrefix="1" applyNumberFormat="1" applyFont="1" applyFill="1" applyBorder="1" applyAlignment="1">
      <alignment horizontal="center" vertical="center" wrapText="1"/>
    </xf>
    <xf numFmtId="0" fontId="108" fillId="4" borderId="32" xfId="22" applyFont="1" applyFill="1" applyBorder="1" applyAlignment="1">
      <alignment horizontal="center" vertical="center" wrapText="1"/>
    </xf>
    <xf numFmtId="0" fontId="64" fillId="4" borderId="32" xfId="22" applyFont="1" applyFill="1" applyBorder="1" applyAlignment="1">
      <alignment horizontal="center" vertical="center" wrapText="1"/>
    </xf>
    <xf numFmtId="0" fontId="109" fillId="4" borderId="32" xfId="22" applyFont="1" applyFill="1" applyBorder="1" applyAlignment="1">
      <alignment horizontal="center" vertical="center" wrapText="1"/>
    </xf>
    <xf numFmtId="0" fontId="108" fillId="16" borderId="32" xfId="22" applyFont="1" applyFill="1" applyBorder="1" applyAlignment="1">
      <alignment horizontal="center" vertical="center" wrapText="1"/>
    </xf>
    <xf numFmtId="0" fontId="110" fillId="12" borderId="93" xfId="22" applyFont="1" applyFill="1" applyBorder="1" applyAlignment="1">
      <alignment horizontal="center" vertical="center"/>
    </xf>
    <xf numFmtId="0" fontId="111" fillId="9" borderId="22" xfId="0" applyFont="1" applyFill="1" applyBorder="1" applyAlignment="1">
      <alignment horizontal="center" vertical="center" wrapText="1"/>
    </xf>
    <xf numFmtId="0" fontId="113" fillId="0" borderId="0" xfId="0" applyFont="1">
      <alignment vertical="center"/>
    </xf>
    <xf numFmtId="0" fontId="43" fillId="0" borderId="94" xfId="22" applyFont="1" applyBorder="1" applyAlignment="1">
      <alignment vertical="center" wrapText="1"/>
    </xf>
    <xf numFmtId="0" fontId="115" fillId="0" borderId="67" xfId="22" applyFont="1" applyBorder="1" applyAlignment="1">
      <alignment horizontal="center" vertical="center" wrapText="1"/>
    </xf>
    <xf numFmtId="0" fontId="115" fillId="0" borderId="68" xfId="22" applyFont="1" applyBorder="1" applyAlignment="1">
      <alignment horizontal="center" vertical="center" wrapText="1"/>
    </xf>
    <xf numFmtId="0" fontId="116" fillId="0" borderId="73" xfId="22" applyFont="1" applyBorder="1" applyAlignment="1">
      <alignment horizontal="center" vertical="center" wrapText="1"/>
    </xf>
    <xf numFmtId="0" fontId="88" fillId="9" borderId="32" xfId="22" applyFont="1" applyFill="1" applyBorder="1" applyAlignment="1">
      <alignment horizontal="center" vertical="center" wrapText="1"/>
    </xf>
    <xf numFmtId="0" fontId="88" fillId="11" borderId="32" xfId="22" quotePrefix="1" applyFont="1" applyFill="1" applyBorder="1" applyAlignment="1">
      <alignment horizontal="center" vertical="center" wrapText="1"/>
    </xf>
    <xf numFmtId="0" fontId="88" fillId="9" borderId="32" xfId="22" quotePrefix="1" applyFont="1" applyFill="1" applyBorder="1" applyAlignment="1">
      <alignment horizontal="center" vertical="center" wrapText="1"/>
    </xf>
    <xf numFmtId="0" fontId="88" fillId="11" borderId="32" xfId="22" applyFont="1" applyFill="1" applyBorder="1" applyAlignment="1">
      <alignment horizontal="center" vertical="center" wrapText="1"/>
    </xf>
    <xf numFmtId="0" fontId="41" fillId="0" borderId="59" xfId="22" applyFont="1" applyBorder="1" applyAlignment="1">
      <alignment horizontal="center" vertical="center"/>
    </xf>
    <xf numFmtId="0" fontId="44" fillId="0" borderId="59" xfId="22" applyFont="1" applyBorder="1" applyAlignment="1">
      <alignment horizontal="center" vertical="center"/>
    </xf>
    <xf numFmtId="0" fontId="73" fillId="0" borderId="59" xfId="22" applyFont="1" applyBorder="1" applyAlignment="1">
      <alignment horizontal="center" vertical="center"/>
    </xf>
    <xf numFmtId="186" fontId="44" fillId="0" borderId="59" xfId="22" applyNumberFormat="1" applyFont="1" applyBorder="1" applyAlignment="1">
      <alignment horizontal="center" vertical="center"/>
    </xf>
    <xf numFmtId="20" fontId="44" fillId="0" borderId="59" xfId="22" applyNumberFormat="1" applyFont="1" applyBorder="1" applyAlignment="1">
      <alignment horizontal="center" vertical="center"/>
    </xf>
    <xf numFmtId="20" fontId="45" fillId="0" borderId="59" xfId="22" applyNumberFormat="1" applyFont="1" applyBorder="1" applyAlignment="1">
      <alignment horizontal="center" vertical="center"/>
    </xf>
    <xf numFmtId="184" fontId="38" fillId="0" borderId="59" xfId="22" applyNumberFormat="1" applyFont="1" applyBorder="1" applyAlignment="1">
      <alignment horizontal="center" vertical="center"/>
    </xf>
    <xf numFmtId="0" fontId="37" fillId="0" borderId="59" xfId="22" applyFont="1" applyBorder="1" applyAlignment="1">
      <alignment horizontal="center" vertical="center" wrapText="1"/>
    </xf>
    <xf numFmtId="0" fontId="44" fillId="0" borderId="59" xfId="22" applyFont="1" applyBorder="1" applyAlignment="1">
      <alignment horizontal="center" vertical="center" wrapText="1"/>
    </xf>
    <xf numFmtId="0" fontId="37" fillId="0" borderId="59" xfId="22" applyFont="1" applyBorder="1" applyAlignment="1">
      <alignment vertical="center" wrapText="1"/>
    </xf>
    <xf numFmtId="0" fontId="43" fillId="0" borderId="59" xfId="22" applyFont="1" applyBorder="1" applyAlignment="1">
      <alignment horizontal="center" vertical="center" wrapText="1"/>
    </xf>
    <xf numFmtId="0" fontId="41" fillId="0" borderId="59" xfId="22" applyFont="1" applyBorder="1" applyAlignment="1">
      <alignment horizontal="center" vertical="center" wrapText="1"/>
    </xf>
    <xf numFmtId="0" fontId="0" fillId="0" borderId="59" xfId="0" applyBorder="1">
      <alignment vertical="center"/>
    </xf>
    <xf numFmtId="0" fontId="117" fillId="9" borderId="14" xfId="22" applyFont="1" applyFill="1" applyBorder="1" applyAlignment="1">
      <alignment horizontal="center" vertical="center"/>
    </xf>
    <xf numFmtId="0" fontId="118" fillId="9" borderId="93" xfId="22" applyFont="1" applyFill="1" applyBorder="1" applyAlignment="1">
      <alignment horizontal="center" vertical="center"/>
    </xf>
    <xf numFmtId="0" fontId="119" fillId="9" borderId="14" xfId="22" applyFont="1" applyFill="1" applyBorder="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xf numFmtId="0" fontId="104" fillId="0" borderId="91" xfId="22" applyFont="1" applyBorder="1" applyAlignment="1">
      <alignment horizontal="center" vertical="center" wrapText="1"/>
    </xf>
    <xf numFmtId="0" fontId="104" fillId="0" borderId="92" xfId="22" applyFont="1" applyBorder="1" applyAlignment="1">
      <alignment horizontal="center" vertical="center" wrapText="1"/>
    </xf>
    <xf numFmtId="0" fontId="89" fillId="0" borderId="91" xfId="22" applyFont="1" applyBorder="1" applyAlignment="1">
      <alignment horizontal="center" vertical="center" wrapText="1"/>
    </xf>
    <xf numFmtId="0" fontId="89" fillId="0" borderId="92" xfId="22" applyFont="1" applyBorder="1" applyAlignment="1">
      <alignment horizontal="center" vertical="center" wrapText="1"/>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89" fillId="0" borderId="44" xfId="22" applyFont="1" applyBorder="1" applyAlignment="1">
      <alignment horizontal="center" vertical="center" wrapText="1"/>
    </xf>
    <xf numFmtId="0" fontId="89" fillId="0" borderId="45" xfId="22" applyFont="1" applyBorder="1" applyAlignment="1">
      <alignment horizontal="center" vertical="center" wrapText="1"/>
    </xf>
    <xf numFmtId="0" fontId="77" fillId="10" borderId="65" xfId="22" applyFont="1" applyFill="1" applyBorder="1" applyAlignment="1">
      <alignment horizontal="center" vertical="center"/>
    </xf>
    <xf numFmtId="0" fontId="77" fillId="10" borderId="70" xfId="22" applyFont="1" applyFill="1" applyBorder="1" applyAlignment="1">
      <alignment horizontal="center" vertical="center"/>
    </xf>
    <xf numFmtId="0" fontId="77" fillId="10" borderId="72" xfId="22" applyFont="1" applyFill="1" applyBorder="1" applyAlignment="1">
      <alignment horizontal="center" vertical="center"/>
    </xf>
    <xf numFmtId="0" fontId="65" fillId="0" borderId="44" xfId="22" applyFont="1" applyBorder="1" applyAlignment="1">
      <alignment horizontal="center" vertical="center" wrapText="1"/>
    </xf>
    <xf numFmtId="0" fontId="65" fillId="0" borderId="45" xfId="22" applyFont="1" applyBorder="1" applyAlignment="1">
      <alignment horizontal="center" vertical="center" wrapText="1"/>
    </xf>
    <xf numFmtId="0" fontId="120" fillId="21" borderId="93" xfId="22" applyFont="1" applyFill="1" applyBorder="1" applyAlignment="1">
      <alignment horizontal="center" vertical="center"/>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9"/>
  <sheetViews>
    <sheetView showGridLines="0" topLeftCell="A9" zoomScale="70" zoomScaleNormal="70" workbookViewId="0">
      <selection activeCell="A10" sqref="A10"/>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468" t="s">
        <v>1</v>
      </c>
      <c r="B2" s="468"/>
      <c r="C2" s="468"/>
      <c r="D2" s="468"/>
      <c r="E2" s="468"/>
      <c r="F2" s="468"/>
      <c r="G2" s="468"/>
      <c r="H2" s="2"/>
    </row>
    <row r="3" spans="1:9" ht="14.25">
      <c r="A3" s="172"/>
      <c r="B3" s="172"/>
      <c r="C3" s="172"/>
      <c r="D3" s="172"/>
      <c r="E3" s="172"/>
      <c r="F3" s="172"/>
      <c r="G3" s="172"/>
      <c r="H3" s="172"/>
    </row>
    <row r="4" spans="1:9" ht="14.25">
      <c r="A4" s="172"/>
      <c r="B4" s="172"/>
      <c r="C4" s="172"/>
      <c r="D4" s="172"/>
      <c r="E4" s="172"/>
      <c r="H4" s="172"/>
    </row>
    <row r="5" spans="1:9" ht="27" customHeight="1">
      <c r="A5" s="173" t="s">
        <v>41</v>
      </c>
      <c r="B5" s="4"/>
      <c r="C5" s="5"/>
      <c r="D5" s="172"/>
      <c r="E5" s="172"/>
      <c r="F5" s="6" t="s">
        <v>31</v>
      </c>
      <c r="G5" s="7" t="s">
        <v>45</v>
      </c>
      <c r="H5" s="172"/>
    </row>
    <row r="6" spans="1:9" ht="27" customHeight="1">
      <c r="A6" s="172"/>
      <c r="B6" s="172"/>
      <c r="C6" s="172"/>
      <c r="D6" s="172"/>
      <c r="E6" s="172"/>
      <c r="F6" s="8" t="s">
        <v>34</v>
      </c>
      <c r="G6" s="9" t="s">
        <v>46</v>
      </c>
      <c r="H6" s="172"/>
    </row>
    <row r="7" spans="1:9" ht="27" customHeight="1">
      <c r="A7" s="469" t="s">
        <v>248</v>
      </c>
      <c r="B7" s="470"/>
      <c r="C7" s="471"/>
      <c r="D7" s="172"/>
      <c r="E7" s="10"/>
      <c r="F7" s="11" t="s">
        <v>35</v>
      </c>
      <c r="G7" s="9" t="s">
        <v>47</v>
      </c>
      <c r="H7" s="172"/>
    </row>
    <row r="8" spans="1:9" ht="27" customHeight="1">
      <c r="A8" s="172"/>
      <c r="B8" s="172"/>
      <c r="C8" s="172"/>
      <c r="D8" s="172"/>
      <c r="E8" s="172"/>
      <c r="F8" s="8" t="s">
        <v>36</v>
      </c>
      <c r="G8" s="9" t="s">
        <v>48</v>
      </c>
      <c r="H8" s="172"/>
    </row>
    <row r="9" spans="1:9" ht="27" customHeight="1">
      <c r="A9" s="469" t="s">
        <v>249</v>
      </c>
      <c r="B9" s="470"/>
      <c r="C9" s="471"/>
      <c r="D9" s="172"/>
      <c r="E9" s="172"/>
      <c r="F9" s="8" t="s">
        <v>37</v>
      </c>
      <c r="G9" s="9" t="s">
        <v>49</v>
      </c>
      <c r="H9" s="172"/>
    </row>
    <row r="10" spans="1:9" ht="27" customHeight="1">
      <c r="A10" s="172"/>
      <c r="B10" s="172"/>
      <c r="C10" s="172"/>
      <c r="D10" s="172"/>
      <c r="E10" s="172"/>
      <c r="F10" s="12" t="s">
        <v>32</v>
      </c>
      <c r="G10" s="13" t="s">
        <v>50</v>
      </c>
      <c r="H10" s="172"/>
      <c r="I10" s="172"/>
    </row>
    <row r="11" spans="1:9" ht="27" customHeight="1">
      <c r="A11" s="472"/>
      <c r="B11" s="473"/>
      <c r="C11" s="473"/>
      <c r="D11" s="172"/>
      <c r="E11" s="14"/>
      <c r="F11" s="15" t="s">
        <v>33</v>
      </c>
      <c r="G11" s="16" t="s">
        <v>51</v>
      </c>
      <c r="H11" s="14"/>
    </row>
    <row r="12" spans="1:9" ht="18.75" thickBot="1">
      <c r="A12" s="17" t="s">
        <v>2</v>
      </c>
      <c r="B12" s="17" t="str">
        <f>NUMBERSTRING(F31,1)</f>
        <v>사백오십오만육천</v>
      </c>
      <c r="C12" s="18"/>
      <c r="D12" s="1" t="s">
        <v>3</v>
      </c>
      <c r="E12" s="1" t="s">
        <v>4</v>
      </c>
      <c r="F12" s="1" t="s">
        <v>4</v>
      </c>
      <c r="G12" s="1"/>
      <c r="H12" s="19"/>
    </row>
    <row r="13" spans="1:9" ht="15.75" thickTop="1" thickBot="1">
      <c r="A13" s="172"/>
      <c r="B13" s="172"/>
      <c r="C13" s="172"/>
      <c r="D13" s="172"/>
      <c r="E13" s="172"/>
      <c r="F13" s="172"/>
      <c r="G13" s="172"/>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'내역서(표준단가)'!O7</f>
        <v>193532.125</v>
      </c>
      <c r="G16" s="34"/>
    </row>
    <row r="17" spans="1:7" ht="33" customHeight="1">
      <c r="A17" s="29"/>
      <c r="B17" s="30" t="s">
        <v>14</v>
      </c>
      <c r="C17" s="31"/>
      <c r="D17" s="32"/>
      <c r="E17" s="32"/>
      <c r="F17" s="33">
        <f>'내역서(표준단가)'!Q7</f>
        <v>3571094.1824999996</v>
      </c>
      <c r="G17" s="35"/>
    </row>
    <row r="18" spans="1:7" ht="33" customHeight="1">
      <c r="A18" s="29"/>
      <c r="B18" s="30" t="s">
        <v>15</v>
      </c>
      <c r="C18" s="31"/>
      <c r="D18" s="32"/>
      <c r="E18" s="32"/>
      <c r="F18" s="33">
        <f>'내역서(표준단가)'!S7+'내역서(표준단가)'!U7</f>
        <v>0</v>
      </c>
      <c r="G18" s="35"/>
    </row>
    <row r="19" spans="1:7" ht="33" customHeight="1">
      <c r="A19" s="29"/>
      <c r="B19" s="36" t="s">
        <v>16</v>
      </c>
      <c r="C19" s="36"/>
      <c r="D19" s="37"/>
      <c r="E19" s="37"/>
      <c r="F19" s="38">
        <f>F16+F17+F18</f>
        <v>3764626.3074999996</v>
      </c>
      <c r="G19" s="35"/>
    </row>
    <row r="20" spans="1:7" ht="33" customHeight="1">
      <c r="A20" s="29"/>
      <c r="B20" s="39" t="s">
        <v>17</v>
      </c>
      <c r="C20" s="40"/>
      <c r="D20" s="32"/>
      <c r="E20" s="32"/>
      <c r="F20" s="41"/>
      <c r="G20" s="35"/>
    </row>
    <row r="21" spans="1:7" ht="33" customHeight="1">
      <c r="A21" s="29"/>
      <c r="B21" s="208" t="s">
        <v>18</v>
      </c>
      <c r="C21" s="40" t="s">
        <v>19</v>
      </c>
      <c r="D21" s="30">
        <v>1</v>
      </c>
      <c r="E21" s="30" t="s">
        <v>20</v>
      </c>
      <c r="F21" s="42">
        <f>F17*4.5%</f>
        <v>160699.23821249997</v>
      </c>
      <c r="G21" s="35" t="s">
        <v>21</v>
      </c>
    </row>
    <row r="22" spans="1:7" ht="33" customHeight="1">
      <c r="A22" s="29"/>
      <c r="B22" s="209" t="s">
        <v>22</v>
      </c>
      <c r="C22" s="43" t="s">
        <v>42</v>
      </c>
      <c r="D22" s="44">
        <v>1</v>
      </c>
      <c r="E22" s="44" t="s">
        <v>20</v>
      </c>
      <c r="F22" s="45">
        <f>F17*3.545%</f>
        <v>126595.288769625</v>
      </c>
      <c r="G22" s="46" t="s">
        <v>21</v>
      </c>
    </row>
    <row r="23" spans="1:7" ht="33" customHeight="1">
      <c r="A23" s="29"/>
      <c r="B23" s="208" t="s">
        <v>23</v>
      </c>
      <c r="C23" s="40" t="s">
        <v>43</v>
      </c>
      <c r="D23" s="30">
        <v>1</v>
      </c>
      <c r="E23" s="30" t="s">
        <v>20</v>
      </c>
      <c r="F23" s="42">
        <f>F22*12.95%</f>
        <v>16394.089895666439</v>
      </c>
      <c r="G23" s="35" t="s">
        <v>21</v>
      </c>
    </row>
    <row r="24" spans="1:7" ht="33" customHeight="1">
      <c r="A24" s="29"/>
      <c r="B24" s="208" t="s">
        <v>24</v>
      </c>
      <c r="C24" s="40" t="s">
        <v>39</v>
      </c>
      <c r="D24" s="30">
        <v>1</v>
      </c>
      <c r="E24" s="30" t="s">
        <v>20</v>
      </c>
      <c r="F24" s="42">
        <f>F17*1.01%</f>
        <v>36068.051243249996</v>
      </c>
      <c r="G24" s="35" t="s">
        <v>21</v>
      </c>
    </row>
    <row r="25" spans="1:7" ht="33" customHeight="1">
      <c r="A25" s="29"/>
      <c r="B25" s="208" t="s">
        <v>25</v>
      </c>
      <c r="C25" s="40" t="s">
        <v>44</v>
      </c>
      <c r="D25" s="30">
        <v>1</v>
      </c>
      <c r="E25" s="30" t="s">
        <v>20</v>
      </c>
      <c r="F25" s="42">
        <f>F17*3.56%</f>
        <v>127130.95289699998</v>
      </c>
      <c r="G25" s="35" t="s">
        <v>21</v>
      </c>
    </row>
    <row r="26" spans="1:7" ht="33" customHeight="1">
      <c r="A26" s="29"/>
      <c r="B26" s="208" t="s">
        <v>26</v>
      </c>
      <c r="C26" s="47" t="s">
        <v>72</v>
      </c>
      <c r="D26" s="30">
        <v>1</v>
      </c>
      <c r="E26" s="30" t="s">
        <v>20</v>
      </c>
      <c r="F26" s="42">
        <f>(F16+F17)*3.11%</f>
        <v>117079.87816324999</v>
      </c>
      <c r="G26" s="35" t="s">
        <v>21</v>
      </c>
    </row>
    <row r="27" spans="1:7" ht="33" customHeight="1">
      <c r="A27" s="29"/>
      <c r="B27" s="208" t="s">
        <v>29</v>
      </c>
      <c r="C27" s="47" t="s">
        <v>30</v>
      </c>
      <c r="D27" s="30">
        <v>1</v>
      </c>
      <c r="E27" s="30" t="s">
        <v>20</v>
      </c>
      <c r="F27" s="42">
        <f>SUM(F17+F21+F22+F23+F24+F25+F26)*5%</f>
        <v>207753.08408406458</v>
      </c>
      <c r="G27" s="35"/>
    </row>
    <row r="28" spans="1:7" ht="33" customHeight="1">
      <c r="A28" s="29"/>
      <c r="B28" s="36" t="s">
        <v>16</v>
      </c>
      <c r="C28" s="48"/>
      <c r="D28" s="49"/>
      <c r="E28" s="37"/>
      <c r="F28" s="50">
        <f>F21+F22+F23+F24+F25+F26+F27</f>
        <v>791720.5832653559</v>
      </c>
      <c r="G28" s="35"/>
    </row>
    <row r="29" spans="1:7" ht="33" customHeight="1">
      <c r="A29" s="29"/>
      <c r="B29" s="40"/>
      <c r="C29" s="51"/>
      <c r="D29" s="52"/>
      <c r="E29" s="32"/>
      <c r="F29" s="53"/>
      <c r="G29" s="35"/>
    </row>
    <row r="30" spans="1:7" ht="33" customHeight="1">
      <c r="A30" s="29"/>
      <c r="B30" s="54"/>
      <c r="C30" s="51"/>
      <c r="D30" s="52"/>
      <c r="E30" s="32"/>
      <c r="F30" s="55">
        <f>F19+F28+F29</f>
        <v>4556346.8907653559</v>
      </c>
      <c r="G30" s="35"/>
    </row>
    <row r="31" spans="1:7" ht="33" customHeight="1">
      <c r="A31" s="29"/>
      <c r="B31" s="36" t="s">
        <v>27</v>
      </c>
      <c r="C31" s="36"/>
      <c r="D31" s="37"/>
      <c r="E31" s="37"/>
      <c r="F31" s="324">
        <f>ROUNDDOWN(F30,-3)</f>
        <v>4556000</v>
      </c>
      <c r="G31" s="420"/>
    </row>
    <row r="32" spans="1:7" ht="33" customHeight="1" thickBot="1">
      <c r="A32" s="56"/>
      <c r="B32" s="57" t="s">
        <v>28</v>
      </c>
      <c r="C32" s="58"/>
      <c r="D32" s="58"/>
      <c r="E32" s="58"/>
      <c r="F32" s="59"/>
      <c r="G32" s="314"/>
    </row>
    <row r="33" spans="2:7" ht="33.75" customHeight="1">
      <c r="B33" s="370"/>
      <c r="F33" s="371"/>
      <c r="G33" s="372"/>
    </row>
    <row r="34" spans="2:7" ht="24">
      <c r="B34" s="370"/>
      <c r="F34" s="371"/>
    </row>
    <row r="35" spans="2:7" ht="24">
      <c r="F35" s="371"/>
    </row>
    <row r="36" spans="2:7" ht="24">
      <c r="F36" s="371"/>
    </row>
    <row r="37" spans="2:7" ht="24">
      <c r="F37" s="371"/>
    </row>
    <row r="38" spans="2:7" ht="24">
      <c r="F38" s="371"/>
    </row>
    <row r="39" spans="2:7" ht="24">
      <c r="F39" s="371"/>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Z7"/>
  <sheetViews>
    <sheetView showGridLines="0" zoomScale="80" zoomScaleNormal="80" workbookViewId="0">
      <pane ySplit="4" topLeftCell="A6" activePane="bottomLeft" state="frozen"/>
      <selection pane="bottomLeft" activeCell="Q5" sqref="Q5"/>
    </sheetView>
  </sheetViews>
  <sheetFormatPr defaultColWidth="9" defaultRowHeight="38.1" customHeight="1"/>
  <cols>
    <col min="1" max="1" width="22.625" style="88" bestFit="1" customWidth="1"/>
    <col min="2" max="5" width="4.625" style="88" hidden="1" customWidth="1"/>
    <col min="6" max="6" width="9" style="78" hidden="1" customWidth="1"/>
    <col min="7" max="9" width="12.625" style="78" hidden="1" customWidth="1"/>
    <col min="10" max="10" width="26" style="75" customWidth="1"/>
    <col min="11" max="11" width="30.625" style="75" customWidth="1"/>
    <col min="12" max="12" width="8.75" style="78" customWidth="1"/>
    <col min="13" max="13" width="8.25" style="78" customWidth="1"/>
    <col min="14" max="14" width="10.625" style="78" bestFit="1" customWidth="1"/>
    <col min="15" max="15" width="17.25" style="78" bestFit="1" customWidth="1"/>
    <col min="16" max="16" width="12" style="78" bestFit="1" customWidth="1"/>
    <col min="17" max="17" width="17.25" style="78" bestFit="1" customWidth="1"/>
    <col min="18" max="18" width="9" style="78" hidden="1" customWidth="1"/>
    <col min="19" max="19" width="8.75" style="78" hidden="1" customWidth="1"/>
    <col min="20" max="20" width="10.5" style="78" hidden="1" customWidth="1"/>
    <col min="21" max="21" width="8.75" style="78" hidden="1" customWidth="1"/>
    <col min="22" max="22" width="15.625" style="78" bestFit="1" customWidth="1"/>
    <col min="23" max="23" width="10.625" style="60" hidden="1" customWidth="1"/>
    <col min="24" max="24" width="25.375" style="78" customWidth="1"/>
    <col min="25" max="16384" width="9" style="78"/>
  </cols>
  <sheetData>
    <row r="1" spans="1:26" ht="19.899999999999999" customHeight="1">
      <c r="A1" s="476"/>
      <c r="B1" s="476"/>
      <c r="C1" s="476"/>
      <c r="D1" s="476"/>
      <c r="E1" s="476"/>
      <c r="F1" s="476"/>
      <c r="G1" s="476"/>
      <c r="H1" s="476"/>
      <c r="I1" s="476"/>
      <c r="N1" s="60"/>
      <c r="O1" s="174" t="s">
        <v>52</v>
      </c>
      <c r="Q1" s="174" t="s">
        <v>52</v>
      </c>
      <c r="S1" s="174" t="s">
        <v>52</v>
      </c>
      <c r="U1" s="174" t="s">
        <v>52</v>
      </c>
    </row>
    <row r="2" spans="1:26" ht="19.899999999999999" customHeight="1" thickBot="1">
      <c r="A2" s="476"/>
      <c r="B2" s="476"/>
      <c r="C2" s="476"/>
      <c r="D2" s="476"/>
      <c r="E2" s="476"/>
      <c r="F2" s="476"/>
      <c r="G2" s="476"/>
      <c r="H2" s="476"/>
      <c r="I2" s="476"/>
      <c r="N2" s="61"/>
      <c r="O2" s="62">
        <v>0.83499999999999996</v>
      </c>
      <c r="Q2" s="62">
        <v>0.83499999999999996</v>
      </c>
      <c r="S2" s="62">
        <v>0.83499999999999996</v>
      </c>
      <c r="U2" s="62">
        <v>0.83499999999999996</v>
      </c>
    </row>
    <row r="3" spans="1:26" ht="19.899999999999999" customHeight="1">
      <c r="A3" s="79"/>
      <c r="B3" s="80"/>
      <c r="C3" s="80"/>
      <c r="D3" s="80"/>
      <c r="E3" s="80"/>
      <c r="F3" s="80" t="s">
        <v>53</v>
      </c>
      <c r="G3" s="80"/>
      <c r="H3" s="80"/>
      <c r="I3" s="80"/>
      <c r="J3" s="477" t="s">
        <v>54</v>
      </c>
      <c r="K3" s="477"/>
      <c r="L3" s="478" t="s">
        <v>40</v>
      </c>
      <c r="M3" s="478" t="s">
        <v>0</v>
      </c>
      <c r="N3" s="480" t="s">
        <v>55</v>
      </c>
      <c r="O3" s="480"/>
      <c r="P3" s="480" t="s">
        <v>56</v>
      </c>
      <c r="Q3" s="480"/>
      <c r="R3" s="481" t="s">
        <v>57</v>
      </c>
      <c r="S3" s="481"/>
      <c r="T3" s="481" t="s">
        <v>58</v>
      </c>
      <c r="U3" s="481"/>
      <c r="V3" s="482" t="s">
        <v>59</v>
      </c>
      <c r="W3" s="484" t="s">
        <v>60</v>
      </c>
      <c r="X3" s="474" t="s">
        <v>38</v>
      </c>
    </row>
    <row r="4" spans="1:26" ht="19.899999999999999" customHeight="1">
      <c r="A4" s="63" t="s">
        <v>61</v>
      </c>
      <c r="B4" s="175"/>
      <c r="C4" s="175"/>
      <c r="D4" s="175"/>
      <c r="E4" s="175"/>
      <c r="F4" s="64" t="s">
        <v>62</v>
      </c>
      <c r="G4" s="64" t="s">
        <v>63</v>
      </c>
      <c r="H4" s="64" t="s">
        <v>64</v>
      </c>
      <c r="I4" s="64" t="s">
        <v>65</v>
      </c>
      <c r="J4" s="76" t="s">
        <v>66</v>
      </c>
      <c r="K4" s="76" t="s">
        <v>67</v>
      </c>
      <c r="L4" s="479"/>
      <c r="M4" s="479"/>
      <c r="N4" s="206" t="s">
        <v>68</v>
      </c>
      <c r="O4" s="65" t="s">
        <v>69</v>
      </c>
      <c r="P4" s="206" t="s">
        <v>70</v>
      </c>
      <c r="Q4" s="65" t="s">
        <v>69</v>
      </c>
      <c r="R4" s="65" t="s">
        <v>71</v>
      </c>
      <c r="S4" s="65" t="s">
        <v>69</v>
      </c>
      <c r="T4" s="65" t="s">
        <v>71</v>
      </c>
      <c r="U4" s="65" t="s">
        <v>69</v>
      </c>
      <c r="V4" s="483"/>
      <c r="W4" s="485"/>
      <c r="X4" s="475"/>
    </row>
    <row r="5" spans="1:26" s="81" customFormat="1" ht="38.1" customHeight="1">
      <c r="A5" s="66" t="str">
        <f t="shared" ref="A5:A6" si="0">F5&amp;G5&amp;H5&amp;I5</f>
        <v>L003</v>
      </c>
      <c r="B5" s="70"/>
      <c r="C5" s="70"/>
      <c r="D5" s="70"/>
      <c r="E5" s="70"/>
      <c r="F5" s="164"/>
      <c r="G5" s="165"/>
      <c r="H5" s="207"/>
      <c r="I5" s="164" t="s">
        <v>148</v>
      </c>
      <c r="J5" s="166" t="s">
        <v>199</v>
      </c>
      <c r="K5" s="166" t="s">
        <v>200</v>
      </c>
      <c r="L5" s="167" t="s">
        <v>149</v>
      </c>
      <c r="M5" s="423">
        <v>19.5</v>
      </c>
      <c r="N5" s="168"/>
      <c r="O5" s="74">
        <f t="shared" ref="O5" si="1">SUM(N5:N5)*M5*$O$2</f>
        <v>0</v>
      </c>
      <c r="P5" s="73">
        <v>219321</v>
      </c>
      <c r="Q5" s="67">
        <f t="shared" ref="Q5:Q6" si="2">(P5*M5)*$Q$2</f>
        <v>3571094.1824999996</v>
      </c>
      <c r="R5" s="68"/>
      <c r="S5" s="67">
        <f t="shared" ref="S5:S6" si="3">R5*M5*$S$2</f>
        <v>0</v>
      </c>
      <c r="T5" s="68"/>
      <c r="U5" s="67">
        <f t="shared" ref="U5:U6" si="4">T5*M5*$U$2</f>
        <v>0</v>
      </c>
      <c r="V5" s="68">
        <f t="shared" ref="V5:V6" si="5">SUM(O5+Q5)+S5+U5</f>
        <v>3571094.1824999996</v>
      </c>
      <c r="W5" s="72"/>
      <c r="X5" s="69"/>
    </row>
    <row r="6" spans="1:26" s="81" customFormat="1" ht="94.5">
      <c r="A6" s="66" t="str">
        <f t="shared" si="0"/>
        <v>M020450310340103</v>
      </c>
      <c r="B6" s="70"/>
      <c r="C6" s="70"/>
      <c r="D6" s="70"/>
      <c r="E6" s="70"/>
      <c r="F6" s="164"/>
      <c r="G6" s="165"/>
      <c r="H6" s="207" t="s">
        <v>201</v>
      </c>
      <c r="I6" s="164"/>
      <c r="J6" s="166" t="s">
        <v>202</v>
      </c>
      <c r="K6" s="166" t="s">
        <v>203</v>
      </c>
      <c r="L6" s="167" t="s">
        <v>150</v>
      </c>
      <c r="M6" s="322">
        <v>6.35</v>
      </c>
      <c r="N6" s="168">
        <v>36500</v>
      </c>
      <c r="O6" s="74">
        <f t="shared" ref="O6" si="6">SUM(N6:N6)*M6*$O$2</f>
        <v>193532.125</v>
      </c>
      <c r="P6" s="73"/>
      <c r="Q6" s="67">
        <f t="shared" si="2"/>
        <v>0</v>
      </c>
      <c r="R6" s="68"/>
      <c r="S6" s="67">
        <f t="shared" si="3"/>
        <v>0</v>
      </c>
      <c r="T6" s="68"/>
      <c r="U6" s="67">
        <f t="shared" si="4"/>
        <v>0</v>
      </c>
      <c r="V6" s="68">
        <f t="shared" si="5"/>
        <v>193532.125</v>
      </c>
      <c r="W6" s="72"/>
      <c r="X6" s="442" t="s">
        <v>245</v>
      </c>
      <c r="Z6" s="334"/>
    </row>
    <row r="7" spans="1:26" s="87" customFormat="1" ht="38.1" customHeight="1">
      <c r="A7" s="82"/>
      <c r="B7" s="83"/>
      <c r="C7" s="83"/>
      <c r="D7" s="83"/>
      <c r="E7" s="83"/>
      <c r="F7" s="83"/>
      <c r="G7" s="83"/>
      <c r="H7" s="83"/>
      <c r="I7" s="83"/>
      <c r="J7" s="77"/>
      <c r="K7" s="77"/>
      <c r="L7" s="83"/>
      <c r="M7" s="83"/>
      <c r="N7" s="83"/>
      <c r="O7" s="323">
        <f>SUM(O5:O6)</f>
        <v>193532.125</v>
      </c>
      <c r="P7" s="443"/>
      <c r="Q7" s="323">
        <f>SUM(Q5:Q6)</f>
        <v>3571094.1824999996</v>
      </c>
      <c r="R7" s="85"/>
      <c r="S7" s="84">
        <f>SUM(S5:S6)</f>
        <v>0</v>
      </c>
      <c r="T7" s="85"/>
      <c r="U7" s="84">
        <f>SUM(U5:U6)</f>
        <v>0</v>
      </c>
      <c r="V7" s="86">
        <f>SUM(V5:V6)</f>
        <v>3764626.3074999996</v>
      </c>
      <c r="W7" s="71"/>
      <c r="X7" s="83"/>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AE75"/>
  <sheetViews>
    <sheetView showZeros="0" tabSelected="1" zoomScale="55" zoomScaleNormal="55" workbookViewId="0">
      <pane ySplit="5" topLeftCell="A67" activePane="bottomLeft" state="frozen"/>
      <selection pane="bottomLeft" activeCell="O75" sqref="O75"/>
    </sheetView>
  </sheetViews>
  <sheetFormatPr defaultRowHeight="16.5"/>
  <cols>
    <col min="1" max="1" width="1.625" customWidth="1"/>
    <col min="2" max="2" width="12" style="94" customWidth="1"/>
    <col min="3" max="3" width="11.375" style="94" bestFit="1" customWidth="1"/>
    <col min="4" max="4" width="15.25" style="94" customWidth="1"/>
    <col min="5" max="5" width="12.75" style="94" customWidth="1"/>
    <col min="6" max="6" width="11.125" style="94" bestFit="1" customWidth="1"/>
    <col min="7" max="7" width="12.75" style="94" customWidth="1"/>
    <col min="8" max="8" width="11.125" style="94" bestFit="1" customWidth="1"/>
    <col min="9" max="9" width="22.375" style="94" bestFit="1" customWidth="1"/>
    <col min="10" max="10" width="22.25" style="94" hidden="1" customWidth="1"/>
    <col min="11" max="11" width="9.75" style="94" bestFit="1" customWidth="1"/>
    <col min="12" max="12" width="8" style="94" customWidth="1"/>
    <col min="13" max="13" width="11.75" style="94" bestFit="1" customWidth="1"/>
    <col min="14" max="14" width="63.25" style="94" customWidth="1"/>
    <col min="15" max="15" width="20.625" style="94" bestFit="1" customWidth="1"/>
    <col min="16" max="16" width="18" style="94" bestFit="1" customWidth="1"/>
    <col min="17" max="17" width="11.75" style="94" bestFit="1" customWidth="1"/>
    <col min="18" max="18" width="19.875" style="94" bestFit="1" customWidth="1"/>
    <col min="19" max="19" width="17.375" style="94" customWidth="1"/>
    <col min="20" max="20" width="13.375" style="94" bestFit="1" customWidth="1"/>
    <col min="21" max="21" width="13.375" style="94" customWidth="1"/>
    <col min="22" max="22" width="22.625" style="94" bestFit="1" customWidth="1"/>
    <col min="23" max="24" width="22.625" style="94" customWidth="1"/>
    <col min="25" max="25" width="14.5" style="94" customWidth="1"/>
    <col min="26" max="26" width="34.25" bestFit="1" customWidth="1"/>
    <col min="27" max="27" width="1.625" customWidth="1"/>
    <col min="28" max="28" width="36.875" customWidth="1"/>
    <col min="30" max="30" width="16.375" bestFit="1" customWidth="1"/>
  </cols>
  <sheetData>
    <row r="1" spans="2:26" s="89" customFormat="1" ht="9.9499999999999993" customHeight="1"/>
    <row r="2" spans="2:26" s="89" customFormat="1" ht="70.5" thickBot="1">
      <c r="B2" s="198" t="s">
        <v>101</v>
      </c>
      <c r="C2" s="194" t="s">
        <v>102</v>
      </c>
      <c r="D2" s="195" t="s">
        <v>103</v>
      </c>
      <c r="E2" s="196" t="s">
        <v>104</v>
      </c>
      <c r="F2" s="196" t="s">
        <v>105</v>
      </c>
      <c r="G2" s="196" t="s">
        <v>106</v>
      </c>
      <c r="H2" s="196" t="s">
        <v>107</v>
      </c>
      <c r="I2" s="196"/>
      <c r="J2" s="196"/>
      <c r="K2" s="194" t="s">
        <v>73</v>
      </c>
      <c r="L2" s="194">
        <v>201</v>
      </c>
      <c r="M2" s="195" t="s">
        <v>74</v>
      </c>
      <c r="N2" s="197" t="s">
        <v>75</v>
      </c>
      <c r="O2" s="268"/>
      <c r="P2" s="269" t="s">
        <v>161</v>
      </c>
      <c r="Q2" s="90"/>
      <c r="R2" s="320"/>
      <c r="S2" s="321" t="s">
        <v>213</v>
      </c>
      <c r="T2" s="90"/>
      <c r="U2" s="90"/>
      <c r="V2" s="90"/>
      <c r="W2" s="90"/>
      <c r="X2" s="90"/>
      <c r="Y2" s="90"/>
      <c r="Z2" s="91"/>
    </row>
    <row r="3" spans="2:26" s="89" customFormat="1" ht="39" customHeight="1">
      <c r="B3" s="496" t="s">
        <v>108</v>
      </c>
      <c r="C3" s="486" t="s">
        <v>109</v>
      </c>
      <c r="D3" s="498" t="s">
        <v>116</v>
      </c>
      <c r="E3" s="500" t="s">
        <v>76</v>
      </c>
      <c r="F3" s="500"/>
      <c r="G3" s="500" t="s">
        <v>77</v>
      </c>
      <c r="H3" s="500"/>
      <c r="I3" s="374" t="s">
        <v>130</v>
      </c>
      <c r="J3" s="374" t="s">
        <v>131</v>
      </c>
      <c r="K3" s="486" t="s">
        <v>78</v>
      </c>
      <c r="L3" s="486" t="s">
        <v>79</v>
      </c>
      <c r="M3" s="486" t="s">
        <v>80</v>
      </c>
      <c r="N3" s="486" t="s">
        <v>81</v>
      </c>
      <c r="O3" s="488" t="s">
        <v>120</v>
      </c>
      <c r="P3" s="503" t="s">
        <v>117</v>
      </c>
      <c r="Q3" s="504"/>
      <c r="R3" s="504"/>
      <c r="S3" s="504"/>
      <c r="T3" s="504"/>
      <c r="U3" s="504"/>
      <c r="V3" s="504"/>
      <c r="W3" s="504"/>
      <c r="X3" s="504"/>
      <c r="Y3" s="505"/>
      <c r="Z3" s="494" t="s">
        <v>115</v>
      </c>
    </row>
    <row r="4" spans="2:26" s="89" customFormat="1" ht="77.25" thickBot="1">
      <c r="B4" s="497"/>
      <c r="C4" s="487"/>
      <c r="D4" s="499"/>
      <c r="E4" s="92" t="s">
        <v>110</v>
      </c>
      <c r="F4" s="93" t="s">
        <v>111</v>
      </c>
      <c r="G4" s="92" t="s">
        <v>110</v>
      </c>
      <c r="H4" s="93" t="s">
        <v>111</v>
      </c>
      <c r="I4" s="373" t="s">
        <v>112</v>
      </c>
      <c r="J4" s="373" t="s">
        <v>113</v>
      </c>
      <c r="K4" s="487"/>
      <c r="L4" s="487"/>
      <c r="M4" s="487"/>
      <c r="N4" s="487"/>
      <c r="O4" s="489"/>
      <c r="P4" s="367" t="s">
        <v>215</v>
      </c>
      <c r="Q4" s="445" t="s">
        <v>132</v>
      </c>
      <c r="R4" s="445" t="s">
        <v>133</v>
      </c>
      <c r="S4" s="445" t="s">
        <v>153</v>
      </c>
      <c r="T4" s="445" t="s">
        <v>154</v>
      </c>
      <c r="U4" s="445" t="s">
        <v>151</v>
      </c>
      <c r="V4" s="446" t="s">
        <v>152</v>
      </c>
      <c r="W4" s="447" t="s">
        <v>207</v>
      </c>
      <c r="X4" s="446" t="s">
        <v>206</v>
      </c>
      <c r="Y4" s="446" t="s">
        <v>205</v>
      </c>
      <c r="Z4" s="495"/>
    </row>
    <row r="5" spans="2:26" s="94" customFormat="1" ht="41.25">
      <c r="B5" s="317" t="s">
        <v>147</v>
      </c>
      <c r="C5" s="407"/>
      <c r="D5" s="408"/>
      <c r="E5" s="409"/>
      <c r="F5" s="409"/>
      <c r="G5" s="409"/>
      <c r="H5" s="409"/>
      <c r="I5" s="409"/>
      <c r="J5" s="409"/>
      <c r="K5" s="410"/>
      <c r="L5" s="410"/>
      <c r="M5" s="410"/>
      <c r="N5" s="410"/>
      <c r="O5" s="410"/>
      <c r="P5" s="410"/>
      <c r="Q5" s="410"/>
      <c r="R5" s="410"/>
      <c r="S5" s="410"/>
      <c r="T5" s="410"/>
      <c r="U5" s="410"/>
      <c r="V5" s="222"/>
      <c r="W5" s="223"/>
      <c r="X5" s="223"/>
      <c r="Y5" s="224"/>
      <c r="Z5" s="177"/>
    </row>
    <row r="6" spans="2:26" s="150" customFormat="1" ht="96">
      <c r="B6" s="143">
        <v>1</v>
      </c>
      <c r="C6" s="95" t="s">
        <v>114</v>
      </c>
      <c r="D6" s="186">
        <v>2</v>
      </c>
      <c r="E6" s="144">
        <v>45679</v>
      </c>
      <c r="F6" s="145">
        <v>0.375</v>
      </c>
      <c r="G6" s="144">
        <v>45679</v>
      </c>
      <c r="H6" s="146">
        <v>0.69444444444444453</v>
      </c>
      <c r="I6" s="147">
        <f t="shared" ref="I6:I24" si="0">H6-F6</f>
        <v>0.31944444444444453</v>
      </c>
      <c r="J6" s="148">
        <f t="shared" ref="J6:J17" si="1">I6*D6</f>
        <v>0.63888888888888906</v>
      </c>
      <c r="K6" s="96" t="s">
        <v>83</v>
      </c>
      <c r="L6" s="97" t="s">
        <v>84</v>
      </c>
      <c r="M6" s="98" t="s">
        <v>85</v>
      </c>
      <c r="N6" s="149" t="s">
        <v>86</v>
      </c>
      <c r="O6" s="294">
        <v>2</v>
      </c>
      <c r="P6" s="295"/>
      <c r="Q6" s="295">
        <v>4</v>
      </c>
      <c r="R6" s="295"/>
      <c r="S6" s="295"/>
      <c r="T6" s="295"/>
      <c r="U6" s="295"/>
      <c r="V6" s="296"/>
      <c r="W6" s="296"/>
      <c r="X6" s="296"/>
      <c r="Y6" s="297"/>
      <c r="Z6" s="178"/>
    </row>
    <row r="7" spans="2:26" s="150" customFormat="1" ht="96">
      <c r="B7" s="151">
        <v>2</v>
      </c>
      <c r="C7" s="99" t="s">
        <v>114</v>
      </c>
      <c r="D7" s="187">
        <v>2</v>
      </c>
      <c r="E7" s="152">
        <v>45680</v>
      </c>
      <c r="F7" s="145">
        <v>0.375</v>
      </c>
      <c r="G7" s="152">
        <v>45680</v>
      </c>
      <c r="H7" s="145">
        <v>0.6875</v>
      </c>
      <c r="I7" s="153">
        <f t="shared" si="0"/>
        <v>0.3125</v>
      </c>
      <c r="J7" s="154">
        <f t="shared" si="1"/>
        <v>0.625</v>
      </c>
      <c r="K7" s="101" t="s">
        <v>87</v>
      </c>
      <c r="L7" s="102" t="s">
        <v>88</v>
      </c>
      <c r="M7" s="103" t="s">
        <v>85</v>
      </c>
      <c r="N7" s="155" t="s">
        <v>119</v>
      </c>
      <c r="O7" s="298">
        <v>2</v>
      </c>
      <c r="P7" s="282" t="s">
        <v>82</v>
      </c>
      <c r="Q7" s="282">
        <v>2</v>
      </c>
      <c r="R7" s="282">
        <v>3</v>
      </c>
      <c r="S7" s="282"/>
      <c r="T7" s="282"/>
      <c r="U7" s="282"/>
      <c r="V7" s="284"/>
      <c r="W7" s="284"/>
      <c r="X7" s="284"/>
      <c r="Y7" s="285"/>
      <c r="Z7" s="179" t="s">
        <v>118</v>
      </c>
    </row>
    <row r="8" spans="2:26" s="150" customFormat="1" ht="96">
      <c r="B8" s="151">
        <v>3</v>
      </c>
      <c r="C8" s="99" t="s">
        <v>114</v>
      </c>
      <c r="D8" s="187">
        <v>2</v>
      </c>
      <c r="E8" s="152">
        <v>45681</v>
      </c>
      <c r="F8" s="145">
        <v>0.375</v>
      </c>
      <c r="G8" s="152">
        <v>45681</v>
      </c>
      <c r="H8" s="145">
        <v>0.69444444444444442</v>
      </c>
      <c r="I8" s="153">
        <f t="shared" si="0"/>
        <v>0.31944444444444442</v>
      </c>
      <c r="J8" s="154">
        <f t="shared" si="1"/>
        <v>0.63888888888888884</v>
      </c>
      <c r="K8" s="101" t="s">
        <v>125</v>
      </c>
      <c r="L8" s="102" t="s">
        <v>89</v>
      </c>
      <c r="M8" s="103" t="s">
        <v>85</v>
      </c>
      <c r="N8" s="155" t="s">
        <v>122</v>
      </c>
      <c r="O8" s="299">
        <v>2</v>
      </c>
      <c r="P8" s="300"/>
      <c r="Q8" s="300"/>
      <c r="R8" s="300" t="s">
        <v>82</v>
      </c>
      <c r="S8" s="300"/>
      <c r="T8" s="300"/>
      <c r="U8" s="300"/>
      <c r="V8" s="301"/>
      <c r="W8" s="301"/>
      <c r="X8" s="301"/>
      <c r="Y8" s="302"/>
      <c r="Z8" s="180" t="s">
        <v>82</v>
      </c>
    </row>
    <row r="9" spans="2:26" s="150" customFormat="1" ht="72">
      <c r="B9" s="151">
        <v>4</v>
      </c>
      <c r="C9" s="99" t="s">
        <v>114</v>
      </c>
      <c r="D9" s="187">
        <v>2</v>
      </c>
      <c r="E9" s="152">
        <v>45691</v>
      </c>
      <c r="F9" s="145">
        <v>0.375</v>
      </c>
      <c r="G9" s="152">
        <v>45691</v>
      </c>
      <c r="H9" s="145">
        <v>0.6875</v>
      </c>
      <c r="I9" s="153">
        <f t="shared" si="0"/>
        <v>0.3125</v>
      </c>
      <c r="J9" s="154">
        <f t="shared" si="1"/>
        <v>0.625</v>
      </c>
      <c r="K9" s="101" t="s">
        <v>126</v>
      </c>
      <c r="L9" s="102" t="s">
        <v>90</v>
      </c>
      <c r="M9" s="103" t="s">
        <v>85</v>
      </c>
      <c r="N9" s="157" t="s">
        <v>91</v>
      </c>
      <c r="O9" s="299">
        <v>2</v>
      </c>
      <c r="P9" s="300"/>
      <c r="Q9" s="300"/>
      <c r="R9" s="300"/>
      <c r="S9" s="300"/>
      <c r="T9" s="300"/>
      <c r="U9" s="300"/>
      <c r="V9" s="301"/>
      <c r="W9" s="301"/>
      <c r="X9" s="301"/>
      <c r="Y9" s="302"/>
      <c r="Z9" s="180" t="s">
        <v>82</v>
      </c>
    </row>
    <row r="10" spans="2:26" s="150" customFormat="1" ht="96">
      <c r="B10" s="151">
        <v>5</v>
      </c>
      <c r="C10" s="99" t="s">
        <v>114</v>
      </c>
      <c r="D10" s="188">
        <v>2</v>
      </c>
      <c r="E10" s="152">
        <v>45692</v>
      </c>
      <c r="F10" s="145">
        <v>0.375</v>
      </c>
      <c r="G10" s="152">
        <v>45692</v>
      </c>
      <c r="H10" s="145">
        <v>0.6875</v>
      </c>
      <c r="I10" s="153">
        <f t="shared" si="0"/>
        <v>0.3125</v>
      </c>
      <c r="J10" s="154">
        <f t="shared" si="1"/>
        <v>0.625</v>
      </c>
      <c r="K10" s="101" t="s">
        <v>127</v>
      </c>
      <c r="L10" s="102" t="s">
        <v>123</v>
      </c>
      <c r="M10" s="103" t="s">
        <v>85</v>
      </c>
      <c r="N10" s="157" t="s">
        <v>92</v>
      </c>
      <c r="O10" s="303">
        <v>1.5</v>
      </c>
      <c r="P10" s="282">
        <v>7</v>
      </c>
      <c r="Q10" s="282"/>
      <c r="R10" s="282"/>
      <c r="S10" s="282">
        <v>1</v>
      </c>
      <c r="T10" s="282"/>
      <c r="U10" s="282"/>
      <c r="V10" s="284">
        <v>1</v>
      </c>
      <c r="W10" s="284"/>
      <c r="X10" s="284"/>
      <c r="Y10" s="285"/>
      <c r="Z10" s="179" t="s">
        <v>82</v>
      </c>
    </row>
    <row r="11" spans="2:26" s="150" customFormat="1" ht="72">
      <c r="B11" s="151">
        <v>6</v>
      </c>
      <c r="C11" s="99" t="s">
        <v>114</v>
      </c>
      <c r="D11" s="188">
        <v>2</v>
      </c>
      <c r="E11" s="152">
        <v>45694</v>
      </c>
      <c r="F11" s="145">
        <v>0.375</v>
      </c>
      <c r="G11" s="152">
        <v>45694</v>
      </c>
      <c r="H11" s="145">
        <v>0.6875</v>
      </c>
      <c r="I11" s="153">
        <f t="shared" si="0"/>
        <v>0.3125</v>
      </c>
      <c r="J11" s="154">
        <f t="shared" si="1"/>
        <v>0.625</v>
      </c>
      <c r="K11" s="101">
        <v>8</v>
      </c>
      <c r="L11" s="102" t="s">
        <v>93</v>
      </c>
      <c r="M11" s="103" t="s">
        <v>85</v>
      </c>
      <c r="N11" s="157" t="s">
        <v>94</v>
      </c>
      <c r="O11" s="303">
        <v>1.5</v>
      </c>
      <c r="P11" s="282">
        <v>7</v>
      </c>
      <c r="Q11" s="282">
        <v>7</v>
      </c>
      <c r="R11" s="282"/>
      <c r="S11" s="282"/>
      <c r="T11" s="282"/>
      <c r="U11" s="282"/>
      <c r="V11" s="284"/>
      <c r="W11" s="284"/>
      <c r="X11" s="284"/>
      <c r="Y11" s="285"/>
      <c r="Z11" s="179" t="s">
        <v>82</v>
      </c>
    </row>
    <row r="12" spans="2:26" s="150" customFormat="1" ht="72.75" thickBot="1">
      <c r="B12" s="158">
        <v>7</v>
      </c>
      <c r="C12" s="106" t="s">
        <v>114</v>
      </c>
      <c r="D12" s="189">
        <v>2</v>
      </c>
      <c r="E12" s="159">
        <v>45695</v>
      </c>
      <c r="F12" s="160">
        <v>0.375</v>
      </c>
      <c r="G12" s="159">
        <v>45695</v>
      </c>
      <c r="H12" s="160">
        <v>0.6875</v>
      </c>
      <c r="I12" s="161">
        <f t="shared" si="0"/>
        <v>0.3125</v>
      </c>
      <c r="J12" s="162">
        <f t="shared" si="1"/>
        <v>0.625</v>
      </c>
      <c r="K12" s="107" t="s">
        <v>128</v>
      </c>
      <c r="L12" s="108" t="s">
        <v>95</v>
      </c>
      <c r="M12" s="109" t="s">
        <v>85</v>
      </c>
      <c r="N12" s="163" t="s">
        <v>96</v>
      </c>
      <c r="O12" s="304">
        <v>1.5</v>
      </c>
      <c r="P12" s="282">
        <v>7</v>
      </c>
      <c r="Q12" s="282" t="s">
        <v>82</v>
      </c>
      <c r="R12" s="282"/>
      <c r="S12" s="282"/>
      <c r="T12" s="282"/>
      <c r="U12" s="282"/>
      <c r="V12" s="284"/>
      <c r="W12" s="284"/>
      <c r="X12" s="284"/>
      <c r="Y12" s="285"/>
      <c r="Z12" s="179" t="s">
        <v>156</v>
      </c>
    </row>
    <row r="13" spans="2:26" s="94" customFormat="1" ht="72.75" thickTop="1">
      <c r="B13" s="411">
        <v>8</v>
      </c>
      <c r="C13" s="249" t="s">
        <v>114</v>
      </c>
      <c r="D13" s="250">
        <v>2</v>
      </c>
      <c r="E13" s="251">
        <v>45698</v>
      </c>
      <c r="F13" s="252">
        <v>0.54166666666666663</v>
      </c>
      <c r="G13" s="251">
        <v>45698</v>
      </c>
      <c r="H13" s="252">
        <v>0.6875</v>
      </c>
      <c r="I13" s="253">
        <f t="shared" si="0"/>
        <v>0.14583333333333337</v>
      </c>
      <c r="J13" s="254">
        <f t="shared" si="1"/>
        <v>0.29166666666666674</v>
      </c>
      <c r="K13" s="255" t="s">
        <v>129</v>
      </c>
      <c r="L13" s="256" t="s">
        <v>124</v>
      </c>
      <c r="M13" s="257" t="s">
        <v>85</v>
      </c>
      <c r="N13" s="258" t="s">
        <v>97</v>
      </c>
      <c r="O13" s="306">
        <v>1.5</v>
      </c>
      <c r="P13" s="292">
        <v>7</v>
      </c>
      <c r="Q13" s="282" t="s">
        <v>82</v>
      </c>
      <c r="R13" s="104"/>
      <c r="S13" s="104"/>
      <c r="T13" s="104"/>
      <c r="U13" s="104"/>
      <c r="V13" s="227"/>
      <c r="W13" s="227"/>
      <c r="X13" s="227"/>
      <c r="Y13" s="228"/>
      <c r="Z13" s="179" t="s">
        <v>82</v>
      </c>
    </row>
    <row r="14" spans="2:26" s="94" customFormat="1" ht="96.75" thickBot="1">
      <c r="B14" s="412">
        <v>9</v>
      </c>
      <c r="C14" s="113" t="s">
        <v>114</v>
      </c>
      <c r="D14" s="190">
        <v>2</v>
      </c>
      <c r="E14" s="114">
        <v>45699</v>
      </c>
      <c r="F14" s="115">
        <v>0.375</v>
      </c>
      <c r="G14" s="114">
        <v>45699</v>
      </c>
      <c r="H14" s="115">
        <v>0.67361111111111116</v>
      </c>
      <c r="I14" s="116">
        <f t="shared" si="0"/>
        <v>0.29861111111111116</v>
      </c>
      <c r="J14" s="117">
        <f t="shared" si="1"/>
        <v>0.59722222222222232</v>
      </c>
      <c r="K14" s="118">
        <v>2</v>
      </c>
      <c r="L14" s="119">
        <v>203</v>
      </c>
      <c r="M14" s="119" t="s">
        <v>85</v>
      </c>
      <c r="N14" s="120" t="s">
        <v>98</v>
      </c>
      <c r="O14" s="307">
        <v>2</v>
      </c>
      <c r="P14" s="292">
        <v>3</v>
      </c>
      <c r="Q14" s="282"/>
      <c r="R14" s="110"/>
      <c r="S14" s="104"/>
      <c r="T14" s="104"/>
      <c r="U14" s="104"/>
      <c r="V14" s="227"/>
      <c r="W14" s="227"/>
      <c r="X14" s="227"/>
      <c r="Y14" s="228"/>
      <c r="Z14" s="179"/>
    </row>
    <row r="15" spans="2:26" s="94" customFormat="1" ht="102.75" thickTop="1" thickBot="1">
      <c r="B15" s="412">
        <v>10</v>
      </c>
      <c r="C15" s="113" t="s">
        <v>114</v>
      </c>
      <c r="D15" s="190">
        <v>2</v>
      </c>
      <c r="E15" s="114">
        <v>45701</v>
      </c>
      <c r="F15" s="115">
        <v>0.375</v>
      </c>
      <c r="G15" s="114">
        <v>45701</v>
      </c>
      <c r="H15" s="115">
        <v>0.6875</v>
      </c>
      <c r="I15" s="116">
        <f t="shared" si="0"/>
        <v>0.3125</v>
      </c>
      <c r="J15" s="117">
        <f t="shared" si="1"/>
        <v>0.625</v>
      </c>
      <c r="K15" s="118">
        <v>102</v>
      </c>
      <c r="L15" s="119">
        <v>205</v>
      </c>
      <c r="M15" s="119" t="s">
        <v>85</v>
      </c>
      <c r="N15" s="120" t="s">
        <v>99</v>
      </c>
      <c r="O15" s="308">
        <v>2</v>
      </c>
      <c r="P15" s="309">
        <v>3</v>
      </c>
      <c r="Q15" s="300">
        <v>1</v>
      </c>
      <c r="R15" s="293" t="s">
        <v>208</v>
      </c>
      <c r="S15" s="111"/>
      <c r="T15" s="105"/>
      <c r="U15" s="105"/>
      <c r="V15" s="229"/>
      <c r="W15" s="229"/>
      <c r="X15" s="229"/>
      <c r="Y15" s="230"/>
      <c r="Z15" s="179"/>
    </row>
    <row r="16" spans="2:26" s="94" customFormat="1" ht="73.5" thickTop="1" thickBot="1">
      <c r="B16" s="413">
        <v>11</v>
      </c>
      <c r="C16" s="259" t="s">
        <v>114</v>
      </c>
      <c r="D16" s="260">
        <v>2</v>
      </c>
      <c r="E16" s="261">
        <v>45702</v>
      </c>
      <c r="F16" s="262">
        <v>0.375</v>
      </c>
      <c r="G16" s="261">
        <v>45702</v>
      </c>
      <c r="H16" s="262">
        <v>0.5</v>
      </c>
      <c r="I16" s="263">
        <f t="shared" si="0"/>
        <v>0.125</v>
      </c>
      <c r="J16" s="264">
        <f t="shared" si="1"/>
        <v>0.25</v>
      </c>
      <c r="K16" s="265">
        <v>5</v>
      </c>
      <c r="L16" s="266">
        <v>301</v>
      </c>
      <c r="M16" s="266" t="s">
        <v>85</v>
      </c>
      <c r="N16" s="267" t="s">
        <v>121</v>
      </c>
      <c r="O16" s="310">
        <v>2</v>
      </c>
      <c r="P16" s="309"/>
      <c r="Q16" s="300"/>
      <c r="R16" s="112"/>
      <c r="S16" s="105"/>
      <c r="T16" s="105"/>
      <c r="U16" s="105"/>
      <c r="V16" s="229"/>
      <c r="W16" s="229"/>
      <c r="X16" s="229"/>
      <c r="Y16" s="230"/>
      <c r="Z16" s="179"/>
    </row>
    <row r="17" spans="2:31" s="150" customFormat="1" ht="72" customHeight="1" thickTop="1">
      <c r="B17" s="238">
        <v>12</v>
      </c>
      <c r="C17" s="239" t="s">
        <v>114</v>
      </c>
      <c r="D17" s="240">
        <v>1</v>
      </c>
      <c r="E17" s="241">
        <v>45707</v>
      </c>
      <c r="F17" s="242">
        <v>0.54166666666666663</v>
      </c>
      <c r="G17" s="241">
        <v>45692</v>
      </c>
      <c r="H17" s="242">
        <v>0.64583333333333337</v>
      </c>
      <c r="I17" s="243">
        <f t="shared" si="0"/>
        <v>0.10416666666666674</v>
      </c>
      <c r="J17" s="244">
        <f t="shared" si="1"/>
        <v>0.10416666666666674</v>
      </c>
      <c r="K17" s="245">
        <v>5</v>
      </c>
      <c r="L17" s="246">
        <v>501</v>
      </c>
      <c r="M17" s="247" t="s">
        <v>85</v>
      </c>
      <c r="N17" s="248" t="s">
        <v>100</v>
      </c>
      <c r="O17" s="305"/>
      <c r="P17" s="282">
        <v>7</v>
      </c>
      <c r="Q17" s="282"/>
      <c r="R17" s="156"/>
      <c r="S17" s="156"/>
      <c r="T17" s="156"/>
      <c r="U17" s="156"/>
      <c r="V17" s="225"/>
      <c r="W17" s="225"/>
      <c r="X17" s="225"/>
      <c r="Y17" s="226"/>
      <c r="Z17" s="179"/>
    </row>
    <row r="18" spans="2:31" s="94" customFormat="1" ht="41.25">
      <c r="B18" s="316" t="s">
        <v>204</v>
      </c>
      <c r="C18" s="210"/>
      <c r="D18" s="211"/>
      <c r="E18" s="212"/>
      <c r="F18" s="213"/>
      <c r="G18" s="212"/>
      <c r="H18" s="213"/>
      <c r="I18" s="214"/>
      <c r="J18" s="215"/>
      <c r="K18" s="216"/>
      <c r="L18" s="217"/>
      <c r="M18" s="218"/>
      <c r="N18" s="219"/>
      <c r="O18" s="220"/>
      <c r="P18" s="221"/>
      <c r="Q18" s="221"/>
      <c r="R18" s="221"/>
      <c r="S18" s="221"/>
      <c r="T18" s="221"/>
      <c r="U18" s="221"/>
      <c r="V18" s="231"/>
      <c r="W18" s="231"/>
      <c r="X18" s="231"/>
      <c r="Y18" s="232"/>
      <c r="Z18" s="311"/>
    </row>
    <row r="19" spans="2:31" s="131" customFormat="1" ht="72" customHeight="1">
      <c r="B19" s="122">
        <v>13</v>
      </c>
      <c r="C19" s="123" t="s">
        <v>134</v>
      </c>
      <c r="D19" s="192">
        <v>2</v>
      </c>
      <c r="E19" s="124">
        <v>45741</v>
      </c>
      <c r="F19" s="125">
        <v>0.375</v>
      </c>
      <c r="G19" s="124">
        <v>45741</v>
      </c>
      <c r="H19" s="125">
        <v>0.67708333333333337</v>
      </c>
      <c r="I19" s="126">
        <f t="shared" si="0"/>
        <v>0.30208333333333337</v>
      </c>
      <c r="J19" s="100">
        <f t="shared" ref="J19:J24" si="2">I19*D19</f>
        <v>0.60416666666666674</v>
      </c>
      <c r="K19" s="127">
        <v>7</v>
      </c>
      <c r="L19" s="128">
        <v>506</v>
      </c>
      <c r="M19" s="129" t="s">
        <v>138</v>
      </c>
      <c r="N19" s="157" t="s">
        <v>141</v>
      </c>
      <c r="O19" s="303">
        <f t="shared" ref="O19:O24" si="3">D19</f>
        <v>2</v>
      </c>
      <c r="P19" s="282"/>
      <c r="Q19" s="282">
        <v>4</v>
      </c>
      <c r="R19" s="282"/>
      <c r="S19" s="176"/>
      <c r="T19" s="282">
        <v>2.5</v>
      </c>
      <c r="U19" s="282">
        <v>2.5</v>
      </c>
      <c r="V19" s="284"/>
      <c r="W19" s="284"/>
      <c r="X19" s="284"/>
      <c r="Y19" s="233"/>
      <c r="Z19" s="179" t="s">
        <v>160</v>
      </c>
    </row>
    <row r="20" spans="2:31" s="131" customFormat="1" ht="120.75" thickBot="1">
      <c r="B20" s="122">
        <v>14</v>
      </c>
      <c r="C20" s="123" t="s">
        <v>134</v>
      </c>
      <c r="D20" s="192">
        <v>2</v>
      </c>
      <c r="E20" s="124">
        <v>45744</v>
      </c>
      <c r="F20" s="125">
        <v>0.375</v>
      </c>
      <c r="G20" s="124">
        <v>45744</v>
      </c>
      <c r="H20" s="125">
        <v>0.68055555555555558</v>
      </c>
      <c r="I20" s="126">
        <f t="shared" si="0"/>
        <v>0.30555555555555558</v>
      </c>
      <c r="J20" s="100">
        <f t="shared" si="2"/>
        <v>0.61111111111111116</v>
      </c>
      <c r="K20" s="127" t="s">
        <v>135</v>
      </c>
      <c r="L20" s="128" t="s">
        <v>137</v>
      </c>
      <c r="M20" s="129" t="s">
        <v>138</v>
      </c>
      <c r="N20" s="157" t="s">
        <v>142</v>
      </c>
      <c r="O20" s="303">
        <f t="shared" si="3"/>
        <v>2</v>
      </c>
      <c r="P20" s="282"/>
      <c r="Q20" s="282"/>
      <c r="R20" s="282"/>
      <c r="S20" s="184"/>
      <c r="T20" s="282"/>
      <c r="U20" s="282"/>
      <c r="V20" s="284"/>
      <c r="W20" s="284"/>
      <c r="X20" s="284"/>
      <c r="Y20" s="233"/>
      <c r="Z20" s="179"/>
    </row>
    <row r="21" spans="2:31" s="131" customFormat="1" ht="102" thickTop="1">
      <c r="B21" s="122">
        <v>15</v>
      </c>
      <c r="C21" s="123" t="s">
        <v>134</v>
      </c>
      <c r="D21" s="192">
        <v>2</v>
      </c>
      <c r="E21" s="124">
        <v>45747</v>
      </c>
      <c r="F21" s="125">
        <v>0.375</v>
      </c>
      <c r="G21" s="124">
        <v>45747</v>
      </c>
      <c r="H21" s="125">
        <v>0.6875</v>
      </c>
      <c r="I21" s="126">
        <f t="shared" si="0"/>
        <v>0.3125</v>
      </c>
      <c r="J21" s="100">
        <f t="shared" si="2"/>
        <v>0.625</v>
      </c>
      <c r="K21" s="127" t="s">
        <v>136</v>
      </c>
      <c r="L21" s="128" t="s">
        <v>139</v>
      </c>
      <c r="M21" s="129" t="s">
        <v>138</v>
      </c>
      <c r="N21" s="157" t="s">
        <v>143</v>
      </c>
      <c r="O21" s="303">
        <f t="shared" si="3"/>
        <v>2</v>
      </c>
      <c r="P21" s="282"/>
      <c r="Q21" s="282"/>
      <c r="R21" s="282"/>
      <c r="S21" s="392" t="s">
        <v>157</v>
      </c>
      <c r="T21" s="292"/>
      <c r="U21" s="282"/>
      <c r="V21" s="284"/>
      <c r="W21" s="284"/>
      <c r="X21" s="284"/>
      <c r="Y21" s="233"/>
      <c r="Z21" s="179"/>
    </row>
    <row r="22" spans="2:31" s="131" customFormat="1" ht="102" thickBot="1">
      <c r="B22" s="122">
        <v>16</v>
      </c>
      <c r="C22" s="123" t="s">
        <v>134</v>
      </c>
      <c r="D22" s="192">
        <v>2</v>
      </c>
      <c r="E22" s="124">
        <v>45749</v>
      </c>
      <c r="F22" s="125">
        <v>0.375</v>
      </c>
      <c r="G22" s="124">
        <v>45749</v>
      </c>
      <c r="H22" s="125">
        <v>0.6875</v>
      </c>
      <c r="I22" s="126">
        <f t="shared" si="0"/>
        <v>0.3125</v>
      </c>
      <c r="J22" s="100">
        <f t="shared" si="2"/>
        <v>0.625</v>
      </c>
      <c r="K22" s="127" t="s">
        <v>136</v>
      </c>
      <c r="L22" s="128" t="s">
        <v>140</v>
      </c>
      <c r="M22" s="129" t="s">
        <v>138</v>
      </c>
      <c r="N22" s="157" t="s">
        <v>144</v>
      </c>
      <c r="O22" s="303">
        <f t="shared" si="3"/>
        <v>2</v>
      </c>
      <c r="P22" s="282"/>
      <c r="Q22" s="282"/>
      <c r="R22" s="282"/>
      <c r="S22" s="393" t="s">
        <v>158</v>
      </c>
      <c r="T22" s="292"/>
      <c r="U22" s="282"/>
      <c r="V22" s="284">
        <v>2</v>
      </c>
      <c r="W22" s="284"/>
      <c r="X22" s="284"/>
      <c r="Y22" s="234"/>
      <c r="Z22" s="179" t="s">
        <v>159</v>
      </c>
    </row>
    <row r="23" spans="2:31" s="131" customFormat="1" ht="72" customHeight="1" thickTop="1">
      <c r="B23" s="122">
        <v>17</v>
      </c>
      <c r="C23" s="123" t="s">
        <v>134</v>
      </c>
      <c r="D23" s="192">
        <v>2</v>
      </c>
      <c r="E23" s="124">
        <v>45750</v>
      </c>
      <c r="F23" s="125">
        <v>0.375</v>
      </c>
      <c r="G23" s="124">
        <v>45750</v>
      </c>
      <c r="H23" s="125">
        <v>0.6875</v>
      </c>
      <c r="I23" s="126">
        <f t="shared" si="0"/>
        <v>0.3125</v>
      </c>
      <c r="J23" s="100">
        <f t="shared" si="2"/>
        <v>0.625</v>
      </c>
      <c r="K23" s="127">
        <v>8</v>
      </c>
      <c r="L23" s="128">
        <v>502</v>
      </c>
      <c r="M23" s="129" t="s">
        <v>138</v>
      </c>
      <c r="N23" s="157" t="s">
        <v>145</v>
      </c>
      <c r="O23" s="303">
        <f t="shared" si="3"/>
        <v>2</v>
      </c>
      <c r="P23" s="282"/>
      <c r="Q23" s="282">
        <v>2</v>
      </c>
      <c r="R23" s="282"/>
      <c r="S23" s="283"/>
      <c r="T23" s="282"/>
      <c r="U23" s="282"/>
      <c r="V23" s="284"/>
      <c r="W23" s="284"/>
      <c r="X23" s="284"/>
      <c r="Y23" s="285"/>
      <c r="Z23" s="179"/>
    </row>
    <row r="24" spans="2:31" s="131" customFormat="1" ht="96">
      <c r="B24" s="122">
        <v>18</v>
      </c>
      <c r="C24" s="123" t="s">
        <v>134</v>
      </c>
      <c r="D24" s="192">
        <v>2</v>
      </c>
      <c r="E24" s="124">
        <v>45755</v>
      </c>
      <c r="F24" s="125">
        <v>0.375</v>
      </c>
      <c r="G24" s="124">
        <v>45755</v>
      </c>
      <c r="H24" s="125">
        <v>0.6875</v>
      </c>
      <c r="I24" s="126">
        <f t="shared" si="0"/>
        <v>0.3125</v>
      </c>
      <c r="J24" s="100">
        <f t="shared" si="2"/>
        <v>0.625</v>
      </c>
      <c r="K24" s="127">
        <v>2</v>
      </c>
      <c r="L24" s="128">
        <v>108</v>
      </c>
      <c r="M24" s="129" t="s">
        <v>138</v>
      </c>
      <c r="N24" s="157" t="s">
        <v>146</v>
      </c>
      <c r="O24" s="303">
        <f t="shared" si="3"/>
        <v>2</v>
      </c>
      <c r="P24" s="282"/>
      <c r="Q24" s="282">
        <v>6</v>
      </c>
      <c r="R24" s="282">
        <v>9</v>
      </c>
      <c r="S24" s="201"/>
      <c r="T24" s="156"/>
      <c r="U24" s="156"/>
      <c r="V24" s="225"/>
      <c r="W24" s="225"/>
      <c r="X24" s="225"/>
      <c r="Y24" s="226"/>
      <c r="Z24" s="181"/>
      <c r="AD24" s="236"/>
      <c r="AE24" s="235"/>
    </row>
    <row r="25" spans="2:31" s="131" customFormat="1" ht="72" customHeight="1">
      <c r="B25" s="132"/>
      <c r="C25" s="133"/>
      <c r="D25" s="193"/>
      <c r="E25" s="134"/>
      <c r="F25" s="135"/>
      <c r="G25" s="134"/>
      <c r="H25" s="135"/>
      <c r="I25" s="136"/>
      <c r="J25" s="121"/>
      <c r="K25" s="137"/>
      <c r="L25" s="138"/>
      <c r="M25" s="138"/>
      <c r="N25" s="139"/>
      <c r="O25" s="318"/>
      <c r="P25" s="286"/>
      <c r="Q25" s="286"/>
      <c r="R25" s="286"/>
      <c r="S25" s="286"/>
      <c r="T25" s="286"/>
      <c r="U25" s="286"/>
      <c r="V25" s="287"/>
      <c r="W25" s="287"/>
      <c r="X25" s="287"/>
      <c r="Y25" s="288"/>
      <c r="Z25" s="182"/>
      <c r="AD25" s="235"/>
    </row>
    <row r="26" spans="2:31" s="142" customFormat="1" ht="68.25" thickBot="1">
      <c r="B26" s="506" t="s">
        <v>210</v>
      </c>
      <c r="C26" s="507"/>
      <c r="D26" s="291">
        <f>SUM(D13:D16,D19:D24)</f>
        <v>20</v>
      </c>
      <c r="E26" s="140"/>
      <c r="F26" s="141"/>
      <c r="G26" s="140"/>
      <c r="H26" s="141"/>
      <c r="I26" s="185">
        <f>SUM(I13:I25)</f>
        <v>2.84375</v>
      </c>
      <c r="J26" s="185">
        <f>SUM(J13:J25)</f>
        <v>5.5833333333333339</v>
      </c>
      <c r="K26" s="169"/>
      <c r="L26" s="170"/>
      <c r="M26" s="169"/>
      <c r="N26" s="171"/>
      <c r="O26" s="319">
        <f>SUM(O13:O25)</f>
        <v>19.5</v>
      </c>
      <c r="P26" s="237">
        <f>SUM(P19:P25)</f>
        <v>0</v>
      </c>
      <c r="Q26" s="289">
        <f>SUM(Q19:Q25)</f>
        <v>12</v>
      </c>
      <c r="R26" s="289">
        <v>9.3000000000000007</v>
      </c>
      <c r="S26" s="289" t="s">
        <v>155</v>
      </c>
      <c r="T26" s="289">
        <f t="shared" ref="T26:V26" si="4">SUM(T19:T25)</f>
        <v>2.5</v>
      </c>
      <c r="U26" s="289">
        <f t="shared" si="4"/>
        <v>2.5</v>
      </c>
      <c r="V26" s="289">
        <f t="shared" si="4"/>
        <v>2</v>
      </c>
      <c r="W26" s="290"/>
      <c r="X26" s="290"/>
      <c r="Y26" s="290"/>
      <c r="Z26" s="183"/>
    </row>
    <row r="27" spans="2:31" ht="24">
      <c r="B27" s="414"/>
      <c r="I27" s="415"/>
      <c r="Z27" s="416"/>
      <c r="AA27" s="94"/>
      <c r="AB27" s="94"/>
      <c r="AC27" s="94"/>
    </row>
    <row r="28" spans="2:31" s="281" customFormat="1" ht="41.25">
      <c r="B28" s="316" t="s">
        <v>214</v>
      </c>
      <c r="C28" s="270"/>
      <c r="D28" s="191"/>
      <c r="E28" s="271"/>
      <c r="F28" s="272"/>
      <c r="G28" s="271"/>
      <c r="H28" s="272"/>
      <c r="I28" s="272"/>
      <c r="J28" s="273"/>
      <c r="K28" s="274"/>
      <c r="L28" s="274"/>
      <c r="M28" s="275"/>
      <c r="N28" s="276"/>
      <c r="O28" s="277"/>
      <c r="P28" s="278"/>
      <c r="Q28" s="278"/>
      <c r="R28" s="278"/>
      <c r="S28" s="278"/>
      <c r="T28" s="278"/>
      <c r="U28" s="278"/>
      <c r="V28" s="278"/>
      <c r="W28" s="278"/>
      <c r="X28" s="278"/>
      <c r="Y28" s="278"/>
      <c r="Z28" s="279"/>
      <c r="AA28" s="280"/>
    </row>
    <row r="29" spans="2:31" ht="96">
      <c r="B29" s="122">
        <v>19</v>
      </c>
      <c r="C29" s="123" t="s">
        <v>134</v>
      </c>
      <c r="D29" s="199">
        <v>2</v>
      </c>
      <c r="E29" s="124">
        <v>45756</v>
      </c>
      <c r="F29" s="125">
        <v>0.375</v>
      </c>
      <c r="G29" s="124">
        <v>45756</v>
      </c>
      <c r="H29" s="125">
        <v>0.6875</v>
      </c>
      <c r="I29" s="200">
        <f t="shared" ref="I29:I44" si="5">H29-F29</f>
        <v>0.3125</v>
      </c>
      <c r="J29" s="100">
        <f t="shared" ref="J29:J44" si="6">I29*D29</f>
        <v>0.625</v>
      </c>
      <c r="K29" s="128" t="s">
        <v>162</v>
      </c>
      <c r="L29" s="128" t="s">
        <v>163</v>
      </c>
      <c r="M29" s="129" t="s">
        <v>138</v>
      </c>
      <c r="N29" s="130" t="s">
        <v>164</v>
      </c>
      <c r="O29" s="375">
        <f t="shared" ref="O29" si="7">D29</f>
        <v>2</v>
      </c>
      <c r="P29" s="376">
        <v>3</v>
      </c>
      <c r="Q29" s="376">
        <v>3</v>
      </c>
      <c r="R29" s="376">
        <v>3</v>
      </c>
      <c r="S29" s="376"/>
      <c r="T29" s="376">
        <v>5</v>
      </c>
      <c r="U29" s="376">
        <v>5</v>
      </c>
      <c r="V29" s="376"/>
      <c r="W29" s="376"/>
      <c r="X29" s="376"/>
      <c r="Y29" s="376"/>
      <c r="Z29" s="312" t="s">
        <v>165</v>
      </c>
      <c r="AA29" s="150"/>
    </row>
    <row r="30" spans="2:31" ht="144">
      <c r="B30" s="122">
        <v>20</v>
      </c>
      <c r="C30" s="123" t="s">
        <v>134</v>
      </c>
      <c r="D30" s="315">
        <v>2</v>
      </c>
      <c r="E30" s="124">
        <v>45757</v>
      </c>
      <c r="F30" s="125">
        <v>0.375</v>
      </c>
      <c r="G30" s="124">
        <v>45757</v>
      </c>
      <c r="H30" s="125">
        <v>0.6875</v>
      </c>
      <c r="I30" s="200">
        <f t="shared" si="5"/>
        <v>0.3125</v>
      </c>
      <c r="J30" s="100">
        <f t="shared" si="6"/>
        <v>0.625</v>
      </c>
      <c r="K30" s="128" t="s">
        <v>166</v>
      </c>
      <c r="L30" s="128" t="s">
        <v>167</v>
      </c>
      <c r="M30" s="129" t="s">
        <v>138</v>
      </c>
      <c r="N30" s="130" t="s">
        <v>168</v>
      </c>
      <c r="O30" s="377">
        <v>1.5</v>
      </c>
      <c r="P30" s="376">
        <v>7</v>
      </c>
      <c r="Q30" s="376">
        <v>2</v>
      </c>
      <c r="R30" s="376"/>
      <c r="S30" s="376"/>
      <c r="T30" s="376"/>
      <c r="U30" s="376"/>
      <c r="V30" s="376"/>
      <c r="W30" s="376"/>
      <c r="X30" s="376">
        <v>1</v>
      </c>
      <c r="Y30" s="376"/>
      <c r="Z30" s="312" t="s">
        <v>209</v>
      </c>
      <c r="AA30" s="150"/>
    </row>
    <row r="31" spans="2:31" ht="168" customHeight="1">
      <c r="B31" s="122">
        <v>21</v>
      </c>
      <c r="C31" s="123" t="s">
        <v>134</v>
      </c>
      <c r="D31" s="315">
        <v>1</v>
      </c>
      <c r="E31" s="124">
        <v>45765</v>
      </c>
      <c r="F31" s="125">
        <v>0.4375</v>
      </c>
      <c r="G31" s="124">
        <v>45765</v>
      </c>
      <c r="H31" s="125">
        <v>0.47916666666666669</v>
      </c>
      <c r="I31" s="200">
        <f t="shared" si="5"/>
        <v>4.1666666666666685E-2</v>
      </c>
      <c r="J31" s="100">
        <f t="shared" si="6"/>
        <v>4.1666666666666685E-2</v>
      </c>
      <c r="K31" s="127">
        <v>5</v>
      </c>
      <c r="L31" s="128">
        <v>104</v>
      </c>
      <c r="M31" s="129" t="s">
        <v>138</v>
      </c>
      <c r="N31" s="130" t="s">
        <v>169</v>
      </c>
      <c r="O31" s="377">
        <v>0.5</v>
      </c>
      <c r="P31" s="376"/>
      <c r="Q31" s="376"/>
      <c r="R31" s="376"/>
      <c r="S31" s="376" t="s">
        <v>82</v>
      </c>
      <c r="T31" s="376"/>
      <c r="U31" s="376"/>
      <c r="V31" s="376"/>
      <c r="W31" s="376"/>
      <c r="X31" s="376"/>
      <c r="Y31" s="376"/>
      <c r="Z31" s="312"/>
      <c r="AA31" s="150"/>
    </row>
    <row r="32" spans="2:31" ht="96">
      <c r="B32" s="122">
        <v>22</v>
      </c>
      <c r="C32" s="123" t="s">
        <v>134</v>
      </c>
      <c r="D32" s="199">
        <v>2</v>
      </c>
      <c r="E32" s="124">
        <v>45775</v>
      </c>
      <c r="F32" s="125">
        <v>0.375</v>
      </c>
      <c r="G32" s="124">
        <v>45775</v>
      </c>
      <c r="H32" s="125">
        <v>0.69444444444444442</v>
      </c>
      <c r="I32" s="200">
        <f t="shared" si="5"/>
        <v>0.31944444444444442</v>
      </c>
      <c r="J32" s="100">
        <f t="shared" si="6"/>
        <v>0.63888888888888884</v>
      </c>
      <c r="K32" s="127">
        <v>8</v>
      </c>
      <c r="L32" s="128">
        <v>401</v>
      </c>
      <c r="M32" s="129" t="s">
        <v>138</v>
      </c>
      <c r="N32" s="130" t="s">
        <v>170</v>
      </c>
      <c r="O32" s="375">
        <v>2</v>
      </c>
      <c r="P32" s="376">
        <v>3</v>
      </c>
      <c r="Q32" s="376">
        <v>4</v>
      </c>
      <c r="R32" s="376"/>
      <c r="S32" s="376" t="s">
        <v>82</v>
      </c>
      <c r="T32" s="376"/>
      <c r="U32" s="376"/>
      <c r="V32" s="376" t="s">
        <v>82</v>
      </c>
      <c r="W32" s="376"/>
      <c r="X32" s="376"/>
      <c r="Y32" s="376"/>
      <c r="Z32" s="312" t="s">
        <v>82</v>
      </c>
      <c r="AA32" s="150"/>
    </row>
    <row r="33" spans="2:29" ht="144.75" thickBot="1">
      <c r="B33" s="122">
        <v>23</v>
      </c>
      <c r="C33" s="123" t="s">
        <v>134</v>
      </c>
      <c r="D33" s="199">
        <v>2</v>
      </c>
      <c r="E33" s="124">
        <v>45776</v>
      </c>
      <c r="F33" s="125">
        <v>0.375</v>
      </c>
      <c r="G33" s="124">
        <v>45776</v>
      </c>
      <c r="H33" s="125">
        <v>0.6875</v>
      </c>
      <c r="I33" s="200">
        <f t="shared" si="5"/>
        <v>0.3125</v>
      </c>
      <c r="J33" s="100">
        <f t="shared" si="6"/>
        <v>0.625</v>
      </c>
      <c r="K33" s="128" t="s">
        <v>171</v>
      </c>
      <c r="L33" s="128" t="s">
        <v>172</v>
      </c>
      <c r="M33" s="129" t="s">
        <v>138</v>
      </c>
      <c r="N33" s="130" t="s">
        <v>173</v>
      </c>
      <c r="O33" s="375">
        <v>2</v>
      </c>
      <c r="P33" s="378">
        <v>3</v>
      </c>
      <c r="Q33" s="376">
        <v>3</v>
      </c>
      <c r="R33" s="376">
        <v>6</v>
      </c>
      <c r="S33" s="376"/>
      <c r="T33" s="376"/>
      <c r="U33" s="376"/>
      <c r="V33" s="376"/>
      <c r="W33" s="376"/>
      <c r="X33" s="376"/>
      <c r="Y33" s="376"/>
      <c r="Z33" s="312"/>
      <c r="AA33" s="150"/>
    </row>
    <row r="34" spans="2:29" ht="144.75" thickTop="1">
      <c r="B34" s="122">
        <v>24</v>
      </c>
      <c r="C34" s="123" t="s">
        <v>134</v>
      </c>
      <c r="D34" s="199">
        <v>2</v>
      </c>
      <c r="E34" s="124">
        <v>45777</v>
      </c>
      <c r="F34" s="125">
        <v>0.375</v>
      </c>
      <c r="G34" s="124">
        <v>45777</v>
      </c>
      <c r="H34" s="125">
        <v>0.6875</v>
      </c>
      <c r="I34" s="200">
        <f t="shared" si="5"/>
        <v>0.3125</v>
      </c>
      <c r="J34" s="100">
        <f t="shared" si="6"/>
        <v>0.625</v>
      </c>
      <c r="K34" s="127" t="s">
        <v>174</v>
      </c>
      <c r="L34" s="127" t="s">
        <v>175</v>
      </c>
      <c r="M34" s="129" t="s">
        <v>138</v>
      </c>
      <c r="N34" s="130" t="s">
        <v>176</v>
      </c>
      <c r="O34" s="375">
        <v>2</v>
      </c>
      <c r="P34" s="379" t="s">
        <v>177</v>
      </c>
      <c r="Q34" s="380"/>
      <c r="R34" s="376"/>
      <c r="S34" s="376"/>
      <c r="T34" s="376"/>
      <c r="U34" s="376"/>
      <c r="V34" s="376">
        <v>1</v>
      </c>
      <c r="W34" s="376"/>
      <c r="X34" s="376"/>
      <c r="Y34" s="376">
        <v>1</v>
      </c>
      <c r="Z34" s="312" t="s">
        <v>211</v>
      </c>
      <c r="AA34" s="150"/>
    </row>
    <row r="35" spans="2:29" ht="81.75" thickBot="1">
      <c r="B35" s="122">
        <v>25</v>
      </c>
      <c r="C35" s="123" t="s">
        <v>134</v>
      </c>
      <c r="D35" s="199">
        <v>2</v>
      </c>
      <c r="E35" s="124">
        <v>45784</v>
      </c>
      <c r="F35" s="125">
        <v>0.375</v>
      </c>
      <c r="G35" s="124">
        <v>45784</v>
      </c>
      <c r="H35" s="125">
        <v>0.6875</v>
      </c>
      <c r="I35" s="200">
        <f t="shared" si="5"/>
        <v>0.3125</v>
      </c>
      <c r="J35" s="100">
        <f t="shared" si="6"/>
        <v>0.625</v>
      </c>
      <c r="K35" s="128" t="s">
        <v>178</v>
      </c>
      <c r="L35" s="128" t="s">
        <v>179</v>
      </c>
      <c r="M35" s="129" t="s">
        <v>138</v>
      </c>
      <c r="N35" s="130" t="s">
        <v>180</v>
      </c>
      <c r="O35" s="381">
        <v>2</v>
      </c>
      <c r="P35" s="382"/>
      <c r="Q35" s="380"/>
      <c r="R35" s="376"/>
      <c r="S35" s="376">
        <v>5</v>
      </c>
      <c r="T35" s="376"/>
      <c r="U35" s="376"/>
      <c r="V35" s="376">
        <v>2</v>
      </c>
      <c r="W35" s="376"/>
      <c r="X35" s="376"/>
      <c r="Y35" s="376"/>
      <c r="Z35" s="312"/>
      <c r="AA35" s="150"/>
    </row>
    <row r="36" spans="2:29" ht="120.75" thickTop="1">
      <c r="B36" s="122">
        <v>26</v>
      </c>
      <c r="C36" s="123" t="s">
        <v>134</v>
      </c>
      <c r="D36" s="199">
        <v>2</v>
      </c>
      <c r="E36" s="124">
        <v>45789</v>
      </c>
      <c r="F36" s="125">
        <v>0.375</v>
      </c>
      <c r="G36" s="124">
        <v>45789</v>
      </c>
      <c r="H36" s="125">
        <v>0.6875</v>
      </c>
      <c r="I36" s="200">
        <f t="shared" si="5"/>
        <v>0.3125</v>
      </c>
      <c r="J36" s="100">
        <f t="shared" si="6"/>
        <v>0.625</v>
      </c>
      <c r="K36" s="127">
        <v>2</v>
      </c>
      <c r="L36" s="128">
        <v>404</v>
      </c>
      <c r="M36" s="129" t="s">
        <v>138</v>
      </c>
      <c r="N36" s="202" t="s">
        <v>181</v>
      </c>
      <c r="O36" s="383">
        <v>2</v>
      </c>
      <c r="P36" s="382">
        <v>5</v>
      </c>
      <c r="Q36" s="380">
        <v>3</v>
      </c>
      <c r="R36" s="376"/>
      <c r="S36" s="376"/>
      <c r="T36" s="376"/>
      <c r="U36" s="376"/>
      <c r="V36" s="376"/>
      <c r="W36" s="376"/>
      <c r="X36" s="376"/>
      <c r="Y36" s="376"/>
      <c r="Z36" s="312" t="s">
        <v>182</v>
      </c>
      <c r="AA36" s="94"/>
    </row>
    <row r="37" spans="2:29" ht="72">
      <c r="B37" s="122">
        <v>27</v>
      </c>
      <c r="C37" s="123" t="s">
        <v>134</v>
      </c>
      <c r="D37" s="199">
        <v>2</v>
      </c>
      <c r="E37" s="124">
        <v>45790</v>
      </c>
      <c r="F37" s="125">
        <v>0.375</v>
      </c>
      <c r="G37" s="124">
        <v>45790</v>
      </c>
      <c r="H37" s="125">
        <v>0.6875</v>
      </c>
      <c r="I37" s="200">
        <f t="shared" si="5"/>
        <v>0.3125</v>
      </c>
      <c r="J37" s="100">
        <f t="shared" si="6"/>
        <v>0.625</v>
      </c>
      <c r="K37" s="127">
        <v>2</v>
      </c>
      <c r="L37" s="128">
        <v>301</v>
      </c>
      <c r="M37" s="129" t="s">
        <v>138</v>
      </c>
      <c r="N37" s="202" t="s">
        <v>183</v>
      </c>
      <c r="O37" s="384">
        <v>2</v>
      </c>
      <c r="P37" s="382"/>
      <c r="Q37" s="380">
        <v>2</v>
      </c>
      <c r="R37" s="376"/>
      <c r="S37" s="376"/>
      <c r="T37" s="376"/>
      <c r="U37" s="376"/>
      <c r="V37" s="376"/>
      <c r="W37" s="376"/>
      <c r="X37" s="376"/>
      <c r="Y37" s="376"/>
      <c r="Z37" s="312" t="s">
        <v>212</v>
      </c>
      <c r="AA37" s="94"/>
    </row>
    <row r="38" spans="2:29" ht="168" customHeight="1">
      <c r="B38" s="122">
        <v>28</v>
      </c>
      <c r="C38" s="123" t="s">
        <v>134</v>
      </c>
      <c r="D38" s="192">
        <v>2</v>
      </c>
      <c r="E38" s="124">
        <v>45792</v>
      </c>
      <c r="F38" s="125">
        <v>0.5625</v>
      </c>
      <c r="G38" s="124">
        <v>45792</v>
      </c>
      <c r="H38" s="125">
        <v>0.625</v>
      </c>
      <c r="I38" s="200">
        <f t="shared" si="5"/>
        <v>6.25E-2</v>
      </c>
      <c r="J38" s="100">
        <f t="shared" si="6"/>
        <v>0.125</v>
      </c>
      <c r="K38" s="127">
        <v>9</v>
      </c>
      <c r="L38" s="128">
        <v>306</v>
      </c>
      <c r="M38" s="129" t="s">
        <v>138</v>
      </c>
      <c r="N38" s="202" t="s">
        <v>184</v>
      </c>
      <c r="O38" s="385" t="s">
        <v>185</v>
      </c>
      <c r="P38" s="382">
        <v>7</v>
      </c>
      <c r="Q38" s="380"/>
      <c r="R38" s="376"/>
      <c r="S38" s="376"/>
      <c r="T38" s="376"/>
      <c r="U38" s="376"/>
      <c r="V38" s="376"/>
      <c r="W38" s="376"/>
      <c r="X38" s="376"/>
      <c r="Y38" s="376"/>
      <c r="Z38" s="312"/>
      <c r="AA38" s="94"/>
    </row>
    <row r="39" spans="2:29" ht="168" customHeight="1">
      <c r="B39" s="122">
        <v>29</v>
      </c>
      <c r="C39" s="123" t="s">
        <v>134</v>
      </c>
      <c r="D39" s="199">
        <v>2</v>
      </c>
      <c r="E39" s="124">
        <v>45796</v>
      </c>
      <c r="F39" s="125">
        <v>0.375</v>
      </c>
      <c r="G39" s="124">
        <v>45796</v>
      </c>
      <c r="H39" s="125">
        <v>0.6875</v>
      </c>
      <c r="I39" s="200">
        <f t="shared" si="5"/>
        <v>0.3125</v>
      </c>
      <c r="J39" s="100">
        <f t="shared" si="6"/>
        <v>0.625</v>
      </c>
      <c r="K39" s="127">
        <v>8</v>
      </c>
      <c r="L39" s="128">
        <v>209</v>
      </c>
      <c r="M39" s="129" t="s">
        <v>138</v>
      </c>
      <c r="N39" s="202" t="s">
        <v>186</v>
      </c>
      <c r="O39" s="384">
        <v>2</v>
      </c>
      <c r="P39" s="382">
        <v>4</v>
      </c>
      <c r="Q39" s="380">
        <v>4</v>
      </c>
      <c r="R39" s="376"/>
      <c r="S39" s="376"/>
      <c r="T39" s="376"/>
      <c r="U39" s="376"/>
      <c r="V39" s="376"/>
      <c r="W39" s="376"/>
      <c r="X39" s="376"/>
      <c r="Y39" s="376"/>
      <c r="Z39" s="312"/>
      <c r="AA39" s="94"/>
    </row>
    <row r="40" spans="2:29" ht="142.5" customHeight="1">
      <c r="B40" s="122">
        <v>30</v>
      </c>
      <c r="C40" s="123" t="s">
        <v>134</v>
      </c>
      <c r="D40" s="315">
        <v>2</v>
      </c>
      <c r="E40" s="124">
        <v>45797</v>
      </c>
      <c r="F40" s="125">
        <v>0.375</v>
      </c>
      <c r="G40" s="124">
        <v>45797</v>
      </c>
      <c r="H40" s="125">
        <v>0.68055555555555558</v>
      </c>
      <c r="I40" s="200">
        <f t="shared" si="5"/>
        <v>0.30555555555555558</v>
      </c>
      <c r="J40" s="100">
        <f t="shared" si="6"/>
        <v>0.61111111111111116</v>
      </c>
      <c r="K40" s="128" t="s">
        <v>187</v>
      </c>
      <c r="L40" s="128" t="s">
        <v>188</v>
      </c>
      <c r="M40" s="129" t="s">
        <v>138</v>
      </c>
      <c r="N40" s="202" t="s">
        <v>189</v>
      </c>
      <c r="O40" s="386">
        <v>1.5</v>
      </c>
      <c r="P40" s="382">
        <v>9</v>
      </c>
      <c r="Q40" s="380">
        <v>4</v>
      </c>
      <c r="R40" s="376"/>
      <c r="S40" s="376"/>
      <c r="T40" s="376"/>
      <c r="U40" s="376"/>
      <c r="V40" s="376"/>
      <c r="W40" s="376"/>
      <c r="X40" s="376"/>
      <c r="Y40" s="376"/>
      <c r="Z40" s="312"/>
      <c r="AA40" s="150"/>
    </row>
    <row r="41" spans="2:29" ht="120">
      <c r="B41" s="122">
        <v>31</v>
      </c>
      <c r="C41" s="123" t="s">
        <v>134</v>
      </c>
      <c r="D41" s="199">
        <v>2</v>
      </c>
      <c r="E41" s="124">
        <v>45806</v>
      </c>
      <c r="F41" s="125">
        <v>0.375</v>
      </c>
      <c r="G41" s="124">
        <v>45806</v>
      </c>
      <c r="H41" s="125">
        <v>0.69444444444444442</v>
      </c>
      <c r="I41" s="200">
        <f t="shared" si="5"/>
        <v>0.31944444444444442</v>
      </c>
      <c r="J41" s="100">
        <f t="shared" si="6"/>
        <v>0.63888888888888884</v>
      </c>
      <c r="K41" s="128" t="s">
        <v>190</v>
      </c>
      <c r="L41" s="128" t="s">
        <v>191</v>
      </c>
      <c r="M41" s="129" t="s">
        <v>138</v>
      </c>
      <c r="N41" s="202" t="s">
        <v>192</v>
      </c>
      <c r="O41" s="384">
        <v>2</v>
      </c>
      <c r="P41" s="382">
        <v>3</v>
      </c>
      <c r="Q41" s="380">
        <v>3</v>
      </c>
      <c r="R41" s="376">
        <v>3</v>
      </c>
      <c r="S41" s="376"/>
      <c r="T41" s="376"/>
      <c r="U41" s="376"/>
      <c r="V41" s="376"/>
      <c r="W41" s="376"/>
      <c r="X41" s="376"/>
      <c r="Y41" s="376"/>
      <c r="Z41" s="312"/>
      <c r="AA41" s="94"/>
    </row>
    <row r="42" spans="2:29" ht="120">
      <c r="B42" s="122">
        <v>32</v>
      </c>
      <c r="C42" s="123" t="s">
        <v>134</v>
      </c>
      <c r="D42" s="199">
        <v>2</v>
      </c>
      <c r="E42" s="124">
        <v>45807</v>
      </c>
      <c r="F42" s="125">
        <v>0.375</v>
      </c>
      <c r="G42" s="124">
        <v>45807</v>
      </c>
      <c r="H42" s="125">
        <v>0.67361111111111116</v>
      </c>
      <c r="I42" s="200">
        <f t="shared" si="5"/>
        <v>0.29861111111111116</v>
      </c>
      <c r="J42" s="100">
        <f t="shared" si="6"/>
        <v>0.59722222222222232</v>
      </c>
      <c r="K42" s="127">
        <v>2</v>
      </c>
      <c r="L42" s="128">
        <v>201</v>
      </c>
      <c r="M42" s="129" t="s">
        <v>138</v>
      </c>
      <c r="N42" s="202" t="s">
        <v>193</v>
      </c>
      <c r="O42" s="384">
        <v>2</v>
      </c>
      <c r="P42" s="382">
        <v>2</v>
      </c>
      <c r="Q42" s="380">
        <v>1</v>
      </c>
      <c r="R42" s="376"/>
      <c r="S42" s="376"/>
      <c r="T42" s="376"/>
      <c r="U42" s="376"/>
      <c r="V42" s="376"/>
      <c r="W42" s="376">
        <v>1</v>
      </c>
      <c r="X42" s="376"/>
      <c r="Y42" s="376"/>
      <c r="Z42" s="312"/>
      <c r="AA42" s="131"/>
    </row>
    <row r="43" spans="2:29" ht="120">
      <c r="B43" s="122">
        <v>33</v>
      </c>
      <c r="C43" s="123" t="s">
        <v>134</v>
      </c>
      <c r="D43" s="315">
        <v>2</v>
      </c>
      <c r="E43" s="124">
        <v>45824</v>
      </c>
      <c r="F43" s="125">
        <v>0.375</v>
      </c>
      <c r="G43" s="124">
        <v>45824</v>
      </c>
      <c r="H43" s="125">
        <v>0.6875</v>
      </c>
      <c r="I43" s="200">
        <f t="shared" si="5"/>
        <v>0.3125</v>
      </c>
      <c r="J43" s="100">
        <f t="shared" si="6"/>
        <v>0.625</v>
      </c>
      <c r="K43" s="128" t="s">
        <v>194</v>
      </c>
      <c r="L43" s="128" t="s">
        <v>195</v>
      </c>
      <c r="M43" s="129" t="s">
        <v>138</v>
      </c>
      <c r="N43" s="202" t="s">
        <v>196</v>
      </c>
      <c r="O43" s="386">
        <v>1.5</v>
      </c>
      <c r="P43" s="382">
        <v>5</v>
      </c>
      <c r="Q43" s="380">
        <v>2</v>
      </c>
      <c r="R43" s="376">
        <v>12</v>
      </c>
      <c r="S43" s="376"/>
      <c r="T43" s="376"/>
      <c r="U43" s="376"/>
      <c r="V43" s="376"/>
      <c r="W43" s="376"/>
      <c r="X43" s="376"/>
      <c r="Y43" s="376"/>
      <c r="Z43" s="312"/>
      <c r="AA43" s="131"/>
    </row>
    <row r="44" spans="2:29" ht="168">
      <c r="B44" s="122">
        <v>34</v>
      </c>
      <c r="C44" s="123" t="s">
        <v>134</v>
      </c>
      <c r="D44" s="199">
        <v>2</v>
      </c>
      <c r="E44" s="124">
        <v>45825</v>
      </c>
      <c r="F44" s="125">
        <v>0.375</v>
      </c>
      <c r="G44" s="124">
        <v>45825</v>
      </c>
      <c r="H44" s="125">
        <v>0.6875</v>
      </c>
      <c r="I44" s="200">
        <f t="shared" si="5"/>
        <v>0.3125</v>
      </c>
      <c r="J44" s="100">
        <f t="shared" si="6"/>
        <v>0.625</v>
      </c>
      <c r="K44" s="127">
        <v>2</v>
      </c>
      <c r="L44" s="128" t="s">
        <v>197</v>
      </c>
      <c r="M44" s="129" t="s">
        <v>138</v>
      </c>
      <c r="N44" s="202" t="s">
        <v>198</v>
      </c>
      <c r="O44" s="384">
        <v>2</v>
      </c>
      <c r="P44" s="382">
        <v>3</v>
      </c>
      <c r="Q44" s="380">
        <v>1</v>
      </c>
      <c r="R44" s="376"/>
      <c r="S44" s="376"/>
      <c r="T44" s="376"/>
      <c r="U44" s="376"/>
      <c r="V44" s="376"/>
      <c r="W44" s="376">
        <v>1</v>
      </c>
      <c r="X44" s="376"/>
      <c r="Y44" s="376"/>
      <c r="Z44" s="312"/>
      <c r="AA44" s="131"/>
    </row>
    <row r="45" spans="2:29" ht="17.25" customHeight="1" thickBot="1">
      <c r="B45" s="132" t="s">
        <v>82</v>
      </c>
      <c r="C45" s="133"/>
      <c r="D45" s="203"/>
      <c r="E45" s="134"/>
      <c r="F45" s="135"/>
      <c r="G45" s="134"/>
      <c r="H45" s="135"/>
      <c r="I45" s="204"/>
      <c r="J45" s="121"/>
      <c r="K45" s="137"/>
      <c r="L45" s="138"/>
      <c r="M45" s="138"/>
      <c r="N45" s="205"/>
      <c r="O45" s="387"/>
      <c r="P45" s="388"/>
      <c r="Q45" s="417"/>
      <c r="R45" s="389"/>
      <c r="S45" s="389"/>
      <c r="T45" s="389"/>
      <c r="U45" s="389"/>
      <c r="V45" s="389"/>
      <c r="W45" s="389"/>
      <c r="X45" s="389"/>
      <c r="Y45" s="389"/>
      <c r="Z45" s="313"/>
      <c r="AA45" s="131"/>
    </row>
    <row r="46" spans="2:29" s="333" customFormat="1" ht="69.95" customHeight="1" thickTop="1" thickBot="1">
      <c r="B46" s="501" t="s">
        <v>210</v>
      </c>
      <c r="C46" s="502"/>
      <c r="D46" s="325">
        <f>SUM(D29:D45)</f>
        <v>31</v>
      </c>
      <c r="E46" s="326"/>
      <c r="F46" s="327"/>
      <c r="G46" s="326"/>
      <c r="H46" s="327"/>
      <c r="I46" s="328">
        <f>SUM(I29:I45)</f>
        <v>4.4722222222222232</v>
      </c>
      <c r="J46" s="328">
        <f>SUM(J29:J45)</f>
        <v>8.9027777777777786</v>
      </c>
      <c r="K46" s="329"/>
      <c r="L46" s="330"/>
      <c r="M46" s="329"/>
      <c r="N46" s="331"/>
      <c r="O46" s="394">
        <f>SUM(O29:O35)</f>
        <v>12</v>
      </c>
      <c r="P46" s="390">
        <f>SUM(P29:P33)+0.09</f>
        <v>16.09</v>
      </c>
      <c r="Q46" s="391">
        <f t="shared" ref="Q46:Y46" si="8">SUM(Q29:Q45)</f>
        <v>32</v>
      </c>
      <c r="R46" s="391">
        <f t="shared" si="8"/>
        <v>24</v>
      </c>
      <c r="S46" s="391">
        <f t="shared" si="8"/>
        <v>5</v>
      </c>
      <c r="T46" s="391">
        <f t="shared" si="8"/>
        <v>5</v>
      </c>
      <c r="U46" s="391">
        <f t="shared" si="8"/>
        <v>5</v>
      </c>
      <c r="V46" s="391">
        <f t="shared" si="8"/>
        <v>3</v>
      </c>
      <c r="W46" s="391">
        <f t="shared" si="8"/>
        <v>2</v>
      </c>
      <c r="X46" s="391">
        <f t="shared" si="8"/>
        <v>1</v>
      </c>
      <c r="Y46" s="391">
        <f t="shared" si="8"/>
        <v>1</v>
      </c>
      <c r="Z46" s="332"/>
      <c r="AA46" s="131"/>
    </row>
    <row r="47" spans="2:29">
      <c r="B47" s="414"/>
      <c r="Z47" s="416"/>
      <c r="AA47" s="131"/>
      <c r="AB47" s="94"/>
      <c r="AC47" s="94"/>
    </row>
    <row r="48" spans="2:29" s="281" customFormat="1" ht="42" thickBot="1">
      <c r="B48" s="316" t="s">
        <v>216</v>
      </c>
      <c r="C48" s="270"/>
      <c r="D48" s="191"/>
      <c r="E48" s="271"/>
      <c r="F48" s="272"/>
      <c r="G48" s="271"/>
      <c r="H48" s="272"/>
      <c r="I48" s="272"/>
      <c r="J48" s="273"/>
      <c r="K48" s="274"/>
      <c r="L48" s="274"/>
      <c r="M48" s="275"/>
      <c r="N48" s="276"/>
      <c r="O48" s="277"/>
      <c r="P48" s="278"/>
      <c r="Q48" s="278"/>
      <c r="R48" s="278"/>
      <c r="S48" s="278"/>
      <c r="T48" s="278"/>
      <c r="U48" s="278"/>
      <c r="V48" s="278"/>
      <c r="W48" s="278"/>
      <c r="X48" s="278"/>
      <c r="Y48" s="278"/>
      <c r="Z48" s="279"/>
      <c r="AA48" s="280"/>
    </row>
    <row r="49" spans="2:28" ht="166.5" thickTop="1" thickBot="1">
      <c r="B49" s="122">
        <v>24</v>
      </c>
      <c r="C49" s="129" t="s">
        <v>134</v>
      </c>
      <c r="D49" s="199"/>
      <c r="E49" s="124"/>
      <c r="F49" s="125"/>
      <c r="G49" s="124"/>
      <c r="H49" s="125"/>
      <c r="I49" s="200"/>
      <c r="J49" s="100"/>
      <c r="K49" s="127"/>
      <c r="L49" s="127"/>
      <c r="M49" s="129"/>
      <c r="N49" s="130" t="s">
        <v>176</v>
      </c>
      <c r="O49" s="425"/>
      <c r="P49" s="426">
        <f>2.91-2.62</f>
        <v>0.29000000000000004</v>
      </c>
      <c r="Q49" s="427"/>
      <c r="R49" s="427"/>
      <c r="S49" s="427"/>
      <c r="T49" s="335"/>
      <c r="U49" s="335"/>
      <c r="V49" s="335"/>
      <c r="W49" s="335"/>
      <c r="X49" s="335"/>
      <c r="Y49" s="201"/>
      <c r="Z49" s="436" t="s">
        <v>244</v>
      </c>
      <c r="AA49" s="150"/>
      <c r="AB49" s="368"/>
    </row>
    <row r="50" spans="2:28" ht="120.75" thickTop="1">
      <c r="B50" s="122">
        <v>26</v>
      </c>
      <c r="C50" s="129" t="s">
        <v>134</v>
      </c>
      <c r="D50" s="199">
        <v>2</v>
      </c>
      <c r="E50" s="124">
        <v>45789</v>
      </c>
      <c r="F50" s="125">
        <v>0.375</v>
      </c>
      <c r="G50" s="124">
        <v>45789</v>
      </c>
      <c r="H50" s="125">
        <v>0.6875</v>
      </c>
      <c r="I50" s="200">
        <f t="shared" ref="I50:I58" si="9">H50-F50</f>
        <v>0.3125</v>
      </c>
      <c r="J50" s="100">
        <f t="shared" ref="J50:J58" si="10">I50*D50</f>
        <v>0.625</v>
      </c>
      <c r="K50" s="127">
        <v>2</v>
      </c>
      <c r="L50" s="128">
        <v>404</v>
      </c>
      <c r="M50" s="129" t="s">
        <v>138</v>
      </c>
      <c r="N50" s="130" t="s">
        <v>181</v>
      </c>
      <c r="O50" s="428">
        <v>2</v>
      </c>
      <c r="P50" s="426">
        <v>5</v>
      </c>
      <c r="Q50" s="427"/>
      <c r="R50" s="427"/>
      <c r="S50" s="427"/>
      <c r="T50" s="335"/>
      <c r="U50" s="335"/>
      <c r="V50" s="335"/>
      <c r="W50" s="335"/>
      <c r="X50" s="335"/>
      <c r="Y50" s="335"/>
      <c r="Z50" s="369"/>
      <c r="AA50" s="94"/>
    </row>
    <row r="51" spans="2:28" ht="72">
      <c r="B51" s="122">
        <v>27</v>
      </c>
      <c r="C51" s="129" t="s">
        <v>134</v>
      </c>
      <c r="D51" s="199">
        <v>2</v>
      </c>
      <c r="E51" s="124">
        <v>45790</v>
      </c>
      <c r="F51" s="125">
        <v>0.375</v>
      </c>
      <c r="G51" s="124">
        <v>45790</v>
      </c>
      <c r="H51" s="125">
        <v>0.6875</v>
      </c>
      <c r="I51" s="200">
        <f t="shared" si="9"/>
        <v>0.3125</v>
      </c>
      <c r="J51" s="100">
        <f t="shared" si="10"/>
        <v>0.625</v>
      </c>
      <c r="K51" s="127">
        <v>2</v>
      </c>
      <c r="L51" s="128">
        <v>301</v>
      </c>
      <c r="M51" s="129" t="s">
        <v>138</v>
      </c>
      <c r="N51" s="130" t="s">
        <v>183</v>
      </c>
      <c r="O51" s="428">
        <v>2</v>
      </c>
      <c r="P51" s="426"/>
      <c r="Q51" s="427"/>
      <c r="R51" s="427"/>
      <c r="S51" s="427"/>
      <c r="T51" s="335"/>
      <c r="U51" s="335"/>
      <c r="V51" s="335"/>
      <c r="W51" s="335"/>
      <c r="X51" s="335"/>
      <c r="Y51" s="335"/>
      <c r="Z51" s="364"/>
      <c r="AA51" s="94"/>
    </row>
    <row r="52" spans="2:28" ht="168" customHeight="1">
      <c r="B52" s="122">
        <v>28</v>
      </c>
      <c r="C52" s="129" t="s">
        <v>134</v>
      </c>
      <c r="D52" s="192">
        <v>2</v>
      </c>
      <c r="E52" s="124">
        <v>45792</v>
      </c>
      <c r="F52" s="125">
        <v>0.5625</v>
      </c>
      <c r="G52" s="124">
        <v>45792</v>
      </c>
      <c r="H52" s="125">
        <v>0.625</v>
      </c>
      <c r="I52" s="200">
        <f t="shared" si="9"/>
        <v>6.25E-2</v>
      </c>
      <c r="J52" s="100">
        <f t="shared" si="10"/>
        <v>0.125</v>
      </c>
      <c r="K52" s="127">
        <v>9</v>
      </c>
      <c r="L52" s="128">
        <v>306</v>
      </c>
      <c r="M52" s="129" t="s">
        <v>138</v>
      </c>
      <c r="N52" s="130" t="s">
        <v>184</v>
      </c>
      <c r="O52" s="429" t="s">
        <v>185</v>
      </c>
      <c r="P52" s="426">
        <v>7</v>
      </c>
      <c r="Q52" s="427"/>
      <c r="R52" s="427"/>
      <c r="S52" s="427"/>
      <c r="T52" s="335"/>
      <c r="U52" s="335"/>
      <c r="V52" s="335"/>
      <c r="W52" s="335"/>
      <c r="X52" s="335"/>
      <c r="Y52" s="335"/>
      <c r="Z52" s="364"/>
      <c r="AA52" s="94"/>
    </row>
    <row r="53" spans="2:28" ht="168" customHeight="1">
      <c r="B53" s="122">
        <v>29</v>
      </c>
      <c r="C53" s="129" t="s">
        <v>134</v>
      </c>
      <c r="D53" s="199">
        <v>2</v>
      </c>
      <c r="E53" s="124">
        <v>45796</v>
      </c>
      <c r="F53" s="125">
        <v>0.375</v>
      </c>
      <c r="G53" s="124">
        <v>45796</v>
      </c>
      <c r="H53" s="125">
        <v>0.6875</v>
      </c>
      <c r="I53" s="200">
        <f t="shared" si="9"/>
        <v>0.3125</v>
      </c>
      <c r="J53" s="100">
        <f t="shared" si="10"/>
        <v>0.625</v>
      </c>
      <c r="K53" s="127">
        <v>8</v>
      </c>
      <c r="L53" s="128">
        <v>209</v>
      </c>
      <c r="M53" s="129" t="s">
        <v>138</v>
      </c>
      <c r="N53" s="130" t="s">
        <v>186</v>
      </c>
      <c r="O53" s="428">
        <v>2</v>
      </c>
      <c r="P53" s="426">
        <v>4</v>
      </c>
      <c r="Q53" s="427"/>
      <c r="R53" s="427"/>
      <c r="S53" s="427"/>
      <c r="T53" s="335"/>
      <c r="U53" s="335"/>
      <c r="V53" s="335"/>
      <c r="W53" s="335"/>
      <c r="X53" s="335"/>
      <c r="Y53" s="335"/>
      <c r="Z53" s="364"/>
      <c r="AA53" s="94"/>
    </row>
    <row r="54" spans="2:28" ht="142.5" customHeight="1">
      <c r="B54" s="122">
        <v>30</v>
      </c>
      <c r="C54" s="129" t="s">
        <v>134</v>
      </c>
      <c r="D54" s="315">
        <v>2</v>
      </c>
      <c r="E54" s="124">
        <v>45797</v>
      </c>
      <c r="F54" s="125">
        <v>0.375</v>
      </c>
      <c r="G54" s="124">
        <v>45797</v>
      </c>
      <c r="H54" s="125">
        <v>0.68055555555555558</v>
      </c>
      <c r="I54" s="200">
        <f t="shared" si="9"/>
        <v>0.30555555555555558</v>
      </c>
      <c r="J54" s="100">
        <f t="shared" si="10"/>
        <v>0.61111111111111116</v>
      </c>
      <c r="K54" s="128" t="s">
        <v>187</v>
      </c>
      <c r="L54" s="128" t="s">
        <v>188</v>
      </c>
      <c r="M54" s="129" t="s">
        <v>138</v>
      </c>
      <c r="N54" s="130" t="s">
        <v>189</v>
      </c>
      <c r="O54" s="430">
        <v>1.5</v>
      </c>
      <c r="P54" s="426">
        <v>9</v>
      </c>
      <c r="Q54" s="427"/>
      <c r="R54" s="427"/>
      <c r="S54" s="427"/>
      <c r="T54" s="335"/>
      <c r="U54" s="335"/>
      <c r="V54" s="335"/>
      <c r="W54" s="335"/>
      <c r="X54" s="335"/>
      <c r="Y54" s="335"/>
      <c r="Z54" s="364"/>
      <c r="AA54" s="150"/>
    </row>
    <row r="55" spans="2:28" ht="120">
      <c r="B55" s="122">
        <v>31</v>
      </c>
      <c r="C55" s="129" t="s">
        <v>134</v>
      </c>
      <c r="D55" s="199">
        <v>2</v>
      </c>
      <c r="E55" s="124">
        <v>45806</v>
      </c>
      <c r="F55" s="125">
        <v>0.375</v>
      </c>
      <c r="G55" s="124">
        <v>45806</v>
      </c>
      <c r="H55" s="125">
        <v>0.69444444444444442</v>
      </c>
      <c r="I55" s="200">
        <f t="shared" si="9"/>
        <v>0.31944444444444442</v>
      </c>
      <c r="J55" s="100">
        <f t="shared" si="10"/>
        <v>0.63888888888888884</v>
      </c>
      <c r="K55" s="128" t="s">
        <v>190</v>
      </c>
      <c r="L55" s="128" t="s">
        <v>191</v>
      </c>
      <c r="M55" s="129" t="s">
        <v>138</v>
      </c>
      <c r="N55" s="130" t="s">
        <v>192</v>
      </c>
      <c r="O55" s="428">
        <v>2</v>
      </c>
      <c r="P55" s="426">
        <v>3</v>
      </c>
      <c r="Q55" s="427"/>
      <c r="R55" s="427"/>
      <c r="S55" s="427"/>
      <c r="T55" s="335"/>
      <c r="U55" s="335"/>
      <c r="V55" s="335"/>
      <c r="W55" s="335"/>
      <c r="X55" s="335"/>
      <c r="Y55" s="335"/>
      <c r="Z55" s="364"/>
      <c r="AA55" s="94"/>
    </row>
    <row r="56" spans="2:28" ht="120">
      <c r="B56" s="122">
        <v>32</v>
      </c>
      <c r="C56" s="129" t="s">
        <v>134</v>
      </c>
      <c r="D56" s="199">
        <v>2</v>
      </c>
      <c r="E56" s="124">
        <v>45807</v>
      </c>
      <c r="F56" s="125">
        <v>0.375</v>
      </c>
      <c r="G56" s="124">
        <v>45807</v>
      </c>
      <c r="H56" s="125">
        <v>0.67361111111111116</v>
      </c>
      <c r="I56" s="200">
        <f t="shared" si="9"/>
        <v>0.29861111111111116</v>
      </c>
      <c r="J56" s="100">
        <f t="shared" si="10"/>
        <v>0.59722222222222232</v>
      </c>
      <c r="K56" s="127">
        <v>2</v>
      </c>
      <c r="L56" s="128">
        <v>201</v>
      </c>
      <c r="M56" s="129" t="s">
        <v>138</v>
      </c>
      <c r="N56" s="130" t="s">
        <v>193</v>
      </c>
      <c r="O56" s="428">
        <v>2</v>
      </c>
      <c r="P56" s="426">
        <v>2</v>
      </c>
      <c r="Q56" s="427"/>
      <c r="R56" s="427"/>
      <c r="S56" s="427"/>
      <c r="T56" s="335"/>
      <c r="U56" s="335"/>
      <c r="V56" s="335"/>
      <c r="W56" s="335"/>
      <c r="X56" s="335"/>
      <c r="Y56" s="335"/>
      <c r="Z56" s="364"/>
      <c r="AA56" s="131"/>
    </row>
    <row r="57" spans="2:28" ht="120">
      <c r="B57" s="122">
        <v>33</v>
      </c>
      <c r="C57" s="129" t="s">
        <v>134</v>
      </c>
      <c r="D57" s="315">
        <v>2</v>
      </c>
      <c r="E57" s="124">
        <v>45824</v>
      </c>
      <c r="F57" s="125">
        <v>0.375</v>
      </c>
      <c r="G57" s="124">
        <v>45824</v>
      </c>
      <c r="H57" s="125">
        <v>0.6875</v>
      </c>
      <c r="I57" s="200">
        <f t="shared" si="9"/>
        <v>0.3125</v>
      </c>
      <c r="J57" s="100">
        <f t="shared" si="10"/>
        <v>0.625</v>
      </c>
      <c r="K57" s="128" t="s">
        <v>194</v>
      </c>
      <c r="L57" s="128" t="s">
        <v>195</v>
      </c>
      <c r="M57" s="129" t="s">
        <v>138</v>
      </c>
      <c r="N57" s="130" t="s">
        <v>196</v>
      </c>
      <c r="O57" s="430">
        <v>1.5</v>
      </c>
      <c r="P57" s="426">
        <v>5</v>
      </c>
      <c r="Q57" s="427"/>
      <c r="R57" s="427"/>
      <c r="S57" s="427"/>
      <c r="T57" s="335"/>
      <c r="U57" s="335"/>
      <c r="V57" s="335"/>
      <c r="W57" s="335"/>
      <c r="X57" s="335"/>
      <c r="Y57" s="335"/>
      <c r="Z57" s="364"/>
      <c r="AA57" s="131"/>
    </row>
    <row r="58" spans="2:28" ht="168.75" thickBot="1">
      <c r="B58" s="365">
        <v>34</v>
      </c>
      <c r="C58" s="336" t="s">
        <v>134</v>
      </c>
      <c r="D58" s="337">
        <v>2</v>
      </c>
      <c r="E58" s="338">
        <v>45825</v>
      </c>
      <c r="F58" s="339">
        <v>0.375</v>
      </c>
      <c r="G58" s="338">
        <v>45825</v>
      </c>
      <c r="H58" s="339">
        <v>0.6875</v>
      </c>
      <c r="I58" s="340">
        <f t="shared" si="9"/>
        <v>0.3125</v>
      </c>
      <c r="J58" s="341">
        <f t="shared" si="10"/>
        <v>0.625</v>
      </c>
      <c r="K58" s="342">
        <v>2</v>
      </c>
      <c r="L58" s="343" t="s">
        <v>197</v>
      </c>
      <c r="M58" s="336" t="s">
        <v>138</v>
      </c>
      <c r="N58" s="344" t="s">
        <v>198</v>
      </c>
      <c r="O58" s="431">
        <v>2</v>
      </c>
      <c r="P58" s="432">
        <v>3</v>
      </c>
      <c r="Q58" s="433"/>
      <c r="R58" s="433"/>
      <c r="S58" s="433"/>
      <c r="T58" s="345"/>
      <c r="U58" s="345"/>
      <c r="V58" s="345"/>
      <c r="W58" s="345"/>
      <c r="X58" s="345"/>
      <c r="Y58" s="345"/>
      <c r="Z58" s="366"/>
      <c r="AA58" s="131"/>
    </row>
    <row r="59" spans="2:28" s="333" customFormat="1" ht="69.95" customHeight="1" thickBot="1">
      <c r="B59" s="492" t="s">
        <v>210</v>
      </c>
      <c r="C59" s="493"/>
      <c r="D59" s="395">
        <f>SUM(D49:D58)</f>
        <v>18</v>
      </c>
      <c r="E59" s="396"/>
      <c r="F59" s="397"/>
      <c r="G59" s="396"/>
      <c r="H59" s="397"/>
      <c r="I59" s="398">
        <f>SUM(I49:I58)</f>
        <v>2.5486111111111112</v>
      </c>
      <c r="J59" s="398">
        <f>SUM(J49:J58)</f>
        <v>5.0972222222222223</v>
      </c>
      <c r="K59" s="399"/>
      <c r="L59" s="400"/>
      <c r="M59" s="399"/>
      <c r="N59" s="401"/>
      <c r="O59" s="435">
        <f>SUM(O50:O58)</f>
        <v>15</v>
      </c>
      <c r="P59" s="434">
        <f t="shared" ref="P59:Y59" si="11">SUM(P49:P58)</f>
        <v>38.29</v>
      </c>
      <c r="Q59" s="402">
        <f t="shared" si="11"/>
        <v>0</v>
      </c>
      <c r="R59" s="402">
        <f t="shared" si="11"/>
        <v>0</v>
      </c>
      <c r="S59" s="402">
        <f t="shared" si="11"/>
        <v>0</v>
      </c>
      <c r="T59" s="402">
        <f t="shared" si="11"/>
        <v>0</v>
      </c>
      <c r="U59" s="402">
        <f t="shared" si="11"/>
        <v>0</v>
      </c>
      <c r="V59" s="402">
        <f t="shared" si="11"/>
        <v>0</v>
      </c>
      <c r="W59" s="402">
        <f t="shared" si="11"/>
        <v>0</v>
      </c>
      <c r="X59" s="402">
        <f t="shared" si="11"/>
        <v>0</v>
      </c>
      <c r="Y59" s="402">
        <f t="shared" si="11"/>
        <v>0</v>
      </c>
      <c r="Z59" s="403"/>
      <c r="AA59" s="131"/>
    </row>
    <row r="60" spans="2:28" ht="50.1" customHeight="1" thickBot="1"/>
    <row r="61" spans="2:28" s="281" customFormat="1" ht="41.25">
      <c r="B61" s="352" t="s">
        <v>247</v>
      </c>
      <c r="C61" s="353"/>
      <c r="D61" s="354"/>
      <c r="E61" s="355"/>
      <c r="F61" s="356"/>
      <c r="G61" s="355"/>
      <c r="H61" s="356"/>
      <c r="I61" s="356"/>
      <c r="J61" s="357"/>
      <c r="K61" s="358"/>
      <c r="L61" s="358"/>
      <c r="M61" s="359"/>
      <c r="N61" s="360"/>
      <c r="O61" s="361"/>
      <c r="P61" s="362"/>
      <c r="Q61" s="362"/>
      <c r="R61" s="362"/>
      <c r="S61" s="362"/>
      <c r="T61" s="362"/>
      <c r="U61" s="362"/>
      <c r="V61" s="362"/>
      <c r="W61" s="362"/>
      <c r="X61" s="362"/>
      <c r="Y61" s="362"/>
      <c r="Z61" s="363"/>
      <c r="AA61" s="280"/>
    </row>
    <row r="62" spans="2:28" ht="168">
      <c r="B62" s="122">
        <v>35</v>
      </c>
      <c r="C62" s="123" t="s">
        <v>134</v>
      </c>
      <c r="D62" s="465">
        <v>2</v>
      </c>
      <c r="E62" s="124">
        <v>45852</v>
      </c>
      <c r="F62" s="125">
        <v>0.375</v>
      </c>
      <c r="G62" s="124">
        <v>45852</v>
      </c>
      <c r="H62" s="125">
        <v>0.68055555555555558</v>
      </c>
      <c r="I62" s="126">
        <f t="shared" ref="I62:I73" si="12">H62-F62</f>
        <v>0.30555555555555558</v>
      </c>
      <c r="J62" s="100">
        <f t="shared" ref="J62:J73" si="13">I62*D62</f>
        <v>0.61111111111111116</v>
      </c>
      <c r="K62" s="127" t="s">
        <v>217</v>
      </c>
      <c r="L62" s="128" t="s">
        <v>218</v>
      </c>
      <c r="M62" s="129" t="s">
        <v>138</v>
      </c>
      <c r="N62" s="130" t="s">
        <v>219</v>
      </c>
      <c r="O62" s="451">
        <f t="shared" ref="O62" si="14">D62</f>
        <v>2</v>
      </c>
      <c r="P62" s="440">
        <v>1</v>
      </c>
      <c r="Q62" s="440">
        <v>5</v>
      </c>
      <c r="R62" s="437" t="s">
        <v>82</v>
      </c>
      <c r="S62" s="437"/>
      <c r="T62" s="424" t="s">
        <v>82</v>
      </c>
      <c r="U62" s="424" t="s">
        <v>82</v>
      </c>
      <c r="V62" s="424"/>
      <c r="W62" s="424" t="s">
        <v>82</v>
      </c>
      <c r="X62" s="405" t="s">
        <v>82</v>
      </c>
      <c r="Y62" s="404"/>
      <c r="Z62" s="418"/>
    </row>
    <row r="63" spans="2:28" ht="144">
      <c r="B63" s="122">
        <v>36</v>
      </c>
      <c r="C63" s="123" t="s">
        <v>134</v>
      </c>
      <c r="D63" s="467">
        <v>2</v>
      </c>
      <c r="E63" s="124">
        <v>45853</v>
      </c>
      <c r="F63" s="125">
        <v>0.375</v>
      </c>
      <c r="G63" s="124">
        <v>45853</v>
      </c>
      <c r="H63" s="125">
        <v>0.6875</v>
      </c>
      <c r="I63" s="126">
        <f t="shared" si="12"/>
        <v>0.3125</v>
      </c>
      <c r="J63" s="100">
        <f t="shared" si="13"/>
        <v>0.625</v>
      </c>
      <c r="K63" s="406" t="s">
        <v>220</v>
      </c>
      <c r="L63" s="128" t="s">
        <v>221</v>
      </c>
      <c r="M63" s="129" t="s">
        <v>138</v>
      </c>
      <c r="N63" s="130" t="s">
        <v>222</v>
      </c>
      <c r="O63" s="448">
        <v>1.5</v>
      </c>
      <c r="P63" s="440">
        <v>7</v>
      </c>
      <c r="Q63" s="440">
        <v>4</v>
      </c>
      <c r="R63" s="440">
        <v>3</v>
      </c>
      <c r="S63" s="437"/>
      <c r="T63" s="424"/>
      <c r="U63" s="424"/>
      <c r="V63" s="424"/>
      <c r="W63" s="424"/>
      <c r="X63" s="404"/>
      <c r="Y63" s="404"/>
      <c r="Z63" s="419"/>
    </row>
    <row r="64" spans="2:28" ht="45">
      <c r="B64" s="122">
        <v>37</v>
      </c>
      <c r="C64" s="123" t="s">
        <v>134</v>
      </c>
      <c r="D64" s="467">
        <v>2</v>
      </c>
      <c r="E64" s="124">
        <v>45854</v>
      </c>
      <c r="F64" s="125">
        <v>0.375</v>
      </c>
      <c r="G64" s="124">
        <v>45854</v>
      </c>
      <c r="H64" s="125">
        <v>0.68055555555555558</v>
      </c>
      <c r="I64" s="126">
        <f t="shared" si="12"/>
        <v>0.30555555555555558</v>
      </c>
      <c r="J64" s="100">
        <f t="shared" si="13"/>
        <v>0.61111111111111116</v>
      </c>
      <c r="K64" s="127">
        <v>9</v>
      </c>
      <c r="L64" s="128">
        <v>204</v>
      </c>
      <c r="M64" s="129" t="s">
        <v>138</v>
      </c>
      <c r="N64" s="130" t="s">
        <v>184</v>
      </c>
      <c r="O64" s="450" t="s">
        <v>185</v>
      </c>
      <c r="P64" s="440">
        <v>7</v>
      </c>
      <c r="Q64" s="437" t="s">
        <v>82</v>
      </c>
      <c r="R64" s="437" t="s">
        <v>82</v>
      </c>
      <c r="S64" s="437"/>
      <c r="T64" s="424" t="s">
        <v>82</v>
      </c>
      <c r="U64" s="424" t="s">
        <v>82</v>
      </c>
      <c r="V64" s="424"/>
      <c r="W64" s="424" t="s">
        <v>82</v>
      </c>
      <c r="X64" s="405" t="s">
        <v>82</v>
      </c>
      <c r="Y64" s="404"/>
      <c r="Z64" s="419"/>
    </row>
    <row r="65" spans="2:27" ht="81">
      <c r="B65" s="122">
        <v>38</v>
      </c>
      <c r="C65" s="123" t="s">
        <v>134</v>
      </c>
      <c r="D65" s="465">
        <v>2</v>
      </c>
      <c r="E65" s="124">
        <v>45855</v>
      </c>
      <c r="F65" s="125">
        <v>0.375</v>
      </c>
      <c r="G65" s="124">
        <v>45855</v>
      </c>
      <c r="H65" s="125">
        <v>0.6875</v>
      </c>
      <c r="I65" s="126">
        <f t="shared" si="12"/>
        <v>0.3125</v>
      </c>
      <c r="J65" s="100">
        <f t="shared" si="13"/>
        <v>0.625</v>
      </c>
      <c r="K65" s="127" t="s">
        <v>223</v>
      </c>
      <c r="L65" s="128" t="s">
        <v>224</v>
      </c>
      <c r="M65" s="129" t="s">
        <v>138</v>
      </c>
      <c r="N65" s="130" t="s">
        <v>225</v>
      </c>
      <c r="O65" s="451">
        <f t="shared" ref="O65" si="15">D65</f>
        <v>2</v>
      </c>
      <c r="P65" s="440">
        <v>3</v>
      </c>
      <c r="Q65" s="437" t="s">
        <v>82</v>
      </c>
      <c r="R65" s="437" t="s">
        <v>82</v>
      </c>
      <c r="S65" s="437"/>
      <c r="T65" s="424" t="s">
        <v>82</v>
      </c>
      <c r="U65" s="424" t="s">
        <v>82</v>
      </c>
      <c r="V65" s="424"/>
      <c r="W65" s="424" t="s">
        <v>82</v>
      </c>
      <c r="X65" s="405" t="s">
        <v>82</v>
      </c>
      <c r="Y65" s="404"/>
      <c r="Z65" s="419"/>
    </row>
    <row r="66" spans="2:27" ht="120">
      <c r="B66" s="122">
        <v>39</v>
      </c>
      <c r="C66" s="123" t="s">
        <v>134</v>
      </c>
      <c r="D66" s="465">
        <v>2</v>
      </c>
      <c r="E66" s="124">
        <v>45856</v>
      </c>
      <c r="F66" s="125">
        <v>0.375</v>
      </c>
      <c r="G66" s="124">
        <v>45856</v>
      </c>
      <c r="H66" s="125">
        <v>0.68055555555555558</v>
      </c>
      <c r="I66" s="126">
        <f t="shared" si="12"/>
        <v>0.30555555555555558</v>
      </c>
      <c r="J66" s="100">
        <f t="shared" si="13"/>
        <v>0.61111111111111116</v>
      </c>
      <c r="K66" s="406" t="s">
        <v>226</v>
      </c>
      <c r="L66" s="128" t="s">
        <v>227</v>
      </c>
      <c r="M66" s="129" t="s">
        <v>138</v>
      </c>
      <c r="N66" s="130" t="s">
        <v>228</v>
      </c>
      <c r="O66" s="451">
        <v>2</v>
      </c>
      <c r="P66" s="440">
        <v>4</v>
      </c>
      <c r="Q66" s="437" t="s">
        <v>82</v>
      </c>
      <c r="R66" s="437"/>
      <c r="S66" s="437"/>
      <c r="T66" s="424"/>
      <c r="U66" s="424"/>
      <c r="V66" s="424"/>
      <c r="W66" s="424"/>
      <c r="X66" s="404"/>
      <c r="Y66" s="404"/>
      <c r="Z66" s="419"/>
    </row>
    <row r="67" spans="2:27" ht="120">
      <c r="B67" s="122">
        <v>40</v>
      </c>
      <c r="C67" s="123" t="s">
        <v>134</v>
      </c>
      <c r="D67" s="465">
        <v>2</v>
      </c>
      <c r="E67" s="124">
        <v>45859</v>
      </c>
      <c r="F67" s="125">
        <v>0.375</v>
      </c>
      <c r="G67" s="124">
        <v>45859</v>
      </c>
      <c r="H67" s="125">
        <v>0.6875</v>
      </c>
      <c r="I67" s="126">
        <f t="shared" si="12"/>
        <v>0.3125</v>
      </c>
      <c r="J67" s="100">
        <f t="shared" si="13"/>
        <v>0.625</v>
      </c>
      <c r="K67" s="406" t="s">
        <v>229</v>
      </c>
      <c r="L67" s="128" t="s">
        <v>230</v>
      </c>
      <c r="M67" s="129" t="s">
        <v>138</v>
      </c>
      <c r="N67" s="130" t="s">
        <v>231</v>
      </c>
      <c r="O67" s="451">
        <v>2</v>
      </c>
      <c r="P67" s="440">
        <v>2</v>
      </c>
      <c r="Q67" s="437" t="s">
        <v>82</v>
      </c>
      <c r="R67" s="437"/>
      <c r="S67" s="437"/>
      <c r="T67" s="424"/>
      <c r="U67" s="424"/>
      <c r="V67" s="424"/>
      <c r="W67" s="424"/>
      <c r="X67" s="404"/>
      <c r="Y67" s="404"/>
      <c r="Z67" s="419"/>
    </row>
    <row r="68" spans="2:27" ht="96">
      <c r="B68" s="122">
        <v>41</v>
      </c>
      <c r="C68" s="123" t="s">
        <v>134</v>
      </c>
      <c r="D68" s="465">
        <v>2</v>
      </c>
      <c r="E68" s="124">
        <v>45860</v>
      </c>
      <c r="F68" s="125">
        <v>0.375</v>
      </c>
      <c r="G68" s="124">
        <v>45860</v>
      </c>
      <c r="H68" s="125">
        <v>0.68055555555555558</v>
      </c>
      <c r="I68" s="126">
        <f t="shared" si="12"/>
        <v>0.30555555555555558</v>
      </c>
      <c r="J68" s="100">
        <f t="shared" si="13"/>
        <v>0.61111111111111116</v>
      </c>
      <c r="K68" s="406" t="s">
        <v>232</v>
      </c>
      <c r="L68" s="128" t="s">
        <v>233</v>
      </c>
      <c r="M68" s="129" t="s">
        <v>138</v>
      </c>
      <c r="N68" s="130" t="s">
        <v>234</v>
      </c>
      <c r="O68" s="451">
        <v>2</v>
      </c>
      <c r="P68" s="437" t="s">
        <v>82</v>
      </c>
      <c r="Q68" s="440">
        <v>2</v>
      </c>
      <c r="R68" s="437"/>
      <c r="S68" s="440">
        <v>1</v>
      </c>
      <c r="T68" s="424"/>
      <c r="U68" s="424"/>
      <c r="V68" s="424"/>
      <c r="W68" s="424"/>
      <c r="X68" s="404"/>
      <c r="Y68" s="404"/>
      <c r="Z68" s="419"/>
    </row>
    <row r="69" spans="2:27" ht="40.5" customHeight="1">
      <c r="B69" s="122">
        <v>42</v>
      </c>
      <c r="C69" s="123" t="s">
        <v>134</v>
      </c>
      <c r="D69" s="467">
        <v>1</v>
      </c>
      <c r="E69" s="124">
        <v>45881</v>
      </c>
      <c r="F69" s="125">
        <v>0.625</v>
      </c>
      <c r="G69" s="124">
        <v>45881</v>
      </c>
      <c r="H69" s="125">
        <v>0.64236111111111116</v>
      </c>
      <c r="I69" s="126">
        <f t="shared" si="12"/>
        <v>1.736111111111116E-2</v>
      </c>
      <c r="J69" s="100">
        <f t="shared" si="13"/>
        <v>1.736111111111116E-2</v>
      </c>
      <c r="K69" s="127">
        <v>7</v>
      </c>
      <c r="L69" s="128">
        <v>107</v>
      </c>
      <c r="M69" s="129" t="s">
        <v>138</v>
      </c>
      <c r="N69" s="130" t="s">
        <v>235</v>
      </c>
      <c r="O69" s="449" t="s">
        <v>185</v>
      </c>
      <c r="P69" s="437" t="s">
        <v>82</v>
      </c>
      <c r="Q69" s="437" t="s">
        <v>82</v>
      </c>
      <c r="R69" s="437" t="s">
        <v>82</v>
      </c>
      <c r="S69" s="437"/>
      <c r="T69" s="424" t="s">
        <v>82</v>
      </c>
      <c r="U69" s="424" t="s">
        <v>82</v>
      </c>
      <c r="V69" s="424"/>
      <c r="W69" s="424" t="s">
        <v>82</v>
      </c>
      <c r="X69" s="405" t="s">
        <v>82</v>
      </c>
      <c r="Y69" s="404"/>
      <c r="Z69" s="419"/>
    </row>
    <row r="70" spans="2:27" ht="81">
      <c r="B70" s="122">
        <v>43</v>
      </c>
      <c r="C70" s="123" t="s">
        <v>134</v>
      </c>
      <c r="D70" s="465">
        <v>2</v>
      </c>
      <c r="E70" s="124">
        <v>45887</v>
      </c>
      <c r="F70" s="125">
        <v>0.375</v>
      </c>
      <c r="G70" s="124">
        <v>45887</v>
      </c>
      <c r="H70" s="125">
        <v>0.68055555555555558</v>
      </c>
      <c r="I70" s="126">
        <f t="shared" si="12"/>
        <v>0.30555555555555558</v>
      </c>
      <c r="J70" s="100">
        <f t="shared" si="13"/>
        <v>0.61111111111111116</v>
      </c>
      <c r="K70" s="127" t="s">
        <v>236</v>
      </c>
      <c r="L70" s="128" t="s">
        <v>237</v>
      </c>
      <c r="M70" s="129" t="s">
        <v>138</v>
      </c>
      <c r="N70" s="130" t="s">
        <v>238</v>
      </c>
      <c r="O70" s="451">
        <f t="shared" ref="O70:O73" si="16">D70</f>
        <v>2</v>
      </c>
      <c r="P70" s="437" t="s">
        <v>82</v>
      </c>
      <c r="Q70" s="437" t="s">
        <v>82</v>
      </c>
      <c r="R70" s="437" t="s">
        <v>82</v>
      </c>
      <c r="S70" s="437"/>
      <c r="T70" s="424" t="s">
        <v>82</v>
      </c>
      <c r="U70" s="424" t="s">
        <v>82</v>
      </c>
      <c r="V70" s="424"/>
      <c r="W70" s="424" t="s">
        <v>82</v>
      </c>
      <c r="X70" s="405" t="s">
        <v>82</v>
      </c>
      <c r="Y70" s="404"/>
      <c r="Z70" s="419"/>
    </row>
    <row r="71" spans="2:27" ht="41.25">
      <c r="B71" s="122">
        <v>44</v>
      </c>
      <c r="C71" s="123" t="s">
        <v>134</v>
      </c>
      <c r="D71" s="465">
        <v>2</v>
      </c>
      <c r="E71" s="124">
        <v>45889</v>
      </c>
      <c r="F71" s="125">
        <v>0.375</v>
      </c>
      <c r="G71" s="124">
        <v>45889</v>
      </c>
      <c r="H71" s="125">
        <v>0.6875</v>
      </c>
      <c r="I71" s="126">
        <f t="shared" si="12"/>
        <v>0.3125</v>
      </c>
      <c r="J71" s="100">
        <f t="shared" si="13"/>
        <v>0.625</v>
      </c>
      <c r="K71" s="127">
        <v>5</v>
      </c>
      <c r="L71" s="128" t="s">
        <v>239</v>
      </c>
      <c r="M71" s="129" t="s">
        <v>138</v>
      </c>
      <c r="N71" s="130" t="s">
        <v>240</v>
      </c>
      <c r="O71" s="451">
        <f t="shared" si="16"/>
        <v>2</v>
      </c>
      <c r="P71" s="437" t="s">
        <v>82</v>
      </c>
      <c r="Q71" s="437" t="s">
        <v>82</v>
      </c>
      <c r="R71" s="437" t="s">
        <v>82</v>
      </c>
      <c r="S71" s="437"/>
      <c r="T71" s="424" t="s">
        <v>82</v>
      </c>
      <c r="U71" s="424" t="s">
        <v>82</v>
      </c>
      <c r="V71" s="424"/>
      <c r="W71" s="424" t="s">
        <v>82</v>
      </c>
      <c r="X71" s="405" t="s">
        <v>82</v>
      </c>
      <c r="Y71" s="404"/>
      <c r="Z71" s="419"/>
    </row>
    <row r="72" spans="2:27" ht="81">
      <c r="B72" s="122">
        <v>45</v>
      </c>
      <c r="C72" s="123" t="s">
        <v>134</v>
      </c>
      <c r="D72" s="465">
        <v>2</v>
      </c>
      <c r="E72" s="124">
        <v>45890</v>
      </c>
      <c r="F72" s="125">
        <v>0.375</v>
      </c>
      <c r="G72" s="124">
        <v>45890</v>
      </c>
      <c r="H72" s="125">
        <v>0.6875</v>
      </c>
      <c r="I72" s="126">
        <f t="shared" si="12"/>
        <v>0.3125</v>
      </c>
      <c r="J72" s="100">
        <f t="shared" si="13"/>
        <v>0.625</v>
      </c>
      <c r="K72" s="127" t="s">
        <v>83</v>
      </c>
      <c r="L72" s="128" t="s">
        <v>241</v>
      </c>
      <c r="M72" s="129" t="s">
        <v>138</v>
      </c>
      <c r="N72" s="130" t="s">
        <v>242</v>
      </c>
      <c r="O72" s="451">
        <f t="shared" si="16"/>
        <v>2</v>
      </c>
      <c r="P72" s="437" t="s">
        <v>82</v>
      </c>
      <c r="Q72" s="440">
        <v>6</v>
      </c>
      <c r="R72" s="437" t="s">
        <v>82</v>
      </c>
      <c r="S72" s="437"/>
      <c r="T72" s="424" t="s">
        <v>82</v>
      </c>
      <c r="U72" s="424" t="s">
        <v>82</v>
      </c>
      <c r="V72" s="424"/>
      <c r="W72" s="424" t="s">
        <v>82</v>
      </c>
      <c r="X72" s="405" t="s">
        <v>82</v>
      </c>
      <c r="Y72" s="404"/>
      <c r="Z72" s="419"/>
    </row>
    <row r="73" spans="2:27" ht="42" thickBot="1">
      <c r="B73" s="122">
        <v>46</v>
      </c>
      <c r="C73" s="123" t="s">
        <v>134</v>
      </c>
      <c r="D73" s="465">
        <v>2</v>
      </c>
      <c r="E73" s="124">
        <v>45891</v>
      </c>
      <c r="F73" s="125">
        <v>0.375</v>
      </c>
      <c r="G73" s="124">
        <v>45891</v>
      </c>
      <c r="H73" s="125">
        <v>0.69444444444444442</v>
      </c>
      <c r="I73" s="126">
        <f t="shared" si="12"/>
        <v>0.31944444444444442</v>
      </c>
      <c r="J73" s="100">
        <f t="shared" si="13"/>
        <v>0.63888888888888884</v>
      </c>
      <c r="K73" s="127">
        <v>5</v>
      </c>
      <c r="L73" s="128" t="s">
        <v>239</v>
      </c>
      <c r="M73" s="129" t="s">
        <v>138</v>
      </c>
      <c r="N73" s="130" t="s">
        <v>243</v>
      </c>
      <c r="O73" s="451">
        <f t="shared" si="16"/>
        <v>2</v>
      </c>
      <c r="P73" s="438" t="s">
        <v>82</v>
      </c>
      <c r="Q73" s="439" t="s">
        <v>82</v>
      </c>
      <c r="R73" s="439" t="s">
        <v>82</v>
      </c>
      <c r="S73" s="439"/>
      <c r="T73" s="405" t="s">
        <v>82</v>
      </c>
      <c r="U73" s="405" t="s">
        <v>82</v>
      </c>
      <c r="V73" s="404"/>
      <c r="W73" s="405" t="s">
        <v>82</v>
      </c>
      <c r="X73" s="405" t="s">
        <v>82</v>
      </c>
      <c r="Y73" s="404"/>
      <c r="Z73" s="419"/>
    </row>
    <row r="74" spans="2:27" ht="67.5" thickBot="1">
      <c r="B74" s="490" t="s">
        <v>210</v>
      </c>
      <c r="C74" s="491"/>
      <c r="D74" s="466">
        <f>SUM(D62:D73)</f>
        <v>23</v>
      </c>
      <c r="E74" s="346"/>
      <c r="F74" s="347"/>
      <c r="G74" s="346"/>
      <c r="H74" s="347"/>
      <c r="I74" s="398">
        <f>SUM(I41:I73)</f>
        <v>14.239583333333332</v>
      </c>
      <c r="J74" s="398">
        <f>SUM(J41:J73)</f>
        <v>28.420138888888886</v>
      </c>
      <c r="K74" s="348"/>
      <c r="L74" s="349"/>
      <c r="M74" s="348"/>
      <c r="N74" s="350"/>
      <c r="O74" s="421">
        <f>SUM(O62:O73)</f>
        <v>19.5</v>
      </c>
      <c r="P74" s="441">
        <f>SUM(P62:P73)-3.73</f>
        <v>20.27</v>
      </c>
      <c r="Q74" s="441">
        <f t="shared" ref="Q74:V74" si="17">SUM(Q62:Q73)</f>
        <v>17</v>
      </c>
      <c r="R74" s="441">
        <f t="shared" si="17"/>
        <v>3</v>
      </c>
      <c r="S74" s="441">
        <f t="shared" si="17"/>
        <v>1</v>
      </c>
      <c r="T74" s="422">
        <f t="shared" si="17"/>
        <v>0</v>
      </c>
      <c r="U74" s="422">
        <f t="shared" si="17"/>
        <v>0</v>
      </c>
      <c r="V74" s="422">
        <f t="shared" si="17"/>
        <v>0</v>
      </c>
      <c r="W74" s="351">
        <f>SUM(W73:W73)</f>
        <v>0</v>
      </c>
      <c r="X74" s="351">
        <f>SUM(X73:X73)</f>
        <v>0</v>
      </c>
      <c r="Y74" s="351">
        <f>SUM(Y73:Y73)</f>
        <v>0</v>
      </c>
      <c r="Z74" s="444" t="s">
        <v>246</v>
      </c>
      <c r="AA74" s="131"/>
    </row>
    <row r="75" spans="2:27" ht="66.75" thickBot="1">
      <c r="B75" s="452"/>
      <c r="C75" s="453"/>
      <c r="D75" s="454"/>
      <c r="E75" s="455"/>
      <c r="F75" s="456"/>
      <c r="G75" s="455"/>
      <c r="H75" s="456"/>
      <c r="I75" s="457"/>
      <c r="J75" s="458"/>
      <c r="K75" s="459"/>
      <c r="L75" s="460"/>
      <c r="M75" s="453"/>
      <c r="N75" s="461"/>
      <c r="O75" s="508">
        <f>O74-D74</f>
        <v>-3.5</v>
      </c>
      <c r="P75" s="508" t="s">
        <v>250</v>
      </c>
      <c r="Q75" s="462"/>
      <c r="R75" s="462"/>
      <c r="S75" s="462"/>
      <c r="T75" s="462"/>
      <c r="U75" s="462"/>
      <c r="V75" s="463"/>
      <c r="W75" s="462"/>
      <c r="X75" s="462"/>
      <c r="Y75" s="463"/>
      <c r="Z75" s="464"/>
    </row>
  </sheetData>
  <mergeCells count="16">
    <mergeCell ref="N3:N4"/>
    <mergeCell ref="O3:O4"/>
    <mergeCell ref="B74:C74"/>
    <mergeCell ref="B59:C59"/>
    <mergeCell ref="Z3:Z4"/>
    <mergeCell ref="B3:B4"/>
    <mergeCell ref="C3:C4"/>
    <mergeCell ref="D3:D4"/>
    <mergeCell ref="E3:F3"/>
    <mergeCell ref="G3:H3"/>
    <mergeCell ref="K3:K4"/>
    <mergeCell ref="B46:C46"/>
    <mergeCell ref="P3:Y3"/>
    <mergeCell ref="B26:C26"/>
    <mergeCell ref="L3:L4"/>
    <mergeCell ref="M3:M4"/>
  </mergeCells>
  <phoneticPr fontId="9" type="noConversion"/>
  <pageMargins left="0.7" right="0.7" top="0.75" bottom="0.75" header="0.3" footer="0.3"/>
  <pageSetup paperSize="9" scale="36"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vt:lpstr>
      <vt:lpstr>관리소 접수 입력-5차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2025-10-17T03:41:24Z</dcterms:modified>
</cp:coreProperties>
</file>
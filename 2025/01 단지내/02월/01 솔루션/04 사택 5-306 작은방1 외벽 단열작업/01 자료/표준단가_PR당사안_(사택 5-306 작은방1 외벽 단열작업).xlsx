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16\06 작업폴더\02 사택 5-306 작은방1 외벽 단열작업\01 자료\"/>
    </mc:Choice>
  </mc:AlternateContent>
  <xr:revisionPtr revIDLastSave="0" documentId="13_ncr:1_{3C575D50-961D-499C-A423-9AD9D4651EBA}" xr6:coauthVersionLast="47" xr6:coauthVersionMax="47" xr10:uidLastSave="{00000000-0000-0000-0000-000000000000}"/>
  <bookViews>
    <workbookView xWindow="2730" yWindow="675" windowWidth="14490" windowHeight="15525" xr2:uid="{00000000-000D-0000-FFFF-FFFF00000000}"/>
  </bookViews>
  <sheets>
    <sheet name="PR당사안" sheetId="18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18"/>
  <c r="J19" i="18"/>
  <c r="J29" i="18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F3" i="1"/>
  <c r="E3" i="1"/>
  <c r="D3" i="1"/>
  <c r="C3" i="1"/>
  <c r="B3" i="1"/>
  <c r="A8" i="4"/>
  <c r="A10" i="4"/>
  <c r="A7" i="1" s="1"/>
  <c r="A9" i="4"/>
  <c r="A6" i="1" s="1"/>
  <c r="A7" i="4"/>
  <c r="A4" i="1" s="1"/>
  <c r="A6" i="4"/>
  <c r="A3" i="1" s="1"/>
  <c r="A11" i="4"/>
  <c r="S11" i="4"/>
  <c r="U11" i="4"/>
  <c r="J24" i="18" l="1"/>
  <c r="J25" i="18"/>
  <c r="J27" i="18" s="1"/>
  <c r="J23" i="18"/>
  <c r="J26" i="18"/>
  <c r="V11" i="4"/>
  <c r="Q6" i="4" l="1"/>
  <c r="Q10" i="4"/>
  <c r="U9" i="4"/>
  <c r="S9" i="4"/>
  <c r="Q9" i="4"/>
  <c r="O9" i="4"/>
  <c r="U7" i="4"/>
  <c r="S7" i="4"/>
  <c r="Q7" i="4"/>
  <c r="O7" i="4"/>
  <c r="U5" i="4"/>
  <c r="S5" i="4"/>
  <c r="Q5" i="4"/>
  <c r="V5" i="4" l="1"/>
  <c r="V7" i="4"/>
  <c r="V9" i="4"/>
  <c r="U10" i="4" l="1"/>
  <c r="S10" i="4"/>
  <c r="O10" i="4"/>
  <c r="U6" i="4"/>
  <c r="S6" i="4"/>
  <c r="O6" i="4"/>
  <c r="V10" i="4" l="1"/>
  <c r="V6" i="4"/>
  <c r="A5" i="4" l="1"/>
  <c r="F2" i="1" l="1"/>
  <c r="E2" i="1"/>
  <c r="D2" i="1"/>
  <c r="C2" i="1"/>
  <c r="B2" i="1"/>
  <c r="U13" i="4" l="1"/>
  <c r="Q13" i="4"/>
  <c r="S13" i="4" l="1"/>
  <c r="V13" i="4" l="1"/>
  <c r="O13" i="4" l="1"/>
  <c r="J18" i="18" s="1"/>
  <c r="J22" i="18" l="1"/>
  <c r="J28" i="18" s="1"/>
  <c r="J20" i="18" s="1"/>
  <c r="J30" i="18" l="1"/>
  <c r="J31" i="18" s="1"/>
  <c r="M32" i="18" s="1"/>
  <c r="B15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<sst xmlns="http://schemas.openxmlformats.org/spreadsheetml/2006/main" count="163" uniqueCount="137">
  <si>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</si>
  <si>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</si>
  <si>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</si>
  <si>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</si>
  <si>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</si>
  <si>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</si>
  <si>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</si>
  <si>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</si>
  <si>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</si>
  <si>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</si>
  <si>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</si>
  <si>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</si>
  <si>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</si>
  <si>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</si>
  <si>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</si>
  <si>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</si>
  <si>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</si>
  <si>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</si>
  <si>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</si>
  <si>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</si>
  <si>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</si>
  <si>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</si>
  <si>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</si>
  <si>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</si>
  <si>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</si>
  <si>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</si>
  <si>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철근콘크리트조</t>
  </si>
  <si>
    <t>D02339</t>
  </si>
  <si>
    <t>폐기물처리('20년 표준단가 C12200)</t>
    <phoneticPr fontId="11" type="noConversion"/>
  </si>
  <si>
    <t>사업장 일반 폐기물</t>
    <phoneticPr fontId="11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</si>
  <si>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</si>
  <si>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</si>
  <si>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</si>
  <si>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</si>
  <si>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</si>
  <si>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</si>
  <si>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</si>
  <si>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제 1호표  건축물 현장정리</t>
    <phoneticPr fontId="11" type="noConversion"/>
  </si>
  <si>
    <t>특별인부, 시중노임단가</t>
    <phoneticPr fontId="11" type="noConversion"/>
  </si>
  <si>
    <t>제 2호표  석고판(나사고정) 설치</t>
    <phoneticPr fontId="11" type="noConversion"/>
  </si>
  <si>
    <t>붙박이장 설치 및 부자재 포함</t>
    <phoneticPr fontId="11" type="noConversion"/>
  </si>
  <si>
    <t>인</t>
    <phoneticPr fontId="11" type="noConversion"/>
  </si>
  <si>
    <t>L003</t>
    <phoneticPr fontId="11" type="noConversion"/>
  </si>
  <si>
    <t>태화론 TW-06(단면)</t>
    <phoneticPr fontId="11" type="noConversion"/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</si>
  <si>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</si>
  <si>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</si>
  <si>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</si>
  <si>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</si>
  <si>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</si>
  <si>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</si>
  <si>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</si>
  <si>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</si>
  <si>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</si>
  <si>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</si>
  <si>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</si>
  <si>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</si>
  <si>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</si>
  <si>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</si>
  <si>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</si>
  <si>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</si>
  <si>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</si>
  <si>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</si>
  <si>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연면적 ㎡</t>
  </si>
  <si>
    <t>㎡</t>
  </si>
  <si>
    <t>M011900900300401</t>
  </si>
  <si>
    <t>50㎜, 밀도 #120, 1m(길이)×0.5m(폭)</t>
  </si>
  <si>
    <r>
      <t>미네랄울보온판</t>
    </r>
    <r>
      <rPr>
        <sz val="9"/>
        <color rgb="FFFF0000"/>
        <rFont val="Malgun Gothic"/>
        <family val="3"/>
        <charset val="129"/>
      </rPr>
      <t>(이보드 34t 적용)</t>
    </r>
    <phoneticPr fontId="11" type="noConversion"/>
  </si>
  <si>
    <t>작은방 붙박이장 철거 및 외벽 마감재 철거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</si>
  <si>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</si>
  <si>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</si>
  <si>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</si>
  <si>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</si>
  <si>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</si>
  <si>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</si>
  <si>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</si>
  <si>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</si>
  <si>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</si>
  <si>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</si>
  <si>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</si>
  <si>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</si>
  <si>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</si>
  <si>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</si>
  <si>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</si>
  <si>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</si>
  <si>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</si>
  <si>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</si>
  <si>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</si>
  <si>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</si>
  <si>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</si>
  <si>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</si>
  <si>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</si>
  <si>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</si>
  <si>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</si>
  <si>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</si>
  <si>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</si>
  <si>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</si>
  <si>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</si>
  <si>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9" type="noConversion"/>
  </si>
  <si>
    <t>구          분</t>
    <phoneticPr fontId="49" type="noConversion"/>
  </si>
  <si>
    <t>수량</t>
    <phoneticPr fontId="49" type="noConversion"/>
  </si>
  <si>
    <t>단위</t>
    <phoneticPr fontId="49" type="noConversion"/>
  </si>
  <si>
    <t>금    액</t>
    <phoneticPr fontId="49" type="noConversion"/>
  </si>
  <si>
    <t>비    고</t>
    <phoneticPr fontId="49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</si>
  <si>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</si>
  <si>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</si>
  <si>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</si>
  <si>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</si>
  <si>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</si>
  <si>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</si>
  <si>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</si>
  <si>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</si>
  <si>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</si>
  <si>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</si>
  <si>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</si>
  <si>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</si>
  <si>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</si>
  <si>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</si>
  <si>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</si>
  <si>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</si>
  <si>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</si>
  <si>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</si>
  <si>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</si>
  <si>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</si>
  <si>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</si>
  <si>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</si>
  <si>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</si>
  <si>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</si>
  <si>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</si>
  <si>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</si>
  <si>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</si>
  <si>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</si>
  <si>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</si>
  <si>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5-306 작은방1 외벽 단열작업</t>
  </si>
  <si>
    <t>대전 업무지원팀 / 김규환님 귀하</t>
  </si>
  <si>
    <t>▶ 표준 Code(표준단가/품셈/물정/노임 순서별 입력(Upload 자동반영</t>
  </si>
  <si>
    <t>기타경비(부자재비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</si>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</sst>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0.0_ "/>
    <numFmt numFmtId="185" formatCode="&quot;공사명:&quot;\ @"/>
    <numFmt numFmtId="186" formatCode="0.000"/>
  </numFmts>
  <fonts count="5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8">
    <xf numFmtId="0" fontId="0" fillId="0" borderId="0" xfId="0">
      <alignment vertical="center"/>
    </xf>
    <xf numFmtId="0" fontId="29" fillId="0" borderId="0" xfId="23" applyFont="1">
      <alignment vertical="center"/>
    </xf>
    <xf numFmtId="0" fontId="30" fillId="0" borderId="0" xfId="23" applyFont="1">
      <alignment vertical="center"/>
    </xf>
    <xf numFmtId="0" fontId="29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1" fillId="5" borderId="0" xfId="23" applyFont="1" applyFill="1" applyAlignment="1">
      <alignment horizontal="center" vertical="center"/>
    </xf>
    <xf numFmtId="0" fontId="28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/>
    </xf>
    <xf numFmtId="182" fontId="22" fillId="5" borderId="2" xfId="1" applyNumberFormat="1" applyFont="1" applyFill="1" applyBorder="1" applyAlignment="1">
      <alignment horizontal="center" vertical="center"/>
    </xf>
    <xf numFmtId="0" fontId="22" fillId="5" borderId="2" xfId="0" applyFont="1" applyFill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83" fontId="32" fillId="5" borderId="2" xfId="0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2" fillId="0" borderId="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176" fontId="22" fillId="0" borderId="2" xfId="1" applyFont="1" applyFill="1" applyBorder="1" applyAlignment="1">
      <alignment horizontal="center" vertical="center"/>
    </xf>
    <xf numFmtId="182" fontId="32" fillId="0" borderId="2" xfId="1" applyNumberFormat="1" applyFont="1" applyFill="1" applyBorder="1" applyAlignment="1">
      <alignment horizontal="center" vertical="center"/>
    </xf>
    <xf numFmtId="176" fontId="22" fillId="6" borderId="5" xfId="1" applyFont="1" applyFill="1" applyBorder="1" applyAlignment="1">
      <alignment horizontal="center"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49" fontId="33" fillId="7" borderId="0" xfId="0" applyNumberFormat="1" applyFont="1" applyFill="1" applyBorder="1" applyAlignment="1">
      <alignment horizontal="center" vertical="center"/>
    </xf>
    <xf numFmtId="49" fontId="33" fillId="5" borderId="0" xfId="0" applyNumberFormat="1" applyFont="1" applyFill="1" applyBorder="1" applyAlignment="1">
      <alignment horizontal="center" vertical="center"/>
    </xf>
    <xf numFmtId="176" fontId="34" fillId="5" borderId="0" xfId="1" applyFont="1" applyFill="1" applyBorder="1" applyAlignment="1">
      <alignment horizontal="center" vertical="center" wrapText="1"/>
    </xf>
    <xf numFmtId="184" fontId="22" fillId="0" borderId="1" xfId="1" applyNumberFormat="1" applyFont="1" applyBorder="1" applyAlignment="1">
      <alignment horizontal="center" vertical="center"/>
    </xf>
    <xf numFmtId="0" fontId="37" fillId="0" borderId="0" xfId="30" applyFont="1">
      <alignment vertical="center"/>
    </xf>
    <xf numFmtId="0" fontId="36" fillId="0" borderId="16" xfId="29" applyFont="1" applyBorder="1" applyAlignment="1">
      <alignment horizontal="center" vertical="center"/>
    </xf>
    <xf numFmtId="0" fontId="36" fillId="0" borderId="0" xfId="29" applyFont="1" applyAlignment="1">
      <alignment horizontal="center" vertical="center"/>
    </xf>
    <xf numFmtId="0" fontId="36" fillId="0" borderId="17" xfId="29" applyFont="1" applyBorder="1" applyAlignment="1">
      <alignment horizontal="center" vertical="center"/>
    </xf>
    <xf numFmtId="0" fontId="39" fillId="0" borderId="16" xfId="29" applyFont="1" applyBorder="1" applyAlignment="1">
      <alignment horizontal="left" vertical="center"/>
    </xf>
    <xf numFmtId="0" fontId="40" fillId="0" borderId="0" xfId="29" applyFont="1" applyAlignment="1">
      <alignment vertical="center"/>
    </xf>
    <xf numFmtId="0" fontId="40" fillId="0" borderId="0" xfId="29" applyFont="1" applyAlignment="1">
      <alignment horizontal="left" vertical="center" textRotation="1"/>
    </xf>
    <xf numFmtId="0" fontId="41" fillId="0" borderId="0" xfId="29" applyFont="1" applyAlignment="1">
      <alignment horizontal="centerContinuous" vertical="center"/>
    </xf>
    <xf numFmtId="0" fontId="41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2"/>
    </xf>
    <xf numFmtId="0" fontId="37" fillId="0" borderId="18" xfId="29" applyFont="1" applyBorder="1" applyAlignment="1">
      <alignment vertical="center"/>
    </xf>
    <xf numFmtId="0" fontId="37" fillId="0" borderId="0" xfId="29" applyFont="1" applyAlignment="1">
      <alignment vertical="center"/>
    </xf>
    <xf numFmtId="0" fontId="41" fillId="0" borderId="17" xfId="29" applyFont="1" applyBorder="1" applyAlignment="1">
      <alignment horizontal="right" vertical="center"/>
    </xf>
    <xf numFmtId="0" fontId="42" fillId="0" borderId="16" xfId="29" applyFont="1" applyBorder="1" applyAlignment="1">
      <alignment vertical="center"/>
    </xf>
    <xf numFmtId="0" fontId="42" fillId="0" borderId="0" xfId="29" applyFont="1" applyAlignment="1">
      <alignment vertical="center"/>
    </xf>
    <xf numFmtId="0" fontId="41" fillId="0" borderId="0" xfId="29" applyFont="1" applyAlignment="1">
      <alignment horizontal="right" vertical="center"/>
    </xf>
    <xf numFmtId="0" fontId="42" fillId="0" borderId="17" xfId="29" applyFont="1" applyBorder="1" applyAlignment="1">
      <alignment vertical="center"/>
    </xf>
    <xf numFmtId="0" fontId="37" fillId="0" borderId="20" xfId="29" applyFont="1" applyBorder="1" applyAlignment="1">
      <alignment horizontal="center" vertical="center"/>
    </xf>
    <xf numFmtId="0" fontId="37" fillId="0" borderId="21" xfId="29" applyFont="1" applyBorder="1" applyAlignment="1">
      <alignment horizontal="center" vertical="center"/>
    </xf>
    <xf numFmtId="0" fontId="37" fillId="0" borderId="6" xfId="29" applyFont="1" applyBorder="1" applyAlignment="1">
      <alignment horizontal="center" vertical="center"/>
    </xf>
    <xf numFmtId="0" fontId="37" fillId="0" borderId="23" xfId="29" applyFont="1" applyBorder="1" applyAlignment="1">
      <alignment horizontal="center" vertical="center"/>
    </xf>
    <xf numFmtId="0" fontId="37" fillId="0" borderId="2" xfId="29" applyFont="1" applyBorder="1" applyAlignment="1">
      <alignment horizontal="center" vertical="center"/>
    </xf>
    <xf numFmtId="0" fontId="45" fillId="0" borderId="8" xfId="29" applyFont="1" applyBorder="1" applyAlignment="1">
      <alignment horizontal="center" vertical="center"/>
    </xf>
    <xf numFmtId="0" fontId="37" fillId="0" borderId="31" xfId="29" applyFont="1" applyBorder="1" applyAlignment="1">
      <alignment horizontal="center" vertical="center"/>
    </xf>
    <xf numFmtId="0" fontId="37" fillId="0" borderId="32" xfId="29" applyFont="1" applyBorder="1" applyAlignment="1">
      <alignment horizontal="center" vertical="center"/>
    </xf>
    <xf numFmtId="0" fontId="37" fillId="0" borderId="16" xfId="29" applyFont="1" applyBorder="1" applyAlignment="1">
      <alignment horizontal="center" vertical="center"/>
    </xf>
    <xf numFmtId="0" fontId="37" fillId="0" borderId="0" xfId="29" applyFont="1" applyAlignment="1">
      <alignment horizontal="center" vertical="center"/>
    </xf>
    <xf numFmtId="0" fontId="37" fillId="0" borderId="0" xfId="29" applyFont="1" applyAlignment="1">
      <alignment horizontal="left" vertical="center" indent="1"/>
    </xf>
    <xf numFmtId="0" fontId="41" fillId="0" borderId="0" xfId="29" applyFont="1" applyAlignment="1">
      <alignment vertical="center"/>
    </xf>
    <xf numFmtId="0" fontId="37" fillId="0" borderId="16" xfId="29" applyFont="1" applyBorder="1" applyAlignment="1">
      <alignment vertical="center"/>
    </xf>
    <xf numFmtId="0" fontId="37" fillId="0" borderId="17" xfId="29" applyFont="1" applyBorder="1" applyAlignment="1">
      <alignment vertical="center"/>
    </xf>
    <xf numFmtId="0" fontId="42" fillId="0" borderId="16" xfId="29" applyFont="1" applyBorder="1" applyAlignment="1">
      <alignment horizontal="left" vertical="center" indent="1"/>
    </xf>
    <xf numFmtId="0" fontId="47" fillId="0" borderId="0" xfId="29" applyFont="1" applyAlignment="1">
      <alignment vertical="center"/>
    </xf>
    <xf numFmtId="0" fontId="47" fillId="12" borderId="33" xfId="29" applyFont="1" applyFill="1" applyBorder="1" applyAlignment="1">
      <alignment horizontal="center" vertical="center"/>
    </xf>
    <xf numFmtId="0" fontId="47" fillId="12" borderId="34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0" fontId="37" fillId="0" borderId="38" xfId="29" applyFont="1" applyBorder="1" applyAlignment="1">
      <alignment horizontal="center" vertical="center"/>
    </xf>
    <xf numFmtId="0" fontId="37" fillId="0" borderId="42" xfId="29" applyFont="1" applyBorder="1" applyAlignment="1">
      <alignment horizontal="center" vertical="center"/>
    </xf>
    <xf numFmtId="0" fontId="37" fillId="0" borderId="48" xfId="32" applyFont="1" applyBorder="1" applyAlignment="1">
      <alignment horizontal="center" vertical="center"/>
    </xf>
    <xf numFmtId="176" fontId="37" fillId="0" borderId="0" xfId="30" applyNumberFormat="1" applyFont="1">
      <alignment vertical="center"/>
    </xf>
    <xf numFmtId="0" fontId="37" fillId="0" borderId="52" xfId="32" applyFont="1" applyBorder="1" applyAlignment="1">
      <alignment horizontal="left" vertical="center" wrapText="1" indent="1"/>
    </xf>
    <xf numFmtId="0" fontId="41" fillId="0" borderId="57" xfId="32" applyFont="1" applyBorder="1" applyAlignment="1">
      <alignment horizontal="center" vertical="center"/>
    </xf>
    <xf numFmtId="186" fontId="41" fillId="0" borderId="57" xfId="32" applyNumberFormat="1" applyFont="1" applyBorder="1" applyAlignment="1">
      <alignment horizontal="center" vertical="center"/>
    </xf>
    <xf numFmtId="177" fontId="37" fillId="0" borderId="0" xfId="30" applyNumberFormat="1" applyFont="1">
      <alignment vertical="center"/>
    </xf>
    <xf numFmtId="2" fontId="41" fillId="0" borderId="59" xfId="32" applyNumberFormat="1" applyFont="1" applyBorder="1" applyAlignment="1">
      <alignment horizontal="center" vertical="center"/>
    </xf>
    <xf numFmtId="0" fontId="41" fillId="0" borderId="62" xfId="32" applyFont="1" applyBorder="1" applyAlignment="1">
      <alignment horizontal="center" vertical="center"/>
    </xf>
    <xf numFmtId="0" fontId="37" fillId="0" borderId="64" xfId="29" applyFont="1" applyBorder="1" applyAlignment="1">
      <alignment horizontal="center" vertical="center"/>
    </xf>
    <xf numFmtId="0" fontId="37" fillId="0" borderId="65" xfId="32" applyFont="1" applyBorder="1" applyAlignment="1">
      <alignment horizontal="left" vertical="center" wrapText="1" indent="1"/>
    </xf>
    <xf numFmtId="1" fontId="41" fillId="0" borderId="66" xfId="32" applyNumberFormat="1" applyFont="1" applyBorder="1" applyAlignment="1">
      <alignment horizontal="center" vertical="center"/>
    </xf>
    <xf numFmtId="0" fontId="41" fillId="0" borderId="66" xfId="32" applyFont="1" applyBorder="1" applyAlignment="1">
      <alignment horizontal="center" vertical="center"/>
    </xf>
    <xf numFmtId="0" fontId="41" fillId="0" borderId="70" xfId="32" applyFont="1" applyBorder="1" applyAlignment="1">
      <alignment horizontal="center" vertical="center"/>
    </xf>
    <xf numFmtId="176" fontId="37" fillId="0" borderId="0" xfId="33" applyFont="1">
      <alignment vertical="center"/>
    </xf>
    <xf numFmtId="176" fontId="51" fillId="13" borderId="35" xfId="29" applyNumberFormat="1" applyFont="1" applyFill="1" applyBorder="1" applyAlignment="1">
      <alignment horizontal="right" vertical="center"/>
    </xf>
    <xf numFmtId="0" fontId="51" fillId="13" borderId="35" xfId="29" applyFont="1" applyFill="1" applyBorder="1" applyAlignment="1">
      <alignment horizontal="right" vertical="center"/>
    </xf>
    <xf numFmtId="176" fontId="51" fillId="13" borderId="72" xfId="33" applyFont="1" applyFill="1" applyBorder="1" applyAlignment="1">
      <alignment horizontal="right" vertical="center"/>
    </xf>
    <xf numFmtId="179" fontId="37" fillId="0" borderId="0" xfId="35" applyFont="1" applyAlignment="1">
      <alignment vertical="center"/>
    </xf>
    <xf numFmtId="49" fontId="41" fillId="0" borderId="16" xfId="29" applyNumberFormat="1" applyFont="1" applyBorder="1" applyAlignment="1">
      <alignment horizontal="left" vertical="center" indent="1"/>
    </xf>
    <xf numFmtId="49" fontId="37" fillId="0" borderId="0" xfId="29" applyNumberFormat="1" applyFont="1" applyAlignment="1">
      <alignment vertical="center"/>
    </xf>
    <xf numFmtId="49" fontId="37" fillId="0" borderId="17" xfId="29" applyNumberFormat="1" applyFont="1" applyBorder="1" applyAlignment="1">
      <alignment vertical="center"/>
    </xf>
    <xf numFmtId="49" fontId="37" fillId="0" borderId="16" xfId="29" applyNumberFormat="1" applyFont="1" applyBorder="1" applyAlignment="1">
      <alignment vertical="center"/>
    </xf>
    <xf numFmtId="0" fontId="42" fillId="0" borderId="0" xfId="32" applyFont="1" applyAlignment="1">
      <alignment horizontal="left" vertical="center"/>
    </xf>
    <xf numFmtId="0" fontId="42" fillId="0" borderId="17" xfId="32" applyFont="1" applyBorder="1" applyAlignment="1">
      <alignment horizontal="left" vertical="center"/>
    </xf>
    <xf numFmtId="49" fontId="37" fillId="0" borderId="74" xfId="29" applyNumberFormat="1" applyFont="1" applyBorder="1" applyAlignment="1">
      <alignment vertical="center"/>
    </xf>
    <xf numFmtId="49" fontId="37" fillId="0" borderId="75" xfId="29" applyNumberFormat="1" applyFont="1" applyBorder="1" applyAlignment="1">
      <alignment vertical="center"/>
    </xf>
    <xf numFmtId="49" fontId="37" fillId="0" borderId="76" xfId="29" applyNumberFormat="1" applyFont="1" applyBorder="1" applyAlignment="1">
      <alignment vertical="center"/>
    </xf>
    <xf numFmtId="0" fontId="42" fillId="0" borderId="18" xfId="29" applyFont="1" applyFill="1" applyBorder="1" applyAlignment="1">
      <alignment vertical="center"/>
    </xf>
    <xf numFmtId="0" fontId="37" fillId="0" borderId="18" xfId="29" applyFont="1" applyFill="1" applyBorder="1" applyAlignment="1">
      <alignment vertical="center"/>
    </xf>
    <xf numFmtId="0" fontId="37" fillId="0" borderId="19" xfId="29" applyFont="1" applyFill="1" applyBorder="1" applyAlignment="1">
      <alignment horizontal="right" vertical="center"/>
    </xf>
    <xf numFmtId="0" fontId="37" fillId="0" borderId="20" xfId="29" applyFont="1" applyFill="1" applyBorder="1" applyAlignment="1">
      <alignment horizontal="center" vertical="center"/>
    </xf>
    <xf numFmtId="0" fontId="37" fillId="0" borderId="39" xfId="32" applyFont="1" applyFill="1" applyBorder="1" applyAlignment="1">
      <alignment horizontal="center" vertical="center"/>
    </xf>
    <xf numFmtId="0" fontId="37" fillId="0" borderId="41" xfId="32" applyFont="1" applyFill="1" applyBorder="1" applyAlignment="1">
      <alignment horizontal="center" vertical="center"/>
    </xf>
    <xf numFmtId="0" fontId="37" fillId="0" borderId="46" xfId="32" applyFont="1" applyFill="1" applyBorder="1" applyAlignment="1">
      <alignment horizontal="center" vertical="center"/>
    </xf>
    <xf numFmtId="0" fontId="41" fillId="0" borderId="53" xfId="32" applyFont="1" applyFill="1" applyBorder="1" applyAlignment="1">
      <alignment horizontal="center" vertical="center"/>
    </xf>
    <xf numFmtId="0" fontId="41" fillId="0" borderId="66" xfId="32" applyFont="1" applyBorder="1" applyAlignment="1">
      <alignment horizontal="left" vertical="center" wrapText="1" indent="1"/>
    </xf>
    <xf numFmtId="0" fontId="41" fillId="0" borderId="67" xfId="32" applyFont="1" applyBorder="1" applyAlignment="1">
      <alignment horizontal="left" vertical="center" wrapText="1" indent="1"/>
    </xf>
    <xf numFmtId="0" fontId="41" fillId="0" borderId="68" xfId="32" applyFont="1" applyBorder="1" applyAlignment="1">
      <alignment horizontal="left" vertical="center" wrapText="1" indent="1"/>
    </xf>
    <xf numFmtId="176" fontId="37" fillId="0" borderId="66" xfId="33" applyFont="1" applyFill="1" applyBorder="1" applyAlignment="1">
      <alignment horizontal="right" vertical="center"/>
    </xf>
    <xf numFmtId="176" fontId="37" fillId="0" borderId="67" xfId="33" applyFont="1" applyFill="1" applyBorder="1" applyAlignment="1">
      <alignment horizontal="right" vertical="center"/>
    </xf>
    <xf numFmtId="176" fontId="37" fillId="0" borderId="68" xfId="33" applyFont="1" applyFill="1" applyBorder="1" applyAlignment="1">
      <alignment horizontal="right" vertical="center"/>
    </xf>
    <xf numFmtId="176" fontId="37" fillId="0" borderId="66" xfId="34" applyFont="1" applyFill="1" applyBorder="1" applyAlignment="1">
      <alignment horizontal="left" vertical="center"/>
    </xf>
    <xf numFmtId="176" fontId="37" fillId="0" borderId="69" xfId="34" applyFont="1" applyFill="1" applyBorder="1" applyAlignment="1">
      <alignment horizontal="left" vertical="center"/>
    </xf>
    <xf numFmtId="0" fontId="51" fillId="13" borderId="71" xfId="29" applyFont="1" applyFill="1" applyBorder="1" applyAlignment="1">
      <alignment horizontal="center" vertical="center"/>
    </xf>
    <xf numFmtId="0" fontId="51" fillId="13" borderId="35" xfId="29" applyFont="1" applyFill="1" applyBorder="1" applyAlignment="1">
      <alignment horizontal="center" vertical="center"/>
    </xf>
    <xf numFmtId="0" fontId="51" fillId="13" borderId="72" xfId="29" applyFont="1" applyFill="1" applyBorder="1" applyAlignment="1">
      <alignment horizontal="center" vertical="center"/>
    </xf>
    <xf numFmtId="9" fontId="51" fillId="13" borderId="73" xfId="2" applyFont="1" applyFill="1" applyBorder="1" applyAlignment="1">
      <alignment horizontal="center" vertical="center"/>
    </xf>
    <xf numFmtId="9" fontId="51" fillId="13" borderId="37" xfId="2" applyFont="1" applyFill="1" applyBorder="1" applyAlignment="1">
      <alignment horizontal="center" vertical="center"/>
    </xf>
    <xf numFmtId="176" fontId="37" fillId="0" borderId="48" xfId="33" applyFont="1" applyFill="1" applyBorder="1" applyAlignment="1">
      <alignment horizontal="right" vertical="center"/>
    </xf>
    <xf numFmtId="176" fontId="37" fillId="0" borderId="49" xfId="33" applyFont="1" applyFill="1" applyBorder="1" applyAlignment="1">
      <alignment horizontal="right" vertical="center"/>
    </xf>
    <xf numFmtId="176" fontId="37" fillId="0" borderId="50" xfId="33" applyFont="1" applyFill="1" applyBorder="1" applyAlignment="1">
      <alignment horizontal="right" vertical="center"/>
    </xf>
    <xf numFmtId="176" fontId="37" fillId="0" borderId="48" xfId="34" applyFont="1" applyFill="1" applyBorder="1" applyAlignment="1">
      <alignment horizontal="left" vertical="center"/>
    </xf>
    <xf numFmtId="176" fontId="37" fillId="0" borderId="51" xfId="34" applyFont="1" applyFill="1" applyBorder="1" applyAlignment="1">
      <alignment horizontal="left" vertical="center"/>
    </xf>
    <xf numFmtId="176" fontId="37" fillId="0" borderId="66" xfId="33" applyFont="1" applyBorder="1" applyAlignment="1">
      <alignment horizontal="right" vertical="center"/>
    </xf>
    <xf numFmtId="176" fontId="37" fillId="0" borderId="67" xfId="33" applyFont="1" applyBorder="1" applyAlignment="1">
      <alignment horizontal="right" vertical="center"/>
    </xf>
    <xf numFmtId="176" fontId="37" fillId="0" borderId="68" xfId="33" applyFont="1" applyBorder="1" applyAlignment="1">
      <alignment horizontal="right" vertical="center"/>
    </xf>
    <xf numFmtId="176" fontId="50" fillId="0" borderId="66" xfId="34" applyFont="1" applyBorder="1" applyAlignment="1">
      <alignment horizontal="left" vertical="center"/>
    </xf>
    <xf numFmtId="176" fontId="50" fillId="0" borderId="69" xfId="34" applyFont="1" applyBorder="1" applyAlignment="1">
      <alignment horizontal="left" vertical="center"/>
    </xf>
    <xf numFmtId="0" fontId="41" fillId="0" borderId="59" xfId="32" applyFont="1" applyBorder="1" applyAlignment="1">
      <alignment horizontal="left" vertical="center" wrapText="1" indent="1"/>
    </xf>
    <xf numFmtId="0" fontId="41" fillId="0" borderId="60" xfId="32" applyFont="1" applyBorder="1" applyAlignment="1">
      <alignment horizontal="left" vertical="center" wrapText="1" indent="1"/>
    </xf>
    <xf numFmtId="0" fontId="41" fillId="0" borderId="61" xfId="32" applyFont="1" applyBorder="1" applyAlignment="1">
      <alignment horizontal="left" vertical="center" wrapText="1" indent="1"/>
    </xf>
    <xf numFmtId="176" fontId="37" fillId="0" borderId="59" xfId="33" applyFont="1" applyFill="1" applyBorder="1" applyAlignment="1">
      <alignment horizontal="right" vertical="center"/>
    </xf>
    <xf numFmtId="176" fontId="37" fillId="0" borderId="60" xfId="33" applyFont="1" applyFill="1" applyBorder="1" applyAlignment="1">
      <alignment horizontal="right" vertical="center"/>
    </xf>
    <xf numFmtId="176" fontId="37" fillId="0" borderId="61" xfId="33" applyFont="1" applyFill="1" applyBorder="1" applyAlignment="1">
      <alignment horizontal="right" vertical="center"/>
    </xf>
    <xf numFmtId="176" fontId="37" fillId="0" borderId="57" xfId="34" applyFont="1" applyFill="1" applyBorder="1" applyAlignment="1">
      <alignment horizontal="left" vertical="center"/>
    </xf>
    <xf numFmtId="176" fontId="37" fillId="0" borderId="25" xfId="34" applyFont="1" applyFill="1" applyBorder="1" applyAlignment="1">
      <alignment horizontal="left" vertical="center"/>
    </xf>
    <xf numFmtId="176" fontId="37" fillId="0" borderId="59" xfId="34" applyFont="1" applyFill="1" applyBorder="1" applyAlignment="1">
      <alignment horizontal="left" vertical="center"/>
    </xf>
    <xf numFmtId="176" fontId="37" fillId="0" borderId="63" xfId="34" applyFont="1" applyFill="1" applyBorder="1" applyAlignment="1">
      <alignment horizontal="left" vertical="center"/>
    </xf>
    <xf numFmtId="0" fontId="41" fillId="0" borderId="57" xfId="32" applyFont="1" applyBorder="1" applyAlignment="1">
      <alignment horizontal="left" vertical="center" wrapText="1" indent="1"/>
    </xf>
    <xf numFmtId="0" fontId="41" fillId="0" borderId="4" xfId="32" applyFont="1" applyBorder="1" applyAlignment="1">
      <alignment horizontal="left" vertical="center" wrapText="1" indent="1"/>
    </xf>
    <xf numFmtId="0" fontId="41" fillId="0" borderId="58" xfId="32" applyFont="1" applyBorder="1" applyAlignment="1">
      <alignment horizontal="left" vertical="center" wrapText="1" indent="1"/>
    </xf>
    <xf numFmtId="176" fontId="37" fillId="0" borderId="57" xfId="33" applyFont="1" applyFill="1" applyBorder="1" applyAlignment="1">
      <alignment horizontal="right" vertical="center"/>
    </xf>
    <xf numFmtId="176" fontId="37" fillId="0" borderId="4" xfId="33" applyFont="1" applyFill="1" applyBorder="1" applyAlignment="1">
      <alignment horizontal="right" vertical="center"/>
    </xf>
    <xf numFmtId="176" fontId="37" fillId="0" borderId="58" xfId="33" applyFont="1" applyFill="1" applyBorder="1" applyAlignment="1">
      <alignment horizontal="right" vertical="center"/>
    </xf>
    <xf numFmtId="0" fontId="41" fillId="0" borderId="53" xfId="32" applyFont="1" applyFill="1" applyBorder="1" applyAlignment="1">
      <alignment horizontal="left" vertical="center" wrapText="1" indent="1"/>
    </xf>
    <xf numFmtId="0" fontId="41" fillId="0" borderId="54" xfId="32" applyFont="1" applyFill="1" applyBorder="1" applyAlignment="1">
      <alignment horizontal="left" vertical="center" wrapText="1" indent="1"/>
    </xf>
    <xf numFmtId="0" fontId="41" fillId="0" borderId="55" xfId="32" applyFont="1" applyFill="1" applyBorder="1" applyAlignment="1">
      <alignment horizontal="left" vertical="center" wrapText="1" indent="1"/>
    </xf>
    <xf numFmtId="176" fontId="37" fillId="0" borderId="53" xfId="33" applyFont="1" applyFill="1" applyBorder="1" applyAlignment="1">
      <alignment horizontal="right" vertical="center"/>
    </xf>
    <xf numFmtId="176" fontId="37" fillId="0" borderId="54" xfId="33" applyFont="1" applyFill="1" applyBorder="1" applyAlignment="1">
      <alignment horizontal="right" vertical="center"/>
    </xf>
    <xf numFmtId="176" fontId="37" fillId="0" borderId="55" xfId="33" applyFont="1" applyFill="1" applyBorder="1" applyAlignment="1">
      <alignment horizontal="right" vertical="center"/>
    </xf>
    <xf numFmtId="176" fontId="37" fillId="0" borderId="53" xfId="34" applyFont="1" applyBorder="1" applyAlignment="1">
      <alignment horizontal="left" vertical="center"/>
    </xf>
    <xf numFmtId="176" fontId="37" fillId="0" borderId="56" xfId="34" applyFont="1" applyBorder="1" applyAlignment="1">
      <alignment horizontal="left" vertical="center"/>
    </xf>
    <xf numFmtId="0" fontId="37" fillId="0" borderId="43" xfId="32" applyFont="1" applyFill="1" applyBorder="1" applyAlignment="1">
      <alignment horizontal="center" vertical="center" wrapText="1"/>
    </xf>
    <xf numFmtId="0" fontId="37" fillId="0" borderId="44" xfId="32" applyFont="1" applyFill="1" applyBorder="1" applyAlignment="1">
      <alignment horizontal="center" vertical="center" wrapText="1"/>
    </xf>
    <xf numFmtId="0" fontId="37" fillId="0" borderId="45" xfId="32" applyFont="1" applyFill="1" applyBorder="1" applyAlignment="1">
      <alignment horizontal="center" vertical="center" wrapText="1"/>
    </xf>
    <xf numFmtId="176" fontId="37" fillId="0" borderId="43" xfId="33" applyFont="1" applyFill="1" applyBorder="1" applyAlignment="1">
      <alignment horizontal="right" vertical="center"/>
    </xf>
    <xf numFmtId="176" fontId="37" fillId="0" borderId="44" xfId="33" applyFont="1" applyFill="1" applyBorder="1" applyAlignment="1">
      <alignment horizontal="right" vertical="center"/>
    </xf>
    <xf numFmtId="176" fontId="37" fillId="0" borderId="45" xfId="33" applyFont="1" applyFill="1" applyBorder="1" applyAlignment="1">
      <alignment horizontal="right" vertical="center"/>
    </xf>
    <xf numFmtId="176" fontId="37" fillId="0" borderId="43" xfId="34" applyFont="1" applyBorder="1" applyAlignment="1">
      <alignment horizontal="left" vertical="center"/>
    </xf>
    <xf numFmtId="176" fontId="37" fillId="0" borderId="47" xfId="34" applyFont="1" applyBorder="1" applyAlignment="1">
      <alignment horizontal="left" vertical="center"/>
    </xf>
    <xf numFmtId="0" fontId="37" fillId="0" borderId="43" xfId="32" applyFont="1" applyBorder="1" applyAlignment="1">
      <alignment horizontal="center" vertical="center" wrapText="1"/>
    </xf>
    <xf numFmtId="0" fontId="37" fillId="0" borderId="44" xfId="32" applyFont="1" applyBorder="1" applyAlignment="1">
      <alignment horizontal="center" vertical="center" wrapText="1"/>
    </xf>
    <xf numFmtId="0" fontId="37" fillId="0" borderId="45" xfId="32" applyFont="1" applyBorder="1" applyAlignment="1">
      <alignment horizontal="center" vertical="center" wrapText="1"/>
    </xf>
    <xf numFmtId="176" fontId="37" fillId="0" borderId="48" xfId="33" applyFont="1" applyBorder="1" applyAlignment="1">
      <alignment horizontal="center" vertical="center"/>
    </xf>
    <xf numFmtId="176" fontId="37" fillId="0" borderId="49" xfId="33" applyFont="1" applyBorder="1" applyAlignment="1">
      <alignment horizontal="center" vertical="center"/>
    </xf>
    <xf numFmtId="176" fontId="37" fillId="0" borderId="50" xfId="33" applyFont="1" applyBorder="1" applyAlignment="1">
      <alignment horizontal="center" vertical="center"/>
    </xf>
    <xf numFmtId="176" fontId="37" fillId="0" borderId="48" xfId="34" applyFont="1" applyBorder="1" applyAlignment="1">
      <alignment horizontal="left" vertical="center"/>
    </xf>
    <xf numFmtId="176" fontId="37" fillId="0" borderId="51" xfId="34" applyFont="1" applyBorder="1" applyAlignment="1">
      <alignment horizontal="left" vertical="center"/>
    </xf>
    <xf numFmtId="0" fontId="48" fillId="11" borderId="0" xfId="31" applyFont="1" applyFill="1" applyAlignment="1">
      <alignment horizontal="left" vertical="center"/>
    </xf>
    <xf numFmtId="0" fontId="48" fillId="11" borderId="17" xfId="31" applyFont="1" applyFill="1" applyBorder="1" applyAlignment="1">
      <alignment horizontal="left" vertical="center"/>
    </xf>
    <xf numFmtId="0" fontId="37" fillId="0" borderId="0" xfId="29" applyFont="1" applyAlignment="1">
      <alignment horizontal="right" vertical="center"/>
    </xf>
    <xf numFmtId="0" fontId="37" fillId="0" borderId="17" xfId="29" applyFont="1" applyBorder="1" applyAlignment="1">
      <alignment horizontal="right" vertical="center"/>
    </xf>
    <xf numFmtId="0" fontId="37" fillId="0" borderId="39" xfId="32" applyFont="1" applyFill="1" applyBorder="1" applyAlignment="1">
      <alignment horizontal="center" vertical="center" wrapText="1"/>
    </xf>
    <xf numFmtId="0" fontId="37" fillId="0" borderId="20" xfId="32" applyFont="1" applyFill="1" applyBorder="1" applyAlignment="1">
      <alignment horizontal="center" vertical="center" wrapText="1"/>
    </xf>
    <xf numFmtId="0" fontId="37" fillId="0" borderId="40" xfId="32" applyFont="1" applyFill="1" applyBorder="1" applyAlignment="1">
      <alignment horizontal="center" vertical="center" wrapText="1"/>
    </xf>
    <xf numFmtId="176" fontId="37" fillId="0" borderId="41" xfId="33" applyFont="1" applyFill="1" applyBorder="1" applyAlignment="1">
      <alignment horizontal="right" vertical="center"/>
    </xf>
    <xf numFmtId="176" fontId="37" fillId="0" borderId="39" xfId="32" applyNumberFormat="1" applyFont="1" applyBorder="1" applyAlignment="1">
      <alignment horizontal="left" vertical="center"/>
    </xf>
    <xf numFmtId="176" fontId="37" fillId="0" borderId="21" xfId="32" applyNumberFormat="1" applyFont="1" applyBorder="1" applyAlignment="1">
      <alignment horizontal="left" vertical="center"/>
    </xf>
    <xf numFmtId="0" fontId="47" fillId="12" borderId="34" xfId="29" applyFont="1" applyFill="1" applyBorder="1" applyAlignment="1">
      <alignment horizontal="center" vertical="center"/>
    </xf>
    <xf numFmtId="0" fontId="47" fillId="12" borderId="35" xfId="29" applyFont="1" applyFill="1" applyBorder="1" applyAlignment="1">
      <alignment horizontal="center" vertical="center"/>
    </xf>
    <xf numFmtId="0" fontId="47" fillId="12" borderId="36" xfId="29" applyFont="1" applyFill="1" applyBorder="1" applyAlignment="1">
      <alignment horizontal="center" vertical="center"/>
    </xf>
    <xf numFmtId="3" fontId="47" fillId="12" borderId="34" xfId="29" applyNumberFormat="1" applyFont="1" applyFill="1" applyBorder="1" applyAlignment="1">
      <alignment horizontal="center" vertical="center"/>
    </xf>
    <xf numFmtId="3" fontId="47" fillId="12" borderId="35" xfId="29" applyNumberFormat="1" applyFont="1" applyFill="1" applyBorder="1" applyAlignment="1">
      <alignment horizontal="center" vertical="center"/>
    </xf>
    <xf numFmtId="3" fontId="47" fillId="12" borderId="36" xfId="29" applyNumberFormat="1" applyFont="1" applyFill="1" applyBorder="1" applyAlignment="1">
      <alignment horizontal="center" vertical="center"/>
    </xf>
    <xf numFmtId="0" fontId="47" fillId="12" borderId="37" xfId="29" applyFont="1" applyFill="1" applyBorder="1" applyAlignment="1">
      <alignment horizontal="center" vertical="center"/>
    </xf>
    <xf numFmtId="185" fontId="46" fillId="11" borderId="0" xfId="29" applyNumberFormat="1" applyFont="1" applyFill="1" applyAlignment="1">
      <alignment horizontal="left" vertical="center"/>
    </xf>
    <xf numFmtId="0" fontId="36" fillId="0" borderId="13" xfId="29" applyFont="1" applyBorder="1" applyAlignment="1">
      <alignment horizontal="center" vertical="center"/>
    </xf>
    <xf numFmtId="0" fontId="36" fillId="0" borderId="14" xfId="29" applyFont="1" applyBorder="1" applyAlignment="1">
      <alignment horizontal="center" vertical="center"/>
    </xf>
    <xf numFmtId="0" fontId="36" fillId="0" borderId="15" xfId="29" applyFont="1" applyBorder="1" applyAlignment="1">
      <alignment horizontal="center" vertical="center"/>
    </xf>
    <xf numFmtId="0" fontId="38" fillId="0" borderId="16" xfId="29" applyFont="1" applyBorder="1" applyAlignment="1" applyProtection="1">
      <alignment horizontal="center" vertical="center"/>
      <protection locked="0"/>
    </xf>
    <xf numFmtId="0" fontId="38" fillId="0" borderId="0" xfId="29" applyFont="1" applyAlignment="1" applyProtection="1">
      <alignment horizontal="center" vertical="center"/>
      <protection locked="0"/>
    </xf>
    <xf numFmtId="0" fontId="38" fillId="0" borderId="17" xfId="29" applyFont="1" applyBorder="1" applyAlignment="1" applyProtection="1">
      <alignment horizontal="center" vertical="center"/>
      <protection locked="0"/>
    </xf>
    <xf numFmtId="0" fontId="37" fillId="10" borderId="19" xfId="29" applyFont="1" applyFill="1" applyBorder="1" applyAlignment="1">
      <alignment horizontal="center" vertical="center"/>
    </xf>
    <xf numFmtId="0" fontId="37" fillId="10" borderId="20" xfId="29" applyFont="1" applyFill="1" applyBorder="1" applyAlignment="1">
      <alignment horizontal="center" vertical="center"/>
    </xf>
    <xf numFmtId="0" fontId="37" fillId="10" borderId="21" xfId="29" applyFont="1" applyFill="1" applyBorder="1" applyAlignment="1">
      <alignment horizontal="center" vertical="center"/>
    </xf>
    <xf numFmtId="0" fontId="37" fillId="0" borderId="22" xfId="29" applyFont="1" applyBorder="1" applyAlignment="1">
      <alignment horizontal="center" vertical="center" wrapText="1"/>
    </xf>
    <xf numFmtId="0" fontId="37" fillId="0" borderId="26" xfId="29" applyFont="1" applyBorder="1" applyAlignment="1">
      <alignment horizontal="center" vertical="center"/>
    </xf>
    <xf numFmtId="0" fontId="37" fillId="0" borderId="30" xfId="29" applyFont="1" applyBorder="1" applyAlignment="1">
      <alignment horizontal="center" vertical="center"/>
    </xf>
    <xf numFmtId="0" fontId="37" fillId="0" borderId="24" xfId="29" applyFont="1" applyBorder="1" applyAlignment="1">
      <alignment horizontal="center" vertical="center"/>
    </xf>
    <xf numFmtId="0" fontId="37" fillId="0" borderId="4" xfId="29" applyFont="1" applyBorder="1" applyAlignment="1">
      <alignment horizontal="center" vertical="center"/>
    </xf>
    <xf numFmtId="0" fontId="37" fillId="0" borderId="25" xfId="29" applyFont="1" applyBorder="1" applyAlignment="1">
      <alignment horizontal="center" vertical="center"/>
    </xf>
    <xf numFmtId="0" fontId="44" fillId="0" borderId="24" xfId="29" applyFont="1" applyBorder="1" applyAlignment="1">
      <alignment horizontal="center" vertical="center"/>
    </xf>
    <xf numFmtId="0" fontId="42" fillId="0" borderId="4" xfId="29" applyFont="1" applyBorder="1" applyAlignment="1">
      <alignment horizontal="center" vertical="center"/>
    </xf>
    <xf numFmtId="0" fontId="42" fillId="0" borderId="5" xfId="29" applyFont="1" applyBorder="1" applyAlignment="1">
      <alignment horizontal="center" vertical="center"/>
    </xf>
    <xf numFmtId="0" fontId="44" fillId="0" borderId="3" xfId="29" applyFont="1" applyBorder="1" applyAlignment="1">
      <alignment horizontal="center" vertical="center"/>
    </xf>
    <xf numFmtId="0" fontId="42" fillId="0" borderId="25" xfId="29" applyFont="1" applyBorder="1" applyAlignment="1">
      <alignment horizontal="center" vertical="center"/>
    </xf>
    <xf numFmtId="0" fontId="37" fillId="0" borderId="24" xfId="29" applyFont="1" applyBorder="1" applyAlignment="1">
      <alignment horizontal="left" vertical="center" indent="1"/>
    </xf>
    <xf numFmtId="0" fontId="37" fillId="0" borderId="4" xfId="29" applyFont="1" applyBorder="1" applyAlignment="1">
      <alignment horizontal="left" vertical="center" indent="1"/>
    </xf>
    <xf numFmtId="0" fontId="37" fillId="0" borderId="25" xfId="29" applyFont="1" applyBorder="1" applyAlignment="1">
      <alignment horizontal="left" vertical="center" indent="1"/>
    </xf>
    <xf numFmtId="0" fontId="37" fillId="0" borderId="3" xfId="29" applyFont="1" applyBorder="1" applyAlignment="1">
      <alignment horizontal="center" vertical="center"/>
    </xf>
    <xf numFmtId="0" fontId="37" fillId="0" borderId="27" xfId="29" applyFont="1" applyBorder="1" applyAlignment="1">
      <alignment horizontal="center" vertical="center"/>
    </xf>
    <xf numFmtId="0" fontId="37" fillId="0" borderId="28" xfId="29" applyFont="1" applyBorder="1" applyAlignment="1">
      <alignment horizontal="center" vertical="center"/>
    </xf>
    <xf numFmtId="0" fontId="37" fillId="0" borderId="29" xfId="29" applyFont="1" applyBorder="1" applyAlignment="1">
      <alignment horizontal="center" vertical="center"/>
    </xf>
    <xf numFmtId="0" fontId="37" fillId="0" borderId="27" xfId="29" applyFont="1" applyBorder="1" applyAlignment="1">
      <alignment horizontal="left" vertical="center" indent="1"/>
    </xf>
    <xf numFmtId="0" fontId="37" fillId="0" borderId="28" xfId="29" applyFont="1" applyBorder="1" applyAlignment="1">
      <alignment horizontal="left" vertical="center" indent="1"/>
    </xf>
    <xf numFmtId="0" fontId="37" fillId="0" borderId="29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D5B1B65C-6A32-4FEE-ACD4-D1279E32027D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B5E7E5FB-3546-42C8-9E55-290585A39C0E}"/>
    <cellStyle name="쉼표 [0] 3" xfId="14" xr:uid="{8F7BE219-40E1-4BBB-A9BD-02188B74B2A3}"/>
    <cellStyle name="쉼표 [0] 4" xfId="27" xr:uid="{CC0B73B0-7462-4D01-B0C9-D11C17A5C7E0}"/>
    <cellStyle name="쉼표 [0] 5" xfId="33" xr:uid="{F24A4E3E-52C1-466C-8AA1-13536753D1E7}"/>
    <cellStyle name="쉼표 [0] 5 2" xfId="35" xr:uid="{A6650E11-80F9-4633-876D-1961A962301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B1F6876E-FCC8-4D89-AD94-6B21C5420BA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A50C9115-3919-4957-998F-0F5BF8A2785D}"/>
    <cellStyle name="표준_P456 공장 및 복지동 전면 유리창 청소건 라상혁님_1129(최종)" xfId="32" xr:uid="{CEE2D973-307A-4607-8BF1-41012DF21566}"/>
    <cellStyle name="표준_S&amp;D_MAIN VALVE_최빈_2" xfId="29" xr:uid="{49B1DF88-71F8-4235-A977-BAABF12B64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0FD7B32-252D-40E8-966F-B68D5B7DF2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E208-622B-4211-B9D1-20AD3AA136BD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>
      <c r="A1" s="217"/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ht="9.7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>
      <c r="A3" s="220" t="s">
        <v>68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/>
    </row>
    <row r="4" spans="1:15" ht="16.5" customHeight="1">
      <c r="A4" s="67" t="s">
        <v>69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>
      <c r="A5" s="72"/>
      <c r="B5" s="128" t="s">
        <v>133</v>
      </c>
      <c r="C5" s="128"/>
      <c r="D5" s="128"/>
      <c r="E5" s="128"/>
      <c r="F5" s="128"/>
      <c r="G5" s="129"/>
      <c r="H5" s="129"/>
      <c r="I5" s="73"/>
      <c r="J5" s="73"/>
      <c r="K5" s="73"/>
      <c r="L5" s="73"/>
      <c r="M5" s="74"/>
      <c r="N5" s="74"/>
      <c r="O5" s="75"/>
    </row>
    <row r="6" spans="1:15" ht="12" customHeight="1" thickBot="1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>
      <c r="A7" s="223" t="s">
        <v>70</v>
      </c>
      <c r="B7" s="224"/>
      <c r="C7" s="225"/>
      <c r="D7" s="130">
        <v>2025</v>
      </c>
      <c r="E7" s="80" t="s">
        <v>71</v>
      </c>
      <c r="F7" s="131">
        <v>1</v>
      </c>
      <c r="G7" s="80" t="s">
        <v>72</v>
      </c>
      <c r="H7" s="131">
        <v>16</v>
      </c>
      <c r="I7" s="80" t="s">
        <v>73</v>
      </c>
      <c r="J7" s="81"/>
      <c r="K7" s="226" t="s">
        <v>74</v>
      </c>
      <c r="L7" s="82" t="s">
        <v>75</v>
      </c>
      <c r="M7" s="82" t="s">
        <v>76</v>
      </c>
      <c r="N7" s="82" t="s">
        <v>77</v>
      </c>
      <c r="O7" s="83" t="s">
        <v>78</v>
      </c>
    </row>
    <row r="8" spans="1:15" ht="23.25" customHeight="1">
      <c r="A8" s="229" t="s">
        <v>79</v>
      </c>
      <c r="B8" s="230"/>
      <c r="C8" s="231"/>
      <c r="D8" s="232" t="s">
        <v>80</v>
      </c>
      <c r="E8" s="233"/>
      <c r="F8" s="233"/>
      <c r="G8" s="234"/>
      <c r="H8" s="235" t="s">
        <v>81</v>
      </c>
      <c r="I8" s="233"/>
      <c r="J8" s="236"/>
      <c r="K8" s="227"/>
      <c r="L8" s="84" t="s">
        <v>82</v>
      </c>
      <c r="M8" s="84" t="s">
        <v>83</v>
      </c>
      <c r="N8" s="84" t="s">
        <v>84</v>
      </c>
      <c r="O8" s="85" t="s">
        <v>85</v>
      </c>
    </row>
    <row r="9" spans="1:15" ht="23.25" customHeight="1">
      <c r="A9" s="229" t="s">
        <v>86</v>
      </c>
      <c r="B9" s="230"/>
      <c r="C9" s="231"/>
      <c r="D9" s="237" t="s">
        <v>87</v>
      </c>
      <c r="E9" s="238"/>
      <c r="F9" s="238"/>
      <c r="G9" s="238"/>
      <c r="H9" s="238"/>
      <c r="I9" s="238"/>
      <c r="J9" s="239"/>
      <c r="K9" s="227"/>
      <c r="L9" s="84" t="s">
        <v>88</v>
      </c>
      <c r="M9" s="240" t="s">
        <v>89</v>
      </c>
      <c r="N9" s="230"/>
      <c r="O9" s="231"/>
    </row>
    <row r="10" spans="1:15" ht="23.25" customHeight="1" thickBot="1">
      <c r="A10" s="241" t="s">
        <v>90</v>
      </c>
      <c r="B10" s="242"/>
      <c r="C10" s="243"/>
      <c r="D10" s="244" t="s">
        <v>91</v>
      </c>
      <c r="E10" s="245"/>
      <c r="F10" s="245"/>
      <c r="G10" s="245"/>
      <c r="H10" s="245"/>
      <c r="I10" s="245"/>
      <c r="J10" s="246"/>
      <c r="K10" s="228"/>
      <c r="L10" s="86" t="s">
        <v>92</v>
      </c>
      <c r="M10" s="86" t="s">
        <v>93</v>
      </c>
      <c r="N10" s="86" t="s">
        <v>94</v>
      </c>
      <c r="O10" s="87" t="s">
        <v>95</v>
      </c>
    </row>
    <row r="11" spans="1:15" ht="21.75" customHeight="1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>
      <c r="A13" s="94"/>
      <c r="B13" s="216" t="s">
        <v>132</v>
      </c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95" t="s">
        <v>96</v>
      </c>
      <c r="O13" s="93"/>
    </row>
    <row r="14" spans="1:15" ht="9" customHeight="1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>
      <c r="A15" s="94"/>
      <c r="B15" s="199" t="str">
        <f>"견 적 금 액 : 一金"&amp;NUMBERSTRING(M32,1) &amp; "원정""(\"&amp; TEXT(M32,"#,###")&amp;"원) [VAT 별도]"</f>
        <v>견 적 금 액 : 一金이백삼십오만육천원정"(\2,356,000원) [VAT 별도]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200"/>
    </row>
    <row r="16" spans="1:15" ht="15" thickBot="1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201"/>
      <c r="L16" s="201"/>
      <c r="M16" s="201"/>
      <c r="N16" s="201"/>
      <c r="O16" s="202"/>
    </row>
    <row r="17" spans="1:17" ht="27.75" customHeight="1" thickBot="1">
      <c r="A17" s="96" t="s">
        <v>97</v>
      </c>
      <c r="B17" s="209" t="s">
        <v>98</v>
      </c>
      <c r="C17" s="210"/>
      <c r="D17" s="210"/>
      <c r="E17" s="210"/>
      <c r="F17" s="210"/>
      <c r="G17" s="211"/>
      <c r="H17" s="97" t="s">
        <v>99</v>
      </c>
      <c r="I17" s="98" t="s">
        <v>100</v>
      </c>
      <c r="J17" s="212" t="s">
        <v>101</v>
      </c>
      <c r="K17" s="213"/>
      <c r="L17" s="213"/>
      <c r="M17" s="214"/>
      <c r="N17" s="209" t="s">
        <v>102</v>
      </c>
      <c r="O17" s="215"/>
    </row>
    <row r="18" spans="1:17" ht="28.5" customHeight="1">
      <c r="A18" s="99">
        <v>1</v>
      </c>
      <c r="B18" s="203" t="s">
        <v>46</v>
      </c>
      <c r="C18" s="204"/>
      <c r="D18" s="204"/>
      <c r="E18" s="204"/>
      <c r="F18" s="204"/>
      <c r="G18" s="205"/>
      <c r="H18" s="132">
        <v>1</v>
      </c>
      <c r="I18" s="133" t="s">
        <v>6</v>
      </c>
      <c r="J18" s="206">
        <f>IFERROR(LOOKUP(2,1/('내역서(표준단가)'!O4:O1048576&lt;&gt;""),'내역서(표준단가)'!O4:O1048576),"-")</f>
        <v>133516.5</v>
      </c>
      <c r="K18" s="206"/>
      <c r="L18" s="206"/>
      <c r="M18" s="206"/>
      <c r="N18" s="207"/>
      <c r="O18" s="208"/>
    </row>
    <row r="19" spans="1:17" ht="28.5" customHeight="1">
      <c r="A19" s="100">
        <v>2</v>
      </c>
      <c r="B19" s="183" t="s">
        <v>47</v>
      </c>
      <c r="C19" s="184"/>
      <c r="D19" s="184"/>
      <c r="E19" s="184"/>
      <c r="F19" s="184"/>
      <c r="G19" s="185"/>
      <c r="H19" s="134">
        <v>1</v>
      </c>
      <c r="I19" s="134" t="s">
        <v>6</v>
      </c>
      <c r="J19" s="186">
        <f>IFERROR(LOOKUP(2,1/('내역서(표준단가)'!Q4:Q1048576&lt;&gt;""),'내역서(표준단가)'!Q4:Q1048576),"-")</f>
        <v>1566063.6</v>
      </c>
      <c r="K19" s="187"/>
      <c r="L19" s="187"/>
      <c r="M19" s="188"/>
      <c r="N19" s="189"/>
      <c r="O19" s="190"/>
    </row>
    <row r="20" spans="1:17" ht="28.5" customHeight="1">
      <c r="A20" s="100">
        <v>3</v>
      </c>
      <c r="B20" s="191" t="s">
        <v>103</v>
      </c>
      <c r="C20" s="192"/>
      <c r="D20" s="192"/>
      <c r="E20" s="192"/>
      <c r="F20" s="192"/>
      <c r="G20" s="193"/>
      <c r="H20" s="101">
        <v>1</v>
      </c>
      <c r="I20" s="101" t="s">
        <v>6</v>
      </c>
      <c r="J20" s="194">
        <f>IFERROR(SUM(J21:M29),"-")</f>
        <v>363608.55987329007</v>
      </c>
      <c r="K20" s="195"/>
      <c r="L20" s="195"/>
      <c r="M20" s="196"/>
      <c r="N20" s="197"/>
      <c r="O20" s="198"/>
      <c r="P20" s="102"/>
    </row>
    <row r="21" spans="1:17" ht="28.5" customHeight="1">
      <c r="A21" s="99"/>
      <c r="B21" s="103"/>
      <c r="C21" s="175" t="s">
        <v>104</v>
      </c>
      <c r="D21" s="176"/>
      <c r="E21" s="176"/>
      <c r="F21" s="176"/>
      <c r="G21" s="177"/>
      <c r="H21" s="135">
        <v>1</v>
      </c>
      <c r="I21" s="135" t="s">
        <v>6</v>
      </c>
      <c r="J21" s="178">
        <f>IFERROR(LOOKUP(2,1/('내역서(표준단가)'!S4:S1048576&lt;&gt;""),'내역서(표준단가)'!S4:S1048576)+LOOKUP(2,1/('내역서(표준단가)'!U4:U1048576&lt;&gt;""),'내역서(표준단가)'!U4:U1048576),"-")</f>
        <v>106003.25</v>
      </c>
      <c r="K21" s="179"/>
      <c r="L21" s="179"/>
      <c r="M21" s="180"/>
      <c r="N21" s="181" t="s">
        <v>105</v>
      </c>
      <c r="O21" s="182"/>
    </row>
    <row r="22" spans="1:17" ht="28.5" customHeight="1">
      <c r="A22" s="99"/>
      <c r="B22" s="103"/>
      <c r="C22" s="169" t="s">
        <v>106</v>
      </c>
      <c r="D22" s="170"/>
      <c r="E22" s="170"/>
      <c r="F22" s="170"/>
      <c r="G22" s="171"/>
      <c r="H22" s="104">
        <v>3.11</v>
      </c>
      <c r="I22" s="104" t="s">
        <v>107</v>
      </c>
      <c r="J22" s="172">
        <f>IFERROR((J18+J19)*H22%,"-")</f>
        <v>52856.94111</v>
      </c>
      <c r="K22" s="173"/>
      <c r="L22" s="173"/>
      <c r="M22" s="174"/>
      <c r="N22" s="165" t="s">
        <v>108</v>
      </c>
      <c r="O22" s="166"/>
    </row>
    <row r="23" spans="1:17" ht="28.5" customHeight="1">
      <c r="A23" s="99"/>
      <c r="B23" s="103"/>
      <c r="C23" s="169" t="s">
        <v>109</v>
      </c>
      <c r="D23" s="170"/>
      <c r="E23" s="170"/>
      <c r="F23" s="170"/>
      <c r="G23" s="171"/>
      <c r="H23" s="104">
        <v>3.56</v>
      </c>
      <c r="I23" s="104" t="s">
        <v>110</v>
      </c>
      <c r="J23" s="172">
        <f>IFERROR(J19*H23%,"-")</f>
        <v>55751.864160000005</v>
      </c>
      <c r="K23" s="173"/>
      <c r="L23" s="173"/>
      <c r="M23" s="174"/>
      <c r="N23" s="165" t="s">
        <v>111</v>
      </c>
      <c r="O23" s="166"/>
    </row>
    <row r="24" spans="1:17" ht="28.5" customHeight="1">
      <c r="A24" s="99"/>
      <c r="B24" s="103"/>
      <c r="C24" s="169" t="s">
        <v>112</v>
      </c>
      <c r="D24" s="170"/>
      <c r="E24" s="170"/>
      <c r="F24" s="170"/>
      <c r="G24" s="171"/>
      <c r="H24" s="104">
        <v>1.01</v>
      </c>
      <c r="I24" s="104" t="s">
        <v>110</v>
      </c>
      <c r="J24" s="172">
        <f>IFERROR(J19*H24%,"-")</f>
        <v>15817.24236</v>
      </c>
      <c r="K24" s="173"/>
      <c r="L24" s="173"/>
      <c r="M24" s="174"/>
      <c r="N24" s="165" t="s">
        <v>113</v>
      </c>
      <c r="O24" s="166"/>
    </row>
    <row r="25" spans="1:17" ht="28.5" customHeight="1">
      <c r="A25" s="99"/>
      <c r="B25" s="103"/>
      <c r="C25" s="169" t="s">
        <v>114</v>
      </c>
      <c r="D25" s="170"/>
      <c r="E25" s="170"/>
      <c r="F25" s="170"/>
      <c r="G25" s="171"/>
      <c r="H25" s="105">
        <v>3.5449999999999999</v>
      </c>
      <c r="I25" s="104" t="s">
        <v>110</v>
      </c>
      <c r="J25" s="172">
        <f>IFERROR(J19*H25%,"-")</f>
        <v>55516.954620000004</v>
      </c>
      <c r="K25" s="173"/>
      <c r="L25" s="173"/>
      <c r="M25" s="174"/>
      <c r="N25" s="165" t="s">
        <v>115</v>
      </c>
      <c r="O25" s="166"/>
      <c r="Q25" s="102"/>
    </row>
    <row r="26" spans="1:17" ht="28.5" customHeight="1">
      <c r="A26" s="99"/>
      <c r="B26" s="103"/>
      <c r="C26" s="169" t="s">
        <v>116</v>
      </c>
      <c r="D26" s="170"/>
      <c r="E26" s="170"/>
      <c r="F26" s="170"/>
      <c r="G26" s="171"/>
      <c r="H26" s="104">
        <v>4.5</v>
      </c>
      <c r="I26" s="104" t="s">
        <v>110</v>
      </c>
      <c r="J26" s="172">
        <f>IFERROR(J19*H26%,"-")</f>
        <v>70472.862000000008</v>
      </c>
      <c r="K26" s="173"/>
      <c r="L26" s="173"/>
      <c r="M26" s="174"/>
      <c r="N26" s="165" t="s">
        <v>117</v>
      </c>
      <c r="O26" s="166"/>
      <c r="Q26" s="106"/>
    </row>
    <row r="27" spans="1:17" ht="28.5" customHeight="1">
      <c r="A27" s="99"/>
      <c r="B27" s="103"/>
      <c r="C27" s="159" t="s">
        <v>118</v>
      </c>
      <c r="D27" s="160"/>
      <c r="E27" s="160"/>
      <c r="F27" s="160"/>
      <c r="G27" s="161"/>
      <c r="H27" s="107">
        <v>12.95</v>
      </c>
      <c r="I27" s="108" t="s">
        <v>110</v>
      </c>
      <c r="J27" s="162">
        <f>IFERROR($H$27*J25%,"-")</f>
        <v>7189.4456232900002</v>
      </c>
      <c r="K27" s="163"/>
      <c r="L27" s="163"/>
      <c r="M27" s="164"/>
      <c r="N27" s="165" t="s">
        <v>119</v>
      </c>
      <c r="O27" s="166"/>
    </row>
    <row r="28" spans="1:17" ht="28.5" customHeight="1">
      <c r="A28" s="99"/>
      <c r="B28" s="103"/>
      <c r="C28" s="159" t="s">
        <v>120</v>
      </c>
      <c r="D28" s="160"/>
      <c r="E28" s="160"/>
      <c r="F28" s="160"/>
      <c r="G28" s="161"/>
      <c r="H28" s="107">
        <v>8.1000000000000003E-2</v>
      </c>
      <c r="I28" s="108" t="s">
        <v>110</v>
      </c>
      <c r="J28" s="162" t="str">
        <f>IFERROR(IF(SUM(J21:J27,J18:J19)&gt;=10000000,SUM(J21:J27,J18:J19)*H28%,"-"),"-")</f>
        <v>-</v>
      </c>
      <c r="K28" s="163"/>
      <c r="L28" s="163"/>
      <c r="M28" s="164"/>
      <c r="N28" s="167" t="s">
        <v>121</v>
      </c>
      <c r="O28" s="168"/>
    </row>
    <row r="29" spans="1:17" ht="28.5" customHeight="1">
      <c r="A29" s="109"/>
      <c r="B29" s="110"/>
      <c r="C29" s="136" t="s">
        <v>122</v>
      </c>
      <c r="D29" s="137"/>
      <c r="E29" s="137"/>
      <c r="F29" s="137"/>
      <c r="G29" s="138"/>
      <c r="H29" s="111">
        <v>1</v>
      </c>
      <c r="I29" s="112" t="s">
        <v>123</v>
      </c>
      <c r="J29" s="139">
        <f>34*0</f>
        <v>0</v>
      </c>
      <c r="K29" s="140"/>
      <c r="L29" s="140"/>
      <c r="M29" s="141"/>
      <c r="N29" s="142" t="s">
        <v>124</v>
      </c>
      <c r="O29" s="143"/>
    </row>
    <row r="30" spans="1:17" ht="28.5" customHeight="1">
      <c r="A30" s="109">
        <v>4</v>
      </c>
      <c r="B30" s="110"/>
      <c r="C30" s="136" t="s">
        <v>125</v>
      </c>
      <c r="D30" s="137"/>
      <c r="E30" s="137"/>
      <c r="F30" s="137"/>
      <c r="G30" s="138"/>
      <c r="H30" s="112">
        <v>5</v>
      </c>
      <c r="I30" s="113" t="s">
        <v>126</v>
      </c>
      <c r="J30" s="149">
        <f>IFERROR(SUM(J18:M20)*H30%,"-")</f>
        <v>103159.43299366452</v>
      </c>
      <c r="K30" s="150"/>
      <c r="L30" s="150"/>
      <c r="M30" s="151"/>
      <c r="N30" s="152" t="s">
        <v>127</v>
      </c>
      <c r="O30" s="153"/>
    </row>
    <row r="31" spans="1:17" ht="28.5" customHeight="1" thickBot="1">
      <c r="A31" s="109">
        <v>5</v>
      </c>
      <c r="B31" s="110"/>
      <c r="C31" s="136" t="s">
        <v>128</v>
      </c>
      <c r="D31" s="137"/>
      <c r="E31" s="137"/>
      <c r="F31" s="137"/>
      <c r="G31" s="138"/>
      <c r="H31" s="112">
        <v>7.5</v>
      </c>
      <c r="I31" s="113" t="s">
        <v>110</v>
      </c>
      <c r="J31" s="154">
        <f>IFERROR(SUM(J18:M20:J30)*H31%,"-")</f>
        <v>189746.74895551833</v>
      </c>
      <c r="K31" s="155"/>
      <c r="L31" s="155"/>
      <c r="M31" s="156"/>
      <c r="N31" s="157" t="s">
        <v>129</v>
      </c>
      <c r="O31" s="158"/>
      <c r="Q31" s="114"/>
    </row>
    <row r="32" spans="1:17" ht="28.5" customHeight="1" thickBot="1">
      <c r="A32" s="144" t="s">
        <v>130</v>
      </c>
      <c r="B32" s="145"/>
      <c r="C32" s="145"/>
      <c r="D32" s="145"/>
      <c r="E32" s="145"/>
      <c r="F32" s="145"/>
      <c r="G32" s="145"/>
      <c r="H32" s="145"/>
      <c r="I32" s="146"/>
      <c r="J32" s="115"/>
      <c r="K32" s="116"/>
      <c r="L32" s="116"/>
      <c r="M32" s="117">
        <f>IFERROR(ROUNDDOWN(SUM(J18:M20)+J30+J31,-3),"-")</f>
        <v>2356000</v>
      </c>
      <c r="N32" s="147"/>
      <c r="O32" s="148"/>
      <c r="P32" s="118"/>
    </row>
    <row r="33" spans="1:15">
      <c r="A33" s="119" t="s">
        <v>131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0" spans="1:15" ht="15" thickBot="1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>
      <c r="M42" s="114"/>
    </row>
    <row r="43" spans="1:15">
      <c r="M43" s="11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7"/>
  <sheetViews>
    <sheetView showGridLines="0" zoomScale="90" zoomScaleNormal="90" workbookViewId="0">
      <selection activeCell="K11" sqref="K11:V11"/>
    </sheetView>
  </sheetViews>
  <sheetFormatPr defaultColWidth="9" defaultRowHeight="12.75"/>
  <cols>
    <col min="1" max="1" width="21.125" style="47" customWidth="1"/>
    <col min="2" max="5" width="21.125" style="47" hidden="1" customWidth="1"/>
    <col min="6" max="9" width="21.125" style="11" hidden="1" customWidth="1"/>
    <col min="10" max="10" width="31.25" style="11" customWidth="1"/>
    <col min="11" max="11" width="22.875" style="11" bestFit="1" customWidth="1"/>
    <col min="12" max="12" width="9.625" style="11" bestFit="1" customWidth="1"/>
    <col min="13" max="13" width="7.5" style="11" bestFit="1" customWidth="1"/>
    <col min="14" max="14" width="10.25" style="11" bestFit="1" customWidth="1"/>
    <col min="15" max="15" width="12.5" style="11" bestFit="1" customWidth="1"/>
    <col min="16" max="16" width="9" style="11" bestFit="1" customWidth="1"/>
    <col min="17" max="17" width="14.5" style="11" bestFit="1" customWidth="1"/>
    <col min="18" max="18" width="8.125" style="11" hidden="1" customWidth="1"/>
    <col min="19" max="19" width="9.375" style="11" hidden="1" customWidth="1"/>
    <col min="20" max="20" width="9" style="11" hidden="1" customWidth="1"/>
    <col min="21" max="21" width="10.5" style="11" hidden="1" customWidth="1"/>
    <col min="22" max="22" width="16.5" style="11" customWidth="1"/>
    <col min="23" max="23" width="10.625" style="12" bestFit="1" customWidth="1"/>
    <col min="24" max="24" width="8.5" style="11" bestFit="1" customWidth="1"/>
    <col min="25" max="16384" width="9" style="11"/>
  </cols>
  <sheetData>
    <row r="1" spans="1:24" ht="19.899999999999999" customHeight="1">
      <c r="A1" s="247"/>
      <c r="B1" s="247"/>
      <c r="C1" s="247"/>
      <c r="D1" s="247"/>
      <c r="E1" s="247"/>
      <c r="F1" s="247"/>
      <c r="G1" s="247"/>
      <c r="H1" s="247"/>
      <c r="I1" s="247"/>
      <c r="N1" s="12"/>
      <c r="O1" s="10" t="s">
        <v>44</v>
      </c>
      <c r="Q1" s="10" t="s">
        <v>44</v>
      </c>
      <c r="S1" s="10" t="s">
        <v>44</v>
      </c>
      <c r="U1" s="10" t="s">
        <v>44</v>
      </c>
    </row>
    <row r="2" spans="1:24" ht="19.899999999999999" customHeight="1" thickBot="1">
      <c r="A2" s="247"/>
      <c r="B2" s="247"/>
      <c r="C2" s="247"/>
      <c r="D2" s="247"/>
      <c r="E2" s="247"/>
      <c r="F2" s="247"/>
      <c r="G2" s="247"/>
      <c r="H2" s="247"/>
      <c r="I2" s="247"/>
      <c r="N2" s="13"/>
      <c r="O2" s="14">
        <v>0.83499999999999996</v>
      </c>
      <c r="Q2" s="14">
        <v>0.83499999999999996</v>
      </c>
      <c r="S2" s="14">
        <v>0.83499999999999996</v>
      </c>
      <c r="U2" s="14">
        <v>0.83499999999999996</v>
      </c>
    </row>
    <row r="3" spans="1:24" ht="19.899999999999999" customHeight="1">
      <c r="A3" s="15"/>
      <c r="B3" s="15"/>
      <c r="C3" s="15"/>
      <c r="D3" s="15"/>
      <c r="E3" s="15"/>
      <c r="F3" s="15" t="s">
        <v>134</v>
      </c>
      <c r="G3" s="16"/>
      <c r="H3" s="16"/>
      <c r="I3" s="16"/>
      <c r="J3" s="256" t="s">
        <v>45</v>
      </c>
      <c r="K3" s="256"/>
      <c r="L3" s="256" t="s">
        <v>12</v>
      </c>
      <c r="M3" s="256" t="s">
        <v>5</v>
      </c>
      <c r="N3" s="252" t="s">
        <v>46</v>
      </c>
      <c r="O3" s="252"/>
      <c r="P3" s="252" t="s">
        <v>47</v>
      </c>
      <c r="Q3" s="252"/>
      <c r="R3" s="253" t="s">
        <v>48</v>
      </c>
      <c r="S3" s="253"/>
      <c r="T3" s="253" t="s">
        <v>135</v>
      </c>
      <c r="U3" s="253"/>
      <c r="V3" s="254" t="s">
        <v>49</v>
      </c>
      <c r="W3" s="250" t="s">
        <v>50</v>
      </c>
      <c r="X3" s="248" t="s">
        <v>7</v>
      </c>
    </row>
    <row r="4" spans="1:24" ht="19.899999999999999" customHeight="1">
      <c r="A4" s="17" t="s">
        <v>51</v>
      </c>
      <c r="B4" s="18"/>
      <c r="C4" s="18"/>
      <c r="D4" s="18"/>
      <c r="E4" s="18"/>
      <c r="F4" s="19" t="s">
        <v>52</v>
      </c>
      <c r="G4" s="19" t="s">
        <v>53</v>
      </c>
      <c r="H4" s="19" t="s">
        <v>54</v>
      </c>
      <c r="I4" s="19" t="s">
        <v>55</v>
      </c>
      <c r="J4" s="20" t="s">
        <v>56</v>
      </c>
      <c r="K4" s="20" t="s">
        <v>57</v>
      </c>
      <c r="L4" s="257"/>
      <c r="M4" s="257"/>
      <c r="N4" s="21" t="s">
        <v>58</v>
      </c>
      <c r="O4" s="22" t="s">
        <v>59</v>
      </c>
      <c r="P4" s="21" t="s">
        <v>60</v>
      </c>
      <c r="Q4" s="22" t="s">
        <v>59</v>
      </c>
      <c r="R4" s="22" t="s">
        <v>61</v>
      </c>
      <c r="S4" s="22" t="s">
        <v>59</v>
      </c>
      <c r="T4" s="22" t="s">
        <v>61</v>
      </c>
      <c r="U4" s="22" t="s">
        <v>59</v>
      </c>
      <c r="V4" s="255"/>
      <c r="W4" s="251"/>
      <c r="X4" s="249"/>
    </row>
    <row r="5" spans="1:24" s="37" customFormat="1" ht="19.899999999999999" customHeight="1">
      <c r="A5" s="23" t="str">
        <f t="shared" ref="A5:A10" si="0">F5&amp;G5&amp;H5&amp;I5</f>
        <v>D02339</v>
      </c>
      <c r="B5" s="24"/>
      <c r="C5" s="24"/>
      <c r="D5" s="24"/>
      <c r="E5" s="24"/>
      <c r="F5" s="25" t="s">
        <v>27</v>
      </c>
      <c r="G5" s="26"/>
      <c r="H5" s="26"/>
      <c r="I5" s="26"/>
      <c r="J5" s="27" t="s">
        <v>37</v>
      </c>
      <c r="K5" s="27" t="s">
        <v>26</v>
      </c>
      <c r="L5" s="28" t="s">
        <v>62</v>
      </c>
      <c r="M5" s="29">
        <v>10</v>
      </c>
      <c r="N5" s="30"/>
      <c r="O5" s="31">
        <f>SUM(N5:N5*M5*$O$2)</f>
        <v>0</v>
      </c>
      <c r="P5" s="49">
        <v>24278</v>
      </c>
      <c r="Q5" s="31">
        <f t="shared" ref="Q5" si="1">(P5*M5)*$Q$2</f>
        <v>202721.3</v>
      </c>
      <c r="R5" s="33"/>
      <c r="S5" s="31">
        <f t="shared" ref="S5" si="2">R5*M5*$S$2</f>
        <v>0</v>
      </c>
      <c r="T5" s="33"/>
      <c r="U5" s="31">
        <f t="shared" ref="U5" si="3">T5*M5*$U$2</f>
        <v>0</v>
      </c>
      <c r="V5" s="34">
        <f t="shared" ref="V5" si="4">SUM(O5+Q5)+S5+U5</f>
        <v>202721.3</v>
      </c>
      <c r="W5" s="35"/>
      <c r="X5" s="36"/>
    </row>
    <row r="6" spans="1:24" s="37" customFormat="1" ht="19.899999999999999" customHeight="1">
      <c r="A6" s="23" t="str">
        <f t="shared" si="0"/>
        <v>L003</v>
      </c>
      <c r="B6" s="24"/>
      <c r="C6" s="24"/>
      <c r="D6" s="24"/>
      <c r="E6" s="24"/>
      <c r="F6" s="25"/>
      <c r="G6" s="26"/>
      <c r="H6" s="26"/>
      <c r="I6" s="26" t="s">
        <v>36</v>
      </c>
      <c r="J6" s="27" t="s">
        <v>67</v>
      </c>
      <c r="K6" s="27" t="s">
        <v>38</v>
      </c>
      <c r="L6" s="28" t="s">
        <v>41</v>
      </c>
      <c r="M6" s="29">
        <v>2</v>
      </c>
      <c r="N6" s="30"/>
      <c r="O6" s="31">
        <f t="shared" ref="O6:O10" si="5">SUM(N6:N6)*M6*$O$2</f>
        <v>0</v>
      </c>
      <c r="P6" s="49">
        <v>208527</v>
      </c>
      <c r="Q6" s="31">
        <f>M6*P6</f>
        <v>417054</v>
      </c>
      <c r="R6" s="33"/>
      <c r="S6" s="31">
        <f t="shared" ref="S6:S11" si="6">R6*M6*$S$2</f>
        <v>0</v>
      </c>
      <c r="T6" s="33"/>
      <c r="U6" s="31">
        <f t="shared" ref="U6:U11" si="7">T6*M6*$U$2</f>
        <v>0</v>
      </c>
      <c r="V6" s="34">
        <f t="shared" ref="V6:V11" si="8">SUM(O6+Q6)+S6+U6</f>
        <v>417054</v>
      </c>
      <c r="W6" s="35"/>
      <c r="X6" s="36"/>
    </row>
    <row r="7" spans="1:24" s="37" customFormat="1" ht="19.899999999999999" customHeight="1">
      <c r="A7" s="23" t="str">
        <f t="shared" si="0"/>
        <v>M011902400300101</v>
      </c>
      <c r="B7" s="24"/>
      <c r="C7" s="24"/>
      <c r="D7" s="24"/>
      <c r="E7" s="24"/>
      <c r="F7" s="25"/>
      <c r="G7" s="26"/>
      <c r="H7" s="26" t="s">
        <v>35</v>
      </c>
      <c r="I7" s="26"/>
      <c r="J7" s="27" t="s">
        <v>43</v>
      </c>
      <c r="K7" s="27" t="s">
        <v>34</v>
      </c>
      <c r="L7" s="28" t="s">
        <v>63</v>
      </c>
      <c r="M7" s="29">
        <v>26</v>
      </c>
      <c r="N7" s="30">
        <v>5900</v>
      </c>
      <c r="O7" s="31">
        <f t="shared" si="5"/>
        <v>128089</v>
      </c>
      <c r="P7" s="49"/>
      <c r="Q7" s="31">
        <f t="shared" ref="Q7:Q9" si="9">(P7*M7)*$Q$2</f>
        <v>0</v>
      </c>
      <c r="R7" s="33"/>
      <c r="S7" s="31">
        <f t="shared" si="6"/>
        <v>0</v>
      </c>
      <c r="T7" s="33"/>
      <c r="U7" s="31">
        <f t="shared" si="7"/>
        <v>0</v>
      </c>
      <c r="V7" s="34">
        <f t="shared" si="8"/>
        <v>128089</v>
      </c>
      <c r="W7" s="35"/>
      <c r="X7" s="36"/>
    </row>
    <row r="8" spans="1:24" s="37" customFormat="1" ht="19.899999999999999" customHeight="1">
      <c r="A8" s="23" t="str">
        <f t="shared" ref="A8" si="10">F8&amp;G8&amp;H8&amp;I8</f>
        <v>M011900900300401</v>
      </c>
      <c r="B8" s="24"/>
      <c r="C8" s="24"/>
      <c r="D8" s="24"/>
      <c r="E8" s="24"/>
      <c r="F8" s="25"/>
      <c r="G8" s="26"/>
      <c r="H8" s="59" t="s">
        <v>64</v>
      </c>
      <c r="I8" s="26"/>
      <c r="J8" s="60" t="s">
        <v>66</v>
      </c>
      <c r="K8" s="60" t="s">
        <v>65</v>
      </c>
      <c r="L8" s="28" t="s">
        <v>63</v>
      </c>
      <c r="M8" s="29">
        <v>26</v>
      </c>
      <c r="N8" s="61">
        <v>13100</v>
      </c>
      <c r="O8" s="31"/>
      <c r="P8" s="49"/>
      <c r="Q8" s="31"/>
      <c r="R8" s="33"/>
      <c r="S8" s="31"/>
      <c r="T8" s="33"/>
      <c r="U8" s="31"/>
      <c r="V8" s="34"/>
      <c r="W8" s="35"/>
      <c r="X8" s="36"/>
    </row>
    <row r="9" spans="1:24" s="37" customFormat="1" ht="19.899999999999999" customHeight="1">
      <c r="A9" s="23" t="str">
        <f t="shared" si="0"/>
        <v>D02620</v>
      </c>
      <c r="B9" s="24"/>
      <c r="C9" s="24"/>
      <c r="D9" s="24"/>
      <c r="E9" s="24"/>
      <c r="F9" s="25" t="s">
        <v>32</v>
      </c>
      <c r="G9" s="26"/>
      <c r="H9" s="26"/>
      <c r="I9" s="26"/>
      <c r="J9" s="27" t="s">
        <v>39</v>
      </c>
      <c r="K9" s="27" t="s">
        <v>33</v>
      </c>
      <c r="L9" s="28" t="s">
        <v>63</v>
      </c>
      <c r="M9" s="29">
        <v>52</v>
      </c>
      <c r="N9" s="30">
        <v>125</v>
      </c>
      <c r="O9" s="31">
        <f t="shared" si="5"/>
        <v>5427.5</v>
      </c>
      <c r="P9" s="49">
        <v>14590</v>
      </c>
      <c r="Q9" s="31">
        <f t="shared" si="9"/>
        <v>633497.79999999993</v>
      </c>
      <c r="R9" s="33"/>
      <c r="S9" s="31">
        <f t="shared" si="6"/>
        <v>0</v>
      </c>
      <c r="T9" s="33"/>
      <c r="U9" s="31">
        <f t="shared" si="7"/>
        <v>0</v>
      </c>
      <c r="V9" s="34">
        <f t="shared" si="8"/>
        <v>638925.29999999993</v>
      </c>
      <c r="W9" s="35"/>
      <c r="X9" s="36"/>
    </row>
    <row r="10" spans="1:24" s="37" customFormat="1" ht="19.899999999999999" customHeight="1">
      <c r="A10" s="23" t="str">
        <f t="shared" si="0"/>
        <v>L003</v>
      </c>
      <c r="B10" s="24"/>
      <c r="C10" s="24"/>
      <c r="D10" s="24"/>
      <c r="E10" s="24"/>
      <c r="F10" s="25"/>
      <c r="G10" s="26"/>
      <c r="H10" s="26"/>
      <c r="I10" s="26" t="s">
        <v>42</v>
      </c>
      <c r="J10" s="27" t="s">
        <v>40</v>
      </c>
      <c r="K10" s="27" t="s">
        <v>38</v>
      </c>
      <c r="L10" s="28" t="s">
        <v>41</v>
      </c>
      <c r="M10" s="29">
        <v>1.5</v>
      </c>
      <c r="N10" s="30"/>
      <c r="O10" s="31">
        <f t="shared" si="5"/>
        <v>0</v>
      </c>
      <c r="P10" s="49">
        <v>208527</v>
      </c>
      <c r="Q10" s="31">
        <f>M10*P10</f>
        <v>312790.5</v>
      </c>
      <c r="R10" s="33"/>
      <c r="S10" s="31">
        <f t="shared" si="6"/>
        <v>0</v>
      </c>
      <c r="T10" s="33"/>
      <c r="U10" s="31">
        <f t="shared" si="7"/>
        <v>0</v>
      </c>
      <c r="V10" s="34">
        <f t="shared" si="8"/>
        <v>312790.5</v>
      </c>
      <c r="W10" s="35"/>
      <c r="X10" s="36"/>
    </row>
    <row r="11" spans="1:24" s="37" customFormat="1" ht="19.899999999999999" customHeight="1">
      <c r="A11" s="23" t="str">
        <f t="shared" ref="A11" si="11">F11&amp;G11&amp;H11&amp;I11</f>
        <v/>
      </c>
      <c r="B11" s="24"/>
      <c r="C11" s="24"/>
      <c r="D11" s="24"/>
      <c r="E11" s="24"/>
      <c r="F11" s="25"/>
      <c r="G11" s="26"/>
      <c r="H11" s="26"/>
      <c r="I11" s="26"/>
      <c r="J11" s="27" t="s">
        <v>28</v>
      </c>
      <c r="K11" s="27" t="s">
        <v>31</v>
      </c>
      <c r="L11" s="28" t="s">
        <v>30</v>
      </c>
      <c r="M11" s="29">
        <v>0.5</v>
      </c>
      <c r="N11" s="30"/>
      <c r="O11" s="31"/>
      <c r="P11" s="49"/>
      <c r="Q11" s="31"/>
      <c r="R11" s="33">
        <v>40900</v>
      </c>
      <c r="S11" s="31">
        <f t="shared" si="6"/>
        <v>17075.75</v>
      </c>
      <c r="T11" s="33">
        <v>213000</v>
      </c>
      <c r="U11" s="31">
        <f t="shared" si="7"/>
        <v>88927.5</v>
      </c>
      <c r="V11" s="34">
        <f t="shared" si="8"/>
        <v>106003.25</v>
      </c>
      <c r="W11" s="35"/>
      <c r="X11" s="36"/>
    </row>
    <row r="12" spans="1:24" s="37" customFormat="1" ht="19.899999999999999" customHeight="1">
      <c r="A12" s="23"/>
      <c r="B12" s="24"/>
      <c r="C12" s="24"/>
      <c r="D12" s="24"/>
      <c r="E12" s="24"/>
      <c r="F12" s="25"/>
      <c r="G12" s="26"/>
      <c r="H12" s="26"/>
      <c r="I12" s="25"/>
      <c r="J12" s="28"/>
      <c r="K12" s="28"/>
      <c r="L12" s="38"/>
      <c r="M12" s="39"/>
      <c r="N12" s="30"/>
      <c r="O12" s="31"/>
      <c r="P12" s="32"/>
      <c r="Q12" s="40"/>
      <c r="R12" s="33"/>
      <c r="S12" s="31"/>
      <c r="T12" s="33"/>
      <c r="U12" s="31"/>
      <c r="V12" s="33"/>
      <c r="W12" s="35"/>
      <c r="X12" s="36"/>
    </row>
    <row r="13" spans="1:24" s="42" customFormat="1" ht="19.899999999999999" customHeight="1">
      <c r="A13" s="41"/>
      <c r="B13" s="41"/>
      <c r="C13" s="41"/>
      <c r="D13" s="41"/>
      <c r="E13" s="41"/>
      <c r="O13" s="43">
        <f>SUM(O5:O12)</f>
        <v>133516.5</v>
      </c>
      <c r="P13" s="44"/>
      <c r="Q13" s="43">
        <f>SUM(Q5:Q12)</f>
        <v>1566063.6</v>
      </c>
      <c r="R13" s="44"/>
      <c r="S13" s="43">
        <f>SUM(S5:S12)</f>
        <v>17075.75</v>
      </c>
      <c r="T13" s="44"/>
      <c r="U13" s="43">
        <f>SUM(U5:U12)</f>
        <v>88927.5</v>
      </c>
      <c r="V13" s="45">
        <f>SUM(V5:V12)</f>
        <v>1805583.35</v>
      </c>
      <c r="W13" s="46"/>
    </row>
    <row r="17" spans="17:17">
      <c r="Q17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P48" sqref="P48"/>
    </sheetView>
  </sheetViews>
  <sheetFormatPr defaultColWidth="9" defaultRowHeight="16.5"/>
  <cols>
    <col min="1" max="1" width="11.5" style="1" bestFit="1" customWidth="1"/>
    <col min="2" max="2" width="17.875" style="1" customWidth="1"/>
    <col min="3" max="3" width="14.625" style="1" customWidth="1"/>
    <col min="4" max="4" width="10.875" style="1" customWidth="1"/>
    <col min="5" max="5" width="12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/>
    <row r="2" spans="1:5">
      <c r="A2" s="4"/>
      <c r="B2" s="5"/>
      <c r="C2" s="5"/>
      <c r="D2" s="5"/>
      <c r="E2" s="6"/>
    </row>
  </sheetData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/>
  <cols>
    <col min="1" max="1" width="11.125" style="7" customWidth="1"/>
    <col min="2" max="2" width="13.375" style="7" customWidth="1"/>
    <col min="3" max="3" width="29.125" style="7" bestFit="1" customWidth="1"/>
    <col min="4" max="4" width="30.875" style="7" bestFit="1" customWidth="1"/>
    <col min="5" max="5" width="5" style="7" customWidth="1"/>
    <col min="6" max="6" width="6.25" style="7" customWidth="1"/>
    <col min="7" max="7" width="10" style="7" customWidth="1"/>
    <col min="8" max="8" width="11.875" style="7" customWidth="1"/>
    <col min="9" max="9" width="10" style="7" customWidth="1"/>
    <col min="10" max="10" width="11.875" style="7" customWidth="1"/>
    <col min="11" max="11" width="10" style="7" customWidth="1"/>
    <col min="12" max="12" width="11.875" style="7" customWidth="1"/>
    <col min="13" max="13" width="10" style="7" customWidth="1"/>
    <col min="14" max="14" width="11.875" style="7" customWidth="1"/>
    <col min="15" max="15" width="9.125" style="7" customWidth="1"/>
    <col min="16" max="16" width="11.5" style="7" customWidth="1"/>
    <col min="17" max="17" width="11.75" style="7" customWidth="1"/>
    <col min="18" max="18" width="17.875" style="7" customWidth="1"/>
    <col min="19" max="16384" width="9" style="7"/>
  </cols>
  <sheetData>
    <row r="1" spans="1:18" ht="18" customHeight="1">
      <c r="A1" s="50" t="s">
        <v>8</v>
      </c>
      <c r="B1" s="50" t="s">
        <v>9</v>
      </c>
      <c r="C1" s="50" t="s">
        <v>10</v>
      </c>
      <c r="D1" s="50" t="s">
        <v>11</v>
      </c>
      <c r="E1" s="50" t="s">
        <v>12</v>
      </c>
      <c r="F1" s="50" t="s">
        <v>5</v>
      </c>
      <c r="G1" s="50" t="s">
        <v>13</v>
      </c>
      <c r="H1" s="50" t="s">
        <v>14</v>
      </c>
      <c r="I1" s="50" t="s">
        <v>15</v>
      </c>
      <c r="J1" s="50" t="s">
        <v>16</v>
      </c>
      <c r="K1" s="50" t="s">
        <v>17</v>
      </c>
      <c r="L1" s="50" t="s">
        <v>18</v>
      </c>
      <c r="M1" s="50" t="s">
        <v>19</v>
      </c>
      <c r="N1" s="50" t="s">
        <v>20</v>
      </c>
      <c r="O1" s="50" t="s">
        <v>21</v>
      </c>
      <c r="P1" s="50" t="s">
        <v>22</v>
      </c>
      <c r="Q1" s="50" t="s">
        <v>23</v>
      </c>
      <c r="R1" s="50" t="s">
        <v>24</v>
      </c>
    </row>
    <row r="2" spans="1:18" ht="18" customHeight="1">
      <c r="A2" s="11">
        <v>999999</v>
      </c>
      <c r="B2" s="12" t="s">
        <v>25</v>
      </c>
      <c r="C2" s="51" t="s">
        <v>136</v>
      </c>
      <c r="D2" s="52" t="s">
        <v>29</v>
      </c>
      <c r="E2" s="53" t="s">
        <v>30</v>
      </c>
      <c r="F2" s="54">
        <v>0.5</v>
      </c>
      <c r="G2" s="55"/>
      <c r="H2" s="55"/>
      <c r="I2" s="55"/>
      <c r="J2" s="55"/>
      <c r="K2" s="55">
        <v>34151.5</v>
      </c>
      <c r="L2" s="55"/>
      <c r="M2" s="55">
        <v>177855</v>
      </c>
      <c r="N2" s="55"/>
      <c r="O2" s="55"/>
      <c r="P2" s="55"/>
      <c r="Q2" s="55"/>
      <c r="R2" s="53"/>
    </row>
    <row r="3" spans="1:18"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8"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8"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8"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8"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8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8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8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8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7"/>
  <sheetViews>
    <sheetView showGridLines="0" zoomScaleNormal="100" workbookViewId="0">
      <selection activeCell="D30" sqref="D30"/>
    </sheetView>
  </sheetViews>
  <sheetFormatPr defaultColWidth="9" defaultRowHeight="16.5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  <col min="7" max="16384" width="9" style="7"/>
  </cols>
  <sheetData>
    <row r="1" spans="1:6" ht="18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>
      <c r="A2" s="57" t="e">
        <v>#REF!</v>
      </c>
      <c r="B2" s="58" t="str">
        <f>'내역서(표준단가)'!F5</f>
        <v>D02339</v>
      </c>
      <c r="C2" s="58">
        <f>'내역서(표준단가)'!G5</f>
        <v>0</v>
      </c>
      <c r="D2" s="58">
        <f>'내역서(표준단가)'!H5</f>
        <v>0</v>
      </c>
      <c r="E2" s="58">
        <f>'내역서(표준단가)'!I5</f>
        <v>0</v>
      </c>
      <c r="F2" s="62">
        <f>'내역서(표준단가)'!M5</f>
        <v>10</v>
      </c>
    </row>
    <row r="3" spans="1:6">
      <c r="A3" s="57" t="str">
        <f>'내역서(표준단가)'!A6</f>
        <v>L003</v>
      </c>
      <c r="B3" s="58">
        <f>'내역서(표준단가)'!F6</f>
        <v>0</v>
      </c>
      <c r="C3" s="58">
        <f>'내역서(표준단가)'!G6</f>
        <v>0</v>
      </c>
      <c r="D3" s="58">
        <f>'내역서(표준단가)'!H6</f>
        <v>0</v>
      </c>
      <c r="E3" s="58" t="str">
        <f>'내역서(표준단가)'!I6</f>
        <v>L003</v>
      </c>
      <c r="F3" s="62">
        <f>'내역서(표준단가)'!M6</f>
        <v>2</v>
      </c>
    </row>
    <row r="4" spans="1:6">
      <c r="A4" s="57" t="str">
        <f>'내역서(표준단가)'!A7</f>
        <v>M011902400300101</v>
      </c>
      <c r="B4" s="58">
        <f>'내역서(표준단가)'!F7</f>
        <v>0</v>
      </c>
      <c r="C4" s="58">
        <f>'내역서(표준단가)'!G7</f>
        <v>0</v>
      </c>
      <c r="D4" s="58" t="str">
        <f>'내역서(표준단가)'!H7</f>
        <v>M011902400300101</v>
      </c>
      <c r="E4" s="58">
        <f>'내역서(표준단가)'!I7</f>
        <v>0</v>
      </c>
      <c r="F4" s="62">
        <f>'내역서(표준단가)'!M7</f>
        <v>26</v>
      </c>
    </row>
    <row r="5" spans="1:6">
      <c r="A5" s="57" t="str">
        <f>'내역서(표준단가)'!A8</f>
        <v>M011900900300401</v>
      </c>
      <c r="B5" s="58">
        <f>'내역서(표준단가)'!F8</f>
        <v>0</v>
      </c>
      <c r="C5" s="58">
        <f>'내역서(표준단가)'!G8</f>
        <v>0</v>
      </c>
      <c r="D5" s="58" t="str">
        <f>'내역서(표준단가)'!H8</f>
        <v>M011900900300401</v>
      </c>
      <c r="E5" s="58">
        <f>'내역서(표준단가)'!I8</f>
        <v>0</v>
      </c>
      <c r="F5" s="62">
        <f>'내역서(표준단가)'!M8</f>
        <v>26</v>
      </c>
    </row>
    <row r="6" spans="1:6">
      <c r="A6" s="57" t="str">
        <f>'내역서(표준단가)'!A9</f>
        <v>D02620</v>
      </c>
      <c r="B6" s="58" t="str">
        <f>'내역서(표준단가)'!F9</f>
        <v>D02620</v>
      </c>
      <c r="C6" s="58">
        <f>'내역서(표준단가)'!G9</f>
        <v>0</v>
      </c>
      <c r="D6" s="58">
        <f>'내역서(표준단가)'!H9</f>
        <v>0</v>
      </c>
      <c r="E6" s="58">
        <f>'내역서(표준단가)'!I9</f>
        <v>0</v>
      </c>
      <c r="F6" s="62">
        <f>'내역서(표준단가)'!M9</f>
        <v>52</v>
      </c>
    </row>
    <row r="7" spans="1:6">
      <c r="A7" s="57" t="str">
        <f>'내역서(표준단가)'!A10</f>
        <v>L003</v>
      </c>
      <c r="B7" s="58">
        <f>'내역서(표준단가)'!F10</f>
        <v>0</v>
      </c>
      <c r="C7" s="58">
        <f>'내역서(표준단가)'!G10</f>
        <v>0</v>
      </c>
      <c r="D7" s="58">
        <f>'내역서(표준단가)'!H10</f>
        <v>0</v>
      </c>
      <c r="E7" s="58" t="str">
        <f>'내역서(표준단가)'!I10</f>
        <v>L003</v>
      </c>
      <c r="F7" s="62">
        <f>'내역서(표준단가)'!M10</f>
        <v>1.5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2025-01-16T06:19:36Z</dcterms:modified>
</cp:coreProperties>
</file>
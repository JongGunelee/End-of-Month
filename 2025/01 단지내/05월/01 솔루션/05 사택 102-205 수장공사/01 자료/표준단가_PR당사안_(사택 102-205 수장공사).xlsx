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9 사택 102-205 수장공사\01 자료\"/>
    </mc:Choice>
  </mc:AlternateContent>
  <xr:revisionPtr revIDLastSave="0" documentId="13_ncr:1_{5D7467BF-B465-427F-BFBA-48974D89C2F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 s="1"/>
  <c r="N32" i="9"/>
  <c r="L32" i="9"/>
  <c r="J32" i="9"/>
  <c r="H32" i="9"/>
  <c r="N30" i="9"/>
  <c r="L30" i="9"/>
  <c r="J30" i="9"/>
  <c r="H30" i="9"/>
  <c r="F30" i="9"/>
  <c r="N24" i="9"/>
  <c r="L24" i="9"/>
  <c r="J24" i="9"/>
  <c r="H24" i="9"/>
  <c r="F24" i="9"/>
  <c r="D24" i="9"/>
  <c r="L14" i="9"/>
  <c r="J14" i="9"/>
  <c r="F14" i="9"/>
  <c r="D14" i="9"/>
  <c r="O5" i="4" a="1"/>
  <c r="O5" i="4" s="1"/>
  <c r="J21" i="11"/>
  <c r="J19" i="11"/>
  <c r="J29" i="11"/>
  <c r="J24" i="11" l="1"/>
  <c r="J23" i="11"/>
  <c r="J26" i="11"/>
  <c r="J25" i="11"/>
  <c r="J27" i="11" s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3" i="4"/>
  <c r="A10" i="1" s="1"/>
  <c r="O13" i="4"/>
  <c r="Q13" i="4"/>
  <c r="S13" i="4"/>
  <c r="U13" i="4"/>
  <c r="V13" i="4" l="1"/>
  <c r="F2" i="1" l="1"/>
  <c r="E2" i="1"/>
  <c r="D2" i="1"/>
  <c r="C2" i="1"/>
  <c r="B2" i="1"/>
  <c r="H31" i="9" l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5" i="9"/>
  <c r="N7" i="9"/>
  <c r="N9" i="9"/>
  <c r="N11" i="9"/>
  <c r="N6" i="9"/>
  <c r="N8" i="9"/>
  <c r="N10" i="9"/>
  <c r="N12" i="9"/>
  <c r="N31" i="9"/>
  <c r="N20" i="9"/>
  <c r="N22" i="9"/>
  <c r="N26" i="9"/>
  <c r="N28" i="9"/>
  <c r="N21" i="9"/>
  <c r="N23" i="9"/>
  <c r="N27" i="9"/>
  <c r="N29" i="9"/>
  <c r="F33" i="9" l="1"/>
  <c r="L33" i="9"/>
  <c r="J15" i="4"/>
  <c r="J14" i="4"/>
  <c r="U12" i="4"/>
  <c r="S12" i="4"/>
  <c r="Q12" i="4"/>
  <c r="O12" i="4"/>
  <c r="A12" i="4"/>
  <c r="A9" i="1" s="1"/>
  <c r="A16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H13" i="9"/>
  <c r="H14" i="9" s="1"/>
  <c r="N13" i="9" l="1"/>
  <c r="H33" i="9"/>
  <c r="N14" i="9" l="1"/>
  <c r="N33" i="9" s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O17" i="4" l="1"/>
  <c r="J18" i="11" s="1"/>
  <c r="J22" i="11" l="1"/>
  <c r="J28" i="11" l="1"/>
  <c r="J20" i="11" s="1"/>
  <c r="J30" i="11" l="1"/>
  <c r="M32" i="1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<sst xmlns="http://schemas.openxmlformats.org/spreadsheetml/2006/main" count="269" uniqueCount="203">
  <si>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</si>
  <si>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</si>
  <si>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</si>
  <si>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</si>
  <si>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</si>
  <si>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</si>
  <si>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</si>
  <si>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</si>
  <si>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</si>
  <si>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</si>
  <si>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</si>
  <si>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</si>
  <si>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</si>
  <si>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</si>
  <si>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</si>
  <si>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</si>
  <si>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</si>
  <si>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</si>
  <si>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</si>
  <si>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</si>
  <si>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</si>
  <si>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</si>
  <si>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</si>
  <si>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</si>
  <si>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</si>
  <si>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</si>
  <si>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</si>
  <si>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</si>
  <si>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</si>
  <si>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</si>
  <si>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</si>
  <si>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</si>
  <si>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</si>
  <si>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</si>
  <si>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</si>
  <si>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</si>
  <si>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</si>
  <si>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</si>
  <si>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</si>
  <si>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</si>
  <si>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</si>
  <si>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</si>
  <si>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</si>
  <si>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</si>
  <si>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</si>
  <si>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</si>
  <si>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</si>
  <si>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</si>
  <si>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</si>
  <si>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</si>
  <si>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</si>
  <si>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</si>
  <si>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</si>
  <si>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</si>
  <si>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</si>
  <si>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</si>
  <si>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</si>
  <si>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</si>
  <si>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</si>
  <si>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</si>
  <si>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</si>
  <si>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</si>
  <si>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</si>
  <si>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</si>
  <si>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</si>
  <si>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</si>
  <si>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</si>
  <si>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</si>
  <si>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</si>
  <si>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</si>
  <si>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</si>
  <si>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</si>
  <si>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</si>
  <si>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</si>
  <si>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</si>
  <si>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</si>
  <si>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</si>
  <si>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</si>
  <si>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</si>
  <si>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</si>
  <si>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</si>
  <si>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</si>
  <si>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</si>
  <si>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</si>
  <si>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</si>
  <si>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</si>
  <si>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</si>
  <si>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</si>
  <si>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</si>
  <si>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</si>
  <si>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</si>
  <si>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</si>
  <si>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</si>
  <si>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</si>
  <si>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</si>
  <si>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</si>
  <si>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</si>
  <si>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</si>
  <si>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</si>
  <si>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</si>
  <si>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</si>
  <si>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</si>
  <si>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</si>
  <si>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</si>
  <si>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30%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</si>
  <si>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</si>
  <si>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</si>
  <si>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</si>
  <si>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</si>
  <si>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</si>
  <si>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</si>
  <si>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</si>
  <si>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</si>
  <si>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</si>
  <si>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</si>
  <si>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</si>
  <si>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</si>
  <si>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</si>
  <si>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</si>
  <si>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</si>
  <si>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</si>
  <si>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</si>
  <si>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</si>
  <si>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102-205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</si>
  <si>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</si>
  <si>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</si>
  <si>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</si>
  <si>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</si>
  <si>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</si>
  <si>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</si>
  <si>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</si>
  <si>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</si>
  <si>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</si>
  <si>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</si>
  <si>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</si>
  <si>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</si>
  <si>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</si>
  <si>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</si>
  <si>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</si>
  <si>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</si>
  <si>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</si>
  <si>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</si>
  <si>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</si>
  <si>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</si>
  <si>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</si>
  <si>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</si>
  <si>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</si>
  <si>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</si>
  <si>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</si>
  <si>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</si>
  <si>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</si>
  <si>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</si>
  <si>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</si>
  <si>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</si>
  <si>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</si>
  <si>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</si>
  <si>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</si>
  <si>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</si>
  <si>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</si>
  <si>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</si>
  <si>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</si>
  <si>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</si>
  <si>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</si>
  <si>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</si>
  <si>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</si>
  <si>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</si>
  <si>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</si>
  <si>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</si>
  <si>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</si>
  <si>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</si>
  <si>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</si>
  <si>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</si>
  <si>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</si>
  <si>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</si>
  <si>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</si>
  <si>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</si>
  <si>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</si>
  <si>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</si>
  <si>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</si>
  <si>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</si>
  <si>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</si>
  <si>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</si>
  <si>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</si>
  <si>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</si>
  <si>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</si>
  <si>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</si>
  <si>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</si>
  <si>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</si>
  <si>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102-205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</si>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</sst>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9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Border="1" applyAlignment="1">
      <alignment vertical="center"/>
    </xf>
    <xf numFmtId="0" fontId="32" fillId="0" borderId="32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/>
    </xf>
    <xf numFmtId="0" fontId="32" fillId="0" borderId="54" xfId="20" applyFont="1" applyBorder="1" applyAlignment="1">
      <alignment horizontal="center" vertical="center"/>
    </xf>
    <xf numFmtId="0" fontId="32" fillId="0" borderId="20" xfId="20" applyFont="1" applyBorder="1" applyAlignment="1">
      <alignment horizontal="center" vertical="center"/>
    </xf>
    <xf numFmtId="0" fontId="36" fillId="0" borderId="62" xfId="20" applyFont="1" applyBorder="1" applyAlignment="1">
      <alignment horizontal="center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0" fontId="36" fillId="0" borderId="62" xfId="20" applyFont="1" applyBorder="1" applyAlignment="1">
      <alignment horizontal="left" vertical="center" wrapText="1" indent="1"/>
    </xf>
    <xf numFmtId="0" fontId="36" fillId="0" borderId="63" xfId="20" applyFont="1" applyBorder="1" applyAlignment="1">
      <alignment horizontal="left" vertical="center" wrapText="1" indent="1"/>
    </xf>
    <xf numFmtId="0" fontId="36" fillId="0" borderId="64" xfId="20" applyFont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Border="1" applyAlignment="1">
      <alignment horizontal="center" vertical="center" wrapText="1"/>
    </xf>
    <xf numFmtId="0" fontId="32" fillId="0" borderId="33" xfId="20" applyFont="1" applyBorder="1" applyAlignment="1">
      <alignment horizontal="center" vertical="center" wrapText="1"/>
    </xf>
    <xf numFmtId="0" fontId="32" fillId="0" borderId="53" xfId="20" applyFont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485C24C-CFFD-46ED-A354-013CB556B279}"/>
    <cellStyle name="쉼표 [0] 2 84" xfId="24" xr:uid="{DD826896-6ED0-4866-B640-3B73436A5B0F}"/>
    <cellStyle name="쉼표 [0] 3" xfId="14" xr:uid="{8F7BE219-40E1-4BBB-A9BD-02188B74B2A3}"/>
    <cellStyle name="쉼표 [0] 4" xfId="21" xr:uid="{F4A4BFAC-2882-4023-98CF-60F98C40CD5C}"/>
    <cellStyle name="쉼표 [0] 5" xfId="23" xr:uid="{33F2EBFB-4174-4252-8A1E-906364981AC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ED4AF114-C8CE-4CCA-BDA8-1BFD0AA8710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0AF2255C-A5C9-4E80-B493-FFAAC50B9F2D}"/>
    <cellStyle name="표준_P456 공장 및 복지동 전면 유리창 청소건 라상혁님_1129(최종)" xfId="20" xr:uid="{66BBB8C1-EBB9-47CC-8794-D8B7D517E9BF}"/>
    <cellStyle name="표준_S&amp;D_MAIN VALVE_최빈_2" xfId="17" xr:uid="{E9B0D22B-D312-4409-A7E2-CA4D717C6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F62E0B5-E9F0-4140-A020-B5DC683FF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3C35-0FF8-4F1A-ADEC-5E0684B5D4F5}">
  <sheetPr>
    <tabColor rgb="FFFFFF00"/>
  </sheetPr>
  <dimension ref="A1:Q43"/>
  <sheetViews>
    <sheetView tabSelected="1" view="pageBreakPreview" topLeftCell="A8" zoomScale="85" zoomScaleNormal="85" zoomScaleSheetLayoutView="85" workbookViewId="0">
      <selection activeCell="C24" sqref="C24:G24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244"/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6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247" t="s">
        <v>124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9"/>
    </row>
    <row r="4" spans="1:15" ht="16.5" customHeight="1" x14ac:dyDescent="0.3">
      <c r="A4" s="102" t="s">
        <v>125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189</v>
      </c>
      <c r="C5" s="163"/>
      <c r="D5" s="163"/>
      <c r="E5" s="163"/>
      <c r="F5" s="163"/>
      <c r="G5" s="108"/>
      <c r="H5" s="108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250" t="s">
        <v>126</v>
      </c>
      <c r="B7" s="251"/>
      <c r="C7" s="252"/>
      <c r="D7" s="164">
        <v>2025</v>
      </c>
      <c r="E7" s="115" t="s">
        <v>127</v>
      </c>
      <c r="F7" s="115">
        <v>3</v>
      </c>
      <c r="G7" s="115" t="s">
        <v>128</v>
      </c>
      <c r="H7" s="115">
        <v>10</v>
      </c>
      <c r="I7" s="115" t="s">
        <v>129</v>
      </c>
      <c r="J7" s="116"/>
      <c r="K7" s="253" t="s">
        <v>130</v>
      </c>
      <c r="L7" s="117" t="s">
        <v>131</v>
      </c>
      <c r="M7" s="117" t="s">
        <v>132</v>
      </c>
      <c r="N7" s="117" t="s">
        <v>133</v>
      </c>
      <c r="O7" s="118" t="s">
        <v>134</v>
      </c>
    </row>
    <row r="8" spans="1:15" ht="23.25" customHeight="1" x14ac:dyDescent="0.3">
      <c r="A8" s="256" t="s">
        <v>135</v>
      </c>
      <c r="B8" s="257"/>
      <c r="C8" s="258"/>
      <c r="D8" s="259" t="s">
        <v>136</v>
      </c>
      <c r="E8" s="260"/>
      <c r="F8" s="260"/>
      <c r="G8" s="261"/>
      <c r="H8" s="262" t="s">
        <v>137</v>
      </c>
      <c r="I8" s="260"/>
      <c r="J8" s="263"/>
      <c r="K8" s="254"/>
      <c r="L8" s="119" t="s">
        <v>138</v>
      </c>
      <c r="M8" s="119" t="s">
        <v>139</v>
      </c>
      <c r="N8" s="119" t="s">
        <v>140</v>
      </c>
      <c r="O8" s="120" t="s">
        <v>141</v>
      </c>
    </row>
    <row r="9" spans="1:15" ht="23.25" customHeight="1" x14ac:dyDescent="0.3">
      <c r="A9" s="256" t="s">
        <v>142</v>
      </c>
      <c r="B9" s="257"/>
      <c r="C9" s="258"/>
      <c r="D9" s="264" t="s">
        <v>143</v>
      </c>
      <c r="E9" s="265"/>
      <c r="F9" s="265"/>
      <c r="G9" s="265"/>
      <c r="H9" s="265"/>
      <c r="I9" s="265"/>
      <c r="J9" s="266"/>
      <c r="K9" s="254"/>
      <c r="L9" s="119" t="s">
        <v>144</v>
      </c>
      <c r="M9" s="267" t="s">
        <v>145</v>
      </c>
      <c r="N9" s="257"/>
      <c r="O9" s="258"/>
    </row>
    <row r="10" spans="1:15" ht="23.25" customHeight="1" thickBot="1" x14ac:dyDescent="0.35">
      <c r="A10" s="268" t="s">
        <v>146</v>
      </c>
      <c r="B10" s="269"/>
      <c r="C10" s="270"/>
      <c r="D10" s="271" t="s">
        <v>147</v>
      </c>
      <c r="E10" s="272"/>
      <c r="F10" s="272"/>
      <c r="G10" s="272"/>
      <c r="H10" s="272"/>
      <c r="I10" s="272"/>
      <c r="J10" s="273"/>
      <c r="K10" s="255"/>
      <c r="L10" s="121" t="s">
        <v>148</v>
      </c>
      <c r="M10" s="121" t="s">
        <v>149</v>
      </c>
      <c r="N10" s="121" t="s">
        <v>150</v>
      </c>
      <c r="O10" s="122" t="s">
        <v>151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243" t="s">
        <v>188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130" t="s">
        <v>152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26" t="str">
        <f>"견 적 금 액 : 一金"&amp;NUMBERSTRING(M32,1) &amp; "원정""(\"&amp; TEXT(M32,"#,###")&amp;"원) [VAT 별도]"</f>
        <v>견 적 금 액 : 一金사백팔십만구백오십원정"(\4,800,950원) [VAT 별도]</v>
      </c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7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28"/>
      <c r="L16" s="228"/>
      <c r="M16" s="228"/>
      <c r="N16" s="228"/>
      <c r="O16" s="229"/>
    </row>
    <row r="17" spans="1:17" ht="27.75" customHeight="1" thickBot="1" x14ac:dyDescent="0.35">
      <c r="A17" s="131" t="s">
        <v>153</v>
      </c>
      <c r="B17" s="236" t="s">
        <v>154</v>
      </c>
      <c r="C17" s="237"/>
      <c r="D17" s="237"/>
      <c r="E17" s="237"/>
      <c r="F17" s="237"/>
      <c r="G17" s="238"/>
      <c r="H17" s="132" t="s">
        <v>155</v>
      </c>
      <c r="I17" s="133" t="s">
        <v>156</v>
      </c>
      <c r="J17" s="239" t="s">
        <v>157</v>
      </c>
      <c r="K17" s="240"/>
      <c r="L17" s="240"/>
      <c r="M17" s="241"/>
      <c r="N17" s="236" t="s">
        <v>158</v>
      </c>
      <c r="O17" s="242"/>
    </row>
    <row r="18" spans="1:17" ht="28.5" customHeight="1" x14ac:dyDescent="0.3">
      <c r="A18" s="134">
        <v>1</v>
      </c>
      <c r="B18" s="230" t="s">
        <v>107</v>
      </c>
      <c r="C18" s="231"/>
      <c r="D18" s="231"/>
      <c r="E18" s="231"/>
      <c r="F18" s="231"/>
      <c r="G18" s="232"/>
      <c r="H18" s="165">
        <v>1</v>
      </c>
      <c r="I18" s="166" t="s">
        <v>6</v>
      </c>
      <c r="J18" s="233">
        <f>IFERROR(LOOKUP(2, 1/(TRIM('내역서(표준단가)'!O4:O100)&lt;&gt;""), '내역서(표준단가)'!O4:O100), "-")</f>
        <v>998068.82</v>
      </c>
      <c r="K18" s="233"/>
      <c r="L18" s="233"/>
      <c r="M18" s="233"/>
      <c r="N18" s="234"/>
      <c r="O18" s="235"/>
    </row>
    <row r="19" spans="1:17" ht="28.5" customHeight="1" x14ac:dyDescent="0.3">
      <c r="A19" s="135">
        <v>2</v>
      </c>
      <c r="B19" s="213" t="s">
        <v>108</v>
      </c>
      <c r="C19" s="214"/>
      <c r="D19" s="214"/>
      <c r="E19" s="214"/>
      <c r="F19" s="214"/>
      <c r="G19" s="215"/>
      <c r="H19" s="167">
        <v>1</v>
      </c>
      <c r="I19" s="167" t="s">
        <v>6</v>
      </c>
      <c r="J19" s="216">
        <f>IFERROR(LOOKUP(2, 1/(TRIM('내역서(표준단가)'!Q4:Q100)&lt;&gt;""), '내역서(표준단가)'!Q4:Q100), "-")</f>
        <v>2822108.7850000001</v>
      </c>
      <c r="K19" s="217"/>
      <c r="L19" s="217"/>
      <c r="M19" s="218"/>
      <c r="N19" s="219"/>
      <c r="O19" s="220"/>
    </row>
    <row r="20" spans="1:17" ht="28.5" customHeight="1" x14ac:dyDescent="0.3">
      <c r="A20" s="135">
        <v>3</v>
      </c>
      <c r="B20" s="213" t="s">
        <v>159</v>
      </c>
      <c r="C20" s="214"/>
      <c r="D20" s="214"/>
      <c r="E20" s="214"/>
      <c r="F20" s="214"/>
      <c r="G20" s="215"/>
      <c r="H20" s="136">
        <v>1</v>
      </c>
      <c r="I20" s="136" t="s">
        <v>6</v>
      </c>
      <c r="J20" s="221">
        <f>IFERROR(SUM(J21:M29),"-")</f>
        <v>487772.21320070839</v>
      </c>
      <c r="K20" s="222"/>
      <c r="L20" s="222"/>
      <c r="M20" s="223"/>
      <c r="N20" s="224"/>
      <c r="O20" s="225"/>
      <c r="P20" s="137"/>
    </row>
    <row r="21" spans="1:17" ht="28.5" customHeight="1" x14ac:dyDescent="0.3">
      <c r="A21" s="134"/>
      <c r="B21" s="138"/>
      <c r="C21" s="205" t="s">
        <v>160</v>
      </c>
      <c r="D21" s="206"/>
      <c r="E21" s="206"/>
      <c r="F21" s="206"/>
      <c r="G21" s="207"/>
      <c r="H21" s="168">
        <v>1</v>
      </c>
      <c r="I21" s="168" t="s">
        <v>6</v>
      </c>
      <c r="J21" s="20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9"/>
      <c r="L21" s="209"/>
      <c r="M21" s="210"/>
      <c r="N21" s="211" t="s">
        <v>161</v>
      </c>
      <c r="O21" s="212"/>
    </row>
    <row r="22" spans="1:17" ht="28.5" customHeight="1" x14ac:dyDescent="0.3">
      <c r="A22" s="134"/>
      <c r="B22" s="138"/>
      <c r="C22" s="199" t="s">
        <v>162</v>
      </c>
      <c r="D22" s="200"/>
      <c r="E22" s="200"/>
      <c r="F22" s="200"/>
      <c r="G22" s="201"/>
      <c r="H22" s="139">
        <v>3.11</v>
      </c>
      <c r="I22" s="139" t="s">
        <v>163</v>
      </c>
      <c r="J22" s="202">
        <f>IFERROR((J18+J19)*H22%,"-")</f>
        <v>118807.5235155</v>
      </c>
      <c r="K22" s="203"/>
      <c r="L22" s="203"/>
      <c r="M22" s="204"/>
      <c r="N22" s="195" t="s">
        <v>164</v>
      </c>
      <c r="O22" s="196"/>
    </row>
    <row r="23" spans="1:17" ht="28.5" customHeight="1" x14ac:dyDescent="0.3">
      <c r="A23" s="134"/>
      <c r="B23" s="138"/>
      <c r="C23" s="199" t="s">
        <v>165</v>
      </c>
      <c r="D23" s="200"/>
      <c r="E23" s="200"/>
      <c r="F23" s="200"/>
      <c r="G23" s="201"/>
      <c r="H23" s="139">
        <v>3.56</v>
      </c>
      <c r="I23" s="139" t="s">
        <v>166</v>
      </c>
      <c r="J23" s="202">
        <f>IFERROR(J19*H23%,"-")</f>
        <v>100467.07274600001</v>
      </c>
      <c r="K23" s="203"/>
      <c r="L23" s="203"/>
      <c r="M23" s="204"/>
      <c r="N23" s="195" t="s">
        <v>167</v>
      </c>
      <c r="O23" s="196"/>
    </row>
    <row r="24" spans="1:17" ht="28.5" customHeight="1" x14ac:dyDescent="0.3">
      <c r="A24" s="134"/>
      <c r="B24" s="138"/>
      <c r="C24" s="199" t="s">
        <v>168</v>
      </c>
      <c r="D24" s="200"/>
      <c r="E24" s="200"/>
      <c r="F24" s="200"/>
      <c r="G24" s="201"/>
      <c r="H24" s="139">
        <v>1.01</v>
      </c>
      <c r="I24" s="139" t="s">
        <v>166</v>
      </c>
      <c r="J24" s="202">
        <f>IFERROR(J19*H24%,"-")</f>
        <v>28503.298728500002</v>
      </c>
      <c r="K24" s="203"/>
      <c r="L24" s="203"/>
      <c r="M24" s="204"/>
      <c r="N24" s="195" t="s">
        <v>169</v>
      </c>
      <c r="O24" s="196"/>
    </row>
    <row r="25" spans="1:17" ht="28.5" customHeight="1" x14ac:dyDescent="0.3">
      <c r="A25" s="134"/>
      <c r="B25" s="138"/>
      <c r="C25" s="199" t="s">
        <v>170</v>
      </c>
      <c r="D25" s="200"/>
      <c r="E25" s="200"/>
      <c r="F25" s="200"/>
      <c r="G25" s="201"/>
      <c r="H25" s="140">
        <v>3.5449999999999999</v>
      </c>
      <c r="I25" s="139" t="s">
        <v>166</v>
      </c>
      <c r="J25" s="202">
        <f>IFERROR(J19*H25%,"-")</f>
        <v>100043.75642825001</v>
      </c>
      <c r="K25" s="203"/>
      <c r="L25" s="203"/>
      <c r="M25" s="204"/>
      <c r="N25" s="195" t="s">
        <v>171</v>
      </c>
      <c r="O25" s="196"/>
      <c r="Q25" s="137"/>
    </row>
    <row r="26" spans="1:17" ht="28.5" customHeight="1" x14ac:dyDescent="0.3">
      <c r="A26" s="134"/>
      <c r="B26" s="138"/>
      <c r="C26" s="199" t="s">
        <v>172</v>
      </c>
      <c r="D26" s="200"/>
      <c r="E26" s="200"/>
      <c r="F26" s="200"/>
      <c r="G26" s="201"/>
      <c r="H26" s="139">
        <v>4.5</v>
      </c>
      <c r="I26" s="139" t="s">
        <v>166</v>
      </c>
      <c r="J26" s="202">
        <f>IFERROR(J19*H26%,"-")</f>
        <v>126994.895325</v>
      </c>
      <c r="K26" s="203"/>
      <c r="L26" s="203"/>
      <c r="M26" s="204"/>
      <c r="N26" s="195" t="s">
        <v>173</v>
      </c>
      <c r="O26" s="196"/>
      <c r="Q26" s="141"/>
    </row>
    <row r="27" spans="1:17" ht="28.5" customHeight="1" x14ac:dyDescent="0.3">
      <c r="A27" s="134"/>
      <c r="B27" s="138"/>
      <c r="C27" s="189" t="s">
        <v>174</v>
      </c>
      <c r="D27" s="190"/>
      <c r="E27" s="190"/>
      <c r="F27" s="190"/>
      <c r="G27" s="191"/>
      <c r="H27" s="142">
        <v>12.95</v>
      </c>
      <c r="I27" s="143" t="s">
        <v>166</v>
      </c>
      <c r="J27" s="192">
        <f>IFERROR($H$27*J25%,"-")</f>
        <v>12955.666457458376</v>
      </c>
      <c r="K27" s="193"/>
      <c r="L27" s="193"/>
      <c r="M27" s="194"/>
      <c r="N27" s="195" t="s">
        <v>175</v>
      </c>
      <c r="O27" s="196"/>
    </row>
    <row r="28" spans="1:17" ht="28.5" customHeight="1" x14ac:dyDescent="0.3">
      <c r="A28" s="134"/>
      <c r="B28" s="138"/>
      <c r="C28" s="189" t="s">
        <v>176</v>
      </c>
      <c r="D28" s="190"/>
      <c r="E28" s="190"/>
      <c r="F28" s="190"/>
      <c r="G28" s="191"/>
      <c r="H28" s="142">
        <v>8.1000000000000003E-2</v>
      </c>
      <c r="I28" s="143" t="s">
        <v>166</v>
      </c>
      <c r="J28" s="192" t="str">
        <f>IFERROR(IF(SUM(J21:J27,J18:J19)&gt;=10000000,SUM(J21:J27,J18:J19)*H28%,"-"),"-")</f>
        <v>-</v>
      </c>
      <c r="K28" s="193"/>
      <c r="L28" s="193"/>
      <c r="M28" s="194"/>
      <c r="N28" s="197" t="s">
        <v>177</v>
      </c>
      <c r="O28" s="198"/>
    </row>
    <row r="29" spans="1:17" ht="28.5" customHeight="1" x14ac:dyDescent="0.3">
      <c r="A29" s="144"/>
      <c r="B29" s="145"/>
      <c r="C29" s="169" t="s">
        <v>178</v>
      </c>
      <c r="D29" s="170"/>
      <c r="E29" s="170"/>
      <c r="F29" s="170"/>
      <c r="G29" s="171"/>
      <c r="H29" s="146">
        <v>1</v>
      </c>
      <c r="I29" s="147" t="s">
        <v>179</v>
      </c>
      <c r="J29" s="172">
        <f>34*0</f>
        <v>0</v>
      </c>
      <c r="K29" s="173"/>
      <c r="L29" s="173"/>
      <c r="M29" s="174"/>
      <c r="N29" s="175" t="s">
        <v>180</v>
      </c>
      <c r="O29" s="176"/>
    </row>
    <row r="30" spans="1:17" ht="28.5" customHeight="1" x14ac:dyDescent="0.3">
      <c r="A30" s="144">
        <v>4</v>
      </c>
      <c r="B30" s="145"/>
      <c r="C30" s="169" t="s">
        <v>181</v>
      </c>
      <c r="D30" s="170"/>
      <c r="E30" s="170"/>
      <c r="F30" s="170"/>
      <c r="G30" s="171"/>
      <c r="H30" s="147">
        <v>5</v>
      </c>
      <c r="I30" s="148" t="s">
        <v>182</v>
      </c>
      <c r="J30" s="182">
        <f>IFERROR(IF(ISNUMBER(H30), SUM(J18:M20) * (H30 / 100), "-"), "-")</f>
        <v>215397.49091003544</v>
      </c>
      <c r="K30" s="183"/>
      <c r="L30" s="183"/>
      <c r="M30" s="184"/>
      <c r="N30" s="185" t="s">
        <v>183</v>
      </c>
      <c r="O30" s="186"/>
    </row>
    <row r="31" spans="1:17" ht="28.5" customHeight="1" thickBot="1" x14ac:dyDescent="0.35">
      <c r="A31" s="144">
        <v>5</v>
      </c>
      <c r="B31" s="145"/>
      <c r="C31" s="169" t="s">
        <v>184</v>
      </c>
      <c r="D31" s="170"/>
      <c r="E31" s="170"/>
      <c r="F31" s="170"/>
      <c r="G31" s="171"/>
      <c r="H31" s="147">
        <v>7.5</v>
      </c>
      <c r="I31" s="148" t="s">
        <v>166</v>
      </c>
      <c r="J31" s="172">
        <f>IFERROR(SUM(J18:M20, J30) * (H31 / 100), "-")-61648</f>
        <v>277603.04818330577</v>
      </c>
      <c r="K31" s="173"/>
      <c r="L31" s="173"/>
      <c r="M31" s="174"/>
      <c r="N31" s="187" t="s">
        <v>185</v>
      </c>
      <c r="O31" s="188"/>
      <c r="Q31" s="149"/>
    </row>
    <row r="32" spans="1:17" ht="28.5" customHeight="1" thickBot="1" x14ac:dyDescent="0.35">
      <c r="A32" s="177" t="s">
        <v>186</v>
      </c>
      <c r="B32" s="178"/>
      <c r="C32" s="178"/>
      <c r="D32" s="178"/>
      <c r="E32" s="178"/>
      <c r="F32" s="178"/>
      <c r="G32" s="178"/>
      <c r="H32" s="178"/>
      <c r="I32" s="179"/>
      <c r="J32" s="150"/>
      <c r="K32" s="151"/>
      <c r="L32" s="151"/>
      <c r="M32" s="152">
        <f>IFERROR(ROUNDDOWN(SUM(J18:M20)+J30+J31,0),"-")</f>
        <v>4800950</v>
      </c>
      <c r="N32" s="180"/>
      <c r="O32" s="181"/>
      <c r="P32" s="153"/>
    </row>
    <row r="33" spans="1:15" x14ac:dyDescent="0.3">
      <c r="A33" s="154" t="s">
        <v>187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Normal="100" workbookViewId="0">
      <selection activeCell="W36" sqref="W36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4"/>
      <c r="B1" s="274"/>
      <c r="C1" s="274"/>
      <c r="D1" s="274"/>
      <c r="E1" s="274"/>
      <c r="F1" s="274"/>
      <c r="G1" s="274"/>
      <c r="H1" s="274"/>
      <c r="I1" s="274"/>
      <c r="N1" s="16"/>
      <c r="O1" s="14" t="s">
        <v>105</v>
      </c>
      <c r="Q1" s="14" t="s">
        <v>105</v>
      </c>
      <c r="S1" s="14" t="s">
        <v>105</v>
      </c>
      <c r="U1" s="14" t="s">
        <v>105</v>
      </c>
    </row>
    <row r="2" spans="1:24" ht="19.899999999999999" customHeight="1" thickBot="1" x14ac:dyDescent="0.35">
      <c r="A2" s="274"/>
      <c r="B2" s="274"/>
      <c r="C2" s="274"/>
      <c r="D2" s="274"/>
      <c r="E2" s="274"/>
      <c r="F2" s="274"/>
      <c r="G2" s="274"/>
      <c r="H2" s="274"/>
      <c r="I2" s="274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190</v>
      </c>
      <c r="G3" s="20"/>
      <c r="H3" s="20"/>
      <c r="I3" s="20"/>
      <c r="J3" s="283" t="s">
        <v>106</v>
      </c>
      <c r="K3" s="283"/>
      <c r="L3" s="283" t="s">
        <v>12</v>
      </c>
      <c r="M3" s="283" t="s">
        <v>5</v>
      </c>
      <c r="N3" s="279" t="s">
        <v>107</v>
      </c>
      <c r="O3" s="279"/>
      <c r="P3" s="279" t="s">
        <v>108</v>
      </c>
      <c r="Q3" s="279"/>
      <c r="R3" s="280" t="s">
        <v>109</v>
      </c>
      <c r="S3" s="280"/>
      <c r="T3" s="280" t="s">
        <v>191</v>
      </c>
      <c r="U3" s="280"/>
      <c r="V3" s="281" t="s">
        <v>110</v>
      </c>
      <c r="W3" s="277" t="s">
        <v>111</v>
      </c>
      <c r="X3" s="275" t="s">
        <v>7</v>
      </c>
    </row>
    <row r="4" spans="1:24" ht="19.899999999999999" customHeight="1" x14ac:dyDescent="0.3">
      <c r="A4" s="21" t="s">
        <v>112</v>
      </c>
      <c r="B4" s="22"/>
      <c r="C4" s="22"/>
      <c r="D4" s="22"/>
      <c r="E4" s="22"/>
      <c r="F4" s="23" t="s">
        <v>113</v>
      </c>
      <c r="G4" s="23" t="s">
        <v>114</v>
      </c>
      <c r="H4" s="23" t="s">
        <v>115</v>
      </c>
      <c r="I4" s="23" t="s">
        <v>116</v>
      </c>
      <c r="J4" s="24" t="s">
        <v>117</v>
      </c>
      <c r="K4" s="24" t="s">
        <v>118</v>
      </c>
      <c r="L4" s="284"/>
      <c r="M4" s="284"/>
      <c r="N4" s="25" t="s">
        <v>119</v>
      </c>
      <c r="O4" s="26" t="s">
        <v>120</v>
      </c>
      <c r="P4" s="25" t="s">
        <v>121</v>
      </c>
      <c r="Q4" s="26" t="s">
        <v>120</v>
      </c>
      <c r="R4" s="26" t="s">
        <v>122</v>
      </c>
      <c r="S4" s="26" t="s">
        <v>120</v>
      </c>
      <c r="T4" s="26" t="s">
        <v>122</v>
      </c>
      <c r="U4" s="26" t="s">
        <v>120</v>
      </c>
      <c r="V4" s="282"/>
      <c r="W4" s="278"/>
      <c r="X4" s="276"/>
    </row>
    <row r="5" spans="1:24" s="37" customFormat="1" ht="19.899999999999999" customHeight="1" x14ac:dyDescent="0.3">
      <c r="A5" s="27" t="str">
        <f t="shared" ref="A5:A16" si="0">F5&amp;G5&amp;H5&amp;I5</f>
        <v>D02641</v>
      </c>
      <c r="B5" s="28"/>
      <c r="C5" s="28"/>
      <c r="D5" s="28"/>
      <c r="E5" s="28"/>
      <c r="F5" s="30" t="s">
        <v>67</v>
      </c>
      <c r="G5" s="29"/>
      <c r="H5" s="29"/>
      <c r="I5" s="30"/>
      <c r="J5" s="31" t="s">
        <v>192</v>
      </c>
      <c r="K5" s="31" t="s">
        <v>68</v>
      </c>
      <c r="L5" s="31" t="s">
        <v>69</v>
      </c>
      <c r="M5" s="81">
        <v>186</v>
      </c>
      <c r="N5" s="32"/>
      <c r="O5" s="33" cm="1">
        <f t="array" ref="O5">SUM(N5:N5*M5*$O$2)</f>
        <v>0</v>
      </c>
      <c r="P5" s="82">
        <v>6691</v>
      </c>
      <c r="Q5" s="33">
        <f t="shared" ref="Q5:Q13" si="1">(P5*M5)*$Q$2</f>
        <v>1039179.21</v>
      </c>
      <c r="R5" s="34"/>
      <c r="S5" s="33">
        <f t="shared" ref="S5:S13" si="2">R5*M5*$S$2</f>
        <v>0</v>
      </c>
      <c r="T5" s="34"/>
      <c r="U5" s="33">
        <f t="shared" ref="U5:U13" si="3">T5*M5*$U$2</f>
        <v>0</v>
      </c>
      <c r="V5" s="34">
        <f t="shared" ref="V5:V13" si="4">SUM(O5+Q5)+S5+U5</f>
        <v>1039179.21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70</v>
      </c>
      <c r="G6" s="29"/>
      <c r="H6" s="29"/>
      <c r="I6" s="30"/>
      <c r="J6" s="31" t="s">
        <v>71</v>
      </c>
      <c r="K6" s="31" t="s">
        <v>68</v>
      </c>
      <c r="L6" s="31" t="s">
        <v>69</v>
      </c>
      <c r="M6" s="81">
        <v>66</v>
      </c>
      <c r="N6" s="32"/>
      <c r="O6" s="33">
        <f t="shared" ref="O6:O13" si="5">SUM(N6:N6)*M6*$O$2</f>
        <v>0</v>
      </c>
      <c r="P6" s="82">
        <v>8698</v>
      </c>
      <c r="Q6" s="33">
        <f t="shared" si="1"/>
        <v>479346.77999999997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479346.77999999997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72</v>
      </c>
      <c r="G7" s="29"/>
      <c r="H7" s="29"/>
      <c r="I7" s="30"/>
      <c r="J7" s="31" t="s">
        <v>73</v>
      </c>
      <c r="K7" s="31" t="s">
        <v>74</v>
      </c>
      <c r="L7" s="31" t="s">
        <v>69</v>
      </c>
      <c r="M7" s="81">
        <v>76</v>
      </c>
      <c r="N7" s="32"/>
      <c r="O7" s="33">
        <f t="shared" si="5"/>
        <v>0</v>
      </c>
      <c r="P7" s="82">
        <v>1618</v>
      </c>
      <c r="Q7" s="33">
        <f t="shared" si="1"/>
        <v>102678.28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102678.28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75</v>
      </c>
      <c r="G8" s="29"/>
      <c r="H8" s="29"/>
      <c r="I8" s="30"/>
      <c r="J8" s="31" t="s">
        <v>76</v>
      </c>
      <c r="K8" s="31" t="s">
        <v>77</v>
      </c>
      <c r="L8" s="31" t="s">
        <v>69</v>
      </c>
      <c r="M8" s="81">
        <v>50</v>
      </c>
      <c r="N8" s="32"/>
      <c r="O8" s="33">
        <f t="shared" si="5"/>
        <v>0</v>
      </c>
      <c r="P8" s="82">
        <v>4855</v>
      </c>
      <c r="Q8" s="33">
        <f t="shared" si="1"/>
        <v>202696.25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202696.25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78</v>
      </c>
      <c r="G9" s="29"/>
      <c r="H9" s="29"/>
      <c r="I9" s="30"/>
      <c r="J9" s="31" t="s">
        <v>79</v>
      </c>
      <c r="K9" s="31" t="s">
        <v>80</v>
      </c>
      <c r="L9" s="31" t="s">
        <v>69</v>
      </c>
      <c r="M9" s="81">
        <v>50</v>
      </c>
      <c r="N9" s="38"/>
      <c r="O9" s="33">
        <f t="shared" si="5"/>
        <v>0</v>
      </c>
      <c r="P9" s="82">
        <v>4453</v>
      </c>
      <c r="Q9" s="33">
        <f t="shared" si="1"/>
        <v>185912.75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185912.75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81</v>
      </c>
      <c r="G10" s="29"/>
      <c r="H10" s="29"/>
      <c r="I10" s="30"/>
      <c r="J10" s="31" t="s">
        <v>82</v>
      </c>
      <c r="K10" s="31" t="s">
        <v>83</v>
      </c>
      <c r="L10" s="31" t="s">
        <v>69</v>
      </c>
      <c r="M10" s="81">
        <v>28</v>
      </c>
      <c r="N10" s="82">
        <v>528</v>
      </c>
      <c r="O10" s="33">
        <f t="shared" si="5"/>
        <v>12344.64</v>
      </c>
      <c r="P10" s="82">
        <v>10367</v>
      </c>
      <c r="Q10" s="33">
        <f t="shared" si="1"/>
        <v>242380.46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254725.09999999998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84</v>
      </c>
      <c r="G11" s="29"/>
      <c r="H11" s="29"/>
      <c r="I11" s="30"/>
      <c r="J11" s="31" t="s">
        <v>85</v>
      </c>
      <c r="K11" s="31" t="s">
        <v>86</v>
      </c>
      <c r="L11" s="31" t="s">
        <v>69</v>
      </c>
      <c r="M11" s="81">
        <v>28</v>
      </c>
      <c r="N11" s="82">
        <v>461</v>
      </c>
      <c r="O11" s="33">
        <f t="shared" si="5"/>
        <v>10778.18</v>
      </c>
      <c r="P11" s="82">
        <v>6146</v>
      </c>
      <c r="Q11" s="33">
        <f t="shared" si="1"/>
        <v>143693.47999999998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154471.65999999997</v>
      </c>
      <c r="W11" s="35"/>
      <c r="X11" s="36"/>
    </row>
    <row r="12" spans="1:24" s="37" customFormat="1" ht="19.899999999999999" customHeight="1" x14ac:dyDescent="0.3">
      <c r="A12" s="27" t="str">
        <f t="shared" ref="A12" si="6">F12&amp;G12&amp;H12&amp;I12</f>
        <v>M012003400500101</v>
      </c>
      <c r="B12" s="28"/>
      <c r="C12" s="28"/>
      <c r="D12" s="28"/>
      <c r="E12" s="28"/>
      <c r="F12" s="30"/>
      <c r="G12" s="29"/>
      <c r="H12" s="83" t="s">
        <v>93</v>
      </c>
      <c r="I12" s="30"/>
      <c r="J12" s="40" t="s">
        <v>94</v>
      </c>
      <c r="K12" s="40" t="s">
        <v>95</v>
      </c>
      <c r="L12" s="31" t="s">
        <v>69</v>
      </c>
      <c r="M12" s="81">
        <v>50</v>
      </c>
      <c r="N12" s="84">
        <v>15000</v>
      </c>
      <c r="O12" s="33">
        <f t="shared" ref="O12" si="7">SUM(N12:N12)*M12*$O$2</f>
        <v>626250</v>
      </c>
      <c r="P12" s="39"/>
      <c r="Q12" s="33">
        <f t="shared" ref="Q12" si="8">(P12*M12)*$Q$2</f>
        <v>0</v>
      </c>
      <c r="R12" s="34"/>
      <c r="S12" s="33">
        <f t="shared" ref="S12" si="9">R12*M12*$S$2</f>
        <v>0</v>
      </c>
      <c r="T12" s="34"/>
      <c r="U12" s="33">
        <f t="shared" ref="U12" si="10">T12*M12*$U$2</f>
        <v>0</v>
      </c>
      <c r="V12" s="34">
        <f t="shared" ref="V12" si="11">SUM(O12+Q12)+S12+U12</f>
        <v>626250</v>
      </c>
      <c r="W12" s="35"/>
      <c r="X12" s="36"/>
    </row>
    <row r="13" spans="1:24" s="37" customFormat="1" ht="19.899999999999999" customHeight="1" x14ac:dyDescent="0.3">
      <c r="A13" s="27" t="str">
        <f t="shared" si="0"/>
        <v>M010602702400101</v>
      </c>
      <c r="B13" s="28"/>
      <c r="C13" s="28"/>
      <c r="D13" s="28"/>
      <c r="E13" s="28"/>
      <c r="F13" s="30"/>
      <c r="G13" s="29"/>
      <c r="H13" s="83" t="s">
        <v>87</v>
      </c>
      <c r="I13" s="30"/>
      <c r="J13" s="40" t="s">
        <v>88</v>
      </c>
      <c r="K13" s="40" t="s">
        <v>89</v>
      </c>
      <c r="L13" s="40" t="s">
        <v>90</v>
      </c>
      <c r="M13" s="81">
        <v>6</v>
      </c>
      <c r="N13" s="84">
        <v>15000</v>
      </c>
      <c r="O13" s="33">
        <f t="shared" si="5"/>
        <v>75150</v>
      </c>
      <c r="P13" s="39"/>
      <c r="Q13" s="33">
        <f t="shared" si="1"/>
        <v>0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75150</v>
      </c>
      <c r="W13" s="35"/>
      <c r="X13" s="36"/>
    </row>
    <row r="14" spans="1:24" s="37" customFormat="1" ht="19.899999999999999" customHeight="1" x14ac:dyDescent="0.3">
      <c r="A14" s="27"/>
      <c r="B14" s="28"/>
      <c r="C14" s="28"/>
      <c r="D14" s="28"/>
      <c r="E14" s="28"/>
      <c r="F14" s="30"/>
      <c r="G14" s="29"/>
      <c r="H14" s="29"/>
      <c r="I14" s="30"/>
      <c r="J14" s="31" t="str">
        <f>"시중가_"&amp;K14&amp;")"</f>
        <v>시중가_합지벽지(LG하우시스 휘앙세))</v>
      </c>
      <c r="K14" s="31" t="s">
        <v>91</v>
      </c>
      <c r="L14" s="31" t="s">
        <v>69</v>
      </c>
      <c r="M14" s="81">
        <v>252</v>
      </c>
      <c r="N14" s="32">
        <v>1300</v>
      </c>
      <c r="O14" s="33">
        <f t="shared" ref="O14:O16" si="12">SUM(N14:N14)*M14*$O$2</f>
        <v>273546</v>
      </c>
      <c r="P14" s="39"/>
      <c r="Q14" s="33">
        <f t="shared" ref="Q14:Q16" si="13">(P14*M14)*$Q$2</f>
        <v>0</v>
      </c>
      <c r="R14" s="34"/>
      <c r="S14" s="33">
        <f t="shared" ref="S14:S16" si="14">R14*M14*$S$2</f>
        <v>0</v>
      </c>
      <c r="T14" s="34"/>
      <c r="U14" s="33">
        <f t="shared" ref="U14:U16" si="15">T14*M14*$U$2</f>
        <v>0</v>
      </c>
      <c r="V14" s="34">
        <f t="shared" ref="V14:V16" si="16">SUM(O14+Q14)+S14+U14</f>
        <v>273546</v>
      </c>
      <c r="W14" s="35"/>
      <c r="X14" s="36"/>
    </row>
    <row r="15" spans="1:24" s="37" customFormat="1" ht="19.899999999999999" customHeight="1" x14ac:dyDescent="0.3">
      <c r="A15" s="27"/>
      <c r="B15" s="28"/>
      <c r="C15" s="28"/>
      <c r="D15" s="28"/>
      <c r="E15" s="28"/>
      <c r="F15" s="30"/>
      <c r="G15" s="29"/>
      <c r="H15" s="29"/>
      <c r="I15" s="30"/>
      <c r="J15" s="31" t="str">
        <f>"시중가_"&amp;K15&amp;""</f>
        <v>시중가_청소, 실내건축 일위대가 적용</v>
      </c>
      <c r="K15" s="31" t="s">
        <v>92</v>
      </c>
      <c r="L15" s="31" t="s">
        <v>69</v>
      </c>
      <c r="M15" s="81">
        <v>65</v>
      </c>
      <c r="N15" s="32"/>
      <c r="O15" s="33">
        <f t="shared" si="12"/>
        <v>0</v>
      </c>
      <c r="P15" s="39">
        <v>7853</v>
      </c>
      <c r="Q15" s="33">
        <f t="shared" si="13"/>
        <v>426221.57499999995</v>
      </c>
      <c r="R15" s="34"/>
      <c r="S15" s="33">
        <f t="shared" si="14"/>
        <v>0</v>
      </c>
      <c r="T15" s="34"/>
      <c r="U15" s="33">
        <f t="shared" si="15"/>
        <v>0</v>
      </c>
      <c r="V15" s="34">
        <f t="shared" si="16"/>
        <v>426221.57499999995</v>
      </c>
      <c r="W15" s="35"/>
      <c r="X15" s="36"/>
    </row>
    <row r="16" spans="1:24" s="37" customFormat="1" ht="19.899999999999999" customHeight="1" x14ac:dyDescent="0.3">
      <c r="A16" s="27" t="str">
        <f t="shared" si="0"/>
        <v/>
      </c>
      <c r="B16" s="28"/>
      <c r="C16" s="28"/>
      <c r="D16" s="28"/>
      <c r="E16" s="28"/>
      <c r="F16" s="30"/>
      <c r="G16" s="29"/>
      <c r="H16" s="29"/>
      <c r="I16" s="30"/>
      <c r="J16" s="85"/>
      <c r="K16" s="85"/>
      <c r="L16" s="86"/>
      <c r="M16" s="81"/>
      <c r="N16" s="32"/>
      <c r="O16" s="33">
        <f t="shared" si="12"/>
        <v>0</v>
      </c>
      <c r="P16" s="39"/>
      <c r="Q16" s="33">
        <f t="shared" si="13"/>
        <v>0</v>
      </c>
      <c r="R16" s="34"/>
      <c r="S16" s="33">
        <f t="shared" si="14"/>
        <v>0</v>
      </c>
      <c r="T16" s="34"/>
      <c r="U16" s="33">
        <f t="shared" si="15"/>
        <v>0</v>
      </c>
      <c r="V16" s="34">
        <f t="shared" si="16"/>
        <v>0</v>
      </c>
      <c r="W16" s="41"/>
      <c r="X16" s="36"/>
    </row>
    <row r="17" spans="1:23" s="43" customFormat="1" ht="19.899999999999999" customHeight="1" x14ac:dyDescent="0.3">
      <c r="A17" s="42"/>
      <c r="B17" s="42"/>
      <c r="C17" s="42"/>
      <c r="D17" s="42"/>
      <c r="E17" s="42"/>
      <c r="O17" s="44">
        <f>SUM(O5:O16)</f>
        <v>998068.82</v>
      </c>
      <c r="P17" s="45"/>
      <c r="Q17" s="44">
        <f>SUM(Q5:Q16)</f>
        <v>2822108.7850000001</v>
      </c>
      <c r="R17" s="45"/>
      <c r="S17" s="44">
        <f>SUM(S5:S16)</f>
        <v>0</v>
      </c>
      <c r="T17" s="45"/>
      <c r="U17" s="44">
        <f>SUM(U5:U16)</f>
        <v>0</v>
      </c>
      <c r="V17" s="46">
        <f>SUM(V5:V16)</f>
        <v>3820177.6050000004</v>
      </c>
      <c r="W17" s="47"/>
    </row>
    <row r="21" spans="1:23" x14ac:dyDescent="0.3">
      <c r="Q21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40" sqref="B40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7" t="s">
        <v>25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6" ht="12.95" customHeight="1" x14ac:dyDescent="0.3">
      <c r="A2" s="299" t="s">
        <v>26</v>
      </c>
      <c r="B2" s="300" t="s">
        <v>27</v>
      </c>
      <c r="C2" s="301" t="s">
        <v>12</v>
      </c>
      <c r="D2" s="301" t="s">
        <v>28</v>
      </c>
      <c r="E2" s="303" t="s">
        <v>29</v>
      </c>
      <c r="F2" s="300"/>
      <c r="G2" s="300" t="s">
        <v>30</v>
      </c>
      <c r="H2" s="300"/>
      <c r="I2" s="304" t="s">
        <v>31</v>
      </c>
      <c r="J2" s="305"/>
      <c r="K2" s="304" t="s">
        <v>193</v>
      </c>
      <c r="L2" s="305"/>
      <c r="M2" s="303" t="s">
        <v>32</v>
      </c>
      <c r="N2" s="300"/>
      <c r="O2" s="306" t="s">
        <v>33</v>
      </c>
    </row>
    <row r="3" spans="1:16" ht="12.95" customHeight="1" x14ac:dyDescent="0.3">
      <c r="A3" s="299"/>
      <c r="B3" s="300"/>
      <c r="C3" s="302"/>
      <c r="D3" s="302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07"/>
    </row>
    <row r="4" spans="1:16" ht="12.95" customHeight="1" x14ac:dyDescent="0.3">
      <c r="A4" s="295" t="s">
        <v>123</v>
      </c>
      <c r="B4" s="296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288" t="s">
        <v>37</v>
      </c>
      <c r="B5" s="54" t="s">
        <v>38</v>
      </c>
      <c r="C5" s="55" t="s">
        <v>39</v>
      </c>
      <c r="D5" s="56">
        <v>85</v>
      </c>
      <c r="E5" s="57">
        <v>1086</v>
      </c>
      <c r="F5" s="58">
        <f t="shared" ref="F5:F12" si="0">D5*E5</f>
        <v>92310</v>
      </c>
      <c r="G5" s="58">
        <v>5587</v>
      </c>
      <c r="H5" s="57">
        <f t="shared" ref="H5:H13" si="1">D5*G5</f>
        <v>474895</v>
      </c>
      <c r="I5" s="57"/>
      <c r="J5" s="57"/>
      <c r="K5" s="58"/>
      <c r="L5" s="58"/>
      <c r="M5" s="58"/>
      <c r="N5" s="58">
        <f>F5+H5+J5+L5</f>
        <v>567205</v>
      </c>
      <c r="O5" s="285" t="s">
        <v>194</v>
      </c>
    </row>
    <row r="6" spans="1:16" ht="12.95" customHeight="1" x14ac:dyDescent="0.3">
      <c r="A6" s="289"/>
      <c r="B6" s="54" t="s">
        <v>40</v>
      </c>
      <c r="C6" s="55" t="s">
        <v>39</v>
      </c>
      <c r="D6" s="56">
        <v>40</v>
      </c>
      <c r="E6" s="57">
        <v>1086</v>
      </c>
      <c r="F6" s="58">
        <f t="shared" si="0"/>
        <v>43440</v>
      </c>
      <c r="G6" s="58">
        <v>7263</v>
      </c>
      <c r="H6" s="57">
        <f t="shared" si="1"/>
        <v>290520</v>
      </c>
      <c r="I6" s="57"/>
      <c r="J6" s="57"/>
      <c r="K6" s="58"/>
      <c r="L6" s="58"/>
      <c r="M6" s="58"/>
      <c r="N6" s="58">
        <f t="shared" ref="N6:N13" si="2">F6+H6+J6+L6</f>
        <v>333960</v>
      </c>
      <c r="O6" s="286"/>
    </row>
    <row r="7" spans="1:16" ht="12.95" customHeight="1" x14ac:dyDescent="0.3">
      <c r="A7" s="289"/>
      <c r="B7" s="54" t="s">
        <v>41</v>
      </c>
      <c r="C7" s="55" t="s">
        <v>39</v>
      </c>
      <c r="D7" s="56">
        <v>38</v>
      </c>
      <c r="E7" s="57">
        <v>1086</v>
      </c>
      <c r="F7" s="58">
        <f t="shared" si="0"/>
        <v>41268</v>
      </c>
      <c r="G7" s="58">
        <v>5587</v>
      </c>
      <c r="H7" s="57">
        <f t="shared" si="1"/>
        <v>212306</v>
      </c>
      <c r="I7" s="57"/>
      <c r="J7" s="57"/>
      <c r="K7" s="58"/>
      <c r="L7" s="58"/>
      <c r="M7" s="58"/>
      <c r="N7" s="58">
        <f t="shared" si="2"/>
        <v>253574</v>
      </c>
      <c r="O7" s="286"/>
    </row>
    <row r="8" spans="1:16" ht="12.95" customHeight="1" x14ac:dyDescent="0.3">
      <c r="A8" s="289"/>
      <c r="B8" s="54" t="s">
        <v>42</v>
      </c>
      <c r="C8" s="55" t="s">
        <v>39</v>
      </c>
      <c r="D8" s="56">
        <v>10</v>
      </c>
      <c r="E8" s="57">
        <v>1086</v>
      </c>
      <c r="F8" s="58">
        <f t="shared" si="0"/>
        <v>10860</v>
      </c>
      <c r="G8" s="58">
        <v>7263</v>
      </c>
      <c r="H8" s="57">
        <f t="shared" si="1"/>
        <v>72630</v>
      </c>
      <c r="I8" s="57"/>
      <c r="J8" s="57"/>
      <c r="K8" s="58"/>
      <c r="L8" s="58"/>
      <c r="M8" s="58"/>
      <c r="N8" s="58">
        <f t="shared" si="2"/>
        <v>83490</v>
      </c>
      <c r="O8" s="286"/>
    </row>
    <row r="9" spans="1:16" ht="12.95" customHeight="1" x14ac:dyDescent="0.3">
      <c r="A9" s="289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286"/>
    </row>
    <row r="10" spans="1:16" ht="12.95" customHeight="1" x14ac:dyDescent="0.3">
      <c r="A10" s="289"/>
      <c r="B10" s="54" t="s">
        <v>44</v>
      </c>
      <c r="C10" s="55" t="s">
        <v>39</v>
      </c>
      <c r="D10" s="56">
        <v>8</v>
      </c>
      <c r="E10" s="57">
        <v>1086</v>
      </c>
      <c r="F10" s="58">
        <f t="shared" si="0"/>
        <v>8688</v>
      </c>
      <c r="G10" s="58">
        <v>7263</v>
      </c>
      <c r="H10" s="57">
        <f t="shared" si="1"/>
        <v>58104</v>
      </c>
      <c r="I10" s="57"/>
      <c r="J10" s="57"/>
      <c r="K10" s="58"/>
      <c r="L10" s="58"/>
      <c r="M10" s="58"/>
      <c r="N10" s="58">
        <f t="shared" si="2"/>
        <v>66792</v>
      </c>
      <c r="O10" s="286"/>
    </row>
    <row r="11" spans="1:16" ht="12.95" customHeight="1" x14ac:dyDescent="0.3">
      <c r="A11" s="289"/>
      <c r="B11" s="54" t="s">
        <v>45</v>
      </c>
      <c r="C11" s="55" t="s">
        <v>39</v>
      </c>
      <c r="D11" s="56">
        <v>31</v>
      </c>
      <c r="E11" s="57">
        <v>1086</v>
      </c>
      <c r="F11" s="58">
        <f t="shared" si="0"/>
        <v>33666</v>
      </c>
      <c r="G11" s="58">
        <v>5587</v>
      </c>
      <c r="H11" s="57">
        <f t="shared" si="1"/>
        <v>173197</v>
      </c>
      <c r="I11" s="57"/>
      <c r="J11" s="57"/>
      <c r="K11" s="58"/>
      <c r="L11" s="58"/>
      <c r="M11" s="58"/>
      <c r="N11" s="58">
        <f t="shared" si="2"/>
        <v>206863</v>
      </c>
      <c r="O11" s="286"/>
    </row>
    <row r="12" spans="1:16" ht="12.95" customHeight="1" x14ac:dyDescent="0.3">
      <c r="A12" s="289"/>
      <c r="B12" s="54" t="s">
        <v>46</v>
      </c>
      <c r="C12" s="55" t="s">
        <v>39</v>
      </c>
      <c r="D12" s="59">
        <v>8</v>
      </c>
      <c r="E12" s="57">
        <v>1086</v>
      </c>
      <c r="F12" s="58">
        <f t="shared" si="0"/>
        <v>8688</v>
      </c>
      <c r="G12" s="58">
        <v>7263</v>
      </c>
      <c r="H12" s="57">
        <f t="shared" si="1"/>
        <v>58104</v>
      </c>
      <c r="I12" s="57"/>
      <c r="J12" s="57"/>
      <c r="K12" s="58"/>
      <c r="L12" s="58"/>
      <c r="M12" s="58"/>
      <c r="N12" s="58">
        <f t="shared" si="2"/>
        <v>66792</v>
      </c>
      <c r="O12" s="286"/>
    </row>
    <row r="13" spans="1:16" ht="12.95" customHeight="1" x14ac:dyDescent="0.3">
      <c r="A13" s="290"/>
      <c r="B13" s="54" t="s">
        <v>104</v>
      </c>
      <c r="C13" s="55" t="s">
        <v>39</v>
      </c>
      <c r="D13" s="59" cm="1">
        <f t="array" ref="D13">SUM(D5:D12*30%)</f>
        <v>75.600000000000009</v>
      </c>
      <c r="E13" s="57"/>
      <c r="F13" s="58"/>
      <c r="G13" s="58">
        <v>1351</v>
      </c>
      <c r="H13" s="57">
        <f t="shared" si="1"/>
        <v>102135.6</v>
      </c>
      <c r="I13" s="57"/>
      <c r="J13" s="57"/>
      <c r="K13" s="58"/>
      <c r="L13" s="58"/>
      <c r="M13" s="58"/>
      <c r="N13" s="58">
        <f t="shared" si="2"/>
        <v>102135.6</v>
      </c>
      <c r="O13" s="287"/>
    </row>
    <row r="14" spans="1:16" ht="12.95" customHeight="1" x14ac:dyDescent="0.3">
      <c r="A14" s="89" t="s">
        <v>47</v>
      </c>
      <c r="B14" s="60"/>
      <c r="C14" s="61"/>
      <c r="D14" s="62">
        <f>SUM(D5:D12)</f>
        <v>252</v>
      </c>
      <c r="E14" s="63"/>
      <c r="F14" s="63">
        <f>SUM(F5:F13)</f>
        <v>273672</v>
      </c>
      <c r="G14" s="63"/>
      <c r="H14" s="63">
        <f>SUM(H5:H13)</f>
        <v>1620675.6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1894347.6</v>
      </c>
      <c r="O14" s="63"/>
      <c r="P14" s="64"/>
    </row>
    <row r="15" spans="1:16" ht="12.95" customHeight="1" x14ac:dyDescent="0.3">
      <c r="A15" s="292" t="s">
        <v>48</v>
      </c>
      <c r="B15" s="54" t="s">
        <v>49</v>
      </c>
      <c r="C15" s="55" t="s">
        <v>39</v>
      </c>
      <c r="D15" s="59">
        <v>27</v>
      </c>
      <c r="E15" s="57"/>
      <c r="F15" s="57"/>
      <c r="G15" s="57">
        <v>4054</v>
      </c>
      <c r="H15" s="58">
        <f t="shared" ref="H15:H18" si="3">D15*G15</f>
        <v>109458</v>
      </c>
      <c r="I15" s="57"/>
      <c r="J15" s="57"/>
      <c r="K15" s="57"/>
      <c r="L15" s="58"/>
      <c r="M15" s="57"/>
      <c r="N15" s="58">
        <f t="shared" ref="N15:N23" si="4">F15+H15+J15+L15</f>
        <v>109458</v>
      </c>
      <c r="O15" s="285" t="s">
        <v>100</v>
      </c>
    </row>
    <row r="16" spans="1:16" ht="12.95" customHeight="1" x14ac:dyDescent="0.3">
      <c r="A16" s="293"/>
      <c r="B16" s="54" t="s">
        <v>50</v>
      </c>
      <c r="C16" s="55" t="s">
        <v>39</v>
      </c>
      <c r="D16" s="65">
        <v>9</v>
      </c>
      <c r="E16" s="57"/>
      <c r="F16" s="57"/>
      <c r="G16" s="57">
        <v>4054</v>
      </c>
      <c r="H16" s="58">
        <f t="shared" si="3"/>
        <v>36486</v>
      </c>
      <c r="I16" s="57"/>
      <c r="J16" s="57"/>
      <c r="K16" s="57"/>
      <c r="L16" s="58"/>
      <c r="M16" s="57"/>
      <c r="N16" s="58">
        <f t="shared" si="4"/>
        <v>36486</v>
      </c>
      <c r="O16" s="286"/>
    </row>
    <row r="17" spans="1:15" ht="12.95" customHeight="1" x14ac:dyDescent="0.3">
      <c r="A17" s="293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3"/>
        <v>28378</v>
      </c>
      <c r="I17" s="57"/>
      <c r="J17" s="57"/>
      <c r="K17" s="57"/>
      <c r="L17" s="58"/>
      <c r="M17" s="57"/>
      <c r="N17" s="58">
        <f t="shared" si="4"/>
        <v>28378</v>
      </c>
      <c r="O17" s="286"/>
    </row>
    <row r="18" spans="1:15" ht="12.95" customHeight="1" x14ac:dyDescent="0.3">
      <c r="A18" s="293"/>
      <c r="B18" s="54" t="s">
        <v>52</v>
      </c>
      <c r="C18" s="55" t="s">
        <v>39</v>
      </c>
      <c r="D18" s="65">
        <v>7</v>
      </c>
      <c r="E18" s="57"/>
      <c r="F18" s="57"/>
      <c r="G18" s="57">
        <v>4054</v>
      </c>
      <c r="H18" s="58">
        <f t="shared" si="3"/>
        <v>28378</v>
      </c>
      <c r="I18" s="57"/>
      <c r="J18" s="57"/>
      <c r="K18" s="57"/>
      <c r="L18" s="58"/>
      <c r="M18" s="57"/>
      <c r="N18" s="58">
        <f t="shared" si="4"/>
        <v>28378</v>
      </c>
      <c r="O18" s="286"/>
    </row>
    <row r="19" spans="1:15" ht="12.95" customHeight="1" x14ac:dyDescent="0.3">
      <c r="A19" s="293"/>
      <c r="B19" s="54" t="s">
        <v>195</v>
      </c>
      <c r="C19" s="55" t="s">
        <v>53</v>
      </c>
      <c r="D19" s="65">
        <v>6</v>
      </c>
      <c r="E19" s="58">
        <v>12525</v>
      </c>
      <c r="F19" s="58">
        <f>D19*E19</f>
        <v>75150</v>
      </c>
      <c r="G19" s="57"/>
      <c r="H19" s="58"/>
      <c r="I19" s="58"/>
      <c r="J19" s="58"/>
      <c r="K19" s="57"/>
      <c r="L19" s="58"/>
      <c r="M19" s="57"/>
      <c r="N19" s="58">
        <f t="shared" si="4"/>
        <v>75150</v>
      </c>
      <c r="O19" s="286"/>
    </row>
    <row r="20" spans="1:15" ht="12.95" customHeight="1" x14ac:dyDescent="0.3">
      <c r="A20" s="293"/>
      <c r="B20" s="54" t="s">
        <v>54</v>
      </c>
      <c r="C20" s="55" t="s">
        <v>39</v>
      </c>
      <c r="D20" s="59">
        <v>27</v>
      </c>
      <c r="E20" s="58">
        <v>12525</v>
      </c>
      <c r="F20" s="58">
        <f>D20*E20</f>
        <v>338175</v>
      </c>
      <c r="G20" s="57">
        <v>3718</v>
      </c>
      <c r="H20" s="58">
        <f>D20*G20</f>
        <v>100386</v>
      </c>
      <c r="I20" s="58"/>
      <c r="J20" s="58"/>
      <c r="K20" s="57"/>
      <c r="L20" s="58"/>
      <c r="M20" s="57"/>
      <c r="N20" s="58">
        <f t="shared" si="4"/>
        <v>438561</v>
      </c>
      <c r="O20" s="286"/>
    </row>
    <row r="21" spans="1:15" ht="12.95" customHeight="1" x14ac:dyDescent="0.3">
      <c r="A21" s="293"/>
      <c r="B21" s="54" t="s">
        <v>55</v>
      </c>
      <c r="C21" s="55" t="s">
        <v>39</v>
      </c>
      <c r="D21" s="65">
        <v>9</v>
      </c>
      <c r="E21" s="58">
        <v>12525</v>
      </c>
      <c r="F21" s="58">
        <f>D21*E21</f>
        <v>112725</v>
      </c>
      <c r="G21" s="57">
        <v>3718</v>
      </c>
      <c r="H21" s="58">
        <f>D21*G21</f>
        <v>33462</v>
      </c>
      <c r="I21" s="58"/>
      <c r="J21" s="58"/>
      <c r="K21" s="57"/>
      <c r="L21" s="58"/>
      <c r="M21" s="57"/>
      <c r="N21" s="58">
        <f t="shared" si="4"/>
        <v>146187</v>
      </c>
      <c r="O21" s="286"/>
    </row>
    <row r="22" spans="1:15" ht="12.95" customHeight="1" x14ac:dyDescent="0.3">
      <c r="A22" s="293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4"/>
        <v>113701</v>
      </c>
      <c r="O22" s="286"/>
    </row>
    <row r="23" spans="1:15" ht="12.95" customHeight="1" x14ac:dyDescent="0.3">
      <c r="A23" s="294"/>
      <c r="B23" s="54" t="s">
        <v>57</v>
      </c>
      <c r="C23" s="55" t="s">
        <v>39</v>
      </c>
      <c r="D23" s="65">
        <v>7</v>
      </c>
      <c r="E23" s="58">
        <v>12525</v>
      </c>
      <c r="F23" s="58">
        <f>D23*E23</f>
        <v>87675</v>
      </c>
      <c r="G23" s="57">
        <v>3718</v>
      </c>
      <c r="H23" s="58">
        <f>D23*G23</f>
        <v>26026</v>
      </c>
      <c r="I23" s="58"/>
      <c r="J23" s="58"/>
      <c r="K23" s="57"/>
      <c r="L23" s="58"/>
      <c r="M23" s="57"/>
      <c r="N23" s="58">
        <f t="shared" si="4"/>
        <v>113701</v>
      </c>
      <c r="O23" s="287"/>
    </row>
    <row r="24" spans="1:15" ht="12.95" customHeight="1" x14ac:dyDescent="0.3">
      <c r="A24" s="89" t="s">
        <v>47</v>
      </c>
      <c r="B24" s="60"/>
      <c r="C24" s="66"/>
      <c r="D24" s="66">
        <f>SUM(D20:D23)</f>
        <v>50</v>
      </c>
      <c r="E24" s="63"/>
      <c r="F24" s="63">
        <f>SUM(F15:F23)</f>
        <v>701400</v>
      </c>
      <c r="G24" s="63"/>
      <c r="H24" s="63">
        <f>SUM(H15:H23)</f>
        <v>388600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1090000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291" t="s">
        <v>196</v>
      </c>
      <c r="B26" s="67" t="s">
        <v>197</v>
      </c>
      <c r="C26" s="68" t="s">
        <v>39</v>
      </c>
      <c r="D26" s="69">
        <v>17</v>
      </c>
      <c r="E26" s="57">
        <v>441</v>
      </c>
      <c r="F26" s="57">
        <f>D26*E26</f>
        <v>7497</v>
      </c>
      <c r="G26" s="57">
        <v>8656</v>
      </c>
      <c r="H26" s="57">
        <f t="shared" ref="H26:H29" si="5">D26*G26</f>
        <v>147152</v>
      </c>
      <c r="I26" s="57"/>
      <c r="J26" s="57"/>
      <c r="K26" s="57"/>
      <c r="L26" s="58"/>
      <c r="M26" s="57"/>
      <c r="N26" s="58">
        <f t="shared" ref="N26:N29" si="6">F26+H26+J26+L26</f>
        <v>154649</v>
      </c>
      <c r="O26" s="285"/>
    </row>
    <row r="27" spans="1:15" ht="12.95" customHeight="1" x14ac:dyDescent="0.3">
      <c r="A27" s="291"/>
      <c r="B27" s="67" t="s">
        <v>59</v>
      </c>
      <c r="C27" s="68" t="s">
        <v>39</v>
      </c>
      <c r="D27" s="69">
        <v>17</v>
      </c>
      <c r="E27" s="57">
        <v>385</v>
      </c>
      <c r="F27" s="57">
        <f t="shared" ref="F27" si="7">D27*E27</f>
        <v>6545</v>
      </c>
      <c r="G27" s="57">
        <v>5132</v>
      </c>
      <c r="H27" s="57">
        <f t="shared" si="5"/>
        <v>87244</v>
      </c>
      <c r="I27" s="57"/>
      <c r="J27" s="57"/>
      <c r="K27" s="57"/>
      <c r="L27" s="58"/>
      <c r="M27" s="57"/>
      <c r="N27" s="58">
        <f t="shared" si="6"/>
        <v>93789</v>
      </c>
      <c r="O27" s="286"/>
    </row>
    <row r="28" spans="1:15" ht="12.95" customHeight="1" x14ac:dyDescent="0.3">
      <c r="A28" s="291" t="s">
        <v>198</v>
      </c>
      <c r="B28" s="67" t="s">
        <v>197</v>
      </c>
      <c r="C28" s="68" t="s">
        <v>39</v>
      </c>
      <c r="D28" s="69">
        <v>11</v>
      </c>
      <c r="E28" s="57">
        <v>441</v>
      </c>
      <c r="F28" s="57">
        <f>D28*E28</f>
        <v>4851</v>
      </c>
      <c r="G28" s="57">
        <v>8656</v>
      </c>
      <c r="H28" s="57">
        <f t="shared" si="5"/>
        <v>95216</v>
      </c>
      <c r="I28" s="57"/>
      <c r="J28" s="57"/>
      <c r="K28" s="57"/>
      <c r="L28" s="58"/>
      <c r="M28" s="57"/>
      <c r="N28" s="58">
        <f t="shared" si="6"/>
        <v>100067</v>
      </c>
      <c r="O28" s="286"/>
    </row>
    <row r="29" spans="1:15" ht="12.95" customHeight="1" x14ac:dyDescent="0.3">
      <c r="A29" s="291"/>
      <c r="B29" s="67" t="s">
        <v>59</v>
      </c>
      <c r="C29" s="68" t="s">
        <v>39</v>
      </c>
      <c r="D29" s="69">
        <v>11</v>
      </c>
      <c r="E29" s="57">
        <v>385</v>
      </c>
      <c r="F29" s="57">
        <f t="shared" ref="F29" si="8">D29*E29</f>
        <v>4235</v>
      </c>
      <c r="G29" s="57">
        <v>5132</v>
      </c>
      <c r="H29" s="57">
        <f t="shared" si="5"/>
        <v>56452</v>
      </c>
      <c r="I29" s="57"/>
      <c r="J29" s="57"/>
      <c r="K29" s="57"/>
      <c r="L29" s="58"/>
      <c r="M29" s="57"/>
      <c r="N29" s="58">
        <f t="shared" si="6"/>
        <v>60687</v>
      </c>
      <c r="O29" s="286"/>
    </row>
    <row r="30" spans="1:15" ht="12.95" customHeight="1" x14ac:dyDescent="0.3">
      <c r="A30" s="89" t="s">
        <v>47</v>
      </c>
      <c r="B30" s="70"/>
      <c r="C30" s="71"/>
      <c r="D30" s="62"/>
      <c r="E30" s="63"/>
      <c r="F30" s="63">
        <f>SUM(F25:F29)</f>
        <v>23128</v>
      </c>
      <c r="G30" s="63"/>
      <c r="H30" s="63">
        <f>SUM(H25:H29)</f>
        <v>386064</v>
      </c>
      <c r="I30" s="63"/>
      <c r="J30" s="63">
        <f>SUM(J25:J29)</f>
        <v>0</v>
      </c>
      <c r="K30" s="63"/>
      <c r="L30" s="63">
        <f>SUM(L25:L29)</f>
        <v>0</v>
      </c>
      <c r="M30" s="63"/>
      <c r="N30" s="63">
        <f>SUM(N25:N29)</f>
        <v>409192</v>
      </c>
      <c r="O30" s="63"/>
    </row>
    <row r="31" spans="1:15" ht="12.95" customHeight="1" x14ac:dyDescent="0.3">
      <c r="A31" s="88" t="s">
        <v>60</v>
      </c>
      <c r="B31" s="54" t="s">
        <v>199</v>
      </c>
      <c r="C31" s="55" t="s">
        <v>39</v>
      </c>
      <c r="D31" s="72">
        <v>65</v>
      </c>
      <c r="E31" s="58"/>
      <c r="F31" s="58"/>
      <c r="G31" s="57">
        <v>6557</v>
      </c>
      <c r="H31" s="58">
        <f>D31*G31</f>
        <v>426205</v>
      </c>
      <c r="I31" s="58"/>
      <c r="J31" s="58"/>
      <c r="K31" s="58"/>
      <c r="L31" s="58"/>
      <c r="M31" s="58"/>
      <c r="N31" s="58">
        <f>F31+H31+J31+L31</f>
        <v>426205</v>
      </c>
      <c r="O31" s="73" t="s">
        <v>99</v>
      </c>
    </row>
    <row r="32" spans="1:15" ht="12.95" customHeight="1" x14ac:dyDescent="0.3">
      <c r="A32" s="90" t="s">
        <v>47</v>
      </c>
      <c r="B32" s="60"/>
      <c r="C32" s="61"/>
      <c r="D32" s="74"/>
      <c r="E32" s="75"/>
      <c r="F32" s="75"/>
      <c r="G32" s="75"/>
      <c r="H32" s="63">
        <f>SUM(H31:H31)</f>
        <v>426205</v>
      </c>
      <c r="I32" s="75"/>
      <c r="J32" s="63">
        <f>SUM(J31:J31)</f>
        <v>0</v>
      </c>
      <c r="K32" s="63"/>
      <c r="L32" s="63">
        <f>SUM(L31:L31)</f>
        <v>0</v>
      </c>
      <c r="M32" s="63"/>
      <c r="N32" s="63">
        <f>SUM(N31:N31)</f>
        <v>426205</v>
      </c>
      <c r="O32" s="75"/>
    </row>
    <row r="33" spans="1:15" ht="12.95" customHeight="1" x14ac:dyDescent="0.3">
      <c r="A33" s="91" t="s">
        <v>61</v>
      </c>
      <c r="B33" s="76"/>
      <c r="C33" s="77"/>
      <c r="D33" s="78"/>
      <c r="E33" s="79"/>
      <c r="F33" s="79">
        <f>F14+F24+F30+F32</f>
        <v>998200</v>
      </c>
      <c r="G33" s="79"/>
      <c r="H33" s="79">
        <f>H14+H24+H30+H32</f>
        <v>2821544.6</v>
      </c>
      <c r="I33" s="79"/>
      <c r="J33" s="79">
        <f>J14+J24+J30+J32</f>
        <v>0</v>
      </c>
      <c r="K33" s="79"/>
      <c r="L33" s="79">
        <f>L14+L24+L30+L32</f>
        <v>0</v>
      </c>
      <c r="M33" s="79"/>
      <c r="N33" s="79">
        <f>N14+N24+N30+N32</f>
        <v>3819744.6</v>
      </c>
      <c r="O33" s="79"/>
    </row>
  </sheetData>
  <mergeCells count="19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29"/>
    <mergeCell ref="A28:A29"/>
    <mergeCell ref="A15:A2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08" t="s">
        <v>200</v>
      </c>
      <c r="B2" s="308"/>
      <c r="G2" s="2"/>
      <c r="L2" s="2"/>
      <c r="N2" s="2"/>
      <c r="O2" s="3"/>
      <c r="P2" s="3"/>
    </row>
    <row r="3" spans="1:16" s="1" customFormat="1" x14ac:dyDescent="0.3">
      <c r="A3" s="4" t="s">
        <v>62</v>
      </c>
      <c r="B3" s="5" t="s">
        <v>63</v>
      </c>
      <c r="C3" s="5" t="s">
        <v>64</v>
      </c>
      <c r="D3" s="5" t="s">
        <v>201</v>
      </c>
      <c r="E3" s="6" t="s">
        <v>65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202</v>
      </c>
      <c r="C4" s="8" t="s">
        <v>66</v>
      </c>
      <c r="D4" s="9">
        <v>1300</v>
      </c>
      <c r="E4" s="10" t="s">
        <v>103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L22" sqref="L2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96</v>
      </c>
      <c r="C2" s="16" t="s">
        <v>102</v>
      </c>
      <c r="D2" s="16" t="s">
        <v>101</v>
      </c>
      <c r="E2" s="16" t="s">
        <v>69</v>
      </c>
      <c r="F2" s="92">
        <v>252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96</v>
      </c>
      <c r="C3" s="16" t="s">
        <v>98</v>
      </c>
      <c r="D3" s="16" t="s">
        <v>97</v>
      </c>
      <c r="E3" s="16" t="s">
        <v>69</v>
      </c>
      <c r="F3" s="92">
        <v>65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186</v>
      </c>
    </row>
    <row r="3" spans="1:6" x14ac:dyDescent="0.3">
      <c r="A3" s="96" t="str">
        <f>'내역서(표준단가)'!A6</f>
        <v>D02642</v>
      </c>
      <c r="B3" s="97" t="str">
        <f>'내역서(표준단가)'!F6</f>
        <v>D02642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66</v>
      </c>
    </row>
    <row r="4" spans="1:6" x14ac:dyDescent="0.3">
      <c r="A4" s="96" t="str">
        <f>'내역서(표준단가)'!A7</f>
        <v>D02873</v>
      </c>
      <c r="B4" s="97" t="str">
        <f>'내역서(표준단가)'!F7</f>
        <v>D02873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76</v>
      </c>
    </row>
    <row r="5" spans="1:6" x14ac:dyDescent="0.3">
      <c r="A5" s="96" t="str">
        <f>'내역서(표준단가)'!A8</f>
        <v>D02859</v>
      </c>
      <c r="B5" s="97" t="str">
        <f>'내역서(표준단가)'!F8</f>
        <v>D02859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50</v>
      </c>
    </row>
    <row r="6" spans="1:6" x14ac:dyDescent="0.3">
      <c r="A6" s="96" t="str">
        <f>'내역서(표준단가)'!A9</f>
        <v>D02558</v>
      </c>
      <c r="B6" s="97" t="str">
        <f>'내역서(표준단가)'!F9</f>
        <v>D02558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50</v>
      </c>
    </row>
    <row r="7" spans="1:6" x14ac:dyDescent="0.3">
      <c r="A7" s="96" t="str">
        <f>'내역서(표준단가)'!A10</f>
        <v>D02825</v>
      </c>
      <c r="B7" s="97" t="str">
        <f>'내역서(표준단가)'!F10</f>
        <v>D02825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28</v>
      </c>
    </row>
    <row r="8" spans="1:6" x14ac:dyDescent="0.3">
      <c r="A8" s="96" t="str">
        <f>'내역서(표준단가)'!A11</f>
        <v>D02832</v>
      </c>
      <c r="B8" s="97" t="str">
        <f>'내역서(표준단가)'!F11</f>
        <v>D02832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28</v>
      </c>
    </row>
    <row r="9" spans="1:6" x14ac:dyDescent="0.3">
      <c r="A9" s="96" t="str">
        <f>'내역서(표준단가)'!A12</f>
        <v>M012003400500101</v>
      </c>
      <c r="B9" s="97">
        <f>'내역서(표준단가)'!F12</f>
        <v>0</v>
      </c>
      <c r="C9" s="97">
        <f>'내역서(표준단가)'!G12</f>
        <v>0</v>
      </c>
      <c r="D9" s="97" t="str">
        <f>'내역서(표준단가)'!H12</f>
        <v>M012003400500101</v>
      </c>
      <c r="E9" s="97">
        <f>'내역서(표준단가)'!I12</f>
        <v>0</v>
      </c>
      <c r="F9" s="97">
        <f>'내역서(표준단가)'!M12</f>
        <v>50</v>
      </c>
    </row>
    <row r="10" spans="1:6" x14ac:dyDescent="0.3">
      <c r="A10" s="96" t="str">
        <f>'내역서(표준단가)'!A13</f>
        <v>M010602702400101</v>
      </c>
      <c r="B10" s="97">
        <f>'내역서(표준단가)'!F13</f>
        <v>0</v>
      </c>
      <c r="C10" s="97">
        <f>'내역서(표준단가)'!G13</f>
        <v>0</v>
      </c>
      <c r="D10" s="97" t="str">
        <f>'내역서(표준단가)'!H13</f>
        <v>M010602702400101</v>
      </c>
      <c r="E10" s="97">
        <f>'내역서(표준단가)'!I13</f>
        <v>0</v>
      </c>
      <c r="F10" s="97">
        <f>'내역서(표준단가)'!M13</f>
        <v>6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2025-03-10T01:49:06Z</dcterms:modified>
</cp:coreProperties>
</file>
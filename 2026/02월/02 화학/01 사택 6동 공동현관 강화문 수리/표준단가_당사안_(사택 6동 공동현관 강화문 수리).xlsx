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1226\06 작업폴더\01 사택 6동 공동현관 강화문 수리\"/>
    </mc:Choice>
  </mc:AlternateContent>
  <xr:revisionPtr revIDLastSave="0" documentId="13_ncr:1_{61255122-D1ED-4AA1-AAEB-5CF8FF4FF391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F3" i="1"/>
  <c r="E3" i="1"/>
  <c r="D3" i="1"/>
  <c r="C3" i="1"/>
  <c r="B3" i="1"/>
  <c r="U6" i="4" l="1"/>
  <c r="S6" i="4"/>
  <c r="Q6" i="4"/>
  <c r="O6" i="4"/>
  <c r="A6" i="4"/>
  <c r="A3" i="1" s="1"/>
  <c r="U7" i="4"/>
  <c r="S7" i="4"/>
  <c r="Q7" i="4"/>
  <c r="O7" i="4"/>
  <c r="A7" i="4"/>
  <c r="A4" i="1" s="1"/>
  <c r="V6" i="4" l="1"/>
  <c r="V7" i="4"/>
  <c r="F2" i="1"/>
  <c r="E2" i="1"/>
  <c r="D2" i="1"/>
  <c r="C2" i="1"/>
  <c r="B2" i="1"/>
  <c r="U5" i="4" l="1"/>
  <c r="S5" i="4"/>
  <c r="Q5" i="4"/>
  <c r="O5" i="4"/>
  <c r="A5" i="4"/>
  <c r="A2" i="1" s="1"/>
  <c r="V5" i="4" l="1"/>
  <c r="U8" i="4" l="1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<sst xmlns="http://schemas.openxmlformats.org/spreadsheetml/2006/main" count="113" uniqueCount="92">
  <si>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</si>
  <si>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</si>
  <si>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</si>
  <si>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</si>
  <si>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</si>
  <si>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</si>
  <si>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</si>
  <si>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</si>
  <si>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</si>
  <si>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</si>
  <si>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</si>
  <si>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</si>
  <si>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</si>
  <si>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</si>
  <si>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</si>
  <si>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</si>
  <si>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</si>
  <si>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</si>
  <si>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</si>
  <si>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</si>
  <si>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</si>
  <si>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</si>
  <si>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</si>
  <si>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</si>
  <si>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</si>
  <si>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</si>
  <si>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</si>
  <si>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</si>
  <si>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</si>
  <si>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</si>
  <si>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</si>
  <si>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</si>
  <si>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</si>
  <si>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</si>
  <si>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</si>
  <si>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</si>
  <si>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</si>
  <si>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</si>
  <si>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</si>
  <si>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</si>
  <si>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</si>
  <si>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</si>
  <si>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</si>
  <si>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</si>
  <si>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</si>
  <si>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</si>
  <si>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</si>
  <si>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</si>
  <si>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</si>
  <si>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</si>
  <si>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</si>
  <si>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</si>
  <si>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</si>
  <si>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</si>
  <si>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</si>
  <si>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</si>
  <si>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</si>
  <si>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</si>
  <si>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</si>
  <si>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</si>
  <si>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</si>
  <si>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</si>
  <si>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</si>
  <si>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</si>
  <si>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</si>
  <si>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</si>
  <si>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</si>
  <si>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</si>
  <si>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</si>
  <si>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</si>
  <si>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</si>
  <si>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</si>
  <si>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</si>
  <si>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</si>
  <si>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</si>
  <si>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</si>
  <si>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</si>
  <si>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</si>
  <si>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</si>
  <si>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</si>
  <si>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인</t>
    <phoneticPr fontId="6" type="noConversion"/>
  </si>
  <si>
    <t> (재료비+노무비)*3.11%</t>
    <phoneticPr fontId="14" type="noConversion"/>
  </si>
  <si>
    <t>M011200100101701</t>
  </si>
  <si>
    <r>
      <t xml:space="preserve">K8500, </t>
    </r>
    <r>
      <rPr>
        <b/>
        <sz val="10"/>
        <color indexed="8"/>
        <rFont val="Malgun Gothic"/>
        <family val="3"/>
        <charset val="129"/>
      </rPr>
      <t>고급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강화유리문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양쪽정지형</t>
    </r>
    <phoneticPr fontId="6" type="noConversion"/>
  </si>
  <si>
    <r>
      <rPr>
        <b/>
        <sz val="10"/>
        <color indexed="8"/>
        <rFont val="Malgun Gothic"/>
        <family val="3"/>
        <charset val="129"/>
      </rPr>
      <t>개</t>
    </r>
  </si>
  <si>
    <t>L009</t>
  </si>
  <si>
    <t>플로어힌지</t>
    <phoneticPr fontId="6" type="noConversion"/>
  </si>
  <si>
    <t>철공 1인* 2일 작업</t>
    <phoneticPr fontId="6" type="noConversion"/>
  </si>
  <si>
    <t>특별인부 1인* 2일 작업</t>
    <phoneticPr fontId="6" type="noConversion"/>
  </si>
  <si>
    <t xml:space="preserve"> 견적일 : 2025년  12월  24일</t>
    <phoneticPr fontId="12" type="noConversion"/>
  </si>
  <si>
    <t xml:space="preserve"> 공사명 : 공동현관 강화도어 보수(화학)</t>
    <phoneticPr fontId="12" type="noConversion"/>
  </si>
  <si>
    <t>플로어힌지 교체 (6동 3-4라인 2개소)+(6동 5-6라인 2개소)= 계 4개소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</si>
</sst>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;\-#,##0;"/>
    <numFmt numFmtId="186" formatCode="0.000"/>
    <numFmt numFmtId="187" formatCode="###,###,###,##0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0"/>
      <color indexed="8"/>
      <name val="Arial Narrow"/>
      <family val="2"/>
    </font>
    <font>
      <b/>
      <sz val="10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6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185" fontId="20" fillId="5" borderId="3" xfId="0" applyNumberFormat="1" applyFont="1" applyFill="1" applyBorder="1" applyAlignment="1">
      <alignment horizontal="right" vertical="center" wrapText="1"/>
    </xf>
    <xf numFmtId="185" fontId="20" fillId="0" borderId="3" xfId="0" applyNumberFormat="1" applyFont="1" applyBorder="1" applyAlignment="1">
      <alignment horizontal="right" vertical="center"/>
    </xf>
    <xf numFmtId="185" fontId="20" fillId="6" borderId="3" xfId="1" applyNumberFormat="1" applyFont="1" applyFill="1" applyBorder="1" applyAlignment="1">
      <alignment horizontal="right" vertical="center" wrapText="1"/>
    </xf>
    <xf numFmtId="185" fontId="20" fillId="0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4" fontId="20" fillId="0" borderId="1" xfId="1" applyNumberFormat="1" applyFont="1" applyBorder="1" applyAlignment="1">
      <alignment horizontal="center" vertical="center"/>
    </xf>
    <xf numFmtId="0" fontId="27" fillId="6" borderId="22" xfId="0" applyFont="1" applyFill="1" applyBorder="1" applyAlignment="1">
      <alignment horizontal="center" vertical="center"/>
    </xf>
    <xf numFmtId="49" fontId="26" fillId="7" borderId="3" xfId="0" applyNumberFormat="1" applyFont="1" applyFill="1" applyBorder="1" applyAlignment="1">
      <alignment horizontal="center" vertical="center" wrapText="1"/>
    </xf>
    <xf numFmtId="0" fontId="27" fillId="7" borderId="3" xfId="0" applyFont="1" applyFill="1" applyBorder="1" applyAlignment="1">
      <alignment horizontal="center" vertical="center"/>
    </xf>
    <xf numFmtId="49" fontId="28" fillId="7" borderId="3" xfId="0" applyNumberFormat="1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49" fontId="30" fillId="5" borderId="3" xfId="0" applyNumberFormat="1" applyFont="1" applyFill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/>
    </xf>
    <xf numFmtId="177" fontId="32" fillId="5" borderId="3" xfId="1" applyFont="1" applyFill="1" applyBorder="1" applyAlignment="1">
      <alignment horizontal="center" vertical="center" wrapText="1"/>
    </xf>
    <xf numFmtId="177" fontId="27" fillId="6" borderId="3" xfId="1" applyFont="1" applyFill="1" applyBorder="1" applyAlignment="1">
      <alignment horizontal="center" vertical="center" wrapText="1"/>
    </xf>
    <xf numFmtId="187" fontId="32" fillId="5" borderId="3" xfId="0" applyNumberFormat="1" applyFont="1" applyFill="1" applyBorder="1" applyAlignment="1">
      <alignment horizontal="right" vertical="center" wrapText="1"/>
    </xf>
    <xf numFmtId="177" fontId="27" fillId="0" borderId="3" xfId="1" applyFont="1" applyFill="1" applyBorder="1" applyAlignment="1">
      <alignment horizontal="center" vertical="center" wrapText="1"/>
    </xf>
    <xf numFmtId="183" fontId="27" fillId="5" borderId="3" xfId="1" applyNumberFormat="1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49" fontId="32" fillId="7" borderId="3" xfId="0" applyNumberFormat="1" applyFont="1" applyFill="1" applyBorder="1" applyAlignment="1">
      <alignment horizontal="center" vertical="center" wrapText="1"/>
    </xf>
    <xf numFmtId="49" fontId="31" fillId="5" borderId="3" xfId="0" applyNumberFormat="1" applyFont="1" applyFill="1" applyBorder="1" applyAlignment="1">
      <alignment horizontal="center" vertical="center" wrapText="1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53771</xdr:rowOff>
    </xdr:from>
    <xdr:to>
      <xdr:col>11</xdr:col>
      <xdr:colOff>10583</xdr:colOff>
      <xdr:row>10</xdr:row>
      <xdr:rowOff>193878</xdr:rowOff>
    </xdr:to>
    <xdr:sp macro="" textlink="">
      <xdr:nvSpPr>
        <xdr:cNvPr id="9" name="TextBox 23">
          <a:extLst>
            <a:ext uri="{FF2B5EF4-FFF2-40B4-BE49-F238E27FC236}">
              <a16:creationId xmlns:a16="http://schemas.microsoft.com/office/drawing/2014/main" id="{E8BA8EE6-1100-44AB-AC46-E0800BFB511B}"/>
            </a:ext>
          </a:extLst>
        </xdr:cNvPr>
        <xdr:cNvSpPr txBox="1">
          <a:spLocks noChangeArrowheads="1"/>
        </xdr:cNvSpPr>
      </xdr:nvSpPr>
      <xdr:spPr bwMode="auto">
        <a:xfrm>
          <a:off x="1386417" y="2932438"/>
          <a:ext cx="4688416" cy="10926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anchor="ctr">
          <a:spAutoFit/>
        </a:bodyPr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r>
            <a:rPr kumimoji="0" lang="ko-KR" altLang="en-US" sz="1200" b="1"/>
            <a:t>공 사 내 용 </a:t>
          </a:r>
          <a:r>
            <a:rPr kumimoji="0" lang="en-US" altLang="ko-KR" sz="1200" b="1"/>
            <a:t>:  </a:t>
          </a:r>
          <a:r>
            <a:rPr kumimoji="0" lang="ko-KR" altLang="en-US" sz="1200" b="1"/>
            <a:t>공동현관 강화도어 보수 공사 요함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 ① 6</a:t>
          </a:r>
          <a:r>
            <a:rPr kumimoji="0" lang="ko-KR" altLang="en-US" sz="1200" b="1"/>
            <a:t>동 </a:t>
          </a:r>
          <a:r>
            <a:rPr kumimoji="0" lang="en-US" altLang="ko-KR" sz="1200" b="1"/>
            <a:t>3~4</a:t>
          </a:r>
          <a:r>
            <a:rPr kumimoji="0" lang="ko-KR" altLang="en-US" sz="1200" b="1"/>
            <a:t>라인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</a:t>
          </a:r>
          <a:r>
            <a:rPr kumimoji="0" lang="en-US" altLang="ko-KR" sz="1200" b="1"/>
            <a:t> </a:t>
          </a:r>
          <a:r>
            <a:rPr kumimoji="0" lang="ko-KR" altLang="en-US" sz="1200" b="1"/>
            <a:t>힌지 파손</a:t>
          </a:r>
          <a:r>
            <a:rPr kumimoji="0" lang="en-US" altLang="ko-KR" sz="1200" b="1"/>
            <a:t>-</a:t>
          </a:r>
          <a:r>
            <a:rPr kumimoji="0" lang="ko-KR" altLang="en-US" sz="1200" b="1"/>
            <a:t>소계</a:t>
          </a:r>
          <a:r>
            <a:rPr kumimoji="0" lang="en-US" altLang="ko-KR" sz="1200" b="1"/>
            <a:t> :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 ② 6</a:t>
          </a:r>
          <a:r>
            <a:rPr kumimoji="0" lang="ko-KR" altLang="en-US" sz="1200" b="1"/>
            <a:t>동 </a:t>
          </a:r>
          <a:r>
            <a:rPr kumimoji="0" lang="en-US" altLang="ko-KR" sz="1200" b="1"/>
            <a:t>5~6</a:t>
          </a:r>
          <a:r>
            <a:rPr kumimoji="0" lang="ko-KR" altLang="en-US" sz="1200" b="1"/>
            <a:t>라인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</a:t>
          </a:r>
          <a:r>
            <a:rPr kumimoji="0" lang="en-US" altLang="ko-KR" sz="1200" b="1"/>
            <a:t> </a:t>
          </a:r>
          <a:r>
            <a:rPr kumimoji="0" lang="ko-KR" altLang="en-US" sz="1200" b="1"/>
            <a:t>바닥 끌림</a:t>
          </a:r>
          <a:r>
            <a:rPr kumimoji="0" lang="en-US" altLang="ko-KR" sz="1200" b="1"/>
            <a:t>-</a:t>
          </a:r>
          <a:r>
            <a:rPr kumimoji="0" lang="ko-KR" altLang="en-US" sz="1200" b="1"/>
            <a:t>소계</a:t>
          </a:r>
          <a:r>
            <a:rPr kumimoji="0" lang="en-US" altLang="ko-KR" sz="1200" b="1"/>
            <a:t> :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ko-KR" altLang="en-US" sz="1200" b="1">
              <a:solidFill>
                <a:srgbClr val="0070C0"/>
              </a:solidFill>
            </a:rPr>
            <a:t>                                                    강화도어</a:t>
          </a:r>
          <a:r>
            <a:rPr kumimoji="0" lang="en-US" altLang="ko-KR" sz="1200" b="1">
              <a:solidFill>
                <a:srgbClr val="0070C0"/>
              </a:solidFill>
            </a:rPr>
            <a:t> </a:t>
          </a:r>
          <a:r>
            <a:rPr kumimoji="0" lang="ko-KR" altLang="en-US" sz="1200" b="1">
              <a:solidFill>
                <a:srgbClr val="0070C0"/>
              </a:solidFill>
            </a:rPr>
            <a:t>합계 </a:t>
          </a:r>
          <a:r>
            <a:rPr kumimoji="0" lang="en-US" altLang="ko-KR" sz="1200" b="1">
              <a:solidFill>
                <a:srgbClr val="0070C0"/>
              </a:solidFill>
            </a:rPr>
            <a:t>:  4</a:t>
          </a:r>
          <a:r>
            <a:rPr kumimoji="0" lang="ko-KR" altLang="en-US" sz="1200" b="1">
              <a:solidFill>
                <a:srgbClr val="0070C0"/>
              </a:solidFill>
            </a:rPr>
            <a:t>개</a:t>
          </a:r>
          <a:endParaRPr kumimoji="0" lang="en-US" altLang="ko-KR" sz="1200" b="1">
            <a:solidFill>
              <a:srgbClr val="0070C0"/>
            </a:solidFill>
          </a:endParaRPr>
        </a:p>
        <a:p>
          <a:pPr eaLnBrk="1" hangingPunct="1">
            <a:spcBef>
              <a:spcPct val="0"/>
            </a:spcBef>
            <a:buFontTx/>
            <a:buNone/>
          </a:pPr>
          <a:endParaRPr kumimoji="0" lang="en-US" altLang="ko-KR" sz="12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3" sqref="K13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8" t="s">
        <v>6</v>
      </c>
      <c r="B2" s="128"/>
      <c r="C2" s="128"/>
      <c r="D2" s="128"/>
      <c r="E2" s="128"/>
      <c r="F2" s="128"/>
      <c r="G2" s="128"/>
      <c r="H2" s="2"/>
    </row>
    <row r="3" spans="1:9" ht="14.25">
      <c r="A3" s="86"/>
      <c r="B3" s="86"/>
      <c r="C3" s="86"/>
      <c r="D3" s="86"/>
      <c r="E3" s="86"/>
      <c r="F3" s="86"/>
      <c r="G3" s="86"/>
      <c r="H3" s="86"/>
    </row>
    <row r="4" spans="1:9" ht="14.25">
      <c r="A4" s="86"/>
      <c r="B4" s="86"/>
      <c r="C4" s="86"/>
      <c r="D4" s="86"/>
      <c r="E4" s="86"/>
      <c r="H4" s="86"/>
    </row>
    <row r="5" spans="1:9" ht="27" customHeight="1">
      <c r="A5" s="87" t="s">
        <v>48</v>
      </c>
      <c r="B5" s="4"/>
      <c r="C5" s="5"/>
      <c r="D5" s="86"/>
      <c r="E5" s="86"/>
      <c r="F5" s="6" t="s">
        <v>38</v>
      </c>
      <c r="G5" s="7" t="s">
        <v>52</v>
      </c>
      <c r="H5" s="86"/>
    </row>
    <row r="6" spans="1:9" ht="27" customHeight="1">
      <c r="A6" s="86"/>
      <c r="B6" s="86"/>
      <c r="C6" s="86"/>
      <c r="D6" s="86"/>
      <c r="E6" s="86"/>
      <c r="F6" s="8" t="s">
        <v>41</v>
      </c>
      <c r="G6" s="9" t="s">
        <v>53</v>
      </c>
      <c r="H6" s="86"/>
    </row>
    <row r="7" spans="1:9" ht="27" customHeight="1">
      <c r="A7" s="131" t="s">
        <v>90</v>
      </c>
      <c r="B7" s="132"/>
      <c r="C7" s="133"/>
      <c r="D7" s="86"/>
      <c r="E7" s="10"/>
      <c r="F7" s="11" t="s">
        <v>42</v>
      </c>
      <c r="G7" s="9" t="s">
        <v>54</v>
      </c>
      <c r="H7" s="86"/>
    </row>
    <row r="8" spans="1:9" ht="27" customHeight="1">
      <c r="A8" s="86"/>
      <c r="B8" s="86"/>
      <c r="C8" s="86"/>
      <c r="D8" s="86"/>
      <c r="E8" s="86"/>
      <c r="F8" s="8" t="s">
        <v>43</v>
      </c>
      <c r="G8" s="9" t="s">
        <v>55</v>
      </c>
      <c r="H8" s="86"/>
    </row>
    <row r="9" spans="1:9" ht="27" customHeight="1">
      <c r="A9" s="131" t="s">
        <v>89</v>
      </c>
      <c r="B9" s="132"/>
      <c r="C9" s="133"/>
      <c r="D9" s="86"/>
      <c r="E9" s="86"/>
      <c r="F9" s="8" t="s">
        <v>44</v>
      </c>
      <c r="G9" s="9" t="s">
        <v>56</v>
      </c>
      <c r="H9" s="86"/>
    </row>
    <row r="10" spans="1:9" ht="27" customHeight="1">
      <c r="A10" s="86"/>
      <c r="B10" s="86"/>
      <c r="C10" s="86"/>
      <c r="D10" s="86"/>
      <c r="E10" s="86"/>
      <c r="F10" s="12" t="s">
        <v>39</v>
      </c>
      <c r="G10" s="13" t="s">
        <v>57</v>
      </c>
      <c r="H10" s="86"/>
      <c r="I10" s="86"/>
    </row>
    <row r="11" spans="1:9" ht="27" customHeight="1">
      <c r="A11" s="129"/>
      <c r="B11" s="130"/>
      <c r="C11" s="130"/>
      <c r="D11" s="86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일백사십일만팔천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'내역서(표준단가)'!O8</f>
        <v>293920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'내역서(표준단가)'!Q8</f>
        <v>913602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1207522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41112.089999999997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32387.190900000001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4194.1412215500004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9227.3801999999996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32524.231199999998</v>
      </c>
      <c r="G25" s="35" t="s">
        <v>28</v>
      </c>
    </row>
    <row r="26" spans="1:7" ht="33" customHeight="1">
      <c r="A26" s="29"/>
      <c r="B26" s="42" t="s">
        <v>32</v>
      </c>
      <c r="C26" s="49" t="s">
        <v>81</v>
      </c>
      <c r="D26" s="30">
        <v>1</v>
      </c>
      <c r="E26" s="30" t="s">
        <v>25</v>
      </c>
      <c r="F26" s="43">
        <f>(F16+F17)*3.11%</f>
        <v>37553.934199999996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53530.048386077506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210529.01610762751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1418051.0161076274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1418000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90" zoomScaleNormal="90" workbookViewId="0">
      <pane ySplit="4" topLeftCell="A5" activePane="bottomLeft" state="frozen"/>
      <selection pane="bottomLeft" activeCell="T13" sqref="T13"/>
    </sheetView>
  </sheetViews>
  <sheetFormatPr defaultColWidth="9" defaultRowHeight="38.1" customHeight="1"/>
  <cols>
    <col min="1" max="1" width="18.25" style="106" customWidth="1"/>
    <col min="2" max="5" width="18.5" style="10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9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5.375" style="66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5.625" style="66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7"/>
      <c r="O1" s="99" t="s">
        <v>59</v>
      </c>
      <c r="Q1" s="99" t="s">
        <v>59</v>
      </c>
      <c r="S1" s="99" t="s">
        <v>59</v>
      </c>
      <c r="U1" s="99" t="s">
        <v>59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>
      <c r="A3" s="100"/>
      <c r="B3" s="100"/>
      <c r="C3" s="100"/>
      <c r="D3" s="100"/>
      <c r="E3" s="100"/>
      <c r="F3" s="100" t="s">
        <v>60</v>
      </c>
      <c r="G3" s="101"/>
      <c r="H3" s="101"/>
      <c r="I3" s="101"/>
      <c r="J3" s="145" t="s">
        <v>61</v>
      </c>
      <c r="K3" s="145"/>
      <c r="L3" s="143" t="s">
        <v>47</v>
      </c>
      <c r="M3" s="143" t="s">
        <v>5</v>
      </c>
      <c r="N3" s="139" t="s">
        <v>62</v>
      </c>
      <c r="O3" s="139"/>
      <c r="P3" s="139" t="s">
        <v>63</v>
      </c>
      <c r="Q3" s="139"/>
      <c r="R3" s="140" t="s">
        <v>64</v>
      </c>
      <c r="S3" s="140"/>
      <c r="T3" s="140" t="s">
        <v>65</v>
      </c>
      <c r="U3" s="140"/>
      <c r="V3" s="141" t="s">
        <v>66</v>
      </c>
      <c r="W3" s="137" t="s">
        <v>67</v>
      </c>
      <c r="X3" s="135" t="s">
        <v>45</v>
      </c>
    </row>
    <row r="4" spans="1:24" ht="19.899999999999999" customHeight="1">
      <c r="A4" s="70" t="s">
        <v>68</v>
      </c>
      <c r="B4" s="71"/>
      <c r="C4" s="71"/>
      <c r="D4" s="71"/>
      <c r="E4" s="71"/>
      <c r="F4" s="72" t="s">
        <v>69</v>
      </c>
      <c r="G4" s="72" t="s">
        <v>70</v>
      </c>
      <c r="H4" s="72" t="s">
        <v>71</v>
      </c>
      <c r="I4" s="72" t="s">
        <v>72</v>
      </c>
      <c r="J4" s="97" t="s">
        <v>73</v>
      </c>
      <c r="K4" s="97" t="s">
        <v>74</v>
      </c>
      <c r="L4" s="144"/>
      <c r="M4" s="144"/>
      <c r="N4" s="73" t="s">
        <v>75</v>
      </c>
      <c r="O4" s="74" t="s">
        <v>76</v>
      </c>
      <c r="P4" s="73" t="s">
        <v>77</v>
      </c>
      <c r="Q4" s="74" t="s">
        <v>76</v>
      </c>
      <c r="R4" s="74" t="s">
        <v>78</v>
      </c>
      <c r="S4" s="74" t="s">
        <v>76</v>
      </c>
      <c r="T4" s="74" t="s">
        <v>78</v>
      </c>
      <c r="U4" s="74" t="s">
        <v>76</v>
      </c>
      <c r="V4" s="142"/>
      <c r="W4" s="138"/>
      <c r="X4" s="136"/>
    </row>
    <row r="5" spans="1:24" s="102" customFormat="1" ht="38.1" customHeight="1">
      <c r="A5" s="75" t="str">
        <f t="shared" ref="A5" si="0">F5&amp;G5&amp;H5&amp;I5</f>
        <v>L009</v>
      </c>
      <c r="B5" s="124"/>
      <c r="C5" s="124"/>
      <c r="D5" s="124"/>
      <c r="E5" s="124"/>
      <c r="F5" s="76"/>
      <c r="G5" s="80"/>
      <c r="H5" s="80"/>
      <c r="I5" s="126" t="s">
        <v>85</v>
      </c>
      <c r="J5" s="88" t="s">
        <v>91</v>
      </c>
      <c r="K5" s="88" t="s">
        <v>87</v>
      </c>
      <c r="L5" s="77" t="s">
        <v>80</v>
      </c>
      <c r="M5" s="95">
        <v>2</v>
      </c>
      <c r="N5" s="92"/>
      <c r="O5" s="93">
        <f>M5*N5</f>
        <v>0</v>
      </c>
      <c r="P5" s="91">
        <v>237480</v>
      </c>
      <c r="Q5" s="93">
        <f>M5*P5</f>
        <v>474960</v>
      </c>
      <c r="R5" s="94"/>
      <c r="S5" s="93">
        <f t="shared" ref="S5" si="1">R5*M5*$S$2</f>
        <v>0</v>
      </c>
      <c r="T5" s="94"/>
      <c r="U5" s="93">
        <f t="shared" ref="U5" si="2">T5*M5*$U$2</f>
        <v>0</v>
      </c>
      <c r="V5" s="78">
        <f t="shared" ref="V5" si="3">SUM(O5+Q5)+S5+U5</f>
        <v>474960</v>
      </c>
      <c r="W5" s="81"/>
      <c r="X5" s="79"/>
    </row>
    <row r="6" spans="1:24" s="102" customFormat="1" ht="38.1" customHeight="1">
      <c r="A6" s="75" t="str">
        <f t="shared" ref="A6" si="4">F6&amp;G6&amp;H6&amp;I6</f>
        <v>L003</v>
      </c>
      <c r="B6" s="124"/>
      <c r="C6" s="124"/>
      <c r="D6" s="124"/>
      <c r="E6" s="124"/>
      <c r="F6" s="76"/>
      <c r="G6" s="80"/>
      <c r="H6" s="80"/>
      <c r="I6" s="89" t="s">
        <v>79</v>
      </c>
      <c r="J6" s="88" t="s">
        <v>91</v>
      </c>
      <c r="K6" s="88" t="s">
        <v>88</v>
      </c>
      <c r="L6" s="77" t="s">
        <v>80</v>
      </c>
      <c r="M6" s="95">
        <v>2</v>
      </c>
      <c r="N6" s="92"/>
      <c r="O6" s="93">
        <f>M6*N6</f>
        <v>0</v>
      </c>
      <c r="P6" s="91">
        <v>219321</v>
      </c>
      <c r="Q6" s="93">
        <f>M6*P6</f>
        <v>438642</v>
      </c>
      <c r="R6" s="94"/>
      <c r="S6" s="93">
        <f t="shared" ref="S6" si="5">R6*M6*$S$2</f>
        <v>0</v>
      </c>
      <c r="T6" s="94"/>
      <c r="U6" s="93">
        <f t="shared" ref="U6" si="6">T6*M6*$U$2</f>
        <v>0</v>
      </c>
      <c r="V6" s="78">
        <f t="shared" ref="V6" si="7">SUM(O6+Q6)+S6+U6</f>
        <v>438642</v>
      </c>
      <c r="W6" s="81"/>
      <c r="X6" s="79"/>
    </row>
    <row r="7" spans="1:24" s="102" customFormat="1" ht="38.1" customHeight="1">
      <c r="A7" s="111" t="str">
        <f t="shared" ref="A7" si="8">F7&amp;G7&amp;H7&amp;I7</f>
        <v>M011200100101701</v>
      </c>
      <c r="B7" s="125"/>
      <c r="C7" s="125"/>
      <c r="D7" s="125"/>
      <c r="E7" s="125"/>
      <c r="F7" s="112"/>
      <c r="G7" s="113"/>
      <c r="H7" s="114" t="s">
        <v>82</v>
      </c>
      <c r="I7" s="115"/>
      <c r="J7" s="127" t="s">
        <v>86</v>
      </c>
      <c r="K7" s="116" t="s">
        <v>83</v>
      </c>
      <c r="L7" s="117" t="s">
        <v>84</v>
      </c>
      <c r="M7" s="95">
        <v>4</v>
      </c>
      <c r="N7" s="118">
        <v>88000</v>
      </c>
      <c r="O7" s="119">
        <f t="shared" ref="O7" si="9">SUM(N7:N7)*M7*$O$2</f>
        <v>293920</v>
      </c>
      <c r="P7" s="120"/>
      <c r="Q7" s="119">
        <f t="shared" ref="Q7" si="10">(P7*M7)*$Q$2</f>
        <v>0</v>
      </c>
      <c r="R7" s="121"/>
      <c r="S7" s="119">
        <f t="shared" ref="S7" si="11">R7*M7*$S$2</f>
        <v>0</v>
      </c>
      <c r="T7" s="121"/>
      <c r="U7" s="119">
        <f t="shared" ref="U7" si="12">T7*M7*$U$2</f>
        <v>0</v>
      </c>
      <c r="V7" s="121">
        <f t="shared" ref="V7" si="13">SUM(O7+Q7)+S7+U7</f>
        <v>293920</v>
      </c>
      <c r="W7" s="122"/>
      <c r="X7" s="123"/>
    </row>
    <row r="8" spans="1:24" s="104" customFormat="1" ht="38.1" customHeight="1">
      <c r="A8" s="103"/>
      <c r="B8" s="103"/>
      <c r="C8" s="103"/>
      <c r="D8" s="103"/>
      <c r="E8" s="103"/>
      <c r="J8" s="98"/>
      <c r="K8" s="98"/>
      <c r="O8" s="108">
        <f>SUM(O5:O7)</f>
        <v>293920</v>
      </c>
      <c r="Q8" s="108">
        <f>SUM(Q5:Q7)</f>
        <v>913602</v>
      </c>
      <c r="S8" s="105">
        <f>SUM(S5:S7)</f>
        <v>0</v>
      </c>
      <c r="U8" s="105">
        <f>SUM(U5:U7)</f>
        <v>0</v>
      </c>
      <c r="V8" s="109">
        <f>SUM(V5:V7)</f>
        <v>1207522</v>
      </c>
      <c r="W8" s="82"/>
    </row>
    <row r="12" spans="1:24" ht="38.1" customHeight="1">
      <c r="Q12" s="10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4"/>
  <sheetViews>
    <sheetView showGridLines="0" zoomScaleNormal="100" workbookViewId="0">
      <selection activeCell="A5" sqref="A5:XFD12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0"/>
  </cols>
  <sheetData>
    <row r="1" spans="1:7" ht="18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66"/>
    </row>
    <row r="2" spans="1:7">
      <c r="A2" s="84" t="str">
        <f>'내역서(표준단가)'!A5</f>
        <v>L009</v>
      </c>
      <c r="B2" s="85">
        <f>'내역서(표준단가)'!F5</f>
        <v>0</v>
      </c>
      <c r="C2" s="85">
        <f>'내역서(표준단가)'!G5</f>
        <v>0</v>
      </c>
      <c r="D2" s="85">
        <f>'내역서(표준단가)'!H5</f>
        <v>0</v>
      </c>
      <c r="E2" s="85" t="str">
        <f>'내역서(표준단가)'!I5</f>
        <v>L009</v>
      </c>
      <c r="F2" s="110">
        <f>'내역서(표준단가)'!M5</f>
        <v>2</v>
      </c>
      <c r="G2" s="66"/>
    </row>
    <row r="3" spans="1:7">
      <c r="A3" s="84" t="str">
        <f>'내역서(표준단가)'!A6</f>
        <v>L003</v>
      </c>
      <c r="B3" s="85">
        <f>'내역서(표준단가)'!F6</f>
        <v>0</v>
      </c>
      <c r="C3" s="85">
        <f>'내역서(표준단가)'!G6</f>
        <v>0</v>
      </c>
      <c r="D3" s="85">
        <f>'내역서(표준단가)'!H6</f>
        <v>0</v>
      </c>
      <c r="E3" s="85" t="str">
        <f>'내역서(표준단가)'!I6</f>
        <v>L003</v>
      </c>
      <c r="F3" s="110">
        <f>'내역서(표준단가)'!M6</f>
        <v>2</v>
      </c>
    </row>
    <row r="4" spans="1:7">
      <c r="A4" s="84" t="str">
        <f>'내역서(표준단가)'!A7</f>
        <v>M011200100101701</v>
      </c>
      <c r="B4" s="85">
        <f>'내역서(표준단가)'!F7</f>
        <v>0</v>
      </c>
      <c r="C4" s="85">
        <f>'내역서(표준단가)'!G7</f>
        <v>0</v>
      </c>
      <c r="D4" s="85" t="str">
        <f>'내역서(표준단가)'!H7</f>
        <v>M011200100101701</v>
      </c>
      <c r="E4" s="85">
        <f>'내역서(표준단가)'!I7</f>
        <v>0</v>
      </c>
      <c r="F4" s="110">
        <f>'내역서(표준단가)'!M7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2025-12-25T23:24:06Z</dcterms:modified>
</cp:coreProperties>
</file>
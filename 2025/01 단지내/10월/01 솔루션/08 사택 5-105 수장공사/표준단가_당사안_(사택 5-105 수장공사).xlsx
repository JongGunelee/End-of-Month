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5 사택 5-105 수장공사\"/>
    </mc:Choice>
  </mc:AlternateContent>
  <xr:revisionPtr revIDLastSave="0" documentId="13_ncr:1_{A080D687-1A53-4DE5-8D2A-D861350D192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V5" i="4" s="1"/>
  <c r="A5" i="4"/>
  <c r="A2" i="1" s="1"/>
  <c r="U18" i="4" l="1"/>
  <c r="S18" i="4"/>
  <c r="Q18" i="4"/>
  <c r="O18" i="4"/>
  <c r="A18" i="4"/>
  <c r="A15" i="1" s="1"/>
  <c r="U8" i="4"/>
  <c r="S8" i="4"/>
  <c r="Q8" i="4"/>
  <c r="O8" i="4"/>
  <c r="A8" i="4"/>
  <c r="A5" i="1" s="1"/>
  <c r="U6" i="4"/>
  <c r="S6" i="4"/>
  <c r="Q6" i="4"/>
  <c r="O6" i="4"/>
  <c r="A6" i="4"/>
  <c r="A3" i="1" s="1"/>
  <c r="V18" i="4" l="1"/>
  <c r="V6" i="4"/>
  <c r="V8" i="4"/>
  <c r="A13" i="4" l="1"/>
  <c r="A10" i="1" s="1"/>
  <c r="F25" i="9"/>
  <c r="N25" i="9" s="1"/>
  <c r="F20" i="9"/>
  <c r="N20" i="9" s="1"/>
  <c r="O13" i="4"/>
  <c r="S13" i="4"/>
  <c r="U13" i="4"/>
  <c r="O10" i="4"/>
  <c r="V10" i="4" s="1"/>
  <c r="A10" i="4"/>
  <c r="A7" i="1" s="1"/>
  <c r="V13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14" i="9"/>
  <c r="L33" i="9"/>
  <c r="N22" i="9"/>
  <c r="N29" i="9"/>
  <c r="N15" i="9"/>
  <c r="N17" i="9"/>
  <c r="N9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7" i="4"/>
  <c r="A4" i="1" s="1"/>
  <c r="O7" i="4"/>
  <c r="Q7" i="4"/>
  <c r="S7" i="4"/>
  <c r="U7" i="4"/>
  <c r="V7" i="4" l="1"/>
  <c r="A17" i="4" l="1"/>
  <c r="A14" i="1" s="1"/>
  <c r="A16" i="4"/>
  <c r="A13" i="1" s="1"/>
  <c r="A15" i="4"/>
  <c r="A12" i="1" s="1"/>
  <c r="A14" i="4"/>
  <c r="A11" i="1" s="1"/>
  <c r="A12" i="4"/>
  <c r="A9" i="1" s="1"/>
  <c r="A11" i="4"/>
  <c r="A8" i="1" s="1"/>
  <c r="A9" i="4"/>
  <c r="A6" i="1" s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Q19" i="4" l="1"/>
  <c r="F17" i="5" s="1"/>
  <c r="V9" i="4"/>
  <c r="V12" i="4"/>
  <c r="V15" i="4"/>
  <c r="V16" i="4"/>
  <c r="V11" i="4"/>
  <c r="V14" i="4"/>
  <c r="V17" i="4"/>
  <c r="U19" i="4" l="1"/>
  <c r="O19" i="4"/>
  <c r="S19" i="4"/>
  <c r="F16" i="5" l="1"/>
  <c r="F26" i="5" s="1"/>
  <c r="F18" i="5"/>
  <c r="V19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<sst xmlns="http://schemas.openxmlformats.org/spreadsheetml/2006/main" count="240" uniqueCount="172">
  <si>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</si>
  <si>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</si>
  <si>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</si>
  <si>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</si>
  <si>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</si>
  <si>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</si>
  <si>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</si>
  <si>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</si>
  <si>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</si>
  <si>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</si>
  <si>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</si>
  <si>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</si>
  <si>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</si>
  <si>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</si>
  <si>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</si>
  <si>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</si>
  <si>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</si>
  <si>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</si>
  <si>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</si>
  <si>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</si>
  <si>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</si>
  <si>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</si>
  <si>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</si>
  <si>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</si>
  <si>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</si>
  <si>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</si>
  <si>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</si>
  <si>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</si>
  <si>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</si>
  <si>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</si>
  <si>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</si>
  <si>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</si>
  <si>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</si>
  <si>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</si>
  <si>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</si>
  <si>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</si>
  <si>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</si>
  <si>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</si>
  <si>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</si>
  <si>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</si>
  <si>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</si>
  <si>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</si>
  <si>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</si>
  <si>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</si>
  <si>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</si>
  <si>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</si>
  <si>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</si>
  <si>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</si>
  <si>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</si>
  <si>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</si>
  <si>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</si>
  <si>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</si>
  <si>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</si>
  <si>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</si>
  <si>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</si>
  <si>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</si>
  <si>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</si>
  <si>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</si>
  <si>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</si>
  <si>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</si>
  <si>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</si>
  <si>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</si>
  <si>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</si>
  <si>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</si>
  <si>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</si>
  <si>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</si>
  <si>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</si>
  <si>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</si>
  <si>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</si>
  <si>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</si>
  <si>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</si>
  <si>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</si>
  <si>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</si>
  <si>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</si>
  <si>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</si>
  <si>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</si>
  <si>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</si>
  <si>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</si>
  <si>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</si>
  <si>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</si>
  <si>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</si>
  <si>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</si>
  <si>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</si>
  <si>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</si>
  <si>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</si>
  <si>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</si>
  <si>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</si>
  <si>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</si>
  <si>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</si>
  <si>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</si>
  <si>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</si>
  <si>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</si>
  <si>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</si>
  <si>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</si>
  <si>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</si>
  <si>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</si>
  <si>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</si>
  <si>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</si>
  <si>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</si>
  <si>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</si>
  <si>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</si>
  <si>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</si>
  <si>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</si>
  <si>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</si>
  <si>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</si>
  <si>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</si>
  <si>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</si>
  <si>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</si>
  <si>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</si>
  <si>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</si>
  <si>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</si>
  <si>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</si>
  <si>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</si>
  <si>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</si>
  <si>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</si>
  <si>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</si>
  <si>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</si>
  <si>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</si>
  <si>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</si>
  <si>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</si>
  <si>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</si>
  <si>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</si>
  <si>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</si>
  <si>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</si>
  <si>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</si>
  <si>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</si>
  <si>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</si>
  <si>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</si>
  <si>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</si>
  <si>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</si>
  <si>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</si>
  <si>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</si>
  <si>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</si>
  <si>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</si>
  <si>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</si>
  <si>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</si>
  <si>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</si>
  <si>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</si>
  <si>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</si>
  <si>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</si>
  <si>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</si>
  <si>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</si>
  <si>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</si>
  <si>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</si>
  <si>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</si>
  <si>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</si>
  <si>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</si>
  <si>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</si>
  <si>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</si>
  <si>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</si>
  <si>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</si>
  <si>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</si>
  <si>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</si>
  <si>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</si>
  <si>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M020809012520101</t>
  </si>
  <si>
    <t>비닐시트바닥재</t>
  </si>
  <si>
    <t>데코리아 다솜(륨) 1.8T×1,830㎜</t>
  </si>
  <si>
    <t>㎡</t>
    <phoneticPr fontId="5" type="noConversion"/>
  </si>
  <si>
    <t>M020853710050101</t>
  </si>
  <si>
    <t>아이리스</t>
  </si>
  <si>
    <t>준공청소</t>
  </si>
  <si>
    <t>전체면적</t>
    <phoneticPr fontId="5" type="noConversion"/>
  </si>
  <si>
    <t>(연면적 ㎡당)</t>
  </si>
  <si>
    <t>E00000801011510701</t>
  </si>
  <si>
    <t>R/L</t>
  </si>
  <si>
    <t>합지벽지 1R/L=93㎝(고정)×17.75m=16.51㎡, 소요량183/16.51=11.084R/L</t>
    <phoneticPr fontId="5" type="noConversion"/>
  </si>
  <si>
    <t xml:space="preserve">일당 시공량-벽 46㎡, 적산정보 500p 참조,시공총량120/일당46=2.609, </t>
    <phoneticPr fontId="5" type="noConversion"/>
  </si>
  <si>
    <t>일당 시공량-천장 35㎡ 적산정보 500p 참조, 시공총량63/일당35=1.8</t>
    <phoneticPr fontId="5" type="noConversion"/>
  </si>
  <si>
    <t>일당 시공량-61㎡ 적산정보 500p 참조,시공총량51.6/일당61=0.8459</t>
    <phoneticPr fontId="5" type="noConversion"/>
  </si>
  <si>
    <t xml:space="preserve"> 공사명 : 사택 5-105 수장공사</t>
    <phoneticPr fontId="11" type="noConversion"/>
  </si>
  <si>
    <t>공사명 : 사택 5-105 수장공사</t>
    <phoneticPr fontId="5" type="noConversion"/>
  </si>
  <si>
    <t xml:space="preserve"> 견적일 : 2025 년  08월  07일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</si>
</sst>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#,##0.00_);[Red]\(#,##0.00\)"/>
    <numFmt numFmtId="192" formatCode="#,##0;\-#,##0;"/>
    <numFmt numFmtId="193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91" fontId="24" fillId="5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0" borderId="31" xfId="13" applyNumberFormat="1" applyFont="1" applyBorder="1" applyAlignment="1">
      <alignment horizontal="right" vertical="center" wrapText="1"/>
    </xf>
    <xf numFmtId="189" fontId="25" fillId="11" borderId="31" xfId="13" applyNumberFormat="1" applyFont="1" applyFill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83" fontId="24" fillId="0" borderId="31" xfId="13" applyNumberFormat="1" applyFont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14" sqref="L1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7" t="s">
        <v>6</v>
      </c>
      <c r="B2" s="167"/>
      <c r="C2" s="167"/>
      <c r="D2" s="167"/>
      <c r="E2" s="167"/>
      <c r="F2" s="167"/>
      <c r="G2" s="167"/>
      <c r="H2" s="2"/>
    </row>
    <row r="3" spans="1:9" ht="14.25" x14ac:dyDescent="0.2">
      <c r="A3" s="128"/>
      <c r="B3" s="128"/>
      <c r="C3" s="128"/>
      <c r="D3" s="128"/>
      <c r="E3" s="128"/>
      <c r="F3" s="128"/>
      <c r="G3" s="128"/>
      <c r="H3" s="128"/>
    </row>
    <row r="4" spans="1:9" ht="14.25" x14ac:dyDescent="0.2">
      <c r="A4" s="128"/>
      <c r="B4" s="128"/>
      <c r="C4" s="128"/>
      <c r="D4" s="128"/>
      <c r="E4" s="128"/>
      <c r="H4" s="128"/>
    </row>
    <row r="5" spans="1:9" ht="27" customHeight="1" x14ac:dyDescent="0.2">
      <c r="A5" s="129" t="s">
        <v>48</v>
      </c>
      <c r="B5" s="4"/>
      <c r="C5" s="5"/>
      <c r="D5" s="128"/>
      <c r="E5" s="128"/>
      <c r="F5" s="6" t="s">
        <v>38</v>
      </c>
      <c r="G5" s="7" t="s">
        <v>52</v>
      </c>
      <c r="H5" s="128"/>
    </row>
    <row r="6" spans="1:9" ht="27" customHeight="1" x14ac:dyDescent="0.2">
      <c r="A6" s="128"/>
      <c r="B6" s="128"/>
      <c r="C6" s="128"/>
      <c r="D6" s="128"/>
      <c r="E6" s="128"/>
      <c r="F6" s="8" t="s">
        <v>41</v>
      </c>
      <c r="G6" s="9" t="s">
        <v>53</v>
      </c>
      <c r="H6" s="128"/>
    </row>
    <row r="7" spans="1:9" ht="27" customHeight="1" x14ac:dyDescent="0.2">
      <c r="A7" s="170" t="s">
        <v>169</v>
      </c>
      <c r="B7" s="171"/>
      <c r="C7" s="172"/>
      <c r="D7" s="128"/>
      <c r="E7" s="10"/>
      <c r="F7" s="11" t="s">
        <v>42</v>
      </c>
      <c r="G7" s="9" t="s">
        <v>54</v>
      </c>
      <c r="H7" s="128"/>
    </row>
    <row r="8" spans="1:9" ht="27" customHeight="1" x14ac:dyDescent="0.2">
      <c r="A8" s="128"/>
      <c r="B8" s="128"/>
      <c r="C8" s="128"/>
      <c r="D8" s="128"/>
      <c r="E8" s="128"/>
      <c r="F8" s="8" t="s">
        <v>43</v>
      </c>
      <c r="G8" s="9" t="s">
        <v>55</v>
      </c>
      <c r="H8" s="128"/>
    </row>
    <row r="9" spans="1:9" ht="27" customHeight="1" x14ac:dyDescent="0.2">
      <c r="A9" s="170" t="s">
        <v>171</v>
      </c>
      <c r="B9" s="171"/>
      <c r="C9" s="172"/>
      <c r="D9" s="128"/>
      <c r="E9" s="128"/>
      <c r="F9" s="8" t="s">
        <v>44</v>
      </c>
      <c r="G9" s="9" t="s">
        <v>56</v>
      </c>
      <c r="H9" s="128"/>
    </row>
    <row r="10" spans="1:9" ht="27" customHeight="1" x14ac:dyDescent="0.2">
      <c r="A10" s="128"/>
      <c r="B10" s="128"/>
      <c r="C10" s="128"/>
      <c r="D10" s="128"/>
      <c r="E10" s="128"/>
      <c r="F10" s="12" t="s">
        <v>39</v>
      </c>
      <c r="G10" s="13" t="s">
        <v>57</v>
      </c>
      <c r="H10" s="128"/>
      <c r="I10" s="128"/>
    </row>
    <row r="11" spans="1:9" ht="27" customHeight="1" x14ac:dyDescent="0.2">
      <c r="A11" s="168"/>
      <c r="B11" s="169"/>
      <c r="C11" s="169"/>
      <c r="D11" s="128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사백팔십육만구천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8"/>
      <c r="B13" s="128"/>
      <c r="C13" s="128"/>
      <c r="D13" s="128"/>
      <c r="E13" s="128"/>
      <c r="F13" s="128"/>
      <c r="G13" s="128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795893.27599999995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3317674.456704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4113567.7327040001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149295.35055167999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117611.55949015681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15230.696953975308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33508.512012710402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118109.2106586624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153</v>
      </c>
      <c r="D26" s="30">
        <v>1</v>
      </c>
      <c r="E26" s="30" t="s">
        <v>25</v>
      </c>
      <c r="F26" s="43">
        <f>(F16+F17)*3.11%</f>
        <v>127931.9564870944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193968.08714291398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755655.3732971932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4869223.1060011936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4869000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80" zoomScaleNormal="80" workbookViewId="0">
      <pane ySplit="4" topLeftCell="A5" activePane="bottomLeft" state="frozen"/>
      <selection pane="bottomLeft" activeCell="Q19" sqref="Q19"/>
    </sheetView>
  </sheetViews>
  <sheetFormatPr defaultColWidth="9" defaultRowHeight="38.1" customHeight="1" x14ac:dyDescent="0.3"/>
  <cols>
    <col min="1" max="1" width="22.625" style="160" bestFit="1" customWidth="1"/>
    <col min="2" max="5" width="4.625" style="160" hidden="1" customWidth="1"/>
    <col min="6" max="6" width="9" style="146" hidden="1" customWidth="1"/>
    <col min="7" max="9" width="12.625" style="146" hidden="1" customWidth="1"/>
    <col min="10" max="11" width="30.625" style="141" customWidth="1"/>
    <col min="12" max="12" width="12.375" style="146" bestFit="1" customWidth="1"/>
    <col min="13" max="13" width="7.625" style="146" bestFit="1" customWidth="1"/>
    <col min="14" max="14" width="10.625" style="146" bestFit="1" customWidth="1"/>
    <col min="15" max="15" width="13.25" style="146" bestFit="1" customWidth="1"/>
    <col min="16" max="16" width="12" style="146" bestFit="1" customWidth="1"/>
    <col min="17" max="17" width="15.625" style="146" bestFit="1" customWidth="1"/>
    <col min="18" max="18" width="9" style="146" customWidth="1"/>
    <col min="19" max="19" width="8.75" style="146" bestFit="1" customWidth="1"/>
    <col min="20" max="20" width="10.5" style="146" customWidth="1"/>
    <col min="21" max="21" width="8.75" style="146" bestFit="1" customWidth="1"/>
    <col min="22" max="22" width="15.625" style="146" bestFit="1" customWidth="1"/>
    <col min="23" max="23" width="15.5" style="66" bestFit="1" customWidth="1"/>
    <col min="24" max="24" width="8.5" style="146" bestFit="1" customWidth="1"/>
    <col min="25" max="16384" width="9" style="146"/>
  </cols>
  <sheetData>
    <row r="1" spans="1:24" ht="19.899999999999999" customHeight="1" x14ac:dyDescent="0.3">
      <c r="A1" s="173"/>
      <c r="B1" s="173"/>
      <c r="C1" s="173"/>
      <c r="D1" s="173"/>
      <c r="E1" s="173"/>
      <c r="F1" s="173"/>
      <c r="G1" s="173"/>
      <c r="H1" s="173"/>
      <c r="I1" s="173"/>
      <c r="N1" s="66"/>
      <c r="O1" s="144" t="s">
        <v>100</v>
      </c>
      <c r="Q1" s="144" t="s">
        <v>100</v>
      </c>
      <c r="S1" s="144" t="s">
        <v>100</v>
      </c>
      <c r="U1" s="144" t="s">
        <v>100</v>
      </c>
    </row>
    <row r="2" spans="1:24" ht="19.899999999999999" customHeight="1" thickBot="1" x14ac:dyDescent="0.35">
      <c r="A2" s="173"/>
      <c r="B2" s="173"/>
      <c r="C2" s="173"/>
      <c r="D2" s="173"/>
      <c r="E2" s="173"/>
      <c r="F2" s="173"/>
      <c r="G2" s="173"/>
      <c r="H2" s="173"/>
      <c r="I2" s="173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7"/>
      <c r="B3" s="148"/>
      <c r="C3" s="148"/>
      <c r="D3" s="148"/>
      <c r="E3" s="148"/>
      <c r="F3" s="148" t="s">
        <v>101</v>
      </c>
      <c r="G3" s="148"/>
      <c r="H3" s="148"/>
      <c r="I3" s="148"/>
      <c r="J3" s="184" t="s">
        <v>102</v>
      </c>
      <c r="K3" s="184"/>
      <c r="L3" s="182" t="s">
        <v>47</v>
      </c>
      <c r="M3" s="182" t="s">
        <v>5</v>
      </c>
      <c r="N3" s="178" t="s">
        <v>103</v>
      </c>
      <c r="O3" s="178"/>
      <c r="P3" s="178" t="s">
        <v>104</v>
      </c>
      <c r="Q3" s="178"/>
      <c r="R3" s="179" t="s">
        <v>105</v>
      </c>
      <c r="S3" s="179"/>
      <c r="T3" s="179" t="s">
        <v>106</v>
      </c>
      <c r="U3" s="179"/>
      <c r="V3" s="180" t="s">
        <v>107</v>
      </c>
      <c r="W3" s="176" t="s">
        <v>108</v>
      </c>
      <c r="X3" s="174" t="s">
        <v>45</v>
      </c>
    </row>
    <row r="4" spans="1:24" ht="19.899999999999999" customHeight="1" x14ac:dyDescent="0.3">
      <c r="A4" s="69" t="s">
        <v>109</v>
      </c>
      <c r="B4" s="145"/>
      <c r="C4" s="145"/>
      <c r="D4" s="145"/>
      <c r="E4" s="145"/>
      <c r="F4" s="70" t="s">
        <v>110</v>
      </c>
      <c r="G4" s="70" t="s">
        <v>111</v>
      </c>
      <c r="H4" s="70" t="s">
        <v>112</v>
      </c>
      <c r="I4" s="70" t="s">
        <v>113</v>
      </c>
      <c r="J4" s="142" t="s">
        <v>114</v>
      </c>
      <c r="K4" s="142" t="s">
        <v>115</v>
      </c>
      <c r="L4" s="183"/>
      <c r="M4" s="183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1"/>
      <c r="W4" s="177"/>
      <c r="X4" s="175"/>
    </row>
    <row r="5" spans="1:24" s="149" customFormat="1" ht="38.1" customHeight="1" x14ac:dyDescent="0.3">
      <c r="A5" s="73" t="str">
        <f t="shared" ref="A5" si="0">F5&amp;G5&amp;H5&amp;I5</f>
        <v>M020853710050101</v>
      </c>
      <c r="B5" s="109"/>
      <c r="C5" s="109"/>
      <c r="D5" s="109"/>
      <c r="E5" s="109"/>
      <c r="F5" s="103"/>
      <c r="G5" s="74"/>
      <c r="H5" s="74" t="s">
        <v>158</v>
      </c>
      <c r="I5" s="103"/>
      <c r="J5" s="140" t="s">
        <v>159</v>
      </c>
      <c r="K5" s="140" t="s">
        <v>165</v>
      </c>
      <c r="L5" s="121" t="s">
        <v>164</v>
      </c>
      <c r="M5" s="139">
        <v>11.084</v>
      </c>
      <c r="N5" s="161">
        <v>20900</v>
      </c>
      <c r="O5" s="135">
        <f t="shared" ref="O5" si="1">SUM(N5:N5)*M5*$O$2</f>
        <v>193432.42600000001</v>
      </c>
      <c r="P5" s="134"/>
      <c r="Q5" s="135">
        <f t="shared" ref="Q5" si="2">(P5*M5)*$Q$2</f>
        <v>0</v>
      </c>
      <c r="R5" s="136"/>
      <c r="S5" s="135">
        <f t="shared" ref="S5" si="3">R5*M5*$S$2</f>
        <v>0</v>
      </c>
      <c r="T5" s="136"/>
      <c r="U5" s="135">
        <f t="shared" ref="U5" si="4">T5*M5*$U$2</f>
        <v>0</v>
      </c>
      <c r="V5" s="77">
        <f t="shared" ref="V5" si="5">SUM(O5+Q5)+S5+U5</f>
        <v>193432.42600000001</v>
      </c>
      <c r="W5" s="120"/>
      <c r="X5" s="78"/>
    </row>
    <row r="6" spans="1:24" s="149" customFormat="1" ht="38.1" customHeight="1" x14ac:dyDescent="0.3">
      <c r="A6" s="73" t="str">
        <f t="shared" ref="A6" si="6">F6&amp;G6&amp;H6&amp;I6</f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0" t="s">
        <v>122</v>
      </c>
      <c r="K6" s="140" t="s">
        <v>166</v>
      </c>
      <c r="L6" s="75" t="s">
        <v>121</v>
      </c>
      <c r="M6" s="139">
        <v>2.609</v>
      </c>
      <c r="N6" s="137"/>
      <c r="O6" s="135">
        <f t="shared" ref="O6" si="7">SUM(N6:N6)*M6*$O$2</f>
        <v>0</v>
      </c>
      <c r="P6" s="134">
        <v>487076</v>
      </c>
      <c r="Q6" s="135">
        <f t="shared" ref="Q6" si="8">(P6*M6)*$Q$2</f>
        <v>1061102.3721399999</v>
      </c>
      <c r="R6" s="136"/>
      <c r="S6" s="135">
        <f t="shared" ref="S6" si="9">R6*M6*$S$2</f>
        <v>0</v>
      </c>
      <c r="T6" s="136"/>
      <c r="U6" s="135">
        <f t="shared" ref="U6" si="10">T6*M6*$U$2</f>
        <v>0</v>
      </c>
      <c r="V6" s="77">
        <f t="shared" ref="V6" si="11">SUM(O6+Q6)+S6+U6</f>
        <v>1061102.3721399999</v>
      </c>
      <c r="W6" s="120"/>
      <c r="X6" s="78"/>
    </row>
    <row r="7" spans="1:24" s="149" customFormat="1" ht="38.1" customHeight="1" x14ac:dyDescent="0.3">
      <c r="A7" s="73" t="str">
        <f t="shared" ref="A7:A8" si="12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0" t="s">
        <v>123</v>
      </c>
      <c r="K7" s="140" t="s">
        <v>167</v>
      </c>
      <c r="L7" s="75" t="s">
        <v>121</v>
      </c>
      <c r="M7" s="139">
        <v>1.8</v>
      </c>
      <c r="N7" s="137"/>
      <c r="O7" s="135">
        <f t="shared" ref="O7:O17" si="13">SUM(N7:N7)*M7*$O$2</f>
        <v>0</v>
      </c>
      <c r="P7" s="134">
        <v>487076</v>
      </c>
      <c r="Q7" s="135">
        <f t="shared" ref="Q7:Q18" si="14">(P7*M7)*$Q$2</f>
        <v>732075.228</v>
      </c>
      <c r="R7" s="136"/>
      <c r="S7" s="135">
        <f t="shared" ref="S7:S18" si="15">R7*M7*$S$2</f>
        <v>0</v>
      </c>
      <c r="T7" s="136"/>
      <c r="U7" s="135">
        <f t="shared" ref="U7:U18" si="16">T7*M7*$U$2</f>
        <v>0</v>
      </c>
      <c r="V7" s="77">
        <f t="shared" ref="V7:V18" si="17">SUM(O7+Q7)+S7+U7</f>
        <v>732075.228</v>
      </c>
      <c r="W7" s="120"/>
      <c r="X7" s="78"/>
    </row>
    <row r="8" spans="1:24" s="149" customFormat="1" ht="38.1" customHeight="1" x14ac:dyDescent="0.3">
      <c r="A8" s="73" t="str">
        <f t="shared" si="12"/>
        <v>M020809012520101</v>
      </c>
      <c r="B8" s="109"/>
      <c r="C8" s="109"/>
      <c r="D8" s="109"/>
      <c r="E8" s="109"/>
      <c r="F8" s="103"/>
      <c r="G8" s="74"/>
      <c r="H8" s="74" t="s">
        <v>154</v>
      </c>
      <c r="I8" s="103"/>
      <c r="J8" s="140" t="s">
        <v>155</v>
      </c>
      <c r="K8" s="140" t="s">
        <v>156</v>
      </c>
      <c r="L8" s="121" t="s">
        <v>157</v>
      </c>
      <c r="M8" s="139">
        <v>51.6</v>
      </c>
      <c r="N8" s="138">
        <v>13000</v>
      </c>
      <c r="O8" s="135">
        <f t="shared" si="13"/>
        <v>560118</v>
      </c>
      <c r="P8" s="134"/>
      <c r="Q8" s="135">
        <f t="shared" si="14"/>
        <v>0</v>
      </c>
      <c r="R8" s="136"/>
      <c r="S8" s="135">
        <f t="shared" si="15"/>
        <v>0</v>
      </c>
      <c r="T8" s="136"/>
      <c r="U8" s="135">
        <f t="shared" si="16"/>
        <v>0</v>
      </c>
      <c r="V8" s="77">
        <f t="shared" si="17"/>
        <v>560118</v>
      </c>
      <c r="W8" s="120"/>
      <c r="X8" s="78"/>
    </row>
    <row r="9" spans="1:24" s="149" customFormat="1" ht="38.1" customHeight="1" x14ac:dyDescent="0.3">
      <c r="A9" s="73" t="str">
        <f t="shared" ref="A9:A18" si="18">F9&amp;G9&amp;H9&amp;I9</f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0" t="s">
        <v>125</v>
      </c>
      <c r="K9" s="140" t="s">
        <v>168</v>
      </c>
      <c r="L9" s="75" t="s">
        <v>121</v>
      </c>
      <c r="M9" s="139">
        <v>0.84589999999999999</v>
      </c>
      <c r="N9" s="137"/>
      <c r="O9" s="135">
        <f t="shared" si="13"/>
        <v>0</v>
      </c>
      <c r="P9" s="134">
        <v>487076</v>
      </c>
      <c r="Q9" s="135">
        <f t="shared" si="14"/>
        <v>344034.68631399999</v>
      </c>
      <c r="R9" s="136"/>
      <c r="S9" s="135">
        <f t="shared" si="15"/>
        <v>0</v>
      </c>
      <c r="T9" s="136"/>
      <c r="U9" s="135">
        <f t="shared" si="16"/>
        <v>0</v>
      </c>
      <c r="V9" s="77">
        <f t="shared" si="17"/>
        <v>344034.68631399999</v>
      </c>
      <c r="W9" s="120"/>
      <c r="X9" s="78"/>
    </row>
    <row r="10" spans="1:24" s="149" customFormat="1" ht="38.1" customHeight="1" x14ac:dyDescent="0.3">
      <c r="A10" s="73" t="str">
        <f t="shared" si="18"/>
        <v>M020412614110102</v>
      </c>
      <c r="B10" s="109"/>
      <c r="C10" s="109"/>
      <c r="D10" s="109"/>
      <c r="E10" s="109"/>
      <c r="F10" s="103"/>
      <c r="G10" s="74"/>
      <c r="H10" s="162" t="s">
        <v>150</v>
      </c>
      <c r="I10" s="103"/>
      <c r="J10" s="163" t="s">
        <v>149</v>
      </c>
      <c r="K10" s="163" t="s">
        <v>144</v>
      </c>
      <c r="L10" s="131" t="s">
        <v>143</v>
      </c>
      <c r="M10" s="139">
        <v>0.5</v>
      </c>
      <c r="N10" s="164">
        <v>65500</v>
      </c>
      <c r="O10" s="135">
        <f t="shared" si="13"/>
        <v>27346.25</v>
      </c>
      <c r="P10" s="134"/>
      <c r="Q10" s="135"/>
      <c r="R10" s="136"/>
      <c r="S10" s="135"/>
      <c r="T10" s="136"/>
      <c r="U10" s="135"/>
      <c r="V10" s="77">
        <f t="shared" si="17"/>
        <v>27346.25</v>
      </c>
      <c r="W10" s="120"/>
      <c r="X10" s="78"/>
    </row>
    <row r="11" spans="1:24" s="149" customFormat="1" ht="38.1" customHeight="1" x14ac:dyDescent="0.3">
      <c r="A11" s="73" t="str">
        <f t="shared" si="18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0" t="s">
        <v>127</v>
      </c>
      <c r="K11" s="140" t="s">
        <v>128</v>
      </c>
      <c r="L11" s="121" t="s">
        <v>141</v>
      </c>
      <c r="M11" s="139">
        <v>50</v>
      </c>
      <c r="N11" s="134"/>
      <c r="O11" s="135">
        <f t="shared" si="13"/>
        <v>0</v>
      </c>
      <c r="P11" s="134">
        <v>10432</v>
      </c>
      <c r="Q11" s="135">
        <f t="shared" si="14"/>
        <v>435536</v>
      </c>
      <c r="R11" s="136"/>
      <c r="S11" s="135">
        <f t="shared" si="15"/>
        <v>0</v>
      </c>
      <c r="T11" s="136"/>
      <c r="U11" s="135">
        <f t="shared" si="16"/>
        <v>0</v>
      </c>
      <c r="V11" s="77">
        <f t="shared" si="17"/>
        <v>435536</v>
      </c>
      <c r="W11" s="120"/>
      <c r="X11" s="78"/>
    </row>
    <row r="12" spans="1:24" s="149" customFormat="1" ht="38.1" customHeight="1" x14ac:dyDescent="0.3">
      <c r="A12" s="73" t="str">
        <f t="shared" si="18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0" t="s">
        <v>131</v>
      </c>
      <c r="K12" s="140" t="s">
        <v>132</v>
      </c>
      <c r="L12" s="121" t="s">
        <v>129</v>
      </c>
      <c r="M12" s="139">
        <v>50</v>
      </c>
      <c r="N12" s="134"/>
      <c r="O12" s="135">
        <f t="shared" si="13"/>
        <v>0</v>
      </c>
      <c r="P12" s="134">
        <v>6179</v>
      </c>
      <c r="Q12" s="135">
        <f t="shared" si="14"/>
        <v>257973.25</v>
      </c>
      <c r="R12" s="136"/>
      <c r="S12" s="135">
        <f t="shared" si="15"/>
        <v>0</v>
      </c>
      <c r="T12" s="136"/>
      <c r="U12" s="135">
        <f t="shared" si="16"/>
        <v>0</v>
      </c>
      <c r="V12" s="77">
        <f t="shared" si="17"/>
        <v>257973.25</v>
      </c>
      <c r="W12" s="120"/>
      <c r="X12" s="78"/>
    </row>
    <row r="13" spans="1:24" s="149" customFormat="1" ht="38.1" customHeight="1" x14ac:dyDescent="0.3">
      <c r="A13" s="73" t="str">
        <f t="shared" si="18"/>
        <v>M020411810170101</v>
      </c>
      <c r="B13" s="109"/>
      <c r="C13" s="109"/>
      <c r="D13" s="109"/>
      <c r="E13" s="109"/>
      <c r="F13" s="103"/>
      <c r="G13" s="74"/>
      <c r="H13" s="162" t="s">
        <v>145</v>
      </c>
      <c r="I13" s="103"/>
      <c r="J13" s="163" t="s">
        <v>146</v>
      </c>
      <c r="K13" s="163" t="s">
        <v>147</v>
      </c>
      <c r="L13" s="131" t="s">
        <v>143</v>
      </c>
      <c r="M13" s="139">
        <v>0.2</v>
      </c>
      <c r="N13" s="164">
        <v>89800</v>
      </c>
      <c r="O13" s="135">
        <f t="shared" si="13"/>
        <v>14996.599999999999</v>
      </c>
      <c r="P13" s="134"/>
      <c r="Q13" s="135"/>
      <c r="R13" s="136"/>
      <c r="S13" s="135">
        <f t="shared" si="15"/>
        <v>0</v>
      </c>
      <c r="T13" s="136"/>
      <c r="U13" s="135">
        <f t="shared" si="16"/>
        <v>0</v>
      </c>
      <c r="V13" s="77">
        <f t="shared" si="17"/>
        <v>14996.599999999999</v>
      </c>
      <c r="W13" s="120"/>
      <c r="X13" s="78"/>
    </row>
    <row r="14" spans="1:24" s="149" customFormat="1" ht="38.1" customHeight="1" x14ac:dyDescent="0.3">
      <c r="A14" s="73" t="str">
        <f t="shared" si="18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0" t="s">
        <v>134</v>
      </c>
      <c r="K14" s="140" t="s">
        <v>135</v>
      </c>
      <c r="L14" s="121" t="s">
        <v>129</v>
      </c>
      <c r="M14" s="139">
        <v>14</v>
      </c>
      <c r="N14" s="150"/>
      <c r="O14" s="76">
        <f t="shared" si="13"/>
        <v>0</v>
      </c>
      <c r="P14" s="151">
        <v>2422</v>
      </c>
      <c r="Q14" s="76">
        <f t="shared" si="14"/>
        <v>28313.18</v>
      </c>
      <c r="R14" s="77"/>
      <c r="S14" s="76">
        <f t="shared" si="15"/>
        <v>0</v>
      </c>
      <c r="T14" s="77"/>
      <c r="U14" s="76">
        <f t="shared" si="16"/>
        <v>0</v>
      </c>
      <c r="V14" s="77">
        <f t="shared" si="17"/>
        <v>28313.18</v>
      </c>
      <c r="W14" s="120"/>
      <c r="X14" s="78"/>
    </row>
    <row r="15" spans="1:24" s="149" customFormat="1" ht="38.1" customHeight="1" x14ac:dyDescent="0.3">
      <c r="A15" s="73" t="str">
        <f t="shared" si="18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0" t="s">
        <v>137</v>
      </c>
      <c r="K15" s="140" t="s">
        <v>132</v>
      </c>
      <c r="L15" s="121" t="s">
        <v>129</v>
      </c>
      <c r="M15" s="139">
        <v>14</v>
      </c>
      <c r="N15" s="122"/>
      <c r="O15" s="76">
        <f t="shared" si="13"/>
        <v>0</v>
      </c>
      <c r="P15" s="151">
        <v>3756</v>
      </c>
      <c r="Q15" s="76">
        <f t="shared" si="14"/>
        <v>43907.64</v>
      </c>
      <c r="R15" s="77"/>
      <c r="S15" s="76">
        <f t="shared" si="15"/>
        <v>0</v>
      </c>
      <c r="T15" s="77"/>
      <c r="U15" s="76">
        <f t="shared" si="16"/>
        <v>0</v>
      </c>
      <c r="V15" s="77">
        <f t="shared" si="17"/>
        <v>43907.64</v>
      </c>
      <c r="W15" s="120"/>
      <c r="X15" s="78"/>
    </row>
    <row r="16" spans="1:24" s="149" customFormat="1" ht="38.1" customHeight="1" x14ac:dyDescent="0.3">
      <c r="A16" s="73" t="str">
        <f t="shared" si="18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0" t="s">
        <v>138</v>
      </c>
      <c r="K16" s="140" t="s">
        <v>135</v>
      </c>
      <c r="L16" s="121" t="s">
        <v>129</v>
      </c>
      <c r="M16" s="139">
        <v>1.85</v>
      </c>
      <c r="N16" s="150"/>
      <c r="O16" s="76">
        <f t="shared" si="13"/>
        <v>0</v>
      </c>
      <c r="P16" s="151">
        <v>2422</v>
      </c>
      <c r="Q16" s="76">
        <f t="shared" si="14"/>
        <v>3741.3844999999997</v>
      </c>
      <c r="R16" s="77"/>
      <c r="S16" s="76">
        <f t="shared" si="15"/>
        <v>0</v>
      </c>
      <c r="T16" s="77"/>
      <c r="U16" s="76">
        <f t="shared" si="16"/>
        <v>0</v>
      </c>
      <c r="V16" s="77">
        <f t="shared" si="17"/>
        <v>3741.3844999999997</v>
      </c>
      <c r="W16" s="120"/>
      <c r="X16" s="78"/>
    </row>
    <row r="17" spans="1:24" s="149" customFormat="1" ht="38.1" customHeight="1" x14ac:dyDescent="0.3">
      <c r="A17" s="73" t="str">
        <f t="shared" si="18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0" t="s">
        <v>140</v>
      </c>
      <c r="K17" s="140" t="s">
        <v>132</v>
      </c>
      <c r="L17" s="121" t="s">
        <v>129</v>
      </c>
      <c r="M17" s="139">
        <v>1.85</v>
      </c>
      <c r="N17" s="122"/>
      <c r="O17" s="76">
        <f t="shared" si="13"/>
        <v>0</v>
      </c>
      <c r="P17" s="151">
        <v>5677</v>
      </c>
      <c r="Q17" s="76">
        <f t="shared" si="14"/>
        <v>8769.5457500000011</v>
      </c>
      <c r="R17" s="77"/>
      <c r="S17" s="76">
        <f t="shared" si="15"/>
        <v>0</v>
      </c>
      <c r="T17" s="77"/>
      <c r="U17" s="76">
        <f t="shared" si="16"/>
        <v>0</v>
      </c>
      <c r="V17" s="77">
        <f t="shared" si="17"/>
        <v>8769.5457500000011</v>
      </c>
      <c r="W17" s="120"/>
      <c r="X17" s="78"/>
    </row>
    <row r="18" spans="1:24" s="149" customFormat="1" ht="38.1" customHeight="1" x14ac:dyDescent="0.3">
      <c r="A18" s="73" t="str">
        <f t="shared" si="18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2" t="s">
        <v>160</v>
      </c>
      <c r="K18" s="152" t="s">
        <v>161</v>
      </c>
      <c r="L18" s="153" t="s">
        <v>162</v>
      </c>
      <c r="M18" s="139">
        <v>97</v>
      </c>
      <c r="N18" s="150"/>
      <c r="O18" s="76">
        <f t="shared" ref="O18" si="19">SUM(N18:N18)*M18*$O$2</f>
        <v>0</v>
      </c>
      <c r="P18" s="165">
        <v>4966</v>
      </c>
      <c r="Q18" s="76">
        <f t="shared" si="14"/>
        <v>402221.17</v>
      </c>
      <c r="R18" s="77"/>
      <c r="S18" s="76">
        <f t="shared" si="15"/>
        <v>0</v>
      </c>
      <c r="T18" s="77"/>
      <c r="U18" s="76">
        <f t="shared" si="16"/>
        <v>0</v>
      </c>
      <c r="V18" s="77">
        <f t="shared" si="17"/>
        <v>402221.17</v>
      </c>
      <c r="W18" s="120"/>
      <c r="X18" s="78"/>
    </row>
    <row r="19" spans="1:24" s="159" customFormat="1" ht="38.1" customHeight="1" x14ac:dyDescent="0.3">
      <c r="A19" s="154"/>
      <c r="B19" s="155"/>
      <c r="C19" s="155"/>
      <c r="D19" s="155"/>
      <c r="E19" s="155"/>
      <c r="F19" s="155"/>
      <c r="G19" s="155"/>
      <c r="H19" s="155"/>
      <c r="I19" s="155"/>
      <c r="J19" s="143"/>
      <c r="K19" s="143"/>
      <c r="L19" s="155"/>
      <c r="M19" s="155"/>
      <c r="N19" s="155"/>
      <c r="O19" s="156">
        <f>SUM(O5:O18)</f>
        <v>795893.27599999995</v>
      </c>
      <c r="P19" s="157"/>
      <c r="Q19" s="156">
        <f>SUM(Q5:Q18)</f>
        <v>3317674.456704</v>
      </c>
      <c r="R19" s="157"/>
      <c r="S19" s="156">
        <f>SUM(S5:S18)</f>
        <v>0</v>
      </c>
      <c r="T19" s="157"/>
      <c r="U19" s="156">
        <f>SUM(U5:U18)</f>
        <v>0</v>
      </c>
      <c r="V19" s="158">
        <f>SUM(V5:V18)</f>
        <v>4113567.7327040001</v>
      </c>
      <c r="W19" s="112"/>
      <c r="X19" s="15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3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102" customWidth="1"/>
    <col min="2" max="2" width="27.625" style="102" customWidth="1"/>
    <col min="3" max="3" width="5.75" style="102" customWidth="1"/>
    <col min="4" max="4" width="6.375" style="102" bestFit="1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5" ht="27" customHeight="1" x14ac:dyDescent="0.3">
      <c r="A1" s="187" t="s">
        <v>59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</row>
    <row r="2" spans="1:15" ht="15" customHeight="1" x14ac:dyDescent="0.3">
      <c r="A2" s="188" t="s">
        <v>60</v>
      </c>
      <c r="B2" s="189" t="s">
        <v>61</v>
      </c>
      <c r="C2" s="190" t="s">
        <v>47</v>
      </c>
      <c r="D2" s="190" t="s">
        <v>62</v>
      </c>
      <c r="E2" s="192" t="s">
        <v>63</v>
      </c>
      <c r="F2" s="189"/>
      <c r="G2" s="189" t="s">
        <v>64</v>
      </c>
      <c r="H2" s="189"/>
      <c r="I2" s="193" t="s">
        <v>65</v>
      </c>
      <c r="J2" s="194"/>
      <c r="K2" s="193" t="s">
        <v>66</v>
      </c>
      <c r="L2" s="194"/>
      <c r="M2" s="192" t="s">
        <v>67</v>
      </c>
      <c r="N2" s="189"/>
      <c r="O2" s="195" t="s">
        <v>68</v>
      </c>
    </row>
    <row r="3" spans="1:15" ht="15" customHeight="1" x14ac:dyDescent="0.3">
      <c r="A3" s="188"/>
      <c r="B3" s="189"/>
      <c r="C3" s="191"/>
      <c r="D3" s="191"/>
      <c r="E3" s="130" t="s">
        <v>69</v>
      </c>
      <c r="F3" s="130" t="s">
        <v>70</v>
      </c>
      <c r="G3" s="80" t="s">
        <v>69</v>
      </c>
      <c r="H3" s="130" t="s">
        <v>71</v>
      </c>
      <c r="I3" s="130"/>
      <c r="J3" s="130"/>
      <c r="K3" s="80" t="s">
        <v>69</v>
      </c>
      <c r="L3" s="130" t="s">
        <v>71</v>
      </c>
      <c r="M3" s="80" t="s">
        <v>69</v>
      </c>
      <c r="N3" s="130" t="s">
        <v>71</v>
      </c>
      <c r="O3" s="196"/>
    </row>
    <row r="4" spans="1:15" ht="15" customHeight="1" x14ac:dyDescent="0.3">
      <c r="A4" s="185" t="s">
        <v>170</v>
      </c>
      <c r="B4" s="186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198" t="s">
        <v>72</v>
      </c>
      <c r="B5" s="82" t="s">
        <v>73</v>
      </c>
      <c r="C5" s="83" t="s">
        <v>74</v>
      </c>
      <c r="D5" s="84">
        <v>38</v>
      </c>
      <c r="E5" s="85">
        <v>1057</v>
      </c>
      <c r="F5" s="85">
        <f t="shared" ref="F5:F12" si="0">D5*E5</f>
        <v>40166</v>
      </c>
      <c r="G5" s="85">
        <v>8839.9</v>
      </c>
      <c r="H5" s="85">
        <f t="shared" ref="H5:H12" si="1">D5*G5</f>
        <v>335916.2</v>
      </c>
      <c r="I5" s="85"/>
      <c r="J5" s="85"/>
      <c r="K5" s="85"/>
      <c r="L5" s="85"/>
      <c r="M5" s="85"/>
      <c r="N5" s="85">
        <f>F5+H5+J5+L5</f>
        <v>376082.2</v>
      </c>
      <c r="O5" s="200" t="s">
        <v>151</v>
      </c>
    </row>
    <row r="6" spans="1:15" ht="15" customHeight="1" x14ac:dyDescent="0.3">
      <c r="A6" s="199"/>
      <c r="B6" s="82" t="s">
        <v>75</v>
      </c>
      <c r="C6" s="83" t="s">
        <v>74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201"/>
    </row>
    <row r="7" spans="1:15" ht="15" customHeight="1" x14ac:dyDescent="0.3">
      <c r="A7" s="199"/>
      <c r="B7" s="82" t="s">
        <v>76</v>
      </c>
      <c r="C7" s="83" t="s">
        <v>74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201"/>
    </row>
    <row r="8" spans="1:15" ht="15" customHeight="1" x14ac:dyDescent="0.3">
      <c r="A8" s="199"/>
      <c r="B8" s="82" t="s">
        <v>77</v>
      </c>
      <c r="C8" s="83" t="s">
        <v>74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201"/>
    </row>
    <row r="9" spans="1:15" ht="15" customHeight="1" x14ac:dyDescent="0.3">
      <c r="A9" s="199"/>
      <c r="B9" s="82" t="s">
        <v>78</v>
      </c>
      <c r="C9" s="83" t="s">
        <v>74</v>
      </c>
      <c r="D9" s="84">
        <v>25</v>
      </c>
      <c r="E9" s="85">
        <v>1057</v>
      </c>
      <c r="F9" s="85">
        <f t="shared" si="0"/>
        <v>26425</v>
      </c>
      <c r="G9" s="85">
        <v>8839.9</v>
      </c>
      <c r="H9" s="85">
        <f t="shared" si="1"/>
        <v>220997.5</v>
      </c>
      <c r="I9" s="85"/>
      <c r="J9" s="85"/>
      <c r="K9" s="85"/>
      <c r="L9" s="85"/>
      <c r="M9" s="85"/>
      <c r="N9" s="85">
        <f t="shared" si="2"/>
        <v>247422.5</v>
      </c>
      <c r="O9" s="201"/>
    </row>
    <row r="10" spans="1:15" ht="15" customHeight="1" x14ac:dyDescent="0.3">
      <c r="A10" s="199"/>
      <c r="B10" s="82" t="s">
        <v>79</v>
      </c>
      <c r="C10" s="83" t="s">
        <v>74</v>
      </c>
      <c r="D10" s="84">
        <v>12</v>
      </c>
      <c r="E10" s="85">
        <v>1057</v>
      </c>
      <c r="F10" s="85">
        <f t="shared" si="0"/>
        <v>12684</v>
      </c>
      <c r="G10" s="85">
        <v>11617.4</v>
      </c>
      <c r="H10" s="85">
        <f t="shared" si="1"/>
        <v>139408.79999999999</v>
      </c>
      <c r="I10" s="85"/>
      <c r="J10" s="85"/>
      <c r="K10" s="85"/>
      <c r="L10" s="85"/>
      <c r="M10" s="85"/>
      <c r="N10" s="85">
        <f t="shared" si="2"/>
        <v>152092.79999999999</v>
      </c>
      <c r="O10" s="201"/>
    </row>
    <row r="11" spans="1:15" ht="15" customHeight="1" x14ac:dyDescent="0.3">
      <c r="A11" s="199"/>
      <c r="B11" s="82" t="s">
        <v>80</v>
      </c>
      <c r="C11" s="83" t="s">
        <v>74</v>
      </c>
      <c r="D11" s="84">
        <v>25</v>
      </c>
      <c r="E11" s="85">
        <v>1057</v>
      </c>
      <c r="F11" s="85">
        <f t="shared" si="0"/>
        <v>26425</v>
      </c>
      <c r="G11" s="85">
        <v>8839.9</v>
      </c>
      <c r="H11" s="85">
        <f t="shared" si="1"/>
        <v>220997.5</v>
      </c>
      <c r="I11" s="85"/>
      <c r="J11" s="85"/>
      <c r="K11" s="85"/>
      <c r="L11" s="85"/>
      <c r="M11" s="85"/>
      <c r="N11" s="85">
        <f t="shared" si="2"/>
        <v>247422.5</v>
      </c>
      <c r="O11" s="201"/>
    </row>
    <row r="12" spans="1:15" ht="15" customHeight="1" x14ac:dyDescent="0.3">
      <c r="A12" s="199"/>
      <c r="B12" s="82" t="s">
        <v>81</v>
      </c>
      <c r="C12" s="83" t="s">
        <v>74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201"/>
    </row>
    <row r="13" spans="1:15" ht="15" customHeight="1" x14ac:dyDescent="0.3">
      <c r="A13" s="113" t="s">
        <v>82</v>
      </c>
      <c r="B13" s="114"/>
      <c r="C13" s="115"/>
      <c r="D13" s="124">
        <f>SUM(D5:D12)</f>
        <v>183</v>
      </c>
      <c r="E13" s="116"/>
      <c r="F13" s="116">
        <f>SUM(F5:F12)</f>
        <v>193431</v>
      </c>
      <c r="G13" s="116"/>
      <c r="H13" s="116">
        <f>SUM(H5:H12)</f>
        <v>1792684.2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1986115.2</v>
      </c>
      <c r="O13" s="116"/>
    </row>
    <row r="14" spans="1:15" ht="15" customHeight="1" x14ac:dyDescent="0.3">
      <c r="A14" s="202" t="s">
        <v>152</v>
      </c>
      <c r="B14" s="82" t="s">
        <v>83</v>
      </c>
      <c r="C14" s="83" t="s">
        <v>74</v>
      </c>
      <c r="D14" s="86">
        <v>26.1</v>
      </c>
      <c r="E14" s="85">
        <v>10855</v>
      </c>
      <c r="F14" s="123">
        <f>D14*E14</f>
        <v>283315.5</v>
      </c>
      <c r="G14" s="85">
        <v>6668.1</v>
      </c>
      <c r="H14" s="123">
        <f>D14*G14</f>
        <v>174037.41000000003</v>
      </c>
      <c r="I14" s="123"/>
      <c r="J14" s="123"/>
      <c r="K14" s="85"/>
      <c r="L14" s="123"/>
      <c r="M14" s="85"/>
      <c r="N14" s="123">
        <f t="shared" ref="N14:N17" si="3">F14+H14+J14+L14</f>
        <v>457352.91000000003</v>
      </c>
      <c r="O14" s="201"/>
    </row>
    <row r="15" spans="1:15" ht="15" customHeight="1" x14ac:dyDescent="0.3">
      <c r="A15" s="202"/>
      <c r="B15" s="82" t="s">
        <v>84</v>
      </c>
      <c r="C15" s="83" t="s">
        <v>74</v>
      </c>
      <c r="D15" s="166">
        <v>10.9</v>
      </c>
      <c r="E15" s="85">
        <v>10855</v>
      </c>
      <c r="F15" s="123">
        <f>D15*E15</f>
        <v>118319.5</v>
      </c>
      <c r="G15" s="85">
        <v>6668.1</v>
      </c>
      <c r="H15" s="123">
        <f>D15*G15</f>
        <v>72682.290000000008</v>
      </c>
      <c r="I15" s="123"/>
      <c r="J15" s="123"/>
      <c r="K15" s="85"/>
      <c r="L15" s="123"/>
      <c r="M15" s="85"/>
      <c r="N15" s="123">
        <f t="shared" si="3"/>
        <v>191001.79</v>
      </c>
      <c r="O15" s="201"/>
    </row>
    <row r="16" spans="1:15" ht="15" customHeight="1" x14ac:dyDescent="0.3">
      <c r="A16" s="202"/>
      <c r="B16" s="82" t="s">
        <v>85</v>
      </c>
      <c r="C16" s="83" t="s">
        <v>74</v>
      </c>
      <c r="D16" s="166">
        <v>8.4</v>
      </c>
      <c r="E16" s="85">
        <v>10855</v>
      </c>
      <c r="F16" s="123">
        <f>D16*E16</f>
        <v>91182</v>
      </c>
      <c r="G16" s="85">
        <v>6668.1</v>
      </c>
      <c r="H16" s="123">
        <f>D16*G16</f>
        <v>56012.040000000008</v>
      </c>
      <c r="I16" s="123"/>
      <c r="J16" s="123"/>
      <c r="K16" s="85"/>
      <c r="L16" s="123"/>
      <c r="M16" s="85"/>
      <c r="N16" s="123">
        <f t="shared" si="3"/>
        <v>147194.04</v>
      </c>
      <c r="O16" s="201"/>
    </row>
    <row r="17" spans="1:15" ht="15" customHeight="1" x14ac:dyDescent="0.3">
      <c r="A17" s="203"/>
      <c r="B17" s="82" t="s">
        <v>86</v>
      </c>
      <c r="C17" s="83" t="s">
        <v>74</v>
      </c>
      <c r="D17" s="166">
        <v>6.1</v>
      </c>
      <c r="E17" s="85">
        <v>10855</v>
      </c>
      <c r="F17" s="123">
        <f>D17*E17</f>
        <v>66215.5</v>
      </c>
      <c r="G17" s="85">
        <v>6668.1</v>
      </c>
      <c r="H17" s="123">
        <f>D17*G17</f>
        <v>40675.409999999996</v>
      </c>
      <c r="I17" s="123"/>
      <c r="J17" s="123"/>
      <c r="K17" s="85"/>
      <c r="L17" s="123"/>
      <c r="M17" s="85"/>
      <c r="N17" s="123">
        <f t="shared" si="3"/>
        <v>106890.91</v>
      </c>
      <c r="O17" s="204"/>
    </row>
    <row r="18" spans="1:15" ht="15" customHeight="1" x14ac:dyDescent="0.3">
      <c r="A18" s="104" t="s">
        <v>82</v>
      </c>
      <c r="B18" s="87"/>
      <c r="C18" s="91"/>
      <c r="D18" s="124">
        <f>SUM(D14:D17)</f>
        <v>51.5</v>
      </c>
      <c r="E18" s="90"/>
      <c r="F18" s="90">
        <f>SUM(F14:F17)</f>
        <v>559032.5</v>
      </c>
      <c r="G18" s="90"/>
      <c r="H18" s="90">
        <f>SUM(H14:H17)</f>
        <v>343407.15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902439.65000000014</v>
      </c>
      <c r="O18" s="90"/>
    </row>
    <row r="19" spans="1:15" ht="15" customHeight="1" x14ac:dyDescent="0.3">
      <c r="A19" s="110" t="s">
        <v>87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5" t="s">
        <v>148</v>
      </c>
      <c r="B20" s="132" t="s">
        <v>144</v>
      </c>
      <c r="C20" s="132" t="s">
        <v>143</v>
      </c>
      <c r="D20" s="117">
        <v>0.5</v>
      </c>
      <c r="E20" s="85">
        <v>54693</v>
      </c>
      <c r="F20" s="123">
        <f>D20*E20</f>
        <v>27346.5</v>
      </c>
      <c r="G20" s="85"/>
      <c r="H20" s="85"/>
      <c r="I20" s="85"/>
      <c r="J20" s="85"/>
      <c r="K20" s="85"/>
      <c r="L20" s="85"/>
      <c r="M20" s="85"/>
      <c r="N20" s="126">
        <f t="shared" ref="N20:N29" si="4">F20+H20+J20+L20</f>
        <v>27346.5</v>
      </c>
      <c r="O20" s="85"/>
    </row>
    <row r="21" spans="1:15" ht="15" customHeight="1" x14ac:dyDescent="0.3">
      <c r="A21" s="205" t="s">
        <v>88</v>
      </c>
      <c r="B21" s="92" t="s">
        <v>89</v>
      </c>
      <c r="C21" s="93" t="s">
        <v>74</v>
      </c>
      <c r="D21" s="94">
        <v>25</v>
      </c>
      <c r="E21" s="126"/>
      <c r="F21" s="126">
        <f>D21*E21</f>
        <v>0</v>
      </c>
      <c r="G21" s="126">
        <v>8711</v>
      </c>
      <c r="H21" s="126">
        <f t="shared" ref="H21:H27" si="5">D21*G21</f>
        <v>217775</v>
      </c>
      <c r="I21" s="126"/>
      <c r="J21" s="126"/>
      <c r="K21" s="126"/>
      <c r="L21" s="126"/>
      <c r="M21" s="126"/>
      <c r="N21" s="126">
        <f t="shared" si="4"/>
        <v>217775</v>
      </c>
      <c r="O21" s="85"/>
    </row>
    <row r="22" spans="1:15" ht="15" customHeight="1" x14ac:dyDescent="0.3">
      <c r="A22" s="205"/>
      <c r="B22" s="92" t="s">
        <v>90</v>
      </c>
      <c r="C22" s="93" t="s">
        <v>74</v>
      </c>
      <c r="D22" s="94">
        <v>25</v>
      </c>
      <c r="E22" s="126"/>
      <c r="F22" s="126">
        <f t="shared" ref="F22:F29" si="6">D22*E22</f>
        <v>0</v>
      </c>
      <c r="G22" s="126">
        <v>5159</v>
      </c>
      <c r="H22" s="126">
        <f t="shared" si="5"/>
        <v>128975</v>
      </c>
      <c r="I22" s="126"/>
      <c r="J22" s="126"/>
      <c r="K22" s="126"/>
      <c r="L22" s="126"/>
      <c r="M22" s="126"/>
      <c r="N22" s="126">
        <f t="shared" si="4"/>
        <v>128975</v>
      </c>
      <c r="O22" s="85"/>
    </row>
    <row r="23" spans="1:15" ht="15" customHeight="1" x14ac:dyDescent="0.3">
      <c r="A23" s="205" t="s">
        <v>91</v>
      </c>
      <c r="B23" s="92" t="s">
        <v>89</v>
      </c>
      <c r="C23" s="93" t="s">
        <v>74</v>
      </c>
      <c r="D23" s="94">
        <v>25</v>
      </c>
      <c r="E23" s="126"/>
      <c r="F23" s="126">
        <f>D23*E23</f>
        <v>0</v>
      </c>
      <c r="G23" s="126">
        <v>8711</v>
      </c>
      <c r="H23" s="126">
        <f t="shared" si="5"/>
        <v>217775</v>
      </c>
      <c r="I23" s="126"/>
      <c r="J23" s="126"/>
      <c r="K23" s="126"/>
      <c r="L23" s="126"/>
      <c r="M23" s="126"/>
      <c r="N23" s="126">
        <f t="shared" si="4"/>
        <v>217775</v>
      </c>
      <c r="O23" s="85"/>
    </row>
    <row r="24" spans="1:15" ht="15" customHeight="1" x14ac:dyDescent="0.3">
      <c r="A24" s="205"/>
      <c r="B24" s="92" t="s">
        <v>90</v>
      </c>
      <c r="C24" s="93" t="s">
        <v>74</v>
      </c>
      <c r="D24" s="94">
        <v>25</v>
      </c>
      <c r="E24" s="126"/>
      <c r="F24" s="126">
        <f t="shared" ref="F24:F27" si="7">D24*E24</f>
        <v>0</v>
      </c>
      <c r="G24" s="126">
        <v>5159</v>
      </c>
      <c r="H24" s="126">
        <f t="shared" si="5"/>
        <v>128975</v>
      </c>
      <c r="I24" s="126"/>
      <c r="J24" s="126"/>
      <c r="K24" s="126"/>
      <c r="L24" s="126"/>
      <c r="M24" s="126"/>
      <c r="N24" s="126">
        <f t="shared" si="4"/>
        <v>128975</v>
      </c>
      <c r="O24" s="85"/>
    </row>
    <row r="25" spans="1:15" ht="15" customHeight="1" x14ac:dyDescent="0.3">
      <c r="A25" s="133" t="s">
        <v>146</v>
      </c>
      <c r="B25" s="132" t="s">
        <v>147</v>
      </c>
      <c r="C25" s="132" t="s">
        <v>143</v>
      </c>
      <c r="D25" s="117">
        <v>0.2</v>
      </c>
      <c r="E25" s="85">
        <v>74987</v>
      </c>
      <c r="F25" s="126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6">
        <f t="shared" si="4"/>
        <v>14997.400000000001</v>
      </c>
      <c r="O25" s="85"/>
    </row>
    <row r="26" spans="1:15" ht="15" customHeight="1" x14ac:dyDescent="0.3">
      <c r="A26" s="197" t="s">
        <v>92</v>
      </c>
      <c r="B26" s="92" t="s">
        <v>93</v>
      </c>
      <c r="C26" s="93" t="s">
        <v>74</v>
      </c>
      <c r="D26" s="94">
        <v>14</v>
      </c>
      <c r="E26" s="85"/>
      <c r="F26" s="85">
        <f t="shared" si="6"/>
        <v>0</v>
      </c>
      <c r="G26" s="85">
        <v>2022</v>
      </c>
      <c r="H26" s="85">
        <f t="shared" si="5"/>
        <v>28308</v>
      </c>
      <c r="I26" s="85"/>
      <c r="J26" s="85"/>
      <c r="K26" s="85"/>
      <c r="L26" s="123"/>
      <c r="M26" s="85"/>
      <c r="N26" s="123">
        <f t="shared" si="4"/>
        <v>28308</v>
      </c>
      <c r="O26" s="85"/>
    </row>
    <row r="27" spans="1:15" ht="15" customHeight="1" x14ac:dyDescent="0.3">
      <c r="A27" s="197"/>
      <c r="B27" s="92" t="s">
        <v>94</v>
      </c>
      <c r="C27" s="93" t="s">
        <v>74</v>
      </c>
      <c r="D27" s="94">
        <v>14</v>
      </c>
      <c r="E27" s="85"/>
      <c r="F27" s="85">
        <f t="shared" si="7"/>
        <v>0</v>
      </c>
      <c r="G27" s="85">
        <v>3136</v>
      </c>
      <c r="H27" s="85">
        <f t="shared" si="5"/>
        <v>43904</v>
      </c>
      <c r="I27" s="85"/>
      <c r="J27" s="85"/>
      <c r="K27" s="85"/>
      <c r="L27" s="123"/>
      <c r="M27" s="85"/>
      <c r="N27" s="123">
        <f t="shared" si="4"/>
        <v>43904</v>
      </c>
      <c r="O27" s="85"/>
    </row>
    <row r="28" spans="1:15" ht="15" customHeight="1" x14ac:dyDescent="0.3">
      <c r="A28" s="197" t="s">
        <v>95</v>
      </c>
      <c r="B28" s="92" t="s">
        <v>93</v>
      </c>
      <c r="C28" s="93" t="s">
        <v>74</v>
      </c>
      <c r="D28" s="119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3"/>
      <c r="M28" s="85"/>
      <c r="N28" s="123">
        <f t="shared" si="4"/>
        <v>4044</v>
      </c>
      <c r="O28" s="85"/>
    </row>
    <row r="29" spans="1:15" ht="15" customHeight="1" x14ac:dyDescent="0.3">
      <c r="A29" s="197"/>
      <c r="B29" s="92" t="s">
        <v>96</v>
      </c>
      <c r="C29" s="93" t="s">
        <v>74</v>
      </c>
      <c r="D29" s="119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3"/>
      <c r="M29" s="85"/>
      <c r="N29" s="123">
        <f t="shared" si="4"/>
        <v>9480</v>
      </c>
      <c r="O29" s="85"/>
    </row>
    <row r="30" spans="1:15" ht="15" customHeight="1" x14ac:dyDescent="0.3">
      <c r="A30" s="104" t="s">
        <v>82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779236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821579.9</v>
      </c>
      <c r="O30" s="90"/>
    </row>
    <row r="31" spans="1:15" ht="15" customHeight="1" x14ac:dyDescent="0.3">
      <c r="A31" s="111" t="s">
        <v>97</v>
      </c>
      <c r="B31" s="82" t="s">
        <v>98</v>
      </c>
      <c r="C31" s="83" t="s">
        <v>74</v>
      </c>
      <c r="D31" s="127">
        <v>97</v>
      </c>
      <c r="E31" s="123"/>
      <c r="F31" s="123"/>
      <c r="G31" s="85">
        <v>4147</v>
      </c>
      <c r="H31" s="123">
        <f>D31*G31</f>
        <v>402259</v>
      </c>
      <c r="I31" s="123"/>
      <c r="J31" s="123"/>
      <c r="K31" s="123"/>
      <c r="L31" s="123"/>
      <c r="M31" s="123"/>
      <c r="N31" s="123">
        <f>F31+H31+J31+L31</f>
        <v>402259</v>
      </c>
      <c r="O31" s="97" t="s">
        <v>99</v>
      </c>
    </row>
    <row r="32" spans="1:15" ht="15" customHeight="1" x14ac:dyDescent="0.3">
      <c r="A32" s="105" t="s">
        <v>82</v>
      </c>
      <c r="B32" s="87"/>
      <c r="C32" s="88"/>
      <c r="D32" s="98"/>
      <c r="E32" s="99"/>
      <c r="F32" s="99"/>
      <c r="G32" s="99"/>
      <c r="H32" s="90">
        <f>SUM(H31:H31)</f>
        <v>402259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402259</v>
      </c>
      <c r="O32" s="99"/>
    </row>
    <row r="33" spans="1:15" ht="15" customHeight="1" x14ac:dyDescent="0.3">
      <c r="A33" s="104" t="s">
        <v>142</v>
      </c>
      <c r="B33" s="87"/>
      <c r="C33" s="88"/>
      <c r="D33" s="98"/>
      <c r="E33" s="100"/>
      <c r="F33" s="101">
        <f>F13+F18+F30+F32</f>
        <v>794807.4</v>
      </c>
      <c r="G33" s="101"/>
      <c r="H33" s="101">
        <f>H13+H18+H30+H32</f>
        <v>3317586.35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4112393.75</v>
      </c>
      <c r="O33" s="100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C43" sqref="C43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 x14ac:dyDescent="0.3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8">
        <f>'내역서(표준단가)'!M5</f>
        <v>11.084</v>
      </c>
    </row>
    <row r="3" spans="1:6" x14ac:dyDescent="0.3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8">
        <f>'내역서(표준단가)'!M6</f>
        <v>2.609</v>
      </c>
    </row>
    <row r="4" spans="1:6" x14ac:dyDescent="0.3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8">
        <f>'내역서(표준단가)'!M7</f>
        <v>1.8</v>
      </c>
    </row>
    <row r="5" spans="1:6" x14ac:dyDescent="0.3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8">
        <f>'내역서(표준단가)'!M8</f>
        <v>51.6</v>
      </c>
    </row>
    <row r="6" spans="1:6" x14ac:dyDescent="0.3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8">
        <f>'내역서(표준단가)'!M9</f>
        <v>0.84589999999999999</v>
      </c>
    </row>
    <row r="7" spans="1:6" x14ac:dyDescent="0.3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8">
        <f>'내역서(표준단가)'!M10</f>
        <v>0.5</v>
      </c>
    </row>
    <row r="8" spans="1:6" x14ac:dyDescent="0.3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8">
        <f>'내역서(표준단가)'!M11</f>
        <v>50</v>
      </c>
    </row>
    <row r="9" spans="1:6" x14ac:dyDescent="0.3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8">
        <f>'내역서(표준단가)'!M12</f>
        <v>50</v>
      </c>
    </row>
    <row r="10" spans="1:6" x14ac:dyDescent="0.3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8">
        <f>'내역서(표준단가)'!M13</f>
        <v>0.2</v>
      </c>
    </row>
    <row r="11" spans="1:6" x14ac:dyDescent="0.3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8">
        <f>'내역서(표준단가)'!M14</f>
        <v>14</v>
      </c>
    </row>
    <row r="12" spans="1:6" x14ac:dyDescent="0.3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8">
        <f>'내역서(표준단가)'!M15</f>
        <v>14</v>
      </c>
    </row>
    <row r="13" spans="1:6" x14ac:dyDescent="0.3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8">
        <f>'내역서(표준단가)'!M16</f>
        <v>1.85</v>
      </c>
    </row>
    <row r="14" spans="1:6" x14ac:dyDescent="0.3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8">
        <f>'내역서(표준단가)'!M17</f>
        <v>1.85</v>
      </c>
    </row>
    <row r="15" spans="1:6" x14ac:dyDescent="0.3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8">
        <f>'내역서(표준단가)'!M18</f>
        <v>97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2025-08-25T03:18:36Z</dcterms:modified>
</cp:coreProperties>
</file>
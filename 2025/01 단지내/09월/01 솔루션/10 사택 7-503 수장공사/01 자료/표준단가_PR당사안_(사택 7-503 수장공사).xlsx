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3 사택 7-503 수장공사\01 자료\"/>
    </mc:Choice>
  </mc:AlternateContent>
  <xr:revisionPtr revIDLastSave="0" documentId="13_ncr:1_{210A0E99-D859-4C05-9149-4D6492C47FDC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PR당사안" sheetId="15" r:id="rId1"/>
    <sheet name="내역서(표준단가)" sheetId="4" r:id="rId2"/>
    <sheet name="상세내역" sheetId="9" r:id="rId3"/>
    <sheet name="시중가 근거서류" sheetId="12" r:id="rId4"/>
    <sheet name="Upload(시중가)" sheetId="14" r:id="rId5"/>
    <sheet name="Upload" sheetId="1" r:id="rId6"/>
    <sheet name="1,2,7동 도면" sheetId="10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5" l="1"/>
  <c r="J21" i="15"/>
  <c r="J19" i="15"/>
  <c r="J18" i="15"/>
  <c r="J29" i="15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3" i="4"/>
  <c r="S13" i="4"/>
  <c r="Q13" i="4"/>
  <c r="O13" i="4"/>
  <c r="A13" i="4"/>
  <c r="A10" i="1" s="1"/>
  <c r="J24" i="15" l="1"/>
  <c r="J23" i="15"/>
  <c r="J26" i="15"/>
  <c r="J25" i="15"/>
  <c r="J27" i="15" s="1"/>
  <c r="J22" i="15"/>
  <c r="V13" i="4"/>
  <c r="D5" i="9"/>
  <c r="D19" i="9"/>
  <c r="D18" i="9"/>
  <c r="D10" i="9"/>
  <c r="D9" i="9"/>
  <c r="D8" i="9"/>
  <c r="D7" i="9"/>
  <c r="D6" i="9"/>
  <c r="F2" i="1"/>
  <c r="E2" i="1"/>
  <c r="D2" i="1"/>
  <c r="C2" i="1"/>
  <c r="B2" i="1"/>
  <c r="J28" i="15" l="1"/>
  <c r="J20" i="15" s="1"/>
  <c r="J30" i="15" s="1"/>
  <c r="D11" i="9"/>
  <c r="U5" i="4"/>
  <c r="S5" i="4"/>
  <c r="Q5" i="4"/>
  <c r="O5" i="4"/>
  <c r="A5" i="4"/>
  <c r="A2" i="1" s="1"/>
  <c r="M32" i="15" l="1"/>
  <c r="B15" i="15" s="1"/>
  <c r="V5" i="4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F30" i="9" s="1"/>
  <c r="N14" i="9"/>
  <c r="H27" i="9"/>
  <c r="H11" i="9"/>
  <c r="H30" i="9" s="1"/>
  <c r="N8" i="9"/>
  <c r="N7" i="9"/>
  <c r="N28" i="9"/>
  <c r="N29" i="9" s="1"/>
  <c r="N5" i="9"/>
  <c r="F15" i="9"/>
  <c r="N15" i="9" l="1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<sst xmlns="http://schemas.openxmlformats.org/spreadsheetml/2006/main" count="248" uniqueCount="192">
  <si>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</si>
  <si>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</si>
  <si>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</si>
  <si>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</si>
  <si>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</si>
  <si>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</si>
  <si>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</si>
  <si>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</si>
  <si>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</si>
  <si>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</si>
  <si>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</si>
  <si>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</si>
  <si>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</si>
  <si>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</si>
  <si>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</si>
  <si>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9" type="noConversion"/>
  </si>
  <si>
    <t xml:space="preserve"> 기타경비(부자재비)</t>
    <phoneticPr fontId="9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</si>
  <si>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</si>
  <si>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</si>
  <si>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</si>
  <si>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</si>
  <si>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</si>
  <si>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</si>
  <si>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</si>
  <si>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</si>
  <si>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</si>
  <si>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</si>
  <si>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</si>
  <si>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</si>
  <si>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</si>
  <si>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9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</si>
  <si>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</si>
  <si>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</si>
  <si>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</si>
  <si>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7" type="noConversion"/>
  </si>
  <si>
    <t>베란다 수성페인트(전면)</t>
    <phoneticPr fontId="7" type="noConversion"/>
  </si>
  <si>
    <t>석고보드면 바탕만들기(줄퍼티)</t>
    <phoneticPr fontId="7" type="noConversion"/>
  </si>
  <si>
    <t>붓칠,내벽</t>
    <phoneticPr fontId="7" type="noConversion"/>
  </si>
  <si>
    <t>베란다 수성페인트(후면)</t>
    <phoneticPr fontId="7" type="noConversion"/>
  </si>
  <si>
    <t>내부(문,틀,몰딩,기타)</t>
    <phoneticPr fontId="7" type="noConversion"/>
  </si>
  <si>
    <t>철재면 청소(휘발유사용)</t>
    <phoneticPr fontId="7" type="noConversion"/>
  </si>
  <si>
    <t>유성페인트 롤러칠(석고보드면)</t>
    <phoneticPr fontId="7" type="noConversion"/>
  </si>
  <si>
    <t>방화도어 내부</t>
    <phoneticPr fontId="7" type="noConversion"/>
  </si>
  <si>
    <t>유성페인트 롤러칠(철재면)</t>
    <phoneticPr fontId="7" type="noConversion"/>
  </si>
  <si>
    <t>4.청소</t>
    <phoneticPr fontId="9" type="noConversion"/>
  </si>
  <si>
    <t>준공청소(특별인부)</t>
    <phoneticPr fontId="13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</si>
  <si>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</si>
  <si>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</si>
  <si>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</si>
  <si>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</si>
  <si>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</si>
  <si>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</si>
  <si>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</si>
  <si>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</si>
  <si>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</si>
  <si>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</si>
  <si>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</si>
  <si>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</si>
  <si>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</si>
  <si>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</si>
  <si>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</si>
  <si>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</si>
  <si>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</si>
  <si>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</si>
  <si>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</si>
  <si>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</si>
  <si>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E00000803071260301</t>
  </si>
  <si>
    <t>(일당)</t>
  </si>
  <si>
    <t>도배 교체(벽)</t>
    <phoneticPr fontId="7" type="noConversion"/>
  </si>
  <si>
    <t>도배 교체(천장)</t>
    <phoneticPr fontId="7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</si>
  <si>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</si>
  <si>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</si>
  <si>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</si>
  <si>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</si>
  <si>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</si>
  <si>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</si>
  <si>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</si>
  <si>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</si>
  <si>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</si>
  <si>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7" type="noConversion"/>
  </si>
  <si>
    <t>합 계</t>
    <phoneticPr fontId="7" type="noConversion"/>
  </si>
  <si>
    <t>18ℓ</t>
  </si>
  <si>
    <t>KSM-6010 내부용, 2급, 백색</t>
  </si>
  <si>
    <t>조합페인트</t>
  </si>
  <si>
    <t>백색 무광</t>
  </si>
  <si>
    <t>수성페인트</t>
    <phoneticPr fontId="7" type="noConversion"/>
  </si>
  <si>
    <t>합성수지에멀션페인트</t>
    <phoneticPr fontId="7" type="noConversion"/>
  </si>
  <si>
    <t>M020412614110102</t>
    <phoneticPr fontId="7" type="noConversion"/>
  </si>
  <si>
    <t>2.바닥재</t>
    <phoneticPr fontId="7" type="noConversion"/>
  </si>
  <si>
    <t>M020853710050101</t>
  </si>
  <si>
    <t>아이리스</t>
  </si>
  <si>
    <t>㎡</t>
    <phoneticPr fontId="7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</si>
  <si>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</si>
  <si>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</si>
  <si>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</si>
  <si>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</si>
  <si>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7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</si>
  <si>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</si>
  <si>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</si>
  <si>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</si>
  <si>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7" type="noConversion"/>
  </si>
  <si>
    <t>합지벽지 1R/L=93㎝(고정)×17.75m=16.51㎡, 소요량140/16.51=8.479R/L</t>
    <phoneticPr fontId="7" type="noConversion"/>
  </si>
  <si>
    <t>일당 시공량-벽 46㎡, 적산정보 500p 참조,시공총량91/일당46=1.978</t>
    <phoneticPr fontId="7" type="noConversion"/>
  </si>
  <si>
    <t>일당 시공량-천장 35㎡ 적산정보 500p 참조, 시공총량49/일당35=1.400</t>
    <phoneticPr fontId="7" type="noConversion"/>
  </si>
  <si>
    <t>도색(앞,뒤베란다 걸레받이(앞,뒤베란다 창고바닥포함))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</si>
  <si>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</si>
  <si>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</si>
  <si>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</si>
  <si>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</si>
  <si>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</si>
  <si>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</si>
  <si>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</si>
  <si>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</si>
  <si>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</si>
  <si>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</si>
  <si>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</si>
  <si>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</si>
  <si>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</si>
  <si>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</si>
  <si>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</si>
  <si>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</si>
  <si>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7" type="noConversion"/>
  </si>
  <si>
    <t>하부장 씽크볼측 문짝(1개) 교체</t>
    <phoneticPr fontId="7" type="noConversion"/>
  </si>
  <si>
    <t>씽크대 하부장 보수</t>
    <phoneticPr fontId="7" type="noConversion"/>
  </si>
  <si>
    <t>set</t>
    <phoneticPr fontId="7" type="noConversion"/>
  </si>
  <si>
    <t>사택 7-503 수장공사 외 1건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</si>
  <si>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</si>
  <si>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</si>
  <si>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</si>
  <si>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</si>
  <si>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</si>
  <si>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</si>
  <si>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</si>
  <si>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</si>
  <si>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</si>
  <si>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</si>
  <si>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</si>
  <si>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</si>
  <si>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</si>
  <si>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</si>
  <si>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</si>
  <si>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</si>
  <si>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</si>
  <si>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</si>
  <si>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</si>
  <si>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</si>
  <si>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</si>
  <si>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</si>
  <si>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</si>
  <si>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</si>
  <si>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</si>
  <si>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</si>
  <si>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</si>
  <si>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</si>
  <si>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</si>
  <si>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</si>
  <si>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</si>
  <si>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</si>
  <si>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</si>
  <si>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</si>
  <si>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</si>
  <si>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</si>
  <si>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</si>
  <si>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</si>
  <si>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</si>
  <si>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</si>
  <si>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</si>
  <si>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</si>
  <si>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</si>
  <si>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</si>
  <si>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</si>
  <si>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</si>
  <si>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</si>
  <si>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</si>
  <si>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</si>
  <si>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</si>
  <si>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</si>
  <si>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</si>
  <si>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</si>
  <si>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</si>
  <si>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</si>
  <si>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</si>
  <si>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</si>
  <si>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</si>
  <si>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</si>
  <si>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</si>
  <si>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</si>
  <si>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</si>
  <si>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</si>
  <si>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</si>
  <si>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7-503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</si>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</sst>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_-* #,##0.0_-;\-* #,##0.0_-;_-* &quot;-&quot;_-;_-@_-"/>
    <numFmt numFmtId="194" formatCode="&quot;공사명:&quot;\ @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9" fillId="0" borderId="0" xfId="0" applyFont="1">
      <alignment vertical="center"/>
    </xf>
    <xf numFmtId="182" fontId="24" fillId="0" borderId="11" xfId="13" quotePrefix="1" applyNumberFormat="1" applyFont="1" applyBorder="1" applyAlignment="1">
      <alignment horizontal="center" vertical="center"/>
    </xf>
    <xf numFmtId="176" fontId="23" fillId="0" borderId="11" xfId="11" applyFont="1" applyBorder="1" applyAlignment="1">
      <alignment vertical="center"/>
    </xf>
    <xf numFmtId="184" fontId="23" fillId="0" borderId="11" xfId="11" applyNumberFormat="1" applyFont="1" applyBorder="1" applyAlignment="1">
      <alignment horizontal="center" vertical="center"/>
    </xf>
    <xf numFmtId="176" fontId="23" fillId="0" borderId="11" xfId="11" applyFont="1" applyBorder="1" applyAlignment="1">
      <alignment horizontal="center" vertical="center"/>
    </xf>
    <xf numFmtId="182" fontId="23" fillId="5" borderId="11" xfId="11" applyNumberFormat="1" applyFont="1" applyFill="1" applyBorder="1" applyAlignment="1">
      <alignment horizontal="right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5" fontId="24" fillId="11" borderId="11" xfId="11" applyNumberFormat="1" applyFont="1" applyFill="1" applyBorder="1" applyAlignment="1">
      <alignment horizontal="center" vertical="center"/>
    </xf>
    <xf numFmtId="182" fontId="24" fillId="11" borderId="11" xfId="11" applyNumberFormat="1" applyFont="1" applyFill="1" applyBorder="1" applyAlignment="1">
      <alignment horizontal="right" vertical="center" wrapText="1"/>
    </xf>
    <xf numFmtId="182" fontId="24" fillId="11" borderId="11" xfId="11" applyNumberFormat="1" applyFont="1" applyFill="1" applyBorder="1" applyAlignment="1">
      <alignment horizontal="center" vertical="center" wrapText="1"/>
    </xf>
    <xf numFmtId="184" fontId="23" fillId="5" borderId="11" xfId="11" applyNumberFormat="1" applyFont="1" applyFill="1" applyBorder="1" applyAlignment="1">
      <alignment horizontal="center" vertical="center"/>
    </xf>
    <xf numFmtId="176" fontId="23" fillId="5" borderId="11" xfId="11" applyFont="1" applyFill="1" applyBorder="1" applyAlignment="1">
      <alignment horizontal="center" vertical="center"/>
    </xf>
    <xf numFmtId="182" fontId="23" fillId="5" borderId="11" xfId="11" applyNumberFormat="1" applyFont="1" applyFill="1" applyBorder="1" applyAlignment="1">
      <alignment horizontal="center" vertical="center" wrapText="1"/>
    </xf>
    <xf numFmtId="184" fontId="24" fillId="11" borderId="11" xfId="11" applyNumberFormat="1" applyFont="1" applyFill="1" applyBorder="1" applyAlignment="1">
      <alignment horizontal="center" vertical="center"/>
    </xf>
    <xf numFmtId="176" fontId="24" fillId="11" borderId="11" xfId="11" applyFont="1" applyFill="1" applyBorder="1" applyAlignment="1">
      <alignment horizontal="center" vertical="center"/>
    </xf>
    <xf numFmtId="182" fontId="18" fillId="5" borderId="11" xfId="11" applyNumberFormat="1" applyFont="1" applyFill="1" applyBorder="1" applyAlignment="1">
      <alignment horizontal="center" vertical="center" wrapText="1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vertical="center" wrapText="1"/>
    </xf>
    <xf numFmtId="182" fontId="24" fillId="11" borderId="11" xfId="11" applyNumberFormat="1" applyFont="1" applyFill="1" applyBorder="1" applyAlignment="1">
      <alignment vertical="center" wrapText="1"/>
    </xf>
    <xf numFmtId="0" fontId="19" fillId="0" borderId="0" xfId="13" applyFont="1">
      <alignment vertical="center"/>
    </xf>
    <xf numFmtId="49" fontId="18" fillId="7" borderId="2" xfId="0" applyNumberFormat="1" applyFont="1" applyFill="1" applyBorder="1" applyAlignment="1">
      <alignment horizontal="center" vertical="center"/>
    </xf>
    <xf numFmtId="0" fontId="22" fillId="11" borderId="11" xfId="11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22" fillId="0" borderId="12" xfId="11" applyNumberFormat="1" applyFont="1" applyBorder="1" applyAlignment="1">
      <alignment vertical="center"/>
    </xf>
    <xf numFmtId="0" fontId="22" fillId="0" borderId="15" xfId="11" applyNumberFormat="1" applyFont="1" applyBorder="1" applyAlignment="1">
      <alignment vertical="center"/>
    </xf>
    <xf numFmtId="0" fontId="21" fillId="5" borderId="0" xfId="0" applyFont="1" applyFill="1" applyAlignment="1">
      <alignment horizontal="center" vertical="center"/>
    </xf>
    <xf numFmtId="0" fontId="22" fillId="8" borderId="11" xfId="11" applyNumberFormat="1" applyFont="1" applyFill="1" applyBorder="1" applyAlignment="1">
      <alignment horizontal="center" vertical="center"/>
    </xf>
    <xf numFmtId="184" fontId="23" fillId="8" borderId="11" xfId="11" applyNumberFormat="1" applyFont="1" applyFill="1" applyBorder="1" applyAlignment="1">
      <alignment horizontal="center" vertical="center"/>
    </xf>
    <xf numFmtId="176" fontId="23" fillId="8" borderId="11" xfId="11" applyFont="1" applyFill="1" applyBorder="1" applyAlignment="1">
      <alignment horizontal="center" vertical="center"/>
    </xf>
    <xf numFmtId="182" fontId="24" fillId="8" borderId="11" xfId="11" applyNumberFormat="1" applyFont="1" applyFill="1" applyBorder="1" applyAlignment="1">
      <alignment horizontal="right" vertical="center" wrapText="1"/>
    </xf>
    <xf numFmtId="187" fontId="23" fillId="5" borderId="11" xfId="11" applyNumberFormat="1" applyFont="1" applyFill="1" applyBorder="1" applyAlignment="1">
      <alignment horizontal="center" vertical="center" wrapText="1"/>
    </xf>
    <xf numFmtId="188" fontId="18" fillId="0" borderId="1" xfId="1" applyNumberFormat="1" applyFont="1" applyBorder="1" applyAlignment="1">
      <alignment horizontal="center" vertical="center"/>
    </xf>
    <xf numFmtId="186" fontId="18" fillId="0" borderId="2" xfId="1" applyNumberFormat="1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/>
    </xf>
    <xf numFmtId="182" fontId="23" fillId="0" borderId="11" xfId="11" applyNumberFormat="1" applyFont="1" applyBorder="1" applyAlignment="1">
      <alignment horizontal="right" vertical="center" wrapText="1"/>
    </xf>
    <xf numFmtId="182" fontId="23" fillId="0" borderId="11" xfId="11" applyNumberFormat="1" applyFont="1" applyFill="1" applyBorder="1" applyAlignment="1">
      <alignment horizontal="right" vertical="center" wrapText="1"/>
    </xf>
    <xf numFmtId="185" fontId="24" fillId="5" borderId="11" xfId="11" applyNumberFormat="1" applyFont="1" applyFill="1" applyBorder="1" applyAlignment="1">
      <alignment horizontal="center" vertical="center"/>
    </xf>
    <xf numFmtId="0" fontId="24" fillId="0" borderId="11" xfId="13" quotePrefix="1" applyFont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/>
    </xf>
    <xf numFmtId="49" fontId="23" fillId="5" borderId="11" xfId="0" applyNumberFormat="1" applyFont="1" applyFill="1" applyBorder="1" applyAlignment="1">
      <alignment horizontal="center" vertical="center"/>
    </xf>
    <xf numFmtId="49" fontId="23" fillId="5" borderId="11" xfId="0" applyNumberFormat="1" applyFont="1" applyFill="1" applyBorder="1">
      <alignment vertical="center"/>
    </xf>
    <xf numFmtId="190" fontId="18" fillId="5" borderId="2" xfId="0" applyNumberFormat="1" applyFont="1" applyFill="1" applyBorder="1" applyAlignment="1">
      <alignment horizontal="right" vertical="center" wrapText="1"/>
    </xf>
    <xf numFmtId="190" fontId="18" fillId="6" borderId="2" xfId="1" applyNumberFormat="1" applyFont="1" applyFill="1" applyBorder="1" applyAlignment="1">
      <alignment horizontal="right" vertical="center" wrapText="1"/>
    </xf>
    <xf numFmtId="190" fontId="18" fillId="0" borderId="2" xfId="1" applyNumberFormat="1" applyFont="1" applyFill="1" applyBorder="1" applyAlignment="1">
      <alignment horizontal="right" vertical="center" wrapText="1"/>
    </xf>
    <xf numFmtId="190" fontId="18" fillId="5" borderId="2" xfId="0" applyNumberFormat="1" applyFont="1" applyFill="1" applyBorder="1" applyAlignment="1">
      <alignment horizontal="right" vertical="center"/>
    </xf>
    <xf numFmtId="190" fontId="18" fillId="5" borderId="2" xfId="1" applyNumberFormat="1" applyFont="1" applyFill="1" applyBorder="1" applyAlignment="1">
      <alignment horizontal="right" vertical="center" wrapText="1"/>
    </xf>
    <xf numFmtId="191" fontId="18" fillId="5" borderId="2" xfId="1" applyNumberFormat="1" applyFont="1" applyFill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5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22" fillId="9" borderId="9" xfId="0" applyFont="1" applyFill="1" applyBorder="1">
      <alignment vertical="center"/>
    </xf>
    <xf numFmtId="0" fontId="22" fillId="9" borderId="6" xfId="0" applyFont="1" applyFill="1" applyBorder="1">
      <alignment vertical="center"/>
    </xf>
    <xf numFmtId="0" fontId="23" fillId="0" borderId="0" xfId="0" applyFont="1">
      <alignment vertical="center"/>
    </xf>
    <xf numFmtId="0" fontId="18" fillId="5" borderId="2" xfId="0" applyFont="1" applyFill="1" applyBorder="1">
      <alignment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/>
    </xf>
    <xf numFmtId="0" fontId="21" fillId="12" borderId="0" xfId="0" applyFont="1" applyFill="1">
      <alignment vertical="center"/>
    </xf>
    <xf numFmtId="0" fontId="21" fillId="5" borderId="0" xfId="0" applyFont="1" applyFill="1">
      <alignment vertical="center"/>
    </xf>
    <xf numFmtId="176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6" fontId="25" fillId="0" borderId="0" xfId="0" applyNumberFormat="1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>
      <alignment vertical="center"/>
    </xf>
    <xf numFmtId="190" fontId="18" fillId="5" borderId="2" xfId="1" applyNumberFormat="1" applyFont="1" applyFill="1" applyBorder="1" applyAlignment="1">
      <alignment horizontal="right" vertical="center"/>
    </xf>
    <xf numFmtId="0" fontId="23" fillId="7" borderId="2" xfId="0" applyFont="1" applyFill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 wrapText="1"/>
    </xf>
    <xf numFmtId="190" fontId="23" fillId="5" borderId="2" xfId="1" applyNumberFormat="1" applyFont="1" applyFill="1" applyBorder="1" applyAlignment="1">
      <alignment horizontal="right" vertical="center" wrapText="1"/>
    </xf>
    <xf numFmtId="176" fontId="18" fillId="5" borderId="2" xfId="1" applyFont="1" applyFill="1" applyBorder="1" applyAlignment="1">
      <alignment vertical="center"/>
    </xf>
    <xf numFmtId="191" fontId="18" fillId="0" borderId="2" xfId="1" applyNumberFormat="1" applyFont="1" applyFill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 wrapText="1"/>
    </xf>
    <xf numFmtId="184" fontId="23" fillId="0" borderId="11" xfId="11" applyNumberFormat="1" applyFont="1" applyFill="1" applyBorder="1" applyAlignment="1">
      <alignment horizontal="center" vertical="center"/>
    </xf>
    <xf numFmtId="176" fontId="23" fillId="0" borderId="11" xfId="11" applyFont="1" applyFill="1" applyBorder="1" applyAlignment="1">
      <alignment horizontal="center" vertical="center"/>
    </xf>
    <xf numFmtId="0" fontId="18" fillId="0" borderId="11" xfId="11" applyNumberFormat="1" applyFont="1" applyFill="1" applyBorder="1" applyAlignment="1">
      <alignment vertical="center"/>
    </xf>
    <xf numFmtId="49" fontId="23" fillId="0" borderId="11" xfId="0" applyNumberFormat="1" applyFont="1" applyBorder="1" applyAlignment="1">
      <alignment horizontal="center" vertical="center"/>
    </xf>
    <xf numFmtId="182" fontId="23" fillId="0" borderId="11" xfId="11" applyNumberFormat="1" applyFont="1" applyFill="1" applyBorder="1" applyAlignment="1">
      <alignment horizontal="center" vertical="center" wrapText="1"/>
    </xf>
    <xf numFmtId="189" fontId="23" fillId="10" borderId="11" xfId="11" applyNumberFormat="1" applyFont="1" applyFill="1" applyBorder="1" applyAlignment="1">
      <alignment horizontal="center" vertical="center"/>
    </xf>
    <xf numFmtId="189" fontId="23" fillId="0" borderId="11" xfId="11" applyNumberFormat="1" applyFont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7" fillId="0" borderId="11" xfId="11" applyNumberFormat="1" applyFont="1" applyFill="1" applyBorder="1" applyAlignment="1">
      <alignment horizontal="center" vertical="center" wrapText="1"/>
    </xf>
    <xf numFmtId="191" fontId="26" fillId="5" borderId="2" xfId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18" fillId="2" borderId="18" xfId="0" applyNumberFormat="1" applyFont="1" applyFill="1" applyBorder="1" applyAlignment="1">
      <alignment horizontal="center" vertical="center" wrapText="1"/>
    </xf>
    <xf numFmtId="193" fontId="18" fillId="0" borderId="0" xfId="1" applyNumberFormat="1" applyFont="1" applyFill="1" applyBorder="1" applyAlignment="1">
      <alignment horizontal="center" vertical="center"/>
    </xf>
    <xf numFmtId="176" fontId="18" fillId="0" borderId="0" xfId="1" applyFont="1" applyBorder="1">
      <alignment vertical="center"/>
    </xf>
    <xf numFmtId="0" fontId="29" fillId="0" borderId="0" xfId="0" applyFont="1" applyAlignment="1">
      <alignment horizontal="center" vertical="center"/>
    </xf>
    <xf numFmtId="0" fontId="31" fillId="0" borderId="0" xfId="20" applyFont="1">
      <alignment vertical="center"/>
    </xf>
    <xf numFmtId="0" fontId="30" fillId="0" borderId="22" xfId="19" applyFont="1" applyBorder="1" applyAlignment="1">
      <alignment horizontal="center" vertical="center"/>
    </xf>
    <xf numFmtId="0" fontId="30" fillId="0" borderId="0" xfId="19" applyFont="1" applyAlignment="1">
      <alignment horizontal="center" vertical="center"/>
    </xf>
    <xf numFmtId="0" fontId="30" fillId="0" borderId="23" xfId="19" applyFont="1" applyBorder="1" applyAlignment="1">
      <alignment horizontal="center" vertical="center"/>
    </xf>
    <xf numFmtId="0" fontId="33" fillId="0" borderId="22" xfId="19" applyFont="1" applyBorder="1" applyAlignment="1">
      <alignment horizontal="left" vertical="center"/>
    </xf>
    <xf numFmtId="0" fontId="34" fillId="0" borderId="0" xfId="19" applyFont="1" applyAlignment="1">
      <alignment vertical="center"/>
    </xf>
    <xf numFmtId="0" fontId="34" fillId="0" borderId="0" xfId="19" applyFont="1" applyAlignment="1">
      <alignment horizontal="left" vertical="center" textRotation="1"/>
    </xf>
    <xf numFmtId="0" fontId="35" fillId="0" borderId="0" xfId="19" applyFont="1" applyAlignment="1">
      <alignment horizontal="centerContinuous" vertical="center"/>
    </xf>
    <xf numFmtId="0" fontId="35" fillId="0" borderId="23" xfId="19" applyFont="1" applyBorder="1" applyAlignment="1">
      <alignment vertical="center"/>
    </xf>
    <xf numFmtId="0" fontId="36" fillId="0" borderId="22" xfId="19" applyFont="1" applyBorder="1" applyAlignment="1">
      <alignment horizontal="left" vertical="center" indent="2"/>
    </xf>
    <xf numFmtId="0" fontId="31" fillId="0" borderId="10" xfId="19" applyFont="1" applyBorder="1" applyAlignment="1">
      <alignment vertical="center"/>
    </xf>
    <xf numFmtId="0" fontId="31" fillId="0" borderId="0" xfId="19" applyFont="1" applyAlignment="1">
      <alignment vertical="center"/>
    </xf>
    <xf numFmtId="0" fontId="35" fillId="0" borderId="23" xfId="19" applyFont="1" applyBorder="1" applyAlignment="1">
      <alignment horizontal="right" vertical="center"/>
    </xf>
    <xf numFmtId="0" fontId="36" fillId="0" borderId="22" xfId="19" applyFont="1" applyBorder="1" applyAlignment="1">
      <alignment vertical="center"/>
    </xf>
    <xf numFmtId="0" fontId="36" fillId="0" borderId="0" xfId="19" applyFont="1" applyAlignment="1">
      <alignment vertical="center"/>
    </xf>
    <xf numFmtId="0" fontId="35" fillId="0" borderId="0" xfId="19" applyFont="1" applyAlignment="1">
      <alignment horizontal="right" vertical="center"/>
    </xf>
    <xf numFmtId="0" fontId="36" fillId="0" borderId="23" xfId="19" applyFont="1" applyBorder="1" applyAlignment="1">
      <alignment vertical="center"/>
    </xf>
    <xf numFmtId="0" fontId="31" fillId="0" borderId="25" xfId="19" applyFont="1" applyBorder="1" applyAlignment="1">
      <alignment horizontal="center" vertical="center"/>
    </xf>
    <xf numFmtId="0" fontId="31" fillId="0" borderId="26" xfId="19" applyFont="1" applyBorder="1" applyAlignment="1">
      <alignment horizontal="center" vertical="center"/>
    </xf>
    <xf numFmtId="0" fontId="31" fillId="0" borderId="6" xfId="19" applyFont="1" applyBorder="1" applyAlignment="1">
      <alignment horizontal="center" vertical="center"/>
    </xf>
    <xf numFmtId="0" fontId="31" fillId="0" borderId="17" xfId="19" applyFont="1" applyBorder="1" applyAlignment="1">
      <alignment horizontal="center" vertical="center"/>
    </xf>
    <xf numFmtId="0" fontId="31" fillId="0" borderId="2" xfId="19" applyFont="1" applyBorder="1" applyAlignment="1">
      <alignment horizontal="center" vertical="center"/>
    </xf>
    <xf numFmtId="0" fontId="39" fillId="0" borderId="8" xfId="19" applyFont="1" applyBorder="1" applyAlignment="1">
      <alignment horizontal="center" vertical="center"/>
    </xf>
    <xf numFmtId="0" fontId="31" fillId="0" borderId="35" xfId="19" applyFont="1" applyBorder="1" applyAlignment="1">
      <alignment horizontal="center" vertical="center"/>
    </xf>
    <xf numFmtId="0" fontId="31" fillId="0" borderId="36" xfId="19" applyFont="1" applyBorder="1" applyAlignment="1">
      <alignment horizontal="center" vertical="center"/>
    </xf>
    <xf numFmtId="0" fontId="31" fillId="0" borderId="22" xfId="19" applyFont="1" applyBorder="1" applyAlignment="1">
      <alignment horizontal="center" vertical="center"/>
    </xf>
    <xf numFmtId="0" fontId="31" fillId="0" borderId="0" xfId="19" applyFont="1" applyAlignment="1">
      <alignment horizontal="center" vertical="center"/>
    </xf>
    <xf numFmtId="0" fontId="31" fillId="0" borderId="0" xfId="19" applyFont="1" applyAlignment="1">
      <alignment horizontal="left" vertical="center" indent="1"/>
    </xf>
    <xf numFmtId="0" fontId="35" fillId="0" borderId="0" xfId="19" applyFont="1" applyAlignment="1">
      <alignment vertical="center"/>
    </xf>
    <xf numFmtId="0" fontId="31" fillId="0" borderId="22" xfId="19" applyFont="1" applyBorder="1" applyAlignment="1">
      <alignment vertical="center"/>
    </xf>
    <xf numFmtId="0" fontId="31" fillId="0" borderId="23" xfId="19" applyFont="1" applyBorder="1" applyAlignment="1">
      <alignment vertical="center"/>
    </xf>
    <xf numFmtId="0" fontId="36" fillId="0" borderId="22" xfId="19" applyFont="1" applyBorder="1" applyAlignment="1">
      <alignment horizontal="left" vertical="center" indent="1"/>
    </xf>
    <xf numFmtId="0" fontId="41" fillId="0" borderId="0" xfId="19" applyFont="1" applyAlignment="1">
      <alignment vertical="center"/>
    </xf>
    <xf numFmtId="0" fontId="41" fillId="14" borderId="37" xfId="19" applyFont="1" applyFill="1" applyBorder="1" applyAlignment="1">
      <alignment horizontal="center" vertical="center"/>
    </xf>
    <xf numFmtId="0" fontId="41" fillId="14" borderId="38" xfId="19" applyFont="1" applyFill="1" applyBorder="1" applyAlignment="1">
      <alignment horizontal="center" vertical="center"/>
    </xf>
    <xf numFmtId="3" fontId="41" fillId="14" borderId="38" xfId="19" applyNumberFormat="1" applyFont="1" applyFill="1" applyBorder="1" applyAlignment="1">
      <alignment horizontal="center" vertical="center"/>
    </xf>
    <xf numFmtId="0" fontId="31" fillId="0" borderId="42" xfId="19" applyFont="1" applyBorder="1" applyAlignment="1">
      <alignment horizontal="center" vertical="center"/>
    </xf>
    <xf numFmtId="0" fontId="31" fillId="0" borderId="46" xfId="19" applyFont="1" applyBorder="1" applyAlignment="1">
      <alignment horizontal="center" vertical="center"/>
    </xf>
    <xf numFmtId="0" fontId="31" fillId="0" borderId="13" xfId="22" applyFont="1" applyBorder="1" applyAlignment="1">
      <alignment horizontal="center" vertical="center"/>
    </xf>
    <xf numFmtId="176" fontId="31" fillId="0" borderId="0" xfId="20" applyNumberFormat="1" applyFont="1">
      <alignment vertical="center"/>
    </xf>
    <xf numFmtId="0" fontId="31" fillId="0" borderId="16" xfId="22" applyFont="1" applyBorder="1" applyAlignment="1">
      <alignment horizontal="left" vertical="center" wrapText="1" indent="1"/>
    </xf>
    <xf numFmtId="0" fontId="35" fillId="0" borderId="57" xfId="22" applyFont="1" applyBorder="1" applyAlignment="1">
      <alignment horizontal="center" vertical="center"/>
    </xf>
    <xf numFmtId="191" fontId="35" fillId="0" borderId="57" xfId="22" applyNumberFormat="1" applyFont="1" applyBorder="1" applyAlignment="1">
      <alignment horizontal="center" vertical="center"/>
    </xf>
    <xf numFmtId="177" fontId="31" fillId="0" borderId="0" xfId="20" applyNumberFormat="1" applyFont="1">
      <alignment vertical="center"/>
    </xf>
    <xf numFmtId="2" fontId="35" fillId="0" borderId="59" xfId="22" applyNumberFormat="1" applyFont="1" applyBorder="1" applyAlignment="1">
      <alignment horizontal="center" vertical="center"/>
    </xf>
    <xf numFmtId="0" fontId="35" fillId="0" borderId="62" xfId="22" applyFont="1" applyBorder="1" applyAlignment="1">
      <alignment horizontal="center" vertical="center"/>
    </xf>
    <xf numFmtId="0" fontId="31" fillId="0" borderId="64" xfId="19" applyFont="1" applyBorder="1" applyAlignment="1">
      <alignment horizontal="center" vertical="center"/>
    </xf>
    <xf numFmtId="0" fontId="31" fillId="0" borderId="15" xfId="22" applyFont="1" applyBorder="1" applyAlignment="1">
      <alignment horizontal="left" vertical="center" wrapText="1" indent="1"/>
    </xf>
    <xf numFmtId="1" fontId="35" fillId="0" borderId="65" xfId="22" applyNumberFormat="1" applyFont="1" applyBorder="1" applyAlignment="1">
      <alignment horizontal="center" vertical="center"/>
    </xf>
    <xf numFmtId="0" fontId="35" fillId="0" borderId="65" xfId="22" applyFont="1" applyBorder="1" applyAlignment="1">
      <alignment horizontal="center" vertical="center"/>
    </xf>
    <xf numFmtId="0" fontId="35" fillId="0" borderId="69" xfId="22" applyFont="1" applyBorder="1" applyAlignment="1">
      <alignment horizontal="center" vertical="center"/>
    </xf>
    <xf numFmtId="176" fontId="31" fillId="0" borderId="0" xfId="23" applyFont="1">
      <alignment vertical="center"/>
    </xf>
    <xf numFmtId="176" fontId="45" fillId="15" borderId="39" xfId="19" applyNumberFormat="1" applyFont="1" applyFill="1" applyBorder="1" applyAlignment="1">
      <alignment horizontal="right" vertical="center"/>
    </xf>
    <xf numFmtId="0" fontId="45" fillId="15" borderId="39" xfId="19" applyFont="1" applyFill="1" applyBorder="1" applyAlignment="1">
      <alignment horizontal="right" vertical="center"/>
    </xf>
    <xf numFmtId="176" fontId="45" fillId="15" borderId="71" xfId="23" applyFont="1" applyFill="1" applyBorder="1" applyAlignment="1">
      <alignment horizontal="right" vertical="center"/>
    </xf>
    <xf numFmtId="179" fontId="31" fillId="0" borderId="0" xfId="25" applyFont="1" applyAlignment="1">
      <alignment vertical="center"/>
    </xf>
    <xf numFmtId="49" fontId="35" fillId="0" borderId="22" xfId="19" applyNumberFormat="1" applyFont="1" applyBorder="1" applyAlignment="1">
      <alignment horizontal="left" vertical="center" indent="1"/>
    </xf>
    <xf numFmtId="49" fontId="31" fillId="0" borderId="0" xfId="19" applyNumberFormat="1" applyFont="1" applyAlignment="1">
      <alignment vertical="center"/>
    </xf>
    <xf numFmtId="49" fontId="31" fillId="0" borderId="23" xfId="19" applyNumberFormat="1" applyFont="1" applyBorder="1" applyAlignment="1">
      <alignment vertical="center"/>
    </xf>
    <xf numFmtId="49" fontId="31" fillId="0" borderId="22" xfId="19" applyNumberFormat="1" applyFont="1" applyBorder="1" applyAlignment="1">
      <alignment vertical="center"/>
    </xf>
    <xf numFmtId="0" fontId="36" fillId="0" borderId="0" xfId="22" applyFont="1" applyAlignment="1">
      <alignment horizontal="left" vertical="center"/>
    </xf>
    <xf numFmtId="0" fontId="36" fillId="0" borderId="23" xfId="22" applyFont="1" applyBorder="1" applyAlignment="1">
      <alignment horizontal="left" vertical="center"/>
    </xf>
    <xf numFmtId="49" fontId="31" fillId="0" borderId="73" xfId="19" applyNumberFormat="1" applyFont="1" applyBorder="1" applyAlignment="1">
      <alignment vertical="center"/>
    </xf>
    <xf numFmtId="49" fontId="31" fillId="0" borderId="74" xfId="19" applyNumberFormat="1" applyFont="1" applyBorder="1" applyAlignment="1">
      <alignment vertical="center"/>
    </xf>
    <xf numFmtId="49" fontId="31" fillId="0" borderId="75" xfId="19" applyNumberFormat="1" applyFont="1" applyBorder="1" applyAlignment="1">
      <alignment vertical="center"/>
    </xf>
    <xf numFmtId="0" fontId="36" fillId="0" borderId="10" xfId="19" applyFont="1" applyFill="1" applyBorder="1" applyAlignment="1">
      <alignment vertical="center"/>
    </xf>
    <xf numFmtId="0" fontId="31" fillId="0" borderId="10" xfId="19" applyFont="1" applyFill="1" applyBorder="1" applyAlignment="1">
      <alignment vertical="center"/>
    </xf>
    <xf numFmtId="0" fontId="31" fillId="0" borderId="24" xfId="19" applyFont="1" applyFill="1" applyBorder="1" applyAlignment="1">
      <alignment horizontal="right" vertical="center"/>
    </xf>
    <xf numFmtId="0" fontId="31" fillId="0" borderId="25" xfId="19" applyFont="1" applyFill="1" applyBorder="1" applyAlignment="1">
      <alignment horizontal="center" vertical="center"/>
    </xf>
    <xf numFmtId="0" fontId="31" fillId="0" borderId="43" xfId="22" applyFont="1" applyFill="1" applyBorder="1" applyAlignment="1">
      <alignment horizontal="center" vertical="center"/>
    </xf>
    <xf numFmtId="0" fontId="31" fillId="0" borderId="45" xfId="22" applyFont="1" applyFill="1" applyBorder="1" applyAlignment="1">
      <alignment horizontal="center" vertical="center"/>
    </xf>
    <xf numFmtId="0" fontId="31" fillId="0" borderId="12" xfId="22" applyFont="1" applyFill="1" applyBorder="1" applyAlignment="1">
      <alignment horizontal="center" vertical="center"/>
    </xf>
    <xf numFmtId="0" fontId="35" fillId="0" borderId="53" xfId="22" applyFont="1" applyFill="1" applyBorder="1" applyAlignment="1">
      <alignment horizontal="center" vertical="center"/>
    </xf>
    <xf numFmtId="0" fontId="35" fillId="0" borderId="65" xfId="22" applyFont="1" applyBorder="1" applyAlignment="1">
      <alignment horizontal="left" vertical="center" wrapText="1" indent="1"/>
    </xf>
    <xf numFmtId="0" fontId="35" fillId="0" borderId="66" xfId="22" applyFont="1" applyBorder="1" applyAlignment="1">
      <alignment horizontal="left" vertical="center" wrapText="1" indent="1"/>
    </xf>
    <xf numFmtId="0" fontId="35" fillId="0" borderId="67" xfId="22" applyFont="1" applyBorder="1" applyAlignment="1">
      <alignment horizontal="left" vertical="center" wrapText="1" indent="1"/>
    </xf>
    <xf numFmtId="176" fontId="31" fillId="0" borderId="65" xfId="23" applyFont="1" applyFill="1" applyBorder="1" applyAlignment="1">
      <alignment horizontal="right" vertical="center"/>
    </xf>
    <xf numFmtId="176" fontId="31" fillId="0" borderId="66" xfId="23" applyFont="1" applyFill="1" applyBorder="1" applyAlignment="1">
      <alignment horizontal="right" vertical="center"/>
    </xf>
    <xf numFmtId="176" fontId="31" fillId="0" borderId="67" xfId="23" applyFont="1" applyFill="1" applyBorder="1" applyAlignment="1">
      <alignment horizontal="right" vertical="center"/>
    </xf>
    <xf numFmtId="176" fontId="31" fillId="0" borderId="65" xfId="24" applyFont="1" applyFill="1" applyBorder="1" applyAlignment="1">
      <alignment horizontal="left" vertical="center"/>
    </xf>
    <xf numFmtId="176" fontId="31" fillId="0" borderId="68" xfId="24" applyFont="1" applyFill="1" applyBorder="1" applyAlignment="1">
      <alignment horizontal="left" vertical="center"/>
    </xf>
    <xf numFmtId="0" fontId="45" fillId="15" borderId="70" xfId="19" applyFont="1" applyFill="1" applyBorder="1" applyAlignment="1">
      <alignment horizontal="center" vertical="center"/>
    </xf>
    <xf numFmtId="0" fontId="45" fillId="15" borderId="39" xfId="19" applyFont="1" applyFill="1" applyBorder="1" applyAlignment="1">
      <alignment horizontal="center" vertical="center"/>
    </xf>
    <xf numFmtId="0" fontId="45" fillId="15" borderId="71" xfId="19" applyFont="1" applyFill="1" applyBorder="1" applyAlignment="1">
      <alignment horizontal="center" vertical="center"/>
    </xf>
    <xf numFmtId="9" fontId="45" fillId="15" borderId="72" xfId="2" applyFont="1" applyFill="1" applyBorder="1" applyAlignment="1">
      <alignment horizontal="center" vertical="center"/>
    </xf>
    <xf numFmtId="9" fontId="45" fillId="15" borderId="41" xfId="2" applyFont="1" applyFill="1" applyBorder="1" applyAlignment="1">
      <alignment horizontal="center" vertical="center"/>
    </xf>
    <xf numFmtId="176" fontId="31" fillId="0" borderId="13" xfId="23" applyFont="1" applyFill="1" applyBorder="1" applyAlignment="1">
      <alignment horizontal="right" vertical="center"/>
    </xf>
    <xf numFmtId="176" fontId="31" fillId="0" borderId="51" xfId="23" applyFont="1" applyFill="1" applyBorder="1" applyAlignment="1">
      <alignment horizontal="right" vertical="center"/>
    </xf>
    <xf numFmtId="176" fontId="31" fillId="0" borderId="14" xfId="23" applyFont="1" applyFill="1" applyBorder="1" applyAlignment="1">
      <alignment horizontal="right" vertical="center"/>
    </xf>
    <xf numFmtId="176" fontId="31" fillId="0" borderId="13" xfId="24" applyFont="1" applyFill="1" applyBorder="1" applyAlignment="1">
      <alignment horizontal="left" vertical="center"/>
    </xf>
    <xf numFmtId="176" fontId="31" fillId="0" borderId="52" xfId="24" applyFont="1" applyFill="1" applyBorder="1" applyAlignment="1">
      <alignment horizontal="left" vertical="center"/>
    </xf>
    <xf numFmtId="176" fontId="44" fillId="0" borderId="65" xfId="24" applyFont="1" applyBorder="1" applyAlignment="1">
      <alignment horizontal="left" vertical="center"/>
    </xf>
    <xf numFmtId="176" fontId="44" fillId="0" borderId="68" xfId="24" applyFont="1" applyBorder="1" applyAlignment="1">
      <alignment horizontal="left" vertical="center"/>
    </xf>
    <xf numFmtId="0" fontId="35" fillId="0" borderId="59" xfId="22" applyFont="1" applyBorder="1" applyAlignment="1">
      <alignment horizontal="left" vertical="center" wrapText="1" indent="1"/>
    </xf>
    <xf numFmtId="0" fontId="35" fillId="0" borderId="60" xfId="22" applyFont="1" applyBorder="1" applyAlignment="1">
      <alignment horizontal="left" vertical="center" wrapText="1" indent="1"/>
    </xf>
    <xf numFmtId="0" fontId="35" fillId="0" borderId="61" xfId="22" applyFont="1" applyBorder="1" applyAlignment="1">
      <alignment horizontal="left" vertical="center" wrapText="1" indent="1"/>
    </xf>
    <xf numFmtId="176" fontId="31" fillId="0" borderId="59" xfId="23" applyFont="1" applyFill="1" applyBorder="1" applyAlignment="1">
      <alignment horizontal="right" vertical="center"/>
    </xf>
    <xf numFmtId="176" fontId="31" fillId="0" borderId="60" xfId="23" applyFont="1" applyFill="1" applyBorder="1" applyAlignment="1">
      <alignment horizontal="right" vertical="center"/>
    </xf>
    <xf numFmtId="176" fontId="31" fillId="0" borderId="61" xfId="23" applyFont="1" applyFill="1" applyBorder="1" applyAlignment="1">
      <alignment horizontal="right" vertical="center"/>
    </xf>
    <xf numFmtId="176" fontId="31" fillId="0" borderId="57" xfId="24" applyFont="1" applyFill="1" applyBorder="1" applyAlignment="1">
      <alignment horizontal="left" vertical="center"/>
    </xf>
    <xf numFmtId="176" fontId="31" fillId="0" borderId="29" xfId="24" applyFont="1" applyFill="1" applyBorder="1" applyAlignment="1">
      <alignment horizontal="left" vertical="center"/>
    </xf>
    <xf numFmtId="176" fontId="31" fillId="0" borderId="59" xfId="24" applyFont="1" applyFill="1" applyBorder="1" applyAlignment="1">
      <alignment horizontal="left" vertical="center"/>
    </xf>
    <xf numFmtId="176" fontId="31" fillId="0" borderId="63" xfId="24" applyFont="1" applyFill="1" applyBorder="1" applyAlignment="1">
      <alignment horizontal="left" vertical="center"/>
    </xf>
    <xf numFmtId="0" fontId="35" fillId="0" borderId="57" xfId="22" applyFont="1" applyBorder="1" applyAlignment="1">
      <alignment horizontal="left" vertical="center" wrapText="1" indent="1"/>
    </xf>
    <xf numFmtId="0" fontId="35" fillId="0" borderId="4" xfId="22" applyFont="1" applyBorder="1" applyAlignment="1">
      <alignment horizontal="left" vertical="center" wrapText="1" indent="1"/>
    </xf>
    <xf numFmtId="0" fontId="35" fillId="0" borderId="58" xfId="22" applyFont="1" applyBorder="1" applyAlignment="1">
      <alignment horizontal="left" vertical="center" wrapText="1" indent="1"/>
    </xf>
    <xf numFmtId="176" fontId="31" fillId="0" borderId="57" xfId="23" applyFont="1" applyFill="1" applyBorder="1" applyAlignment="1">
      <alignment horizontal="right" vertical="center"/>
    </xf>
    <xf numFmtId="176" fontId="31" fillId="0" borderId="4" xfId="23" applyFont="1" applyFill="1" applyBorder="1" applyAlignment="1">
      <alignment horizontal="right" vertical="center"/>
    </xf>
    <xf numFmtId="176" fontId="31" fillId="0" borderId="58" xfId="23" applyFont="1" applyFill="1" applyBorder="1" applyAlignment="1">
      <alignment horizontal="right" vertical="center"/>
    </xf>
    <xf numFmtId="0" fontId="35" fillId="0" borderId="53" xfId="22" applyFont="1" applyFill="1" applyBorder="1" applyAlignment="1">
      <alignment horizontal="left" vertical="center" wrapText="1" indent="1"/>
    </xf>
    <xf numFmtId="0" fontId="35" fillId="0" borderId="54" xfId="22" applyFont="1" applyFill="1" applyBorder="1" applyAlignment="1">
      <alignment horizontal="left" vertical="center" wrapText="1" indent="1"/>
    </xf>
    <xf numFmtId="0" fontId="35" fillId="0" borderId="55" xfId="22" applyFont="1" applyFill="1" applyBorder="1" applyAlignment="1">
      <alignment horizontal="left" vertical="center" wrapText="1" indent="1"/>
    </xf>
    <xf numFmtId="176" fontId="31" fillId="0" borderId="53" xfId="23" applyFont="1" applyFill="1" applyBorder="1" applyAlignment="1">
      <alignment horizontal="right" vertical="center"/>
    </xf>
    <xf numFmtId="176" fontId="31" fillId="0" borderId="54" xfId="23" applyFont="1" applyFill="1" applyBorder="1" applyAlignment="1">
      <alignment horizontal="right" vertical="center"/>
    </xf>
    <xf numFmtId="176" fontId="31" fillId="0" borderId="55" xfId="23" applyFont="1" applyFill="1" applyBorder="1" applyAlignment="1">
      <alignment horizontal="right" vertical="center"/>
    </xf>
    <xf numFmtId="176" fontId="31" fillId="0" borderId="53" xfId="24" applyFont="1" applyBorder="1" applyAlignment="1">
      <alignment horizontal="left" vertical="center"/>
    </xf>
    <xf numFmtId="176" fontId="31" fillId="0" borderId="56" xfId="24" applyFont="1" applyBorder="1" applyAlignment="1">
      <alignment horizontal="left" vertical="center"/>
    </xf>
    <xf numFmtId="0" fontId="31" fillId="0" borderId="47" xfId="22" applyFont="1" applyFill="1" applyBorder="1" applyAlignment="1">
      <alignment horizontal="center" vertical="center" wrapText="1"/>
    </xf>
    <xf numFmtId="0" fontId="31" fillId="0" borderId="48" xfId="22" applyFont="1" applyFill="1" applyBorder="1" applyAlignment="1">
      <alignment horizontal="center" vertical="center" wrapText="1"/>
    </xf>
    <xf numFmtId="0" fontId="31" fillId="0" borderId="49" xfId="22" applyFont="1" applyFill="1" applyBorder="1" applyAlignment="1">
      <alignment horizontal="center" vertical="center" wrapText="1"/>
    </xf>
    <xf numFmtId="176" fontId="31" fillId="0" borderId="47" xfId="23" applyFont="1" applyFill="1" applyBorder="1" applyAlignment="1">
      <alignment horizontal="right" vertical="center"/>
    </xf>
    <xf numFmtId="176" fontId="31" fillId="0" borderId="48" xfId="23" applyFont="1" applyFill="1" applyBorder="1" applyAlignment="1">
      <alignment horizontal="right" vertical="center"/>
    </xf>
    <xf numFmtId="176" fontId="31" fillId="0" borderId="49" xfId="23" applyFont="1" applyFill="1" applyBorder="1" applyAlignment="1">
      <alignment horizontal="right" vertical="center"/>
    </xf>
    <xf numFmtId="176" fontId="31" fillId="0" borderId="47" xfId="24" applyFont="1" applyBorder="1" applyAlignment="1">
      <alignment horizontal="left" vertical="center"/>
    </xf>
    <xf numFmtId="176" fontId="31" fillId="0" borderId="50" xfId="24" applyFont="1" applyBorder="1" applyAlignment="1">
      <alignment horizontal="left" vertical="center"/>
    </xf>
    <xf numFmtId="0" fontId="31" fillId="0" borderId="47" xfId="22" applyFont="1" applyBorder="1" applyAlignment="1">
      <alignment horizontal="center" vertical="center" wrapText="1"/>
    </xf>
    <xf numFmtId="0" fontId="31" fillId="0" borderId="48" xfId="22" applyFont="1" applyBorder="1" applyAlignment="1">
      <alignment horizontal="center" vertical="center" wrapText="1"/>
    </xf>
    <xf numFmtId="0" fontId="31" fillId="0" borderId="49" xfId="22" applyFont="1" applyBorder="1" applyAlignment="1">
      <alignment horizontal="center" vertical="center" wrapText="1"/>
    </xf>
    <xf numFmtId="176" fontId="31" fillId="0" borderId="13" xfId="23" applyFont="1" applyBorder="1" applyAlignment="1">
      <alignment horizontal="center" vertical="center"/>
    </xf>
    <xf numFmtId="176" fontId="31" fillId="0" borderId="51" xfId="23" applyFont="1" applyBorder="1" applyAlignment="1">
      <alignment horizontal="center" vertical="center"/>
    </xf>
    <xf numFmtId="176" fontId="31" fillId="0" borderId="14" xfId="23" applyFont="1" applyBorder="1" applyAlignment="1">
      <alignment horizontal="center" vertical="center"/>
    </xf>
    <xf numFmtId="176" fontId="31" fillId="0" borderId="13" xfId="24" applyFont="1" applyBorder="1" applyAlignment="1">
      <alignment horizontal="left" vertical="center"/>
    </xf>
    <xf numFmtId="176" fontId="31" fillId="0" borderId="52" xfId="24" applyFont="1" applyBorder="1" applyAlignment="1">
      <alignment horizontal="left" vertical="center"/>
    </xf>
    <xf numFmtId="0" fontId="42" fillId="13" borderId="0" xfId="21" applyFont="1" applyFill="1" applyAlignment="1">
      <alignment horizontal="left" vertical="center"/>
    </xf>
    <xf numFmtId="0" fontId="42" fillId="13" borderId="23" xfId="21" applyFont="1" applyFill="1" applyBorder="1" applyAlignment="1">
      <alignment horizontal="left" vertical="center"/>
    </xf>
    <xf numFmtId="0" fontId="31" fillId="0" borderId="0" xfId="19" applyFont="1" applyAlignment="1">
      <alignment horizontal="right" vertical="center"/>
    </xf>
    <xf numFmtId="0" fontId="31" fillId="0" borderId="23" xfId="19" applyFont="1" applyBorder="1" applyAlignment="1">
      <alignment horizontal="right" vertical="center"/>
    </xf>
    <xf numFmtId="0" fontId="31" fillId="0" borderId="43" xfId="22" applyFont="1" applyFill="1" applyBorder="1" applyAlignment="1">
      <alignment horizontal="center" vertical="center" wrapText="1"/>
    </xf>
    <xf numFmtId="0" fontId="31" fillId="0" borderId="25" xfId="22" applyFont="1" applyFill="1" applyBorder="1" applyAlignment="1">
      <alignment horizontal="center" vertical="center" wrapText="1"/>
    </xf>
    <xf numFmtId="0" fontId="31" fillId="0" borderId="44" xfId="22" applyFont="1" applyFill="1" applyBorder="1" applyAlignment="1">
      <alignment horizontal="center" vertical="center" wrapText="1"/>
    </xf>
    <xf numFmtId="176" fontId="31" fillId="0" borderId="45" xfId="23" applyFont="1" applyFill="1" applyBorder="1" applyAlignment="1">
      <alignment horizontal="right" vertical="center"/>
    </xf>
    <xf numFmtId="176" fontId="31" fillId="0" borderId="43" xfId="22" applyNumberFormat="1" applyFont="1" applyBorder="1" applyAlignment="1">
      <alignment horizontal="left" vertical="center"/>
    </xf>
    <xf numFmtId="176" fontId="31" fillId="0" borderId="26" xfId="22" applyNumberFormat="1" applyFont="1" applyBorder="1" applyAlignment="1">
      <alignment horizontal="left" vertical="center"/>
    </xf>
    <xf numFmtId="0" fontId="41" fillId="14" borderId="38" xfId="19" applyFont="1" applyFill="1" applyBorder="1" applyAlignment="1">
      <alignment horizontal="center" vertical="center"/>
    </xf>
    <xf numFmtId="0" fontId="41" fillId="14" borderId="39" xfId="19" applyFont="1" applyFill="1" applyBorder="1" applyAlignment="1">
      <alignment horizontal="center" vertical="center"/>
    </xf>
    <xf numFmtId="0" fontId="41" fillId="14" borderId="40" xfId="19" applyFont="1" applyFill="1" applyBorder="1" applyAlignment="1">
      <alignment horizontal="center" vertical="center"/>
    </xf>
    <xf numFmtId="3" fontId="41" fillId="14" borderId="38" xfId="19" applyNumberFormat="1" applyFont="1" applyFill="1" applyBorder="1" applyAlignment="1">
      <alignment horizontal="center" vertical="center"/>
    </xf>
    <xf numFmtId="3" fontId="41" fillId="14" borderId="39" xfId="19" applyNumberFormat="1" applyFont="1" applyFill="1" applyBorder="1" applyAlignment="1">
      <alignment horizontal="center" vertical="center"/>
    </xf>
    <xf numFmtId="3" fontId="41" fillId="14" borderId="40" xfId="19" applyNumberFormat="1" applyFont="1" applyFill="1" applyBorder="1" applyAlignment="1">
      <alignment horizontal="center" vertical="center"/>
    </xf>
    <xf numFmtId="0" fontId="41" fillId="14" borderId="41" xfId="19" applyFont="1" applyFill="1" applyBorder="1" applyAlignment="1">
      <alignment horizontal="center" vertical="center"/>
    </xf>
    <xf numFmtId="194" fontId="40" fillId="13" borderId="0" xfId="19" applyNumberFormat="1" applyFont="1" applyFill="1" applyAlignment="1">
      <alignment horizontal="left" vertical="center"/>
    </xf>
    <xf numFmtId="0" fontId="30" fillId="0" borderId="19" xfId="19" applyFont="1" applyBorder="1" applyAlignment="1">
      <alignment horizontal="center" vertical="center"/>
    </xf>
    <xf numFmtId="0" fontId="30" fillId="0" borderId="20" xfId="19" applyFont="1" applyBorder="1" applyAlignment="1">
      <alignment horizontal="center" vertical="center"/>
    </xf>
    <xf numFmtId="0" fontId="30" fillId="0" borderId="21" xfId="19" applyFont="1" applyBorder="1" applyAlignment="1">
      <alignment horizontal="center" vertical="center"/>
    </xf>
    <xf numFmtId="0" fontId="32" fillId="0" borderId="22" xfId="19" applyFont="1" applyBorder="1" applyAlignment="1" applyProtection="1">
      <alignment horizontal="center" vertical="center"/>
      <protection locked="0"/>
    </xf>
    <xf numFmtId="0" fontId="32" fillId="0" borderId="0" xfId="19" applyFont="1" applyAlignment="1" applyProtection="1">
      <alignment horizontal="center" vertical="center"/>
      <protection locked="0"/>
    </xf>
    <xf numFmtId="0" fontId="32" fillId="0" borderId="23" xfId="19" applyFont="1" applyBorder="1" applyAlignment="1" applyProtection="1">
      <alignment horizontal="center" vertical="center"/>
      <protection locked="0"/>
    </xf>
    <xf numFmtId="0" fontId="31" fillId="10" borderId="24" xfId="19" applyFont="1" applyFill="1" applyBorder="1" applyAlignment="1">
      <alignment horizontal="center" vertical="center"/>
    </xf>
    <xf numFmtId="0" fontId="31" fillId="10" borderId="25" xfId="19" applyFont="1" applyFill="1" applyBorder="1" applyAlignment="1">
      <alignment horizontal="center" vertical="center"/>
    </xf>
    <xf numFmtId="0" fontId="31" fillId="10" borderId="26" xfId="19" applyFont="1" applyFill="1" applyBorder="1" applyAlignment="1">
      <alignment horizontal="center" vertical="center"/>
    </xf>
    <xf numFmtId="0" fontId="31" fillId="0" borderId="27" xfId="19" applyFont="1" applyBorder="1" applyAlignment="1">
      <alignment horizontal="center" vertical="center" wrapText="1"/>
    </xf>
    <xf numFmtId="0" fontId="31" fillId="0" borderId="30" xfId="19" applyFont="1" applyBorder="1" applyAlignment="1">
      <alignment horizontal="center" vertical="center"/>
    </xf>
    <xf numFmtId="0" fontId="31" fillId="0" borderId="34" xfId="19" applyFont="1" applyBorder="1" applyAlignment="1">
      <alignment horizontal="center" vertical="center"/>
    </xf>
    <xf numFmtId="0" fontId="31" fillId="0" borderId="28" xfId="19" applyFont="1" applyBorder="1" applyAlignment="1">
      <alignment horizontal="center" vertical="center"/>
    </xf>
    <xf numFmtId="0" fontId="31" fillId="0" borderId="4" xfId="19" applyFont="1" applyBorder="1" applyAlignment="1">
      <alignment horizontal="center" vertical="center"/>
    </xf>
    <xf numFmtId="0" fontId="31" fillId="0" borderId="29" xfId="19" applyFont="1" applyBorder="1" applyAlignment="1">
      <alignment horizontal="center" vertical="center"/>
    </xf>
    <xf numFmtId="0" fontId="38" fillId="0" borderId="28" xfId="19" applyFont="1" applyBorder="1" applyAlignment="1">
      <alignment horizontal="center" vertical="center"/>
    </xf>
    <xf numFmtId="0" fontId="36" fillId="0" borderId="4" xfId="19" applyFont="1" applyBorder="1" applyAlignment="1">
      <alignment horizontal="center" vertical="center"/>
    </xf>
    <xf numFmtId="0" fontId="36" fillId="0" borderId="5" xfId="19" applyFont="1" applyBorder="1" applyAlignment="1">
      <alignment horizontal="center" vertical="center"/>
    </xf>
    <xf numFmtId="0" fontId="38" fillId="0" borderId="3" xfId="19" applyFont="1" applyBorder="1" applyAlignment="1">
      <alignment horizontal="center" vertical="center"/>
    </xf>
    <xf numFmtId="0" fontId="36" fillId="0" borderId="29" xfId="19" applyFont="1" applyBorder="1" applyAlignment="1">
      <alignment horizontal="center" vertical="center"/>
    </xf>
    <xf numFmtId="0" fontId="31" fillId="0" borderId="28" xfId="19" applyFont="1" applyBorder="1" applyAlignment="1">
      <alignment horizontal="left" vertical="center" indent="1"/>
    </xf>
    <xf numFmtId="0" fontId="31" fillId="0" borderId="4" xfId="19" applyFont="1" applyBorder="1" applyAlignment="1">
      <alignment horizontal="left" vertical="center" indent="1"/>
    </xf>
    <xf numFmtId="0" fontId="31" fillId="0" borderId="29" xfId="19" applyFont="1" applyBorder="1" applyAlignment="1">
      <alignment horizontal="left" vertical="center" indent="1"/>
    </xf>
    <xf numFmtId="0" fontId="31" fillId="0" borderId="3" xfId="19" applyFont="1" applyBorder="1" applyAlignment="1">
      <alignment horizontal="center" vertical="center"/>
    </xf>
    <xf numFmtId="0" fontId="31" fillId="0" borderId="31" xfId="19" applyFont="1" applyBorder="1" applyAlignment="1">
      <alignment horizontal="center" vertical="center"/>
    </xf>
    <xf numFmtId="0" fontId="31" fillId="0" borderId="32" xfId="19" applyFont="1" applyBorder="1" applyAlignment="1">
      <alignment horizontal="center" vertical="center"/>
    </xf>
    <xf numFmtId="0" fontId="31" fillId="0" borderId="33" xfId="19" applyFont="1" applyBorder="1" applyAlignment="1">
      <alignment horizontal="center" vertical="center"/>
    </xf>
    <xf numFmtId="0" fontId="31" fillId="0" borderId="31" xfId="19" applyFont="1" applyBorder="1" applyAlignment="1">
      <alignment horizontal="left" vertical="center" indent="1"/>
    </xf>
    <xf numFmtId="0" fontId="31" fillId="0" borderId="32" xfId="19" applyFont="1" applyBorder="1" applyAlignment="1">
      <alignment horizontal="left" vertical="center" indent="1"/>
    </xf>
    <xf numFmtId="0" fontId="31" fillId="0" borderId="33" xfId="19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  <xf numFmtId="183" fontId="22" fillId="11" borderId="13" xfId="11" applyNumberFormat="1" applyFont="1" applyFill="1" applyBorder="1" applyAlignment="1">
      <alignment vertical="center"/>
    </xf>
    <xf numFmtId="183" fontId="24" fillId="11" borderId="14" xfId="11" applyNumberFormat="1" applyFont="1" applyFill="1" applyBorder="1" applyAlignment="1">
      <alignment vertical="center"/>
    </xf>
    <xf numFmtId="0" fontId="20" fillId="0" borderId="10" xfId="13" applyFont="1" applyBorder="1" applyAlignment="1">
      <alignment horizontal="center" vertical="center"/>
    </xf>
    <xf numFmtId="0" fontId="22" fillId="0" borderId="11" xfId="13" quotePrefix="1" applyFont="1" applyBorder="1" applyAlignment="1">
      <alignment horizontal="center" vertical="center"/>
    </xf>
    <xf numFmtId="0" fontId="24" fillId="0" borderId="11" xfId="13" quotePrefix="1" applyFont="1" applyBorder="1" applyAlignment="1">
      <alignment horizontal="center" vertical="center"/>
    </xf>
    <xf numFmtId="0" fontId="24" fillId="0" borderId="12" xfId="13" quotePrefix="1" applyFont="1" applyBorder="1" applyAlignment="1">
      <alignment horizontal="center" vertical="center"/>
    </xf>
    <xf numFmtId="0" fontId="24" fillId="0" borderId="15" xfId="13" quotePrefix="1" applyFont="1" applyBorder="1" applyAlignment="1">
      <alignment horizontal="center" vertical="center"/>
    </xf>
    <xf numFmtId="0" fontId="24" fillId="0" borderId="11" xfId="13" applyFont="1" applyBorder="1" applyAlignment="1">
      <alignment horizontal="center" vertical="center"/>
    </xf>
    <xf numFmtId="0" fontId="24" fillId="0" borderId="13" xfId="13" quotePrefix="1" applyFont="1" applyBorder="1" applyAlignment="1">
      <alignment horizontal="center" vertical="center"/>
    </xf>
    <xf numFmtId="0" fontId="24" fillId="0" borderId="14" xfId="13" quotePrefix="1" applyFont="1" applyBorder="1" applyAlignment="1">
      <alignment horizontal="center" vertical="center"/>
    </xf>
    <xf numFmtId="0" fontId="24" fillId="0" borderId="12" xfId="13" applyFont="1" applyBorder="1" applyAlignment="1">
      <alignment horizontal="center" vertical="center"/>
    </xf>
    <xf numFmtId="0" fontId="24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2" xfId="11" applyNumberFormat="1" applyFont="1" applyBorder="1" applyAlignment="1">
      <alignment vertical="center"/>
    </xf>
    <xf numFmtId="0" fontId="18" fillId="0" borderId="16" xfId="11" applyNumberFormat="1" applyFont="1" applyBorder="1" applyAlignment="1">
      <alignment vertical="center"/>
    </xf>
    <xf numFmtId="182" fontId="18" fillId="0" borderId="12" xfId="11" applyNumberFormat="1" applyFont="1" applyBorder="1" applyAlignment="1">
      <alignment horizontal="center" vertical="center" wrapText="1"/>
    </xf>
    <xf numFmtId="182" fontId="18" fillId="0" borderId="16" xfId="11" applyNumberFormat="1" applyFont="1" applyBorder="1" applyAlignment="1">
      <alignment horizontal="center" vertical="center" wrapText="1"/>
    </xf>
    <xf numFmtId="0" fontId="18" fillId="10" borderId="16" xfId="11" applyNumberFormat="1" applyFont="1" applyFill="1" applyBorder="1" applyAlignment="1">
      <alignment vertical="center"/>
    </xf>
    <xf numFmtId="0" fontId="18" fillId="0" borderId="11" xfId="11" applyNumberFormat="1" applyFont="1" applyFill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7" fillId="5" borderId="15" xfId="11" applyNumberFormat="1" applyFont="1" applyFill="1" applyBorder="1" applyAlignment="1">
      <alignment horizontal="center" vertical="center" wrapText="1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" xfId="18" xr:uid="{F8280F3B-7954-464D-9E6B-7FCA19CF6409}"/>
    <cellStyle name="쉼표 [0] 2 2 29" xfId="11" xr:uid="{00000000-0005-0000-0000-000005000000}"/>
    <cellStyle name="쉼표 [0] 2 2 29 2" xfId="24" xr:uid="{29411D6C-8F96-45D3-8D01-9F9C6901E5A2}"/>
    <cellStyle name="쉼표 [0] 2 84" xfId="26" xr:uid="{9BAB48BB-EC4C-4BEB-9C6C-A3B630AABF58}"/>
    <cellStyle name="쉼표 [0] 3" xfId="14" xr:uid="{8F7BE219-40E1-4BBB-A9BD-02188B74B2A3}"/>
    <cellStyle name="쉼표 [0] 4" xfId="23" xr:uid="{6A83BB56-D729-4F9B-9F9B-2DEAD1AFEE1E}"/>
    <cellStyle name="쉼표 [0] 5" xfId="25" xr:uid="{54028A0A-8455-4CEF-BB3A-FDE91E52A79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0" xr:uid="{915CFE17-13CC-491E-B0CD-FF40B8F90B5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8C4324F0-A28B-46DA-A9A2-7B35333895DA}"/>
    <cellStyle name="표준_p1공장 외벽청소(08.03.17)" xfId="21" xr:uid="{4CFC4E37-F962-4CAA-8828-E672B99E9AE0}"/>
    <cellStyle name="표준_P456 공장 및 복지동 전면 유리창 청소건 라상혁님_1129(최종)" xfId="22" xr:uid="{63FBC3B8-2E8F-44F2-A8C8-BE9CB74CB560}"/>
    <cellStyle name="표준_S&amp;D_MAIN VALVE_최빈_2" xfId="19" xr:uid="{37BA5029-0272-448D-924B-44EF5BDE4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5C38CF-4C12-4C0D-B18C-91069552A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0</xdr:rowOff>
    </xdr:from>
    <xdr:to>
      <xdr:col>6</xdr:col>
      <xdr:colOff>485775</xdr:colOff>
      <xdr:row>33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5C452E-04BF-495A-A3CD-7CC8D550BB10}"/>
            </a:ext>
          </a:extLst>
        </xdr:cNvPr>
        <xdr:cNvSpPr/>
      </xdr:nvSpPr>
      <xdr:spPr>
        <a:xfrm>
          <a:off x="28575" y="419100"/>
          <a:ext cx="5038725" cy="65151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7-107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하부장 씽크볼측 문짝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(1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)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466725</xdr:colOff>
      <xdr:row>4</xdr:row>
      <xdr:rowOff>152400</xdr:rowOff>
    </xdr:from>
    <xdr:to>
      <xdr:col>5</xdr:col>
      <xdr:colOff>550343</xdr:colOff>
      <xdr:row>31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7D181F-8696-4FF7-BAC4-C53353F1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90600"/>
          <a:ext cx="3979343" cy="5543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1648-8F6F-4459-B2D3-FF6C7A6C021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 x14ac:dyDescent="0.3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9.75" customHeight="1" x14ac:dyDescent="0.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 x14ac:dyDescent="0.3">
      <c r="A3" s="263" t="s">
        <v>126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ht="16.5" customHeight="1" x14ac:dyDescent="0.3">
      <c r="A4" s="113" t="s">
        <v>127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 x14ac:dyDescent="0.3">
      <c r="A5" s="118"/>
      <c r="B5" s="174" t="s">
        <v>191</v>
      </c>
      <c r="C5" s="174"/>
      <c r="D5" s="174"/>
      <c r="E5" s="174"/>
      <c r="F5" s="174"/>
      <c r="G5" s="175"/>
      <c r="H5" s="175"/>
      <c r="I5" s="119"/>
      <c r="J5" s="119"/>
      <c r="K5" s="119"/>
      <c r="L5" s="119"/>
      <c r="M5" s="120"/>
      <c r="N5" s="120"/>
      <c r="O5" s="121"/>
    </row>
    <row r="6" spans="1:15" ht="12" customHeight="1" thickBot="1" x14ac:dyDescent="0.35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 x14ac:dyDescent="0.3">
      <c r="A7" s="266" t="s">
        <v>128</v>
      </c>
      <c r="B7" s="267"/>
      <c r="C7" s="268"/>
      <c r="D7" s="176">
        <v>2025</v>
      </c>
      <c r="E7" s="126" t="s">
        <v>129</v>
      </c>
      <c r="F7" s="177">
        <v>7</v>
      </c>
      <c r="G7" s="126" t="s">
        <v>130</v>
      </c>
      <c r="H7" s="177">
        <v>9</v>
      </c>
      <c r="I7" s="126" t="s">
        <v>131</v>
      </c>
      <c r="J7" s="127"/>
      <c r="K7" s="269" t="s">
        <v>132</v>
      </c>
      <c r="L7" s="128" t="s">
        <v>133</v>
      </c>
      <c r="M7" s="128" t="s">
        <v>134</v>
      </c>
      <c r="N7" s="128" t="s">
        <v>135</v>
      </c>
      <c r="O7" s="129" t="s">
        <v>136</v>
      </c>
    </row>
    <row r="8" spans="1:15" ht="23.25" customHeight="1" x14ac:dyDescent="0.3">
      <c r="A8" s="272" t="s">
        <v>137</v>
      </c>
      <c r="B8" s="273"/>
      <c r="C8" s="274"/>
      <c r="D8" s="275" t="s">
        <v>138</v>
      </c>
      <c r="E8" s="276"/>
      <c r="F8" s="276"/>
      <c r="G8" s="277"/>
      <c r="H8" s="278" t="s">
        <v>139</v>
      </c>
      <c r="I8" s="276"/>
      <c r="J8" s="279"/>
      <c r="K8" s="270"/>
      <c r="L8" s="130" t="s">
        <v>140</v>
      </c>
      <c r="M8" s="130" t="s">
        <v>141</v>
      </c>
      <c r="N8" s="130" t="s">
        <v>142</v>
      </c>
      <c r="O8" s="131" t="s">
        <v>143</v>
      </c>
    </row>
    <row r="9" spans="1:15" ht="23.25" customHeight="1" x14ac:dyDescent="0.3">
      <c r="A9" s="272" t="s">
        <v>144</v>
      </c>
      <c r="B9" s="273"/>
      <c r="C9" s="274"/>
      <c r="D9" s="280" t="s">
        <v>145</v>
      </c>
      <c r="E9" s="281"/>
      <c r="F9" s="281"/>
      <c r="G9" s="281"/>
      <c r="H9" s="281"/>
      <c r="I9" s="281"/>
      <c r="J9" s="282"/>
      <c r="K9" s="270"/>
      <c r="L9" s="130" t="s">
        <v>146</v>
      </c>
      <c r="M9" s="283" t="s">
        <v>147</v>
      </c>
      <c r="N9" s="273"/>
      <c r="O9" s="274"/>
    </row>
    <row r="10" spans="1:15" ht="23.25" customHeight="1" thickBot="1" x14ac:dyDescent="0.35">
      <c r="A10" s="284" t="s">
        <v>148</v>
      </c>
      <c r="B10" s="285"/>
      <c r="C10" s="286"/>
      <c r="D10" s="287" t="s">
        <v>149</v>
      </c>
      <c r="E10" s="288"/>
      <c r="F10" s="288"/>
      <c r="G10" s="288"/>
      <c r="H10" s="288"/>
      <c r="I10" s="288"/>
      <c r="J10" s="289"/>
      <c r="K10" s="271"/>
      <c r="L10" s="132" t="s">
        <v>150</v>
      </c>
      <c r="M10" s="132" t="s">
        <v>151</v>
      </c>
      <c r="N10" s="132" t="s">
        <v>152</v>
      </c>
      <c r="O10" s="133" t="s">
        <v>153</v>
      </c>
    </row>
    <row r="11" spans="1:15" ht="21.75" customHeight="1" x14ac:dyDescent="0.3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 x14ac:dyDescent="0.3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 x14ac:dyDescent="0.3">
      <c r="A13" s="140"/>
      <c r="B13" s="259" t="s">
        <v>190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41" t="s">
        <v>154</v>
      </c>
      <c r="O13" s="139"/>
    </row>
    <row r="14" spans="1:15" ht="9" customHeight="1" x14ac:dyDescent="0.3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 x14ac:dyDescent="0.3">
      <c r="A15" s="140"/>
      <c r="B15" s="242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5" ht="15" thickBot="1" x14ac:dyDescent="0.35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44"/>
      <c r="L16" s="244"/>
      <c r="M16" s="244"/>
      <c r="N16" s="244"/>
      <c r="O16" s="245"/>
    </row>
    <row r="17" spans="1:17" ht="27.75" customHeight="1" thickBot="1" x14ac:dyDescent="0.35">
      <c r="A17" s="142" t="s">
        <v>155</v>
      </c>
      <c r="B17" s="252" t="s">
        <v>156</v>
      </c>
      <c r="C17" s="253"/>
      <c r="D17" s="253"/>
      <c r="E17" s="253"/>
      <c r="F17" s="253"/>
      <c r="G17" s="254"/>
      <c r="H17" s="143" t="s">
        <v>157</v>
      </c>
      <c r="I17" s="144" t="s">
        <v>158</v>
      </c>
      <c r="J17" s="255" t="s">
        <v>159</v>
      </c>
      <c r="K17" s="256"/>
      <c r="L17" s="256"/>
      <c r="M17" s="257"/>
      <c r="N17" s="252" t="s">
        <v>160</v>
      </c>
      <c r="O17" s="258"/>
    </row>
    <row r="18" spans="1:17" ht="28.5" customHeight="1" x14ac:dyDescent="0.3">
      <c r="A18" s="145">
        <v>1</v>
      </c>
      <c r="B18" s="246" t="s">
        <v>49</v>
      </c>
      <c r="C18" s="247"/>
      <c r="D18" s="247"/>
      <c r="E18" s="247"/>
      <c r="F18" s="247"/>
      <c r="G18" s="248"/>
      <c r="H18" s="178">
        <v>1</v>
      </c>
      <c r="I18" s="179" t="s">
        <v>6</v>
      </c>
      <c r="J18" s="249">
        <f>IFERROR(LOOKUP(2, 1/(TRIM('내역서(표준단가)'!O4:O100)&lt;&gt;""), '내역서(표준단가)'!O4:O100), "-")</f>
        <v>588767.76850000001</v>
      </c>
      <c r="K18" s="249"/>
      <c r="L18" s="249"/>
      <c r="M18" s="249"/>
      <c r="N18" s="250"/>
      <c r="O18" s="251"/>
    </row>
    <row r="19" spans="1:17" ht="28.5" customHeight="1" x14ac:dyDescent="0.3">
      <c r="A19" s="146">
        <v>2</v>
      </c>
      <c r="B19" s="226" t="s">
        <v>50</v>
      </c>
      <c r="C19" s="227"/>
      <c r="D19" s="227"/>
      <c r="E19" s="227"/>
      <c r="F19" s="227"/>
      <c r="G19" s="228"/>
      <c r="H19" s="180">
        <v>1</v>
      </c>
      <c r="I19" s="180" t="s">
        <v>6</v>
      </c>
      <c r="J19" s="229">
        <f>IFERROR(LOOKUP(2, 1/(TRIM('내역서(표준단가)'!Q4:Q100)&lt;&gt;""), '내역서(표준단가)'!Q4:Q100), "-")</f>
        <v>2242800.8584199999</v>
      </c>
      <c r="K19" s="230"/>
      <c r="L19" s="230"/>
      <c r="M19" s="231"/>
      <c r="N19" s="232"/>
      <c r="O19" s="233"/>
    </row>
    <row r="20" spans="1:17" ht="28.5" customHeight="1" x14ac:dyDescent="0.3">
      <c r="A20" s="146">
        <v>3</v>
      </c>
      <c r="B20" s="234" t="s">
        <v>161</v>
      </c>
      <c r="C20" s="235"/>
      <c r="D20" s="235"/>
      <c r="E20" s="235"/>
      <c r="F20" s="235"/>
      <c r="G20" s="236"/>
      <c r="H20" s="147">
        <v>1</v>
      </c>
      <c r="I20" s="147" t="s">
        <v>6</v>
      </c>
      <c r="J20" s="237">
        <f>IFERROR(SUM(J21:M29),"-")</f>
        <v>381287.30669770809</v>
      </c>
      <c r="K20" s="238"/>
      <c r="L20" s="238"/>
      <c r="M20" s="239"/>
      <c r="N20" s="240"/>
      <c r="O20" s="241"/>
      <c r="P20" s="148"/>
    </row>
    <row r="21" spans="1:17" ht="28.5" customHeight="1" x14ac:dyDescent="0.3">
      <c r="A21" s="145"/>
      <c r="B21" s="149"/>
      <c r="C21" s="218" t="s">
        <v>162</v>
      </c>
      <c r="D21" s="219"/>
      <c r="E21" s="219"/>
      <c r="F21" s="219"/>
      <c r="G21" s="220"/>
      <c r="H21" s="181">
        <v>1</v>
      </c>
      <c r="I21" s="181" t="s">
        <v>6</v>
      </c>
      <c r="J21" s="22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2"/>
      <c r="L21" s="222"/>
      <c r="M21" s="223"/>
      <c r="N21" s="224" t="s">
        <v>163</v>
      </c>
      <c r="O21" s="225"/>
    </row>
    <row r="22" spans="1:17" ht="28.5" customHeight="1" x14ac:dyDescent="0.3">
      <c r="A22" s="145"/>
      <c r="B22" s="149"/>
      <c r="C22" s="212" t="s">
        <v>164</v>
      </c>
      <c r="D22" s="213"/>
      <c r="E22" s="213"/>
      <c r="F22" s="213"/>
      <c r="G22" s="214"/>
      <c r="H22" s="150">
        <v>3.11</v>
      </c>
      <c r="I22" s="150" t="s">
        <v>165</v>
      </c>
      <c r="J22" s="215">
        <f>IFERROR((J18+J19)*H22%,"-")</f>
        <v>88061.784297211983</v>
      </c>
      <c r="K22" s="216"/>
      <c r="L22" s="216"/>
      <c r="M22" s="217"/>
      <c r="N22" s="208" t="s">
        <v>166</v>
      </c>
      <c r="O22" s="209"/>
    </row>
    <row r="23" spans="1:17" ht="28.5" customHeight="1" x14ac:dyDescent="0.3">
      <c r="A23" s="145"/>
      <c r="B23" s="149"/>
      <c r="C23" s="212" t="s">
        <v>167</v>
      </c>
      <c r="D23" s="213"/>
      <c r="E23" s="213"/>
      <c r="F23" s="213"/>
      <c r="G23" s="214"/>
      <c r="H23" s="150">
        <v>3.56</v>
      </c>
      <c r="I23" s="150" t="s">
        <v>168</v>
      </c>
      <c r="J23" s="215">
        <f>IFERROR(J19*H23%,"-")</f>
        <v>79843.710559751999</v>
      </c>
      <c r="K23" s="216"/>
      <c r="L23" s="216"/>
      <c r="M23" s="217"/>
      <c r="N23" s="208" t="s">
        <v>169</v>
      </c>
      <c r="O23" s="209"/>
    </row>
    <row r="24" spans="1:17" ht="28.5" customHeight="1" x14ac:dyDescent="0.3">
      <c r="A24" s="145"/>
      <c r="B24" s="149"/>
      <c r="C24" s="212" t="s">
        <v>170</v>
      </c>
      <c r="D24" s="213"/>
      <c r="E24" s="213"/>
      <c r="F24" s="213"/>
      <c r="G24" s="214"/>
      <c r="H24" s="150">
        <v>1.01</v>
      </c>
      <c r="I24" s="150" t="s">
        <v>168</v>
      </c>
      <c r="J24" s="215">
        <f>IFERROR(J19*H24%,"-")</f>
        <v>22652.288670041999</v>
      </c>
      <c r="K24" s="216"/>
      <c r="L24" s="216"/>
      <c r="M24" s="217"/>
      <c r="N24" s="208" t="s">
        <v>171</v>
      </c>
      <c r="O24" s="209"/>
    </row>
    <row r="25" spans="1:17" ht="28.5" customHeight="1" x14ac:dyDescent="0.3">
      <c r="A25" s="145"/>
      <c r="B25" s="149"/>
      <c r="C25" s="212" t="s">
        <v>172</v>
      </c>
      <c r="D25" s="213"/>
      <c r="E25" s="213"/>
      <c r="F25" s="213"/>
      <c r="G25" s="214"/>
      <c r="H25" s="151">
        <v>3.5449999999999999</v>
      </c>
      <c r="I25" s="150" t="s">
        <v>168</v>
      </c>
      <c r="J25" s="215">
        <f>IFERROR(J19*H25%,"-")</f>
        <v>79507.290430989</v>
      </c>
      <c r="K25" s="216"/>
      <c r="L25" s="216"/>
      <c r="M25" s="217"/>
      <c r="N25" s="208" t="s">
        <v>173</v>
      </c>
      <c r="O25" s="209"/>
      <c r="Q25" s="148"/>
    </row>
    <row r="26" spans="1:17" ht="28.5" customHeight="1" x14ac:dyDescent="0.3">
      <c r="A26" s="145"/>
      <c r="B26" s="149"/>
      <c r="C26" s="212" t="s">
        <v>174</v>
      </c>
      <c r="D26" s="213"/>
      <c r="E26" s="213"/>
      <c r="F26" s="213"/>
      <c r="G26" s="214"/>
      <c r="H26" s="150">
        <v>4.5</v>
      </c>
      <c r="I26" s="150" t="s">
        <v>168</v>
      </c>
      <c r="J26" s="215">
        <f>IFERROR(J19*H26%,"-")</f>
        <v>100926.03862889999</v>
      </c>
      <c r="K26" s="216"/>
      <c r="L26" s="216"/>
      <c r="M26" s="217"/>
      <c r="N26" s="208" t="s">
        <v>175</v>
      </c>
      <c r="O26" s="209"/>
      <c r="Q26" s="152"/>
    </row>
    <row r="27" spans="1:17" ht="28.5" customHeight="1" x14ac:dyDescent="0.3">
      <c r="A27" s="145"/>
      <c r="B27" s="149"/>
      <c r="C27" s="202" t="s">
        <v>176</v>
      </c>
      <c r="D27" s="203"/>
      <c r="E27" s="203"/>
      <c r="F27" s="203"/>
      <c r="G27" s="204"/>
      <c r="H27" s="153">
        <v>12.95</v>
      </c>
      <c r="I27" s="154" t="s">
        <v>168</v>
      </c>
      <c r="J27" s="205">
        <f>IFERROR($H$27*J25%,"-")</f>
        <v>10296.194110813074</v>
      </c>
      <c r="K27" s="206"/>
      <c r="L27" s="206"/>
      <c r="M27" s="207"/>
      <c r="N27" s="208" t="s">
        <v>177</v>
      </c>
      <c r="O27" s="209"/>
    </row>
    <row r="28" spans="1:17" ht="28.5" customHeight="1" x14ac:dyDescent="0.3">
      <c r="A28" s="145"/>
      <c r="B28" s="149"/>
      <c r="C28" s="202" t="s">
        <v>178</v>
      </c>
      <c r="D28" s="203"/>
      <c r="E28" s="203"/>
      <c r="F28" s="203"/>
      <c r="G28" s="204"/>
      <c r="H28" s="153">
        <v>8.1000000000000003E-2</v>
      </c>
      <c r="I28" s="154" t="s">
        <v>168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179</v>
      </c>
      <c r="O28" s="211"/>
    </row>
    <row r="29" spans="1:17" ht="28.5" customHeight="1" x14ac:dyDescent="0.3">
      <c r="A29" s="155"/>
      <c r="B29" s="156"/>
      <c r="C29" s="182" t="s">
        <v>180</v>
      </c>
      <c r="D29" s="183"/>
      <c r="E29" s="183"/>
      <c r="F29" s="183"/>
      <c r="G29" s="184"/>
      <c r="H29" s="157">
        <v>1</v>
      </c>
      <c r="I29" s="158" t="s">
        <v>181</v>
      </c>
      <c r="J29" s="185">
        <f>34*0</f>
        <v>0</v>
      </c>
      <c r="K29" s="186"/>
      <c r="L29" s="186"/>
      <c r="M29" s="187"/>
      <c r="N29" s="188" t="s">
        <v>182</v>
      </c>
      <c r="O29" s="189"/>
    </row>
    <row r="30" spans="1:17" ht="28.5" customHeight="1" x14ac:dyDescent="0.3">
      <c r="A30" s="155">
        <v>4</v>
      </c>
      <c r="B30" s="156"/>
      <c r="C30" s="182" t="s">
        <v>183</v>
      </c>
      <c r="D30" s="183"/>
      <c r="E30" s="183"/>
      <c r="F30" s="183"/>
      <c r="G30" s="184"/>
      <c r="H30" s="158">
        <v>5</v>
      </c>
      <c r="I30" s="159" t="s">
        <v>184</v>
      </c>
      <c r="J30" s="195">
        <f>IFERROR(IF(ISNUMBER(H30), SUM(J18:M20) * (H30 / 100), "-"), "-")</f>
        <v>160642.7966808854</v>
      </c>
      <c r="K30" s="196"/>
      <c r="L30" s="196"/>
      <c r="M30" s="197"/>
      <c r="N30" s="198" t="s">
        <v>185</v>
      </c>
      <c r="O30" s="199"/>
    </row>
    <row r="31" spans="1:17" ht="28.5" customHeight="1" thickBot="1" x14ac:dyDescent="0.35">
      <c r="A31" s="155">
        <v>5</v>
      </c>
      <c r="B31" s="156"/>
      <c r="C31" s="182" t="s">
        <v>186</v>
      </c>
      <c r="D31" s="183"/>
      <c r="E31" s="183"/>
      <c r="F31" s="183"/>
      <c r="G31" s="184"/>
      <c r="H31" s="158">
        <v>7.5</v>
      </c>
      <c r="I31" s="159" t="s">
        <v>168</v>
      </c>
      <c r="J31" s="185">
        <f>IFERROR(SUM(J18:M20, J30) * (H31 / 100), "-")+-31711</f>
        <v>221301.40477239448</v>
      </c>
      <c r="K31" s="186"/>
      <c r="L31" s="186"/>
      <c r="M31" s="187"/>
      <c r="N31" s="200" t="s">
        <v>187</v>
      </c>
      <c r="O31" s="201"/>
      <c r="Q31" s="160"/>
    </row>
    <row r="32" spans="1:17" ht="28.5" customHeight="1" thickBot="1" x14ac:dyDescent="0.35">
      <c r="A32" s="190" t="s">
        <v>188</v>
      </c>
      <c r="B32" s="191"/>
      <c r="C32" s="191"/>
      <c r="D32" s="191"/>
      <c r="E32" s="191"/>
      <c r="F32" s="191"/>
      <c r="G32" s="191"/>
      <c r="H32" s="191"/>
      <c r="I32" s="192"/>
      <c r="J32" s="161"/>
      <c r="K32" s="162"/>
      <c r="L32" s="162"/>
      <c r="M32" s="163">
        <f>IFERROR(ROUNDDOWN(SUM(J18:M20)+J30+J31,0),"-")</f>
        <v>3594800</v>
      </c>
      <c r="N32" s="193"/>
      <c r="O32" s="194"/>
      <c r="P32" s="164"/>
    </row>
    <row r="33" spans="1:15" x14ac:dyDescent="0.3">
      <c r="A33" s="165" t="s">
        <v>189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 x14ac:dyDescent="0.3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 x14ac:dyDescent="0.3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 x14ac:dyDescent="0.3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 x14ac:dyDescent="0.3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 x14ac:dyDescent="0.3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 x14ac:dyDescent="0.3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 x14ac:dyDescent="0.35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 x14ac:dyDescent="0.3">
      <c r="M42" s="160"/>
    </row>
    <row r="43" spans="1:15" x14ac:dyDescent="0.3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topLeftCell="J1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86" bestFit="1" customWidth="1"/>
    <col min="2" max="5" width="4.625" style="86" hidden="1" customWidth="1"/>
    <col min="6" max="6" width="9" style="73" hidden="1" customWidth="1"/>
    <col min="7" max="9" width="12.625" style="73" hidden="1" customWidth="1"/>
    <col min="10" max="11" width="30.625" style="68" customWidth="1"/>
    <col min="12" max="12" width="12.375" style="73" bestFit="1" customWidth="1"/>
    <col min="13" max="13" width="8.25" style="73" customWidth="1"/>
    <col min="14" max="14" width="10.625" style="73" bestFit="1" customWidth="1"/>
    <col min="15" max="15" width="13.25" style="73" bestFit="1" customWidth="1"/>
    <col min="16" max="16" width="12" style="73" bestFit="1" customWidth="1"/>
    <col min="17" max="17" width="15.625" style="73" bestFit="1" customWidth="1"/>
    <col min="18" max="18" width="9" style="73" hidden="1" customWidth="1"/>
    <col min="19" max="19" width="8.75" style="73" hidden="1" customWidth="1"/>
    <col min="20" max="20" width="10.5" style="73" hidden="1" customWidth="1"/>
    <col min="21" max="21" width="8.75" style="73" hidden="1" customWidth="1"/>
    <col min="22" max="22" width="15.625" style="73" bestFit="1" customWidth="1"/>
    <col min="23" max="23" width="10.625" style="2" bestFit="1" customWidth="1"/>
    <col min="24" max="24" width="8.5" style="73" bestFit="1" customWidth="1"/>
    <col min="25" max="16384" width="9" style="73"/>
  </cols>
  <sheetData>
    <row r="1" spans="1:24" ht="19.899999999999999" customHeight="1" x14ac:dyDescent="0.3">
      <c r="A1" s="290"/>
      <c r="B1" s="290"/>
      <c r="C1" s="290"/>
      <c r="D1" s="290"/>
      <c r="E1" s="290"/>
      <c r="F1" s="290"/>
      <c r="G1" s="290"/>
      <c r="H1" s="290"/>
      <c r="I1" s="290"/>
      <c r="N1" s="2"/>
      <c r="O1" s="71" t="s">
        <v>46</v>
      </c>
      <c r="Q1" s="71" t="s">
        <v>46</v>
      </c>
      <c r="S1" s="71" t="s">
        <v>46</v>
      </c>
      <c r="U1" s="71" t="s">
        <v>46</v>
      </c>
    </row>
    <row r="2" spans="1:24" ht="19.899999999999999" customHeight="1" thickBot="1" x14ac:dyDescent="0.35">
      <c r="A2" s="290"/>
      <c r="B2" s="290"/>
      <c r="C2" s="290"/>
      <c r="D2" s="290"/>
      <c r="E2" s="290"/>
      <c r="F2" s="290"/>
      <c r="G2" s="290"/>
      <c r="H2" s="290"/>
      <c r="I2" s="29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4"/>
      <c r="B3" s="75"/>
      <c r="C3" s="75"/>
      <c r="D3" s="75"/>
      <c r="E3" s="75"/>
      <c r="F3" s="75" t="s">
        <v>47</v>
      </c>
      <c r="G3" s="75"/>
      <c r="H3" s="75"/>
      <c r="I3" s="75"/>
      <c r="J3" s="301" t="s">
        <v>48</v>
      </c>
      <c r="K3" s="301"/>
      <c r="L3" s="299" t="s">
        <v>8</v>
      </c>
      <c r="M3" s="299" t="s">
        <v>5</v>
      </c>
      <c r="N3" s="295" t="s">
        <v>49</v>
      </c>
      <c r="O3" s="295"/>
      <c r="P3" s="295" t="s">
        <v>50</v>
      </c>
      <c r="Q3" s="295"/>
      <c r="R3" s="296" t="s">
        <v>51</v>
      </c>
      <c r="S3" s="296"/>
      <c r="T3" s="296" t="s">
        <v>52</v>
      </c>
      <c r="U3" s="296"/>
      <c r="V3" s="297" t="s">
        <v>53</v>
      </c>
      <c r="W3" s="293" t="s">
        <v>54</v>
      </c>
      <c r="X3" s="291" t="s">
        <v>7</v>
      </c>
    </row>
    <row r="4" spans="1:24" ht="19.899999999999999" customHeight="1" x14ac:dyDescent="0.3">
      <c r="A4" s="5" t="s">
        <v>55</v>
      </c>
      <c r="B4" s="72"/>
      <c r="C4" s="72"/>
      <c r="D4" s="72"/>
      <c r="E4" s="72"/>
      <c r="F4" s="6" t="s">
        <v>56</v>
      </c>
      <c r="G4" s="6" t="s">
        <v>57</v>
      </c>
      <c r="H4" s="6" t="s">
        <v>58</v>
      </c>
      <c r="I4" s="6" t="s">
        <v>59</v>
      </c>
      <c r="J4" s="69" t="s">
        <v>60</v>
      </c>
      <c r="K4" s="69" t="s">
        <v>61</v>
      </c>
      <c r="L4" s="300"/>
      <c r="M4" s="300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8"/>
      <c r="W4" s="294"/>
      <c r="X4" s="292"/>
    </row>
    <row r="5" spans="1:24" s="76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7"/>
      <c r="G5" s="10"/>
      <c r="H5" s="10" t="s">
        <v>89</v>
      </c>
      <c r="I5" s="37"/>
      <c r="J5" s="67" t="s">
        <v>90</v>
      </c>
      <c r="K5" s="93" t="s">
        <v>101</v>
      </c>
      <c r="L5" s="53" t="s">
        <v>99</v>
      </c>
      <c r="M5" s="92">
        <v>8.4789999999999992</v>
      </c>
      <c r="N5" s="87">
        <v>20900</v>
      </c>
      <c r="O5" s="62">
        <f t="shared" ref="O5" si="1">SUM(N5:N5)*M5*$O$2</f>
        <v>147971.26849999998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3">
        <f t="shared" ref="V5" si="5">SUM(O5+Q5)+S5+U5</f>
        <v>147971.26849999998</v>
      </c>
      <c r="W5" s="52"/>
      <c r="X5" s="14"/>
    </row>
    <row r="6" spans="1:24" s="76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7"/>
      <c r="G6" s="10" t="s">
        <v>66</v>
      </c>
      <c r="H6" s="10"/>
      <c r="I6" s="37"/>
      <c r="J6" s="67" t="s">
        <v>68</v>
      </c>
      <c r="K6" s="93" t="s">
        <v>102</v>
      </c>
      <c r="L6" s="11" t="s">
        <v>67</v>
      </c>
      <c r="M6" s="92">
        <v>1.978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804469.33387999993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3">
        <f t="shared" ref="V6" si="11">SUM(O6+Q6)+S6+U6</f>
        <v>804469.33387999993</v>
      </c>
      <c r="W6" s="52"/>
      <c r="X6" s="14"/>
    </row>
    <row r="7" spans="1:24" s="76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7"/>
      <c r="G7" s="10" t="s">
        <v>66</v>
      </c>
      <c r="H7" s="10"/>
      <c r="I7" s="37"/>
      <c r="J7" s="67" t="s">
        <v>69</v>
      </c>
      <c r="K7" s="93" t="s">
        <v>103</v>
      </c>
      <c r="L7" s="11" t="s">
        <v>67</v>
      </c>
      <c r="M7" s="92">
        <v>1.4</v>
      </c>
      <c r="N7" s="64"/>
      <c r="O7" s="62">
        <f t="shared" ref="O7:O13" si="13">SUM(N7:N7)*M7*$O$2</f>
        <v>0</v>
      </c>
      <c r="P7" s="61">
        <v>487076</v>
      </c>
      <c r="Q7" s="62">
        <f t="shared" ref="Q7:Q12" si="14">(P7*M7)*$Q$2</f>
        <v>569391.84399999992</v>
      </c>
      <c r="R7" s="63"/>
      <c r="S7" s="62">
        <f t="shared" ref="S7:S12" si="15">R7*M7*$S$2</f>
        <v>0</v>
      </c>
      <c r="T7" s="63"/>
      <c r="U7" s="62">
        <f t="shared" ref="U7:U12" si="16">T7*M7*$U$2</f>
        <v>0</v>
      </c>
      <c r="V7" s="13">
        <f t="shared" ref="V7:V12" si="17">SUM(O7+Q7)+S7+U7</f>
        <v>569391.84399999992</v>
      </c>
      <c r="W7" s="52"/>
      <c r="X7" s="14"/>
    </row>
    <row r="8" spans="1:24" s="76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7"/>
      <c r="G8" s="10"/>
      <c r="H8" s="10" t="s">
        <v>92</v>
      </c>
      <c r="I8" s="37"/>
      <c r="J8" s="67" t="s">
        <v>93</v>
      </c>
      <c r="K8" s="67" t="s">
        <v>94</v>
      </c>
      <c r="L8" s="53" t="s">
        <v>91</v>
      </c>
      <c r="M8" s="66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3">
        <f t="shared" si="17"/>
        <v>429858</v>
      </c>
      <c r="W8" s="52"/>
      <c r="X8" s="14"/>
    </row>
    <row r="9" spans="1:24" s="76" customFormat="1" ht="38.1" customHeight="1" x14ac:dyDescent="0.3">
      <c r="A9" s="9" t="str">
        <f t="shared" ref="A9:A12" si="18">F9&amp;G9&amp;H9&amp;I9</f>
        <v>E00000803071260401</v>
      </c>
      <c r="B9" s="42"/>
      <c r="C9" s="42"/>
      <c r="D9" s="42"/>
      <c r="E9" s="42"/>
      <c r="F9" s="37"/>
      <c r="G9" s="10" t="s">
        <v>70</v>
      </c>
      <c r="H9" s="10"/>
      <c r="I9" s="37"/>
      <c r="J9" s="67" t="s">
        <v>71</v>
      </c>
      <c r="K9" s="67" t="s">
        <v>100</v>
      </c>
      <c r="L9" s="11" t="s">
        <v>67</v>
      </c>
      <c r="M9" s="66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3">
        <f t="shared" si="17"/>
        <v>263953.79054000002</v>
      </c>
      <c r="W9" s="52"/>
      <c r="X9" s="14"/>
    </row>
    <row r="10" spans="1:24" s="76" customFormat="1" ht="38.1" customHeight="1" x14ac:dyDescent="0.3">
      <c r="A10" s="9" t="str">
        <f t="shared" si="18"/>
        <v>M020412614110102</v>
      </c>
      <c r="B10" s="42"/>
      <c r="C10" s="42"/>
      <c r="D10" s="42"/>
      <c r="E10" s="42"/>
      <c r="F10" s="37"/>
      <c r="G10" s="10"/>
      <c r="H10" s="88" t="s">
        <v>87</v>
      </c>
      <c r="I10" s="37"/>
      <c r="J10" s="89" t="s">
        <v>86</v>
      </c>
      <c r="K10" s="89" t="s">
        <v>82</v>
      </c>
      <c r="L10" s="58" t="s">
        <v>81</v>
      </c>
      <c r="M10" s="103">
        <v>0.2</v>
      </c>
      <c r="N10" s="90">
        <v>65500</v>
      </c>
      <c r="O10" s="62">
        <f t="shared" si="13"/>
        <v>10938.5</v>
      </c>
      <c r="P10" s="61"/>
      <c r="Q10" s="62"/>
      <c r="R10" s="63"/>
      <c r="S10" s="62"/>
      <c r="T10" s="63"/>
      <c r="U10" s="62"/>
      <c r="V10" s="13">
        <f t="shared" si="17"/>
        <v>10938.5</v>
      </c>
      <c r="W10" s="52"/>
      <c r="X10" s="14"/>
    </row>
    <row r="11" spans="1:24" s="76" customFormat="1" ht="38.1" customHeight="1" x14ac:dyDescent="0.3">
      <c r="A11" s="9" t="str">
        <f t="shared" si="18"/>
        <v>E00000803061120402</v>
      </c>
      <c r="B11" s="42"/>
      <c r="C11" s="42"/>
      <c r="D11" s="42"/>
      <c r="E11" s="42"/>
      <c r="F11" s="37"/>
      <c r="G11" s="10" t="s">
        <v>72</v>
      </c>
      <c r="H11" s="10"/>
      <c r="I11" s="37"/>
      <c r="J11" s="67" t="s">
        <v>73</v>
      </c>
      <c r="K11" s="67" t="s">
        <v>74</v>
      </c>
      <c r="L11" s="53" t="s">
        <v>79</v>
      </c>
      <c r="M11" s="66">
        <v>20</v>
      </c>
      <c r="N11" s="61"/>
      <c r="O11" s="62">
        <f t="shared" si="13"/>
        <v>0</v>
      </c>
      <c r="P11" s="61">
        <v>10432</v>
      </c>
      <c r="Q11" s="62">
        <f t="shared" si="14"/>
        <v>174214.39999999999</v>
      </c>
      <c r="R11" s="63"/>
      <c r="S11" s="62">
        <f t="shared" si="15"/>
        <v>0</v>
      </c>
      <c r="T11" s="63"/>
      <c r="U11" s="62">
        <f t="shared" si="16"/>
        <v>0</v>
      </c>
      <c r="V11" s="13">
        <f t="shared" si="17"/>
        <v>174214.39999999999</v>
      </c>
      <c r="W11" s="52"/>
      <c r="X11" s="14"/>
    </row>
    <row r="12" spans="1:24" s="76" customFormat="1" ht="38.1" customHeight="1" x14ac:dyDescent="0.3">
      <c r="A12" s="9" t="str">
        <f t="shared" si="18"/>
        <v>E00000803061300201</v>
      </c>
      <c r="B12" s="42"/>
      <c r="C12" s="42"/>
      <c r="D12" s="42"/>
      <c r="E12" s="42"/>
      <c r="F12" s="37"/>
      <c r="G12" s="10" t="s">
        <v>76</v>
      </c>
      <c r="H12" s="10"/>
      <c r="I12" s="37"/>
      <c r="J12" s="67" t="s">
        <v>77</v>
      </c>
      <c r="K12" s="67" t="s">
        <v>78</v>
      </c>
      <c r="L12" s="53" t="s">
        <v>75</v>
      </c>
      <c r="M12" s="66">
        <v>20</v>
      </c>
      <c r="N12" s="61"/>
      <c r="O12" s="62">
        <f t="shared" si="13"/>
        <v>0</v>
      </c>
      <c r="P12" s="61">
        <v>6179</v>
      </c>
      <c r="Q12" s="62">
        <f t="shared" si="14"/>
        <v>103189.29999999999</v>
      </c>
      <c r="R12" s="63"/>
      <c r="S12" s="62">
        <f t="shared" si="15"/>
        <v>0</v>
      </c>
      <c r="T12" s="63"/>
      <c r="U12" s="62">
        <f t="shared" si="16"/>
        <v>0</v>
      </c>
      <c r="V12" s="13">
        <f t="shared" si="17"/>
        <v>103189.29999999999</v>
      </c>
      <c r="W12" s="52"/>
      <c r="X12" s="14"/>
    </row>
    <row r="13" spans="1:24" s="76" customFormat="1" ht="38.1" customHeight="1" x14ac:dyDescent="0.3">
      <c r="A13" s="9" t="str">
        <f t="shared" ref="A13" si="19">F13&amp;G13&amp;H13&amp;I13</f>
        <v>E00000801011510701</v>
      </c>
      <c r="B13" s="42"/>
      <c r="C13" s="42"/>
      <c r="D13" s="42"/>
      <c r="E13" s="42"/>
      <c r="F13" s="37"/>
      <c r="G13" s="10" t="s">
        <v>98</v>
      </c>
      <c r="H13" s="10"/>
      <c r="I13" s="37"/>
      <c r="J13" s="78" t="s">
        <v>95</v>
      </c>
      <c r="K13" s="78" t="s">
        <v>96</v>
      </c>
      <c r="L13" s="79" t="s">
        <v>97</v>
      </c>
      <c r="M13" s="66">
        <v>79</v>
      </c>
      <c r="N13" s="77"/>
      <c r="O13" s="12">
        <f t="shared" si="13"/>
        <v>0</v>
      </c>
      <c r="P13" s="91">
        <v>4966</v>
      </c>
      <c r="Q13" s="12">
        <f t="shared" ref="Q13" si="20">(P13*M13)*$Q$2</f>
        <v>327582.19</v>
      </c>
      <c r="R13" s="13"/>
      <c r="S13" s="12">
        <f t="shared" ref="S13" si="21">R13*M13*$S$2</f>
        <v>0</v>
      </c>
      <c r="T13" s="13"/>
      <c r="U13" s="12">
        <f t="shared" ref="U13" si="22">T13*M13*$U$2</f>
        <v>0</v>
      </c>
      <c r="V13" s="13">
        <f t="shared" ref="V13" si="23">SUM(O13+Q13)+S13+U13</f>
        <v>327582.19</v>
      </c>
      <c r="W13" s="52"/>
      <c r="X13" s="14"/>
    </row>
    <row r="14" spans="1:24" s="85" customFormat="1" ht="38.1" customHeight="1" x14ac:dyDescent="0.3">
      <c r="A14" s="80"/>
      <c r="B14" s="81"/>
      <c r="C14" s="81"/>
      <c r="D14" s="81"/>
      <c r="E14" s="81"/>
      <c r="F14" s="81"/>
      <c r="G14" s="81"/>
      <c r="H14" s="81"/>
      <c r="I14" s="81"/>
      <c r="J14" s="70"/>
      <c r="K14" s="70"/>
      <c r="L14" s="81"/>
      <c r="M14" s="81"/>
      <c r="N14" s="81"/>
      <c r="O14" s="82">
        <f>SUM(O5:O13)</f>
        <v>588767.76850000001</v>
      </c>
      <c r="P14" s="83"/>
      <c r="Q14" s="82">
        <f>SUM(Q5:Q13)</f>
        <v>2242800.8584199999</v>
      </c>
      <c r="R14" s="83"/>
      <c r="S14" s="82">
        <f>SUM(S5:S13)</f>
        <v>0</v>
      </c>
      <c r="T14" s="83"/>
      <c r="U14" s="82">
        <f>SUM(U5:U13)</f>
        <v>0</v>
      </c>
      <c r="V14" s="84">
        <f>SUM(V5:V13)</f>
        <v>2831568.6269199997</v>
      </c>
      <c r="W14" s="45"/>
      <c r="X14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A25" sqref="A25:A26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4" t="s">
        <v>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 ht="15" customHeight="1" x14ac:dyDescent="0.3">
      <c r="A2" s="305" t="s">
        <v>10</v>
      </c>
      <c r="B2" s="306" t="s">
        <v>11</v>
      </c>
      <c r="C2" s="307" t="s">
        <v>8</v>
      </c>
      <c r="D2" s="307" t="s">
        <v>12</v>
      </c>
      <c r="E2" s="309" t="s">
        <v>13</v>
      </c>
      <c r="F2" s="306"/>
      <c r="G2" s="306" t="s">
        <v>14</v>
      </c>
      <c r="H2" s="306"/>
      <c r="I2" s="310" t="s">
        <v>15</v>
      </c>
      <c r="J2" s="311"/>
      <c r="K2" s="310" t="s">
        <v>16</v>
      </c>
      <c r="L2" s="311"/>
      <c r="M2" s="309" t="s">
        <v>17</v>
      </c>
      <c r="N2" s="306"/>
      <c r="O2" s="312" t="s">
        <v>18</v>
      </c>
    </row>
    <row r="3" spans="1:15" ht="15" customHeight="1" x14ac:dyDescent="0.3">
      <c r="A3" s="305"/>
      <c r="B3" s="306"/>
      <c r="C3" s="308"/>
      <c r="D3" s="308"/>
      <c r="E3" s="57" t="s">
        <v>19</v>
      </c>
      <c r="F3" s="57" t="s">
        <v>20</v>
      </c>
      <c r="G3" s="16" t="s">
        <v>19</v>
      </c>
      <c r="H3" s="57" t="s">
        <v>21</v>
      </c>
      <c r="I3" s="57"/>
      <c r="J3" s="57"/>
      <c r="K3" s="16" t="s">
        <v>19</v>
      </c>
      <c r="L3" s="57" t="s">
        <v>21</v>
      </c>
      <c r="M3" s="16" t="s">
        <v>19</v>
      </c>
      <c r="N3" s="57" t="s">
        <v>21</v>
      </c>
      <c r="O3" s="313"/>
    </row>
    <row r="4" spans="1:15" ht="15" customHeight="1" x14ac:dyDescent="0.3">
      <c r="A4" s="302" t="s">
        <v>125</v>
      </c>
      <c r="B4" s="30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15" t="s">
        <v>22</v>
      </c>
      <c r="B5" s="94" t="s">
        <v>23</v>
      </c>
      <c r="C5" s="95" t="s">
        <v>24</v>
      </c>
      <c r="D5" s="101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17"/>
    </row>
    <row r="6" spans="1:15" ht="15" customHeight="1" x14ac:dyDescent="0.3">
      <c r="A6" s="316"/>
      <c r="B6" s="94" t="s">
        <v>25</v>
      </c>
      <c r="C6" s="95" t="s">
        <v>24</v>
      </c>
      <c r="D6" s="101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18"/>
    </row>
    <row r="7" spans="1:15" ht="15" customHeight="1" x14ac:dyDescent="0.3">
      <c r="A7" s="316"/>
      <c r="B7" s="94" t="s">
        <v>26</v>
      </c>
      <c r="C7" s="95" t="s">
        <v>24</v>
      </c>
      <c r="D7" s="101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18"/>
    </row>
    <row r="8" spans="1:15" ht="15" customHeight="1" x14ac:dyDescent="0.3">
      <c r="A8" s="316"/>
      <c r="B8" s="94" t="s">
        <v>27</v>
      </c>
      <c r="C8" s="95" t="s">
        <v>24</v>
      </c>
      <c r="D8" s="101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18"/>
    </row>
    <row r="9" spans="1:15" ht="15" customHeight="1" x14ac:dyDescent="0.3">
      <c r="A9" s="316"/>
      <c r="B9" s="94" t="s">
        <v>28</v>
      </c>
      <c r="C9" s="95" t="s">
        <v>24</v>
      </c>
      <c r="D9" s="101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18"/>
    </row>
    <row r="10" spans="1:15" ht="15" customHeight="1" x14ac:dyDescent="0.3">
      <c r="A10" s="316"/>
      <c r="B10" s="94" t="s">
        <v>29</v>
      </c>
      <c r="C10" s="95" t="s">
        <v>24</v>
      </c>
      <c r="D10" s="101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18"/>
    </row>
    <row r="11" spans="1:15" ht="15" customHeight="1" x14ac:dyDescent="0.3">
      <c r="A11" s="46" t="s">
        <v>30</v>
      </c>
      <c r="B11" s="47"/>
      <c r="C11" s="48"/>
      <c r="D11" s="25">
        <f>SUM(D5:D10)</f>
        <v>139.6</v>
      </c>
      <c r="E11" s="49"/>
      <c r="F11" s="49">
        <f>SUM(F5:F10)</f>
        <v>147557.20000000001</v>
      </c>
      <c r="G11" s="49"/>
      <c r="H11" s="49">
        <f>SUM(H5:H10)</f>
        <v>1369036.5399999998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1516593.7399999998</v>
      </c>
      <c r="O11" s="49"/>
    </row>
    <row r="12" spans="1:15" ht="15" customHeight="1" x14ac:dyDescent="0.3">
      <c r="A12" s="319" t="s">
        <v>88</v>
      </c>
      <c r="B12" s="18" t="s">
        <v>31</v>
      </c>
      <c r="C12" s="19" t="s">
        <v>24</v>
      </c>
      <c r="D12" s="99">
        <v>20.7</v>
      </c>
      <c r="E12" s="54">
        <v>10855</v>
      </c>
      <c r="F12" s="54">
        <f>D12*E12</f>
        <v>224698.5</v>
      </c>
      <c r="G12" s="20">
        <v>6668.1</v>
      </c>
      <c r="H12" s="54">
        <f>D12*G12</f>
        <v>138029.67000000001</v>
      </c>
      <c r="I12" s="54"/>
      <c r="J12" s="54"/>
      <c r="K12" s="20"/>
      <c r="L12" s="54"/>
      <c r="M12" s="20"/>
      <c r="N12" s="54">
        <f t="shared" ref="N12:N14" si="3">F12+H12+J12+L12</f>
        <v>362728.17000000004</v>
      </c>
      <c r="O12" s="318"/>
    </row>
    <row r="13" spans="1:15" ht="15" customHeight="1" x14ac:dyDescent="0.3">
      <c r="A13" s="319"/>
      <c r="B13" s="18" t="s">
        <v>32</v>
      </c>
      <c r="C13" s="19" t="s">
        <v>24</v>
      </c>
      <c r="D13" s="100">
        <v>11.2</v>
      </c>
      <c r="E13" s="54">
        <v>10855</v>
      </c>
      <c r="F13" s="54">
        <f>D13*E13</f>
        <v>121575.99999999999</v>
      </c>
      <c r="G13" s="20">
        <v>6668.1</v>
      </c>
      <c r="H13" s="54">
        <f>D13*G13</f>
        <v>74682.720000000001</v>
      </c>
      <c r="I13" s="54"/>
      <c r="J13" s="54"/>
      <c r="K13" s="20"/>
      <c r="L13" s="54"/>
      <c r="M13" s="20"/>
      <c r="N13" s="54">
        <f t="shared" si="3"/>
        <v>196258.71999999997</v>
      </c>
      <c r="O13" s="318"/>
    </row>
    <row r="14" spans="1:15" ht="15" customHeight="1" x14ac:dyDescent="0.3">
      <c r="A14" s="319"/>
      <c r="B14" s="18" t="s">
        <v>33</v>
      </c>
      <c r="C14" s="19" t="s">
        <v>24</v>
      </c>
      <c r="D14" s="100">
        <v>7.8</v>
      </c>
      <c r="E14" s="54">
        <v>10855</v>
      </c>
      <c r="F14" s="54">
        <f>D14*E14</f>
        <v>84669</v>
      </c>
      <c r="G14" s="20">
        <v>6668.1</v>
      </c>
      <c r="H14" s="54">
        <f>D14*G14</f>
        <v>52011.18</v>
      </c>
      <c r="I14" s="54"/>
      <c r="J14" s="54"/>
      <c r="K14" s="20"/>
      <c r="L14" s="54"/>
      <c r="M14" s="20"/>
      <c r="N14" s="54">
        <f t="shared" si="3"/>
        <v>136680.18</v>
      </c>
      <c r="O14" s="318"/>
    </row>
    <row r="15" spans="1:15" ht="15" customHeight="1" x14ac:dyDescent="0.3">
      <c r="A15" s="38" t="s">
        <v>30</v>
      </c>
      <c r="B15" s="21"/>
      <c r="C15" s="25"/>
      <c r="D15" s="2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3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6" t="s">
        <v>85</v>
      </c>
      <c r="B17" s="97" t="s">
        <v>82</v>
      </c>
      <c r="C17" s="97" t="s">
        <v>81</v>
      </c>
      <c r="D17" s="102">
        <v>0.2</v>
      </c>
      <c r="E17" s="20">
        <v>54693</v>
      </c>
      <c r="F17" s="54">
        <f>D17*E17</f>
        <v>10938.6</v>
      </c>
      <c r="G17" s="20"/>
      <c r="H17" s="20"/>
      <c r="I17" s="20"/>
      <c r="J17" s="20"/>
      <c r="K17" s="20"/>
      <c r="L17" s="20"/>
      <c r="M17" s="20"/>
      <c r="N17" s="55">
        <f t="shared" ref="N17:N20" si="4">F17+H17+J17+L17</f>
        <v>10938.6</v>
      </c>
      <c r="O17" s="20"/>
    </row>
    <row r="18" spans="1:15" ht="15" customHeight="1" x14ac:dyDescent="0.3">
      <c r="A18" s="320" t="s">
        <v>35</v>
      </c>
      <c r="B18" s="94" t="s">
        <v>36</v>
      </c>
      <c r="C18" s="95" t="s">
        <v>24</v>
      </c>
      <c r="D18" s="98">
        <f>20</f>
        <v>20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20"/>
    </row>
    <row r="19" spans="1:15" ht="20.100000000000001" customHeight="1" x14ac:dyDescent="0.3">
      <c r="A19" s="320"/>
      <c r="B19" s="94" t="s">
        <v>37</v>
      </c>
      <c r="C19" s="95" t="s">
        <v>24</v>
      </c>
      <c r="D19" s="98">
        <f>20</f>
        <v>20</v>
      </c>
      <c r="E19" s="55"/>
      <c r="F19" s="55">
        <f t="shared" ref="F19" si="5">D19*E19</f>
        <v>0</v>
      </c>
      <c r="G19" s="55">
        <v>5159</v>
      </c>
      <c r="H19" s="55">
        <f t="shared" ref="H19:H20" si="6">D19*G19</f>
        <v>103180</v>
      </c>
      <c r="I19" s="55"/>
      <c r="J19" s="55"/>
      <c r="K19" s="55"/>
      <c r="L19" s="55"/>
      <c r="M19" s="55"/>
      <c r="N19" s="55">
        <f t="shared" si="4"/>
        <v>103180</v>
      </c>
      <c r="O19" s="321" t="s">
        <v>104</v>
      </c>
    </row>
    <row r="20" spans="1:15" ht="20.100000000000001" customHeight="1" x14ac:dyDescent="0.3">
      <c r="A20" s="314" t="s">
        <v>38</v>
      </c>
      <c r="B20" s="26" t="s">
        <v>36</v>
      </c>
      <c r="C20" s="27" t="s">
        <v>24</v>
      </c>
      <c r="D20" s="28">
        <v>20</v>
      </c>
      <c r="E20" s="55"/>
      <c r="F20" s="55">
        <f>D20*E20</f>
        <v>0</v>
      </c>
      <c r="G20" s="55">
        <v>8711</v>
      </c>
      <c r="H20" s="55">
        <f t="shared" si="6"/>
        <v>174220</v>
      </c>
      <c r="I20" s="55"/>
      <c r="J20" s="55"/>
      <c r="K20" s="55"/>
      <c r="L20" s="55"/>
      <c r="M20" s="55"/>
      <c r="N20" s="55">
        <f t="shared" si="4"/>
        <v>174220</v>
      </c>
      <c r="O20" s="322"/>
    </row>
    <row r="21" spans="1:15" ht="15" customHeight="1" x14ac:dyDescent="0.3">
      <c r="A21" s="314"/>
      <c r="B21" s="26" t="s">
        <v>37</v>
      </c>
      <c r="C21" s="27" t="s">
        <v>24</v>
      </c>
      <c r="D21" s="28">
        <v>20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0"/>
    </row>
    <row r="22" spans="1:15" ht="15" customHeight="1" x14ac:dyDescent="0.3">
      <c r="A22" s="60" t="s">
        <v>83</v>
      </c>
      <c r="B22" s="59" t="s">
        <v>84</v>
      </c>
      <c r="C22" s="59" t="s">
        <v>81</v>
      </c>
      <c r="D22" s="50">
        <v>0.13</v>
      </c>
      <c r="E22" s="20"/>
      <c r="F22" s="55"/>
      <c r="G22" s="20"/>
      <c r="H22" s="20"/>
      <c r="I22" s="20"/>
      <c r="J22" s="20"/>
      <c r="K22" s="20"/>
      <c r="L22" s="20"/>
      <c r="M22" s="20"/>
      <c r="N22" s="55"/>
      <c r="O22" s="20"/>
    </row>
    <row r="23" spans="1:15" ht="15" customHeight="1" x14ac:dyDescent="0.3">
      <c r="A23" s="314" t="s">
        <v>39</v>
      </c>
      <c r="B23" s="26" t="s">
        <v>40</v>
      </c>
      <c r="C23" s="27" t="s">
        <v>24</v>
      </c>
      <c r="D23" s="28">
        <v>10</v>
      </c>
      <c r="E23" s="20"/>
      <c r="F23" s="20"/>
      <c r="G23" s="20"/>
      <c r="H23" s="20"/>
      <c r="I23" s="20"/>
      <c r="J23" s="20"/>
      <c r="K23" s="20"/>
      <c r="L23" s="54"/>
      <c r="M23" s="20"/>
      <c r="N23" s="54"/>
      <c r="O23" s="20"/>
    </row>
    <row r="24" spans="1:15" ht="15" customHeight="1" x14ac:dyDescent="0.3">
      <c r="A24" s="314"/>
      <c r="B24" s="26" t="s">
        <v>41</v>
      </c>
      <c r="C24" s="27" t="s">
        <v>24</v>
      </c>
      <c r="D24" s="28">
        <v>10</v>
      </c>
      <c r="E24" s="20"/>
      <c r="F24" s="20"/>
      <c r="G24" s="20"/>
      <c r="H24" s="20"/>
      <c r="I24" s="20"/>
      <c r="J24" s="20"/>
      <c r="K24" s="20"/>
      <c r="L24" s="54"/>
      <c r="M24" s="20"/>
      <c r="N24" s="54"/>
      <c r="O24" s="20"/>
    </row>
    <row r="25" spans="1:15" ht="15" customHeight="1" x14ac:dyDescent="0.3">
      <c r="A25" s="314" t="s">
        <v>42</v>
      </c>
      <c r="B25" s="26" t="s">
        <v>40</v>
      </c>
      <c r="C25" s="27" t="s">
        <v>24</v>
      </c>
      <c r="D25" s="28">
        <v>2</v>
      </c>
      <c r="E25" s="20"/>
      <c r="F25" s="20"/>
      <c r="G25" s="20"/>
      <c r="H25" s="20"/>
      <c r="I25" s="20"/>
      <c r="J25" s="20"/>
      <c r="K25" s="20"/>
      <c r="L25" s="54"/>
      <c r="M25" s="20"/>
      <c r="N25" s="54"/>
      <c r="O25" s="20"/>
    </row>
    <row r="26" spans="1:15" ht="15" customHeight="1" x14ac:dyDescent="0.3">
      <c r="A26" s="314"/>
      <c r="B26" s="26" t="s">
        <v>43</v>
      </c>
      <c r="C26" s="27" t="s">
        <v>24</v>
      </c>
      <c r="D26" s="28">
        <v>2</v>
      </c>
      <c r="E26" s="20"/>
      <c r="F26" s="20"/>
      <c r="G26" s="20"/>
      <c r="H26" s="20"/>
      <c r="I26" s="20"/>
      <c r="J26" s="20"/>
      <c r="K26" s="20"/>
      <c r="L26" s="54"/>
      <c r="M26" s="20"/>
      <c r="N26" s="54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4" t="s">
        <v>44</v>
      </c>
      <c r="B28" s="18" t="s">
        <v>45</v>
      </c>
      <c r="C28" s="19" t="s">
        <v>24</v>
      </c>
      <c r="D28" s="56">
        <v>79</v>
      </c>
      <c r="E28" s="54"/>
      <c r="F28" s="54"/>
      <c r="G28" s="20">
        <v>4147</v>
      </c>
      <c r="H28" s="54">
        <f>D28*G28</f>
        <v>327613</v>
      </c>
      <c r="I28" s="54"/>
      <c r="J28" s="54"/>
      <c r="K28" s="54"/>
      <c r="L28" s="54"/>
      <c r="M28" s="54"/>
      <c r="N28" s="54">
        <f>F28+H28+J28+L28</f>
        <v>327613</v>
      </c>
      <c r="O28" s="31"/>
    </row>
    <row r="29" spans="1:15" ht="15" customHeight="1" x14ac:dyDescent="0.3">
      <c r="A29" s="38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 t="e">
        <f>N11+N15+N27+N29+#REF!</f>
        <v>#REF!</v>
      </c>
      <c r="O30" s="34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7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13B8-2523-429F-A8A2-BFAD84D87370}">
  <dimension ref="A1"/>
  <sheetViews>
    <sheetView workbookViewId="0">
      <selection activeCell="N15" sqref="N15"/>
    </sheetView>
  </sheetViews>
  <sheetFormatPr defaultColWidth="9" defaultRowHeight="16.5" x14ac:dyDescent="0.3"/>
  <cols>
    <col min="1" max="4" width="9" style="104"/>
    <col min="5" max="5" width="15.125" style="104" customWidth="1"/>
    <col min="6" max="16384" width="9" style="104"/>
  </cols>
  <sheetData/>
  <phoneticPr fontId="7" type="noConversion"/>
  <pageMargins left="0.7" right="0.7" top="0.75" bottom="0.75" header="0.3" footer="0.3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D80-E9E6-484C-B8C6-ABB659A4716C}">
  <sheetPr>
    <pageSetUpPr fitToPage="1"/>
  </sheetPr>
  <dimension ref="A1:R4"/>
  <sheetViews>
    <sheetView workbookViewId="0">
      <selection activeCell="H15" sqref="H15"/>
    </sheetView>
  </sheetViews>
  <sheetFormatPr defaultColWidth="9" defaultRowHeight="16.5" x14ac:dyDescent="0.3"/>
  <cols>
    <col min="1" max="1" width="11.125" style="104" customWidth="1"/>
    <col min="2" max="2" width="13.375" style="104" customWidth="1"/>
    <col min="3" max="3" width="38.75" style="104" customWidth="1"/>
    <col min="4" max="4" width="28.75" style="104" customWidth="1"/>
    <col min="5" max="5" width="5" style="104" customWidth="1"/>
    <col min="6" max="6" width="6.25" style="104" customWidth="1"/>
    <col min="7" max="7" width="10" style="104" customWidth="1"/>
    <col min="8" max="8" width="11.875" style="104" customWidth="1"/>
    <col min="9" max="9" width="10" style="104" customWidth="1"/>
    <col min="10" max="10" width="11.875" style="104" customWidth="1"/>
    <col min="11" max="11" width="10" style="104" customWidth="1"/>
    <col min="12" max="12" width="11.875" style="104" customWidth="1"/>
    <col min="13" max="13" width="10" style="104" customWidth="1"/>
    <col min="14" max="14" width="11.875" style="104" customWidth="1"/>
    <col min="15" max="15" width="9.125" style="104" customWidth="1"/>
    <col min="16" max="16" width="11.5" style="104" customWidth="1"/>
    <col min="17" max="17" width="11.75" style="104" customWidth="1"/>
    <col min="18" max="18" width="17.875" style="104" customWidth="1"/>
    <col min="19" max="16384" width="9" style="104"/>
  </cols>
  <sheetData>
    <row r="1" spans="1:18" ht="18" customHeight="1" x14ac:dyDescent="0.3">
      <c r="A1" s="39" t="s">
        <v>105</v>
      </c>
      <c r="B1" s="105" t="s">
        <v>106</v>
      </c>
      <c r="C1" s="105" t="s">
        <v>107</v>
      </c>
      <c r="D1" s="105" t="s">
        <v>108</v>
      </c>
      <c r="E1" s="105" t="s">
        <v>8</v>
      </c>
      <c r="F1" s="105" t="s">
        <v>5</v>
      </c>
      <c r="G1" s="105" t="s">
        <v>109</v>
      </c>
      <c r="H1" s="105" t="s">
        <v>110</v>
      </c>
      <c r="I1" s="105" t="s">
        <v>111</v>
      </c>
      <c r="J1" s="105" t="s">
        <v>112</v>
      </c>
      <c r="K1" s="105" t="s">
        <v>113</v>
      </c>
      <c r="L1" s="105" t="s">
        <v>114</v>
      </c>
      <c r="M1" s="105" t="s">
        <v>115</v>
      </c>
      <c r="N1" s="105" t="s">
        <v>116</v>
      </c>
      <c r="O1" s="105" t="s">
        <v>117</v>
      </c>
      <c r="P1" s="105" t="s">
        <v>118</v>
      </c>
      <c r="Q1" s="105" t="s">
        <v>119</v>
      </c>
      <c r="R1" s="105" t="s">
        <v>120</v>
      </c>
    </row>
    <row r="2" spans="1:18" x14ac:dyDescent="0.3">
      <c r="A2" s="2">
        <v>999999</v>
      </c>
      <c r="B2" s="73" t="s">
        <v>121</v>
      </c>
      <c r="C2" s="2" t="s">
        <v>123</v>
      </c>
      <c r="D2" s="2" t="s">
        <v>122</v>
      </c>
      <c r="E2" s="2" t="s">
        <v>124</v>
      </c>
      <c r="F2" s="106">
        <v>1</v>
      </c>
      <c r="G2" s="107">
        <v>50000</v>
      </c>
      <c r="H2" s="107"/>
      <c r="I2" s="107"/>
      <c r="J2" s="73"/>
      <c r="K2" s="73"/>
      <c r="L2" s="73"/>
      <c r="M2" s="73"/>
      <c r="N2" s="73"/>
      <c r="O2" s="73"/>
      <c r="P2" s="73"/>
      <c r="Q2" s="73"/>
      <c r="R2" s="73"/>
    </row>
    <row r="3" spans="1:18" x14ac:dyDescent="0.3">
      <c r="D3" s="108"/>
    </row>
    <row r="4" spans="1:18" x14ac:dyDescent="0.3">
      <c r="D4" s="108"/>
    </row>
  </sheetData>
  <phoneticPr fontId="7" type="noConversion"/>
  <pageMargins left="0.7" right="0.7" top="0.75" bottom="0.75" header="0.3" footer="0.3"/>
  <pageSetup paperSize="9" scale="4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G31" sqref="G30:G3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8.4789999999999992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1.978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1.4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20</v>
      </c>
    </row>
    <row r="10" spans="1:6" x14ac:dyDescent="0.3">
      <c r="A10" s="40" t="str">
        <f>'내역서(표준단가)'!A13</f>
        <v>E00000801011510701</v>
      </c>
      <c r="B10" s="41">
        <f>'내역서(표준단가)'!F13</f>
        <v>0</v>
      </c>
      <c r="C10" s="41" t="str">
        <f>'내역서(표준단가)'!G13</f>
        <v>E00000801011510701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79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7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2025-07-09T03:31:10Z</dcterms:modified>
</cp:coreProperties>
</file>
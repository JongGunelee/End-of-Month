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AC27031C-C702-4E20-9AF4-89B1501D8D5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J22" i="4" l="1"/>
  <c r="J24" i="4"/>
  <c r="J26" i="4"/>
  <c r="J23" i="4"/>
  <c r="J25" i="4"/>
  <c r="J27" i="4" s="1"/>
  <c r="K9" i="3"/>
  <c r="D9" i="3"/>
  <c r="V5" i="2"/>
  <c r="V7" i="2" s="1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<sst xmlns="http://schemas.openxmlformats.org/spreadsheetml/2006/main" count="144" uniqueCount="126">
  <si>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</si>
  <si>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 에스앤아이코퍼레이션시스템 귀하</t>
  </si>
  <si>
    <t>거꾸로ECO콘덴싱L20-27H 외</t>
  </si>
  <si>
    <t>823-9444       FAX 823-9511</t>
  </si>
  <si>
    <t>주      소</t>
  </si>
  <si>
    <t>업      태</t>
  </si>
  <si>
    <t>상      호</t>
  </si>
  <si>
    <t>GTX-8000</t>
  </si>
  <si>
    <t>네번타는보일러-30K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</si>
  <si>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</si>
  <si>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314-19-99933</t>
  </si>
  <si>
    <t>보일러,버너,배관자재,에어컨</t>
  </si>
  <si>
    <t xml:space="preserve"> 견        적        서</t>
  </si>
  <si>
    <t xml:space="preserve"> 2025  년   10  월   1  일</t>
  </si>
  <si>
    <t xml:space="preserve"> 대전광역시 유성구 계룡로 16번길 48, 1층(구암동)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</si>
  <si>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</si>
  <si>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</si>
  <si>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</si>
  <si>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</si>
  <si>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</si>
  <si>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</si>
  <si>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</si>
  <si>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콘트롤</t>
  </si>
  <si>
    <t xml:space="preserve">  </t>
  </si>
  <si>
    <t>SET</t>
  </si>
  <si>
    <t>도소매</t>
  </si>
  <si>
    <t>번 호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</si>
  <si>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</si>
  <si>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</si>
  <si>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</si>
  <si>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</si>
  <si>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수 량</t>
  </si>
  <si>
    <t>합 계 금 액</t>
  </si>
  <si>
    <t>성   명</t>
  </si>
  <si>
    <t>세    액</t>
  </si>
  <si>
    <t>열교환기</t>
  </si>
  <si>
    <t>할증기준</t>
  </si>
  <si>
    <t>공 급 가 액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</si>
  <si>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</si>
  <si>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</si>
  <si>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귀뚜라미산업</t>
  </si>
  <si>
    <t>종   목</t>
  </si>
  <si>
    <t>기 타 사 항</t>
  </si>
  <si>
    <t>품     명</t>
  </si>
  <si>
    <t>규     격</t>
  </si>
  <si>
    <t>등 록 번 호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</si>
  <si>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</si>
  <si>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</si>
  <si>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t>단    가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</si>
  <si>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</si>
  <si>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비   고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</si>
  <si>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</si>
  <si>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</si>
  <si>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순환펌프</t>
  </si>
  <si>
    <t>KP-111</t>
  </si>
  <si>
    <t xml:space="preserve">  ※ LG사택 103동 403호</t>
  </si>
  <si>
    <t>103동 403호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</si>
  <si>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</si>
  <si>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</si>
  <si>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</si>
  <si>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</si>
  <si>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</si>
  <si>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</si>
  <si>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</si>
  <si>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</si>
  <si>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</si>
  <si>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</si>
  <si>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</si>
  <si>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</si>
  <si>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</si>
  <si>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</si>
  <si>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</si>
  <si>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</si>
  <si>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</si>
  <si>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</si>
  <si>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</si>
  <si>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</si>
  <si>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</si>
  <si>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</si>
  <si>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</si>
  <si>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</si>
  <si>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</si>
  <si>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</si>
  <si>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</si>
  <si>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</si>
  <si>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</si>
  <si>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</si>
  <si>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</si>
  <si>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</si>
  <si>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</si>
  <si>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</si>
  <si>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</si>
  <si>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</si>
  <si>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</si>
  <si>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</si>
  <si>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</si>
  <si>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</si>
  <si>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</si>
  <si>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</si>
  <si>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</si>
  <si>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</si>
  <si>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</si>
  <si>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</si>
  <si>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</si>
  <si>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</si>
  <si>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</si>
  <si>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</si>
  <si>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</si>
  <si>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</si>
  <si>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</si>
  <si>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</si>
  <si>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</si>
  <si>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</si>
  <si>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</si>
  <si>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</si>
  <si>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</si>
  <si>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</si>
  <si>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</si>
  <si>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</si>
  <si>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</si>
  <si>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</si>
  <si>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</si>
  <si>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</si>
  <si>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</si>
  <si>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103-403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</si>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</sst>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A60DD657-C8A6-4740-9669-8906F22D648F}"/>
    <cellStyle name="백분율 2 3" xfId="6" xr:uid="{00000000-0005-0000-0000-000006000000}"/>
    <cellStyle name="쉼표 [0] 17" xfId="2" xr:uid="{00000000-0005-0000-0000-000002000000}"/>
    <cellStyle name="쉼표 [0] 17 2" xfId="20" xr:uid="{0B59DB6B-5899-42BE-A394-32F813BAF883}"/>
    <cellStyle name="쉼표 [0] 2" xfId="13" xr:uid="{6962F68F-9468-438A-8830-F0FBFCDC4FC2}"/>
    <cellStyle name="쉼표 [0] 2 2 2" xfId="5" xr:uid="{00000000-0005-0000-0000-000005000000}"/>
    <cellStyle name="쉼표 [0] 2 2 29" xfId="14" xr:uid="{FC4B5613-1D6C-4F5A-B005-A7A779388054}"/>
    <cellStyle name="쉼표 [0] 2 3" xfId="4" xr:uid="{00000000-0005-0000-0000-000004000000}"/>
    <cellStyle name="쉼표 [0] 2 84" xfId="18" xr:uid="{004335CD-8A21-4AEF-A860-294EA0C55F5B}"/>
    <cellStyle name="쉼표 [0] 5" xfId="16" xr:uid="{B9965B3D-D2AF-4D4F-88AE-8977AD7D1FA7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A249382E-559F-4483-92CA-93A944B98DF7}"/>
    <cellStyle name="표준 10 2" xfId="10" xr:uid="{DC8E2986-8D2D-4294-BE66-4692393DA918}"/>
    <cellStyle name="표준 2" xfId="17" xr:uid="{9E599F69-DCA4-4B3C-A4FB-B34FA2935067}"/>
    <cellStyle name="표준 3 2" xfId="3" xr:uid="{00000000-0005-0000-0000-000003000000}"/>
    <cellStyle name="표준 7" xfId="7" xr:uid="{00000000-0005-0000-0000-000007000000}"/>
    <cellStyle name="표준_p1공장 외벽청소(08.03.17)" xfId="11" xr:uid="{AF61D445-2583-4E0D-897C-973BE263AD12}"/>
    <cellStyle name="표준_P456 공장 및 복지동 전면 유리창 청소건 라상혁님_1129(최종)" xfId="12" xr:uid="{B967651E-BEC0-4988-B108-D04C58A3EF4D}"/>
    <cellStyle name="표준_S&amp;D_MAIN VALVE_최빈_2" xfId="9" xr:uid="{0798F568-2026-4BD5-A1B4-1AF25BC22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0D87BC-977D-4668-8F83-45892D8C74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A377-7B6B-4D16-9C8E-6B5A49F107F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52</v>
      </c>
      <c r="Q1" s="44" t="s">
        <v>52</v>
      </c>
      <c r="S1" s="44" t="s">
        <v>52</v>
      </c>
      <c r="U1" s="44" t="s">
        <v>52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49</v>
      </c>
      <c r="K3" s="234"/>
      <c r="L3" s="234" t="s">
        <v>17</v>
      </c>
      <c r="M3" s="234" t="s">
        <v>20</v>
      </c>
      <c r="N3" s="240" t="s">
        <v>29</v>
      </c>
      <c r="O3" s="240"/>
      <c r="P3" s="240" t="s">
        <v>19</v>
      </c>
      <c r="Q3" s="240"/>
      <c r="R3" s="241" t="s">
        <v>39</v>
      </c>
      <c r="S3" s="241"/>
      <c r="T3" s="241" t="s">
        <v>9</v>
      </c>
      <c r="U3" s="241"/>
      <c r="V3" s="242" t="s">
        <v>27</v>
      </c>
      <c r="W3" s="236" t="s">
        <v>46</v>
      </c>
      <c r="X3" s="238" t="s">
        <v>36</v>
      </c>
    </row>
    <row r="4" spans="1:24" ht="19.899999999999999" customHeight="1">
      <c r="A4" s="39" t="s">
        <v>27</v>
      </c>
      <c r="B4" s="38"/>
      <c r="C4" s="38"/>
      <c r="D4" s="38"/>
      <c r="E4" s="38"/>
      <c r="F4" s="37"/>
      <c r="G4" s="37"/>
      <c r="H4" s="37"/>
      <c r="I4" s="37"/>
      <c r="J4" s="36" t="s">
        <v>21</v>
      </c>
      <c r="K4" s="36" t="s">
        <v>30</v>
      </c>
      <c r="L4" s="235"/>
      <c r="M4" s="235"/>
      <c r="N4" s="35" t="s">
        <v>51</v>
      </c>
      <c r="O4" s="34" t="s">
        <v>16</v>
      </c>
      <c r="P4" s="35" t="s">
        <v>28</v>
      </c>
      <c r="Q4" s="34" t="s">
        <v>16</v>
      </c>
      <c r="R4" s="34" t="s">
        <v>28</v>
      </c>
      <c r="S4" s="34" t="s">
        <v>16</v>
      </c>
      <c r="T4" s="34" t="s">
        <v>28</v>
      </c>
      <c r="U4" s="34" t="s">
        <v>16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2</v>
      </c>
      <c r="L5" s="31" t="s">
        <v>24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12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1</v>
      </c>
      <c r="B3" s="246"/>
      <c r="C3" s="246"/>
      <c r="D3" s="246"/>
      <c r="E3" s="246"/>
      <c r="F3" s="247" t="s">
        <v>45</v>
      </c>
      <c r="G3" s="248"/>
      <c r="H3" s="247"/>
      <c r="I3" s="249" t="s">
        <v>10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6</v>
      </c>
      <c r="G4" s="250"/>
      <c r="H4" s="247"/>
      <c r="I4" s="249" t="s">
        <v>40</v>
      </c>
      <c r="J4" s="249"/>
      <c r="K4" s="249"/>
      <c r="L4" s="249"/>
      <c r="M4" s="249"/>
      <c r="N4" s="249" t="s">
        <v>33</v>
      </c>
      <c r="O4" s="249"/>
      <c r="P4" s="249"/>
      <c r="Q4" s="251" t="s">
        <v>38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13</v>
      </c>
      <c r="B5" s="252"/>
      <c r="C5" s="252"/>
      <c r="D5" s="252"/>
      <c r="E5" s="252"/>
      <c r="F5" s="247" t="s">
        <v>4</v>
      </c>
      <c r="G5" s="248"/>
      <c r="H5" s="247"/>
      <c r="I5" s="249" t="s">
        <v>14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5</v>
      </c>
      <c r="G6" s="250"/>
      <c r="H6" s="247"/>
      <c r="I6" s="249" t="s">
        <v>25</v>
      </c>
      <c r="J6" s="249"/>
      <c r="K6" s="249" t="s">
        <v>41</v>
      </c>
      <c r="L6" s="249"/>
      <c r="M6" s="249"/>
      <c r="N6" s="249" t="s">
        <v>11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15</v>
      </c>
      <c r="B7" s="252"/>
      <c r="C7" s="252"/>
      <c r="D7" s="252"/>
      <c r="E7" s="252"/>
      <c r="F7" s="247" t="s">
        <v>47</v>
      </c>
      <c r="G7" s="250"/>
      <c r="H7" s="247"/>
      <c r="I7" s="249" t="s">
        <v>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23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32</v>
      </c>
      <c r="B9" s="250"/>
      <c r="C9" s="250"/>
      <c r="D9" s="256" t="str">
        <f>"일금 "&amp;NUMBERSTRING((K20+N20),1)&amp;"원정"</f>
        <v>일금 육십육만일천원정</v>
      </c>
      <c r="E9" s="256"/>
      <c r="F9" s="256"/>
      <c r="G9" s="256"/>
      <c r="H9" s="256"/>
      <c r="I9" s="256"/>
      <c r="J9" s="256"/>
      <c r="K9" s="257">
        <f>K20+N20</f>
        <v>661000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26</v>
      </c>
      <c r="B10" s="260" t="s">
        <v>43</v>
      </c>
      <c r="C10" s="261"/>
      <c r="D10" s="262" t="s">
        <v>44</v>
      </c>
      <c r="E10" s="263"/>
      <c r="F10" s="51" t="s">
        <v>31</v>
      </c>
      <c r="G10" s="262" t="s">
        <v>48</v>
      </c>
      <c r="H10" s="264"/>
      <c r="I10" s="264"/>
      <c r="J10" s="263"/>
      <c r="K10" s="262" t="s">
        <v>37</v>
      </c>
      <c r="L10" s="264"/>
      <c r="M10" s="264"/>
      <c r="N10" s="263"/>
      <c r="O10" s="262" t="s">
        <v>34</v>
      </c>
      <c r="P10" s="264"/>
      <c r="Q10" s="263"/>
      <c r="R10" s="51" t="s">
        <v>50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35</v>
      </c>
      <c r="C11" s="266"/>
      <c r="D11" s="267" t="s">
        <v>8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22</v>
      </c>
      <c r="C12" s="266"/>
      <c r="D12" s="267" t="s">
        <v>7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53</v>
      </c>
      <c r="C13" s="266"/>
      <c r="D13" s="267" t="s">
        <v>54</v>
      </c>
      <c r="E13" s="266"/>
      <c r="F13" s="51">
        <v>1</v>
      </c>
      <c r="G13" s="268">
        <v>123000</v>
      </c>
      <c r="H13" s="269"/>
      <c r="I13" s="269"/>
      <c r="J13" s="270"/>
      <c r="K13" s="271">
        <f>F13*G13</f>
        <v>123000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18</v>
      </c>
      <c r="B20" s="265"/>
      <c r="C20" s="266"/>
      <c r="D20" s="267"/>
      <c r="E20" s="266"/>
      <c r="F20" s="51"/>
      <c r="G20" s="268">
        <f>SUM(G11:J14)</f>
        <v>661000</v>
      </c>
      <c r="H20" s="269"/>
      <c r="I20" s="269"/>
      <c r="J20" s="270"/>
      <c r="K20" s="271">
        <f>SUM(K11:N14)</f>
        <v>661000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42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2025-10-01T23:48:16Z</dcterms:modified>
  <cp:version>1300.0100.01</cp:version>
</cp:coreProperties>
</file>
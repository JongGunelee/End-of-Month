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9월\01 솔루션\20 사택 어린이집 2층-3층 놀이터 바닥 청소\"/>
    </mc:Choice>
  </mc:AlternateContent>
  <xr:revisionPtr revIDLastSave="0" documentId="13_ncr:1_{B86B85CA-09A2-4D3F-AE80-588CEC435AFD}" xr6:coauthVersionLast="47" xr6:coauthVersionMax="47" xr10:uidLastSave="{00000000-0000-0000-0000-000000000000}"/>
  <bookViews>
    <workbookView xWindow="3120" yWindow="0" windowWidth="14490" windowHeight="16245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  <c r="C2" i="1"/>
  <c r="B2" i="1"/>
  <c r="U5" i="4"/>
  <c r="S5" i="4"/>
  <c r="Q5" i="4"/>
  <c r="O5" i="4"/>
  <c r="A5" i="4"/>
  <c r="A2" i="1" s="1"/>
  <c r="V5" i="4" l="1"/>
  <c r="O6" i="4" l="1"/>
  <c r="F16" i="5" s="1"/>
  <c r="Q6" i="4"/>
  <c r="F17" i="5" s="1"/>
  <c r="S6" i="4"/>
  <c r="U6" i="4"/>
  <c r="F18" i="5" l="1"/>
  <c r="F26" i="5"/>
  <c r="F21" i="5"/>
  <c r="F25" i="5"/>
  <c r="F24" i="5"/>
  <c r="F22" i="5"/>
  <c r="F23" i="5" s="1"/>
  <c r="V6" i="4"/>
  <c r="F27" i="5" l="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<sst xmlns="http://schemas.openxmlformats.org/spreadsheetml/2006/main" count="106" uniqueCount="88">
  <si>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</si>
  <si>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</si>
  <si>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</si>
  <si>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</si>
  <si>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</si>
  <si>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</si>
  <si>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</si>
  <si>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</si>
  <si>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</si>
  <si>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</si>
  <si>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</si>
  <si>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</si>
  <si>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</si>
  <si>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</si>
  <si>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</si>
  <si>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</si>
  <si>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</si>
  <si>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</si>
  <si>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</si>
  <si>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</si>
  <si>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</si>
  <si>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</si>
  <si>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</si>
  <si>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</si>
  <si>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</si>
  <si>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</si>
  <si>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</si>
  <si>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</si>
  <si>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</si>
  <si>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</si>
  <si>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</si>
  <si>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</si>
  <si>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</si>
  <si>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</si>
  <si>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</si>
  <si>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</si>
  <si>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★ 작성방법</t>
    <phoneticPr fontId="11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</si>
  <si>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</si>
  <si>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</si>
  <si>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</si>
  <si>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</si>
  <si>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</si>
  <si>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</si>
  <si>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</si>
  <si>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</si>
  <si>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</si>
  <si>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</si>
  <si>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</si>
  <si>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</si>
  <si>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</si>
  <si>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</si>
  <si>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</si>
  <si>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</si>
  <si>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</si>
  <si>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</si>
  <si>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</si>
  <si>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</si>
  <si>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</si>
  <si>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</si>
  <si>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</si>
  <si>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</si>
  <si>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</si>
  <si>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</si>
  <si>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</si>
  <si>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</si>
  <si>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</si>
  <si>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</si>
  <si>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</si>
  <si>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</si>
  <si>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</si>
  <si>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</si>
  <si>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</si>
  <si>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</si>
  <si>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</si>
  <si>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</si>
  <si>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</si>
  <si>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</si>
  <si>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</si>
  <si>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</si>
  <si>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</si>
  <si>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</si>
  <si>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 (재료비+노무비)*3.11%</t>
    <phoneticPr fontId="19" type="noConversion"/>
  </si>
  <si>
    <t>E00000801011510701</t>
  </si>
  <si>
    <t>준공청소</t>
  </si>
  <si>
    <t>(연면적 ㎡당)</t>
    <phoneticPr fontId="11" type="noConversion"/>
  </si>
  <si>
    <t>2층(지하 1충113.7㎡)+3층(지상 1층 250㎡)=전체면적 363.7㎡, 363.7*60% 적용=218.22㎡</t>
    <phoneticPr fontId="11" type="noConversion"/>
  </si>
  <si>
    <t xml:space="preserve"> 견적일 : 2025년  08월 11일</t>
    <phoneticPr fontId="17" type="noConversion"/>
  </si>
  <si>
    <t xml:space="preserve"> 공사명 : 어린이집 놀이터 청소작업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</si>
</sst>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0.000"/>
    <numFmt numFmtId="184" formatCode="#,##0.000_ "/>
  </numFmts>
  <fonts count="3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9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4" fillId="0" borderId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29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8" fillId="0" borderId="7" xfId="6" applyFont="1" applyBorder="1" applyAlignment="1">
      <alignment horizontal="right" vertical="center"/>
    </xf>
    <xf numFmtId="49" fontId="20" fillId="2" borderId="0" xfId="0" applyNumberFormat="1" applyFont="1" applyFill="1" applyAlignment="1">
      <alignment horizontal="center" vertical="center" wrapText="1"/>
    </xf>
    <xf numFmtId="0" fontId="25" fillId="0" borderId="0" xfId="6" applyFont="1" applyAlignment="1">
      <alignment vertical="center"/>
    </xf>
    <xf numFmtId="0" fontId="26" fillId="0" borderId="0" xfId="3" applyFont="1"/>
    <xf numFmtId="0" fontId="27" fillId="0" borderId="0" xfId="3" applyFont="1"/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28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9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9" fillId="0" borderId="7" xfId="6" applyFont="1" applyBorder="1" applyAlignment="1">
      <alignment vertical="center"/>
    </xf>
    <xf numFmtId="179" fontId="28" fillId="0" borderId="7" xfId="6" applyNumberFormat="1" applyFont="1" applyBorder="1" applyAlignment="1">
      <alignment vertical="center"/>
    </xf>
    <xf numFmtId="0" fontId="28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30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30" fillId="0" borderId="12" xfId="6" applyFont="1" applyBorder="1" applyAlignment="1">
      <alignment vertical="center"/>
    </xf>
    <xf numFmtId="1" fontId="30" fillId="0" borderId="12" xfId="6" applyNumberFormat="1" applyFont="1" applyBorder="1" applyAlignment="1">
      <alignment horizontal="center" vertical="center"/>
    </xf>
    <xf numFmtId="180" fontId="30" fillId="0" borderId="12" xfId="7" applyFont="1" applyBorder="1" applyAlignment="1">
      <alignment horizontal="right" vertical="center"/>
    </xf>
    <xf numFmtId="0" fontId="30" fillId="0" borderId="13" xfId="6" applyFont="1" applyBorder="1" applyAlignment="1">
      <alignment vertical="center"/>
    </xf>
    <xf numFmtId="0" fontId="30" fillId="0" borderId="14" xfId="6" applyFont="1" applyBorder="1" applyAlignment="1">
      <alignment horizontal="center" vertical="center"/>
    </xf>
    <xf numFmtId="0" fontId="30" fillId="0" borderId="15" xfId="6" applyFont="1" applyBorder="1" applyAlignment="1">
      <alignment horizontal="center" vertical="center"/>
    </xf>
    <xf numFmtId="0" fontId="30" fillId="0" borderId="15" xfId="3" applyFont="1" applyBorder="1" applyAlignment="1">
      <alignment horizontal="center" vertical="center"/>
    </xf>
    <xf numFmtId="1" fontId="30" fillId="0" borderId="15" xfId="6" applyNumberFormat="1" applyFont="1" applyBorder="1" applyAlignment="1">
      <alignment horizontal="center" vertical="center"/>
    </xf>
    <xf numFmtId="180" fontId="30" fillId="0" borderId="15" xfId="7" applyFont="1" applyBorder="1" applyAlignment="1">
      <alignment horizontal="right" vertical="center"/>
    </xf>
    <xf numFmtId="0" fontId="30" fillId="0" borderId="16" xfId="6" quotePrefix="1" applyFont="1" applyBorder="1" applyAlignment="1">
      <alignment vertical="center"/>
    </xf>
    <xf numFmtId="0" fontId="30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30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30" fillId="0" borderId="15" xfId="8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vertical="center"/>
    </xf>
    <xf numFmtId="0" fontId="30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30" fillId="5" borderId="16" xfId="6" applyFont="1" applyFill="1" applyBorder="1" applyAlignment="1">
      <alignment vertical="center"/>
    </xf>
    <xf numFmtId="0" fontId="30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30" fillId="0" borderId="15" xfId="3" applyNumberFormat="1" applyFont="1" applyBorder="1" applyAlignment="1">
      <alignment horizontal="right" vertical="center"/>
    </xf>
    <xf numFmtId="1" fontId="30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30" fillId="0" borderId="15" xfId="3" applyFont="1" applyBorder="1" applyAlignment="1">
      <alignment vertical="center"/>
    </xf>
    <xf numFmtId="180" fontId="30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30" fillId="0" borderId="19" xfId="6" applyFont="1" applyBorder="1" applyAlignment="1">
      <alignment vertical="center"/>
    </xf>
    <xf numFmtId="0" fontId="30" fillId="0" borderId="19" xfId="6" applyFont="1" applyBorder="1" applyAlignment="1">
      <alignment horizontal="right" vertical="center"/>
    </xf>
    <xf numFmtId="0" fontId="30" fillId="0" borderId="20" xfId="6" applyFont="1" applyBorder="1" applyAlignment="1">
      <alignment vertical="center"/>
    </xf>
    <xf numFmtId="0" fontId="18" fillId="0" borderId="0" xfId="10" applyFont="1"/>
    <xf numFmtId="0" fontId="31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82" fontId="31" fillId="3" borderId="0" xfId="2" applyNumberFormat="1" applyFont="1" applyFill="1" applyAlignment="1">
      <alignment horizontal="center" vertical="center"/>
    </xf>
    <xf numFmtId="0" fontId="31" fillId="9" borderId="24" xfId="0" applyFont="1" applyFill="1" applyBorder="1">
      <alignment vertical="center"/>
    </xf>
    <xf numFmtId="0" fontId="31" fillId="9" borderId="21" xfId="0" applyFont="1" applyFill="1" applyBorder="1">
      <alignment vertical="center"/>
    </xf>
    <xf numFmtId="0" fontId="31" fillId="4" borderId="22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  <xf numFmtId="177" fontId="31" fillId="4" borderId="3" xfId="4" applyFont="1" applyFill="1" applyBorder="1" applyAlignment="1">
      <alignment horizontal="center" vertical="center"/>
    </xf>
    <xf numFmtId="178" fontId="31" fillId="4" borderId="3" xfId="5" applyFont="1" applyFill="1" applyBorder="1" applyAlignment="1">
      <alignment horizontal="center" vertical="center"/>
    </xf>
    <xf numFmtId="0" fontId="35" fillId="10" borderId="0" xfId="0" applyFont="1" applyFill="1">
      <alignment vertical="center"/>
    </xf>
    <xf numFmtId="0" fontId="35" fillId="0" borderId="0" xfId="0" applyFont="1">
      <alignment vertical="center"/>
    </xf>
    <xf numFmtId="177" fontId="36" fillId="10" borderId="0" xfId="0" applyNumberFormat="1" applyFont="1" applyFill="1">
      <alignment vertical="center"/>
    </xf>
    <xf numFmtId="0" fontId="36" fillId="0" borderId="0" xfId="0" applyFont="1">
      <alignment vertical="center"/>
    </xf>
    <xf numFmtId="177" fontId="3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0" fontId="31" fillId="5" borderId="0" xfId="0" applyFont="1" applyFill="1">
      <alignment vertical="center"/>
    </xf>
    <xf numFmtId="177" fontId="32" fillId="0" borderId="0" xfId="0" applyNumberFormat="1" applyFont="1">
      <alignment vertical="center"/>
    </xf>
    <xf numFmtId="0" fontId="37" fillId="0" borderId="0" xfId="0" applyFont="1">
      <alignment vertical="center"/>
    </xf>
    <xf numFmtId="181" fontId="28" fillId="7" borderId="1" xfId="1" applyNumberFormat="1" applyFont="1" applyFill="1" applyBorder="1" applyAlignment="1">
      <alignment horizontal="center" vertical="center"/>
    </xf>
    <xf numFmtId="181" fontId="28" fillId="0" borderId="1" xfId="1" applyNumberFormat="1" applyFont="1" applyBorder="1" applyAlignment="1">
      <alignment horizontal="center" vertical="center"/>
    </xf>
    <xf numFmtId="181" fontId="28" fillId="0" borderId="0" xfId="1" applyNumberFormat="1" applyFont="1" applyAlignment="1">
      <alignment horizontal="center" vertical="center"/>
    </xf>
    <xf numFmtId="0" fontId="26" fillId="6" borderId="22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49" fontId="26" fillId="7" borderId="3" xfId="0" applyNumberFormat="1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 wrapText="1"/>
    </xf>
    <xf numFmtId="49" fontId="28" fillId="5" borderId="3" xfId="0" applyNumberFormat="1" applyFont="1" applyFill="1" applyBorder="1" applyAlignment="1">
      <alignment horizontal="center" vertical="center"/>
    </xf>
    <xf numFmtId="183" fontId="26" fillId="5" borderId="3" xfId="1" applyNumberFormat="1" applyFont="1" applyFill="1" applyBorder="1" applyAlignment="1">
      <alignment horizontal="center" vertical="center"/>
    </xf>
    <xf numFmtId="0" fontId="26" fillId="5" borderId="3" xfId="0" applyFont="1" applyFill="1" applyBorder="1">
      <alignment vertical="center"/>
    </xf>
    <xf numFmtId="177" fontId="26" fillId="6" borderId="3" xfId="1" applyFont="1" applyFill="1" applyBorder="1" applyAlignment="1">
      <alignment horizontal="center" vertical="center" wrapText="1"/>
    </xf>
    <xf numFmtId="177" fontId="26" fillId="5" borderId="3" xfId="1" applyFont="1" applyFill="1" applyBorder="1" applyAlignment="1">
      <alignment vertical="center"/>
    </xf>
    <xf numFmtId="177" fontId="26" fillId="0" borderId="3" xfId="1" applyFont="1" applyFill="1" applyBorder="1" applyAlignment="1">
      <alignment horizontal="center" vertical="center" wrapText="1"/>
    </xf>
    <xf numFmtId="184" fontId="26" fillId="0" borderId="3" xfId="1" applyNumberFormat="1" applyFont="1" applyFill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0" xfId="0" applyFont="1">
      <alignment vertical="center"/>
    </xf>
    <xf numFmtId="0" fontId="25" fillId="0" borderId="0" xfId="6" applyFont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1" fillId="9" borderId="30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177" fontId="31" fillId="4" borderId="21" xfId="4" applyFont="1" applyFill="1" applyBorder="1" applyAlignment="1">
      <alignment horizontal="center" vertical="center"/>
    </xf>
    <xf numFmtId="178" fontId="31" fillId="4" borderId="21" xfId="5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21" xfId="3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O14" sqref="O14"/>
    </sheetView>
  </sheetViews>
  <sheetFormatPr defaultColWidth="9" defaultRowHeight="13.5"/>
  <cols>
    <col min="1" max="1" width="9.875" style="5" customWidth="1"/>
    <col min="2" max="2" width="24.25" style="5" customWidth="1"/>
    <col min="3" max="3" width="27" style="5" customWidth="1"/>
    <col min="4" max="5" width="9" style="5"/>
    <col min="6" max="6" width="23.5" style="5" customWidth="1"/>
    <col min="7" max="7" width="44.75" style="5" customWidth="1"/>
    <col min="8" max="8" width="11.25" style="5" customWidth="1"/>
    <col min="9" max="9" width="9" style="5"/>
    <col min="10" max="16384" width="9" style="6"/>
  </cols>
  <sheetData>
    <row r="2" spans="1:9" ht="33">
      <c r="A2" s="109" t="s">
        <v>6</v>
      </c>
      <c r="B2" s="109"/>
      <c r="C2" s="109"/>
      <c r="D2" s="109"/>
      <c r="E2" s="109"/>
      <c r="F2" s="109"/>
      <c r="G2" s="109"/>
      <c r="H2" s="4"/>
    </row>
    <row r="3" spans="1:9" ht="14.25">
      <c r="A3" s="7"/>
      <c r="B3" s="7"/>
      <c r="C3" s="7"/>
      <c r="D3" s="7"/>
      <c r="E3" s="7"/>
      <c r="F3" s="7"/>
      <c r="G3" s="7"/>
      <c r="H3" s="7"/>
    </row>
    <row r="4" spans="1:9" ht="14.25">
      <c r="A4" s="7"/>
      <c r="B4" s="7"/>
      <c r="C4" s="7"/>
      <c r="D4" s="7"/>
      <c r="E4" s="7"/>
      <c r="H4" s="7"/>
    </row>
    <row r="5" spans="1:9" ht="27" customHeight="1">
      <c r="A5" s="8" t="s">
        <v>48</v>
      </c>
      <c r="B5" s="9"/>
      <c r="C5" s="10"/>
      <c r="D5" s="7"/>
      <c r="E5" s="7"/>
      <c r="F5" s="11" t="s">
        <v>39</v>
      </c>
      <c r="G5" s="12" t="s">
        <v>52</v>
      </c>
      <c r="H5" s="7"/>
    </row>
    <row r="6" spans="1:9" ht="27" customHeight="1">
      <c r="A6" s="7"/>
      <c r="B6" s="7"/>
      <c r="C6" s="7"/>
      <c r="D6" s="7"/>
      <c r="E6" s="7"/>
      <c r="F6" s="13" t="s">
        <v>42</v>
      </c>
      <c r="G6" s="14" t="s">
        <v>53</v>
      </c>
      <c r="H6" s="7"/>
    </row>
    <row r="7" spans="1:9" ht="27" customHeight="1">
      <c r="A7" s="115" t="s">
        <v>87</v>
      </c>
      <c r="B7" s="116"/>
      <c r="C7" s="117"/>
      <c r="D7" s="7"/>
      <c r="E7" s="15"/>
      <c r="F7" s="16" t="s">
        <v>43</v>
      </c>
      <c r="G7" s="14" t="s">
        <v>54</v>
      </c>
      <c r="H7" s="7"/>
    </row>
    <row r="8" spans="1:9" ht="27" customHeight="1">
      <c r="A8" s="7"/>
      <c r="B8" s="7"/>
      <c r="C8" s="7"/>
      <c r="D8" s="7"/>
      <c r="E8" s="7"/>
      <c r="F8" s="13" t="s">
        <v>44</v>
      </c>
      <c r="G8" s="14" t="s">
        <v>55</v>
      </c>
      <c r="H8" s="7"/>
    </row>
    <row r="9" spans="1:9" ht="27" customHeight="1">
      <c r="A9" s="112" t="s">
        <v>86</v>
      </c>
      <c r="B9" s="113"/>
      <c r="C9" s="114"/>
      <c r="D9" s="7"/>
      <c r="E9" s="7"/>
      <c r="F9" s="13" t="s">
        <v>45</v>
      </c>
      <c r="G9" s="14" t="s">
        <v>56</v>
      </c>
      <c r="H9" s="7"/>
    </row>
    <row r="10" spans="1:9" ht="27" customHeight="1">
      <c r="A10" s="7"/>
      <c r="B10" s="7"/>
      <c r="C10" s="7"/>
      <c r="D10" s="7"/>
      <c r="E10" s="7"/>
      <c r="F10" s="17" t="s">
        <v>40</v>
      </c>
      <c r="G10" s="18" t="s">
        <v>57</v>
      </c>
      <c r="H10" s="7"/>
      <c r="I10" s="7"/>
    </row>
    <row r="11" spans="1:9" ht="27" customHeight="1">
      <c r="A11" s="110"/>
      <c r="B11" s="111"/>
      <c r="C11" s="111"/>
      <c r="D11" s="7"/>
      <c r="E11" s="19"/>
      <c r="F11" s="20" t="s">
        <v>41</v>
      </c>
      <c r="G11" s="21" t="s">
        <v>58</v>
      </c>
      <c r="H11" s="19"/>
    </row>
    <row r="12" spans="1:9" ht="18.75" thickBot="1">
      <c r="A12" s="22" t="s">
        <v>7</v>
      </c>
      <c r="B12" s="22" t="str">
        <f>NUMBERSTRING(F31,1)</f>
        <v>일백일십만이천</v>
      </c>
      <c r="C12" s="23"/>
      <c r="D12" s="2" t="s">
        <v>8</v>
      </c>
      <c r="E12" s="2" t="s">
        <v>9</v>
      </c>
      <c r="F12" s="2" t="s">
        <v>9</v>
      </c>
      <c r="G12" s="2"/>
      <c r="H12" s="24"/>
    </row>
    <row r="13" spans="1:9" ht="15.75" thickTop="1" thickBot="1">
      <c r="A13" s="7"/>
      <c r="B13" s="7"/>
      <c r="C13" s="7"/>
      <c r="D13" s="7"/>
      <c r="E13" s="7"/>
      <c r="F13" s="7"/>
      <c r="G13" s="7"/>
      <c r="H13" s="24"/>
    </row>
    <row r="14" spans="1:9" ht="33" customHeight="1" thickBot="1">
      <c r="A14" s="25" t="s">
        <v>10</v>
      </c>
      <c r="B14" s="26" t="s">
        <v>11</v>
      </c>
      <c r="C14" s="26" t="s">
        <v>12</v>
      </c>
      <c r="D14" s="26" t="s">
        <v>13</v>
      </c>
      <c r="E14" s="26" t="s">
        <v>14</v>
      </c>
      <c r="F14" s="26" t="s">
        <v>15</v>
      </c>
      <c r="G14" s="27" t="s">
        <v>16</v>
      </c>
      <c r="H14" s="24"/>
    </row>
    <row r="15" spans="1:9" ht="33" customHeight="1" thickTop="1">
      <c r="A15" s="28"/>
      <c r="B15" s="29" t="s">
        <v>17</v>
      </c>
      <c r="C15" s="30"/>
      <c r="D15" s="31"/>
      <c r="E15" s="31"/>
      <c r="F15" s="32"/>
      <c r="G15" s="33"/>
    </row>
    <row r="16" spans="1:9" ht="33" customHeight="1">
      <c r="A16" s="34"/>
      <c r="B16" s="35" t="s">
        <v>18</v>
      </c>
      <c r="C16" s="36"/>
      <c r="D16" s="37"/>
      <c r="E16" s="37"/>
      <c r="F16" s="38">
        <f>'내역서(표준단가)'!O6</f>
        <v>0</v>
      </c>
      <c r="G16" s="39"/>
    </row>
    <row r="17" spans="1:9" ht="33" customHeight="1">
      <c r="A17" s="34"/>
      <c r="B17" s="35" t="s">
        <v>19</v>
      </c>
      <c r="C17" s="36"/>
      <c r="D17" s="37"/>
      <c r="E17" s="37"/>
      <c r="F17" s="38">
        <f>'내역서(표준단가)'!Q6</f>
        <v>903960.98</v>
      </c>
      <c r="G17" s="40"/>
      <c r="H17" s="6"/>
      <c r="I17" s="6"/>
    </row>
    <row r="18" spans="1:9" ht="33" customHeight="1">
      <c r="A18" s="34"/>
      <c r="B18" s="35" t="s">
        <v>20</v>
      </c>
      <c r="C18" s="36"/>
      <c r="D18" s="37"/>
      <c r="E18" s="37"/>
      <c r="F18" s="38">
        <f>'내역서(표준단가)'!S6+'내역서(표준단가)'!U6</f>
        <v>0</v>
      </c>
      <c r="G18" s="40"/>
      <c r="H18" s="6"/>
      <c r="I18" s="6"/>
    </row>
    <row r="19" spans="1:9" ht="33" customHeight="1">
      <c r="A19" s="34"/>
      <c r="B19" s="41" t="s">
        <v>21</v>
      </c>
      <c r="C19" s="41"/>
      <c r="D19" s="42"/>
      <c r="E19" s="42"/>
      <c r="F19" s="43">
        <f>F16+F17+F18</f>
        <v>903960.98</v>
      </c>
      <c r="G19" s="40"/>
      <c r="H19" s="6"/>
      <c r="I19" s="6"/>
    </row>
    <row r="20" spans="1:9" ht="33" customHeight="1">
      <c r="A20" s="34"/>
      <c r="B20" s="44" t="s">
        <v>22</v>
      </c>
      <c r="C20" s="45"/>
      <c r="D20" s="37"/>
      <c r="E20" s="37"/>
      <c r="F20" s="46"/>
      <c r="G20" s="40"/>
      <c r="H20" s="6"/>
      <c r="I20" s="6"/>
    </row>
    <row r="21" spans="1:9" ht="33" customHeight="1">
      <c r="A21" s="34"/>
      <c r="B21" s="47" t="s">
        <v>23</v>
      </c>
      <c r="C21" s="45" t="s">
        <v>24</v>
      </c>
      <c r="D21" s="35">
        <v>1</v>
      </c>
      <c r="E21" s="35" t="s">
        <v>25</v>
      </c>
      <c r="F21" s="48">
        <f>F17*4.5%</f>
        <v>40678.244099999996</v>
      </c>
      <c r="G21" s="40" t="s">
        <v>26</v>
      </c>
      <c r="H21" s="6"/>
      <c r="I21" s="6"/>
    </row>
    <row r="22" spans="1:9" ht="33" customHeight="1">
      <c r="A22" s="34"/>
      <c r="B22" s="49" t="s">
        <v>27</v>
      </c>
      <c r="C22" s="50" t="s">
        <v>49</v>
      </c>
      <c r="D22" s="51">
        <v>1</v>
      </c>
      <c r="E22" s="51" t="s">
        <v>25</v>
      </c>
      <c r="F22" s="52">
        <f>F17*3.545%</f>
        <v>32045.416741000001</v>
      </c>
      <c r="G22" s="53" t="s">
        <v>28</v>
      </c>
      <c r="H22" s="6"/>
      <c r="I22" s="6"/>
    </row>
    <row r="23" spans="1:9" ht="33" customHeight="1">
      <c r="A23" s="34"/>
      <c r="B23" s="47" t="s">
        <v>29</v>
      </c>
      <c r="C23" s="45" t="s">
        <v>50</v>
      </c>
      <c r="D23" s="35">
        <v>1</v>
      </c>
      <c r="E23" s="35" t="s">
        <v>25</v>
      </c>
      <c r="F23" s="48">
        <f>F22*12.95%</f>
        <v>4149.8814679595007</v>
      </c>
      <c r="G23" s="40" t="s">
        <v>28</v>
      </c>
      <c r="H23" s="6"/>
      <c r="I23" s="6"/>
    </row>
    <row r="24" spans="1:9" ht="33" customHeight="1">
      <c r="A24" s="34"/>
      <c r="B24" s="47" t="s">
        <v>30</v>
      </c>
      <c r="C24" s="45" t="s">
        <v>47</v>
      </c>
      <c r="D24" s="35">
        <v>1</v>
      </c>
      <c r="E24" s="35" t="s">
        <v>25</v>
      </c>
      <c r="F24" s="48">
        <f>F17*1.01%</f>
        <v>9130.0058979999994</v>
      </c>
      <c r="G24" s="40" t="s">
        <v>28</v>
      </c>
      <c r="H24" s="6"/>
      <c r="I24" s="6"/>
    </row>
    <row r="25" spans="1:9" ht="33" customHeight="1">
      <c r="A25" s="34"/>
      <c r="B25" s="47" t="s">
        <v>31</v>
      </c>
      <c r="C25" s="45" t="s">
        <v>51</v>
      </c>
      <c r="D25" s="35">
        <v>1</v>
      </c>
      <c r="E25" s="35" t="s">
        <v>25</v>
      </c>
      <c r="F25" s="48">
        <f>F17*3.56%</f>
        <v>32181.010888000001</v>
      </c>
      <c r="G25" s="40" t="s">
        <v>28</v>
      </c>
      <c r="H25" s="6"/>
      <c r="I25" s="6"/>
    </row>
    <row r="26" spans="1:9" ht="33" customHeight="1">
      <c r="A26" s="34"/>
      <c r="B26" s="47" t="s">
        <v>32</v>
      </c>
      <c r="C26" s="54" t="s">
        <v>81</v>
      </c>
      <c r="D26" s="35">
        <v>1</v>
      </c>
      <c r="E26" s="35" t="s">
        <v>25</v>
      </c>
      <c r="F26" s="48">
        <f>(F16+F17)*3.11%</f>
        <v>28113.186478</v>
      </c>
      <c r="G26" s="40" t="s">
        <v>26</v>
      </c>
      <c r="H26" s="6"/>
      <c r="I26" s="6"/>
    </row>
    <row r="27" spans="1:9" ht="33" customHeight="1">
      <c r="A27" s="34"/>
      <c r="B27" s="47" t="s">
        <v>37</v>
      </c>
      <c r="C27" s="54" t="s">
        <v>38</v>
      </c>
      <c r="D27" s="35">
        <v>1</v>
      </c>
      <c r="E27" s="35" t="s">
        <v>25</v>
      </c>
      <c r="F27" s="48">
        <f>SUM(F17+F21+F22+F23+F24+F25+F26)*5%</f>
        <v>52512.936278647976</v>
      </c>
      <c r="G27" s="40"/>
      <c r="H27" s="6"/>
      <c r="I27" s="6"/>
    </row>
    <row r="28" spans="1:9" ht="33" customHeight="1">
      <c r="A28" s="34"/>
      <c r="B28" s="41" t="s">
        <v>33</v>
      </c>
      <c r="C28" s="55"/>
      <c r="D28" s="56"/>
      <c r="E28" s="42"/>
      <c r="F28" s="57">
        <f>F21+F22+F23+F24+F25+F26+F27</f>
        <v>198810.68185160749</v>
      </c>
      <c r="G28" s="40"/>
      <c r="H28" s="6"/>
      <c r="I28" s="6"/>
    </row>
    <row r="29" spans="1:9" ht="33" customHeight="1">
      <c r="A29" s="34"/>
      <c r="B29" s="45"/>
      <c r="C29" s="58"/>
      <c r="D29" s="59"/>
      <c r="E29" s="37"/>
      <c r="F29" s="60"/>
      <c r="G29" s="40"/>
      <c r="H29" s="6"/>
      <c r="I29" s="6"/>
    </row>
    <row r="30" spans="1:9" ht="33" customHeight="1">
      <c r="A30" s="34"/>
      <c r="B30" s="61"/>
      <c r="C30" s="58"/>
      <c r="D30" s="59"/>
      <c r="E30" s="37"/>
      <c r="F30" s="62">
        <f>F19+F28+F29</f>
        <v>1102771.6618516075</v>
      </c>
      <c r="G30" s="40"/>
      <c r="H30" s="6"/>
      <c r="I30" s="6"/>
    </row>
    <row r="31" spans="1:9" ht="33" customHeight="1">
      <c r="A31" s="34"/>
      <c r="B31" s="41" t="s">
        <v>34</v>
      </c>
      <c r="C31" s="41"/>
      <c r="D31" s="42"/>
      <c r="E31" s="42"/>
      <c r="F31" s="63">
        <f>ROUNDDOWN(F30,-3)</f>
        <v>1102000</v>
      </c>
      <c r="G31" s="40"/>
      <c r="H31" s="6"/>
      <c r="I31" s="6"/>
    </row>
    <row r="32" spans="1:9" ht="33" customHeight="1" thickBot="1">
      <c r="A32" s="64"/>
      <c r="B32" s="65" t="s">
        <v>35</v>
      </c>
      <c r="C32" s="66"/>
      <c r="D32" s="66"/>
      <c r="E32" s="66"/>
      <c r="F32" s="67"/>
      <c r="G32" s="68"/>
      <c r="H32" s="6"/>
      <c r="I32" s="6"/>
    </row>
    <row r="33" spans="2:2" s="6" customFormat="1" ht="15.75">
      <c r="B33" s="69"/>
    </row>
    <row r="34" spans="2:2" s="6" customFormat="1" ht="15.75">
      <c r="B34" s="69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0"/>
  <sheetViews>
    <sheetView showGridLines="0" zoomScale="70" zoomScaleNormal="70" workbookViewId="0">
      <selection activeCell="K5" sqref="K5"/>
    </sheetView>
  </sheetViews>
  <sheetFormatPr defaultColWidth="9" defaultRowHeight="12.75"/>
  <cols>
    <col min="1" max="1" width="17.5" style="89" bestFit="1" customWidth="1"/>
    <col min="2" max="5" width="18.5" style="89" hidden="1" customWidth="1"/>
    <col min="6" max="6" width="13.875" style="71" hidden="1" customWidth="1"/>
    <col min="7" max="7" width="14.5" style="71" hidden="1" customWidth="1"/>
    <col min="8" max="8" width="16.625" style="71" hidden="1" customWidth="1"/>
    <col min="9" max="9" width="11.5" style="71" hidden="1" customWidth="1"/>
    <col min="10" max="10" width="22.25" style="71" customWidth="1"/>
    <col min="11" max="11" width="25" style="71" bestFit="1" customWidth="1"/>
    <col min="12" max="12" width="11.75" style="71" customWidth="1"/>
    <col min="13" max="13" width="9" style="71" customWidth="1"/>
    <col min="14" max="14" width="10.125" style="71" bestFit="1" customWidth="1"/>
    <col min="15" max="15" width="11.75" style="71" customWidth="1"/>
    <col min="16" max="16" width="9.625" style="71" customWidth="1"/>
    <col min="17" max="17" width="12.25" style="71" bestFit="1" customWidth="1"/>
    <col min="18" max="18" width="8.5" style="71" customWidth="1"/>
    <col min="19" max="19" width="9.875" style="71" customWidth="1"/>
    <col min="20" max="20" width="8.5" style="71" customWidth="1"/>
    <col min="21" max="21" width="8.5" style="71" bestFit="1" customWidth="1"/>
    <col min="22" max="22" width="12.25" style="71" bestFit="1" customWidth="1"/>
    <col min="23" max="23" width="19.375" style="72" bestFit="1" customWidth="1"/>
    <col min="24" max="24" width="8.5" style="71" bestFit="1" customWidth="1"/>
    <col min="25" max="16384" width="9" style="71"/>
  </cols>
  <sheetData>
    <row r="1" spans="1:24" ht="30" customHeight="1">
      <c r="A1" s="118"/>
      <c r="B1" s="118"/>
      <c r="C1" s="118"/>
      <c r="D1" s="118"/>
      <c r="E1" s="118"/>
      <c r="F1" s="118"/>
      <c r="G1" s="118"/>
      <c r="H1" s="118"/>
      <c r="I1" s="118"/>
      <c r="N1" s="72"/>
      <c r="O1" s="70" t="s">
        <v>59</v>
      </c>
      <c r="Q1" s="70" t="s">
        <v>59</v>
      </c>
      <c r="S1" s="70" t="s">
        <v>59</v>
      </c>
      <c r="U1" s="70" t="s">
        <v>59</v>
      </c>
    </row>
    <row r="2" spans="1:24" ht="30" customHeight="1" thickBot="1">
      <c r="A2" s="118"/>
      <c r="B2" s="118"/>
      <c r="C2" s="118"/>
      <c r="D2" s="118"/>
      <c r="E2" s="118"/>
      <c r="F2" s="118"/>
      <c r="G2" s="118"/>
      <c r="H2" s="118"/>
      <c r="I2" s="118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30" customHeight="1">
      <c r="A3" s="75"/>
      <c r="B3" s="75"/>
      <c r="C3" s="75"/>
      <c r="D3" s="75"/>
      <c r="E3" s="75"/>
      <c r="F3" s="75" t="s">
        <v>60</v>
      </c>
      <c r="G3" s="76"/>
      <c r="H3" s="76"/>
      <c r="I3" s="76"/>
      <c r="J3" s="127" t="s">
        <v>61</v>
      </c>
      <c r="K3" s="127"/>
      <c r="L3" s="127" t="s">
        <v>62</v>
      </c>
      <c r="M3" s="127" t="s">
        <v>63</v>
      </c>
      <c r="N3" s="123" t="s">
        <v>64</v>
      </c>
      <c r="O3" s="123"/>
      <c r="P3" s="123" t="s">
        <v>65</v>
      </c>
      <c r="Q3" s="123"/>
      <c r="R3" s="124" t="s">
        <v>66</v>
      </c>
      <c r="S3" s="124"/>
      <c r="T3" s="124" t="s">
        <v>67</v>
      </c>
      <c r="U3" s="124"/>
      <c r="V3" s="125" t="s">
        <v>68</v>
      </c>
      <c r="W3" s="121" t="s">
        <v>69</v>
      </c>
      <c r="X3" s="119" t="s">
        <v>46</v>
      </c>
    </row>
    <row r="4" spans="1:24" ht="30" customHeight="1">
      <c r="A4" s="77" t="s">
        <v>70</v>
      </c>
      <c r="B4" s="78"/>
      <c r="C4" s="78"/>
      <c r="D4" s="78"/>
      <c r="E4" s="78"/>
      <c r="F4" s="79" t="s">
        <v>71</v>
      </c>
      <c r="G4" s="79" t="s">
        <v>72</v>
      </c>
      <c r="H4" s="79" t="s">
        <v>73</v>
      </c>
      <c r="I4" s="79" t="s">
        <v>74</v>
      </c>
      <c r="J4" s="80" t="s">
        <v>75</v>
      </c>
      <c r="K4" s="80" t="s">
        <v>76</v>
      </c>
      <c r="L4" s="128"/>
      <c r="M4" s="128"/>
      <c r="N4" s="81" t="s">
        <v>77</v>
      </c>
      <c r="O4" s="82" t="s">
        <v>78</v>
      </c>
      <c r="P4" s="81" t="s">
        <v>79</v>
      </c>
      <c r="Q4" s="82" t="s">
        <v>78</v>
      </c>
      <c r="R4" s="82" t="s">
        <v>80</v>
      </c>
      <c r="S4" s="82" t="s">
        <v>78</v>
      </c>
      <c r="T4" s="82" t="s">
        <v>80</v>
      </c>
      <c r="U4" s="82" t="s">
        <v>78</v>
      </c>
      <c r="V4" s="126"/>
      <c r="W4" s="122"/>
      <c r="X4" s="120"/>
    </row>
    <row r="5" spans="1:24" s="108" customFormat="1" ht="63" customHeight="1">
      <c r="A5" s="95" t="str">
        <f t="shared" ref="A5" si="0">F5&amp;G5&amp;H5&amp;I5</f>
        <v>E00000801011510701</v>
      </c>
      <c r="B5" s="96"/>
      <c r="C5" s="96"/>
      <c r="D5" s="96"/>
      <c r="E5" s="96"/>
      <c r="F5" s="97"/>
      <c r="G5" s="98" t="s">
        <v>82</v>
      </c>
      <c r="H5" s="98"/>
      <c r="I5" s="97"/>
      <c r="J5" s="99" t="s">
        <v>83</v>
      </c>
      <c r="K5" s="99" t="s">
        <v>85</v>
      </c>
      <c r="L5" s="100" t="s">
        <v>84</v>
      </c>
      <c r="M5" s="101">
        <v>218</v>
      </c>
      <c r="N5" s="102"/>
      <c r="O5" s="103">
        <f t="shared" ref="O5" si="1">SUM(N5:N5)*M5*$O$2</f>
        <v>0</v>
      </c>
      <c r="P5" s="104">
        <v>4966</v>
      </c>
      <c r="Q5" s="103">
        <f t="shared" ref="Q5" si="2">(P5*M5)*$Q$2</f>
        <v>903960.98</v>
      </c>
      <c r="R5" s="105"/>
      <c r="S5" s="103">
        <f t="shared" ref="S5" si="3">R5*M5*$S$2</f>
        <v>0</v>
      </c>
      <c r="T5" s="105"/>
      <c r="U5" s="103">
        <f t="shared" ref="U5" si="4">T5*M5*$U$2</f>
        <v>0</v>
      </c>
      <c r="V5" s="105">
        <f t="shared" ref="V5" si="5">SUM(O5+Q5)+S5+U5</f>
        <v>903960.98</v>
      </c>
      <c r="W5" s="106"/>
      <c r="X5" s="107"/>
    </row>
    <row r="6" spans="1:24" s="84" customFormat="1" ht="30" customHeight="1">
      <c r="A6" s="83"/>
      <c r="B6" s="83"/>
      <c r="C6" s="83"/>
      <c r="D6" s="83"/>
      <c r="E6" s="83"/>
      <c r="O6" s="85">
        <f>SUM(O5:O5)</f>
        <v>0</v>
      </c>
      <c r="P6" s="86"/>
      <c r="Q6" s="85">
        <f>SUM(Q5:Q5)</f>
        <v>903960.98</v>
      </c>
      <c r="R6" s="86"/>
      <c r="S6" s="85">
        <f>SUM(S5:S5)</f>
        <v>0</v>
      </c>
      <c r="T6" s="86"/>
      <c r="U6" s="85">
        <f>SUM(U5:U5)</f>
        <v>0</v>
      </c>
      <c r="V6" s="87">
        <f>SUM(V5:V5)</f>
        <v>903960.98</v>
      </c>
      <c r="W6" s="88"/>
    </row>
    <row r="10" spans="1:24" ht="19.899999999999999" customHeight="1">
      <c r="Q10" s="9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"/>
  <sheetViews>
    <sheetView showGridLines="0" zoomScaleNormal="100" workbookViewId="0">
      <selection activeCell="G20" sqref="G20"/>
    </sheetView>
  </sheetViews>
  <sheetFormatPr defaultColWidth="9" defaultRowHeight="16.5"/>
  <cols>
    <col min="1" max="1" width="25.125" style="94" customWidth="1"/>
    <col min="2" max="2" width="16.25" style="94" customWidth="1"/>
    <col min="3" max="3" width="22.375" style="94" customWidth="1"/>
    <col min="4" max="4" width="24.125" style="94" customWidth="1"/>
    <col min="5" max="5" width="13" style="94" customWidth="1"/>
    <col min="6" max="6" width="7.5" style="94" customWidth="1"/>
    <col min="7" max="16384" width="9" style="9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36</v>
      </c>
    </row>
    <row r="2" spans="1:8">
      <c r="A2" s="92" t="str">
        <f>'내역서(표준단가)'!A5</f>
        <v>E00000801011510701</v>
      </c>
      <c r="B2" s="93">
        <f>'내역서(표준단가)'!F5</f>
        <v>0</v>
      </c>
      <c r="C2" s="93" t="str">
        <f>'내역서(표준단가)'!G5</f>
        <v>E00000801011510701</v>
      </c>
      <c r="D2" s="93">
        <f>'내역서(표준단가)'!H5</f>
        <v>0</v>
      </c>
      <c r="E2" s="93">
        <f>'내역서(표준단가)'!I5</f>
        <v>0</v>
      </c>
      <c r="F2" s="93">
        <f>'내역서(표준단가)'!M5</f>
        <v>218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2025-08-28T00:23:18Z</dcterms:modified>
</cp:coreProperties>
</file>
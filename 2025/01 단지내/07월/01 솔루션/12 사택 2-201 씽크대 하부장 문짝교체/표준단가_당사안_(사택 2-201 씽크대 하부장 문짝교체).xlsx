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3 당사안\"/>
    </mc:Choice>
  </mc:AlternateContent>
  <xr:revisionPtr revIDLastSave="0" documentId="13_ncr:1_{B086841A-E822-48CB-9131-E69FEC3CF9D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<sst xmlns="http://schemas.openxmlformats.org/spreadsheetml/2006/main" count="130" uniqueCount="109">
  <si>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</si>
  <si>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</si>
  <si>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</si>
  <si>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</si>
  <si>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</si>
  <si>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</si>
  <si>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</si>
  <si>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</si>
  <si>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</si>
  <si>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</si>
  <si>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</si>
  <si>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</si>
  <si>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</si>
  <si>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</si>
  <si>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</si>
  <si>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</si>
  <si>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</si>
  <si>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</si>
  <si>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</si>
  <si>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</si>
  <si>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</si>
  <si>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</si>
  <si>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</si>
  <si>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</si>
  <si>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</si>
  <si>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</si>
  <si>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</si>
  <si>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</si>
  <si>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</si>
  <si>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</si>
  <si>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</si>
  <si>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</si>
  <si>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</si>
  <si>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</si>
  <si>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</si>
  <si>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</si>
  <si>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</si>
  <si>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</si>
  <si>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</si>
  <si>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</si>
  <si>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</si>
  <si>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</si>
  <si>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</si>
  <si>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</si>
  <si>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</si>
  <si>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</si>
  <si>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</si>
  <si>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</si>
  <si>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</si>
  <si>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</si>
  <si>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</si>
  <si>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</si>
  <si>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</si>
  <si>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</si>
  <si>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</si>
  <si>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</si>
  <si>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</si>
  <si>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</si>
  <si>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</si>
  <si>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</si>
  <si>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</si>
  <si>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</si>
  <si>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</si>
  <si>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</si>
  <si>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</si>
  <si>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</si>
  <si>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</si>
  <si>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</si>
  <si>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</si>
  <si>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</si>
  <si>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</si>
  <si>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</si>
  <si>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</si>
  <si>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</si>
  <si>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</si>
  <si>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</si>
  <si>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</si>
  <si>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</si>
  <si>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</si>
  <si>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</si>
  <si>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</si>
  <si>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</si>
  <si>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</si>
  <si>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</si>
  <si>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</si>
  <si>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</si>
  <si>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</si>
  <si>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</si>
  <si>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</si>
  <si>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</si>
  <si>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</si>
  <si>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</si>
  <si>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</si>
  <si>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</si>
  <si>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</si>
  <si>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</si>
  <si>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</si>
  <si>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</si>
  <si>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</si>
  <si>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</si>
  <si>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</si>
  <si>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</si>
  <si>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</si>
  <si>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</si>
  <si>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</si>
  <si>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2-201 씽크대 하부장 문짝교체</t>
    <phoneticPr fontId="12" type="noConversion"/>
  </si>
  <si>
    <t xml:space="preserve"> 견적일 : 2025년  05월  29일</t>
    <phoneticPr fontId="12" type="noConversion"/>
  </si>
  <si>
    <t>2-201 씽크대 하부장 문짝교체</t>
    <phoneticPr fontId="6" type="noConversion"/>
  </si>
  <si>
    <t>2동 씽크대 하부장 문짝교체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</si>
</sst>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351692</xdr:colOff>
      <xdr:row>6</xdr:row>
      <xdr:rowOff>1</xdr:rowOff>
    </xdr:from>
    <xdr:to>
      <xdr:col>3</xdr:col>
      <xdr:colOff>476250</xdr:colOff>
      <xdr:row>34</xdr:row>
      <xdr:rowOff>146383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D4D771B-3005-456C-AA8A-282F948E7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92" y="1011116"/>
          <a:ext cx="3480289" cy="4864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6" sqref="J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4" t="s">
        <v>105</v>
      </c>
      <c r="B7" s="125"/>
      <c r="C7" s="126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4" t="s">
        <v>106</v>
      </c>
      <c r="B9" s="125"/>
      <c r="C9" s="126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2"/>
      <c r="B11" s="123"/>
      <c r="C11" s="123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오십육만칠천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420000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109660.5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529660.5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4934.7224999999999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3887.4647250000003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503.42668188750002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1107.57105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3903.9137999999998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104</v>
      </c>
      <c r="D26" s="30">
        <v>1</v>
      </c>
      <c r="E26" s="30" t="s">
        <v>25</v>
      </c>
      <c r="F26" s="43">
        <f>(F16+F17)*3.11%</f>
        <v>16472.44155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7023.5020153443756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37833.042322231879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567493.54232223192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567000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O15" sqref="O15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8" t="s">
        <v>82</v>
      </c>
      <c r="K3" s="138"/>
      <c r="L3" s="136" t="s">
        <v>51</v>
      </c>
      <c r="M3" s="136" t="s">
        <v>5</v>
      </c>
      <c r="N3" s="132" t="s">
        <v>83</v>
      </c>
      <c r="O3" s="132"/>
      <c r="P3" s="132" t="s">
        <v>84</v>
      </c>
      <c r="Q3" s="132"/>
      <c r="R3" s="133" t="s">
        <v>85</v>
      </c>
      <c r="S3" s="133"/>
      <c r="T3" s="133" t="s">
        <v>86</v>
      </c>
      <c r="U3" s="133"/>
      <c r="V3" s="134" t="s">
        <v>87</v>
      </c>
      <c r="W3" s="130" t="s">
        <v>88</v>
      </c>
      <c r="X3" s="128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7"/>
      <c r="M4" s="137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5"/>
      <c r="W4" s="131"/>
      <c r="X4" s="129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100</v>
      </c>
      <c r="J5" s="94" t="s">
        <v>101</v>
      </c>
      <c r="K5" s="95" t="s">
        <v>102</v>
      </c>
      <c r="L5" s="78" t="s">
        <v>103</v>
      </c>
      <c r="M5" s="105">
        <v>0.5</v>
      </c>
      <c r="N5" s="102"/>
      <c r="O5" s="103">
        <f>M5*N5</f>
        <v>0</v>
      </c>
      <c r="P5" s="101">
        <v>219321</v>
      </c>
      <c r="Q5" s="103">
        <f>M5*P5</f>
        <v>109660.5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109660.5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107</v>
      </c>
      <c r="K6" s="95" t="s">
        <v>75</v>
      </c>
      <c r="L6" s="78" t="s">
        <v>76</v>
      </c>
      <c r="M6" s="105">
        <v>1</v>
      </c>
      <c r="N6" s="102">
        <v>420000</v>
      </c>
      <c r="O6" s="103">
        <f>M6*N6</f>
        <v>420000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420000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420000</v>
      </c>
      <c r="Q7" s="118">
        <f>SUM(Q5:Q6)</f>
        <v>109660.5</v>
      </c>
      <c r="S7" s="115">
        <f>SUM(S5:S6)</f>
        <v>0</v>
      </c>
      <c r="U7" s="115">
        <f>SUM(U5:U6)</f>
        <v>0</v>
      </c>
      <c r="V7" s="119">
        <f>SUM(V5:V6)</f>
        <v>529660.5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4" zoomScale="130" zoomScaleNormal="130" zoomScaleSheetLayoutView="85" workbookViewId="0">
      <selection activeCell="G21" sqref="G21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22" sqref="H22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108</v>
      </c>
      <c r="D2" s="67" t="s">
        <v>78</v>
      </c>
      <c r="E2" s="67" t="s">
        <v>79</v>
      </c>
      <c r="F2" s="87">
        <v>1</v>
      </c>
      <c r="G2" s="90">
        <v>420000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G35" sqref="G3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120">
        <f>'내역서(표준단가)'!M5</f>
        <v>0.5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2025-05-30T00:43:25Z</dcterms:modified>
</cp:coreProperties>
</file>
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 codeName="현재_통합_문서"/>
  <xr:revisionPtr revIDLastSave="0" documentId="13_ncr:1_{B0EE8D66-7348-4AE1-B5CB-627048CC2C21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시중가 근거서류" sheetId="12" r:id="rId3"/>
    <sheet name="Upload(시중가)" sheetId="13" r:id="rId4"/>
    <sheet name="Upload" sheetId="1" r:id="rId5"/>
  </sheets>
  <definedNames>
    <definedName name="_xlnm.Print_Area" localSheetId="3">#REF!</definedName>
    <definedName name="_xlnm.Print_Area" localSheetId="2">#REF!</definedName>
    <definedName name="_xlnm.Print_Area">#REF!</definedName>
    <definedName name="_xlnm.Print_Titles" localSheetId="3">#REF!,#REF!</definedName>
    <definedName name="_xlnm.Print_Titles" localSheetId="2">#REF!,#REF!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4" l="1"/>
  <c r="O6" i="4"/>
  <c r="M6" i="4"/>
  <c r="K6" i="4"/>
  <c r="R6" i="4" s="1"/>
  <c r="Q5" i="4"/>
  <c r="O5" i="4"/>
  <c r="M5" i="4"/>
  <c r="K5" i="4"/>
  <c r="A5" i="4"/>
  <c r="R5" i="4" l="1"/>
  <c r="F3" i="1" l="1"/>
  <c r="E3" i="1"/>
  <c r="D3" i="1"/>
  <c r="C3" i="1"/>
  <c r="B3" i="1"/>
  <c r="F2" i="1"/>
  <c r="E2" i="1"/>
  <c r="D2" i="1"/>
  <c r="C2" i="1"/>
  <c r="B2" i="1"/>
  <c r="A2" i="1" l="1"/>
  <c r="A3" i="1" l="1"/>
  <c r="K7" i="4" l="1"/>
  <c r="M7" i="4"/>
  <c r="F17" i="5" s="1"/>
  <c r="F21" i="5" l="1"/>
  <c r="F22" i="5"/>
  <c r="R7" i="4"/>
  <c r="Q7" i="4"/>
  <c r="F16" i="5"/>
  <c r="O7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<sst xmlns="http://schemas.openxmlformats.org/spreadsheetml/2006/main" count="130" uniqueCount="106">
  <si>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</si>
  <si>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</si>
  <si>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</si>
  <si>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</si>
  <si>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</si>
  <si>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</si>
  <si>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</si>
  <si>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</si>
  <si>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</si>
  <si>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</si>
  <si>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</si>
  <si>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</si>
  <si>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</si>
  <si>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</si>
  <si>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</si>
  <si>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</si>
  <si>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</si>
  <si>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</si>
  <si>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</si>
  <si>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</si>
  <si>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</si>
  <si>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</si>
  <si>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</si>
  <si>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</si>
  <si>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</si>
  <si>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</si>
  <si>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</si>
  <si>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</si>
  <si>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</si>
  <si>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</si>
  <si>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</si>
  <si>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</si>
  <si>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</si>
  <si>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</si>
  <si>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</si>
  <si>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 (재료비+노무비)*2.93%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</si>
  <si>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</si>
  <si>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</si>
  <si>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</si>
  <si>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</si>
  <si>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</si>
  <si>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</si>
  <si>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</si>
  <si>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</si>
  <si>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</si>
  <si>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</si>
  <si>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</si>
  <si>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단위</t>
  </si>
  <si>
    <t xml:space="preserve"> 수신인 : 주식회사 에스엔아이 코퍼레이션</t>
    <phoneticPr fontId="12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</si>
  <si>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</si>
  <si>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</si>
  <si>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</si>
  <si>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</si>
  <si>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</si>
  <si>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</si>
  <si>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</si>
  <si>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</si>
  <si>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</si>
  <si>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</si>
  <si>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</si>
  <si>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</si>
  <si>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</si>
  <si>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</si>
  <si>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</si>
  <si>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</si>
  <si>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</si>
  <si>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</si>
  <si>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</si>
  <si>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</si>
  <si>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</si>
  <si>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</si>
  <si>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</si>
  <si>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</si>
  <si>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</si>
  <si>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</si>
  <si>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</si>
  <si>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</si>
  <si>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</si>
  <si>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 노무비*4.75%</t>
    <phoneticPr fontId="14" type="noConversion"/>
  </si>
  <si>
    <t> 노무비*3.595%</t>
    <phoneticPr fontId="14" type="noConversion"/>
  </si>
  <si>
    <t xml:space="preserve"> 견적일 : 2026년  02월  25일</t>
    <phoneticPr fontId="6" type="noConversion"/>
  </si>
  <si>
    <t xml:space="preserve"> 공사명 : 사택 5동 지하 양개 방화도어 교체</t>
    <phoneticPr fontId="12" type="noConversion"/>
  </si>
  <si>
    <t>L003</t>
  </si>
  <si>
    <t>현장정리 및 폐기물 처리</t>
    <phoneticPr fontId="6" type="noConversion"/>
  </si>
  <si>
    <t>특별인부 0.5*2일 작업</t>
    <phoneticPr fontId="6" type="noConversion"/>
  </si>
  <si>
    <t>인</t>
    <phoneticPr fontId="6" type="noConversion"/>
  </si>
  <si>
    <t>양개 방화문 교체(2개소)</t>
    <phoneticPr fontId="6" type="noConversion"/>
  </si>
  <si>
    <t>전문업체 견적서 참조</t>
    <phoneticPr fontId="6" type="noConversion"/>
  </si>
  <si>
    <t>set</t>
    <phoneticPr fontId="6" type="noConversion"/>
  </si>
  <si>
    <t>표준내역코드</t>
  </si>
  <si>
    <t>세부공종</t>
  </si>
  <si>
    <t>품명</t>
  </si>
  <si>
    <t>규격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</si>
  <si>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</si>
  <si>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</si>
  <si>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</si>
  <si>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</si>
  <si>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</si>
  <si>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</si>
  <si>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</si>
  <si>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</si>
  <si>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</si>
  <si>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</si>
  <si>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</si>
  <si>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</si>
  <si>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영선, 건축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</si>
</sst>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 "/>
    <numFmt numFmtId="184" formatCode="0.000_ "/>
    <numFmt numFmtId="185" formatCode="#,##0;\-#,##0;"/>
    <numFmt numFmtId="186" formatCode="0.000"/>
    <numFmt numFmtId="187" formatCode="_-* #,##0.0_-;\-* #,##0.0_-;_-* &quot;-&quot;_-;_-@_-"/>
    <numFmt numFmtId="188" formatCode="0.0_ "/>
  </numFmts>
  <fonts count="26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2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6" fillId="0" borderId="0" xfId="6" applyFont="1" applyAlignment="1">
      <alignment vertical="center"/>
    </xf>
    <xf numFmtId="0" fontId="17" fillId="0" borderId="0" xfId="3" applyFont="1"/>
    <xf numFmtId="0" fontId="18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19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19" fillId="0" borderId="7" xfId="6" applyFont="1" applyBorder="1" applyAlignment="1">
      <alignment vertical="center"/>
    </xf>
    <xf numFmtId="179" fontId="18" fillId="0" borderId="7" xfId="6" applyNumberFormat="1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0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0" fillId="0" borderId="12" xfId="6" applyFont="1" applyBorder="1" applyAlignment="1">
      <alignment vertical="center"/>
    </xf>
    <xf numFmtId="1" fontId="20" fillId="0" borderId="12" xfId="6" applyNumberFormat="1" applyFont="1" applyBorder="1" applyAlignment="1">
      <alignment horizontal="center" vertical="center"/>
    </xf>
    <xf numFmtId="180" fontId="20" fillId="0" borderId="12" xfId="7" applyFont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0" fillId="0" borderId="14" xfId="6" applyFont="1" applyBorder="1" applyAlignment="1">
      <alignment horizontal="center" vertical="center"/>
    </xf>
    <xf numFmtId="0" fontId="20" fillId="0" borderId="15" xfId="6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/>
    </xf>
    <xf numFmtId="1" fontId="20" fillId="0" borderId="15" xfId="6" applyNumberFormat="1" applyFont="1" applyBorder="1" applyAlignment="1">
      <alignment horizontal="center" vertical="center"/>
    </xf>
    <xf numFmtId="180" fontId="20" fillId="0" borderId="15" xfId="7" applyFont="1" applyBorder="1" applyAlignment="1">
      <alignment horizontal="right" vertical="center"/>
    </xf>
    <xf numFmtId="0" fontId="20" fillId="0" borderId="16" xfId="6" quotePrefix="1" applyFont="1" applyBorder="1" applyAlignment="1">
      <alignment vertical="center"/>
    </xf>
    <xf numFmtId="0" fontId="20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0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0" fillId="0" borderId="15" xfId="8" applyFont="1" applyBorder="1" applyAlignment="1">
      <alignment horizontal="center" vertical="center"/>
    </xf>
    <xf numFmtId="178" fontId="20" fillId="0" borderId="15" xfId="5" applyFont="1" applyFill="1" applyBorder="1" applyAlignment="1">
      <alignment horizontal="right" vertical="center"/>
    </xf>
    <xf numFmtId="0" fontId="20" fillId="5" borderId="16" xfId="6" applyFont="1" applyFill="1" applyBorder="1" applyAlignment="1">
      <alignment vertical="center"/>
    </xf>
    <xf numFmtId="0" fontId="20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0" fillId="0" borderId="15" xfId="3" applyNumberFormat="1" applyFont="1" applyBorder="1" applyAlignment="1">
      <alignment horizontal="right" vertical="center"/>
    </xf>
    <xf numFmtId="1" fontId="20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0" fillId="0" borderId="15" xfId="3" applyFont="1" applyBorder="1" applyAlignment="1">
      <alignment vertical="center"/>
    </xf>
    <xf numFmtId="180" fontId="20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0" fillId="0" borderId="19" xfId="6" applyFont="1" applyBorder="1" applyAlignment="1">
      <alignment vertical="center"/>
    </xf>
    <xf numFmtId="0" fontId="20" fillId="0" borderId="19" xfId="6" applyFont="1" applyBorder="1" applyAlignment="1">
      <alignment horizontal="right" vertical="center"/>
    </xf>
    <xf numFmtId="0" fontId="20" fillId="0" borderId="20" xfId="6" applyFont="1" applyBorder="1" applyAlignment="1">
      <alignment vertical="center"/>
    </xf>
    <xf numFmtId="0" fontId="13" fillId="0" borderId="0" xfId="10" applyFont="1"/>
    <xf numFmtId="181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2" fontId="21" fillId="3" borderId="0" xfId="2" applyNumberFormat="1" applyFont="1" applyFill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177" fontId="21" fillId="4" borderId="3" xfId="4" applyFont="1" applyFill="1" applyBorder="1" applyAlignment="1">
      <alignment horizontal="center" vertical="center"/>
    </xf>
    <xf numFmtId="178" fontId="21" fillId="4" borderId="3" xfId="5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49" fontId="17" fillId="5" borderId="3" xfId="0" applyNumberFormat="1" applyFont="1" applyFill="1" applyBorder="1" applyAlignment="1">
      <alignment horizontal="center" vertical="center" wrapText="1"/>
    </xf>
    <xf numFmtId="177" fontId="17" fillId="0" borderId="3" xfId="1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18" fillId="0" borderId="0" xfId="0" applyFont="1">
      <alignment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1" fontId="17" fillId="7" borderId="1" xfId="1" applyNumberFormat="1" applyFont="1" applyFill="1" applyBorder="1" applyAlignment="1">
      <alignment horizontal="center" vertical="center"/>
    </xf>
    <xf numFmtId="181" fontId="17" fillId="0" borderId="1" xfId="1" applyNumberFormat="1" applyFont="1" applyBorder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184" fontId="17" fillId="0" borderId="1" xfId="1" applyNumberFormat="1" applyFont="1" applyBorder="1" applyAlignment="1">
      <alignment horizontal="center"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185" fontId="17" fillId="5" borderId="3" xfId="0" applyNumberFormat="1" applyFont="1" applyFill="1" applyBorder="1" applyAlignment="1">
      <alignment horizontal="right" vertical="center" wrapText="1"/>
    </xf>
    <xf numFmtId="185" fontId="17" fillId="6" borderId="3" xfId="1" applyNumberFormat="1" applyFont="1" applyFill="1" applyBorder="1" applyAlignment="1">
      <alignment horizontal="right" vertical="center" wrapText="1"/>
    </xf>
    <xf numFmtId="185" fontId="17" fillId="0" borderId="3" xfId="1" applyNumberFormat="1" applyFont="1" applyFill="1" applyBorder="1" applyAlignment="1">
      <alignment horizontal="right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21" fillId="9" borderId="24" xfId="0" applyFont="1" applyFill="1" applyBorder="1">
      <alignment vertical="center"/>
    </xf>
    <xf numFmtId="0" fontId="21" fillId="9" borderId="21" xfId="0" applyFont="1" applyFill="1" applyBorder="1">
      <alignment vertical="center"/>
    </xf>
    <xf numFmtId="0" fontId="22" fillId="0" borderId="0" xfId="0" applyFont="1">
      <alignment vertical="center"/>
    </xf>
    <xf numFmtId="0" fontId="20" fillId="10" borderId="0" xfId="0" applyFont="1" applyFill="1">
      <alignment vertical="center"/>
    </xf>
    <xf numFmtId="0" fontId="20" fillId="5" borderId="0" xfId="0" applyFont="1" applyFill="1">
      <alignment vertical="center"/>
    </xf>
    <xf numFmtId="177" fontId="13" fillId="10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4" fillId="0" borderId="15" xfId="8" applyFont="1" applyBorder="1" applyAlignment="1">
      <alignment horizontal="center" vertical="center"/>
    </xf>
    <xf numFmtId="0" fontId="25" fillId="0" borderId="15" xfId="6" applyFont="1" applyBorder="1" applyAlignment="1">
      <alignment vertical="center"/>
    </xf>
    <xf numFmtId="0" fontId="24" fillId="0" borderId="15" xfId="6" applyFont="1" applyBorder="1" applyAlignment="1">
      <alignment horizontal="center" vertical="center"/>
    </xf>
    <xf numFmtId="178" fontId="25" fillId="0" borderId="15" xfId="5" applyFont="1" applyFill="1" applyBorder="1" applyAlignment="1">
      <alignment horizontal="right" vertical="center"/>
    </xf>
    <xf numFmtId="0" fontId="24" fillId="5" borderId="15" xfId="8" applyFont="1" applyFill="1" applyBorder="1" applyAlignment="1">
      <alignment horizontal="center" vertical="center"/>
    </xf>
    <xf numFmtId="0" fontId="24" fillId="5" borderId="15" xfId="6" applyFont="1" applyFill="1" applyBorder="1" applyAlignment="1">
      <alignment horizontal="center" vertical="center"/>
    </xf>
    <xf numFmtId="178" fontId="25" fillId="5" borderId="15" xfId="5" applyFont="1" applyFill="1" applyBorder="1" applyAlignment="1">
      <alignment horizontal="right" vertical="center"/>
    </xf>
    <xf numFmtId="49" fontId="17" fillId="7" borderId="3" xfId="0" applyNumberFormat="1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/>
    </xf>
    <xf numFmtId="49" fontId="22" fillId="7" borderId="3" xfId="0" applyNumberFormat="1" applyFont="1" applyFill="1" applyBorder="1" applyAlignment="1">
      <alignment horizontal="center" vertical="center" wrapText="1"/>
    </xf>
    <xf numFmtId="49" fontId="17" fillId="0" borderId="6" xfId="0" applyNumberFormat="1" applyFont="1" applyBorder="1" applyAlignment="1">
      <alignment horizontal="center" vertical="center" wrapText="1"/>
    </xf>
    <xf numFmtId="186" fontId="17" fillId="0" borderId="3" xfId="1" applyNumberFormat="1" applyFont="1" applyFill="1" applyBorder="1" applyAlignment="1">
      <alignment horizontal="center" vertical="center"/>
    </xf>
    <xf numFmtId="185" fontId="17" fillId="0" borderId="3" xfId="0" applyNumberFormat="1" applyFont="1" applyBorder="1" applyAlignment="1">
      <alignment horizontal="right" vertical="center"/>
    </xf>
    <xf numFmtId="187" fontId="17" fillId="5" borderId="3" xfId="1" applyNumberFormat="1" applyFont="1" applyFill="1" applyBorder="1" applyAlignment="1">
      <alignment horizontal="center" vertical="center"/>
    </xf>
    <xf numFmtId="0" fontId="18" fillId="0" borderId="0" xfId="19" applyFont="1">
      <alignment vertical="center"/>
    </xf>
    <xf numFmtId="0" fontId="23" fillId="0" borderId="0" xfId="19" applyFont="1">
      <alignment vertical="center"/>
    </xf>
    <xf numFmtId="0" fontId="18" fillId="0" borderId="0" xfId="19" applyFont="1" applyAlignment="1">
      <alignment horizontal="center" vertical="center"/>
    </xf>
    <xf numFmtId="49" fontId="17" fillId="2" borderId="31" xfId="0" applyNumberFormat="1" applyFont="1" applyFill="1" applyBorder="1" applyAlignment="1">
      <alignment horizontal="center" vertical="center" wrapText="1"/>
    </xf>
    <xf numFmtId="49" fontId="17" fillId="2" borderId="32" xfId="0" applyNumberFormat="1" applyFont="1" applyFill="1" applyBorder="1" applyAlignment="1">
      <alignment horizontal="center" vertical="center" wrapText="1"/>
    </xf>
    <xf numFmtId="188" fontId="17" fillId="0" borderId="0" xfId="0" applyNumberFormat="1" applyFont="1">
      <alignment vertical="center"/>
    </xf>
    <xf numFmtId="183" fontId="17" fillId="0" borderId="0" xfId="0" applyNumberFormat="1" applyFont="1">
      <alignment vertical="center"/>
    </xf>
    <xf numFmtId="0" fontId="16" fillId="0" borderId="0" xfId="6" applyFont="1" applyAlignment="1">
      <alignment horizontal="center" vertical="center"/>
    </xf>
    <xf numFmtId="0" fontId="19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9" borderId="3" xfId="0" applyFont="1" applyFill="1" applyBorder="1" applyAlignment="1">
      <alignment horizontal="center" vertical="center"/>
    </xf>
    <xf numFmtId="177" fontId="21" fillId="4" borderId="21" xfId="4" applyFont="1" applyFill="1" applyBorder="1" applyAlignment="1">
      <alignment horizontal="center" vertical="center"/>
    </xf>
    <xf numFmtId="178" fontId="21" fillId="4" borderId="21" xfId="5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B476147B-5E36-4C13-9919-3A814595066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3</xdr:row>
      <xdr:rowOff>136072</xdr:rowOff>
    </xdr:from>
    <xdr:to>
      <xdr:col>4</xdr:col>
      <xdr:colOff>51289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F9E3180-75BC-4D41-AB0A-63548B03BC8E}"/>
            </a:ext>
          </a:extLst>
        </xdr:cNvPr>
        <xdr:cNvSpPr/>
      </xdr:nvSpPr>
      <xdr:spPr>
        <a:xfrm>
          <a:off x="1" y="650422"/>
          <a:ext cx="4232763" cy="55136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293076</xdr:colOff>
      <xdr:row>5</xdr:row>
      <xdr:rowOff>124557</xdr:rowOff>
    </xdr:from>
    <xdr:to>
      <xdr:col>3</xdr:col>
      <xdr:colOff>516734</xdr:colOff>
      <xdr:row>35</xdr:row>
      <xdr:rowOff>29307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DE2F717-DB23-43C3-AB1D-DE1C89D5A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076" y="981807"/>
          <a:ext cx="3576458" cy="5048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4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4" t="s">
        <v>6</v>
      </c>
      <c r="B2" s="124"/>
      <c r="C2" s="124"/>
      <c r="D2" s="124"/>
      <c r="E2" s="124"/>
      <c r="F2" s="124"/>
      <c r="G2" s="124"/>
      <c r="H2" s="2"/>
    </row>
    <row r="3" spans="1:9" ht="14.25" x14ac:dyDescent="0.2">
      <c r="A3" s="80"/>
      <c r="B3" s="80"/>
      <c r="C3" s="80"/>
      <c r="D3" s="80"/>
      <c r="E3" s="80"/>
      <c r="F3" s="80"/>
      <c r="G3" s="80"/>
      <c r="H3" s="80"/>
    </row>
    <row r="4" spans="1:9" ht="14.25" x14ac:dyDescent="0.2">
      <c r="A4" s="80"/>
      <c r="B4" s="80"/>
      <c r="C4" s="80"/>
      <c r="D4" s="80"/>
      <c r="E4" s="80"/>
      <c r="H4" s="80"/>
    </row>
    <row r="5" spans="1:9" ht="27" customHeight="1" x14ac:dyDescent="0.2">
      <c r="A5" s="81" t="s">
        <v>48</v>
      </c>
      <c r="B5" s="4"/>
      <c r="C5" s="5"/>
      <c r="D5" s="80"/>
      <c r="E5" s="80"/>
      <c r="F5" s="6" t="s">
        <v>38</v>
      </c>
      <c r="G5" s="7" t="s">
        <v>51</v>
      </c>
      <c r="H5" s="80"/>
    </row>
    <row r="6" spans="1:9" ht="27" customHeight="1" x14ac:dyDescent="0.2">
      <c r="A6" s="80"/>
      <c r="B6" s="80"/>
      <c r="C6" s="80"/>
      <c r="D6" s="80"/>
      <c r="E6" s="80"/>
      <c r="F6" s="8" t="s">
        <v>41</v>
      </c>
      <c r="G6" s="9" t="s">
        <v>52</v>
      </c>
      <c r="H6" s="80"/>
    </row>
    <row r="7" spans="1:9" ht="27" customHeight="1" x14ac:dyDescent="0.2">
      <c r="A7" s="127" t="s">
        <v>81</v>
      </c>
      <c r="B7" s="128"/>
      <c r="C7" s="129"/>
      <c r="D7" s="80"/>
      <c r="E7" s="10"/>
      <c r="F7" s="11" t="s">
        <v>42</v>
      </c>
      <c r="G7" s="9" t="s">
        <v>53</v>
      </c>
      <c r="H7" s="80"/>
    </row>
    <row r="8" spans="1:9" ht="27" customHeight="1" x14ac:dyDescent="0.2">
      <c r="A8" s="80"/>
      <c r="B8" s="80"/>
      <c r="C8" s="80"/>
      <c r="D8" s="80"/>
      <c r="E8" s="80"/>
      <c r="F8" s="8" t="s">
        <v>43</v>
      </c>
      <c r="G8" s="9" t="s">
        <v>54</v>
      </c>
      <c r="H8" s="80"/>
    </row>
    <row r="9" spans="1:9" ht="27" customHeight="1" x14ac:dyDescent="0.2">
      <c r="A9" s="81" t="s">
        <v>80</v>
      </c>
      <c r="B9" s="101"/>
      <c r="C9" s="102"/>
      <c r="D9" s="80"/>
      <c r="E9" s="80"/>
      <c r="F9" s="8" t="s">
        <v>44</v>
      </c>
      <c r="G9" s="9" t="s">
        <v>55</v>
      </c>
      <c r="H9" s="80"/>
    </row>
    <row r="10" spans="1:9" ht="27" customHeight="1" x14ac:dyDescent="0.2">
      <c r="A10" s="80"/>
      <c r="B10" s="80"/>
      <c r="C10" s="80"/>
      <c r="D10" s="80"/>
      <c r="E10" s="80"/>
      <c r="F10" s="12" t="s">
        <v>39</v>
      </c>
      <c r="G10" s="13" t="s">
        <v>56</v>
      </c>
      <c r="H10" s="80"/>
      <c r="I10" s="80"/>
    </row>
    <row r="11" spans="1:9" ht="27" customHeight="1" x14ac:dyDescent="0.2">
      <c r="A11" s="125"/>
      <c r="B11" s="126"/>
      <c r="C11" s="126"/>
      <c r="D11" s="80"/>
      <c r="E11" s="14"/>
      <c r="F11" s="15" t="s">
        <v>40</v>
      </c>
      <c r="G11" s="16" t="s">
        <v>57</v>
      </c>
      <c r="H11" s="14"/>
    </row>
    <row r="12" spans="1:9" ht="18.75" thickBot="1" x14ac:dyDescent="0.25">
      <c r="A12" s="17" t="s">
        <v>7</v>
      </c>
      <c r="B12" s="17" t="str">
        <f>NUMBERSTRING(F31,1)</f>
        <v>오백삼십만사천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80"/>
      <c r="B13" s="80"/>
      <c r="C13" s="80"/>
      <c r="D13" s="80"/>
      <c r="E13" s="80"/>
      <c r="F13" s="80"/>
      <c r="G13" s="80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'내역서(표준단가)'!K7</f>
        <v>4880000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'내역서(표준단가)'!M7</f>
        <v>224490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'내역서(표준단가)'!O7+'내역서(표준단가)'!Q7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5104490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103" t="s">
        <v>23</v>
      </c>
      <c r="C21" s="104" t="s">
        <v>78</v>
      </c>
      <c r="D21" s="105">
        <v>1</v>
      </c>
      <c r="E21" s="105" t="s">
        <v>24</v>
      </c>
      <c r="F21" s="106">
        <f>F17*4.75%</f>
        <v>10663.275</v>
      </c>
      <c r="G21" s="35" t="s">
        <v>25</v>
      </c>
    </row>
    <row r="22" spans="1:7" ht="33" customHeight="1" x14ac:dyDescent="0.2">
      <c r="A22" s="29"/>
      <c r="B22" s="107" t="s">
        <v>26</v>
      </c>
      <c r="C22" s="104" t="s">
        <v>79</v>
      </c>
      <c r="D22" s="108">
        <v>1</v>
      </c>
      <c r="E22" s="108" t="s">
        <v>24</v>
      </c>
      <c r="F22" s="109">
        <f>F17*3.595%</f>
        <v>8070.415500000001</v>
      </c>
      <c r="G22" s="44" t="s">
        <v>27</v>
      </c>
    </row>
    <row r="23" spans="1:7" ht="33" customHeight="1" x14ac:dyDescent="0.2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1045.1188072500001</v>
      </c>
      <c r="G23" s="35" t="s">
        <v>27</v>
      </c>
    </row>
    <row r="24" spans="1:7" ht="33" customHeight="1" x14ac:dyDescent="0.2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2267.3489999999997</v>
      </c>
      <c r="G24" s="35" t="s">
        <v>27</v>
      </c>
    </row>
    <row r="25" spans="1:7" ht="33" customHeight="1" x14ac:dyDescent="0.2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7991.8440000000001</v>
      </c>
      <c r="G25" s="35" t="s">
        <v>27</v>
      </c>
    </row>
    <row r="26" spans="1:7" ht="33" customHeight="1" x14ac:dyDescent="0.2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149561.55700000003</v>
      </c>
      <c r="G26" s="35" t="s">
        <v>25</v>
      </c>
    </row>
    <row r="27" spans="1:7" ht="33" customHeight="1" x14ac:dyDescent="0.2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20204.477965362501</v>
      </c>
      <c r="G27" s="35"/>
    </row>
    <row r="28" spans="1:7" ht="33" customHeight="1" x14ac:dyDescent="0.2">
      <c r="A28" s="29"/>
      <c r="B28" s="36" t="s">
        <v>32</v>
      </c>
      <c r="C28" s="46"/>
      <c r="D28" s="47"/>
      <c r="E28" s="37"/>
      <c r="F28" s="48">
        <f>F21+F22+F23+F24+F25+F26+F27</f>
        <v>199804.03727261251</v>
      </c>
      <c r="G28" s="35"/>
    </row>
    <row r="29" spans="1:7" ht="33" customHeight="1" x14ac:dyDescent="0.2">
      <c r="A29" s="29"/>
      <c r="B29" s="40"/>
      <c r="C29" s="49"/>
      <c r="D29" s="50"/>
      <c r="E29" s="32"/>
      <c r="F29" s="51"/>
      <c r="G29" s="35"/>
    </row>
    <row r="30" spans="1:7" ht="33" customHeight="1" x14ac:dyDescent="0.2">
      <c r="A30" s="29"/>
      <c r="B30" s="52"/>
      <c r="C30" s="49"/>
      <c r="D30" s="50"/>
      <c r="E30" s="32"/>
      <c r="F30" s="53">
        <f>F19+F28+F29</f>
        <v>5304294.0372726126</v>
      </c>
      <c r="G30" s="35"/>
    </row>
    <row r="31" spans="1:7" ht="33" customHeight="1" x14ac:dyDescent="0.2">
      <c r="A31" s="29"/>
      <c r="B31" s="36" t="s">
        <v>33</v>
      </c>
      <c r="C31" s="36"/>
      <c r="D31" s="37"/>
      <c r="E31" s="37"/>
      <c r="F31" s="54">
        <f>ROUNDDOWN(F30,-3)</f>
        <v>5304000</v>
      </c>
      <c r="G31" s="35"/>
    </row>
    <row r="32" spans="1:7" ht="33" customHeight="1" thickBot="1" x14ac:dyDescent="0.25">
      <c r="A32" s="55"/>
      <c r="B32" s="56" t="s">
        <v>34</v>
      </c>
      <c r="C32" s="57"/>
      <c r="D32" s="57"/>
      <c r="E32" s="57"/>
      <c r="F32" s="58"/>
      <c r="G32" s="59"/>
    </row>
    <row r="33" spans="2:2" ht="15.75" x14ac:dyDescent="0.25">
      <c r="B33" s="60"/>
    </row>
    <row r="34" spans="2:2" ht="15.75" x14ac:dyDescent="0.25">
      <c r="B34" s="60"/>
    </row>
  </sheetData>
  <mergeCells count="3">
    <mergeCell ref="A2:G2"/>
    <mergeCell ref="A11:C11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7"/>
  <sheetViews>
    <sheetView showGridLines="0" zoomScale="90" zoomScaleNormal="90" workbookViewId="0">
      <pane ySplit="4" topLeftCell="A5" activePane="bottomLeft" state="frozen"/>
      <selection pane="bottomLeft" activeCell="K12" sqref="K12"/>
    </sheetView>
  </sheetViews>
  <sheetFormatPr defaultColWidth="9" defaultRowHeight="38.1" customHeight="1" x14ac:dyDescent="0.3"/>
  <cols>
    <col min="1" max="1" width="20.5" style="100" bestFit="1" customWidth="1"/>
    <col min="2" max="2" width="9" style="90" hidden="1" customWidth="1"/>
    <col min="3" max="5" width="12.625" style="90" hidden="1" customWidth="1"/>
    <col min="6" max="7" width="30.625" style="86" customWidth="1"/>
    <col min="8" max="8" width="12.25" style="90" bestFit="1" customWidth="1"/>
    <col min="9" max="9" width="8.25" style="90" customWidth="1"/>
    <col min="10" max="10" width="10.625" style="90" bestFit="1" customWidth="1"/>
    <col min="11" max="11" width="14" style="90" customWidth="1"/>
    <col min="12" max="12" width="12" style="90" bestFit="1" customWidth="1"/>
    <col min="13" max="13" width="15" style="90" bestFit="1" customWidth="1"/>
    <col min="14" max="14" width="9" style="90" customWidth="1"/>
    <col min="15" max="15" width="8.375" style="90" bestFit="1" customWidth="1"/>
    <col min="16" max="16" width="10.5" style="90" customWidth="1"/>
    <col min="17" max="17" width="8.375" style="90" bestFit="1" customWidth="1"/>
    <col min="18" max="18" width="15.625" style="90" bestFit="1" customWidth="1"/>
    <col min="19" max="19" width="10.625" style="62" bestFit="1" customWidth="1"/>
    <col min="20" max="20" width="8.5" style="90" bestFit="1" customWidth="1"/>
    <col min="21" max="16384" width="9" style="90"/>
  </cols>
  <sheetData>
    <row r="1" spans="1:20" ht="19.899999999999999" customHeight="1" x14ac:dyDescent="0.3">
      <c r="A1" s="130"/>
      <c r="B1" s="130"/>
      <c r="C1" s="130"/>
      <c r="D1" s="130"/>
      <c r="E1" s="130"/>
      <c r="J1" s="62"/>
      <c r="K1" s="89" t="s">
        <v>58</v>
      </c>
      <c r="M1" s="89" t="s">
        <v>58</v>
      </c>
      <c r="O1" s="89" t="s">
        <v>58</v>
      </c>
      <c r="Q1" s="89" t="s">
        <v>58</v>
      </c>
    </row>
    <row r="2" spans="1:20" ht="19.899999999999999" customHeight="1" thickBot="1" x14ac:dyDescent="0.35">
      <c r="A2" s="130"/>
      <c r="B2" s="130"/>
      <c r="C2" s="130"/>
      <c r="D2" s="130"/>
      <c r="E2" s="130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 x14ac:dyDescent="0.3">
      <c r="A3" s="91"/>
      <c r="B3" s="92" t="s">
        <v>59</v>
      </c>
      <c r="C3" s="92"/>
      <c r="D3" s="92"/>
      <c r="E3" s="92"/>
      <c r="F3" s="141" t="s">
        <v>60</v>
      </c>
      <c r="G3" s="141"/>
      <c r="H3" s="139" t="s">
        <v>47</v>
      </c>
      <c r="I3" s="139" t="s">
        <v>5</v>
      </c>
      <c r="J3" s="135" t="s">
        <v>61</v>
      </c>
      <c r="K3" s="135"/>
      <c r="L3" s="135" t="s">
        <v>62</v>
      </c>
      <c r="M3" s="135"/>
      <c r="N3" s="136" t="s">
        <v>63</v>
      </c>
      <c r="O3" s="136"/>
      <c r="P3" s="136" t="s">
        <v>64</v>
      </c>
      <c r="Q3" s="136"/>
      <c r="R3" s="137" t="s">
        <v>65</v>
      </c>
      <c r="S3" s="133" t="s">
        <v>66</v>
      </c>
      <c r="T3" s="131" t="s">
        <v>45</v>
      </c>
    </row>
    <row r="4" spans="1:20" ht="19.899999999999999" customHeight="1" x14ac:dyDescent="0.3">
      <c r="A4" s="65" t="s">
        <v>67</v>
      </c>
      <c r="B4" s="66" t="s">
        <v>68</v>
      </c>
      <c r="C4" s="66" t="s">
        <v>69</v>
      </c>
      <c r="D4" s="66" t="s">
        <v>70</v>
      </c>
      <c r="E4" s="66" t="s">
        <v>71</v>
      </c>
      <c r="F4" s="87" t="s">
        <v>72</v>
      </c>
      <c r="G4" s="87" t="s">
        <v>73</v>
      </c>
      <c r="H4" s="140"/>
      <c r="I4" s="140"/>
      <c r="J4" s="67" t="s">
        <v>74</v>
      </c>
      <c r="K4" s="68" t="s">
        <v>75</v>
      </c>
      <c r="L4" s="67" t="s">
        <v>76</v>
      </c>
      <c r="M4" s="68" t="s">
        <v>75</v>
      </c>
      <c r="N4" s="68" t="s">
        <v>77</v>
      </c>
      <c r="O4" s="68" t="s">
        <v>75</v>
      </c>
      <c r="P4" s="68" t="s">
        <v>77</v>
      </c>
      <c r="Q4" s="68" t="s">
        <v>75</v>
      </c>
      <c r="R4" s="138"/>
      <c r="S4" s="134"/>
      <c r="T4" s="132"/>
    </row>
    <row r="5" spans="1:20" s="93" customFormat="1" ht="38.1" customHeight="1" x14ac:dyDescent="0.3">
      <c r="A5" s="69" t="str">
        <f t="shared" ref="A5" si="0">B5&amp;C5&amp;D5&amp;E5</f>
        <v>L003</v>
      </c>
      <c r="B5" s="110"/>
      <c r="C5" s="70"/>
      <c r="D5" s="111"/>
      <c r="E5" s="112" t="s">
        <v>82</v>
      </c>
      <c r="F5" s="113" t="s">
        <v>83</v>
      </c>
      <c r="G5" s="85" t="s">
        <v>84</v>
      </c>
      <c r="H5" s="71" t="s">
        <v>85</v>
      </c>
      <c r="I5" s="114">
        <v>1</v>
      </c>
      <c r="J5" s="115"/>
      <c r="K5" s="83">
        <f>I5*J5</f>
        <v>0</v>
      </c>
      <c r="L5" s="82">
        <v>224490</v>
      </c>
      <c r="M5" s="83">
        <f>I5*L5</f>
        <v>224490</v>
      </c>
      <c r="N5" s="84"/>
      <c r="O5" s="83">
        <f t="shared" ref="O5:O6" si="1">N5*I5*$O$2</f>
        <v>0</v>
      </c>
      <c r="P5" s="84"/>
      <c r="Q5" s="83">
        <f t="shared" ref="Q5:Q6" si="2">P5*I5*$Q$2</f>
        <v>0</v>
      </c>
      <c r="R5" s="72">
        <f t="shared" ref="R5:R6" si="3">SUM(K5+M5)+O5+Q5</f>
        <v>224490</v>
      </c>
      <c r="S5" s="116"/>
      <c r="T5" s="73"/>
    </row>
    <row r="6" spans="1:20" s="93" customFormat="1" ht="38.1" customHeight="1" x14ac:dyDescent="0.3">
      <c r="A6" s="69">
        <v>999999</v>
      </c>
      <c r="B6" s="110"/>
      <c r="C6" s="70"/>
      <c r="D6" s="111"/>
      <c r="E6" s="110"/>
      <c r="F6" s="113" t="s">
        <v>86</v>
      </c>
      <c r="G6" s="85" t="s">
        <v>87</v>
      </c>
      <c r="H6" s="71" t="s">
        <v>88</v>
      </c>
      <c r="I6" s="114">
        <v>1</v>
      </c>
      <c r="J6" s="115">
        <v>4880000</v>
      </c>
      <c r="K6" s="83">
        <f>I6*J6</f>
        <v>4880000</v>
      </c>
      <c r="L6" s="82"/>
      <c r="M6" s="83">
        <f t="shared" ref="M6" si="4">(L6*I6)*$M$2</f>
        <v>0</v>
      </c>
      <c r="N6" s="84"/>
      <c r="O6" s="83">
        <f t="shared" si="1"/>
        <v>0</v>
      </c>
      <c r="P6" s="84"/>
      <c r="Q6" s="83">
        <f t="shared" si="2"/>
        <v>0</v>
      </c>
      <c r="R6" s="72">
        <f t="shared" si="3"/>
        <v>4880000</v>
      </c>
      <c r="S6" s="116"/>
      <c r="T6" s="73"/>
    </row>
    <row r="7" spans="1:20" s="99" customFormat="1" ht="38.1" customHeight="1" x14ac:dyDescent="0.3">
      <c r="A7" s="94"/>
      <c r="B7" s="95"/>
      <c r="C7" s="95"/>
      <c r="D7" s="95"/>
      <c r="E7" s="95"/>
      <c r="F7" s="88"/>
      <c r="G7" s="88"/>
      <c r="H7" s="95"/>
      <c r="I7" s="95"/>
      <c r="J7" s="95"/>
      <c r="K7" s="96">
        <f>SUM(K5:K6)</f>
        <v>4880000</v>
      </c>
      <c r="L7" s="97"/>
      <c r="M7" s="96">
        <f>SUM(M5:M6)</f>
        <v>224490</v>
      </c>
      <c r="N7" s="97"/>
      <c r="O7" s="96">
        <f>SUM(O5:O6)</f>
        <v>0</v>
      </c>
      <c r="P7" s="97"/>
      <c r="Q7" s="96">
        <f>SUM(Q5:Q6)</f>
        <v>0</v>
      </c>
      <c r="R7" s="98">
        <f>SUM(R5:R6)</f>
        <v>5104490</v>
      </c>
      <c r="S7" s="78"/>
      <c r="T7" s="95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A918-0E97-4685-B78F-1E5AAA3C7C30}">
  <sheetPr>
    <pageSetUpPr fitToPage="1"/>
  </sheetPr>
  <dimension ref="G1:P1"/>
  <sheetViews>
    <sheetView topLeftCell="A4" zoomScale="130" zoomScaleNormal="130" zoomScaleSheetLayoutView="85" workbookViewId="0">
      <selection activeCell="G24" sqref="G24"/>
    </sheetView>
  </sheetViews>
  <sheetFormatPr defaultColWidth="9" defaultRowHeight="14.25" x14ac:dyDescent="0.3"/>
  <cols>
    <col min="1" max="1" width="11.5" style="117" bestFit="1" customWidth="1"/>
    <col min="2" max="2" width="17.875" style="117" customWidth="1"/>
    <col min="3" max="3" width="14.625" style="117" customWidth="1"/>
    <col min="4" max="4" width="10.875" style="117" customWidth="1"/>
    <col min="5" max="5" width="12" style="117" customWidth="1"/>
    <col min="6" max="6" width="10.625" style="117" customWidth="1"/>
    <col min="7" max="7" width="13.625" style="118" customWidth="1"/>
    <col min="8" max="8" width="9.625" style="117" customWidth="1"/>
    <col min="9" max="9" width="13.625" style="117" customWidth="1"/>
    <col min="10" max="10" width="12.75" style="117" customWidth="1"/>
    <col min="11" max="11" width="9.25" style="117" customWidth="1"/>
    <col min="12" max="12" width="13.625" style="118" customWidth="1"/>
    <col min="13" max="13" width="9.625" style="117" customWidth="1"/>
    <col min="14" max="14" width="13.625" style="118" customWidth="1"/>
    <col min="15" max="15" width="19.75" style="119" bestFit="1" customWidth="1"/>
    <col min="16" max="16" width="12.25" style="119" bestFit="1" customWidth="1"/>
    <col min="17" max="16384" width="9" style="117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A174F-753B-4488-A6B3-0C92BBDEAE99}">
  <sheetPr>
    <pageSetUpPr fitToPage="1"/>
  </sheetPr>
  <dimension ref="A1:R2"/>
  <sheetViews>
    <sheetView workbookViewId="0">
      <selection activeCell="J25" sqref="J25"/>
    </sheetView>
  </sheetViews>
  <sheetFormatPr defaultColWidth="9" defaultRowHeight="14.25" x14ac:dyDescent="0.3"/>
  <cols>
    <col min="1" max="1" width="11.125" style="74" customWidth="1"/>
    <col min="2" max="2" width="13.375" style="74" customWidth="1"/>
    <col min="3" max="3" width="28.625" style="74" customWidth="1"/>
    <col min="4" max="4" width="28.75" style="74" customWidth="1"/>
    <col min="5" max="5" width="5" style="74" customWidth="1"/>
    <col min="6" max="6" width="6.25" style="74" customWidth="1"/>
    <col min="7" max="7" width="10" style="74" customWidth="1"/>
    <col min="8" max="8" width="11.875" style="74" customWidth="1"/>
    <col min="9" max="9" width="10" style="74" customWidth="1"/>
    <col min="10" max="10" width="11.875" style="74" customWidth="1"/>
    <col min="11" max="11" width="10" style="74" customWidth="1"/>
    <col min="12" max="12" width="11.875" style="74" customWidth="1"/>
    <col min="13" max="13" width="10" style="74" customWidth="1"/>
    <col min="14" max="14" width="11.875" style="74" customWidth="1"/>
    <col min="15" max="15" width="9.125" style="74" customWidth="1"/>
    <col min="16" max="16" width="11.5" style="74" customWidth="1"/>
    <col min="17" max="17" width="11.75" style="74" customWidth="1"/>
    <col min="18" max="18" width="17.875" style="74" customWidth="1"/>
    <col min="19" max="16384" width="9" style="74"/>
  </cols>
  <sheetData>
    <row r="1" spans="1:18" ht="18" customHeight="1" x14ac:dyDescent="0.3">
      <c r="A1" s="75" t="s">
        <v>89</v>
      </c>
      <c r="B1" s="120" t="s">
        <v>90</v>
      </c>
      <c r="C1" s="121" t="s">
        <v>91</v>
      </c>
      <c r="D1" s="121" t="s">
        <v>92</v>
      </c>
      <c r="E1" s="121" t="s">
        <v>47</v>
      </c>
      <c r="F1" s="121" t="s">
        <v>5</v>
      </c>
      <c r="G1" s="120" t="s">
        <v>93</v>
      </c>
      <c r="H1" s="120" t="s">
        <v>94</v>
      </c>
      <c r="I1" s="120" t="s">
        <v>95</v>
      </c>
      <c r="J1" s="120" t="s">
        <v>96</v>
      </c>
      <c r="K1" s="120" t="s">
        <v>97</v>
      </c>
      <c r="L1" s="120" t="s">
        <v>98</v>
      </c>
      <c r="M1" s="120" t="s">
        <v>99</v>
      </c>
      <c r="N1" s="120" t="s">
        <v>100</v>
      </c>
      <c r="O1" s="120" t="s">
        <v>101</v>
      </c>
      <c r="P1" s="120" t="s">
        <v>102</v>
      </c>
      <c r="Q1" s="120" t="s">
        <v>103</v>
      </c>
      <c r="R1" s="120" t="s">
        <v>104</v>
      </c>
    </row>
    <row r="2" spans="1:18" x14ac:dyDescent="0.3">
      <c r="A2" s="62">
        <v>999999</v>
      </c>
      <c r="B2" s="62" t="s">
        <v>105</v>
      </c>
      <c r="C2" s="62" t="s">
        <v>86</v>
      </c>
      <c r="D2" s="62" t="s">
        <v>87</v>
      </c>
      <c r="E2" s="62" t="s">
        <v>88</v>
      </c>
      <c r="F2" s="122">
        <v>1</v>
      </c>
      <c r="G2" s="123">
        <v>4880000</v>
      </c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3"/>
  <sheetViews>
    <sheetView showGridLines="0" zoomScaleNormal="100" workbookViewId="0">
      <selection activeCell="H33" sqref="H33"/>
    </sheetView>
  </sheetViews>
  <sheetFormatPr defaultColWidth="9" defaultRowHeight="14.25" x14ac:dyDescent="0.3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4"/>
  </cols>
  <sheetData>
    <row r="1" spans="1:6" ht="18" customHeight="1" x14ac:dyDescent="0.3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</row>
    <row r="2" spans="1:6" x14ac:dyDescent="0.3">
      <c r="A2" s="76" t="str">
        <f>'내역서(표준단가)'!A5</f>
        <v>L003</v>
      </c>
      <c r="B2" s="77">
        <f>'내역서(표준단가)'!B5</f>
        <v>0</v>
      </c>
      <c r="C2" s="77">
        <f>'내역서(표준단가)'!C5</f>
        <v>0</v>
      </c>
      <c r="D2" s="77">
        <f>'내역서(표준단가)'!D5</f>
        <v>0</v>
      </c>
      <c r="E2" s="77" t="str">
        <f>'내역서(표준단가)'!E5</f>
        <v>L003</v>
      </c>
      <c r="F2" s="79">
        <f>'내역서(표준단가)'!I5</f>
        <v>1</v>
      </c>
    </row>
    <row r="3" spans="1:6" x14ac:dyDescent="0.3">
      <c r="A3" s="76">
        <f>'내역서(표준단가)'!A6</f>
        <v>999999</v>
      </c>
      <c r="B3" s="77">
        <f>'내역서(표준단가)'!B6</f>
        <v>0</v>
      </c>
      <c r="C3" s="77">
        <f>'내역서(표준단가)'!C6</f>
        <v>0</v>
      </c>
      <c r="D3" s="77">
        <f>'내역서(표준단가)'!D6</f>
        <v>0</v>
      </c>
      <c r="E3" s="77">
        <f>'내역서(표준단가)'!E6</f>
        <v>0</v>
      </c>
      <c r="F3" s="79">
        <f>'내역서(표준단가)'!I6</f>
        <v>1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2026-03-03T06:07:08Z</dcterms:modified>
</cp:coreProperties>
</file>
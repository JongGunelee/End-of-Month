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5DDF9563-C8E5-41A9-B604-B74D534E0601}" xr6:coauthVersionLast="36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9" i="1" l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10" i="4"/>
  <c r="S10" i="4"/>
  <c r="Q10" i="4"/>
  <c r="O10" i="4"/>
  <c r="A10" i="4"/>
  <c r="A7" i="1" s="1"/>
  <c r="V10" i="4" l="1"/>
  <c r="Q12" i="4"/>
  <c r="Q11" i="4"/>
  <c r="U12" i="4"/>
  <c r="S12" i="4"/>
  <c r="O12" i="4"/>
  <c r="A12" i="4"/>
  <c r="A9" i="1" s="1"/>
  <c r="U11" i="4"/>
  <c r="S11" i="4"/>
  <c r="O11" i="4"/>
  <c r="A11" i="4"/>
  <c r="A8" i="1" s="1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V12" i="4" l="1"/>
  <c r="V8" i="4"/>
  <c r="V9" i="4"/>
  <c r="V6" i="4"/>
  <c r="V7" i="4"/>
  <c r="V11" i="4"/>
  <c r="U5" i="4"/>
  <c r="S5" i="4"/>
  <c r="Q5" i="4"/>
  <c r="O5" i="4"/>
  <c r="V5" i="4" l="1"/>
  <c r="F2" i="1" l="1"/>
  <c r="E2" i="1"/>
  <c r="D2" i="1"/>
  <c r="C2" i="1"/>
  <c r="B2" i="1"/>
  <c r="A5" i="4"/>
  <c r="A2" i="1" s="1"/>
  <c r="U13" i="4" l="1"/>
  <c r="Q13" i="4"/>
  <c r="S13" i="4" l="1"/>
  <c r="V13" i="4" l="1"/>
  <c r="F18" i="5" l="1"/>
  <c r="O13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<sst xmlns="http://schemas.openxmlformats.org/spreadsheetml/2006/main" count="132" uniqueCount="108">
  <si>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</si>
  <si>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</si>
  <si>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</si>
  <si>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</si>
  <si>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</si>
  <si>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</si>
  <si>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</si>
  <si>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</si>
  <si>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</si>
  <si>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</si>
  <si>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</si>
  <si>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</si>
  <si>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</si>
  <si>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</si>
  <si>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</si>
  <si>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</si>
  <si>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</si>
  <si>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</si>
  <si>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</si>
  <si>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</si>
  <si>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</si>
  <si>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</si>
  <si>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</si>
  <si>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</si>
  <si>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</si>
  <si>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</si>
  <si>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</si>
  <si>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</si>
  <si>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</si>
  <si>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</si>
  <si>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</si>
  <si>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</si>
  <si>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</si>
  <si>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</si>
  <si>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</si>
  <si>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</si>
  <si>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</si>
  <si>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</si>
  <si>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</si>
  <si>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</si>
  <si>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</si>
  <si>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</si>
  <si>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</si>
  <si>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</si>
  <si>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</si>
  <si>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</si>
  <si>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</si>
  <si>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</si>
  <si>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</si>
  <si>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</si>
  <si>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</si>
  <si>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</si>
  <si>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</si>
  <si>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</si>
  <si>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</si>
  <si>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</si>
  <si>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</si>
  <si>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</si>
  <si>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인</t>
    <phoneticPr fontId="10" type="noConversion"/>
  </si>
  <si>
    <t>시중노임단가</t>
    <phoneticPr fontId="10" type="noConversion"/>
  </si>
  <si>
    <t>L003</t>
  </si>
  <si>
    <t>특별인부</t>
    <phoneticPr fontId="10" type="noConversion"/>
  </si>
  <si>
    <t>다우실 MS 704</t>
  </si>
  <si>
    <t>1액형 변성 실리콘, 크랙 보수용, 비오염성, 방수씰링</t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</si>
  <si>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</si>
  <si>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</si>
  <si>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</si>
  <si>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단위</t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</si>
  <si>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</si>
  <si>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</si>
  <si>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</si>
  <si>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</si>
  <si>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</si>
  <si>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</si>
  <si>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</si>
  <si>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</si>
  <si>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</si>
  <si>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</si>
  <si>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</si>
  <si>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</si>
  <si>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</si>
  <si>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</si>
  <si>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</si>
  <si>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</si>
  <si>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</si>
  <si>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매</t>
  </si>
  <si>
    <t>E00000801011510201</t>
  </si>
  <si>
    <t>건출물 현장정리</t>
  </si>
  <si>
    <t>철근콘크리트조·철골·철근콘크리트조</t>
  </si>
  <si>
    <t>(연면적 ㎡ 당)</t>
  </si>
  <si>
    <t>E00000803073010104</t>
  </si>
  <si>
    <t>바탕처리</t>
  </si>
  <si>
    <t>불량 - 수직부</t>
  </si>
  <si>
    <t>(㎡ 당)</t>
  </si>
  <si>
    <t>E00000803073021001</t>
  </si>
  <si>
    <t>시멘트 혼입 폴리머계 도막 방수 바름</t>
  </si>
  <si>
    <t>노출공법</t>
  </si>
  <si>
    <t>E00000803073030101</t>
  </si>
  <si>
    <t>수밀 코킹</t>
  </si>
  <si>
    <t>(m 당)</t>
  </si>
  <si>
    <t>M020251411760101</t>
  </si>
  <si>
    <t>270㎖</t>
  </si>
  <si>
    <t> (재료비+노무비)*3.11%</t>
    <phoneticPr fontId="18" type="noConversion"/>
  </si>
  <si>
    <t>M060302210060101</t>
  </si>
  <si>
    <t>PVC평판(회색)</t>
  </si>
  <si>
    <t>1,000×2,000×10㎜</t>
  </si>
  <si>
    <t xml:space="preserve"> 공사명 : 사택 102-501 베란다 누수보수(전후면)</t>
    <phoneticPr fontId="16" type="noConversion"/>
  </si>
  <si>
    <t xml:space="preserve"> 견적일 : 2025년  01월  13일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</si>
</sst>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#,###,###"/>
    <numFmt numFmtId="184" formatCode="0.0_ "/>
    <numFmt numFmtId="185" formatCode="#,##0;\-#,##0;"/>
    <numFmt numFmtId="186" formatCode="0.000"/>
  </numFmts>
  <fonts count="3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9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5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6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5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6" fillId="0" borderId="7" xfId="6" applyFont="1" applyBorder="1" applyAlignment="1">
      <alignment vertical="center"/>
    </xf>
    <xf numFmtId="179" fontId="25" fillId="0" borderId="7" xfId="6" applyNumberFormat="1" applyFont="1" applyBorder="1" applyAlignment="1">
      <alignment vertical="center"/>
    </xf>
    <xf numFmtId="0" fontId="25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7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7" fillId="0" borderId="12" xfId="6" applyFont="1" applyBorder="1" applyAlignment="1">
      <alignment vertical="center"/>
    </xf>
    <xf numFmtId="1" fontId="27" fillId="0" borderId="12" xfId="6" applyNumberFormat="1" applyFont="1" applyBorder="1" applyAlignment="1">
      <alignment horizontal="center" vertical="center"/>
    </xf>
    <xf numFmtId="180" fontId="27" fillId="0" borderId="12" xfId="7" applyFont="1" applyBorder="1" applyAlignment="1">
      <alignment horizontal="right" vertical="center"/>
    </xf>
    <xf numFmtId="0" fontId="27" fillId="0" borderId="13" xfId="6" applyFont="1" applyBorder="1" applyAlignment="1">
      <alignment vertical="center"/>
    </xf>
    <xf numFmtId="0" fontId="27" fillId="0" borderId="14" xfId="6" applyFont="1" applyBorder="1" applyAlignment="1">
      <alignment horizontal="center" vertical="center"/>
    </xf>
    <xf numFmtId="0" fontId="27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7" fillId="0" borderId="15" xfId="6" applyNumberFormat="1" applyFont="1" applyBorder="1" applyAlignment="1">
      <alignment horizontal="center" vertical="center"/>
    </xf>
    <xf numFmtId="180" fontId="27" fillId="0" borderId="15" xfId="7" applyFont="1" applyBorder="1" applyAlignment="1">
      <alignment horizontal="right" vertical="center"/>
    </xf>
    <xf numFmtId="0" fontId="27" fillId="0" borderId="16" xfId="6" quotePrefix="1" applyFont="1" applyBorder="1" applyAlignment="1">
      <alignment vertical="center"/>
    </xf>
    <xf numFmtId="0" fontId="27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7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7" fillId="0" borderId="15" xfId="8" applyFont="1" applyBorder="1" applyAlignment="1">
      <alignment horizontal="center" vertical="center"/>
    </xf>
    <xf numFmtId="178" fontId="27" fillId="0" borderId="15" xfId="5" applyFont="1" applyFill="1" applyBorder="1" applyAlignment="1">
      <alignment horizontal="right" vertical="center"/>
    </xf>
    <xf numFmtId="0" fontId="27" fillId="5" borderId="15" xfId="8" applyFont="1" applyFill="1" applyBorder="1" applyAlignment="1">
      <alignment horizontal="center" vertical="center"/>
    </xf>
    <xf numFmtId="0" fontId="27" fillId="5" borderId="15" xfId="6" applyFont="1" applyFill="1" applyBorder="1" applyAlignment="1">
      <alignment vertical="center"/>
    </xf>
    <xf numFmtId="0" fontId="27" fillId="5" borderId="15" xfId="6" applyFont="1" applyFill="1" applyBorder="1" applyAlignment="1">
      <alignment horizontal="center" vertical="center"/>
    </xf>
    <xf numFmtId="178" fontId="27" fillId="5" borderId="15" xfId="5" applyFont="1" applyFill="1" applyBorder="1" applyAlignment="1">
      <alignment horizontal="right" vertical="center"/>
    </xf>
    <xf numFmtId="0" fontId="27" fillId="5" borderId="16" xfId="6" applyFont="1" applyFill="1" applyBorder="1" applyAlignment="1">
      <alignment vertical="center"/>
    </xf>
    <xf numFmtId="0" fontId="27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7" fillId="0" borderId="15" xfId="3" applyNumberFormat="1" applyFont="1" applyBorder="1" applyAlignment="1">
      <alignment horizontal="right" vertical="center"/>
    </xf>
    <xf numFmtId="1" fontId="27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7" fillId="0" borderId="15" xfId="3" applyFont="1" applyBorder="1" applyAlignment="1">
      <alignment vertical="center"/>
    </xf>
    <xf numFmtId="180" fontId="27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7" fillId="0" borderId="19" xfId="6" applyFont="1" applyBorder="1" applyAlignment="1">
      <alignment vertical="center"/>
    </xf>
    <xf numFmtId="0" fontId="27" fillId="0" borderId="19" xfId="6" applyFont="1" applyBorder="1" applyAlignment="1">
      <alignment horizontal="right" vertical="center"/>
    </xf>
    <xf numFmtId="0" fontId="27" fillId="0" borderId="20" xfId="6" applyFont="1" applyBorder="1" applyAlignment="1">
      <alignment vertical="center"/>
    </xf>
    <xf numFmtId="0" fontId="17" fillId="0" borderId="0" xfId="10" applyFont="1"/>
    <xf numFmtId="181" fontId="25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182" fontId="28" fillId="3" borderId="0" xfId="2" applyNumberFormat="1" applyFont="1" applyFill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177" fontId="28" fillId="4" borderId="3" xfId="4" applyFont="1" applyFill="1" applyBorder="1" applyAlignment="1">
      <alignment horizontal="center" vertical="center"/>
    </xf>
    <xf numFmtId="178" fontId="28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177" fontId="24" fillId="6" borderId="3" xfId="1" applyFont="1" applyFill="1" applyBorder="1" applyAlignment="1">
      <alignment horizontal="center" vertical="center" wrapText="1"/>
    </xf>
    <xf numFmtId="177" fontId="24" fillId="0" borderId="3" xfId="1" applyFont="1" applyFill="1" applyBorder="1" applyAlignment="1">
      <alignment horizontal="center" vertical="center" wrapText="1"/>
    </xf>
    <xf numFmtId="0" fontId="24" fillId="5" borderId="3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9" fontId="24" fillId="0" borderId="3" xfId="0" applyNumberFormat="1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183" fontId="24" fillId="5" borderId="3" xfId="0" applyNumberFormat="1" applyFont="1" applyFill="1" applyBorder="1" applyAlignment="1">
      <alignment horizontal="center" vertical="center" wrapText="1"/>
    </xf>
    <xf numFmtId="184" fontId="24" fillId="0" borderId="1" xfId="1" applyNumberFormat="1" applyFont="1" applyBorder="1" applyAlignment="1">
      <alignment horizontal="center"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24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0" fontId="25" fillId="0" borderId="0" xfId="0" applyFont="1">
      <alignment vertical="center"/>
    </xf>
    <xf numFmtId="185" fontId="24" fillId="5" borderId="3" xfId="0" applyNumberFormat="1" applyFont="1" applyFill="1" applyBorder="1" applyAlignment="1">
      <alignment horizontal="right" vertical="center"/>
    </xf>
    <xf numFmtId="185" fontId="24" fillId="6" borderId="3" xfId="1" applyNumberFormat="1" applyFont="1" applyFill="1" applyBorder="1" applyAlignment="1">
      <alignment horizontal="right" vertical="center" wrapText="1"/>
    </xf>
    <xf numFmtId="185" fontId="24" fillId="5" borderId="3" xfId="1" applyNumberFormat="1" applyFont="1" applyFill="1" applyBorder="1" applyAlignment="1">
      <alignment horizontal="right" vertical="center"/>
    </xf>
    <xf numFmtId="185" fontId="24" fillId="0" borderId="3" xfId="1" applyNumberFormat="1" applyFont="1" applyFill="1" applyBorder="1" applyAlignment="1">
      <alignment horizontal="right" vertical="center" wrapText="1"/>
    </xf>
    <xf numFmtId="185" fontId="24" fillId="5" borderId="3" xfId="1" applyNumberFormat="1" applyFont="1" applyFill="1" applyBorder="1" applyAlignment="1">
      <alignment horizontal="right" vertical="center" wrapText="1"/>
    </xf>
    <xf numFmtId="185" fontId="24" fillId="5" borderId="3" xfId="0" applyNumberFormat="1" applyFont="1" applyFill="1" applyBorder="1" applyAlignment="1">
      <alignment horizontal="right" vertical="center" wrapText="1"/>
    </xf>
    <xf numFmtId="186" fontId="24" fillId="5" borderId="3" xfId="1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28" fillId="4" borderId="3" xfId="3" applyFont="1" applyFill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49" fontId="24" fillId="0" borderId="3" xfId="3" applyNumberFormat="1" applyFont="1" applyBorder="1" applyAlignment="1">
      <alignment horizontal="center" vertical="center" wrapText="1" shrinkToFit="1"/>
    </xf>
    <xf numFmtId="0" fontId="27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8" fillId="9" borderId="24" xfId="0" applyFont="1" applyFill="1" applyBorder="1">
      <alignment vertical="center"/>
    </xf>
    <xf numFmtId="0" fontId="28" fillId="9" borderId="21" xfId="0" applyFont="1" applyFill="1" applyBorder="1">
      <alignment vertical="center"/>
    </xf>
    <xf numFmtId="0" fontId="29" fillId="0" borderId="0" xfId="0" applyFont="1">
      <alignment vertical="center"/>
    </xf>
    <xf numFmtId="0" fontId="27" fillId="10" borderId="0" xfId="0" applyFont="1" applyFill="1">
      <alignment vertical="center"/>
    </xf>
    <xf numFmtId="0" fontId="27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5" borderId="0" xfId="0" applyFont="1" applyFill="1">
      <alignment vertical="center"/>
    </xf>
    <xf numFmtId="177" fontId="24" fillId="0" borderId="0" xfId="0" applyNumberFormat="1" applyFont="1">
      <alignment vertical="center"/>
    </xf>
    <xf numFmtId="0" fontId="24" fillId="6" borderId="3" xfId="0" applyFont="1" applyFill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6" fillId="0" borderId="0" xfId="6" applyFont="1" applyAlignment="1">
      <alignment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177" fontId="28" fillId="4" borderId="21" xfId="4" applyFont="1" applyFill="1" applyBorder="1" applyAlignment="1">
      <alignment horizontal="center" vertical="center"/>
    </xf>
    <xf numFmtId="178" fontId="28" fillId="4" borderId="21" xfId="5" applyFont="1" applyFill="1" applyBorder="1" applyAlignment="1">
      <alignment horizontal="center" vertical="center"/>
    </xf>
    <xf numFmtId="0" fontId="28" fillId="4" borderId="21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 wrapText="1"/>
    </xf>
  </cellXfs>
  <cellStyles count="2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28" xr:uid="{27306CBF-92D0-42A2-8354-67A3F495EE38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L18" sqref="L18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17" t="s">
        <v>6</v>
      </c>
      <c r="B2" s="117"/>
      <c r="C2" s="117"/>
      <c r="D2" s="117"/>
      <c r="E2" s="117"/>
      <c r="F2" s="117"/>
      <c r="G2" s="117"/>
      <c r="H2" s="2"/>
    </row>
    <row r="3" spans="1:9" ht="13.5">
      <c r="A3" s="87"/>
      <c r="B3" s="87"/>
      <c r="C3" s="87"/>
      <c r="D3" s="87"/>
      <c r="E3" s="87"/>
      <c r="F3" s="87"/>
      <c r="G3" s="87"/>
      <c r="H3" s="87"/>
    </row>
    <row r="4" spans="1:9" ht="13.5">
      <c r="A4" s="87"/>
      <c r="B4" s="87"/>
      <c r="C4" s="87"/>
      <c r="D4" s="87"/>
      <c r="E4" s="87"/>
      <c r="H4" s="87"/>
    </row>
    <row r="5" spans="1:9" ht="27" customHeight="1">
      <c r="A5" s="88" t="s">
        <v>47</v>
      </c>
      <c r="B5" s="4"/>
      <c r="C5" s="5"/>
      <c r="D5" s="87"/>
      <c r="E5" s="87"/>
      <c r="F5" s="6" t="s">
        <v>38</v>
      </c>
      <c r="G5" s="7" t="s">
        <v>51</v>
      </c>
      <c r="H5" s="87"/>
    </row>
    <row r="6" spans="1:9" ht="27" customHeight="1">
      <c r="A6" s="87"/>
      <c r="B6" s="87"/>
      <c r="C6" s="87"/>
      <c r="D6" s="87"/>
      <c r="E6" s="87"/>
      <c r="F6" s="8" t="s">
        <v>41</v>
      </c>
      <c r="G6" s="9" t="s">
        <v>52</v>
      </c>
      <c r="H6" s="87"/>
    </row>
    <row r="7" spans="1:9" ht="27" customHeight="1">
      <c r="A7" s="120" t="s">
        <v>106</v>
      </c>
      <c r="B7" s="121"/>
      <c r="C7" s="122"/>
      <c r="D7" s="87"/>
      <c r="E7" s="10"/>
      <c r="F7" s="11" t="s">
        <v>42</v>
      </c>
      <c r="G7" s="9" t="s">
        <v>53</v>
      </c>
      <c r="H7" s="87"/>
    </row>
    <row r="8" spans="1:9" ht="27" customHeight="1">
      <c r="A8" s="87"/>
      <c r="B8" s="87"/>
      <c r="C8" s="87"/>
      <c r="D8" s="87"/>
      <c r="E8" s="87"/>
      <c r="F8" s="8" t="s">
        <v>43</v>
      </c>
      <c r="G8" s="9" t="s">
        <v>54</v>
      </c>
      <c r="H8" s="87"/>
    </row>
    <row r="9" spans="1:9" ht="27" customHeight="1">
      <c r="A9" s="120" t="s">
        <v>107</v>
      </c>
      <c r="B9" s="121"/>
      <c r="C9" s="122"/>
      <c r="D9" s="87"/>
      <c r="E9" s="87"/>
      <c r="F9" s="8" t="s">
        <v>44</v>
      </c>
      <c r="G9" s="9" t="s">
        <v>55</v>
      </c>
      <c r="H9" s="87"/>
    </row>
    <row r="10" spans="1:9" ht="27" customHeight="1">
      <c r="A10" s="87"/>
      <c r="B10" s="87"/>
      <c r="C10" s="87"/>
      <c r="D10" s="87"/>
      <c r="E10" s="87"/>
      <c r="F10" s="12" t="s">
        <v>39</v>
      </c>
      <c r="G10" s="13" t="s">
        <v>56</v>
      </c>
      <c r="H10" s="87"/>
      <c r="I10" s="87"/>
    </row>
    <row r="11" spans="1:9" ht="27" customHeight="1">
      <c r="A11" s="118"/>
      <c r="B11" s="119"/>
      <c r="C11" s="119"/>
      <c r="D11" s="87"/>
      <c r="E11" s="14"/>
      <c r="F11" s="15" t="s">
        <v>40</v>
      </c>
      <c r="G11" s="16" t="s">
        <v>57</v>
      </c>
      <c r="H11" s="14"/>
    </row>
    <row r="12" spans="1:9" ht="19.5" thickBot="1">
      <c r="A12" s="17" t="s">
        <v>7</v>
      </c>
      <c r="B12" s="17" t="str">
        <f>NUMBERSTRING(F31,1)</f>
        <v>일백삼십삼만이천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87"/>
      <c r="B13" s="87"/>
      <c r="C13" s="87"/>
      <c r="D13" s="87"/>
      <c r="E13" s="87"/>
      <c r="F13" s="87"/>
      <c r="G13" s="87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'내역서(표준단가)'!O13</f>
        <v>158933.9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'내역서(표준단가)'!Q13</f>
        <v>958116.27500000002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'내역서(표준단가)'!S13+'내역서(표준단가)'!U13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1117050.175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43115.232375</v>
      </c>
      <c r="G21" s="35" t="s">
        <v>26</v>
      </c>
    </row>
    <row r="22" spans="1:7" ht="33" customHeight="1">
      <c r="A22" s="29"/>
      <c r="B22" s="44" t="s">
        <v>27</v>
      </c>
      <c r="C22" s="45" t="s">
        <v>48</v>
      </c>
      <c r="D22" s="46">
        <v>1</v>
      </c>
      <c r="E22" s="46" t="s">
        <v>25</v>
      </c>
      <c r="F22" s="47">
        <f>F17*3.545%</f>
        <v>33965.221948750004</v>
      </c>
      <c r="G22" s="48" t="s">
        <v>28</v>
      </c>
    </row>
    <row r="23" spans="1:7" ht="33" customHeight="1">
      <c r="A23" s="29"/>
      <c r="B23" s="42" t="s">
        <v>29</v>
      </c>
      <c r="C23" s="40" t="s">
        <v>49</v>
      </c>
      <c r="D23" s="30">
        <v>1</v>
      </c>
      <c r="E23" s="30" t="s">
        <v>25</v>
      </c>
      <c r="F23" s="43">
        <f>F22*12.95%</f>
        <v>4398.4962423631259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9676.9743775000006</v>
      </c>
      <c r="G24" s="35" t="s">
        <v>28</v>
      </c>
    </row>
    <row r="25" spans="1:7" ht="33" customHeight="1">
      <c r="A25" s="29"/>
      <c r="B25" s="42" t="s">
        <v>31</v>
      </c>
      <c r="C25" s="40" t="s">
        <v>50</v>
      </c>
      <c r="D25" s="30">
        <v>1</v>
      </c>
      <c r="E25" s="30" t="s">
        <v>25</v>
      </c>
      <c r="F25" s="43">
        <f>F17*3.56%</f>
        <v>34108.93939</v>
      </c>
      <c r="G25" s="35" t="s">
        <v>28</v>
      </c>
    </row>
    <row r="26" spans="1:7" ht="33" customHeight="1">
      <c r="A26" s="29"/>
      <c r="B26" s="42" t="s">
        <v>32</v>
      </c>
      <c r="C26" s="49" t="s">
        <v>102</v>
      </c>
      <c r="D26" s="30">
        <v>1</v>
      </c>
      <c r="E26" s="30" t="s">
        <v>25</v>
      </c>
      <c r="F26" s="43">
        <f>(F16+F17)*3.11%</f>
        <v>34740.260442500003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55906.069988805655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215911.19476491879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1332961.3697649189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1332000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7"/>
  <sheetViews>
    <sheetView showGridLines="0" zoomScale="85" zoomScaleNormal="85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1.25" style="114" bestFit="1" customWidth="1"/>
    <col min="2" max="5" width="17.75" style="114" hidden="1" customWidth="1"/>
    <col min="6" max="9" width="17.75" style="105" hidden="1" customWidth="1"/>
    <col min="10" max="11" width="30.625" style="99" customWidth="1"/>
    <col min="12" max="12" width="11.375" style="105" bestFit="1" customWidth="1"/>
    <col min="13" max="13" width="7" style="105" bestFit="1" customWidth="1"/>
    <col min="14" max="14" width="10.875" style="105" bestFit="1" customWidth="1"/>
    <col min="15" max="15" width="13.5" style="105" bestFit="1" customWidth="1"/>
    <col min="16" max="16" width="9.25" style="105" bestFit="1" customWidth="1"/>
    <col min="17" max="17" width="13.5" style="105" bestFit="1" customWidth="1"/>
    <col min="18" max="18" width="6.125" style="105" customWidth="1"/>
    <col min="19" max="19" width="8.25" style="105" bestFit="1" customWidth="1"/>
    <col min="20" max="20" width="6.125" style="105" customWidth="1"/>
    <col min="21" max="21" width="8.25" style="105" bestFit="1" customWidth="1"/>
    <col min="22" max="22" width="16" style="105" bestFit="1" customWidth="1"/>
    <col min="23" max="23" width="10.75" style="66" bestFit="1" customWidth="1"/>
    <col min="24" max="24" width="9.125" style="105" bestFit="1" customWidth="1"/>
    <col min="25" max="16384" width="9" style="105"/>
  </cols>
  <sheetData>
    <row r="1" spans="1:24" ht="19.899999999999999" customHeight="1">
      <c r="A1" s="123"/>
      <c r="B1" s="123"/>
      <c r="C1" s="123"/>
      <c r="D1" s="123"/>
      <c r="E1" s="123"/>
      <c r="F1" s="123"/>
      <c r="G1" s="123"/>
      <c r="H1" s="123"/>
      <c r="I1" s="123"/>
      <c r="N1" s="66"/>
      <c r="O1" s="104" t="s">
        <v>64</v>
      </c>
      <c r="Q1" s="104" t="s">
        <v>64</v>
      </c>
      <c r="S1" s="104" t="s">
        <v>64</v>
      </c>
      <c r="U1" s="104" t="s">
        <v>64</v>
      </c>
    </row>
    <row r="2" spans="1:24" ht="19.899999999999999" customHeight="1" thickBot="1">
      <c r="A2" s="123"/>
      <c r="B2" s="123"/>
      <c r="C2" s="123"/>
      <c r="D2" s="123"/>
      <c r="E2" s="123"/>
      <c r="F2" s="123"/>
      <c r="G2" s="123"/>
      <c r="H2" s="123"/>
      <c r="I2" s="123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06"/>
      <c r="B3" s="106"/>
      <c r="C3" s="106"/>
      <c r="D3" s="106"/>
      <c r="E3" s="106"/>
      <c r="F3" s="106" t="s">
        <v>65</v>
      </c>
      <c r="G3" s="107"/>
      <c r="H3" s="107"/>
      <c r="I3" s="107"/>
      <c r="J3" s="134" t="s">
        <v>66</v>
      </c>
      <c r="K3" s="134"/>
      <c r="L3" s="132" t="s">
        <v>67</v>
      </c>
      <c r="M3" s="132" t="s">
        <v>5</v>
      </c>
      <c r="N3" s="128" t="s">
        <v>68</v>
      </c>
      <c r="O3" s="128"/>
      <c r="P3" s="128" t="s">
        <v>69</v>
      </c>
      <c r="Q3" s="128"/>
      <c r="R3" s="129" t="s">
        <v>70</v>
      </c>
      <c r="S3" s="129"/>
      <c r="T3" s="129" t="s">
        <v>71</v>
      </c>
      <c r="U3" s="129"/>
      <c r="V3" s="130" t="s">
        <v>72</v>
      </c>
      <c r="W3" s="126" t="s">
        <v>73</v>
      </c>
      <c r="X3" s="124" t="s">
        <v>45</v>
      </c>
    </row>
    <row r="4" spans="1:24" ht="19.899999999999999" customHeight="1">
      <c r="A4" s="69" t="s">
        <v>74</v>
      </c>
      <c r="B4" s="70"/>
      <c r="C4" s="70"/>
      <c r="D4" s="70"/>
      <c r="E4" s="70"/>
      <c r="F4" s="71" t="s">
        <v>75</v>
      </c>
      <c r="G4" s="71" t="s">
        <v>76</v>
      </c>
      <c r="H4" s="71" t="s">
        <v>77</v>
      </c>
      <c r="I4" s="71" t="s">
        <v>78</v>
      </c>
      <c r="J4" s="100" t="s">
        <v>79</v>
      </c>
      <c r="K4" s="100" t="s">
        <v>80</v>
      </c>
      <c r="L4" s="133"/>
      <c r="M4" s="133"/>
      <c r="N4" s="72" t="s">
        <v>81</v>
      </c>
      <c r="O4" s="73" t="s">
        <v>82</v>
      </c>
      <c r="P4" s="72" t="s">
        <v>83</v>
      </c>
      <c r="Q4" s="73" t="s">
        <v>82</v>
      </c>
      <c r="R4" s="73" t="s">
        <v>84</v>
      </c>
      <c r="S4" s="73" t="s">
        <v>82</v>
      </c>
      <c r="T4" s="73" t="s">
        <v>84</v>
      </c>
      <c r="U4" s="73" t="s">
        <v>82</v>
      </c>
      <c r="V4" s="131"/>
      <c r="W4" s="127"/>
      <c r="X4" s="125"/>
    </row>
    <row r="5" spans="1:24" s="108" customFormat="1" ht="38.1" customHeight="1">
      <c r="A5" s="74" t="str">
        <f t="shared" ref="A5" si="0">F5&amp;G5&amp;H5&amp;I5</f>
        <v>E00000801011510201</v>
      </c>
      <c r="B5" s="116"/>
      <c r="C5" s="116"/>
      <c r="D5" s="116"/>
      <c r="E5" s="116"/>
      <c r="F5" s="75"/>
      <c r="G5" s="89" t="s">
        <v>86</v>
      </c>
      <c r="H5" s="71"/>
      <c r="I5" s="71"/>
      <c r="J5" s="101" t="s">
        <v>87</v>
      </c>
      <c r="K5" s="101" t="s">
        <v>88</v>
      </c>
      <c r="L5" s="90" t="s">
        <v>89</v>
      </c>
      <c r="M5" s="98">
        <v>5</v>
      </c>
      <c r="N5" s="92"/>
      <c r="O5" s="93">
        <f t="shared" ref="O5" si="1">SUM(N5:N5)*M5*$O$2</f>
        <v>0</v>
      </c>
      <c r="P5" s="94">
        <v>21520</v>
      </c>
      <c r="Q5" s="93">
        <f t="shared" ref="Q5" si="2">(P5*M5)*$Q$2</f>
        <v>89846</v>
      </c>
      <c r="R5" s="95"/>
      <c r="S5" s="93">
        <f t="shared" ref="S5" si="3">R5*M5*$S$2</f>
        <v>0</v>
      </c>
      <c r="T5" s="95"/>
      <c r="U5" s="93">
        <f t="shared" ref="U5" si="4">T5*M5*$U$2</f>
        <v>0</v>
      </c>
      <c r="V5" s="77">
        <f t="shared" ref="V5" si="5">SUM(O5+Q5)+S5+U5</f>
        <v>89846</v>
      </c>
      <c r="W5" s="83"/>
      <c r="X5" s="84"/>
    </row>
    <row r="6" spans="1:24" s="108" customFormat="1" ht="38.1" customHeight="1">
      <c r="A6" s="74" t="str">
        <f t="shared" ref="A6:A12" si="6">F6&amp;G6&amp;H6&amp;I6</f>
        <v>E00000803073010104</v>
      </c>
      <c r="B6" s="116"/>
      <c r="C6" s="116"/>
      <c r="D6" s="116"/>
      <c r="E6" s="116"/>
      <c r="F6" s="75"/>
      <c r="G6" s="89" t="s">
        <v>90</v>
      </c>
      <c r="H6" s="71"/>
      <c r="I6" s="71"/>
      <c r="J6" s="101" t="s">
        <v>91</v>
      </c>
      <c r="K6" s="101" t="s">
        <v>92</v>
      </c>
      <c r="L6" s="90" t="s">
        <v>93</v>
      </c>
      <c r="M6" s="98">
        <v>4</v>
      </c>
      <c r="N6" s="92"/>
      <c r="O6" s="93">
        <f t="shared" ref="O6:O12" si="7">SUM(N6:N6)*M6*$O$2</f>
        <v>0</v>
      </c>
      <c r="P6" s="94">
        <v>11316</v>
      </c>
      <c r="Q6" s="93">
        <f t="shared" ref="Q6:Q9" si="8">(P6*M6)*$Q$2</f>
        <v>37795.439999999995</v>
      </c>
      <c r="R6" s="95"/>
      <c r="S6" s="93">
        <f t="shared" ref="S6:S11" si="9">R6*M6*$S$2</f>
        <v>0</v>
      </c>
      <c r="T6" s="95"/>
      <c r="U6" s="93">
        <f t="shared" ref="U6:U11" si="10">T6*M6*$U$2</f>
        <v>0</v>
      </c>
      <c r="V6" s="77">
        <f t="shared" ref="V6:V11" si="11">SUM(O6+Q6)+S6+U6</f>
        <v>37795.439999999995</v>
      </c>
      <c r="W6" s="83"/>
      <c r="X6" s="84"/>
    </row>
    <row r="7" spans="1:24" s="108" customFormat="1" ht="38.1" customHeight="1">
      <c r="A7" s="74" t="str">
        <f t="shared" si="6"/>
        <v>E00000803073021001</v>
      </c>
      <c r="B7" s="116"/>
      <c r="C7" s="116"/>
      <c r="D7" s="116"/>
      <c r="E7" s="116"/>
      <c r="F7" s="75"/>
      <c r="G7" s="89" t="s">
        <v>94</v>
      </c>
      <c r="H7" s="71"/>
      <c r="I7" s="71"/>
      <c r="J7" s="101" t="s">
        <v>95</v>
      </c>
      <c r="K7" s="101" t="s">
        <v>96</v>
      </c>
      <c r="L7" s="90" t="s">
        <v>93</v>
      </c>
      <c r="M7" s="98">
        <v>4</v>
      </c>
      <c r="N7" s="94">
        <v>985</v>
      </c>
      <c r="O7" s="93">
        <f t="shared" si="7"/>
        <v>3289.8999999999996</v>
      </c>
      <c r="P7" s="94">
        <v>32844</v>
      </c>
      <c r="Q7" s="93">
        <f t="shared" si="8"/>
        <v>109698.95999999999</v>
      </c>
      <c r="R7" s="95"/>
      <c r="S7" s="93">
        <f t="shared" si="9"/>
        <v>0</v>
      </c>
      <c r="T7" s="95"/>
      <c r="U7" s="93">
        <f t="shared" si="10"/>
        <v>0</v>
      </c>
      <c r="V7" s="77">
        <f t="shared" si="11"/>
        <v>112988.85999999999</v>
      </c>
      <c r="W7" s="83"/>
      <c r="X7" s="84"/>
    </row>
    <row r="8" spans="1:24" s="108" customFormat="1" ht="38.1" customHeight="1">
      <c r="A8" s="74" t="str">
        <f t="shared" si="6"/>
        <v>E00000803073030101</v>
      </c>
      <c r="B8" s="116"/>
      <c r="C8" s="116"/>
      <c r="D8" s="116"/>
      <c r="E8" s="116"/>
      <c r="F8" s="75"/>
      <c r="G8" s="89" t="s">
        <v>97</v>
      </c>
      <c r="H8" s="71"/>
      <c r="I8" s="71"/>
      <c r="J8" s="101" t="s">
        <v>98</v>
      </c>
      <c r="K8" s="101"/>
      <c r="L8" s="90" t="s">
        <v>99</v>
      </c>
      <c r="M8" s="98">
        <v>15</v>
      </c>
      <c r="N8" s="92"/>
      <c r="O8" s="93">
        <f t="shared" si="7"/>
        <v>0</v>
      </c>
      <c r="P8" s="94">
        <v>5015</v>
      </c>
      <c r="Q8" s="93">
        <f t="shared" si="8"/>
        <v>62812.875</v>
      </c>
      <c r="R8" s="95"/>
      <c r="S8" s="93">
        <f t="shared" si="9"/>
        <v>0</v>
      </c>
      <c r="T8" s="95"/>
      <c r="U8" s="93">
        <f t="shared" si="10"/>
        <v>0</v>
      </c>
      <c r="V8" s="77">
        <f t="shared" si="11"/>
        <v>62812.875</v>
      </c>
      <c r="W8" s="83"/>
      <c r="X8" s="84"/>
    </row>
    <row r="9" spans="1:24" s="108" customFormat="1" ht="38.1" customHeight="1">
      <c r="A9" s="74" t="str">
        <f t="shared" si="6"/>
        <v>M020251411760101</v>
      </c>
      <c r="B9" s="116"/>
      <c r="C9" s="116"/>
      <c r="D9" s="116"/>
      <c r="E9" s="116"/>
      <c r="F9" s="75"/>
      <c r="G9" s="71"/>
      <c r="H9" s="89" t="s">
        <v>100</v>
      </c>
      <c r="I9" s="71"/>
      <c r="J9" s="101" t="s">
        <v>62</v>
      </c>
      <c r="K9" s="101" t="s">
        <v>63</v>
      </c>
      <c r="L9" s="90" t="s">
        <v>101</v>
      </c>
      <c r="M9" s="98">
        <v>8</v>
      </c>
      <c r="N9" s="96">
        <v>5000</v>
      </c>
      <c r="O9" s="93">
        <f t="shared" si="7"/>
        <v>33400</v>
      </c>
      <c r="P9" s="97"/>
      <c r="Q9" s="93">
        <f t="shared" si="8"/>
        <v>0</v>
      </c>
      <c r="R9" s="95"/>
      <c r="S9" s="93">
        <f t="shared" si="9"/>
        <v>0</v>
      </c>
      <c r="T9" s="95"/>
      <c r="U9" s="93">
        <f t="shared" si="10"/>
        <v>0</v>
      </c>
      <c r="V9" s="77">
        <f t="shared" si="11"/>
        <v>33400</v>
      </c>
      <c r="W9" s="83"/>
      <c r="X9" s="84"/>
    </row>
    <row r="10" spans="1:24" s="108" customFormat="1" ht="38.1" customHeight="1">
      <c r="A10" s="74" t="str">
        <f t="shared" ref="A10" si="12">F10&amp;G10&amp;H10&amp;I10</f>
        <v>M060302210060101</v>
      </c>
      <c r="B10" s="116"/>
      <c r="C10" s="116"/>
      <c r="D10" s="116"/>
      <c r="E10" s="116"/>
      <c r="F10" s="75"/>
      <c r="G10" s="71"/>
      <c r="H10" s="89" t="s">
        <v>103</v>
      </c>
      <c r="I10" s="71"/>
      <c r="J10" s="101" t="s">
        <v>104</v>
      </c>
      <c r="K10" s="101" t="s">
        <v>105</v>
      </c>
      <c r="L10" s="90" t="s">
        <v>85</v>
      </c>
      <c r="M10" s="98">
        <v>1</v>
      </c>
      <c r="N10" s="96">
        <v>146400</v>
      </c>
      <c r="O10" s="93">
        <f t="shared" ref="O10" si="13">SUM(N10:N10)*M10*$O$2</f>
        <v>122244</v>
      </c>
      <c r="P10" s="97"/>
      <c r="Q10" s="93">
        <f t="shared" ref="Q10" si="14">(P10*M10)*$Q$2</f>
        <v>0</v>
      </c>
      <c r="R10" s="95"/>
      <c r="S10" s="93">
        <f t="shared" ref="S10" si="15">R10*M10*$S$2</f>
        <v>0</v>
      </c>
      <c r="T10" s="95"/>
      <c r="U10" s="93">
        <f t="shared" ref="U10" si="16">T10*M10*$U$2</f>
        <v>0</v>
      </c>
      <c r="V10" s="77">
        <f t="shared" ref="V10" si="17">SUM(O10+Q10)+S10+U10</f>
        <v>122244</v>
      </c>
      <c r="W10" s="83"/>
      <c r="X10" s="84"/>
    </row>
    <row r="11" spans="1:24" s="108" customFormat="1" ht="38.1" customHeight="1">
      <c r="A11" s="74" t="str">
        <f t="shared" si="6"/>
        <v>L003</v>
      </c>
      <c r="B11" s="116"/>
      <c r="C11" s="116"/>
      <c r="D11" s="116"/>
      <c r="E11" s="116"/>
      <c r="F11" s="75"/>
      <c r="G11" s="71"/>
      <c r="H11" s="71"/>
      <c r="I11" s="75" t="s">
        <v>60</v>
      </c>
      <c r="J11" s="102" t="s">
        <v>61</v>
      </c>
      <c r="K11" s="102" t="s">
        <v>59</v>
      </c>
      <c r="L11" s="90" t="s">
        <v>58</v>
      </c>
      <c r="M11" s="98">
        <v>2</v>
      </c>
      <c r="N11" s="78"/>
      <c r="O11" s="76">
        <f t="shared" si="7"/>
        <v>0</v>
      </c>
      <c r="P11" s="85">
        <v>219321</v>
      </c>
      <c r="Q11" s="76">
        <f>M11*P11</f>
        <v>438642</v>
      </c>
      <c r="R11" s="77"/>
      <c r="S11" s="76">
        <f t="shared" si="9"/>
        <v>0</v>
      </c>
      <c r="T11" s="77"/>
      <c r="U11" s="76">
        <f t="shared" si="10"/>
        <v>0</v>
      </c>
      <c r="V11" s="77">
        <f t="shared" si="11"/>
        <v>438642</v>
      </c>
      <c r="W11" s="83"/>
      <c r="X11" s="84"/>
    </row>
    <row r="12" spans="1:24" s="108" customFormat="1" ht="38.1" customHeight="1">
      <c r="A12" s="74" t="str">
        <f t="shared" si="6"/>
        <v>L003</v>
      </c>
      <c r="B12" s="116"/>
      <c r="C12" s="116"/>
      <c r="D12" s="116"/>
      <c r="E12" s="116"/>
      <c r="F12" s="75"/>
      <c r="G12" s="71"/>
      <c r="H12" s="71"/>
      <c r="I12" s="75" t="s">
        <v>60</v>
      </c>
      <c r="J12" s="102" t="s">
        <v>61</v>
      </c>
      <c r="K12" s="102" t="s">
        <v>59</v>
      </c>
      <c r="L12" s="90" t="s">
        <v>58</v>
      </c>
      <c r="M12" s="98">
        <v>1</v>
      </c>
      <c r="N12" s="78"/>
      <c r="O12" s="76">
        <f t="shared" si="7"/>
        <v>0</v>
      </c>
      <c r="P12" s="85">
        <v>219321</v>
      </c>
      <c r="Q12" s="76">
        <f>M12*P12</f>
        <v>219321</v>
      </c>
      <c r="R12" s="77"/>
      <c r="S12" s="76">
        <f t="shared" ref="S12" si="18">R12*M12*$S$2</f>
        <v>0</v>
      </c>
      <c r="T12" s="77"/>
      <c r="U12" s="76">
        <f t="shared" ref="U12" si="19">T12*M12*$U$2</f>
        <v>0</v>
      </c>
      <c r="V12" s="77">
        <f t="shared" ref="V12" si="20">SUM(O12+Q12)+S12+U12</f>
        <v>219321</v>
      </c>
      <c r="W12" s="83"/>
      <c r="X12" s="84"/>
    </row>
    <row r="13" spans="1:24" s="110" customFormat="1" ht="38.1" customHeight="1">
      <c r="A13" s="109"/>
      <c r="B13" s="109"/>
      <c r="C13" s="109"/>
      <c r="D13" s="109"/>
      <c r="E13" s="109"/>
      <c r="J13" s="103"/>
      <c r="K13" s="103"/>
      <c r="O13" s="111">
        <f>SUM(O5:O12)</f>
        <v>158933.9</v>
      </c>
      <c r="P13" s="112"/>
      <c r="Q13" s="111">
        <f>SUM(Q5:Q12)</f>
        <v>958116.27500000002</v>
      </c>
      <c r="R13" s="112"/>
      <c r="S13" s="111">
        <f>SUM(S5:S12)</f>
        <v>0</v>
      </c>
      <c r="T13" s="112"/>
      <c r="U13" s="111">
        <f>SUM(U5:U12)</f>
        <v>0</v>
      </c>
      <c r="V13" s="113">
        <f>SUM(V5:V12)</f>
        <v>1117050.175</v>
      </c>
      <c r="W13" s="79"/>
    </row>
    <row r="17" spans="17:17" ht="38.1" customHeight="1">
      <c r="Q17" s="11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9"/>
  <sheetViews>
    <sheetView showGridLines="0" zoomScaleNormal="100" workbookViewId="0">
      <selection activeCell="M28" sqref="M28"/>
    </sheetView>
  </sheetViews>
  <sheetFormatPr defaultColWidth="9" defaultRowHeight="13.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91"/>
  </cols>
  <sheetData>
    <row r="1" spans="1:6" ht="18" customHeight="1">
      <c r="A1" s="80" t="s">
        <v>0</v>
      </c>
      <c r="B1" s="80" t="s">
        <v>1</v>
      </c>
      <c r="C1" s="80" t="s">
        <v>2</v>
      </c>
      <c r="D1" s="80" t="s">
        <v>3</v>
      </c>
      <c r="E1" s="80" t="s">
        <v>4</v>
      </c>
      <c r="F1" s="80" t="s">
        <v>5</v>
      </c>
    </row>
    <row r="2" spans="1:6">
      <c r="A2" s="81" t="str">
        <f>'내역서(표준단가)'!A5</f>
        <v>E00000801011510201</v>
      </c>
      <c r="B2" s="82">
        <f>'내역서(표준단가)'!F5</f>
        <v>0</v>
      </c>
      <c r="C2" s="82" t="str">
        <f>'내역서(표준단가)'!G5</f>
        <v>E00000801011510201</v>
      </c>
      <c r="D2" s="82">
        <f>'내역서(표준단가)'!H5</f>
        <v>0</v>
      </c>
      <c r="E2" s="82">
        <f>'내역서(표준단가)'!I5</f>
        <v>0</v>
      </c>
      <c r="F2" s="86">
        <f>'내역서(표준단가)'!M5</f>
        <v>5</v>
      </c>
    </row>
    <row r="3" spans="1:6">
      <c r="A3" s="81" t="str">
        <f>'내역서(표준단가)'!A6</f>
        <v>E00000803073010104</v>
      </c>
      <c r="B3" s="82">
        <f>'내역서(표준단가)'!F6</f>
        <v>0</v>
      </c>
      <c r="C3" s="82" t="str">
        <f>'내역서(표준단가)'!G6</f>
        <v>E00000803073010104</v>
      </c>
      <c r="D3" s="82">
        <f>'내역서(표준단가)'!H6</f>
        <v>0</v>
      </c>
      <c r="E3" s="82">
        <f>'내역서(표준단가)'!I6</f>
        <v>0</v>
      </c>
      <c r="F3" s="86">
        <f>'내역서(표준단가)'!M6</f>
        <v>4</v>
      </c>
    </row>
    <row r="4" spans="1:6">
      <c r="A4" s="81" t="str">
        <f>'내역서(표준단가)'!A7</f>
        <v>E00000803073021001</v>
      </c>
      <c r="B4" s="82">
        <f>'내역서(표준단가)'!F7</f>
        <v>0</v>
      </c>
      <c r="C4" s="82" t="str">
        <f>'내역서(표준단가)'!G7</f>
        <v>E00000803073021001</v>
      </c>
      <c r="D4" s="82">
        <f>'내역서(표준단가)'!H7</f>
        <v>0</v>
      </c>
      <c r="E4" s="82">
        <f>'내역서(표준단가)'!I7</f>
        <v>0</v>
      </c>
      <c r="F4" s="86">
        <f>'내역서(표준단가)'!M7</f>
        <v>4</v>
      </c>
    </row>
    <row r="5" spans="1:6">
      <c r="A5" s="81" t="str">
        <f>'내역서(표준단가)'!A8</f>
        <v>E00000803073030101</v>
      </c>
      <c r="B5" s="82">
        <f>'내역서(표준단가)'!F8</f>
        <v>0</v>
      </c>
      <c r="C5" s="82" t="str">
        <f>'내역서(표준단가)'!G8</f>
        <v>E00000803073030101</v>
      </c>
      <c r="D5" s="82">
        <f>'내역서(표준단가)'!H8</f>
        <v>0</v>
      </c>
      <c r="E5" s="82">
        <f>'내역서(표준단가)'!I8</f>
        <v>0</v>
      </c>
      <c r="F5" s="86">
        <f>'내역서(표준단가)'!M8</f>
        <v>15</v>
      </c>
    </row>
    <row r="6" spans="1:6">
      <c r="A6" s="81" t="str">
        <f>'내역서(표준단가)'!A9</f>
        <v>M020251411760101</v>
      </c>
      <c r="B6" s="82">
        <f>'내역서(표준단가)'!F9</f>
        <v>0</v>
      </c>
      <c r="C6" s="82">
        <f>'내역서(표준단가)'!G9</f>
        <v>0</v>
      </c>
      <c r="D6" s="82" t="str">
        <f>'내역서(표준단가)'!H9</f>
        <v>M020251411760101</v>
      </c>
      <c r="E6" s="82">
        <f>'내역서(표준단가)'!I9</f>
        <v>0</v>
      </c>
      <c r="F6" s="86">
        <f>'내역서(표준단가)'!M9</f>
        <v>8</v>
      </c>
    </row>
    <row r="7" spans="1:6">
      <c r="A7" s="81" t="str">
        <f>'내역서(표준단가)'!A10</f>
        <v>M060302210060101</v>
      </c>
      <c r="B7" s="82">
        <f>'내역서(표준단가)'!F10</f>
        <v>0</v>
      </c>
      <c r="C7" s="82">
        <f>'내역서(표준단가)'!G10</f>
        <v>0</v>
      </c>
      <c r="D7" s="82" t="str">
        <f>'내역서(표준단가)'!H10</f>
        <v>M060302210060101</v>
      </c>
      <c r="E7" s="82">
        <f>'내역서(표준단가)'!I10</f>
        <v>0</v>
      </c>
      <c r="F7" s="86">
        <f>'내역서(표준단가)'!M10</f>
        <v>1</v>
      </c>
    </row>
    <row r="8" spans="1:6">
      <c r="A8" s="81" t="str">
        <f>'내역서(표준단가)'!A11</f>
        <v>L003</v>
      </c>
      <c r="B8" s="82">
        <f>'내역서(표준단가)'!F11</f>
        <v>0</v>
      </c>
      <c r="C8" s="82">
        <f>'내역서(표준단가)'!G11</f>
        <v>0</v>
      </c>
      <c r="D8" s="82">
        <f>'내역서(표준단가)'!H11</f>
        <v>0</v>
      </c>
      <c r="E8" s="82" t="str">
        <f>'내역서(표준단가)'!I11</f>
        <v>L003</v>
      </c>
      <c r="F8" s="86">
        <f>'내역서(표준단가)'!M11</f>
        <v>2</v>
      </c>
    </row>
    <row r="9" spans="1:6">
      <c r="A9" s="81" t="str">
        <f>'내역서(표준단가)'!A12</f>
        <v>L003</v>
      </c>
      <c r="B9" s="82">
        <f>'내역서(표준단가)'!F12</f>
        <v>0</v>
      </c>
      <c r="C9" s="82">
        <f>'내역서(표준단가)'!G12</f>
        <v>0</v>
      </c>
      <c r="D9" s="82">
        <f>'내역서(표준단가)'!H12</f>
        <v>0</v>
      </c>
      <c r="E9" s="82" t="str">
        <f>'내역서(표준단가)'!I12</f>
        <v>L003</v>
      </c>
      <c r="F9" s="86">
        <f>'내역서(표준단가)'!M12</f>
        <v>1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2026-01-13T06:48:22Z</dcterms:modified>
</cp:coreProperties>
</file>
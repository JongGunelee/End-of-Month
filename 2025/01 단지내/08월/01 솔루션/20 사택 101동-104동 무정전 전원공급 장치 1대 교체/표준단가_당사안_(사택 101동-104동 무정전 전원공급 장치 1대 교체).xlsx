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3\03 당사안\"/>
    </mc:Choice>
  </mc:AlternateContent>
  <xr:revisionPtr revIDLastSave="0" documentId="13_ncr:1_{938DC635-8D42-44A6-81C8-FF5DB1B7C1E0}" xr6:coauthVersionLast="47" xr6:coauthVersionMax="47" xr10:uidLastSave="{00000000-0000-0000-0000-000000000000}"/>
  <bookViews>
    <workbookView xWindow="-60" yWindow="-60" windowWidth="28920" windowHeight="15600" tabRatio="868" activeTab="1" xr2:uid="{00000000-000D-0000-FFFF-FFFF00000000}"/>
  </bookViews>
  <sheets>
    <sheet name="갑지" sheetId="5" r:id="rId1"/>
    <sheet name="내역서(표준단가)" sheetId="26" r:id="rId2"/>
    <sheet name="내역서업로드" sheetId="21" r:id="rId3"/>
    <sheet name="공사수립계획서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26" l="1"/>
  <c r="Q7" i="26" s="1"/>
  <c r="F17" i="5" s="1"/>
  <c r="O6" i="26"/>
  <c r="V6" i="26" l="1"/>
  <c r="S7" i="26"/>
  <c r="J3" i="26" l="1"/>
  <c r="O7" i="26" l="1"/>
  <c r="F16" i="5" s="1"/>
  <c r="F21" i="5" l="1"/>
  <c r="F25" i="5"/>
  <c r="F22" i="5"/>
  <c r="F24" i="5"/>
  <c r="F26" i="5" s="1"/>
  <c r="F23" i="5"/>
  <c r="F27" i="5" l="1"/>
  <c r="E4" i="23"/>
  <c r="C5" i="23"/>
  <c r="B3" i="21" l="1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<sst xmlns="http://schemas.openxmlformats.org/spreadsheetml/2006/main" count="152" uniqueCount="123">
  <si>
    <t>견 적 서</t>
    <phoneticPr fontId="14" type="noConversion"/>
  </si>
  <si>
    <t xml:space="preserve"> 수신인: </t>
    <phoneticPr fontId="14" type="noConversion"/>
  </si>
  <si>
    <t xml:space="preserve"> 공사명: </t>
    <phoneticPr fontId="14" type="noConversion"/>
  </si>
  <si>
    <t xml:space="preserve">금액: </t>
    <phoneticPr fontId="14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</si>
  <si>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</si>
  <si>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</si>
  <si>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</si>
  <si>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</si>
  <si>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</si>
  <si>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</si>
  <si>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</si>
  <si>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</si>
  <si>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</si>
  <si>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4" type="noConversion"/>
  </si>
  <si>
    <t>재료비</t>
    <phoneticPr fontId="14" type="noConversion"/>
  </si>
  <si>
    <t>노무비</t>
    <phoneticPr fontId="24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</si>
  <si>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</si>
  <si>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</si>
  <si>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</si>
  <si>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식</t>
    <phoneticPr fontId="24" type="noConversion"/>
  </si>
  <si>
    <t>모든공사에 적용</t>
    <phoneticPr fontId="24" type="noConversion"/>
  </si>
  <si>
    <t>소계</t>
    <phoneticPr fontId="14" type="noConversion"/>
  </si>
  <si>
    <t>합계(단수조정)</t>
    <phoneticPr fontId="14" type="noConversion"/>
  </si>
  <si>
    <t>VAT별도</t>
    <phoneticPr fontId="2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</si>
  <si>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</si>
  <si>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t>일반관리비/이윤</t>
    <phoneticPr fontId="24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</si>
  <si>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</si>
  <si>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</si>
  <si>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</si>
  <si>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</si>
  <si>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</si>
  <si>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</si>
  <si>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</si>
  <si>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</si>
  <si>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</si>
  <si>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</si>
  <si>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</si>
  <si>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</si>
  <si>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</si>
  <si>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</si>
  <si>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</si>
  <si>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</si>
  <si>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</si>
  <si>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</si>
  <si>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</si>
  <si>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대</t>
  </si>
  <si>
    <t>공사수립계획서</t>
    <phoneticPr fontId="24" type="noConversion"/>
  </si>
  <si>
    <t>업 체 명</t>
    <phoneticPr fontId="24" type="noConversion"/>
  </si>
  <si>
    <t>대양이엔씨</t>
    <phoneticPr fontId="8" type="noConversion"/>
  </si>
  <si>
    <t xml:space="preserve">일 시 </t>
    <phoneticPr fontId="24" type="noConversion"/>
  </si>
  <si>
    <t>공 사 명</t>
    <phoneticPr fontId="24" type="noConversion"/>
  </si>
  <si>
    <t>공사 업체</t>
    <phoneticPr fontId="24" type="noConversion"/>
  </si>
  <si>
    <t>■ 공사기간 : 입찰시스템 계약기간에 준함</t>
    <phoneticPr fontId="24" type="noConversion"/>
  </si>
  <si>
    <t>■ 시공방법</t>
    <phoneticPr fontId="24" type="noConversion"/>
  </si>
  <si>
    <t>■ 위험작업 유무 :  고소작업.전기작업</t>
    <phoneticPr fontId="24" type="noConversion"/>
  </si>
  <si>
    <t xml:space="preserve">■ 안전확보 방안 : </t>
    <phoneticPr fontId="24" type="noConversion"/>
  </si>
  <si>
    <t>-. 고소작업시 2인1조 작업</t>
    <phoneticPr fontId="24" type="noConversion"/>
  </si>
  <si>
    <t>-. 천정작업시 안전로프 설치</t>
    <phoneticPr fontId="24" type="noConversion"/>
  </si>
  <si>
    <t>-. 분전반 결선시 위험표지판 설치 및 차단기 락 설치</t>
    <phoneticPr fontId="24" type="noConversion"/>
  </si>
  <si>
    <t xml:space="preserve">■ 주요 사용물질 : </t>
    <phoneticPr fontId="24" type="noConversion"/>
  </si>
  <si>
    <t>대양이엔씨</t>
    <phoneticPr fontId="24" type="noConversion"/>
  </si>
  <si>
    <t>성명 :  홍정운</t>
    <phoneticPr fontId="24" type="noConversion"/>
  </si>
  <si>
    <t>(인감/서명)</t>
    <phoneticPr fontId="24" type="noConversion"/>
  </si>
  <si>
    <t>㈜ S&amp;I Corp.</t>
    <phoneticPr fontId="24" type="noConversion"/>
  </si>
  <si>
    <t>서명</t>
    <phoneticPr fontId="24" type="noConversion"/>
  </si>
  <si>
    <t xml:space="preserve"> 견적일:</t>
    <phoneticPr fontId="14" type="noConversion"/>
  </si>
  <si>
    <t>주 식 회 사 대 양 이 엔 씨 대 표 박 찬 현</t>
    <phoneticPr fontId="8" type="noConversion"/>
  </si>
  <si>
    <t>대전광역시 대덕구 아리랑로 125번길 11</t>
    <phoneticPr fontId="8" type="noConversion"/>
  </si>
  <si>
    <t>전화 : 042-628-8301 /FAX : 042-628-8304</t>
    <phoneticPr fontId="8" type="noConversion"/>
  </si>
  <si>
    <t>(주)에스앤아이코퍼레이션</t>
    <phoneticPr fontId="8" type="noConversion"/>
  </si>
  <si>
    <t>▼할증율</t>
    <phoneticPr fontId="8" type="noConversion"/>
  </si>
  <si>
    <t>기본</t>
    <phoneticPr fontId="6" type="noConversion"/>
  </si>
  <si>
    <t>%</t>
    <phoneticPr fontId="6" type="noConversion"/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</si>
  <si>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</si>
  <si>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</si>
  <si>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</si>
  <si>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</si>
  <si>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</si>
  <si>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</si>
  <si>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</si>
  <si>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</si>
  <si>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</si>
  <si>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</si>
  <si>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</si>
  <si>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</si>
  <si>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</si>
  <si>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</si>
  <si>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</si>
  <si>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</si>
  <si>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</si>
  <si>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기계경비</t>
    <phoneticPr fontId="6" type="noConversion"/>
  </si>
  <si>
    <t>■ 인원투입계획 : 총 4명(주말 :  명)</t>
    <phoneticPr fontId="24" type="noConversion"/>
  </si>
  <si>
    <t>성명 : 이용엽</t>
    <phoneticPr fontId="24" type="noConversion"/>
  </si>
  <si>
    <t>E00000807031B30201</t>
  </si>
  <si>
    <t>배터리 교체</t>
  </si>
  <si>
    <t>배처리 철거 및 설치, 정상동작 확인 및 시험</t>
  </si>
  <si>
    <t>M045302513000101</t>
  </si>
  <si>
    <t>무정전전원장치(UPS/CVCF)</t>
  </si>
  <si>
    <t>상수1ø,출력220/110V(입력:220/110V) 용량1kVA</t>
  </si>
  <si>
    <t>안전관리비</t>
    <phoneticPr fontId="24" type="noConversion"/>
  </si>
  <si>
    <t> (재료비+노무비)*3.11%</t>
    <phoneticPr fontId="6" type="noConversion"/>
  </si>
  <si>
    <t>산재보험료</t>
    <phoneticPr fontId="24" type="noConversion"/>
  </si>
  <si>
    <t> 노무비*3.56%</t>
    <phoneticPr fontId="6" type="noConversion"/>
  </si>
  <si>
    <t>고용보험료</t>
    <phoneticPr fontId="24" type="noConversion"/>
  </si>
  <si>
    <t> 노무비*1.01%</t>
    <phoneticPr fontId="6" type="noConversion"/>
  </si>
  <si>
    <t>국민건강 보험료</t>
    <phoneticPr fontId="24" type="noConversion"/>
  </si>
  <si>
    <t> 노무비*3.545%</t>
    <phoneticPr fontId="6" type="noConversion"/>
  </si>
  <si>
    <t>국민연금 보험료</t>
    <phoneticPr fontId="24" type="noConversion"/>
  </si>
  <si>
    <t> 노무비*4.5%</t>
    <phoneticPr fontId="8" type="noConversion"/>
  </si>
  <si>
    <t>노인장기요양 보험료</t>
    <phoneticPr fontId="24" type="noConversion"/>
  </si>
  <si>
    <t> 국민건강보험료*12.95%</t>
    <phoneticPr fontId="6" type="noConversion"/>
  </si>
  <si>
    <t> (노무비+간접공사비)*5%</t>
  </si>
  <si>
    <t>2025년 06월  일</t>
    <phoneticPr fontId="6" type="noConversion"/>
  </si>
  <si>
    <t>M045860216170101</t>
  </si>
  <si>
    <t>축전지(2)</t>
  </si>
  <si>
    <t>12V 무보수밀폐형 축전지</t>
  </si>
  <si>
    <t>ES 12-12, 12V 12AH</t>
    <phoneticPr fontId="6" type="noConversion"/>
  </si>
  <si>
    <t>배토리 교체</t>
    <phoneticPr fontId="6" type="noConversion"/>
  </si>
  <si>
    <t>사택 배터리 교체</t>
    <phoneticPr fontId="6" type="noConversion"/>
  </si>
  <si>
    <t>무정전전원장치(UPS/CVCF)</t>
    <phoneticPr fontId="6" type="noConversion"/>
  </si>
  <si>
    <t>상수1ø,출력220/110V(입력:220/110V) 용량1kVA</t>
    <phoneticPr fontId="6" type="noConversion"/>
  </si>
  <si>
    <t>M045302513000101</t>
    <phoneticPr fontId="6" type="noConversion"/>
  </si>
  <si>
    <t>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</si>
</sst>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</numFmts>
  <fonts count="6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1"/>
      <name val="LG스마트체 Regular"/>
      <family val="2"/>
      <charset val="129"/>
    </font>
    <font>
      <b/>
      <sz val="9"/>
      <color indexed="8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3" fillId="0" borderId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13" fillId="0" borderId="0" xfId="5" applyFont="1" applyAlignment="1">
      <alignment vertical="center"/>
    </xf>
    <xf numFmtId="0" fontId="15" fillId="0" borderId="0" xfId="2" applyFont="1"/>
    <xf numFmtId="0" fontId="16" fillId="0" borderId="0" xfId="2" applyFont="1"/>
    <xf numFmtId="0" fontId="17" fillId="0" borderId="0" xfId="5" applyFont="1" applyAlignment="1">
      <alignment vertical="center"/>
    </xf>
    <xf numFmtId="0" fontId="18" fillId="0" borderId="1" xfId="5" applyFont="1" applyBorder="1" applyAlignment="1">
      <alignment vertical="center"/>
    </xf>
    <xf numFmtId="0" fontId="18" fillId="0" borderId="2" xfId="5" applyFont="1" applyBorder="1" applyAlignment="1">
      <alignment horizontal="left" vertical="center"/>
    </xf>
    <xf numFmtId="0" fontId="18" fillId="0" borderId="3" xfId="5" applyFont="1" applyBorder="1" applyAlignment="1">
      <alignment horizontal="right" vertical="center"/>
    </xf>
    <xf numFmtId="0" fontId="19" fillId="5" borderId="0" xfId="5" applyFont="1" applyFill="1" applyAlignment="1">
      <alignment vertical="center"/>
    </xf>
    <xf numFmtId="0" fontId="20" fillId="5" borderId="0" xfId="5" applyFont="1" applyFill="1" applyAlignment="1">
      <alignment horizontal="center" vertical="top" shrinkToFit="1"/>
    </xf>
    <xf numFmtId="0" fontId="17" fillId="5" borderId="0" xfId="5" applyFont="1" applyFill="1" applyAlignment="1">
      <alignment vertical="center"/>
    </xf>
    <xf numFmtId="0" fontId="18" fillId="0" borderId="2" xfId="5" applyFont="1" applyBorder="1" applyAlignment="1">
      <alignment vertical="center"/>
    </xf>
    <xf numFmtId="0" fontId="21" fillId="0" borderId="3" xfId="5" applyFont="1" applyBorder="1" applyAlignment="1">
      <alignment vertical="center"/>
    </xf>
    <xf numFmtId="0" fontId="19" fillId="0" borderId="0" xfId="5" applyFont="1" applyAlignment="1">
      <alignment vertical="center" shrinkToFit="1"/>
    </xf>
    <xf numFmtId="0" fontId="17" fillId="5" borderId="0" xfId="5" applyFont="1" applyFill="1" applyAlignment="1">
      <alignment horizontal="left" vertical="center" shrinkToFit="1"/>
    </xf>
    <xf numFmtId="0" fontId="17" fillId="0" borderId="3" xfId="5" applyFont="1" applyBorder="1" applyAlignment="1">
      <alignment vertical="center"/>
    </xf>
    <xf numFmtId="0" fontId="17" fillId="0" borderId="0" xfId="5" applyFont="1" applyAlignment="1">
      <alignment horizontal="center" vertical="center" shrinkToFit="1"/>
    </xf>
    <xf numFmtId="0" fontId="19" fillId="0" borderId="4" xfId="5" applyFont="1" applyBorder="1" applyAlignment="1">
      <alignment vertical="center"/>
    </xf>
    <xf numFmtId="179" fontId="22" fillId="0" borderId="4" xfId="5" applyNumberFormat="1" applyFont="1" applyBorder="1" applyAlignment="1">
      <alignment vertical="center"/>
    </xf>
    <xf numFmtId="0" fontId="23" fillId="0" borderId="4" xfId="5" applyFont="1" applyBorder="1" applyAlignment="1">
      <alignment horizontal="right" vertical="center"/>
    </xf>
    <xf numFmtId="0" fontId="25" fillId="0" borderId="4" xfId="5" applyFont="1" applyBorder="1" applyAlignment="1">
      <alignment horizontal="right" vertical="center"/>
    </xf>
    <xf numFmtId="0" fontId="18" fillId="0" borderId="4" xfId="5" applyFont="1" applyBorder="1" applyAlignment="1">
      <alignment horizontal="right" vertical="center"/>
    </xf>
    <xf numFmtId="0" fontId="17" fillId="0" borderId="0" xfId="5" applyFont="1" applyAlignment="1">
      <alignment vertical="center" shrinkToFit="1"/>
    </xf>
    <xf numFmtId="0" fontId="18" fillId="0" borderId="5" xfId="5" applyFont="1" applyBorder="1" applyAlignment="1">
      <alignment horizontal="center" vertical="center"/>
    </xf>
    <xf numFmtId="0" fontId="18" fillId="0" borderId="6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0" fontId="26" fillId="0" borderId="8" xfId="5" applyFont="1" applyBorder="1" applyAlignment="1">
      <alignment horizontal="center" vertical="center"/>
    </xf>
    <xf numFmtId="0" fontId="18" fillId="0" borderId="9" xfId="5" applyFont="1" applyBorder="1" applyAlignment="1">
      <alignment vertical="center"/>
    </xf>
    <xf numFmtId="0" fontId="26" fillId="0" borderId="9" xfId="5" applyFont="1" applyBorder="1" applyAlignment="1">
      <alignment vertical="center"/>
    </xf>
    <xf numFmtId="1" fontId="26" fillId="0" borderId="9" xfId="5" applyNumberFormat="1" applyFont="1" applyBorder="1" applyAlignment="1">
      <alignment horizontal="center" vertical="center"/>
    </xf>
    <xf numFmtId="180" fontId="26" fillId="0" borderId="9" xfId="6" applyFont="1" applyBorder="1" applyAlignment="1">
      <alignment horizontal="right" vertical="center"/>
    </xf>
    <xf numFmtId="0" fontId="26" fillId="0" borderId="10" xfId="5" applyFont="1" applyBorder="1" applyAlignment="1">
      <alignment vertical="center"/>
    </xf>
    <xf numFmtId="0" fontId="26" fillId="0" borderId="11" xfId="5" applyFont="1" applyBorder="1" applyAlignment="1">
      <alignment horizontal="center" vertical="center"/>
    </xf>
    <xf numFmtId="0" fontId="26" fillId="0" borderId="12" xfId="5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1" fontId="26" fillId="0" borderId="12" xfId="5" applyNumberFormat="1" applyFont="1" applyBorder="1" applyAlignment="1">
      <alignment horizontal="center" vertical="center"/>
    </xf>
    <xf numFmtId="180" fontId="26" fillId="0" borderId="12" xfId="6" applyFont="1" applyBorder="1" applyAlignment="1">
      <alignment horizontal="right" vertical="center"/>
    </xf>
    <xf numFmtId="0" fontId="26" fillId="0" borderId="13" xfId="5" quotePrefix="1" applyFont="1" applyBorder="1" applyAlignment="1">
      <alignment vertical="center"/>
    </xf>
    <xf numFmtId="0" fontId="26" fillId="0" borderId="13" xfId="5" applyFont="1" applyBorder="1" applyAlignment="1">
      <alignment vertical="center"/>
    </xf>
    <xf numFmtId="0" fontId="18" fillId="6" borderId="12" xfId="5" applyFont="1" applyFill="1" applyBorder="1" applyAlignment="1">
      <alignment vertical="center"/>
    </xf>
    <xf numFmtId="1" fontId="18" fillId="6" borderId="12" xfId="5" applyNumberFormat="1" applyFont="1" applyFill="1" applyBorder="1" applyAlignment="1">
      <alignment horizontal="center" vertical="center"/>
    </xf>
    <xf numFmtId="180" fontId="18" fillId="6" borderId="12" xfId="6" applyFont="1" applyFill="1" applyBorder="1" applyAlignment="1">
      <alignment horizontal="right" vertical="center"/>
    </xf>
    <xf numFmtId="0" fontId="18" fillId="0" borderId="12" xfId="5" applyFont="1" applyBorder="1" applyAlignment="1">
      <alignment vertical="center"/>
    </xf>
    <xf numFmtId="0" fontId="26" fillId="0" borderId="12" xfId="5" applyFont="1" applyBorder="1" applyAlignment="1">
      <alignment vertical="center"/>
    </xf>
    <xf numFmtId="180" fontId="18" fillId="0" borderId="12" xfId="6" applyFont="1" applyFill="1" applyBorder="1" applyAlignment="1">
      <alignment horizontal="right" vertical="center"/>
    </xf>
    <xf numFmtId="178" fontId="26" fillId="0" borderId="12" xfId="4" applyFont="1" applyFill="1" applyBorder="1" applyAlignment="1">
      <alignment horizontal="right" vertical="center"/>
    </xf>
    <xf numFmtId="0" fontId="26" fillId="0" borderId="12" xfId="2" applyFont="1" applyBorder="1" applyAlignment="1">
      <alignment horizontal="left" vertical="center"/>
    </xf>
    <xf numFmtId="9" fontId="18" fillId="6" borderId="12" xfId="2" applyNumberFormat="1" applyFont="1" applyFill="1" applyBorder="1" applyAlignment="1">
      <alignment horizontal="right" vertical="center"/>
    </xf>
    <xf numFmtId="1" fontId="18" fillId="6" borderId="12" xfId="8" applyNumberFormat="1" applyFont="1" applyFill="1" applyBorder="1" applyAlignment="1">
      <alignment horizontal="center" vertical="center"/>
    </xf>
    <xf numFmtId="177" fontId="18" fillId="6" borderId="12" xfId="6" applyNumberFormat="1" applyFont="1" applyFill="1" applyBorder="1" applyAlignment="1">
      <alignment horizontal="right" vertical="center"/>
    </xf>
    <xf numFmtId="9" fontId="26" fillId="0" borderId="12" xfId="2" applyNumberFormat="1" applyFont="1" applyBorder="1" applyAlignment="1">
      <alignment horizontal="right" vertical="center"/>
    </xf>
    <xf numFmtId="1" fontId="26" fillId="0" borderId="12" xfId="8" applyNumberFormat="1" applyFont="1" applyFill="1" applyBorder="1" applyAlignment="1">
      <alignment horizontal="center" vertical="center"/>
    </xf>
    <xf numFmtId="177" fontId="18" fillId="0" borderId="12" xfId="6" applyNumberFormat="1" applyFont="1" applyFill="1" applyBorder="1" applyAlignment="1">
      <alignment horizontal="right" vertical="center"/>
    </xf>
    <xf numFmtId="0" fontId="26" fillId="0" borderId="12" xfId="2" applyFont="1" applyBorder="1" applyAlignment="1">
      <alignment vertical="center"/>
    </xf>
    <xf numFmtId="180" fontId="26" fillId="3" borderId="12" xfId="6" applyFont="1" applyFill="1" applyBorder="1" applyAlignment="1">
      <alignment horizontal="right" vertical="center"/>
    </xf>
    <xf numFmtId="0" fontId="18" fillId="0" borderId="14" xfId="5" applyFont="1" applyBorder="1" applyAlignment="1">
      <alignment horizontal="center" vertical="center" textRotation="255"/>
    </xf>
    <xf numFmtId="0" fontId="18" fillId="0" borderId="15" xfId="5" applyFont="1" applyBorder="1" applyAlignment="1">
      <alignment vertical="top"/>
    </xf>
    <xf numFmtId="0" fontId="26" fillId="0" borderId="16" xfId="5" applyFont="1" applyBorder="1" applyAlignment="1">
      <alignment vertical="center"/>
    </xf>
    <xf numFmtId="0" fontId="26" fillId="0" borderId="17" xfId="5" applyFont="1" applyBorder="1" applyAlignment="1">
      <alignment vertical="center"/>
    </xf>
    <xf numFmtId="0" fontId="28" fillId="0" borderId="0" xfId="9" applyFont="1"/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8" fontId="31" fillId="4" borderId="18" xfId="4" applyFont="1" applyFill="1" applyBorder="1" applyAlignment="1">
      <alignment horizontal="center" vertical="center"/>
    </xf>
    <xf numFmtId="0" fontId="31" fillId="4" borderId="18" xfId="0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/>
    </xf>
    <xf numFmtId="177" fontId="31" fillId="4" borderId="18" xfId="1" applyFont="1" applyFill="1" applyBorder="1" applyAlignment="1">
      <alignment horizontal="center" vertical="center"/>
    </xf>
    <xf numFmtId="177" fontId="40" fillId="0" borderId="18" xfId="1" applyFont="1" applyBorder="1">
      <alignment vertical="center"/>
    </xf>
    <xf numFmtId="0" fontId="40" fillId="0" borderId="0" xfId="0" applyFont="1">
      <alignment vertical="center"/>
    </xf>
    <xf numFmtId="177" fontId="40" fillId="2" borderId="18" xfId="1" applyFont="1" applyFill="1" applyBorder="1">
      <alignment vertical="center"/>
    </xf>
    <xf numFmtId="178" fontId="31" fillId="2" borderId="18" xfId="4" applyFont="1" applyFill="1" applyBorder="1" applyAlignment="1">
      <alignment horizontal="center" vertical="center"/>
    </xf>
    <xf numFmtId="177" fontId="31" fillId="2" borderId="18" xfId="1" applyFont="1" applyFill="1" applyBorder="1" applyAlignment="1">
      <alignment horizontal="center" vertical="center"/>
    </xf>
    <xf numFmtId="9" fontId="11" fillId="7" borderId="0" xfId="15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40" fillId="0" borderId="18" xfId="0" applyNumberFormat="1" applyFont="1" applyBorder="1">
      <alignment vertical="center"/>
    </xf>
    <xf numFmtId="49" fontId="30" fillId="0" borderId="0" xfId="0" applyNumberFormat="1" applyFont="1">
      <alignment vertical="center"/>
    </xf>
    <xf numFmtId="49" fontId="31" fillId="4" borderId="18" xfId="2" applyNumberFormat="1" applyFont="1" applyFill="1" applyBorder="1" applyAlignment="1">
      <alignment horizontal="center" vertical="center"/>
    </xf>
    <xf numFmtId="177" fontId="30" fillId="0" borderId="0" xfId="1" applyFont="1">
      <alignment vertical="center"/>
    </xf>
    <xf numFmtId="177" fontId="30" fillId="0" borderId="0" xfId="1" applyFont="1" applyAlignment="1">
      <alignment horizontal="center" vertical="center"/>
    </xf>
    <xf numFmtId="177" fontId="31" fillId="0" borderId="0" xfId="1" applyFont="1" applyAlignment="1">
      <alignment horizontal="center" vertical="center"/>
    </xf>
    <xf numFmtId="9" fontId="40" fillId="0" borderId="18" xfId="0" applyNumberFormat="1" applyFont="1" applyBorder="1">
      <alignment vertical="center"/>
    </xf>
    <xf numFmtId="49" fontId="40" fillId="0" borderId="0" xfId="0" applyNumberFormat="1" applyFont="1">
      <alignment vertical="center"/>
    </xf>
    <xf numFmtId="177" fontId="40" fillId="0" borderId="0" xfId="1" applyFont="1" applyFill="1">
      <alignment vertical="center"/>
    </xf>
    <xf numFmtId="9" fontId="40" fillId="0" borderId="0" xfId="0" applyNumberFormat="1" applyFont="1">
      <alignment vertical="center"/>
    </xf>
    <xf numFmtId="0" fontId="41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1" fontId="44" fillId="0" borderId="0" xfId="17" applyNumberFormat="1" applyFont="1" applyAlignment="1">
      <alignment horizontal="center" vertical="center" shrinkToFit="1"/>
    </xf>
    <xf numFmtId="0" fontId="44" fillId="0" borderId="0" xfId="17" applyFont="1" applyAlignment="1">
      <alignment vertical="center" shrinkToFit="1"/>
    </xf>
    <xf numFmtId="0" fontId="48" fillId="0" borderId="0" xfId="17" applyFont="1" applyAlignment="1">
      <alignment vertical="center" shrinkToFit="1"/>
    </xf>
    <xf numFmtId="0" fontId="49" fillId="0" borderId="22" xfId="17" applyFont="1" applyBorder="1" applyAlignment="1">
      <alignment horizontal="center" vertical="center" shrinkToFit="1"/>
    </xf>
    <xf numFmtId="0" fontId="49" fillId="0" borderId="23" xfId="17" applyFont="1" applyBorder="1" applyAlignment="1">
      <alignment horizontal="center" vertical="center" shrinkToFit="1"/>
    </xf>
    <xf numFmtId="182" fontId="49" fillId="0" borderId="23" xfId="17" applyNumberFormat="1" applyFont="1" applyBorder="1" applyAlignment="1">
      <alignment horizontal="center" vertical="center" shrinkToFit="1"/>
    </xf>
    <xf numFmtId="181" fontId="50" fillId="0" borderId="0" xfId="17" applyNumberFormat="1" applyFont="1" applyAlignment="1">
      <alignment horizontal="center" vertical="center" shrinkToFit="1"/>
    </xf>
    <xf numFmtId="0" fontId="49" fillId="0" borderId="26" xfId="17" applyFont="1" applyBorder="1" applyAlignment="1">
      <alignment horizontal="center" vertical="center" shrinkToFit="1"/>
    </xf>
    <xf numFmtId="0" fontId="50" fillId="0" borderId="0" xfId="17" applyFont="1" applyAlignment="1">
      <alignment horizontal="center" vertical="center" shrinkToFit="1"/>
    </xf>
    <xf numFmtId="0" fontId="49" fillId="0" borderId="19" xfId="17" applyFont="1" applyBorder="1" applyAlignment="1">
      <alignment vertical="center" shrinkToFit="1"/>
    </xf>
    <xf numFmtId="0" fontId="44" fillId="0" borderId="0" xfId="17" applyFont="1" applyAlignment="1">
      <alignment horizontal="left" vertical="center" shrinkToFit="1"/>
    </xf>
    <xf numFmtId="182" fontId="44" fillId="0" borderId="0" xfId="17" applyNumberFormat="1" applyFont="1" applyAlignment="1">
      <alignment horizontal="right" vertical="center" shrinkToFit="1"/>
    </xf>
    <xf numFmtId="49" fontId="18" fillId="0" borderId="2" xfId="5" applyNumberFormat="1" applyFont="1" applyBorder="1" applyAlignment="1">
      <alignment vertical="center"/>
    </xf>
    <xf numFmtId="177" fontId="40" fillId="0" borderId="18" xfId="1" applyFont="1" applyFill="1" applyBorder="1">
      <alignment vertical="center"/>
    </xf>
    <xf numFmtId="177" fontId="40" fillId="0" borderId="18" xfId="1" applyFont="1" applyFill="1" applyBorder="1" applyAlignment="1">
      <alignment horizontal="center" vertical="center"/>
    </xf>
    <xf numFmtId="180" fontId="28" fillId="6" borderId="0" xfId="2" applyNumberFormat="1" applyFont="1" applyFill="1" applyAlignment="1">
      <alignment horizontal="center" vertical="center"/>
    </xf>
    <xf numFmtId="49" fontId="40" fillId="8" borderId="18" xfId="0" applyNumberFormat="1" applyFont="1" applyFill="1" applyBorder="1" applyAlignment="1">
      <alignment horizontal="center" vertical="center"/>
    </xf>
    <xf numFmtId="177" fontId="40" fillId="8" borderId="18" xfId="1" applyFont="1" applyFill="1" applyBorder="1" applyAlignment="1">
      <alignment horizontal="center" vertical="center"/>
    </xf>
    <xf numFmtId="177" fontId="40" fillId="8" borderId="18" xfId="1" applyFont="1" applyFill="1" applyBorder="1">
      <alignment vertical="center"/>
    </xf>
    <xf numFmtId="0" fontId="40" fillId="8" borderId="18" xfId="0" applyFont="1" applyFill="1" applyBorder="1" applyAlignment="1">
      <alignment horizontal="left" vertical="center"/>
    </xf>
    <xf numFmtId="49" fontId="40" fillId="8" borderId="18" xfId="0" applyNumberFormat="1" applyFont="1" applyFill="1" applyBorder="1">
      <alignment vertical="center"/>
    </xf>
    <xf numFmtId="9" fontId="40" fillId="8" borderId="18" xfId="0" applyNumberFormat="1" applyFont="1" applyFill="1" applyBorder="1">
      <alignment vertical="center"/>
    </xf>
    <xf numFmtId="0" fontId="40" fillId="8" borderId="0" xfId="0" applyFont="1" applyFill="1">
      <alignment vertical="center"/>
    </xf>
    <xf numFmtId="49" fontId="53" fillId="3" borderId="18" xfId="0" applyNumberFormat="1" applyFont="1" applyFill="1" applyBorder="1">
      <alignment vertical="center"/>
    </xf>
    <xf numFmtId="177" fontId="53" fillId="3" borderId="18" xfId="1" applyFont="1" applyFill="1" applyBorder="1" applyAlignment="1">
      <alignment vertical="center"/>
    </xf>
    <xf numFmtId="0" fontId="55" fillId="0" borderId="0" xfId="0" applyFont="1">
      <alignment vertical="center"/>
    </xf>
    <xf numFmtId="49" fontId="38" fillId="0" borderId="0" xfId="0" applyNumberFormat="1" applyFont="1">
      <alignment vertical="center"/>
    </xf>
    <xf numFmtId="49" fontId="38" fillId="0" borderId="0" xfId="0" applyNumberFormat="1" applyFont="1" applyAlignment="1">
      <alignment horizontal="center" vertical="center"/>
    </xf>
    <xf numFmtId="177" fontId="38" fillId="0" borderId="0" xfId="1" applyFont="1" applyFill="1">
      <alignment vertical="center"/>
    </xf>
    <xf numFmtId="0" fontId="38" fillId="0" borderId="0" xfId="0" applyFont="1">
      <alignment vertical="center"/>
    </xf>
    <xf numFmtId="9" fontId="38" fillId="0" borderId="0" xfId="0" applyNumberFormat="1" applyFont="1">
      <alignment vertical="center"/>
    </xf>
    <xf numFmtId="0" fontId="56" fillId="0" borderId="0" xfId="0" applyFont="1" applyAlignment="1">
      <alignment horizontal="center" vertical="center"/>
    </xf>
    <xf numFmtId="49" fontId="57" fillId="0" borderId="0" xfId="0" applyNumberFormat="1" applyFont="1">
      <alignment vertical="center"/>
    </xf>
    <xf numFmtId="49" fontId="57" fillId="0" borderId="0" xfId="0" applyNumberFormat="1" applyFont="1" applyAlignment="1">
      <alignment horizontal="center" vertical="center"/>
    </xf>
    <xf numFmtId="177" fontId="57" fillId="0" borderId="0" xfId="1" applyFont="1">
      <alignment vertical="center"/>
    </xf>
    <xf numFmtId="0" fontId="58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59" fillId="0" borderId="0" xfId="0" applyFont="1" applyAlignment="1">
      <alignment horizontal="center" vertical="center"/>
    </xf>
    <xf numFmtId="0" fontId="58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8" fontId="58" fillId="3" borderId="18" xfId="4" applyFont="1" applyFill="1" applyBorder="1" applyAlignment="1">
      <alignment horizontal="center" vertical="center"/>
    </xf>
    <xf numFmtId="0" fontId="64" fillId="3" borderId="18" xfId="0" applyFont="1" applyFill="1" applyBorder="1" applyAlignment="1">
      <alignment horizontal="center" vertical="center"/>
    </xf>
    <xf numFmtId="0" fontId="38" fillId="3" borderId="0" xfId="0" applyFont="1" applyFill="1">
      <alignment vertical="center"/>
    </xf>
    <xf numFmtId="9" fontId="53" fillId="3" borderId="18" xfId="0" applyNumberFormat="1" applyFont="1" applyFill="1" applyBorder="1">
      <alignment vertical="center"/>
    </xf>
    <xf numFmtId="0" fontId="53" fillId="3" borderId="18" xfId="0" applyFont="1" applyFill="1" applyBorder="1">
      <alignment vertical="center"/>
    </xf>
    <xf numFmtId="177" fontId="53" fillId="8" borderId="18" xfId="1" applyFont="1" applyFill="1" applyBorder="1" applyAlignment="1">
      <alignment vertical="center"/>
    </xf>
    <xf numFmtId="177" fontId="38" fillId="3" borderId="0" xfId="1" applyFont="1" applyFill="1" applyBorder="1">
      <alignment vertical="center"/>
    </xf>
    <xf numFmtId="0" fontId="53" fillId="3" borderId="0" xfId="0" applyFont="1" applyFill="1">
      <alignment vertical="center"/>
    </xf>
    <xf numFmtId="0" fontId="57" fillId="3" borderId="0" xfId="0" applyFont="1" applyFill="1">
      <alignment vertical="center"/>
    </xf>
    <xf numFmtId="0" fontId="60" fillId="0" borderId="18" xfId="0" applyFont="1" applyBorder="1" applyAlignment="1">
      <alignment horizontal="right" vertical="center"/>
    </xf>
    <xf numFmtId="0" fontId="61" fillId="0" borderId="18" xfId="0" applyFont="1" applyBorder="1">
      <alignment vertical="center"/>
    </xf>
    <xf numFmtId="49" fontId="57" fillId="0" borderId="18" xfId="0" applyNumberFormat="1" applyFont="1" applyBorder="1">
      <alignment vertical="center"/>
    </xf>
    <xf numFmtId="49" fontId="57" fillId="0" borderId="18" xfId="0" applyNumberFormat="1" applyFont="1" applyBorder="1" applyAlignment="1">
      <alignment horizontal="center" vertical="center"/>
    </xf>
    <xf numFmtId="177" fontId="57" fillId="0" borderId="18" xfId="1" applyFont="1" applyBorder="1">
      <alignment vertical="center"/>
    </xf>
    <xf numFmtId="177" fontId="38" fillId="0" borderId="18" xfId="1" applyFont="1" applyFill="1" applyBorder="1">
      <alignment vertical="center"/>
    </xf>
    <xf numFmtId="9" fontId="62" fillId="7" borderId="18" xfId="15" applyFont="1" applyFill="1" applyBorder="1" applyAlignment="1">
      <alignment horizontal="center" vertical="center"/>
    </xf>
    <xf numFmtId="0" fontId="57" fillId="0" borderId="18" xfId="0" applyFont="1" applyBorder="1">
      <alignment vertical="center"/>
    </xf>
    <xf numFmtId="0" fontId="63" fillId="0" borderId="18" xfId="0" applyFont="1" applyBorder="1">
      <alignment vertical="center"/>
    </xf>
    <xf numFmtId="0" fontId="53" fillId="0" borderId="18" xfId="0" applyFont="1" applyBorder="1" applyAlignment="1">
      <alignment horizontal="center" vertical="center"/>
    </xf>
    <xf numFmtId="0" fontId="65" fillId="3" borderId="18" xfId="0" applyFont="1" applyFill="1" applyBorder="1" applyAlignment="1">
      <alignment horizontal="center" vertical="center"/>
    </xf>
    <xf numFmtId="0" fontId="53" fillId="0" borderId="18" xfId="0" applyFont="1" applyBorder="1" applyAlignment="1">
      <alignment horizontal="left" vertical="center"/>
    </xf>
    <xf numFmtId="0" fontId="54" fillId="9" borderId="18" xfId="0" applyFont="1" applyFill="1" applyBorder="1" applyAlignment="1">
      <alignment horizontal="center"/>
    </xf>
    <xf numFmtId="0" fontId="54" fillId="9" borderId="18" xfId="0" applyFont="1" applyFill="1" applyBorder="1" applyAlignment="1">
      <alignment horizontal="left"/>
    </xf>
    <xf numFmtId="0" fontId="54" fillId="9" borderId="18" xfId="0" applyFont="1" applyFill="1" applyBorder="1" applyAlignment="1"/>
    <xf numFmtId="177" fontId="53" fillId="9" borderId="18" xfId="0" applyNumberFormat="1" applyFont="1" applyFill="1" applyBorder="1" applyAlignment="1">
      <alignment horizontal="left" vertical="center"/>
    </xf>
    <xf numFmtId="0" fontId="26" fillId="0" borderId="12" xfId="20" applyFont="1" applyBorder="1" applyAlignment="1">
      <alignment horizontal="center" vertical="center"/>
    </xf>
    <xf numFmtId="177" fontId="26" fillId="0" borderId="12" xfId="21" applyFont="1" applyFill="1" applyBorder="1" applyAlignment="1">
      <alignment horizontal="right" vertical="center"/>
    </xf>
    <xf numFmtId="0" fontId="26" fillId="3" borderId="12" xfId="5" applyFont="1" applyFill="1" applyBorder="1" applyAlignment="1">
      <alignment vertical="center"/>
    </xf>
    <xf numFmtId="0" fontId="26" fillId="3" borderId="12" xfId="2" applyFont="1" applyFill="1" applyBorder="1" applyAlignment="1">
      <alignment horizontal="left" vertical="center"/>
    </xf>
    <xf numFmtId="180" fontId="26" fillId="0" borderId="16" xfId="5" applyNumberFormat="1" applyFont="1" applyBorder="1" applyAlignment="1">
      <alignment horizontal="right" vertical="center"/>
    </xf>
    <xf numFmtId="177" fontId="53" fillId="0" borderId="18" xfId="1" applyFont="1" applyBorder="1" applyAlignment="1">
      <alignment vertical="center"/>
    </xf>
    <xf numFmtId="0" fontId="38" fillId="3" borderId="0" xfId="0" applyFont="1" applyFill="1" applyBorder="1">
      <alignment vertical="center"/>
    </xf>
    <xf numFmtId="49" fontId="38" fillId="3" borderId="0" xfId="0" applyNumberFormat="1" applyFont="1" applyFill="1" applyBorder="1">
      <alignment vertical="center"/>
    </xf>
    <xf numFmtId="49" fontId="38" fillId="3" borderId="0" xfId="0" applyNumberFormat="1" applyFont="1" applyFill="1" applyBorder="1" applyAlignment="1">
      <alignment horizontal="center" vertical="center"/>
    </xf>
    <xf numFmtId="9" fontId="38" fillId="3" borderId="0" xfId="0" applyNumberFormat="1" applyFont="1" applyFill="1" applyBorder="1">
      <alignment vertical="center"/>
    </xf>
    <xf numFmtId="0" fontId="53" fillId="3" borderId="20" xfId="0" applyFont="1" applyFill="1" applyBorder="1">
      <alignment vertical="center"/>
    </xf>
    <xf numFmtId="0" fontId="53" fillId="8" borderId="20" xfId="0" applyFont="1" applyFill="1" applyBorder="1" applyAlignment="1">
      <alignment horizontal="center" vertical="center"/>
    </xf>
    <xf numFmtId="0" fontId="53" fillId="3" borderId="0" xfId="0" applyFont="1" applyFill="1" applyBorder="1">
      <alignment vertical="center"/>
    </xf>
    <xf numFmtId="49" fontId="53" fillId="3" borderId="0" xfId="0" applyNumberFormat="1" applyFont="1" applyFill="1" applyBorder="1">
      <alignment vertical="center"/>
    </xf>
    <xf numFmtId="49" fontId="53" fillId="3" borderId="0" xfId="0" applyNumberFormat="1" applyFont="1" applyFill="1" applyBorder="1" applyAlignment="1">
      <alignment horizontal="center" vertical="center"/>
    </xf>
    <xf numFmtId="177" fontId="53" fillId="3" borderId="0" xfId="1" applyFont="1" applyFill="1" applyBorder="1" applyAlignment="1">
      <alignment vertical="center"/>
    </xf>
    <xf numFmtId="9" fontId="53" fillId="3" borderId="0" xfId="0" applyNumberFormat="1" applyFont="1" applyFill="1" applyBorder="1">
      <alignment vertical="center"/>
    </xf>
    <xf numFmtId="177" fontId="5" fillId="3" borderId="18" xfId="1" applyFont="1" applyFill="1" applyBorder="1" applyAlignment="1">
      <alignment vertical="center" wrapText="1"/>
    </xf>
    <xf numFmtId="177" fontId="53" fillId="0" borderId="0" xfId="1" applyFont="1" applyFill="1" applyBorder="1" applyAlignment="1">
      <alignment horizontal="center" vertical="center"/>
    </xf>
    <xf numFmtId="177" fontId="53" fillId="0" borderId="0" xfId="1" applyFont="1" applyFill="1" applyBorder="1" applyAlignment="1">
      <alignment vertical="center"/>
    </xf>
    <xf numFmtId="177" fontId="66" fillId="8" borderId="0" xfId="1" applyFont="1" applyFill="1" applyBorder="1" applyAlignment="1">
      <alignment vertical="center"/>
    </xf>
    <xf numFmtId="0" fontId="13" fillId="0" borderId="0" xfId="5" applyFont="1" applyAlignment="1">
      <alignment horizontal="center" vertical="center"/>
    </xf>
    <xf numFmtId="0" fontId="19" fillId="5" borderId="0" xfId="5" applyFont="1" applyFill="1" applyAlignment="1">
      <alignment horizontal="left" vertical="center" shrinkToFit="1"/>
    </xf>
    <xf numFmtId="0" fontId="19" fillId="0" borderId="0" xfId="5" applyFont="1" applyAlignment="1">
      <alignment vertical="center"/>
    </xf>
    <xf numFmtId="0" fontId="17" fillId="0" borderId="0" xfId="5" applyFont="1" applyAlignment="1">
      <alignment vertical="center"/>
    </xf>
    <xf numFmtId="178" fontId="59" fillId="3" borderId="18" xfId="4" applyFont="1" applyFill="1" applyBorder="1" applyAlignment="1">
      <alignment horizontal="center" vertical="center"/>
    </xf>
    <xf numFmtId="178" fontId="58" fillId="3" borderId="18" xfId="4" applyFont="1" applyFill="1" applyBorder="1" applyAlignment="1">
      <alignment horizontal="center" vertical="center"/>
    </xf>
    <xf numFmtId="0" fontId="58" fillId="3" borderId="18" xfId="0" applyFont="1" applyFill="1" applyBorder="1" applyAlignment="1">
      <alignment horizontal="center" vertical="center"/>
    </xf>
    <xf numFmtId="0" fontId="59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8" fontId="31" fillId="4" borderId="18" xfId="4" applyFont="1" applyFill="1" applyBorder="1" applyAlignment="1">
      <alignment horizontal="center" vertical="center"/>
    </xf>
    <xf numFmtId="0" fontId="31" fillId="4" borderId="18" xfId="0" applyFont="1" applyFill="1" applyBorder="1" applyAlignment="1">
      <alignment horizontal="center" vertical="center"/>
    </xf>
    <xf numFmtId="0" fontId="29" fillId="4" borderId="18" xfId="0" applyFont="1" applyFill="1" applyBorder="1" applyAlignment="1">
      <alignment horizontal="center" vertical="center"/>
    </xf>
    <xf numFmtId="49" fontId="31" fillId="4" borderId="18" xfId="2" applyNumberFormat="1" applyFont="1" applyFill="1" applyBorder="1" applyAlignment="1">
      <alignment horizontal="center" vertical="center"/>
    </xf>
    <xf numFmtId="177" fontId="31" fillId="2" borderId="18" xfId="1" applyFont="1" applyFill="1" applyBorder="1" applyAlignment="1">
      <alignment horizontal="center" vertical="center"/>
    </xf>
    <xf numFmtId="177" fontId="31" fillId="4" borderId="18" xfId="1" applyFont="1" applyFill="1" applyBorder="1" applyAlignment="1">
      <alignment horizontal="center" vertical="center"/>
    </xf>
    <xf numFmtId="0" fontId="45" fillId="0" borderId="0" xfId="17" applyFont="1" applyAlignment="1">
      <alignment horizontal="center" vertical="center" shrinkToFit="1"/>
    </xf>
    <xf numFmtId="0" fontId="46" fillId="0" borderId="0" xfId="17" applyFont="1" applyAlignment="1">
      <alignment horizontal="center" vertical="center" shrinkToFit="1"/>
    </xf>
    <xf numFmtId="176" fontId="47" fillId="0" borderId="0" xfId="18" applyFont="1" applyBorder="1" applyAlignment="1">
      <alignment horizontal="center" vertical="center" shrinkToFit="1"/>
    </xf>
    <xf numFmtId="31" fontId="49" fillId="0" borderId="24" xfId="17" applyNumberFormat="1" applyFont="1" applyBorder="1" applyAlignment="1">
      <alignment horizontal="center" vertical="center" shrinkToFit="1"/>
    </xf>
    <xf numFmtId="31" fontId="49" fillId="0" borderId="25" xfId="17" applyNumberFormat="1" applyFont="1" applyBorder="1" applyAlignment="1">
      <alignment horizontal="center" vertical="center" shrinkToFit="1"/>
    </xf>
    <xf numFmtId="0" fontId="49" fillId="0" borderId="21" xfId="17" applyFont="1" applyBorder="1" applyAlignment="1">
      <alignment horizontal="left" vertical="center" indent="1" shrinkToFit="1"/>
    </xf>
    <xf numFmtId="0" fontId="49" fillId="0" borderId="19" xfId="17" applyFont="1" applyBorder="1" applyAlignment="1">
      <alignment horizontal="left" vertical="center" indent="1" shrinkToFit="1"/>
    </xf>
    <xf numFmtId="0" fontId="49" fillId="0" borderId="27" xfId="17" applyFont="1" applyBorder="1" applyAlignment="1">
      <alignment horizontal="left" vertical="center" indent="1" shrinkToFit="1"/>
    </xf>
    <xf numFmtId="0" fontId="49" fillId="0" borderId="28" xfId="17" applyFont="1" applyBorder="1" applyAlignment="1">
      <alignment horizontal="center" vertical="center" shrinkToFit="1"/>
    </xf>
    <xf numFmtId="0" fontId="49" fillId="0" borderId="32" xfId="17" applyFont="1" applyBorder="1" applyAlignment="1">
      <alignment horizontal="center" vertical="center" shrinkToFit="1"/>
    </xf>
    <xf numFmtId="0" fontId="49" fillId="0" borderId="35" xfId="17" applyFont="1" applyBorder="1" applyAlignment="1">
      <alignment horizontal="center" vertical="center" shrinkToFit="1"/>
    </xf>
    <xf numFmtId="0" fontId="51" fillId="3" borderId="29" xfId="17" applyFont="1" applyFill="1" applyBorder="1" applyAlignment="1">
      <alignment horizontal="left" vertical="center" shrinkToFit="1"/>
    </xf>
    <xf numFmtId="0" fontId="51" fillId="3" borderId="30" xfId="17" applyFont="1" applyFill="1" applyBorder="1" applyAlignment="1">
      <alignment horizontal="left" vertical="center" shrinkToFit="1"/>
    </xf>
    <xf numFmtId="0" fontId="51" fillId="3" borderId="31" xfId="17" applyFont="1" applyFill="1" applyBorder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4" xfId="17" applyFont="1" applyFill="1" applyBorder="1" applyAlignment="1">
      <alignment horizontal="left" vertical="center" shrinkToFit="1"/>
    </xf>
    <xf numFmtId="177" fontId="44" fillId="3" borderId="33" xfId="19" quotePrefix="1" applyFont="1" applyFill="1" applyBorder="1" applyAlignment="1">
      <alignment horizontal="left" vertical="center" shrinkToFit="1"/>
    </xf>
    <xf numFmtId="177" fontId="44" fillId="3" borderId="0" xfId="19" quotePrefix="1" applyFont="1" applyFill="1" applyBorder="1" applyAlignment="1">
      <alignment horizontal="left" vertical="center" shrinkToFit="1"/>
    </xf>
    <xf numFmtId="177" fontId="44" fillId="3" borderId="34" xfId="19" quotePrefix="1" applyFont="1" applyFill="1" applyBorder="1" applyAlignment="1">
      <alignment horizontal="left" vertical="center" shrinkToFit="1"/>
    </xf>
    <xf numFmtId="177" fontId="44" fillId="3" borderId="0" xfId="19" applyFont="1" applyFill="1" applyBorder="1" applyAlignment="1">
      <alignment horizontal="left" vertical="center" shrinkToFit="1"/>
    </xf>
    <xf numFmtId="177" fontId="44" fillId="3" borderId="34" xfId="19" applyFont="1" applyFill="1" applyBorder="1" applyAlignment="1">
      <alignment horizontal="left" vertical="center" shrinkToFit="1"/>
    </xf>
    <xf numFmtId="0" fontId="51" fillId="3" borderId="33" xfId="16" applyFont="1" applyFill="1" applyBorder="1" applyAlignment="1">
      <alignment horizontal="left" vertical="center" shrinkToFit="1"/>
    </xf>
    <xf numFmtId="0" fontId="52" fillId="3" borderId="0" xfId="16" applyFont="1" applyFill="1" applyAlignment="1">
      <alignment horizontal="left" vertical="center" shrinkToFit="1"/>
    </xf>
    <xf numFmtId="0" fontId="52" fillId="3" borderId="34" xfId="16" applyFont="1" applyFill="1" applyBorder="1" applyAlignment="1">
      <alignment horizontal="left" vertical="center" shrinkToFit="1"/>
    </xf>
    <xf numFmtId="0" fontId="49" fillId="0" borderId="19" xfId="17" applyFont="1" applyBorder="1" applyAlignment="1">
      <alignment horizontal="center" vertical="center" shrinkToFit="1"/>
    </xf>
    <xf numFmtId="0" fontId="49" fillId="0" borderId="27" xfId="17" applyFont="1" applyBorder="1" applyAlignment="1">
      <alignment horizontal="center" vertical="center" shrinkToFit="1"/>
    </xf>
    <xf numFmtId="0" fontId="51" fillId="3" borderId="0" xfId="16" applyFont="1" applyFill="1" applyAlignment="1">
      <alignment horizontal="left" vertical="center" shrinkToFit="1"/>
    </xf>
    <xf numFmtId="0" fontId="51" fillId="3" borderId="34" xfId="16" applyFont="1" applyFill="1" applyBorder="1" applyAlignment="1">
      <alignment horizontal="left" vertical="center" shrinkToFit="1"/>
    </xf>
    <xf numFmtId="0" fontId="49" fillId="3" borderId="33" xfId="17" applyFont="1" applyFill="1" applyBorder="1" applyAlignment="1">
      <alignment horizontal="left" vertical="center" shrinkToFit="1"/>
    </xf>
    <xf numFmtId="0" fontId="49" fillId="3" borderId="0" xfId="17" applyFont="1" applyFill="1" applyAlignment="1">
      <alignment horizontal="left" vertical="center" shrinkToFit="1"/>
    </xf>
    <xf numFmtId="0" fontId="49" fillId="3" borderId="34" xfId="17" applyFont="1" applyFill="1" applyBorder="1" applyAlignment="1">
      <alignment horizontal="left" vertical="center" shrinkToFit="1"/>
    </xf>
  </cellXfs>
  <cellStyles count="22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opLeftCell="A8" zoomScale="80" zoomScaleNormal="80" workbookViewId="0">
      <selection activeCell="F31" sqref="F31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75" t="s">
        <v>0</v>
      </c>
      <c r="B2" s="175"/>
      <c r="C2" s="175"/>
      <c r="D2" s="175"/>
      <c r="E2" s="175"/>
      <c r="F2" s="175"/>
      <c r="G2" s="175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69</v>
      </c>
      <c r="C5" s="7"/>
      <c r="D5" s="4"/>
      <c r="E5" s="4"/>
      <c r="F5" s="8" t="s">
        <v>66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118</v>
      </c>
      <c r="C7" s="12"/>
      <c r="D7" s="4"/>
      <c r="E7" s="13"/>
      <c r="F7" s="176" t="s">
        <v>67</v>
      </c>
      <c r="G7" s="176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65</v>
      </c>
      <c r="B9" s="99" t="s">
        <v>112</v>
      </c>
      <c r="C9" s="15"/>
      <c r="D9" s="4"/>
      <c r="E9" s="4"/>
      <c r="F9" s="8" t="s">
        <v>68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77"/>
      <c r="B11" s="178"/>
      <c r="C11" s="178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구십사만이천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3"/>
      <c r="I14" s="3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  <c r="H15" s="3"/>
      <c r="I15" s="3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'내역서(표준단가)'!O7</f>
        <v>913000</v>
      </c>
      <c r="G16" s="37"/>
      <c r="I16" s="3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'내역서(표준단가)'!Q7</f>
        <v>0</v>
      </c>
      <c r="G17" s="38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v>0</v>
      </c>
      <c r="G18" s="38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913000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154" t="s">
        <v>99</v>
      </c>
      <c r="C21" s="43" t="s">
        <v>100</v>
      </c>
      <c r="D21" s="33">
        <v>1</v>
      </c>
      <c r="E21" s="33" t="s">
        <v>19</v>
      </c>
      <c r="F21" s="45">
        <f>(F16+F17)*3.11%</f>
        <v>28394.3</v>
      </c>
      <c r="G21" s="38" t="s">
        <v>20</v>
      </c>
    </row>
    <row r="22" spans="1:9" ht="33" customHeight="1">
      <c r="A22" s="32"/>
      <c r="B22" s="154" t="s">
        <v>101</v>
      </c>
      <c r="C22" s="43" t="s">
        <v>102</v>
      </c>
      <c r="D22" s="33">
        <v>1</v>
      </c>
      <c r="E22" s="33" t="s">
        <v>19</v>
      </c>
      <c r="F22" s="45">
        <f>F17*3.56%</f>
        <v>0</v>
      </c>
      <c r="G22" s="38" t="s">
        <v>20</v>
      </c>
    </row>
    <row r="23" spans="1:9" ht="33" customHeight="1">
      <c r="A23" s="32"/>
      <c r="B23" s="154" t="s">
        <v>103</v>
      </c>
      <c r="C23" s="43" t="s">
        <v>104</v>
      </c>
      <c r="D23" s="33">
        <v>1</v>
      </c>
      <c r="E23" s="33" t="s">
        <v>19</v>
      </c>
      <c r="F23" s="155">
        <f>F17*1.01%</f>
        <v>0</v>
      </c>
      <c r="G23" s="38" t="s">
        <v>20</v>
      </c>
    </row>
    <row r="24" spans="1:9" ht="33" customHeight="1">
      <c r="A24" s="32"/>
      <c r="B24" s="154" t="s">
        <v>105</v>
      </c>
      <c r="C24" s="156" t="s">
        <v>106</v>
      </c>
      <c r="D24" s="33">
        <v>1</v>
      </c>
      <c r="E24" s="33" t="s">
        <v>19</v>
      </c>
      <c r="F24" s="45">
        <f>F17*3.545%</f>
        <v>0</v>
      </c>
      <c r="G24" s="38" t="s">
        <v>20</v>
      </c>
    </row>
    <row r="25" spans="1:9" ht="33" customHeight="1">
      <c r="A25" s="32"/>
      <c r="B25" s="154" t="s">
        <v>107</v>
      </c>
      <c r="C25" s="156" t="s">
        <v>108</v>
      </c>
      <c r="D25" s="33">
        <v>1</v>
      </c>
      <c r="E25" s="33" t="s">
        <v>19</v>
      </c>
      <c r="F25" s="45">
        <f>F17*4.5%</f>
        <v>0</v>
      </c>
      <c r="G25" s="38" t="s">
        <v>20</v>
      </c>
    </row>
    <row r="26" spans="1:9" ht="33" customHeight="1">
      <c r="A26" s="32"/>
      <c r="B26" s="154" t="s">
        <v>109</v>
      </c>
      <c r="C26" s="157" t="s">
        <v>110</v>
      </c>
      <c r="D26" s="33">
        <v>1</v>
      </c>
      <c r="E26" s="33" t="s">
        <v>19</v>
      </c>
      <c r="F26" s="45">
        <f>F24*12.95%</f>
        <v>0</v>
      </c>
      <c r="G26" s="38" t="s">
        <v>20</v>
      </c>
    </row>
    <row r="27" spans="1:9" ht="33" customHeight="1">
      <c r="A27" s="32"/>
      <c r="B27" s="154" t="s">
        <v>25</v>
      </c>
      <c r="C27" s="46" t="s">
        <v>111</v>
      </c>
      <c r="D27" s="33">
        <v>1</v>
      </c>
      <c r="E27" s="33" t="s">
        <v>19</v>
      </c>
      <c r="F27" s="45">
        <f>SUM(F17+F21+F22+F23+F24+F25+F26)*5%</f>
        <v>1419.7150000000001</v>
      </c>
      <c r="G27" s="38"/>
    </row>
    <row r="28" spans="1:9" ht="33" customHeight="1">
      <c r="A28" s="32"/>
      <c r="B28" s="39" t="s">
        <v>21</v>
      </c>
      <c r="C28" s="47"/>
      <c r="D28" s="48"/>
      <c r="E28" s="40"/>
      <c r="F28" s="49">
        <f>F21+F22+F23+F24+F25+F26+F27</f>
        <v>29814.014999999999</v>
      </c>
      <c r="G28" s="38"/>
      <c r="H28" s="3"/>
      <c r="I28" s="3"/>
    </row>
    <row r="29" spans="1:9" ht="33" customHeight="1">
      <c r="A29" s="32"/>
      <c r="B29" s="43"/>
      <c r="C29" s="50"/>
      <c r="D29" s="51"/>
      <c r="E29" s="35"/>
      <c r="F29" s="52"/>
      <c r="G29" s="38"/>
      <c r="H29" s="3"/>
      <c r="I29" s="3"/>
    </row>
    <row r="30" spans="1:9" ht="33" customHeight="1">
      <c r="A30" s="32"/>
      <c r="B30" s="53"/>
      <c r="C30" s="50"/>
      <c r="D30" s="51"/>
      <c r="E30" s="35"/>
      <c r="F30" s="54">
        <f>F19+F28+F29</f>
        <v>942814.01500000001</v>
      </c>
      <c r="G30" s="38"/>
      <c r="H30" s="3"/>
      <c r="I30" s="3"/>
    </row>
    <row r="31" spans="1:9" ht="33" customHeight="1">
      <c r="A31" s="32"/>
      <c r="B31" s="39" t="s">
        <v>22</v>
      </c>
      <c r="C31" s="39"/>
      <c r="D31" s="40"/>
      <c r="E31" s="40"/>
      <c r="F31" s="102">
        <f>ROUNDDOWN(F30,-3)</f>
        <v>942000</v>
      </c>
      <c r="G31" s="38"/>
      <c r="H31" s="3"/>
      <c r="I31" s="3"/>
    </row>
    <row r="32" spans="1:9" ht="33" customHeight="1" thickBot="1">
      <c r="A32" s="55"/>
      <c r="B32" s="56" t="s">
        <v>23</v>
      </c>
      <c r="C32" s="57"/>
      <c r="D32" s="57"/>
      <c r="E32" s="57"/>
      <c r="F32" s="158"/>
      <c r="G32" s="58"/>
      <c r="H32" s="3"/>
      <c r="I32" s="3"/>
    </row>
    <row r="33" spans="2:2" s="3" customFormat="1" ht="15.75">
      <c r="B33" s="59"/>
    </row>
    <row r="34" spans="2:2" s="3" customFormat="1" ht="15.75">
      <c r="B34" s="59"/>
    </row>
  </sheetData>
  <mergeCells count="3">
    <mergeCell ref="A2:G2"/>
    <mergeCell ref="F7:G7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AO7"/>
  <sheetViews>
    <sheetView tabSelected="1" topLeftCell="H1" zoomScale="130" zoomScaleNormal="130" workbookViewId="0">
      <pane ySplit="5" topLeftCell="A6" activePane="bottomLeft" state="frozen"/>
      <selection activeCell="D40856" sqref="D40856"/>
      <selection pane="bottomLeft" activeCell="H11" sqref="H11"/>
    </sheetView>
  </sheetViews>
  <sheetFormatPr defaultRowHeight="12" customHeight="1"/>
  <cols>
    <col min="1" max="7" width="0" style="131" hidden="1" customWidth="1"/>
    <col min="8" max="8" width="17.75" style="160" customWidth="1"/>
    <col min="9" max="9" width="9" style="131" hidden="1" customWidth="1"/>
    <col min="10" max="10" width="24.375" style="161" customWidth="1"/>
    <col min="11" max="11" width="36" style="161" customWidth="1"/>
    <col min="12" max="12" width="4.5" style="162" customWidth="1"/>
    <col min="13" max="13" width="5.125" style="135" customWidth="1"/>
    <col min="14" max="14" width="11" style="135" customWidth="1"/>
    <col min="15" max="15" width="11.25" style="135" customWidth="1"/>
    <col min="16" max="16" width="10.25" style="135" customWidth="1"/>
    <col min="17" max="17" width="9.875" style="135" customWidth="1"/>
    <col min="18" max="18" width="7.75" style="131" hidden="1" customWidth="1"/>
    <col min="19" max="19" width="9.125" style="131" hidden="1" customWidth="1"/>
    <col min="20" max="21" width="6.625" style="131" hidden="1" customWidth="1"/>
    <col min="22" max="22" width="12.75" style="160" customWidth="1"/>
    <col min="23" max="23" width="11.75" style="163" customWidth="1"/>
    <col min="24" max="24" width="18.75" style="161" customWidth="1"/>
    <col min="25" max="16384" width="9" style="160"/>
  </cols>
  <sheetData>
    <row r="1" spans="1:41" s="116" customFormat="1" ht="12" customHeight="1">
      <c r="H1" s="112"/>
      <c r="I1" s="112"/>
      <c r="J1" s="113"/>
      <c r="K1" s="113"/>
      <c r="L1" s="114"/>
      <c r="M1" s="115"/>
      <c r="N1" s="115"/>
      <c r="O1" s="115"/>
      <c r="P1" s="115"/>
      <c r="Q1" s="115"/>
      <c r="W1" s="117"/>
      <c r="X1" s="113"/>
      <c r="Y1" s="131"/>
      <c r="Z1" s="131"/>
      <c r="AA1" s="131"/>
      <c r="AB1" s="131"/>
      <c r="AC1" s="131"/>
      <c r="AD1" s="131"/>
      <c r="AE1" s="131"/>
      <c r="AF1" s="131"/>
    </row>
    <row r="2" spans="1:41" s="123" customFormat="1" ht="12" customHeight="1">
      <c r="H2" s="118"/>
      <c r="I2" s="118"/>
      <c r="J2" s="119"/>
      <c r="K2" s="119"/>
      <c r="L2" s="120"/>
      <c r="M2" s="121"/>
      <c r="N2" s="115"/>
      <c r="O2" s="122" t="s">
        <v>73</v>
      </c>
      <c r="P2" s="121"/>
      <c r="Q2" s="122" t="s">
        <v>73</v>
      </c>
      <c r="S2" s="122" t="s">
        <v>73</v>
      </c>
      <c r="U2" s="122" t="s">
        <v>73</v>
      </c>
      <c r="W2" s="124" t="s">
        <v>70</v>
      </c>
      <c r="Y2" s="131"/>
      <c r="Z2" s="131"/>
      <c r="AA2" s="131"/>
      <c r="AB2" s="131"/>
      <c r="AC2" s="131"/>
      <c r="AD2" s="131"/>
      <c r="AE2" s="131"/>
      <c r="AF2" s="131"/>
    </row>
    <row r="3" spans="1:41" s="123" customFormat="1" ht="18" customHeight="1">
      <c r="H3" s="138" t="s">
        <v>74</v>
      </c>
      <c r="I3" s="138"/>
      <c r="J3" s="139" t="str">
        <f>갑지!B7</f>
        <v>사택 배터리 교체</v>
      </c>
      <c r="K3" s="140"/>
      <c r="L3" s="141"/>
      <c r="M3" s="142"/>
      <c r="N3" s="143"/>
      <c r="O3" s="144">
        <v>0.83</v>
      </c>
      <c r="P3" s="142"/>
      <c r="Q3" s="144">
        <v>0.4</v>
      </c>
      <c r="R3" s="145"/>
      <c r="S3" s="144">
        <v>0.6</v>
      </c>
      <c r="T3" s="145"/>
      <c r="U3" s="144">
        <v>0.6</v>
      </c>
      <c r="V3" s="145"/>
      <c r="W3" s="144">
        <v>1</v>
      </c>
      <c r="X3" s="146" t="s">
        <v>71</v>
      </c>
      <c r="Y3" s="131"/>
      <c r="Z3" s="131"/>
      <c r="AA3" s="131"/>
      <c r="AB3" s="131"/>
      <c r="AC3" s="131"/>
      <c r="AD3" s="131"/>
      <c r="AE3" s="131"/>
      <c r="AF3" s="131"/>
    </row>
    <row r="4" spans="1:41" s="137" customFormat="1" ht="12" customHeight="1">
      <c r="H4" s="181" t="s">
        <v>75</v>
      </c>
      <c r="I4" s="125"/>
      <c r="J4" s="126" t="s">
        <v>76</v>
      </c>
      <c r="K4" s="126"/>
      <c r="L4" s="183" t="s">
        <v>77</v>
      </c>
      <c r="M4" s="184" t="s">
        <v>78</v>
      </c>
      <c r="N4" s="184" t="s">
        <v>79</v>
      </c>
      <c r="O4" s="184"/>
      <c r="P4" s="184" t="s">
        <v>80</v>
      </c>
      <c r="Q4" s="184"/>
      <c r="R4" s="179" t="s">
        <v>90</v>
      </c>
      <c r="S4" s="180"/>
      <c r="T4" s="180" t="s">
        <v>81</v>
      </c>
      <c r="U4" s="180"/>
      <c r="V4" s="181" t="s">
        <v>82</v>
      </c>
      <c r="W4" s="182" t="s">
        <v>29</v>
      </c>
      <c r="X4" s="18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</row>
    <row r="5" spans="1:41" s="137" customFormat="1" ht="12" customHeight="1">
      <c r="H5" s="181"/>
      <c r="I5" s="148"/>
      <c r="J5" s="127" t="s">
        <v>83</v>
      </c>
      <c r="K5" s="127" t="s">
        <v>84</v>
      </c>
      <c r="L5" s="183"/>
      <c r="M5" s="184"/>
      <c r="N5" s="128" t="s">
        <v>85</v>
      </c>
      <c r="O5" s="128" t="s">
        <v>86</v>
      </c>
      <c r="P5" s="128" t="s">
        <v>87</v>
      </c>
      <c r="Q5" s="128" t="s">
        <v>86</v>
      </c>
      <c r="R5" s="129" t="s">
        <v>88</v>
      </c>
      <c r="S5" s="129" t="s">
        <v>86</v>
      </c>
      <c r="T5" s="129" t="s">
        <v>88</v>
      </c>
      <c r="U5" s="129" t="s">
        <v>86</v>
      </c>
      <c r="V5" s="181"/>
      <c r="W5" s="125" t="s">
        <v>89</v>
      </c>
      <c r="X5" s="130" t="s">
        <v>28</v>
      </c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</row>
    <row r="6" spans="1:41" s="136" customFormat="1" ht="30" customHeight="1">
      <c r="H6" s="147" t="s">
        <v>121</v>
      </c>
      <c r="I6" s="149" t="s">
        <v>114</v>
      </c>
      <c r="J6" s="147" t="s">
        <v>119</v>
      </c>
      <c r="K6" s="147" t="s">
        <v>120</v>
      </c>
      <c r="L6" s="147" t="s">
        <v>122</v>
      </c>
      <c r="M6" s="147">
        <v>1</v>
      </c>
      <c r="N6" s="159">
        <v>1100000</v>
      </c>
      <c r="O6" s="111">
        <f t="shared" ref="O6" si="0">M6*N6*$O$3</f>
        <v>913000</v>
      </c>
      <c r="P6" s="171"/>
      <c r="Q6" s="111">
        <f t="shared" ref="Q6" si="1">IF(W6="",M6*P6*$Q$3*$W$3,M6*P6*$Q$3*W6)</f>
        <v>0</v>
      </c>
      <c r="R6" s="133"/>
      <c r="S6" s="133"/>
      <c r="T6" s="133"/>
      <c r="U6" s="133"/>
      <c r="V6" s="111">
        <f>SUM(O6+Q6)+S6+U6</f>
        <v>913000</v>
      </c>
      <c r="W6" s="132"/>
      <c r="X6" s="110"/>
    </row>
    <row r="7" spans="1:41" s="166" customFormat="1" ht="22.5" customHeight="1">
      <c r="A7" s="136"/>
      <c r="B7" s="136"/>
      <c r="C7" s="136"/>
      <c r="D7" s="136"/>
      <c r="E7" s="136"/>
      <c r="F7" s="136"/>
      <c r="G7" s="136"/>
      <c r="I7" s="164"/>
      <c r="J7" s="167"/>
      <c r="K7" s="168"/>
      <c r="L7" s="168"/>
      <c r="M7" s="169"/>
      <c r="N7" s="172"/>
      <c r="O7" s="174">
        <f>SUM(O6:O6)</f>
        <v>913000</v>
      </c>
      <c r="P7" s="172"/>
      <c r="Q7" s="174">
        <f>SUM(Q6:Q6)</f>
        <v>0</v>
      </c>
      <c r="R7" s="165"/>
      <c r="S7" s="134" t="e">
        <f>SUM(#REF!)</f>
        <v>#REF!</v>
      </c>
      <c r="T7" s="134"/>
      <c r="U7" s="134"/>
      <c r="V7" s="173"/>
      <c r="W7" s="170"/>
      <c r="X7" s="167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</row>
  </sheetData>
  <autoFilter ref="H5:X7" xr:uid="{F744D3DA-DF75-4182-9034-802655C8F5D1}">
    <filterColumn colId="5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H4:H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6"/>
  <dimension ref="A1:P9"/>
  <sheetViews>
    <sheetView workbookViewId="0">
      <pane ySplit="5" topLeftCell="A6" activePane="bottomLeft" state="frozen"/>
      <selection activeCell="D40856" sqref="D40856"/>
      <selection pane="bottomLeft" activeCell="A6" sqref="A6"/>
    </sheetView>
  </sheetViews>
  <sheetFormatPr defaultRowHeight="13.5"/>
  <cols>
    <col min="1" max="1" width="18.25" style="68" customWidth="1"/>
    <col min="2" max="3" width="40.75" style="81" customWidth="1"/>
    <col min="4" max="4" width="7.375" style="81" customWidth="1"/>
    <col min="5" max="5" width="6.75" style="82" customWidth="1"/>
    <col min="6" max="8" width="11.75" style="82" customWidth="1"/>
    <col min="9" max="9" width="9.75" style="82" customWidth="1"/>
    <col min="10" max="13" width="11.75" style="68" hidden="1" customWidth="1"/>
    <col min="14" max="14" width="11.75" style="68" customWidth="1"/>
    <col min="15" max="15" width="11.75" style="83" customWidth="1"/>
    <col min="16" max="16" width="11.75" style="81" customWidth="1"/>
    <col min="17" max="16384" width="9" style="68"/>
  </cols>
  <sheetData>
    <row r="1" spans="1:16">
      <c r="A1" s="84"/>
    </row>
    <row r="2" spans="1:16" s="60" customFormat="1" ht="12.75">
      <c r="A2" s="85"/>
      <c r="B2" s="75"/>
      <c r="C2" s="75"/>
      <c r="D2" s="75"/>
      <c r="E2" s="77"/>
      <c r="F2" s="78"/>
      <c r="G2" s="62" t="s">
        <v>24</v>
      </c>
      <c r="I2" s="62" t="s">
        <v>24</v>
      </c>
      <c r="K2" s="62" t="s">
        <v>24</v>
      </c>
      <c r="M2" s="62" t="s">
        <v>24</v>
      </c>
      <c r="O2" s="61"/>
    </row>
    <row r="3" spans="1:16" s="60" customFormat="1" ht="16.5" customHeight="1">
      <c r="A3" s="73"/>
      <c r="B3" s="86" t="str">
        <f>"공사명"&amp;" "&amp;":"&amp;" "&amp;갑지!B7</f>
        <v>공사명 : 사택 배터리 교체</v>
      </c>
      <c r="C3" s="75"/>
      <c r="D3" s="75"/>
      <c r="E3" s="77"/>
      <c r="F3" s="79"/>
      <c r="G3" s="72" t="s">
        <v>72</v>
      </c>
      <c r="I3" s="72" t="s">
        <v>72</v>
      </c>
      <c r="K3" s="72">
        <v>0.86</v>
      </c>
      <c r="M3" s="72">
        <v>0.8</v>
      </c>
      <c r="O3" s="61"/>
    </row>
    <row r="4" spans="1:16" s="60" customFormat="1" ht="16.5" customHeight="1">
      <c r="A4" s="186" t="s">
        <v>27</v>
      </c>
      <c r="B4" s="188" t="s">
        <v>38</v>
      </c>
      <c r="C4" s="188"/>
      <c r="D4" s="188" t="s">
        <v>30</v>
      </c>
      <c r="E4" s="189" t="s">
        <v>31</v>
      </c>
      <c r="F4" s="190" t="s">
        <v>32</v>
      </c>
      <c r="G4" s="190"/>
      <c r="H4" s="190" t="s">
        <v>39</v>
      </c>
      <c r="I4" s="190"/>
      <c r="J4" s="185" t="s">
        <v>33</v>
      </c>
      <c r="K4" s="185"/>
      <c r="L4" s="185" t="s">
        <v>34</v>
      </c>
      <c r="M4" s="185"/>
      <c r="N4" s="186" t="s">
        <v>26</v>
      </c>
      <c r="O4" s="187" t="s">
        <v>29</v>
      </c>
      <c r="P4" s="186"/>
    </row>
    <row r="5" spans="1:16" s="60" customFormat="1" ht="16.5" customHeight="1">
      <c r="A5" s="186"/>
      <c r="B5" s="76" t="s">
        <v>35</v>
      </c>
      <c r="C5" s="76" t="s">
        <v>40</v>
      </c>
      <c r="D5" s="188"/>
      <c r="E5" s="189"/>
      <c r="F5" s="66" t="s">
        <v>41</v>
      </c>
      <c r="G5" s="71" t="s">
        <v>36</v>
      </c>
      <c r="H5" s="66" t="s">
        <v>42</v>
      </c>
      <c r="I5" s="71" t="s">
        <v>36</v>
      </c>
      <c r="J5" s="63" t="s">
        <v>37</v>
      </c>
      <c r="K5" s="70" t="s">
        <v>36</v>
      </c>
      <c r="L5" s="63" t="s">
        <v>37</v>
      </c>
      <c r="M5" s="70" t="s">
        <v>36</v>
      </c>
      <c r="N5" s="186"/>
      <c r="O5" s="64" t="s">
        <v>43</v>
      </c>
      <c r="P5" s="65" t="s">
        <v>28</v>
      </c>
    </row>
    <row r="6" spans="1:16" s="109" customFormat="1">
      <c r="A6" s="106"/>
      <c r="B6" s="107"/>
      <c r="C6" s="107"/>
      <c r="D6" s="103"/>
      <c r="E6" s="105"/>
      <c r="F6" s="105"/>
      <c r="G6" s="105"/>
      <c r="H6" s="105"/>
      <c r="I6" s="104"/>
      <c r="J6" s="101">
        <v>197736</v>
      </c>
      <c r="K6" s="69"/>
      <c r="L6" s="67"/>
      <c r="M6" s="69"/>
      <c r="N6" s="104"/>
      <c r="O6" s="108"/>
      <c r="P6" s="107"/>
    </row>
    <row r="7" spans="1:16">
      <c r="A7" s="147" t="s">
        <v>113</v>
      </c>
      <c r="B7" s="149" t="s">
        <v>115</v>
      </c>
      <c r="C7" s="149" t="s">
        <v>116</v>
      </c>
      <c r="D7" s="149" t="s">
        <v>44</v>
      </c>
      <c r="E7" s="149">
        <v>35</v>
      </c>
      <c r="F7" s="100"/>
      <c r="G7" s="100"/>
      <c r="H7" s="100"/>
      <c r="I7" s="101"/>
      <c r="J7" s="101">
        <v>295464.15000000002</v>
      </c>
      <c r="K7" s="69"/>
      <c r="L7" s="67"/>
      <c r="M7" s="69"/>
      <c r="N7" s="67"/>
      <c r="O7" s="80"/>
      <c r="P7" s="74"/>
    </row>
    <row r="8" spans="1:16">
      <c r="A8" s="147" t="s">
        <v>96</v>
      </c>
      <c r="B8" s="149" t="s">
        <v>97</v>
      </c>
      <c r="C8" s="149" t="s">
        <v>98</v>
      </c>
      <c r="D8" s="149" t="s">
        <v>45</v>
      </c>
      <c r="E8" s="149">
        <v>1</v>
      </c>
      <c r="F8" s="100"/>
      <c r="G8" s="100"/>
      <c r="H8" s="100"/>
      <c r="I8" s="101"/>
      <c r="J8" s="101">
        <v>131653</v>
      </c>
      <c r="K8" s="69"/>
      <c r="L8" s="67"/>
      <c r="M8" s="69"/>
      <c r="N8" s="67"/>
      <c r="O8" s="80"/>
      <c r="P8" s="74"/>
    </row>
    <row r="9" spans="1:16">
      <c r="A9" s="150" t="s">
        <v>93</v>
      </c>
      <c r="B9" s="152" t="s">
        <v>94</v>
      </c>
      <c r="C9" s="152" t="s">
        <v>95</v>
      </c>
      <c r="D9" s="151"/>
      <c r="E9" s="153">
        <v>35</v>
      </c>
      <c r="F9" s="100"/>
      <c r="G9" s="100"/>
      <c r="H9" s="100"/>
      <c r="I9" s="101"/>
      <c r="J9" s="101">
        <v>1909218</v>
      </c>
      <c r="K9" s="69"/>
      <c r="L9" s="67"/>
      <c r="M9" s="69"/>
      <c r="N9" s="67"/>
      <c r="O9" s="80"/>
      <c r="P9" s="74"/>
    </row>
  </sheetData>
  <autoFilter ref="A5:P9" xr:uid="{3E8EE2AF-BF94-4554-AFEF-E97451214545}"/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4"/>
  <dimension ref="A1:F48"/>
  <sheetViews>
    <sheetView view="pageBreakPreview" zoomScaleNormal="100" zoomScaleSheetLayoutView="100" workbookViewId="0">
      <selection activeCell="C13" sqref="C13:F13"/>
    </sheetView>
  </sheetViews>
  <sheetFormatPr defaultColWidth="9" defaultRowHeight="13.5"/>
  <cols>
    <col min="1" max="1" width="3.125" style="87" customWidth="1"/>
    <col min="2" max="2" width="18.25" style="97" customWidth="1"/>
    <col min="3" max="3" width="32.375" style="97" customWidth="1"/>
    <col min="4" max="4" width="10" style="98" customWidth="1"/>
    <col min="5" max="5" width="16.625" style="97" customWidth="1"/>
    <col min="6" max="6" width="16.625" style="88" customWidth="1"/>
    <col min="7" max="7" width="3.125" style="88" customWidth="1"/>
    <col min="8" max="16384" width="9" style="88"/>
  </cols>
  <sheetData>
    <row r="1" spans="1:6" ht="16.5" customHeight="1">
      <c r="B1" s="191" t="s">
        <v>46</v>
      </c>
      <c r="C1" s="192"/>
      <c r="D1" s="192"/>
      <c r="E1" s="192"/>
      <c r="F1" s="192"/>
    </row>
    <row r="2" spans="1:6" ht="25.5" customHeight="1">
      <c r="B2" s="192"/>
      <c r="C2" s="192"/>
      <c r="D2" s="192"/>
      <c r="E2" s="192"/>
      <c r="F2" s="192"/>
    </row>
    <row r="3" spans="1:6" ht="10.5" customHeight="1" thickBot="1">
      <c r="A3" s="193"/>
      <c r="B3" s="193"/>
      <c r="C3" s="193"/>
      <c r="D3" s="193"/>
      <c r="E3" s="193"/>
      <c r="F3" s="193"/>
    </row>
    <row r="4" spans="1:6" ht="31.5" customHeight="1">
      <c r="A4" s="89"/>
      <c r="B4" s="90" t="s">
        <v>47</v>
      </c>
      <c r="C4" s="91" t="s">
        <v>48</v>
      </c>
      <c r="D4" s="92" t="s">
        <v>49</v>
      </c>
      <c r="E4" s="194" t="str">
        <f>갑지!B9</f>
        <v>2025년 06월  일</v>
      </c>
      <c r="F4" s="195"/>
    </row>
    <row r="5" spans="1:6" s="95" customFormat="1" ht="31.5" customHeight="1">
      <c r="A5" s="93"/>
      <c r="B5" s="94" t="s">
        <v>50</v>
      </c>
      <c r="C5" s="196" t="str">
        <f>갑지!B7</f>
        <v>사택 배터리 교체</v>
      </c>
      <c r="D5" s="197"/>
      <c r="E5" s="197"/>
      <c r="F5" s="198"/>
    </row>
    <row r="6" spans="1:6" ht="21.95" customHeight="1">
      <c r="A6" s="93"/>
      <c r="B6" s="199" t="s">
        <v>51</v>
      </c>
      <c r="C6" s="202" t="s">
        <v>52</v>
      </c>
      <c r="D6" s="203"/>
      <c r="E6" s="203"/>
      <c r="F6" s="204"/>
    </row>
    <row r="7" spans="1:6" ht="21.95" customHeight="1">
      <c r="A7" s="93"/>
      <c r="B7" s="200"/>
      <c r="C7" s="205" t="s">
        <v>91</v>
      </c>
      <c r="D7" s="206"/>
      <c r="E7" s="206"/>
      <c r="F7" s="207"/>
    </row>
    <row r="8" spans="1:6" ht="21.95" customHeight="1">
      <c r="A8" s="93"/>
      <c r="B8" s="200"/>
      <c r="C8" s="205" t="s">
        <v>53</v>
      </c>
      <c r="D8" s="206"/>
      <c r="E8" s="206"/>
      <c r="F8" s="207"/>
    </row>
    <row r="9" spans="1:6" ht="21.95" customHeight="1">
      <c r="A9" s="93"/>
      <c r="B9" s="200"/>
      <c r="C9" s="208"/>
      <c r="D9" s="209"/>
      <c r="E9" s="209"/>
      <c r="F9" s="210"/>
    </row>
    <row r="10" spans="1:6" ht="21.95" customHeight="1">
      <c r="A10" s="93"/>
      <c r="B10" s="200"/>
      <c r="C10" s="208"/>
      <c r="D10" s="209"/>
      <c r="E10" s="209"/>
      <c r="F10" s="210"/>
    </row>
    <row r="11" spans="1:6" ht="21.95" customHeight="1">
      <c r="A11" s="93"/>
      <c r="B11" s="200"/>
      <c r="C11" s="208" t="s">
        <v>117</v>
      </c>
      <c r="D11" s="209"/>
      <c r="E11" s="209"/>
      <c r="F11" s="210"/>
    </row>
    <row r="12" spans="1:6" ht="21.95" customHeight="1">
      <c r="A12" s="93"/>
      <c r="B12" s="200"/>
      <c r="C12" s="208"/>
      <c r="D12" s="209"/>
      <c r="E12" s="209"/>
      <c r="F12" s="210"/>
    </row>
    <row r="13" spans="1:6" ht="21.95" customHeight="1">
      <c r="A13" s="93"/>
      <c r="B13" s="200"/>
      <c r="C13" s="208"/>
      <c r="D13" s="209"/>
      <c r="E13" s="209"/>
      <c r="F13" s="210"/>
    </row>
    <row r="14" spans="1:6" ht="21.95" customHeight="1">
      <c r="A14" s="93"/>
      <c r="B14" s="200"/>
      <c r="C14" s="208"/>
      <c r="D14" s="209"/>
      <c r="E14" s="209"/>
      <c r="F14" s="210"/>
    </row>
    <row r="15" spans="1:6" ht="21.95" customHeight="1">
      <c r="A15" s="93"/>
      <c r="B15" s="200"/>
      <c r="C15" s="208"/>
      <c r="D15" s="209"/>
      <c r="E15" s="209"/>
      <c r="F15" s="210"/>
    </row>
    <row r="16" spans="1:6" ht="21.95" customHeight="1">
      <c r="A16" s="93"/>
      <c r="B16" s="200"/>
      <c r="C16" s="208"/>
      <c r="D16" s="209"/>
      <c r="E16" s="209"/>
      <c r="F16" s="210"/>
    </row>
    <row r="17" spans="1:6" ht="21.95" customHeight="1">
      <c r="A17" s="93"/>
      <c r="B17" s="200"/>
      <c r="C17" s="208"/>
      <c r="D17" s="209"/>
      <c r="E17" s="209"/>
      <c r="F17" s="210"/>
    </row>
    <row r="18" spans="1:6" ht="21.95" customHeight="1">
      <c r="A18" s="93"/>
      <c r="B18" s="200"/>
      <c r="C18" s="208"/>
      <c r="D18" s="211"/>
      <c r="E18" s="211"/>
      <c r="F18" s="212"/>
    </row>
    <row r="19" spans="1:6" ht="19.899999999999999" customHeight="1">
      <c r="A19" s="93"/>
      <c r="B19" s="200"/>
      <c r="C19" s="208"/>
      <c r="D19" s="211"/>
      <c r="E19" s="211"/>
      <c r="F19" s="212"/>
    </row>
    <row r="20" spans="1:6" ht="21.95" customHeight="1">
      <c r="A20" s="93"/>
      <c r="B20" s="200"/>
      <c r="C20" s="213" t="s">
        <v>54</v>
      </c>
      <c r="D20" s="214"/>
      <c r="E20" s="214"/>
      <c r="F20" s="215"/>
    </row>
    <row r="21" spans="1:6" ht="21.95" customHeight="1">
      <c r="A21" s="93"/>
      <c r="B21" s="200"/>
      <c r="C21" s="213" t="s">
        <v>55</v>
      </c>
      <c r="D21" s="214"/>
      <c r="E21" s="214"/>
      <c r="F21" s="215"/>
    </row>
    <row r="22" spans="1:6" ht="21.95" customHeight="1">
      <c r="A22" s="93"/>
      <c r="B22" s="200"/>
      <c r="C22" s="208" t="s">
        <v>56</v>
      </c>
      <c r="D22" s="211"/>
      <c r="E22" s="211"/>
      <c r="F22" s="212"/>
    </row>
    <row r="23" spans="1:6" ht="21.95" customHeight="1">
      <c r="A23" s="93"/>
      <c r="B23" s="200"/>
      <c r="C23" s="208" t="s">
        <v>57</v>
      </c>
      <c r="D23" s="211"/>
      <c r="E23" s="211"/>
      <c r="F23" s="212"/>
    </row>
    <row r="24" spans="1:6" ht="21.95" customHeight="1">
      <c r="A24" s="93"/>
      <c r="B24" s="200"/>
      <c r="C24" s="208" t="s">
        <v>58</v>
      </c>
      <c r="D24" s="211"/>
      <c r="E24" s="211"/>
      <c r="F24" s="212"/>
    </row>
    <row r="25" spans="1:6" ht="21.95" customHeight="1">
      <c r="A25" s="93"/>
      <c r="B25" s="200"/>
      <c r="C25" s="213" t="s">
        <v>59</v>
      </c>
      <c r="D25" s="218"/>
      <c r="E25" s="218"/>
      <c r="F25" s="219"/>
    </row>
    <row r="26" spans="1:6" ht="21.95" customHeight="1">
      <c r="A26" s="93"/>
      <c r="B26" s="200"/>
      <c r="C26" s="213"/>
      <c r="D26" s="218"/>
      <c r="E26" s="218"/>
      <c r="F26" s="219"/>
    </row>
    <row r="27" spans="1:6" ht="21.95" customHeight="1">
      <c r="A27" s="93"/>
      <c r="B27" s="200"/>
      <c r="C27" s="213"/>
      <c r="D27" s="218"/>
      <c r="E27" s="218"/>
      <c r="F27" s="219"/>
    </row>
    <row r="28" spans="1:6" ht="21.95" customHeight="1">
      <c r="A28" s="93"/>
      <c r="B28" s="201"/>
      <c r="C28" s="220"/>
      <c r="D28" s="221"/>
      <c r="E28" s="221"/>
      <c r="F28" s="222"/>
    </row>
    <row r="29" spans="1:6" ht="50.1" customHeight="1">
      <c r="A29" s="93"/>
      <c r="B29" s="94" t="s">
        <v>60</v>
      </c>
      <c r="C29" s="96" t="s">
        <v>61</v>
      </c>
      <c r="D29" s="216" t="s">
        <v>62</v>
      </c>
      <c r="E29" s="216"/>
      <c r="F29" s="217"/>
    </row>
    <row r="30" spans="1:6" ht="50.1" customHeight="1">
      <c r="A30" s="93"/>
      <c r="B30" s="94" t="s">
        <v>63</v>
      </c>
      <c r="C30" s="96" t="s">
        <v>92</v>
      </c>
      <c r="D30" s="216" t="s">
        <v>64</v>
      </c>
      <c r="E30" s="216"/>
      <c r="F30" s="21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2025-07-07T04:46:10Z</dcterms:modified>
</cp:coreProperties>
</file>
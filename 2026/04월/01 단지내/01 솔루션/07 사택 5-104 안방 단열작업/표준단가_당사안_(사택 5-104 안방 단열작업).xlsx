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545F7F0B-5EE8-4B87-B4FD-D3D6871CB499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E10" i="4"/>
  <c r="A7" i="1" s="1"/>
  <c r="E9" i="4"/>
  <c r="A6" i="1" s="1"/>
  <c r="E8" i="4"/>
  <c r="A5" i="1" s="1"/>
  <c r="U8" i="4"/>
  <c r="S8" i="4"/>
  <c r="Q8" i="4"/>
  <c r="O8" i="4"/>
  <c r="U10" i="4"/>
  <c r="S10" i="4"/>
  <c r="Q10" i="4"/>
  <c r="O10" i="4"/>
  <c r="U9" i="4"/>
  <c r="S9" i="4"/>
  <c r="Q9" i="4"/>
  <c r="O9" i="4"/>
  <c r="V8" i="4" l="1"/>
  <c r="V9" i="4"/>
  <c r="V10" i="4"/>
  <c r="U7" i="4" l="1"/>
  <c r="S7" i="4"/>
  <c r="Q7" i="4"/>
  <c r="O7" i="4"/>
  <c r="E7" i="4"/>
  <c r="A4" i="1" s="1"/>
  <c r="V7" i="4" l="1"/>
  <c r="U6" i="4" l="1"/>
  <c r="S6" i="4"/>
  <c r="Q6" i="4"/>
  <c r="O6" i="4"/>
  <c r="E6" i="4"/>
  <c r="A3" i="1" s="1"/>
  <c r="V6" i="4" l="1"/>
  <c r="U5" i="4" l="1"/>
  <c r="S5" i="4"/>
  <c r="Q5" i="4"/>
  <c r="O5" i="4"/>
  <c r="E5" i="4"/>
  <c r="V5" i="4" l="1"/>
  <c r="F2" i="1" l="1"/>
  <c r="E2" i="1"/>
  <c r="D2" i="1"/>
  <c r="C2" i="1"/>
  <c r="B2" i="1"/>
  <c r="A2" i="1"/>
  <c r="U11" i="4" l="1"/>
  <c r="Q11" i="4"/>
  <c r="F17" i="5" s="1"/>
  <c r="S11" i="4" l="1"/>
  <c r="V11" i="4" l="1"/>
  <c r="F18" i="5" l="1"/>
  <c r="O11" i="4" l="1"/>
  <c r="F16" i="5" s="1"/>
  <c r="F26" i="5" l="1"/>
  <c r="F19" i="5"/>
  <c r="F21" i="5"/>
  <c r="F24" i="5"/>
  <c r="F25" i="5"/>
  <c r="F22" i="5"/>
  <c r="F23" i="5" s="1"/>
  <c r="F27" i="5" l="1"/>
  <c r="F28" i="5" s="1"/>
  <c r="F30" i="5" s="1"/>
  <c r="F31" i="5" l="1"/>
  <c r="B12" i="5" s="1"/>
</calcChain>
</file>

<file path=xl/sharedStrings.xml><?xml version="1.0" encoding="utf-8"?>
<sst xmlns="http://schemas.openxmlformats.org/spreadsheetml/2006/main" count="125" uniqueCount="104">
  <si>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</si>
  <si>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</si>
  <si>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</si>
  <si>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</si>
  <si>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</si>
  <si>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</si>
  <si>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</si>
  <si>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</si>
  <si>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</si>
  <si>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</si>
  <si>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</si>
  <si>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</si>
  <si>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</si>
  <si>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</si>
  <si>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</si>
  <si>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</si>
  <si>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</si>
  <si>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</si>
  <si>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</si>
  <si>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</si>
  <si>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</si>
  <si>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</si>
  <si>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</si>
  <si>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</si>
  <si>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</si>
  <si>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</si>
  <si>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</si>
  <si>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</si>
  <si>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</si>
  <si>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</si>
  <si>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</si>
  <si>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</si>
  <si>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</si>
  <si>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</si>
  <si>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</si>
  <si>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</si>
  <si>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</si>
  <si>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</si>
  <si>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</si>
  <si>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</si>
  <si>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</si>
  <si>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</si>
  <si>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</si>
  <si>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</si>
  <si>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</si>
  <si>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</si>
  <si>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</si>
  <si>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</si>
  <si>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</si>
  <si>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</si>
  <si>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</si>
  <si>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</si>
  <si>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</si>
  <si>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</si>
  <si>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</si>
  <si>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</si>
  <si>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</si>
  <si>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</si>
  <si>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</si>
  <si>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</si>
  <si>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</si>
  <si>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</si>
  <si>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</si>
  <si>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</si>
  <si>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</si>
  <si>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</si>
  <si>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</si>
  <si>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</si>
  <si>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</si>
  <si>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</si>
  <si>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</si>
  <si>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</si>
  <si>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</si>
  <si>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</si>
  <si>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</si>
  <si>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</si>
  <si>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</si>
  <si>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</si>
  <si>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</si>
  <si>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</si>
  <si>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석고판 설치(나사 고정)</t>
  </si>
  <si>
    <t>(일당)</t>
  </si>
  <si>
    <t>900 X 1800X40, 3호(비중0.020)</t>
  </si>
  <si>
    <t>900 X 1800X50, 3호(비중0.020)</t>
  </si>
  <si>
    <t>E00000803066520103</t>
  </si>
  <si>
    <t> (재료비+노무비)*3.11%</t>
    <phoneticPr fontId="18" type="noConversion"/>
  </si>
  <si>
    <r>
      <t>에너폴(태화론 TW-06, 6㎜×1M×50M단면-점착 대체)</t>
    </r>
    <r>
      <rPr>
        <sz val="10"/>
        <color rgb="FFFF0000"/>
        <rFont val="LG스마트체 Regular"/>
        <family val="3"/>
        <charset val="129"/>
      </rPr>
      <t xml:space="preserve"> 4.0M*H:2.4=9.6</t>
    </r>
    <phoneticPr fontId="10" type="noConversion"/>
  </si>
  <si>
    <t>아이리스</t>
  </si>
  <si>
    <t>R/L</t>
  </si>
  <si>
    <t>E00000803071260301</t>
  </si>
  <si>
    <t>도배 교체(벽)</t>
    <phoneticPr fontId="10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</si>
  <si>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소요량10/16.51=0.6056R/L</t>
    </r>
    <phoneticPr fontId="10" type="noConversion"/>
  </si>
  <si>
    <t>일당 시공량-벽 46㎡, 적산정보 500p 참조,시공총량10/일당46=0.2173</t>
    <phoneticPr fontId="10" type="noConversion"/>
  </si>
  <si>
    <t>에너폴(이보드, 1000*1000*13T, 대체)  4.0M*H:2.4=9.6</t>
    <phoneticPr fontId="10" type="noConversion"/>
  </si>
  <si>
    <t>바탕용(2겹) (일일시공량30㎡),시공총량20/일당30=0.666</t>
    <phoneticPr fontId="10" type="noConversion"/>
  </si>
  <si>
    <t xml:space="preserve"> 견적일 : 2026년  01월  19일</t>
    <phoneticPr fontId="16" type="noConversion"/>
  </si>
  <si>
    <t>M020750510120102</t>
    <phoneticPr fontId="10" type="noConversion"/>
  </si>
  <si>
    <t>M020750510130102</t>
    <phoneticPr fontId="10" type="noConversion"/>
  </si>
  <si>
    <t>M020853710050101</t>
    <phoneticPr fontId="10" type="noConversion"/>
  </si>
  <si>
    <t>L003</t>
  </si>
  <si>
    <t>시중노임단가, 특별인부</t>
    <phoneticPr fontId="10" type="noConversion"/>
  </si>
  <si>
    <t>인</t>
    <phoneticPr fontId="10" type="noConversion"/>
  </si>
  <si>
    <r>
      <t xml:space="preserve">현장정리, </t>
    </r>
    <r>
      <rPr>
        <sz val="10"/>
        <color rgb="FFFF0000"/>
        <rFont val="LG스마트체 Regular"/>
        <family val="3"/>
        <charset val="129"/>
      </rPr>
      <t>가구이동 및 폐기물 처리 포함</t>
    </r>
    <phoneticPr fontId="10" type="noConversion"/>
  </si>
  <si>
    <t xml:space="preserve"> 공사명 : 사택 5-104 안방 외벽 단열작업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</si>
</sst>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0.000_);[Red]\(0.000\)"/>
    <numFmt numFmtId="184" formatCode="0.000_ "/>
    <numFmt numFmtId="185" formatCode="#,##0;\-#,##0;"/>
    <numFmt numFmtId="186" formatCode="0.000"/>
    <numFmt numFmtId="187" formatCode="#,##0.000_ 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9"/>
      <color rgb="FF00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3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7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49" fontId="21" fillId="7" borderId="3" xfId="0" applyNumberFormat="1" applyFont="1" applyFill="1" applyBorder="1" applyAlignment="1">
      <alignment horizontal="center" vertical="center" wrapText="1"/>
    </xf>
    <xf numFmtId="49" fontId="21" fillId="5" borderId="3" xfId="0" applyNumberFormat="1" applyFont="1" applyFill="1" applyBorder="1" applyAlignment="1">
      <alignment horizontal="center" vertical="center" wrapText="1"/>
    </xf>
    <xf numFmtId="177" fontId="21" fillId="5" borderId="3" xfId="1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7" borderId="3" xfId="0" applyNumberFormat="1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7" fontId="21" fillId="0" borderId="3" xfId="1" applyFont="1" applyFill="1" applyBorder="1" applyAlignment="1">
      <alignment vertical="center" wrapText="1"/>
    </xf>
    <xf numFmtId="0" fontId="21" fillId="0" borderId="23" xfId="0" applyFont="1" applyBorder="1">
      <alignment vertical="center"/>
    </xf>
    <xf numFmtId="177" fontId="21" fillId="5" borderId="3" xfId="1" applyFont="1" applyFill="1" applyBorder="1" applyAlignment="1">
      <alignment vertical="center" wrapText="1"/>
    </xf>
    <xf numFmtId="183" fontId="21" fillId="5" borderId="3" xfId="1" applyNumberFormat="1" applyFont="1" applyFill="1" applyBorder="1" applyAlignment="1">
      <alignment vertical="center"/>
    </xf>
    <xf numFmtId="184" fontId="21" fillId="0" borderId="1" xfId="1" applyNumberFormat="1" applyFont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5" borderId="3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85" fontId="21" fillId="5" borderId="3" xfId="0" applyNumberFormat="1" applyFont="1" applyFill="1" applyBorder="1" applyAlignment="1">
      <alignment horizontal="right" vertical="center" wrapText="1"/>
    </xf>
    <xf numFmtId="185" fontId="21" fillId="5" borderId="3" xfId="0" applyNumberFormat="1" applyFont="1" applyFill="1" applyBorder="1" applyAlignment="1">
      <alignment horizontal="right" vertical="center"/>
    </xf>
    <xf numFmtId="185" fontId="21" fillId="6" borderId="3" xfId="1" applyNumberFormat="1" applyFont="1" applyFill="1" applyBorder="1" applyAlignment="1">
      <alignment horizontal="right" vertical="center" wrapText="1"/>
    </xf>
    <xf numFmtId="185" fontId="21" fillId="5" borderId="3" xfId="1" applyNumberFormat="1" applyFont="1" applyFill="1" applyBorder="1" applyAlignment="1">
      <alignment horizontal="right" vertical="center"/>
    </xf>
    <xf numFmtId="185" fontId="21" fillId="0" borderId="3" xfId="1" applyNumberFormat="1" applyFont="1" applyFill="1" applyBorder="1" applyAlignment="1">
      <alignment horizontal="right" vertical="center" wrapText="1"/>
    </xf>
    <xf numFmtId="185" fontId="21" fillId="5" borderId="3" xfId="1" applyNumberFormat="1" applyFont="1" applyFill="1" applyBorder="1" applyAlignment="1">
      <alignment horizontal="right" vertical="center" wrapText="1"/>
    </xf>
    <xf numFmtId="186" fontId="21" fillId="5" borderId="3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7" fontId="21" fillId="0" borderId="0" xfId="0" applyNumberFormat="1" applyFont="1">
      <alignment vertical="center"/>
    </xf>
    <xf numFmtId="0" fontId="26" fillId="7" borderId="3" xfId="0" applyFont="1" applyFill="1" applyBorder="1" applyAlignment="1">
      <alignment horizontal="center" vertical="center"/>
    </xf>
    <xf numFmtId="177" fontId="21" fillId="0" borderId="3" xfId="1" applyFont="1" applyFill="1" applyBorder="1" applyAlignment="1">
      <alignment horizontal="center" vertical="center" wrapText="1"/>
    </xf>
    <xf numFmtId="187" fontId="21" fillId="0" borderId="3" xfId="1" applyNumberFormat="1" applyFont="1" applyFill="1" applyBorder="1" applyAlignment="1">
      <alignment horizontal="center" vertical="center"/>
    </xf>
    <xf numFmtId="187" fontId="21" fillId="5" borderId="3" xfId="1" applyNumberFormat="1" applyFont="1" applyFill="1" applyBorder="1" applyAlignment="1">
      <alignment horizontal="center" vertical="center"/>
    </xf>
    <xf numFmtId="49" fontId="21" fillId="5" borderId="6" xfId="0" applyNumberFormat="1" applyFont="1" applyFill="1" applyBorder="1" applyAlignment="1">
      <alignment horizontal="center" vertical="center" wrapText="1"/>
    </xf>
    <xf numFmtId="49" fontId="29" fillId="7" borderId="3" xfId="0" applyNumberFormat="1" applyFont="1" applyFill="1" applyBorder="1" applyAlignment="1">
      <alignment horizontal="center" vertical="center" wrapText="1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7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1" zoomScale="85" zoomScaleNormal="85" workbookViewId="0">
      <selection activeCell="J20" sqref="J20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2" t="s">
        <v>6</v>
      </c>
      <c r="B2" s="122"/>
      <c r="C2" s="122"/>
      <c r="D2" s="122"/>
      <c r="E2" s="122"/>
      <c r="F2" s="122"/>
      <c r="G2" s="122"/>
      <c r="H2" s="2"/>
    </row>
    <row r="3" spans="1:9" ht="14.25">
      <c r="A3" s="89"/>
      <c r="B3" s="89"/>
      <c r="C3" s="89"/>
      <c r="D3" s="89"/>
      <c r="E3" s="89"/>
      <c r="F3" s="89"/>
      <c r="G3" s="89"/>
      <c r="H3" s="89"/>
    </row>
    <row r="4" spans="1:9" ht="14.25">
      <c r="A4" s="89"/>
      <c r="B4" s="89"/>
      <c r="C4" s="89"/>
      <c r="D4" s="89"/>
      <c r="E4" s="89"/>
      <c r="H4" s="89"/>
    </row>
    <row r="5" spans="1:9" ht="27" customHeight="1">
      <c r="A5" s="90" t="s">
        <v>48</v>
      </c>
      <c r="B5" s="4"/>
      <c r="C5" s="5"/>
      <c r="D5" s="89"/>
      <c r="E5" s="89"/>
      <c r="F5" s="6" t="s">
        <v>38</v>
      </c>
      <c r="G5" s="7" t="s">
        <v>52</v>
      </c>
      <c r="H5" s="89"/>
    </row>
    <row r="6" spans="1:9" ht="27" customHeight="1">
      <c r="A6" s="89"/>
      <c r="B6" s="89"/>
      <c r="C6" s="89"/>
      <c r="D6" s="89"/>
      <c r="E6" s="89"/>
      <c r="F6" s="8" t="s">
        <v>41</v>
      </c>
      <c r="G6" s="9" t="s">
        <v>53</v>
      </c>
      <c r="H6" s="89"/>
    </row>
    <row r="7" spans="1:9" ht="27" customHeight="1">
      <c r="A7" s="128" t="s">
        <v>103</v>
      </c>
      <c r="B7" s="129"/>
      <c r="C7" s="130"/>
      <c r="D7" s="89"/>
      <c r="E7" s="10"/>
      <c r="F7" s="11" t="s">
        <v>42</v>
      </c>
      <c r="G7" s="9" t="s">
        <v>54</v>
      </c>
      <c r="H7" s="89"/>
    </row>
    <row r="8" spans="1:9" ht="27" customHeight="1">
      <c r="A8" s="89"/>
      <c r="B8" s="89"/>
      <c r="C8" s="89"/>
      <c r="D8" s="89"/>
      <c r="E8" s="89"/>
      <c r="F8" s="8" t="s">
        <v>43</v>
      </c>
      <c r="G8" s="9" t="s">
        <v>55</v>
      </c>
      <c r="H8" s="89"/>
    </row>
    <row r="9" spans="1:9" ht="27" customHeight="1">
      <c r="A9" s="125" t="s">
        <v>95</v>
      </c>
      <c r="B9" s="126"/>
      <c r="C9" s="127"/>
      <c r="D9" s="89"/>
      <c r="E9" s="89"/>
      <c r="F9" s="8" t="s">
        <v>44</v>
      </c>
      <c r="G9" s="9" t="s">
        <v>56</v>
      </c>
      <c r="H9" s="89"/>
    </row>
    <row r="10" spans="1:9" ht="27" customHeight="1">
      <c r="A10" s="89"/>
      <c r="B10" s="89"/>
      <c r="C10" s="89"/>
      <c r="D10" s="89"/>
      <c r="E10" s="89"/>
      <c r="F10" s="12" t="s">
        <v>39</v>
      </c>
      <c r="G10" s="13" t="s">
        <v>57</v>
      </c>
      <c r="H10" s="89"/>
      <c r="I10" s="89"/>
    </row>
    <row r="11" spans="1:9" ht="27" customHeight="1">
      <c r="A11" s="123"/>
      <c r="B11" s="124"/>
      <c r="C11" s="124"/>
      <c r="D11" s="89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팔십육만사천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9"/>
      <c r="B13" s="89"/>
      <c r="C13" s="89"/>
      <c r="D13" s="89"/>
      <c r="E13" s="89"/>
      <c r="F13" s="89"/>
      <c r="G13" s="89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'내역서(표준단가)'!O11</f>
        <v>130808.6284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'내역서(표준단가)'!Q11</f>
        <v>597813.24066799995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'내역서(표준단가)'!S11+'내역서(표준단가)'!U11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728621.869068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26901.595830059996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21192.479381680601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2744.4260799276381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6037.913730746799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21282.1513677808</v>
      </c>
      <c r="G25" s="35" t="s">
        <v>28</v>
      </c>
    </row>
    <row r="26" spans="1:7" ht="33" customHeight="1">
      <c r="A26" s="29"/>
      <c r="B26" s="42" t="s">
        <v>32</v>
      </c>
      <c r="C26" s="49" t="s">
        <v>85</v>
      </c>
      <c r="D26" s="30">
        <v>1</v>
      </c>
      <c r="E26" s="30" t="s">
        <v>25</v>
      </c>
      <c r="F26" s="43">
        <f>(F16+F17)*3.11%</f>
        <v>22660.140128014798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34931.59735931053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135750.30387752116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864372.17294552119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864000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C1:X15"/>
  <sheetViews>
    <sheetView showGridLines="0" tabSelected="1" zoomScale="85" zoomScaleNormal="85" workbookViewId="0">
      <pane ySplit="4" topLeftCell="A5" activePane="bottomLeft" state="frozen"/>
      <selection pane="bottomLeft" activeCell="E8" sqref="E8"/>
    </sheetView>
  </sheetViews>
  <sheetFormatPr defaultColWidth="9" defaultRowHeight="38.1" customHeight="1"/>
  <cols>
    <col min="1" max="2" width="0" style="105" hidden="1" customWidth="1"/>
    <col min="3" max="3" width="9" style="105" hidden="1" customWidth="1"/>
    <col min="4" max="4" width="0" style="105" hidden="1" customWidth="1"/>
    <col min="5" max="5" width="22.625" style="114" bestFit="1" customWidth="1"/>
    <col min="6" max="6" width="17.25" style="105" hidden="1" customWidth="1"/>
    <col min="7" max="7" width="13.75" style="105" hidden="1" customWidth="1"/>
    <col min="8" max="8" width="16.625" style="105" hidden="1" customWidth="1"/>
    <col min="9" max="9" width="10.125" style="105" hidden="1" customWidth="1"/>
    <col min="10" max="10" width="37.375" style="101" customWidth="1"/>
    <col min="11" max="11" width="30.625" style="101" customWidth="1"/>
    <col min="12" max="12" width="12" style="105" bestFit="1" customWidth="1"/>
    <col min="13" max="13" width="10" style="105" bestFit="1" customWidth="1"/>
    <col min="14" max="14" width="10.25" style="105" bestFit="1" customWidth="1"/>
    <col min="15" max="15" width="13.25" style="105" bestFit="1" customWidth="1"/>
    <col min="16" max="16" width="9.75" style="105" customWidth="1"/>
    <col min="17" max="17" width="15.625" style="105" bestFit="1" customWidth="1"/>
    <col min="18" max="18" width="8.125" style="105" customWidth="1"/>
    <col min="19" max="19" width="8.75" style="105" bestFit="1" customWidth="1"/>
    <col min="20" max="20" width="9" style="105" customWidth="1"/>
    <col min="21" max="21" width="8.75" style="105" bestFit="1" customWidth="1"/>
    <col min="22" max="22" width="15.5" style="105" bestFit="1" customWidth="1"/>
    <col min="23" max="23" width="10.625" style="66" bestFit="1" customWidth="1"/>
    <col min="24" max="24" width="8.5" style="105" bestFit="1" customWidth="1"/>
    <col min="25" max="16384" width="9" style="105"/>
  </cols>
  <sheetData>
    <row r="1" spans="5:24" ht="19.899999999999999" customHeight="1">
      <c r="E1" s="131"/>
      <c r="F1" s="131"/>
      <c r="G1" s="131"/>
      <c r="H1" s="131"/>
      <c r="I1" s="131"/>
      <c r="N1" s="66"/>
      <c r="O1" s="104" t="s">
        <v>59</v>
      </c>
      <c r="Q1" s="104" t="s">
        <v>59</v>
      </c>
      <c r="S1" s="104" t="s">
        <v>59</v>
      </c>
      <c r="U1" s="104" t="s">
        <v>59</v>
      </c>
    </row>
    <row r="2" spans="5:24" ht="19.899999999999999" customHeight="1" thickBot="1">
      <c r="E2" s="131"/>
      <c r="F2" s="131"/>
      <c r="G2" s="131"/>
      <c r="H2" s="131"/>
      <c r="I2" s="13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5:24" ht="19.899999999999999" customHeight="1">
      <c r="E3" s="106"/>
      <c r="F3" s="106" t="s">
        <v>60</v>
      </c>
      <c r="G3" s="107"/>
      <c r="H3" s="107"/>
      <c r="I3" s="107"/>
      <c r="J3" s="142" t="s">
        <v>61</v>
      </c>
      <c r="K3" s="142"/>
      <c r="L3" s="140" t="s">
        <v>47</v>
      </c>
      <c r="M3" s="140" t="s">
        <v>5</v>
      </c>
      <c r="N3" s="136" t="s">
        <v>62</v>
      </c>
      <c r="O3" s="136"/>
      <c r="P3" s="136" t="s">
        <v>63</v>
      </c>
      <c r="Q3" s="136"/>
      <c r="R3" s="137" t="s">
        <v>64</v>
      </c>
      <c r="S3" s="137"/>
      <c r="T3" s="137" t="s">
        <v>65</v>
      </c>
      <c r="U3" s="137"/>
      <c r="V3" s="138" t="s">
        <v>66</v>
      </c>
      <c r="W3" s="134" t="s">
        <v>67</v>
      </c>
      <c r="X3" s="132" t="s">
        <v>45</v>
      </c>
    </row>
    <row r="4" spans="5:24" ht="19.899999999999999" customHeight="1">
      <c r="E4" s="69" t="s">
        <v>68</v>
      </c>
      <c r="F4" s="70" t="s">
        <v>69</v>
      </c>
      <c r="G4" s="70" t="s">
        <v>70</v>
      </c>
      <c r="H4" s="70" t="s">
        <v>71</v>
      </c>
      <c r="I4" s="70" t="s">
        <v>72</v>
      </c>
      <c r="J4" s="102" t="s">
        <v>73</v>
      </c>
      <c r="K4" s="102" t="s">
        <v>74</v>
      </c>
      <c r="L4" s="141"/>
      <c r="M4" s="141"/>
      <c r="N4" s="71" t="s">
        <v>75</v>
      </c>
      <c r="O4" s="72" t="s">
        <v>76</v>
      </c>
      <c r="P4" s="71" t="s">
        <v>77</v>
      </c>
      <c r="Q4" s="72" t="s">
        <v>76</v>
      </c>
      <c r="R4" s="72" t="s">
        <v>78</v>
      </c>
      <c r="S4" s="72" t="s">
        <v>76</v>
      </c>
      <c r="T4" s="72" t="s">
        <v>78</v>
      </c>
      <c r="U4" s="72" t="s">
        <v>76</v>
      </c>
      <c r="V4" s="139"/>
      <c r="W4" s="135"/>
      <c r="X4" s="133"/>
    </row>
    <row r="5" spans="5:24" s="108" customFormat="1" ht="38.1" customHeight="1">
      <c r="E5" s="73" t="str">
        <f t="shared" ref="E5" si="0">F5&amp;G5&amp;H5&amp;I5</f>
        <v>L003</v>
      </c>
      <c r="F5" s="80"/>
      <c r="G5" s="78"/>
      <c r="H5" s="78"/>
      <c r="I5" s="121" t="s">
        <v>99</v>
      </c>
      <c r="J5" s="120" t="s">
        <v>102</v>
      </c>
      <c r="K5" s="91" t="s">
        <v>100</v>
      </c>
      <c r="L5" s="92" t="s">
        <v>101</v>
      </c>
      <c r="M5" s="100">
        <v>0.8</v>
      </c>
      <c r="N5" s="95"/>
      <c r="O5" s="96">
        <f t="shared" ref="O5" si="1">SUM(N5:N5)*M5*$O$2</f>
        <v>0</v>
      </c>
      <c r="P5" s="97">
        <v>219321</v>
      </c>
      <c r="Q5" s="96">
        <f t="shared" ref="Q5" si="2">(P5*M5)*$Q$2</f>
        <v>146506.42800000001</v>
      </c>
      <c r="R5" s="98"/>
      <c r="S5" s="96">
        <f t="shared" ref="S5" si="3">R5*M5*$S$2</f>
        <v>0</v>
      </c>
      <c r="T5" s="98"/>
      <c r="U5" s="96">
        <f t="shared" ref="U5" si="4">T5*M5*$U$2</f>
        <v>0</v>
      </c>
      <c r="V5" s="84">
        <f t="shared" ref="V5" si="5">SUM(O5+Q5)+S5+U5</f>
        <v>146506.42800000001</v>
      </c>
      <c r="W5" s="87"/>
      <c r="X5" s="85"/>
    </row>
    <row r="6" spans="5:24" s="108" customFormat="1" ht="38.1" customHeight="1">
      <c r="E6" s="73" t="str">
        <f t="shared" ref="E6" si="6">F6&amp;G6&amp;H6&amp;I6</f>
        <v>M020750510120102</v>
      </c>
      <c r="F6" s="74"/>
      <c r="G6" s="70"/>
      <c r="H6" s="78" t="s">
        <v>96</v>
      </c>
      <c r="I6" s="70"/>
      <c r="J6" s="120" t="s">
        <v>86</v>
      </c>
      <c r="K6" s="91" t="s">
        <v>82</v>
      </c>
      <c r="L6" s="92" t="s">
        <v>79</v>
      </c>
      <c r="M6" s="100">
        <v>10</v>
      </c>
      <c r="N6" s="97">
        <v>6400</v>
      </c>
      <c r="O6" s="96">
        <f t="shared" ref="O6" si="7">SUM(N6:N6)*M6*$O$2</f>
        <v>53440</v>
      </c>
      <c r="P6" s="94"/>
      <c r="Q6" s="96">
        <f t="shared" ref="Q6" si="8">(P6*M6)*$Q$2</f>
        <v>0</v>
      </c>
      <c r="R6" s="98"/>
      <c r="S6" s="96">
        <f t="shared" ref="S6" si="9">R6*M6*$S$2</f>
        <v>0</v>
      </c>
      <c r="T6" s="98"/>
      <c r="U6" s="96">
        <f t="shared" ref="U6" si="10">T6*M6*$U$2</f>
        <v>0</v>
      </c>
      <c r="V6" s="86">
        <f t="shared" ref="V6" si="11">SUM(O6+Q6)+S6+U6</f>
        <v>53440</v>
      </c>
      <c r="W6" s="87"/>
      <c r="X6" s="85"/>
    </row>
    <row r="7" spans="5:24" s="108" customFormat="1" ht="38.1" customHeight="1">
      <c r="E7" s="73" t="str">
        <f t="shared" ref="E7:E10" si="12">F7&amp;G7&amp;H7&amp;I7</f>
        <v>M020750510130102</v>
      </c>
      <c r="F7" s="74"/>
      <c r="G7" s="70"/>
      <c r="H7" s="78" t="s">
        <v>97</v>
      </c>
      <c r="I7" s="70"/>
      <c r="J7" s="75" t="s">
        <v>93</v>
      </c>
      <c r="K7" s="91" t="s">
        <v>83</v>
      </c>
      <c r="L7" s="92" t="s">
        <v>79</v>
      </c>
      <c r="M7" s="100">
        <v>10</v>
      </c>
      <c r="N7" s="97">
        <v>8000</v>
      </c>
      <c r="O7" s="96">
        <f t="shared" ref="O7:O8" si="13">SUM(N7:N7)*M7*$O$2</f>
        <v>66800</v>
      </c>
      <c r="P7" s="94"/>
      <c r="Q7" s="96">
        <f t="shared" ref="Q7:Q8" si="14">(P7*M7)*$Q$2</f>
        <v>0</v>
      </c>
      <c r="R7" s="98"/>
      <c r="S7" s="96">
        <f t="shared" ref="S7:S8" si="15">R7*M7*$S$2</f>
        <v>0</v>
      </c>
      <c r="T7" s="98"/>
      <c r="U7" s="96">
        <f t="shared" ref="U7:U8" si="16">T7*M7*$U$2</f>
        <v>0</v>
      </c>
      <c r="V7" s="76">
        <f t="shared" ref="V7:V8" si="17">SUM(O7+Q7)+S7+U7</f>
        <v>66800</v>
      </c>
      <c r="W7" s="87"/>
      <c r="X7" s="77"/>
    </row>
    <row r="8" spans="5:24" s="108" customFormat="1" ht="38.1" customHeight="1">
      <c r="E8" s="73" t="str">
        <f t="shared" si="12"/>
        <v>E00000803066520103</v>
      </c>
      <c r="F8" s="80"/>
      <c r="G8" s="116" t="s">
        <v>84</v>
      </c>
      <c r="H8" s="78"/>
      <c r="I8" s="80"/>
      <c r="J8" s="75" t="s">
        <v>80</v>
      </c>
      <c r="K8" s="91" t="s">
        <v>94</v>
      </c>
      <c r="L8" s="75" t="s">
        <v>81</v>
      </c>
      <c r="M8" s="100">
        <v>0.66600000000000004</v>
      </c>
      <c r="N8" s="99"/>
      <c r="O8" s="96">
        <f t="shared" si="13"/>
        <v>0</v>
      </c>
      <c r="P8" s="97">
        <v>652621</v>
      </c>
      <c r="Q8" s="96">
        <f t="shared" si="14"/>
        <v>362929.06430999999</v>
      </c>
      <c r="R8" s="98"/>
      <c r="S8" s="96">
        <f t="shared" si="15"/>
        <v>0</v>
      </c>
      <c r="T8" s="98"/>
      <c r="U8" s="96">
        <f t="shared" si="16"/>
        <v>0</v>
      </c>
      <c r="V8" s="84">
        <f t="shared" si="17"/>
        <v>362929.06430999999</v>
      </c>
      <c r="W8" s="87"/>
      <c r="X8" s="85"/>
    </row>
    <row r="9" spans="5:24" s="108" customFormat="1" ht="38.1" customHeight="1">
      <c r="E9" s="73" t="str">
        <f t="shared" si="12"/>
        <v>M020853710050101</v>
      </c>
      <c r="F9" s="80"/>
      <c r="G9" s="78"/>
      <c r="H9" s="78" t="s">
        <v>98</v>
      </c>
      <c r="I9" s="80"/>
      <c r="J9" s="91" t="s">
        <v>87</v>
      </c>
      <c r="K9" s="91" t="s">
        <v>91</v>
      </c>
      <c r="L9" s="92" t="s">
        <v>88</v>
      </c>
      <c r="M9" s="100">
        <v>0.60560000000000003</v>
      </c>
      <c r="N9" s="97">
        <v>20900</v>
      </c>
      <c r="O9" s="96">
        <f t="shared" ref="O9:O10" si="18">SUM(N9:N9)*M9*$S$2</f>
        <v>10568.6284</v>
      </c>
      <c r="P9" s="94"/>
      <c r="Q9" s="96">
        <f t="shared" ref="Q9:Q10" si="19">(P9*M9)*$U$2</f>
        <v>0</v>
      </c>
      <c r="R9" s="98"/>
      <c r="S9" s="96">
        <f t="shared" ref="S9:S10" si="20">R9*M9*$W$2</f>
        <v>0</v>
      </c>
      <c r="T9" s="98"/>
      <c r="U9" s="96">
        <f t="shared" ref="U9:U10" si="21">T9*M9*$Y$2</f>
        <v>0</v>
      </c>
      <c r="V9" s="117">
        <f t="shared" ref="V9:V10" si="22">SUM(O9+Q9)+S9+U9</f>
        <v>10568.6284</v>
      </c>
      <c r="W9" s="118"/>
      <c r="X9" s="77"/>
    </row>
    <row r="10" spans="5:24" s="108" customFormat="1" ht="38.1" customHeight="1">
      <c r="E10" s="73" t="str">
        <f t="shared" si="12"/>
        <v>E00000803071260301</v>
      </c>
      <c r="F10" s="80"/>
      <c r="G10" s="78" t="s">
        <v>89</v>
      </c>
      <c r="H10" s="78"/>
      <c r="I10" s="80"/>
      <c r="J10" s="91" t="s">
        <v>90</v>
      </c>
      <c r="K10" s="91" t="s">
        <v>92</v>
      </c>
      <c r="L10" s="75" t="s">
        <v>81</v>
      </c>
      <c r="M10" s="100">
        <v>0.21729999999999999</v>
      </c>
      <c r="N10" s="95"/>
      <c r="O10" s="96">
        <f t="shared" si="18"/>
        <v>0</v>
      </c>
      <c r="P10" s="94">
        <v>487076</v>
      </c>
      <c r="Q10" s="96">
        <f t="shared" si="19"/>
        <v>88377.748357999997</v>
      </c>
      <c r="R10" s="98"/>
      <c r="S10" s="96">
        <f t="shared" si="20"/>
        <v>0</v>
      </c>
      <c r="T10" s="98"/>
      <c r="U10" s="96">
        <f t="shared" si="21"/>
        <v>0</v>
      </c>
      <c r="V10" s="117">
        <f t="shared" si="22"/>
        <v>88377.748357999997</v>
      </c>
      <c r="W10" s="119"/>
      <c r="X10" s="77"/>
    </row>
    <row r="11" spans="5:24" s="110" customFormat="1" ht="38.1" customHeight="1">
      <c r="E11" s="109"/>
      <c r="J11" s="103"/>
      <c r="K11" s="103"/>
      <c r="O11" s="111">
        <f>SUM(O5:O10)</f>
        <v>130808.6284</v>
      </c>
      <c r="P11" s="112"/>
      <c r="Q11" s="111">
        <f>SUM(Q5:Q10)</f>
        <v>597813.24066799995</v>
      </c>
      <c r="R11" s="112"/>
      <c r="S11" s="111">
        <f>SUM(S5:S10)</f>
        <v>0</v>
      </c>
      <c r="T11" s="112"/>
      <c r="U11" s="111">
        <f>SUM(U5:U10)</f>
        <v>0</v>
      </c>
      <c r="V11" s="113">
        <f>SUM(V5:V10)</f>
        <v>728621.869068</v>
      </c>
      <c r="W11" s="79"/>
    </row>
    <row r="15" spans="5:24" ht="38.1" customHeight="1">
      <c r="Q15" s="115"/>
    </row>
  </sheetData>
  <mergeCells count="12">
    <mergeCell ref="E1:I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K27" sqref="K26:K27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3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'내역서(표준단가)'!E5</f>
        <v>L003</v>
      </c>
      <c r="B2" s="83">
        <f>'내역서(표준단가)'!F5</f>
        <v>0</v>
      </c>
      <c r="C2" s="83">
        <f>'내역서(표준단가)'!G5</f>
        <v>0</v>
      </c>
      <c r="D2" s="83">
        <f>'내역서(표준단가)'!H5</f>
        <v>0</v>
      </c>
      <c r="E2" s="83" t="str">
        <f>'내역서(표준단가)'!I5</f>
        <v>L003</v>
      </c>
      <c r="F2" s="88">
        <f>'내역서(표준단가)'!M5</f>
        <v>0.8</v>
      </c>
    </row>
    <row r="3" spans="1:6">
      <c r="A3" s="82" t="str">
        <f>'내역서(표준단가)'!E6</f>
        <v>M020750510120102</v>
      </c>
      <c r="B3" s="83">
        <f>'내역서(표준단가)'!F6</f>
        <v>0</v>
      </c>
      <c r="C3" s="83">
        <f>'내역서(표준단가)'!G6</f>
        <v>0</v>
      </c>
      <c r="D3" s="83" t="str">
        <f>'내역서(표준단가)'!H6</f>
        <v>M020750510120102</v>
      </c>
      <c r="E3" s="83">
        <f>'내역서(표준단가)'!I6</f>
        <v>0</v>
      </c>
      <c r="F3" s="88">
        <f>'내역서(표준단가)'!M6</f>
        <v>10</v>
      </c>
    </row>
    <row r="4" spans="1:6">
      <c r="A4" s="82" t="str">
        <f>'내역서(표준단가)'!E7</f>
        <v>M020750510130102</v>
      </c>
      <c r="B4" s="83">
        <f>'내역서(표준단가)'!F7</f>
        <v>0</v>
      </c>
      <c r="C4" s="83">
        <f>'내역서(표준단가)'!G7</f>
        <v>0</v>
      </c>
      <c r="D4" s="83" t="str">
        <f>'내역서(표준단가)'!H7</f>
        <v>M020750510130102</v>
      </c>
      <c r="E4" s="83">
        <f>'내역서(표준단가)'!I7</f>
        <v>0</v>
      </c>
      <c r="F4" s="88">
        <f>'내역서(표준단가)'!M7</f>
        <v>10</v>
      </c>
    </row>
    <row r="5" spans="1:6">
      <c r="A5" s="82" t="str">
        <f>'내역서(표준단가)'!E8</f>
        <v>E00000803066520103</v>
      </c>
      <c r="B5" s="83">
        <f>'내역서(표준단가)'!F8</f>
        <v>0</v>
      </c>
      <c r="C5" s="83" t="str">
        <f>'내역서(표준단가)'!G8</f>
        <v>E00000803066520103</v>
      </c>
      <c r="D5" s="83">
        <f>'내역서(표준단가)'!H8</f>
        <v>0</v>
      </c>
      <c r="E5" s="83">
        <f>'내역서(표준단가)'!I8</f>
        <v>0</v>
      </c>
      <c r="F5" s="88">
        <f>'내역서(표준단가)'!M8</f>
        <v>0.66600000000000004</v>
      </c>
    </row>
    <row r="6" spans="1:6">
      <c r="A6" s="82" t="str">
        <f>'내역서(표준단가)'!E9</f>
        <v>M020853710050101</v>
      </c>
      <c r="B6" s="83">
        <f>'내역서(표준단가)'!F9</f>
        <v>0</v>
      </c>
      <c r="C6" s="83">
        <f>'내역서(표준단가)'!G9</f>
        <v>0</v>
      </c>
      <c r="D6" s="83" t="str">
        <f>'내역서(표준단가)'!H9</f>
        <v>M020853710050101</v>
      </c>
      <c r="E6" s="83">
        <f>'내역서(표준단가)'!I9</f>
        <v>0</v>
      </c>
      <c r="F6" s="88">
        <f>'내역서(표준단가)'!M9</f>
        <v>0.60560000000000003</v>
      </c>
    </row>
    <row r="7" spans="1:6">
      <c r="A7" s="82" t="str">
        <f>'내역서(표준단가)'!E10</f>
        <v>E00000803071260301</v>
      </c>
      <c r="B7" s="83">
        <f>'내역서(표준단가)'!F10</f>
        <v>0</v>
      </c>
      <c r="C7" s="83" t="str">
        <f>'내역서(표준단가)'!G10</f>
        <v>E00000803071260301</v>
      </c>
      <c r="D7" s="83">
        <f>'내역서(표준단가)'!H10</f>
        <v>0</v>
      </c>
      <c r="E7" s="83">
        <f>'내역서(표준단가)'!I10</f>
        <v>0</v>
      </c>
      <c r="F7" s="88">
        <f>'내역서(표준단가)'!M10</f>
        <v>0.21729999999999999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2026-01-31T06:49:40Z</dcterms:created>
  <dcterms:modified xsi:type="dcterms:W3CDTF">2026-02-01T01:36:01Z</dcterms:modified>
</cp:coreProperties>
</file>
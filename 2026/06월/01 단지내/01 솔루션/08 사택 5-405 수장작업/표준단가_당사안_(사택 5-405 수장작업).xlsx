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 codeName="현재_통합_문서"/>
  <xr:revisionPtr revIDLastSave="0" documentId="13_ncr:1_{CAE5368E-ABCF-4CFB-BAF0-FFA80D5F2A65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" r:id="rId4"/>
    <sheet name="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1" l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A3" i="1"/>
  <c r="A6" i="4"/>
  <c r="K6" i="4"/>
  <c r="M6" i="4"/>
  <c r="O6" i="4"/>
  <c r="Q6" i="4"/>
  <c r="R6" i="4" l="1"/>
  <c r="D13" i="9"/>
  <c r="F2" i="1"/>
  <c r="E2" i="1"/>
  <c r="D2" i="1"/>
  <c r="C2" i="1"/>
  <c r="B2" i="1"/>
  <c r="Q5" i="4" l="1"/>
  <c r="O5" i="4"/>
  <c r="M5" i="4"/>
  <c r="K5" i="4"/>
  <c r="A5" i="4"/>
  <c r="A2" i="1" s="1"/>
  <c r="R5" i="4" l="1"/>
  <c r="Q17" i="4"/>
  <c r="O17" i="4"/>
  <c r="M17" i="4"/>
  <c r="K17" i="4"/>
  <c r="A17" i="4"/>
  <c r="A14" i="1" s="1"/>
  <c r="Q7" i="4"/>
  <c r="O7" i="4"/>
  <c r="M7" i="4"/>
  <c r="K7" i="4"/>
  <c r="A7" i="4"/>
  <c r="A4" i="1" s="1"/>
  <c r="R17" i="4" l="1"/>
  <c r="R7" i="4"/>
  <c r="A12" i="4" l="1"/>
  <c r="A9" i="1" s="1"/>
  <c r="F25" i="9"/>
  <c r="N25" i="9" s="1"/>
  <c r="F20" i="9"/>
  <c r="N20" i="9" s="1"/>
  <c r="K12" i="4"/>
  <c r="O12" i="4"/>
  <c r="Q12" i="4"/>
  <c r="K9" i="4"/>
  <c r="R9" i="4" s="1"/>
  <c r="A9" i="4"/>
  <c r="A6" i="1" s="1"/>
  <c r="R12" i="4" l="1"/>
  <c r="L32" i="9"/>
  <c r="J32" i="9"/>
  <c r="H31" i="9"/>
  <c r="H32" i="9" s="1"/>
  <c r="L30" i="9"/>
  <c r="J30" i="9"/>
  <c r="H29" i="9"/>
  <c r="F29" i="9"/>
  <c r="H28" i="9"/>
  <c r="F28" i="9"/>
  <c r="H27" i="9"/>
  <c r="F27" i="9"/>
  <c r="H26" i="9"/>
  <c r="F26" i="9"/>
  <c r="H24" i="9"/>
  <c r="F24" i="9"/>
  <c r="H23" i="9"/>
  <c r="F23" i="9"/>
  <c r="H22" i="9"/>
  <c r="F22" i="9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1" i="9"/>
  <c r="F11" i="9"/>
  <c r="H9" i="9"/>
  <c r="F9" i="9"/>
  <c r="H7" i="9"/>
  <c r="F7" i="9"/>
  <c r="H5" i="9"/>
  <c r="F5" i="9"/>
  <c r="J33" i="9" l="1"/>
  <c r="N14" i="9"/>
  <c r="L33" i="9"/>
  <c r="N22" i="9"/>
  <c r="N29" i="9"/>
  <c r="N15" i="9"/>
  <c r="N17" i="9"/>
  <c r="N9" i="9"/>
  <c r="F30" i="9"/>
  <c r="N27" i="9"/>
  <c r="H18" i="9"/>
  <c r="N23" i="9"/>
  <c r="N28" i="9"/>
  <c r="N11" i="9"/>
  <c r="F13" i="9"/>
  <c r="N16" i="9"/>
  <c r="H30" i="9"/>
  <c r="H13" i="9"/>
  <c r="N26" i="9"/>
  <c r="N7" i="9"/>
  <c r="N24" i="9"/>
  <c r="N21" i="9"/>
  <c r="N31" i="9"/>
  <c r="N32" i="9" s="1"/>
  <c r="N5" i="9"/>
  <c r="F18" i="9"/>
  <c r="N18" i="9" l="1"/>
  <c r="F33" i="9"/>
  <c r="H33" i="9"/>
  <c r="N13" i="9"/>
  <c r="N30" i="9"/>
  <c r="N33" i="9" l="1"/>
  <c r="A16" i="4" l="1"/>
  <c r="A13" i="1" s="1"/>
  <c r="A15" i="4"/>
  <c r="A12" i="1" s="1"/>
  <c r="A14" i="4"/>
  <c r="A11" i="1" s="1"/>
  <c r="A13" i="4"/>
  <c r="A10" i="1" s="1"/>
  <c r="A11" i="4"/>
  <c r="A8" i="1" s="1"/>
  <c r="A10" i="4"/>
  <c r="A7" i="1" s="1"/>
  <c r="A8" i="4"/>
  <c r="A5" i="1" s="1"/>
  <c r="Q16" i="4" l="1"/>
  <c r="O16" i="4"/>
  <c r="M16" i="4"/>
  <c r="K16" i="4"/>
  <c r="Q15" i="4"/>
  <c r="O15" i="4"/>
  <c r="M15" i="4"/>
  <c r="K15" i="4"/>
  <c r="Q14" i="4"/>
  <c r="O14" i="4"/>
  <c r="M14" i="4"/>
  <c r="K14" i="4"/>
  <c r="Q13" i="4"/>
  <c r="O13" i="4"/>
  <c r="M13" i="4"/>
  <c r="K13" i="4"/>
  <c r="Q11" i="4"/>
  <c r="O11" i="4"/>
  <c r="M11" i="4"/>
  <c r="K11" i="4"/>
  <c r="Q10" i="4"/>
  <c r="O10" i="4"/>
  <c r="M10" i="4"/>
  <c r="K10" i="4"/>
  <c r="Q8" i="4"/>
  <c r="O8" i="4"/>
  <c r="M8" i="4"/>
  <c r="K8" i="4"/>
  <c r="M18" i="4" l="1"/>
  <c r="F17" i="5" s="1"/>
  <c r="R8" i="4"/>
  <c r="R11" i="4"/>
  <c r="R14" i="4"/>
  <c r="R15" i="4"/>
  <c r="R10" i="4"/>
  <c r="R13" i="4"/>
  <c r="R16" i="4"/>
  <c r="F22" i="5" l="1"/>
  <c r="F21" i="5"/>
  <c r="Q18" i="4"/>
  <c r="K18" i="4"/>
  <c r="O18" i="4"/>
  <c r="F16" i="5" l="1"/>
  <c r="F26" i="5" s="1"/>
  <c r="F18" i="5"/>
  <c r="R18" i="4"/>
  <c r="F19" i="5" l="1"/>
  <c r="F24" i="5"/>
  <c r="F25" i="5"/>
  <c r="F23" i="5"/>
  <c r="F27" i="5" l="1"/>
  <c r="F28" i="5" s="1"/>
  <c r="F30" i="5" s="1"/>
  <c r="F31" i="5" s="1"/>
  <c r="B12" i="5" s="1"/>
</calcChain>
</file>

<file path=xl/sharedStrings.xml><?xml version="1.0" encoding="utf-8"?>
<sst xmlns="http://schemas.openxmlformats.org/spreadsheetml/2006/main" count="236" uniqueCount="170">
  <si>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</si>
  <si>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</si>
  <si>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</si>
  <si>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</si>
  <si>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</si>
  <si>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</si>
  <si>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</si>
  <si>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</si>
  <si>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</si>
  <si>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</si>
  <si>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</si>
  <si>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</si>
  <si>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</si>
  <si>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</si>
  <si>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</si>
  <si>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</si>
  <si>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</si>
  <si>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</si>
  <si>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</si>
  <si>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</si>
  <si>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</si>
  <si>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</si>
  <si>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</si>
  <si>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</si>
  <si>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</si>
  <si>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</si>
  <si>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</si>
  <si>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</si>
  <si>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</si>
  <si>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</si>
  <si>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</si>
  <si>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</si>
  <si>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</si>
  <si>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</si>
  <si>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</si>
  <si>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</si>
  <si>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</si>
  <si>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</si>
  <si>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</si>
  <si>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</si>
  <si>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</si>
  <si>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</si>
  <si>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</si>
  <si>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</si>
  <si>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</si>
  <si>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</si>
  <si>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</si>
  <si>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</si>
  <si>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</si>
  <si>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</si>
  <si>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</si>
  <si>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</si>
  <si>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</si>
  <si>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</si>
  <si>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</si>
  <si>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</si>
  <si>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</si>
  <si>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</si>
  <si>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</si>
  <si>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</si>
  <si>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</si>
  <si>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</si>
  <si>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</si>
  <si>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</si>
  <si>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</si>
  <si>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</si>
  <si>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</si>
  <si>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</si>
  <si>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</si>
  <si>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</si>
  <si>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</si>
  <si>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</si>
  <si>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</si>
  <si>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</si>
  <si>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</si>
  <si>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</si>
  <si>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</si>
  <si>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</si>
  <si>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방C 벽면</t>
    <phoneticPr fontId="13" type="noConversion"/>
  </si>
  <si>
    <t>방C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</si>
  <si>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</si>
  <si>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</si>
  <si>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</si>
  <si>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</si>
  <si>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방C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</si>
  <si>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</si>
  <si>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</si>
  <si>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</si>
  <si>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</si>
  <si>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</si>
  <si>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내부(문,틀,몰딩,기타)</t>
    <phoneticPr fontId="5" type="noConversion"/>
  </si>
  <si>
    <t>철재면 청소(휘발유사용)</t>
    <phoneticPr fontId="5" type="noConversion"/>
  </si>
  <si>
    <t>유성페인트 롤러칠(석고보드면)</t>
    <phoneticPr fontId="5" type="noConversion"/>
  </si>
  <si>
    <t>방화도어 내부</t>
    <phoneticPr fontId="5" type="noConversion"/>
  </si>
  <si>
    <t>유성페인트 롤러칠(철재면)</t>
    <phoneticPr fontId="5" type="noConversion"/>
  </si>
  <si>
    <t>4.청소</t>
    <phoneticPr fontId="7" type="noConversion"/>
  </si>
  <si>
    <t>준공청소(특별인부)</t>
    <phoneticPr fontId="13" type="noConversion"/>
  </si>
  <si>
    <t>2023년 실내건축 일위대가</t>
    <phoneticPr fontId="7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</si>
  <si>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</si>
  <si>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</si>
  <si>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</si>
  <si>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</si>
  <si>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</si>
  <si>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</si>
  <si>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</si>
  <si>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</si>
  <si>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</si>
  <si>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</si>
  <si>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</si>
  <si>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</si>
  <si>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</si>
  <si>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</si>
  <si>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</si>
  <si>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</si>
  <si>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</si>
  <si>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</si>
  <si>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</si>
  <si>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</si>
  <si>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</si>
  <si>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</si>
  <si>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</si>
  <si>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</si>
  <si>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</si>
  <si>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</si>
  <si>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</si>
  <si>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</si>
  <si>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</si>
  <si>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</si>
  <si>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</si>
  <si>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</si>
  <si>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E00000803061120802</t>
  </si>
  <si>
    <t>목재면 바탕만들기</t>
  </si>
  <si>
    <t>퍼티 및 연마</t>
  </si>
  <si>
    <t>E00000803061300701</t>
  </si>
  <si>
    <t>유성페인트 롤러칠 - 콘크리트·모르터면·석고보드면</t>
  </si>
  <si>
    <t>목재면 바탕만들기(방화문 적용)</t>
    <phoneticPr fontId="5" type="noConversion"/>
  </si>
  <si>
    <t>E00000803061300401</t>
  </si>
  <si>
    <t>유성페인트 붓칠 - 철재면</t>
  </si>
  <si>
    <t>(㎡ 당)</t>
    <phoneticPr fontId="5" type="noConversion"/>
  </si>
  <si>
    <t>합 계</t>
    <phoneticPr fontId="5" type="noConversion"/>
  </si>
  <si>
    <t>18ℓ</t>
  </si>
  <si>
    <t>KSM-6010 내부용, 2급, 백색</t>
  </si>
  <si>
    <t>M020411810170101</t>
  </si>
  <si>
    <t>조합페인트</t>
  </si>
  <si>
    <t>백색 무광</t>
  </si>
  <si>
    <t>수성페인트</t>
    <phoneticPr fontId="5" type="noConversion"/>
  </si>
  <si>
    <t>합성수지에멀션페인트</t>
    <phoneticPr fontId="5" type="noConversion"/>
  </si>
  <si>
    <t>M020412614110102</t>
    <phoneticPr fontId="5" type="noConversion"/>
  </si>
  <si>
    <t>광폭합지 벽지(LX하우시스, 휘앙세), 24년 12월 물가자료</t>
    <phoneticPr fontId="5" type="noConversion"/>
  </si>
  <si>
    <t>2.바닥재</t>
    <phoneticPr fontId="5" type="noConversion"/>
  </si>
  <si>
    <t> (재료비+노무비)*3.11%</t>
    <phoneticPr fontId="13" type="noConversion"/>
  </si>
  <si>
    <t>M020809012520101</t>
  </si>
  <si>
    <t>비닐시트바닥재</t>
  </si>
  <si>
    <t>데코리아 다솜(륨) 1.8T×1,830㎜</t>
  </si>
  <si>
    <t>㎡</t>
    <phoneticPr fontId="5" type="noConversion"/>
  </si>
  <si>
    <t>M020853710050101</t>
  </si>
  <si>
    <t>아이리스</t>
  </si>
  <si>
    <t>전체면적</t>
    <phoneticPr fontId="5" type="noConversion"/>
  </si>
  <si>
    <t>E00000801011510701</t>
  </si>
  <si>
    <t>R/L</t>
  </si>
  <si>
    <t xml:space="preserve">일당 시공량-벽 46㎡, 적산정보 500p 참조,시공총량120/일당46=2.609, </t>
    <phoneticPr fontId="5" type="noConversion"/>
  </si>
  <si>
    <t>일당 시공량-61㎡ 적산정보 500p 참조,시공총량51.6/일당61=0.8459</t>
    <phoneticPr fontId="5" type="noConversion"/>
  </si>
  <si>
    <t>입주청소</t>
  </si>
  <si>
    <t>(바닥면적 ㎡당)</t>
  </si>
  <si>
    <t> 노무비*4.75%</t>
    <phoneticPr fontId="13" type="noConversion"/>
  </si>
  <si>
    <t> 노무비*3.595%</t>
    <phoneticPr fontId="13" type="noConversion"/>
  </si>
  <si>
    <t xml:space="preserve"> 공사명 : 사택 5-405 수장작업</t>
    <phoneticPr fontId="11" type="noConversion"/>
  </si>
  <si>
    <t xml:space="preserve"> 견적일 : 2026년  03월  16일</t>
    <phoneticPr fontId="5" type="noConversion"/>
  </si>
  <si>
    <t>공사명 : 사택 5-405 수장작업</t>
    <phoneticPr fontId="5" type="noConversion"/>
  </si>
  <si>
    <r>
      <t>합지벽지 1R/L=93㎝(고정)×17.75m=16.51</t>
    </r>
    <r>
      <rPr>
        <sz val="10"/>
        <color rgb="FF000000"/>
        <rFont val="Segoe UI Symbol"/>
        <family val="3"/>
      </rPr>
      <t>㎡</t>
    </r>
    <r>
      <rPr>
        <sz val="10"/>
        <color rgb="FF000000"/>
        <rFont val="LG스마트체 Regular"/>
        <family val="3"/>
        <charset val="129"/>
      </rPr>
      <t>, 소요량120/16.51=7.2683R/L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</si>
</sst>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);[Red]\(#,##0\)"/>
    <numFmt numFmtId="184" formatCode="#,##0_ "/>
    <numFmt numFmtId="185" formatCode="&quot;₩&quot;#,##0"/>
    <numFmt numFmtId="186" formatCode="###,###,###,##0"/>
    <numFmt numFmtId="187" formatCode="#,##0.000_ "/>
    <numFmt numFmtId="188" formatCode="0.000_ "/>
    <numFmt numFmtId="189" formatCode="#,##0;\-#,##0;"/>
    <numFmt numFmtId="190" formatCode="0.000"/>
    <numFmt numFmtId="191" formatCode="0.0_);[Red]\(0.0\)"/>
  </numFmts>
  <fonts count="32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FF0000"/>
      <name val="Malgun Gothic"/>
      <family val="3"/>
      <charset val="129"/>
    </font>
    <font>
      <sz val="10"/>
      <color rgb="FFFF0000"/>
      <name val="LG스마트체 Regular"/>
      <family val="3"/>
      <charset val="129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</font>
    <font>
      <sz val="9"/>
      <color rgb="FFFF0000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rgb="FFFF0000"/>
      <name val="LG스마트체 Regular"/>
      <family val="3"/>
      <charset val="129"/>
    </font>
    <font>
      <sz val="10"/>
      <color rgb="FF000000"/>
      <name val="Segoe UI Symbol"/>
      <family val="3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4" fillId="0" borderId="0"/>
    <xf numFmtId="176" fontId="14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14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5" fillId="0" borderId="0" xfId="6" applyFont="1" applyAlignment="1">
      <alignment vertical="center"/>
    </xf>
    <xf numFmtId="0" fontId="16" fillId="0" borderId="0" xfId="3" applyFont="1"/>
    <xf numFmtId="0" fontId="17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18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17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18" fillId="0" borderId="7" xfId="6" applyFont="1" applyBorder="1" applyAlignment="1">
      <alignment vertical="center"/>
    </xf>
    <xf numFmtId="179" fontId="17" fillId="0" borderId="7" xfId="6" applyNumberFormat="1" applyFont="1" applyBorder="1" applyAlignment="1">
      <alignment vertical="center"/>
    </xf>
    <xf numFmtId="0" fontId="17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19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19" fillId="0" borderId="12" xfId="6" applyFont="1" applyBorder="1" applyAlignment="1">
      <alignment vertical="center"/>
    </xf>
    <xf numFmtId="1" fontId="19" fillId="0" borderId="12" xfId="6" applyNumberFormat="1" applyFont="1" applyBorder="1" applyAlignment="1">
      <alignment horizontal="center" vertical="center"/>
    </xf>
    <xf numFmtId="180" fontId="19" fillId="0" borderId="12" xfId="7" applyFont="1" applyBorder="1" applyAlignment="1">
      <alignment horizontal="right" vertical="center"/>
    </xf>
    <xf numFmtId="0" fontId="19" fillId="0" borderId="13" xfId="6" applyFont="1" applyBorder="1" applyAlignment="1">
      <alignment vertical="center"/>
    </xf>
    <xf numFmtId="0" fontId="19" fillId="0" borderId="14" xfId="6" applyFont="1" applyBorder="1" applyAlignment="1">
      <alignment horizontal="center" vertical="center"/>
    </xf>
    <xf numFmtId="0" fontId="19" fillId="0" borderId="15" xfId="6" applyFont="1" applyBorder="1" applyAlignment="1">
      <alignment horizontal="center" vertical="center"/>
    </xf>
    <xf numFmtId="0" fontId="19" fillId="0" borderId="15" xfId="3" applyFont="1" applyBorder="1" applyAlignment="1">
      <alignment horizontal="center" vertical="center"/>
    </xf>
    <xf numFmtId="1" fontId="19" fillId="0" borderId="15" xfId="6" applyNumberFormat="1" applyFont="1" applyBorder="1" applyAlignment="1">
      <alignment horizontal="center" vertical="center"/>
    </xf>
    <xf numFmtId="180" fontId="19" fillId="0" borderId="15" xfId="7" applyFont="1" applyBorder="1" applyAlignment="1">
      <alignment horizontal="right" vertical="center"/>
    </xf>
    <xf numFmtId="0" fontId="19" fillId="0" borderId="16" xfId="6" quotePrefix="1" applyFont="1" applyBorder="1" applyAlignment="1">
      <alignment vertical="center"/>
    </xf>
    <xf numFmtId="0" fontId="19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19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19" fillId="0" borderId="15" xfId="8" applyFont="1" applyBorder="1" applyAlignment="1">
      <alignment horizontal="center" vertical="center"/>
    </xf>
    <xf numFmtId="178" fontId="19" fillId="0" borderId="15" xfId="5" applyFont="1" applyFill="1" applyBorder="1" applyAlignment="1">
      <alignment horizontal="right" vertical="center"/>
    </xf>
    <xf numFmtId="0" fontId="19" fillId="5" borderId="16" xfId="6" applyFont="1" applyFill="1" applyBorder="1" applyAlignment="1">
      <alignment vertical="center"/>
    </xf>
    <xf numFmtId="0" fontId="19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19" fillId="0" borderId="15" xfId="3" applyNumberFormat="1" applyFont="1" applyBorder="1" applyAlignment="1">
      <alignment horizontal="right" vertical="center"/>
    </xf>
    <xf numFmtId="1" fontId="19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19" fillId="0" borderId="15" xfId="3" applyFont="1" applyBorder="1" applyAlignment="1">
      <alignment vertical="center"/>
    </xf>
    <xf numFmtId="180" fontId="19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19" fillId="0" borderId="19" xfId="6" applyFont="1" applyBorder="1" applyAlignment="1">
      <alignment vertical="center"/>
    </xf>
    <xf numFmtId="0" fontId="19" fillId="0" borderId="19" xfId="6" applyFont="1" applyBorder="1" applyAlignment="1">
      <alignment horizontal="right" vertical="center"/>
    </xf>
    <xf numFmtId="0" fontId="19" fillId="0" borderId="20" xfId="6" applyFont="1" applyBorder="1" applyAlignment="1">
      <alignment vertical="center"/>
    </xf>
    <xf numFmtId="0" fontId="12" fillId="0" borderId="0" xfId="10" applyFont="1"/>
    <xf numFmtId="181" fontId="17" fillId="0" borderId="0" xfId="1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9" fontId="20" fillId="0" borderId="0" xfId="0" applyNumberFormat="1" applyFont="1" applyAlignment="1">
      <alignment horizontal="center" vertical="center"/>
    </xf>
    <xf numFmtId="182" fontId="20" fillId="3" borderId="0" xfId="2" applyNumberFormat="1" applyFont="1" applyFill="1" applyAlignment="1">
      <alignment horizontal="center" vertical="center"/>
    </xf>
    <xf numFmtId="0" fontId="20" fillId="4" borderId="22" xfId="0" applyFont="1" applyFill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177" fontId="20" fillId="4" borderId="3" xfId="4" applyFont="1" applyFill="1" applyBorder="1" applyAlignment="1">
      <alignment horizontal="center" vertical="center"/>
    </xf>
    <xf numFmtId="178" fontId="20" fillId="4" borderId="3" xfId="5" applyFont="1" applyFill="1" applyBorder="1" applyAlignment="1">
      <alignment horizontal="center" vertical="center"/>
    </xf>
    <xf numFmtId="0" fontId="16" fillId="6" borderId="22" xfId="0" applyFont="1" applyFill="1" applyBorder="1" applyAlignment="1">
      <alignment horizontal="center" vertical="center"/>
    </xf>
    <xf numFmtId="0" fontId="16" fillId="7" borderId="3" xfId="0" applyFont="1" applyFill="1" applyBorder="1" applyAlignment="1">
      <alignment horizontal="center" vertical="center"/>
    </xf>
    <xf numFmtId="49" fontId="16" fillId="5" borderId="3" xfId="0" applyNumberFormat="1" applyFont="1" applyFill="1" applyBorder="1" applyAlignment="1">
      <alignment horizontal="center" vertical="center" wrapText="1"/>
    </xf>
    <xf numFmtId="177" fontId="16" fillId="6" borderId="3" xfId="1" applyFont="1" applyFill="1" applyBorder="1" applyAlignment="1">
      <alignment horizontal="center" vertical="center" wrapText="1"/>
    </xf>
    <xf numFmtId="177" fontId="16" fillId="0" borderId="3" xfId="1" applyFont="1" applyFill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/>
    </xf>
    <xf numFmtId="0" fontId="17" fillId="0" borderId="0" xfId="0" applyFont="1">
      <alignment vertical="center"/>
    </xf>
    <xf numFmtId="183" fontId="22" fillId="0" borderId="31" xfId="15" quotePrefix="1" applyNumberFormat="1" applyFont="1" applyBorder="1" applyAlignment="1">
      <alignment horizontal="center" vertical="center"/>
    </xf>
    <xf numFmtId="177" fontId="21" fillId="0" borderId="31" xfId="13" applyFont="1" applyBorder="1" applyAlignment="1">
      <alignment vertical="center"/>
    </xf>
    <xf numFmtId="185" fontId="21" fillId="0" borderId="31" xfId="13" applyNumberFormat="1" applyFont="1" applyBorder="1" applyAlignment="1">
      <alignment horizontal="center" vertical="center"/>
    </xf>
    <xf numFmtId="177" fontId="21" fillId="0" borderId="31" xfId="13" applyFont="1" applyBorder="1" applyAlignment="1">
      <alignment horizontal="center" vertical="center"/>
    </xf>
    <xf numFmtId="183" fontId="21" fillId="5" borderId="31" xfId="13" applyNumberFormat="1" applyFont="1" applyFill="1" applyBorder="1" applyAlignment="1">
      <alignment horizontal="right" vertical="center" wrapText="1"/>
    </xf>
    <xf numFmtId="185" fontId="21" fillId="11" borderId="31" xfId="13" applyNumberFormat="1" applyFont="1" applyFill="1" applyBorder="1" applyAlignment="1">
      <alignment horizontal="center" vertical="center"/>
    </xf>
    <xf numFmtId="177" fontId="21" fillId="11" borderId="31" xfId="13" applyFont="1" applyFill="1" applyBorder="1" applyAlignment="1">
      <alignment horizontal="center" vertical="center"/>
    </xf>
    <xf numFmtId="183" fontId="22" fillId="11" borderId="31" xfId="13" applyNumberFormat="1" applyFont="1" applyFill="1" applyBorder="1" applyAlignment="1">
      <alignment horizontal="right" vertical="center" wrapText="1"/>
    </xf>
    <xf numFmtId="183" fontId="22" fillId="11" borderId="31" xfId="13" applyNumberFormat="1" applyFont="1" applyFill="1" applyBorder="1" applyAlignment="1">
      <alignment horizontal="center" vertical="center" wrapText="1"/>
    </xf>
    <xf numFmtId="185" fontId="21" fillId="5" borderId="31" xfId="13" applyNumberFormat="1" applyFont="1" applyFill="1" applyBorder="1" applyAlignment="1">
      <alignment horizontal="center" vertical="center"/>
    </xf>
    <xf numFmtId="177" fontId="21" fillId="5" borderId="31" xfId="13" applyFont="1" applyFill="1" applyBorder="1" applyAlignment="1">
      <alignment horizontal="center" vertical="center"/>
    </xf>
    <xf numFmtId="185" fontId="22" fillId="11" borderId="31" xfId="13" applyNumberFormat="1" applyFont="1" applyFill="1" applyBorder="1" applyAlignment="1">
      <alignment horizontal="center" vertical="center"/>
    </xf>
    <xf numFmtId="177" fontId="22" fillId="11" borderId="31" xfId="13" applyFont="1" applyFill="1" applyBorder="1" applyAlignment="1">
      <alignment horizontal="center" vertical="center"/>
    </xf>
    <xf numFmtId="183" fontId="16" fillId="5" borderId="31" xfId="13" applyNumberFormat="1" applyFont="1" applyFill="1" applyBorder="1" applyAlignment="1">
      <alignment horizontal="center" vertical="center" wrapText="1"/>
    </xf>
    <xf numFmtId="183" fontId="21" fillId="11" borderId="31" xfId="13" applyNumberFormat="1" applyFont="1" applyFill="1" applyBorder="1" applyAlignment="1">
      <alignment horizontal="right" vertical="center" wrapText="1"/>
    </xf>
    <xf numFmtId="183" fontId="21" fillId="11" borderId="31" xfId="13" applyNumberFormat="1" applyFont="1" applyFill="1" applyBorder="1" applyAlignment="1">
      <alignment vertical="center" wrapText="1"/>
    </xf>
    <xf numFmtId="183" fontId="22" fillId="11" borderId="31" xfId="13" applyNumberFormat="1" applyFont="1" applyFill="1" applyBorder="1" applyAlignment="1">
      <alignment vertical="center" wrapText="1"/>
    </xf>
    <xf numFmtId="0" fontId="17" fillId="0" borderId="0" xfId="15" applyFont="1">
      <alignment vertical="center"/>
    </xf>
    <xf numFmtId="49" fontId="16" fillId="7" borderId="3" xfId="0" applyNumberFormat="1" applyFont="1" applyFill="1" applyBorder="1" applyAlignment="1">
      <alignment horizontal="center" vertical="center"/>
    </xf>
    <xf numFmtId="0" fontId="20" fillId="11" borderId="31" xfId="13" applyNumberFormat="1" applyFont="1" applyFill="1" applyBorder="1" applyAlignment="1">
      <alignment horizontal="center" vertical="center"/>
    </xf>
    <xf numFmtId="0" fontId="20" fillId="11" borderId="36" xfId="13" applyNumberFormat="1" applyFont="1" applyFill="1" applyBorder="1" applyAlignment="1">
      <alignment horizontal="center" vertical="center"/>
    </xf>
    <xf numFmtId="49" fontId="16" fillId="2" borderId="1" xfId="0" applyNumberFormat="1" applyFont="1" applyFill="1" applyBorder="1" applyAlignment="1">
      <alignment horizontal="center" vertical="center" wrapText="1"/>
    </xf>
    <xf numFmtId="181" fontId="16" fillId="7" borderId="1" xfId="1" applyNumberFormat="1" applyFont="1" applyFill="1" applyBorder="1" applyAlignment="1">
      <alignment horizontal="center" vertical="center"/>
    </xf>
    <xf numFmtId="181" fontId="16" fillId="0" borderId="1" xfId="1" applyNumberFormat="1" applyFont="1" applyBorder="1" applyAlignment="1">
      <alignment horizontal="center" vertical="center"/>
    </xf>
    <xf numFmtId="0" fontId="20" fillId="0" borderId="32" xfId="13" applyNumberFormat="1" applyFont="1" applyBorder="1" applyAlignment="1">
      <alignment vertical="center"/>
    </xf>
    <xf numFmtId="0" fontId="20" fillId="0" borderId="35" xfId="13" applyNumberFormat="1" applyFont="1" applyBorder="1" applyAlignment="1">
      <alignment vertical="center"/>
    </xf>
    <xf numFmtId="0" fontId="19" fillId="5" borderId="0" xfId="0" applyFont="1" applyFill="1" applyAlignment="1">
      <alignment horizontal="center" vertical="center"/>
    </xf>
    <xf numFmtId="0" fontId="20" fillId="8" borderId="31" xfId="13" applyNumberFormat="1" applyFont="1" applyFill="1" applyBorder="1" applyAlignment="1">
      <alignment horizontal="center" vertical="center"/>
    </xf>
    <xf numFmtId="185" fontId="21" fillId="8" borderId="31" xfId="13" applyNumberFormat="1" applyFont="1" applyFill="1" applyBorder="1" applyAlignment="1">
      <alignment horizontal="center" vertical="center"/>
    </xf>
    <xf numFmtId="177" fontId="21" fillId="8" borderId="31" xfId="13" applyFont="1" applyFill="1" applyBorder="1" applyAlignment="1">
      <alignment horizontal="center" vertical="center"/>
    </xf>
    <xf numFmtId="183" fontId="22" fillId="8" borderId="31" xfId="13" applyNumberFormat="1" applyFont="1" applyFill="1" applyBorder="1" applyAlignment="1">
      <alignment horizontal="right" vertical="center" wrapText="1"/>
    </xf>
    <xf numFmtId="188" fontId="16" fillId="0" borderId="1" xfId="1" applyNumberFormat="1" applyFont="1" applyBorder="1" applyAlignment="1">
      <alignment horizontal="center" vertical="center"/>
    </xf>
    <xf numFmtId="187" fontId="16" fillId="0" borderId="3" xfId="1" applyNumberFormat="1" applyFont="1" applyFill="1" applyBorder="1" applyAlignment="1">
      <alignment horizontal="center" vertical="center"/>
    </xf>
    <xf numFmtId="49" fontId="16" fillId="5" borderId="3" xfId="0" applyNumberFormat="1" applyFont="1" applyFill="1" applyBorder="1" applyAlignment="1">
      <alignment horizontal="center" vertical="center"/>
    </xf>
    <xf numFmtId="186" fontId="16" fillId="5" borderId="3" xfId="0" applyNumberFormat="1" applyFont="1" applyFill="1" applyBorder="1" applyAlignment="1">
      <alignment horizontal="right" vertical="center" wrapText="1"/>
    </xf>
    <xf numFmtId="183" fontId="21" fillId="0" borderId="31" xfId="13" applyNumberFormat="1" applyFont="1" applyBorder="1" applyAlignment="1">
      <alignment horizontal="right" vertical="center" wrapText="1"/>
    </xf>
    <xf numFmtId="0" fontId="16" fillId="5" borderId="31" xfId="13" applyNumberFormat="1" applyFont="1" applyFill="1" applyBorder="1" applyAlignment="1">
      <alignment vertical="center"/>
    </xf>
    <xf numFmtId="183" fontId="21" fillId="0" borderId="31" xfId="13" applyNumberFormat="1" applyFont="1" applyFill="1" applyBorder="1" applyAlignment="1">
      <alignment horizontal="right" vertical="center" wrapText="1"/>
    </xf>
    <xf numFmtId="0" fontId="17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22" fillId="0" borderId="31" xfId="15" quotePrefix="1" applyFont="1" applyBorder="1" applyAlignment="1">
      <alignment horizontal="center" vertical="center"/>
    </xf>
    <xf numFmtId="49" fontId="21" fillId="5" borderId="3" xfId="0" applyNumberFormat="1" applyFont="1" applyFill="1" applyBorder="1" applyAlignment="1">
      <alignment horizontal="center" vertical="center"/>
    </xf>
    <xf numFmtId="49" fontId="21" fillId="5" borderId="31" xfId="0" applyNumberFormat="1" applyFont="1" applyFill="1" applyBorder="1" applyAlignment="1">
      <alignment horizontal="center" vertical="center"/>
    </xf>
    <xf numFmtId="49" fontId="21" fillId="5" borderId="31" xfId="0" applyNumberFormat="1" applyFont="1" applyFill="1" applyBorder="1">
      <alignment vertical="center"/>
    </xf>
    <xf numFmtId="189" fontId="16" fillId="5" borderId="3" xfId="0" applyNumberFormat="1" applyFont="1" applyFill="1" applyBorder="1" applyAlignment="1">
      <alignment horizontal="right" vertical="center" wrapText="1"/>
    </xf>
    <xf numFmtId="189" fontId="16" fillId="6" borderId="3" xfId="1" applyNumberFormat="1" applyFont="1" applyFill="1" applyBorder="1" applyAlignment="1">
      <alignment horizontal="right" vertical="center" wrapText="1"/>
    </xf>
    <xf numFmtId="189" fontId="16" fillId="0" borderId="3" xfId="1" applyNumberFormat="1" applyFont="1" applyFill="1" applyBorder="1" applyAlignment="1">
      <alignment horizontal="right" vertical="center" wrapText="1"/>
    </xf>
    <xf numFmtId="190" fontId="16" fillId="5" borderId="3" xfId="1" applyNumberFormat="1" applyFont="1" applyFill="1" applyBorder="1" applyAlignment="1">
      <alignment horizontal="center" vertical="center"/>
    </xf>
    <xf numFmtId="49" fontId="16" fillId="0" borderId="3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20" fillId="4" borderId="3" xfId="3" applyFont="1" applyFill="1" applyBorder="1" applyAlignment="1">
      <alignment horizontal="center" vertical="center" wrapText="1"/>
    </xf>
    <xf numFmtId="0" fontId="19" fillId="5" borderId="0" xfId="0" applyFont="1" applyFill="1" applyAlignment="1">
      <alignment vertical="center" wrapText="1"/>
    </xf>
    <xf numFmtId="0" fontId="20" fillId="0" borderId="0" xfId="0" applyFont="1" applyAlignment="1">
      <alignment horizontal="center" vertical="center"/>
    </xf>
    <xf numFmtId="0" fontId="16" fillId="0" borderId="0" xfId="0" applyFont="1">
      <alignment vertical="center"/>
    </xf>
    <xf numFmtId="0" fontId="20" fillId="9" borderId="24" xfId="0" applyFont="1" applyFill="1" applyBorder="1">
      <alignment vertical="center"/>
    </xf>
    <xf numFmtId="0" fontId="20" fillId="9" borderId="21" xfId="0" applyFont="1" applyFill="1" applyBorder="1">
      <alignment vertical="center"/>
    </xf>
    <xf numFmtId="0" fontId="21" fillId="0" borderId="0" xfId="0" applyFont="1">
      <alignment vertical="center"/>
    </xf>
    <xf numFmtId="0" fontId="16" fillId="5" borderId="3" xfId="0" applyFont="1" applyFill="1" applyBorder="1">
      <alignment vertical="center"/>
    </xf>
    <xf numFmtId="0" fontId="19" fillId="12" borderId="0" xfId="0" applyFont="1" applyFill="1">
      <alignment vertical="center"/>
    </xf>
    <xf numFmtId="0" fontId="19" fillId="5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3" fillId="0" borderId="0" xfId="0" applyFont="1">
      <alignment vertical="center"/>
    </xf>
    <xf numFmtId="177" fontId="23" fillId="0" borderId="0" xfId="0" applyNumberFormat="1" applyFont="1">
      <alignment vertical="center"/>
    </xf>
    <xf numFmtId="0" fontId="19" fillId="0" borderId="0" xfId="0" applyFont="1">
      <alignment vertical="center"/>
    </xf>
    <xf numFmtId="0" fontId="20" fillId="5" borderId="0" xfId="0" applyFont="1" applyFill="1">
      <alignment vertical="center"/>
    </xf>
    <xf numFmtId="0" fontId="21" fillId="7" borderId="3" xfId="0" applyFont="1" applyFill="1" applyBorder="1" applyAlignment="1">
      <alignment horizontal="center" vertical="center"/>
    </xf>
    <xf numFmtId="49" fontId="21" fillId="0" borderId="3" xfId="0" applyNumberFormat="1" applyFont="1" applyBorder="1" applyAlignment="1">
      <alignment horizontal="center" vertical="center" wrapText="1"/>
    </xf>
    <xf numFmtId="191" fontId="21" fillId="0" borderId="31" xfId="13" applyNumberFormat="1" applyFont="1" applyBorder="1" applyAlignment="1">
      <alignment horizontal="center" vertical="center"/>
    </xf>
    <xf numFmtId="191" fontId="21" fillId="10" borderId="31" xfId="13" applyNumberFormat="1" applyFont="1" applyFill="1" applyBorder="1" applyAlignment="1">
      <alignment horizontal="center" vertical="center"/>
    </xf>
    <xf numFmtId="191" fontId="22" fillId="11" borderId="31" xfId="13" applyNumberFormat="1" applyFont="1" applyFill="1" applyBorder="1" applyAlignment="1">
      <alignment horizontal="center" vertical="center" wrapText="1"/>
    </xf>
    <xf numFmtId="191" fontId="21" fillId="0" borderId="31" xfId="13" applyNumberFormat="1" applyFont="1" applyBorder="1" applyAlignment="1">
      <alignment horizontal="center" vertical="center" wrapText="1"/>
    </xf>
    <xf numFmtId="191" fontId="21" fillId="5" borderId="31" xfId="13" applyNumberFormat="1" applyFont="1" applyFill="1" applyBorder="1" applyAlignment="1">
      <alignment horizontal="center" vertical="center" wrapText="1"/>
    </xf>
    <xf numFmtId="191" fontId="22" fillId="11" borderId="31" xfId="13" applyNumberFormat="1" applyFont="1" applyFill="1" applyBorder="1" applyAlignment="1">
      <alignment horizontal="center" vertical="center"/>
    </xf>
    <xf numFmtId="191" fontId="21" fillId="5" borderId="31" xfId="13" applyNumberFormat="1" applyFont="1" applyFill="1" applyBorder="1" applyAlignment="1">
      <alignment horizontal="center" vertical="center"/>
    </xf>
    <xf numFmtId="191" fontId="21" fillId="11" borderId="31" xfId="13" applyNumberFormat="1" applyFont="1" applyFill="1" applyBorder="1" applyAlignment="1">
      <alignment horizontal="center"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177" fontId="24" fillId="5" borderId="3" xfId="1" applyFont="1" applyFill="1" applyBorder="1" applyAlignment="1">
      <alignment horizontal="center" vertical="center"/>
    </xf>
    <xf numFmtId="189" fontId="25" fillId="5" borderId="3" xfId="0" applyNumberFormat="1" applyFont="1" applyFill="1" applyBorder="1" applyAlignment="1">
      <alignment horizontal="right" vertical="center"/>
    </xf>
    <xf numFmtId="189" fontId="25" fillId="5" borderId="3" xfId="1" applyNumberFormat="1" applyFont="1" applyFill="1" applyBorder="1" applyAlignment="1">
      <alignment horizontal="right" vertical="center" wrapText="1"/>
    </xf>
    <xf numFmtId="189" fontId="25" fillId="5" borderId="3" xfId="0" applyNumberFormat="1" applyFont="1" applyFill="1" applyBorder="1" applyAlignment="1">
      <alignment horizontal="right" vertical="center" wrapText="1"/>
    </xf>
    <xf numFmtId="177" fontId="24" fillId="5" borderId="3" xfId="1" applyFont="1" applyFill="1" applyBorder="1" applyAlignment="1">
      <alignment horizontal="center" vertical="center" wrapText="1"/>
    </xf>
    <xf numFmtId="177" fontId="26" fillId="5" borderId="3" xfId="1" applyFont="1" applyFill="1" applyBorder="1" applyAlignment="1">
      <alignment horizontal="right" vertical="center"/>
    </xf>
    <xf numFmtId="177" fontId="26" fillId="5" borderId="3" xfId="1" applyFont="1" applyFill="1" applyBorder="1" applyAlignment="1">
      <alignment vertical="center"/>
    </xf>
    <xf numFmtId="0" fontId="27" fillId="5" borderId="3" xfId="0" applyFont="1" applyFill="1" applyBorder="1" applyAlignment="1">
      <alignment horizontal="center" vertical="center"/>
    </xf>
    <xf numFmtId="0" fontId="26" fillId="5" borderId="3" xfId="0" applyFont="1" applyFill="1" applyBorder="1">
      <alignment vertical="center"/>
    </xf>
    <xf numFmtId="183" fontId="28" fillId="5" borderId="31" xfId="13" applyNumberFormat="1" applyFont="1" applyFill="1" applyBorder="1" applyAlignment="1">
      <alignment horizontal="right" vertical="center" wrapText="1"/>
    </xf>
    <xf numFmtId="183" fontId="28" fillId="0" borderId="31" xfId="13" applyNumberFormat="1" applyFont="1" applyFill="1" applyBorder="1" applyAlignment="1">
      <alignment horizontal="right" vertical="center" wrapText="1"/>
    </xf>
    <xf numFmtId="0" fontId="29" fillId="0" borderId="15" xfId="8" applyFont="1" applyBorder="1" applyAlignment="1">
      <alignment horizontal="center" vertical="center"/>
    </xf>
    <xf numFmtId="0" fontId="30" fillId="0" borderId="15" xfId="6" applyFont="1" applyBorder="1" applyAlignment="1">
      <alignment vertical="center"/>
    </xf>
    <xf numFmtId="0" fontId="29" fillId="0" borderId="15" xfId="6" applyFont="1" applyBorder="1" applyAlignment="1">
      <alignment horizontal="center" vertical="center"/>
    </xf>
    <xf numFmtId="178" fontId="30" fillId="0" borderId="15" xfId="5" applyFont="1" applyFill="1" applyBorder="1" applyAlignment="1">
      <alignment horizontal="right" vertical="center"/>
    </xf>
    <xf numFmtId="0" fontId="29" fillId="5" borderId="15" xfId="8" applyFont="1" applyFill="1" applyBorder="1" applyAlignment="1">
      <alignment horizontal="center" vertical="center"/>
    </xf>
    <xf numFmtId="0" fontId="29" fillId="5" borderId="15" xfId="6" applyFont="1" applyFill="1" applyBorder="1" applyAlignment="1">
      <alignment horizontal="center" vertical="center"/>
    </xf>
    <xf numFmtId="178" fontId="30" fillId="5" borderId="15" xfId="5" applyFont="1" applyFill="1" applyBorder="1" applyAlignment="1">
      <alignment horizontal="right" vertical="center"/>
    </xf>
    <xf numFmtId="185" fontId="21" fillId="7" borderId="31" xfId="13" applyNumberFormat="1" applyFont="1" applyFill="1" applyBorder="1" applyAlignment="1">
      <alignment horizontal="center" vertical="center"/>
    </xf>
    <xf numFmtId="177" fontId="21" fillId="7" borderId="31" xfId="13" applyFont="1" applyFill="1" applyBorder="1" applyAlignment="1">
      <alignment horizontal="center" vertical="center"/>
    </xf>
    <xf numFmtId="191" fontId="21" fillId="7" borderId="31" xfId="13" applyNumberFormat="1" applyFont="1" applyFill="1" applyBorder="1" applyAlignment="1">
      <alignment horizontal="center" vertical="center"/>
    </xf>
    <xf numFmtId="183" fontId="28" fillId="7" borderId="31" xfId="13" applyNumberFormat="1" applyFont="1" applyFill="1" applyBorder="1" applyAlignment="1">
      <alignment horizontal="right" vertical="center" wrapText="1"/>
    </xf>
    <xf numFmtId="183" fontId="21" fillId="7" borderId="31" xfId="13" applyNumberFormat="1" applyFont="1" applyFill="1" applyBorder="1" applyAlignment="1">
      <alignment horizontal="right" vertical="center" wrapText="1"/>
    </xf>
    <xf numFmtId="0" fontId="15" fillId="0" borderId="0" xfId="6" applyFont="1" applyAlignment="1">
      <alignment horizontal="center" vertical="center"/>
    </xf>
    <xf numFmtId="0" fontId="18" fillId="0" borderId="0" xfId="6" applyFont="1" applyAlignment="1">
      <alignment vertical="center"/>
    </xf>
    <xf numFmtId="0" fontId="17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0" fillId="0" borderId="0" xfId="0" applyFont="1" applyAlignment="1">
      <alignment horizontal="center" vertical="center"/>
    </xf>
    <xf numFmtId="0" fontId="16" fillId="0" borderId="37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20" fillId="9" borderId="3" xfId="0" applyFont="1" applyFill="1" applyBorder="1" applyAlignment="1">
      <alignment horizontal="center" vertical="center"/>
    </xf>
    <xf numFmtId="177" fontId="20" fillId="4" borderId="21" xfId="4" applyFont="1" applyFill="1" applyBorder="1" applyAlignment="1">
      <alignment horizontal="center" vertical="center"/>
    </xf>
    <xf numFmtId="178" fontId="20" fillId="4" borderId="21" xfId="5" applyFont="1" applyFill="1" applyBorder="1" applyAlignment="1">
      <alignment horizontal="center" vertical="center"/>
    </xf>
    <xf numFmtId="0" fontId="20" fillId="4" borderId="21" xfId="0" applyFont="1" applyFill="1" applyBorder="1" applyAlignment="1">
      <alignment horizontal="center" vertical="center"/>
    </xf>
    <xf numFmtId="0" fontId="20" fillId="4" borderId="3" xfId="0" applyFont="1" applyFill="1" applyBorder="1" applyAlignment="1">
      <alignment horizontal="center" vertical="center"/>
    </xf>
    <xf numFmtId="0" fontId="20" fillId="4" borderId="21" xfId="3" applyFont="1" applyFill="1" applyBorder="1" applyAlignment="1">
      <alignment horizontal="center" vertical="center"/>
    </xf>
    <xf numFmtId="0" fontId="20" fillId="4" borderId="3" xfId="3" applyFont="1" applyFill="1" applyBorder="1" applyAlignment="1">
      <alignment horizontal="center" vertical="center"/>
    </xf>
    <xf numFmtId="0" fontId="20" fillId="4" borderId="21" xfId="3" applyFont="1" applyFill="1" applyBorder="1" applyAlignment="1">
      <alignment horizontal="center" vertical="center" wrapText="1"/>
    </xf>
    <xf numFmtId="0" fontId="16" fillId="0" borderId="31" xfId="13" applyNumberFormat="1" applyFont="1" applyBorder="1" applyAlignment="1">
      <alignment vertical="center"/>
    </xf>
    <xf numFmtId="0" fontId="16" fillId="0" borderId="32" xfId="13" applyNumberFormat="1" applyFont="1" applyBorder="1" applyAlignment="1">
      <alignment vertical="center"/>
    </xf>
    <xf numFmtId="0" fontId="16" fillId="0" borderId="36" xfId="13" applyNumberFormat="1" applyFont="1" applyBorder="1" applyAlignment="1">
      <alignment vertical="center"/>
    </xf>
    <xf numFmtId="183" fontId="16" fillId="0" borderId="32" xfId="13" applyNumberFormat="1" applyFont="1" applyBorder="1" applyAlignment="1">
      <alignment horizontal="center" vertical="center" wrapText="1"/>
    </xf>
    <xf numFmtId="183" fontId="16" fillId="0" borderId="36" xfId="13" applyNumberFormat="1" applyFont="1" applyBorder="1" applyAlignment="1">
      <alignment horizontal="center" vertical="center" wrapText="1"/>
    </xf>
    <xf numFmtId="0" fontId="16" fillId="10" borderId="36" xfId="13" applyNumberFormat="1" applyFont="1" applyFill="1" applyBorder="1" applyAlignment="1">
      <alignment vertical="center"/>
    </xf>
    <xf numFmtId="0" fontId="16" fillId="10" borderId="35" xfId="13" applyNumberFormat="1" applyFont="1" applyFill="1" applyBorder="1" applyAlignment="1">
      <alignment vertical="center"/>
    </xf>
    <xf numFmtId="183" fontId="16" fillId="0" borderId="35" xfId="13" applyNumberFormat="1" applyFont="1" applyBorder="1" applyAlignment="1">
      <alignment horizontal="center" vertical="center" wrapText="1"/>
    </xf>
    <xf numFmtId="184" fontId="20" fillId="11" borderId="33" xfId="13" applyNumberFormat="1" applyFont="1" applyFill="1" applyBorder="1" applyAlignment="1">
      <alignment vertical="center"/>
    </xf>
    <xf numFmtId="184" fontId="22" fillId="11" borderId="34" xfId="13" applyNumberFormat="1" applyFont="1" applyFill="1" applyBorder="1" applyAlignment="1">
      <alignment vertical="center"/>
    </xf>
    <xf numFmtId="0" fontId="18" fillId="0" borderId="30" xfId="15" applyFont="1" applyBorder="1" applyAlignment="1">
      <alignment horizontal="center" vertical="center"/>
    </xf>
    <xf numFmtId="0" fontId="20" fillId="0" borderId="31" xfId="15" quotePrefix="1" applyFont="1" applyBorder="1" applyAlignment="1">
      <alignment horizontal="center" vertical="center"/>
    </xf>
    <xf numFmtId="0" fontId="22" fillId="0" borderId="31" xfId="15" quotePrefix="1" applyFont="1" applyBorder="1" applyAlignment="1">
      <alignment horizontal="center" vertical="center"/>
    </xf>
    <xf numFmtId="0" fontId="22" fillId="0" borderId="32" xfId="15" quotePrefix="1" applyFont="1" applyBorder="1" applyAlignment="1">
      <alignment horizontal="center" vertical="center"/>
    </xf>
    <xf numFmtId="0" fontId="22" fillId="0" borderId="35" xfId="15" quotePrefix="1" applyFont="1" applyBorder="1" applyAlignment="1">
      <alignment horizontal="center" vertical="center"/>
    </xf>
    <xf numFmtId="0" fontId="22" fillId="0" borderId="31" xfId="15" applyFont="1" applyBorder="1" applyAlignment="1">
      <alignment horizontal="center" vertical="center"/>
    </xf>
    <xf numFmtId="0" fontId="22" fillId="0" borderId="33" xfId="15" quotePrefix="1" applyFont="1" applyBorder="1" applyAlignment="1">
      <alignment horizontal="center" vertical="center"/>
    </xf>
    <xf numFmtId="0" fontId="22" fillId="0" borderId="34" xfId="15" quotePrefix="1" applyFont="1" applyBorder="1" applyAlignment="1">
      <alignment horizontal="center" vertical="center"/>
    </xf>
    <xf numFmtId="0" fontId="22" fillId="0" borderId="32" xfId="15" applyFont="1" applyBorder="1" applyAlignment="1">
      <alignment horizontal="center" vertical="center"/>
    </xf>
    <xf numFmtId="0" fontId="22" fillId="0" borderId="35" xfId="15" applyFont="1" applyBorder="1" applyAlignment="1">
      <alignment horizontal="center"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10</xdr:col>
      <xdr:colOff>113600</xdr:colOff>
      <xdr:row>41</xdr:row>
      <xdr:rowOff>132474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33A9964-6FB9-40A3-8781-57976BDCCA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0" y="628650"/>
          <a:ext cx="5600000" cy="7009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J19" sqref="J19"/>
    </sheetView>
  </sheetViews>
  <sheetFormatPr defaultColWidth="9" defaultRowHeight="12.7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>
      <c r="A2" s="176" t="s">
        <v>6</v>
      </c>
      <c r="B2" s="176"/>
      <c r="C2" s="176"/>
      <c r="D2" s="176"/>
      <c r="E2" s="176"/>
      <c r="F2" s="176"/>
      <c r="G2" s="176"/>
      <c r="H2" s="2"/>
    </row>
    <row r="3" spans="1:9" ht="14.25">
      <c r="A3" s="114"/>
      <c r="B3" s="114"/>
      <c r="C3" s="114"/>
      <c r="D3" s="114"/>
      <c r="E3" s="114"/>
      <c r="F3" s="114"/>
      <c r="G3" s="114"/>
      <c r="H3" s="114"/>
    </row>
    <row r="4" spans="1:9" ht="14.25">
      <c r="A4" s="114"/>
      <c r="B4" s="114"/>
      <c r="C4" s="114"/>
      <c r="D4" s="114"/>
      <c r="E4" s="114"/>
      <c r="H4" s="114"/>
    </row>
    <row r="5" spans="1:9" ht="27" customHeight="1">
      <c r="A5" s="115" t="s">
        <v>47</v>
      </c>
      <c r="B5" s="4"/>
      <c r="C5" s="5"/>
      <c r="D5" s="114"/>
      <c r="E5" s="114"/>
      <c r="F5" s="6" t="s">
        <v>37</v>
      </c>
      <c r="G5" s="7" t="s">
        <v>50</v>
      </c>
      <c r="H5" s="114"/>
    </row>
    <row r="6" spans="1:9" ht="27" customHeight="1">
      <c r="A6" s="114"/>
      <c r="B6" s="114"/>
      <c r="C6" s="114"/>
      <c r="D6" s="114"/>
      <c r="E6" s="114"/>
      <c r="F6" s="8" t="s">
        <v>40</v>
      </c>
      <c r="G6" s="9" t="s">
        <v>51</v>
      </c>
      <c r="H6" s="114"/>
    </row>
    <row r="7" spans="1:9" ht="27" customHeight="1">
      <c r="A7" s="179" t="s">
        <v>166</v>
      </c>
      <c r="B7" s="180"/>
      <c r="C7" s="181"/>
      <c r="D7" s="114"/>
      <c r="E7" s="10"/>
      <c r="F7" s="11" t="s">
        <v>41</v>
      </c>
      <c r="G7" s="9" t="s">
        <v>52</v>
      </c>
      <c r="H7" s="114"/>
    </row>
    <row r="8" spans="1:9" ht="27" customHeight="1">
      <c r="A8" s="114"/>
      <c r="B8" s="114"/>
      <c r="C8" s="114"/>
      <c r="D8" s="114"/>
      <c r="E8" s="114"/>
      <c r="F8" s="8" t="s">
        <v>42</v>
      </c>
      <c r="G8" s="9" t="s">
        <v>53</v>
      </c>
      <c r="H8" s="114"/>
    </row>
    <row r="9" spans="1:9" ht="27" customHeight="1">
      <c r="A9" s="115" t="s">
        <v>167</v>
      </c>
      <c r="B9" s="151"/>
      <c r="C9" s="152"/>
      <c r="D9" s="114"/>
      <c r="E9" s="114"/>
      <c r="F9" s="8" t="s">
        <v>43</v>
      </c>
      <c r="G9" s="9" t="s">
        <v>54</v>
      </c>
      <c r="H9" s="114"/>
    </row>
    <row r="10" spans="1:9" ht="27" customHeight="1">
      <c r="A10" s="114"/>
      <c r="B10" s="114"/>
      <c r="C10" s="114"/>
      <c r="D10" s="114"/>
      <c r="E10" s="114"/>
      <c r="F10" s="12" t="s">
        <v>38</v>
      </c>
      <c r="G10" s="13" t="s">
        <v>55</v>
      </c>
      <c r="H10" s="114"/>
      <c r="I10" s="114"/>
    </row>
    <row r="11" spans="1:9" ht="27" customHeight="1">
      <c r="A11" s="177"/>
      <c r="B11" s="178"/>
      <c r="C11" s="178"/>
      <c r="D11" s="114"/>
      <c r="E11" s="14"/>
      <c r="F11" s="15" t="s">
        <v>39</v>
      </c>
      <c r="G11" s="16" t="s">
        <v>56</v>
      </c>
      <c r="H11" s="14"/>
    </row>
    <row r="12" spans="1:9" ht="18.75" thickBot="1">
      <c r="A12" s="17" t="s">
        <v>7</v>
      </c>
      <c r="B12" s="17" t="str">
        <f>NUMBERSTRING(F31,1)</f>
        <v>사백사만삼천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>
      <c r="A13" s="114"/>
      <c r="B13" s="114"/>
      <c r="C13" s="114"/>
      <c r="D13" s="114"/>
      <c r="E13" s="114"/>
      <c r="F13" s="114"/>
      <c r="G13" s="114"/>
      <c r="H13" s="19"/>
    </row>
    <row r="14" spans="1:9" ht="33" customHeight="1" thickBot="1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18</v>
      </c>
      <c r="C16" s="31"/>
      <c r="D16" s="32"/>
      <c r="E16" s="32"/>
      <c r="F16" s="33">
        <f>'내역서(표준단가)'!K18</f>
        <v>729303.58744999999</v>
      </c>
      <c r="G16" s="34"/>
    </row>
    <row r="17" spans="1:7" ht="33" customHeight="1">
      <c r="A17" s="29"/>
      <c r="B17" s="30" t="s">
        <v>19</v>
      </c>
      <c r="C17" s="31"/>
      <c r="D17" s="32"/>
      <c r="E17" s="32"/>
      <c r="F17" s="33">
        <f>'내역서(표준단가)'!M18</f>
        <v>2690271.5650230004</v>
      </c>
      <c r="G17" s="35"/>
    </row>
    <row r="18" spans="1:7" ht="33" customHeight="1">
      <c r="A18" s="29"/>
      <c r="B18" s="30" t="s">
        <v>20</v>
      </c>
      <c r="C18" s="31"/>
      <c r="D18" s="32"/>
      <c r="E18" s="32"/>
      <c r="F18" s="33">
        <f>'내역서(표준단가)'!O18+'내역서(표준단가)'!Q18</f>
        <v>0</v>
      </c>
      <c r="G18" s="35"/>
    </row>
    <row r="19" spans="1:7" ht="33" customHeight="1">
      <c r="A19" s="29"/>
      <c r="B19" s="36" t="s">
        <v>21</v>
      </c>
      <c r="C19" s="36"/>
      <c r="D19" s="37"/>
      <c r="E19" s="37"/>
      <c r="F19" s="38">
        <f>F16+F17+F18</f>
        <v>3419575.1524730003</v>
      </c>
      <c r="G19" s="35"/>
    </row>
    <row r="20" spans="1:7" ht="33" customHeight="1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>
      <c r="A21" s="29"/>
      <c r="B21" s="164" t="s">
        <v>23</v>
      </c>
      <c r="C21" s="165" t="s">
        <v>164</v>
      </c>
      <c r="D21" s="166">
        <v>1</v>
      </c>
      <c r="E21" s="166" t="s">
        <v>24</v>
      </c>
      <c r="F21" s="167">
        <f>F17*4.75%</f>
        <v>127787.89933859251</v>
      </c>
      <c r="G21" s="35" t="s">
        <v>25</v>
      </c>
    </row>
    <row r="22" spans="1:7" ht="33" customHeight="1">
      <c r="A22" s="29"/>
      <c r="B22" s="168" t="s">
        <v>26</v>
      </c>
      <c r="C22" s="165" t="s">
        <v>165</v>
      </c>
      <c r="D22" s="169">
        <v>1</v>
      </c>
      <c r="E22" s="169" t="s">
        <v>24</v>
      </c>
      <c r="F22" s="170">
        <f>F17*3.595%</f>
        <v>96715.262762576865</v>
      </c>
      <c r="G22" s="44" t="s">
        <v>27</v>
      </c>
    </row>
    <row r="23" spans="1:7" ht="33" customHeight="1">
      <c r="A23" s="29"/>
      <c r="B23" s="42" t="s">
        <v>28</v>
      </c>
      <c r="C23" s="40" t="s">
        <v>48</v>
      </c>
      <c r="D23" s="30">
        <v>1</v>
      </c>
      <c r="E23" s="30" t="s">
        <v>24</v>
      </c>
      <c r="F23" s="43">
        <f>F22*12.95%</f>
        <v>12524.626527753704</v>
      </c>
      <c r="G23" s="35" t="s">
        <v>27</v>
      </c>
    </row>
    <row r="24" spans="1:7" ht="33" customHeight="1">
      <c r="A24" s="29"/>
      <c r="B24" s="42" t="s">
        <v>29</v>
      </c>
      <c r="C24" s="40" t="s">
        <v>45</v>
      </c>
      <c r="D24" s="30">
        <v>1</v>
      </c>
      <c r="E24" s="30" t="s">
        <v>24</v>
      </c>
      <c r="F24" s="43">
        <f>F17*1.01%</f>
        <v>27171.742806732302</v>
      </c>
      <c r="G24" s="35" t="s">
        <v>27</v>
      </c>
    </row>
    <row r="25" spans="1:7" ht="33" customHeight="1">
      <c r="A25" s="29"/>
      <c r="B25" s="42" t="s">
        <v>30</v>
      </c>
      <c r="C25" s="40" t="s">
        <v>49</v>
      </c>
      <c r="D25" s="30">
        <v>1</v>
      </c>
      <c r="E25" s="30" t="s">
        <v>24</v>
      </c>
      <c r="F25" s="43">
        <f>F17*3.56%</f>
        <v>95773.667714818817</v>
      </c>
      <c r="G25" s="35" t="s">
        <v>27</v>
      </c>
    </row>
    <row r="26" spans="1:7" ht="33" customHeight="1">
      <c r="A26" s="29"/>
      <c r="B26" s="42" t="s">
        <v>31</v>
      </c>
      <c r="C26" s="45" t="s">
        <v>150</v>
      </c>
      <c r="D26" s="30">
        <v>1</v>
      </c>
      <c r="E26" s="30" t="s">
        <v>24</v>
      </c>
      <c r="F26" s="43">
        <f>(F16+F17)*3.11%</f>
        <v>106348.78724191031</v>
      </c>
      <c r="G26" s="35" t="s">
        <v>25</v>
      </c>
    </row>
    <row r="27" spans="1:7" ht="33" customHeight="1">
      <c r="A27" s="29"/>
      <c r="B27" s="42" t="s">
        <v>35</v>
      </c>
      <c r="C27" s="45" t="s">
        <v>36</v>
      </c>
      <c r="D27" s="30">
        <v>1</v>
      </c>
      <c r="E27" s="30" t="s">
        <v>24</v>
      </c>
      <c r="F27" s="43">
        <f>SUM(F17+F21+F22+F23+F24+F25+F26)*5%</f>
        <v>157829.67757076921</v>
      </c>
      <c r="G27" s="35"/>
    </row>
    <row r="28" spans="1:7" ht="33" customHeight="1">
      <c r="A28" s="29"/>
      <c r="B28" s="36" t="s">
        <v>32</v>
      </c>
      <c r="C28" s="46"/>
      <c r="D28" s="47"/>
      <c r="E28" s="37"/>
      <c r="F28" s="48">
        <f>F21+F22+F23+F24+F25+F26+F27</f>
        <v>624151.66396315373</v>
      </c>
      <c r="G28" s="35"/>
    </row>
    <row r="29" spans="1:7" ht="33" customHeight="1">
      <c r="A29" s="29"/>
      <c r="B29" s="40"/>
      <c r="C29" s="49"/>
      <c r="D29" s="50"/>
      <c r="E29" s="32"/>
      <c r="F29" s="51"/>
      <c r="G29" s="35"/>
    </row>
    <row r="30" spans="1:7" ht="33" customHeight="1">
      <c r="A30" s="29"/>
      <c r="B30" s="52"/>
      <c r="C30" s="49"/>
      <c r="D30" s="50"/>
      <c r="E30" s="32"/>
      <c r="F30" s="53">
        <f>F19+F28+F29</f>
        <v>4043726.8164361538</v>
      </c>
      <c r="G30" s="35"/>
    </row>
    <row r="31" spans="1:7" ht="33" customHeight="1">
      <c r="A31" s="29"/>
      <c r="B31" s="36" t="s">
        <v>33</v>
      </c>
      <c r="C31" s="36"/>
      <c r="D31" s="37"/>
      <c r="E31" s="37"/>
      <c r="F31" s="54">
        <f>ROUNDDOWN(F30,-3)</f>
        <v>4043000</v>
      </c>
      <c r="G31" s="35"/>
    </row>
    <row r="32" spans="1:7" ht="33" customHeight="1" thickBot="1">
      <c r="A32" s="55"/>
      <c r="B32" s="56" t="s">
        <v>34</v>
      </c>
      <c r="C32" s="57"/>
      <c r="D32" s="57"/>
      <c r="E32" s="57"/>
      <c r="F32" s="58"/>
      <c r="G32" s="59"/>
    </row>
    <row r="33" spans="2:2" ht="15.75">
      <c r="B33" s="60"/>
    </row>
    <row r="34" spans="2:2" ht="15.75">
      <c r="B34" s="60"/>
    </row>
  </sheetData>
  <mergeCells count="3">
    <mergeCell ref="A2:G2"/>
    <mergeCell ref="A11:C11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T18"/>
  <sheetViews>
    <sheetView showGridLines="0" zoomScale="80" zoomScaleNormal="80" workbookViewId="0">
      <pane ySplit="4" topLeftCell="A5" activePane="bottomLeft" state="frozen"/>
      <selection pane="bottomLeft" activeCell="G22" sqref="G22"/>
    </sheetView>
  </sheetViews>
  <sheetFormatPr defaultColWidth="9" defaultRowHeight="38.1" customHeight="1"/>
  <cols>
    <col min="1" max="1" width="22.625" style="140" bestFit="1" customWidth="1"/>
    <col min="2" max="2" width="9" style="129" customWidth="1"/>
    <col min="3" max="5" width="12.625" style="129" customWidth="1"/>
    <col min="6" max="7" width="30.625" style="125" customWidth="1"/>
    <col min="8" max="8" width="12.375" style="129" bestFit="1" customWidth="1"/>
    <col min="9" max="9" width="7.625" style="129" bestFit="1" customWidth="1"/>
    <col min="10" max="10" width="10.625" style="129" bestFit="1" customWidth="1"/>
    <col min="11" max="11" width="13.25" style="129" bestFit="1" customWidth="1"/>
    <col min="12" max="12" width="12" style="129" bestFit="1" customWidth="1"/>
    <col min="13" max="13" width="15.625" style="129" bestFit="1" customWidth="1"/>
    <col min="14" max="14" width="9" style="129" customWidth="1"/>
    <col min="15" max="15" width="8.75" style="129" bestFit="1" customWidth="1"/>
    <col min="16" max="16" width="10.5" style="129" customWidth="1"/>
    <col min="17" max="17" width="8.75" style="129" bestFit="1" customWidth="1"/>
    <col min="18" max="18" width="15.625" style="129" bestFit="1" customWidth="1"/>
    <col min="19" max="19" width="15.5" style="62" bestFit="1" customWidth="1"/>
    <col min="20" max="20" width="8.5" style="129" bestFit="1" customWidth="1"/>
    <col min="21" max="16384" width="9" style="129"/>
  </cols>
  <sheetData>
    <row r="1" spans="1:20" ht="19.899999999999999" customHeight="1">
      <c r="A1" s="182"/>
      <c r="B1" s="182"/>
      <c r="C1" s="182"/>
      <c r="D1" s="182"/>
      <c r="E1" s="182"/>
      <c r="J1" s="62"/>
      <c r="K1" s="128" t="s">
        <v>98</v>
      </c>
      <c r="M1" s="128" t="s">
        <v>98</v>
      </c>
      <c r="O1" s="128" t="s">
        <v>98</v>
      </c>
      <c r="Q1" s="128" t="s">
        <v>98</v>
      </c>
    </row>
    <row r="2" spans="1:20" ht="19.899999999999999" customHeight="1" thickBot="1">
      <c r="A2" s="182"/>
      <c r="B2" s="182"/>
      <c r="C2" s="182"/>
      <c r="D2" s="182"/>
      <c r="E2" s="182"/>
      <c r="J2" s="63"/>
      <c r="K2" s="64">
        <v>0.83499999999999996</v>
      </c>
      <c r="M2" s="64">
        <v>0.83499999999999996</v>
      </c>
      <c r="O2" s="64">
        <v>0.83499999999999996</v>
      </c>
      <c r="Q2" s="64">
        <v>0.83499999999999996</v>
      </c>
    </row>
    <row r="3" spans="1:20" ht="19.899999999999999" customHeight="1">
      <c r="A3" s="130"/>
      <c r="B3" s="131" t="s">
        <v>99</v>
      </c>
      <c r="C3" s="131"/>
      <c r="D3" s="131"/>
      <c r="E3" s="131"/>
      <c r="F3" s="193" t="s">
        <v>100</v>
      </c>
      <c r="G3" s="193"/>
      <c r="H3" s="191" t="s">
        <v>46</v>
      </c>
      <c r="I3" s="191" t="s">
        <v>5</v>
      </c>
      <c r="J3" s="187" t="s">
        <v>101</v>
      </c>
      <c r="K3" s="187"/>
      <c r="L3" s="187" t="s">
        <v>102</v>
      </c>
      <c r="M3" s="187"/>
      <c r="N3" s="188" t="s">
        <v>103</v>
      </c>
      <c r="O3" s="188"/>
      <c r="P3" s="188" t="s">
        <v>104</v>
      </c>
      <c r="Q3" s="188"/>
      <c r="R3" s="189" t="s">
        <v>105</v>
      </c>
      <c r="S3" s="185" t="s">
        <v>106</v>
      </c>
      <c r="T3" s="183" t="s">
        <v>44</v>
      </c>
    </row>
    <row r="4" spans="1:20" ht="19.899999999999999" customHeight="1">
      <c r="A4" s="65" t="s">
        <v>107</v>
      </c>
      <c r="B4" s="66" t="s">
        <v>108</v>
      </c>
      <c r="C4" s="66" t="s">
        <v>109</v>
      </c>
      <c r="D4" s="66" t="s">
        <v>110</v>
      </c>
      <c r="E4" s="66" t="s">
        <v>111</v>
      </c>
      <c r="F4" s="126" t="s">
        <v>112</v>
      </c>
      <c r="G4" s="126" t="s">
        <v>113</v>
      </c>
      <c r="H4" s="192"/>
      <c r="I4" s="192"/>
      <c r="J4" s="67" t="s">
        <v>114</v>
      </c>
      <c r="K4" s="68" t="s">
        <v>115</v>
      </c>
      <c r="L4" s="67" t="s">
        <v>116</v>
      </c>
      <c r="M4" s="68" t="s">
        <v>115</v>
      </c>
      <c r="N4" s="68" t="s">
        <v>117</v>
      </c>
      <c r="O4" s="68" t="s">
        <v>115</v>
      </c>
      <c r="P4" s="68" t="s">
        <v>117</v>
      </c>
      <c r="Q4" s="68" t="s">
        <v>115</v>
      </c>
      <c r="R4" s="190"/>
      <c r="S4" s="186"/>
      <c r="T4" s="184"/>
    </row>
    <row r="5" spans="1:20" s="132" customFormat="1" ht="38.1" customHeight="1">
      <c r="A5" s="69" t="str">
        <f t="shared" ref="A5" si="0">B5&amp;C5&amp;D5&amp;E5</f>
        <v>M020853710050101</v>
      </c>
      <c r="B5" s="94"/>
      <c r="C5" s="70"/>
      <c r="D5" s="70" t="s">
        <v>155</v>
      </c>
      <c r="E5" s="94"/>
      <c r="F5" s="124" t="s">
        <v>156</v>
      </c>
      <c r="G5" s="124" t="s">
        <v>169</v>
      </c>
      <c r="H5" s="109" t="s">
        <v>159</v>
      </c>
      <c r="I5" s="123">
        <v>7.2683</v>
      </c>
      <c r="J5" s="153">
        <v>20900</v>
      </c>
      <c r="K5" s="121">
        <f t="shared" ref="K5" si="1">SUM(J5:J5)*I5*$K$2</f>
        <v>126842.73745</v>
      </c>
      <c r="L5" s="156"/>
      <c r="M5" s="121">
        <f t="shared" ref="M5" si="2">(L5*I5)*$M$2</f>
        <v>0</v>
      </c>
      <c r="N5" s="122"/>
      <c r="O5" s="121">
        <f t="shared" ref="O5" si="3">N5*I5*$O$2</f>
        <v>0</v>
      </c>
      <c r="P5" s="122"/>
      <c r="Q5" s="121">
        <f t="shared" ref="Q5" si="4">P5*I5*$Q$2</f>
        <v>0</v>
      </c>
      <c r="R5" s="73">
        <f t="shared" ref="R5" si="5">SUM(K5+M5)+O5+Q5</f>
        <v>126842.73745</v>
      </c>
      <c r="S5" s="108"/>
      <c r="T5" s="74"/>
    </row>
    <row r="6" spans="1:20" s="132" customFormat="1" ht="38.1" customHeight="1">
      <c r="A6" s="69" t="str">
        <f t="shared" ref="A6" si="6">B6&amp;C6&amp;D6&amp;E6</f>
        <v>E00000803071260301</v>
      </c>
      <c r="B6" s="94"/>
      <c r="C6" s="70" t="s">
        <v>118</v>
      </c>
      <c r="D6" s="70"/>
      <c r="E6" s="94"/>
      <c r="F6" s="124" t="s">
        <v>120</v>
      </c>
      <c r="G6" s="124" t="s">
        <v>160</v>
      </c>
      <c r="H6" s="71" t="s">
        <v>119</v>
      </c>
      <c r="I6" s="123">
        <v>2.609</v>
      </c>
      <c r="J6" s="154"/>
      <c r="K6" s="121">
        <f t="shared" ref="K6" si="7">SUM(J6:J6)*I6*$K$2</f>
        <v>0</v>
      </c>
      <c r="L6" s="158">
        <v>510462</v>
      </c>
      <c r="M6" s="121">
        <f t="shared" ref="M6" si="8">(L6*I6)*$M$2</f>
        <v>1112049.12393</v>
      </c>
      <c r="N6" s="122"/>
      <c r="O6" s="121">
        <f t="shared" ref="O6" si="9">N6*I6*$O$2</f>
        <v>0</v>
      </c>
      <c r="P6" s="122"/>
      <c r="Q6" s="121">
        <f t="shared" ref="Q6" si="10">P6*I6*$Q$2</f>
        <v>0</v>
      </c>
      <c r="R6" s="73">
        <f t="shared" ref="R6" si="11">SUM(K6+M6)+O6+Q6</f>
        <v>1112049.12393</v>
      </c>
      <c r="S6" s="108"/>
      <c r="T6" s="74"/>
    </row>
    <row r="7" spans="1:20" s="132" customFormat="1" ht="38.1" customHeight="1">
      <c r="A7" s="69" t="str">
        <f t="shared" ref="A7" si="12">B7&amp;C7&amp;D7&amp;E7</f>
        <v>M020809012520101</v>
      </c>
      <c r="B7" s="94"/>
      <c r="C7" s="70"/>
      <c r="D7" s="70" t="s">
        <v>151</v>
      </c>
      <c r="E7" s="94"/>
      <c r="F7" s="124" t="s">
        <v>152</v>
      </c>
      <c r="G7" s="124" t="s">
        <v>153</v>
      </c>
      <c r="H7" s="109" t="s">
        <v>154</v>
      </c>
      <c r="I7" s="123">
        <v>51.6</v>
      </c>
      <c r="J7" s="155">
        <v>13000</v>
      </c>
      <c r="K7" s="121">
        <f t="shared" ref="K7:K16" si="13">SUM(J7:J7)*I7*$K$2</f>
        <v>560118</v>
      </c>
      <c r="L7" s="156"/>
      <c r="M7" s="121">
        <f t="shared" ref="M7:M17" si="14">(L7*I7)*$M$2</f>
        <v>0</v>
      </c>
      <c r="N7" s="122"/>
      <c r="O7" s="121">
        <f t="shared" ref="O7:O17" si="15">N7*I7*$O$2</f>
        <v>0</v>
      </c>
      <c r="P7" s="122"/>
      <c r="Q7" s="121">
        <f t="shared" ref="Q7:Q17" si="16">P7*I7*$Q$2</f>
        <v>0</v>
      </c>
      <c r="R7" s="73">
        <f t="shared" ref="R7:R17" si="17">SUM(K7+M7)+O7+Q7</f>
        <v>560118</v>
      </c>
      <c r="S7" s="108"/>
      <c r="T7" s="74"/>
    </row>
    <row r="8" spans="1:20" s="132" customFormat="1" ht="38.1" customHeight="1">
      <c r="A8" s="69" t="str">
        <f t="shared" ref="A8:A17" si="18">B8&amp;C8&amp;D8&amp;E8</f>
        <v>E00000803071260401</v>
      </c>
      <c r="B8" s="94"/>
      <c r="C8" s="70" t="s">
        <v>121</v>
      </c>
      <c r="D8" s="70"/>
      <c r="E8" s="94"/>
      <c r="F8" s="124" t="s">
        <v>122</v>
      </c>
      <c r="G8" s="124" t="s">
        <v>161</v>
      </c>
      <c r="H8" s="71" t="s">
        <v>119</v>
      </c>
      <c r="I8" s="123">
        <v>0.84589999999999999</v>
      </c>
      <c r="J8" s="154"/>
      <c r="K8" s="121">
        <f t="shared" si="13"/>
        <v>0</v>
      </c>
      <c r="L8" s="158">
        <v>510462</v>
      </c>
      <c r="M8" s="121">
        <f t="shared" si="14"/>
        <v>360552.83784299996</v>
      </c>
      <c r="N8" s="122"/>
      <c r="O8" s="121">
        <f t="shared" si="15"/>
        <v>0</v>
      </c>
      <c r="P8" s="122"/>
      <c r="Q8" s="121">
        <f t="shared" si="16"/>
        <v>0</v>
      </c>
      <c r="R8" s="73">
        <f t="shared" si="17"/>
        <v>360552.83784299996</v>
      </c>
      <c r="S8" s="108"/>
      <c r="T8" s="74"/>
    </row>
    <row r="9" spans="1:20" s="132" customFormat="1" ht="38.1" customHeight="1">
      <c r="A9" s="69" t="str">
        <f t="shared" si="18"/>
        <v>M020412614110102</v>
      </c>
      <c r="B9" s="94"/>
      <c r="C9" s="70"/>
      <c r="D9" s="141" t="s">
        <v>147</v>
      </c>
      <c r="E9" s="94"/>
      <c r="F9" s="142" t="s">
        <v>146</v>
      </c>
      <c r="G9" s="142" t="s">
        <v>141</v>
      </c>
      <c r="H9" s="117" t="s">
        <v>140</v>
      </c>
      <c r="I9" s="123">
        <v>0.5</v>
      </c>
      <c r="J9" s="153">
        <v>65500</v>
      </c>
      <c r="K9" s="121">
        <f t="shared" si="13"/>
        <v>27346.25</v>
      </c>
      <c r="L9" s="120"/>
      <c r="M9" s="121"/>
      <c r="N9" s="122"/>
      <c r="O9" s="121"/>
      <c r="P9" s="122"/>
      <c r="Q9" s="121"/>
      <c r="R9" s="73">
        <f t="shared" si="17"/>
        <v>27346.25</v>
      </c>
      <c r="S9" s="108"/>
      <c r="T9" s="74"/>
    </row>
    <row r="10" spans="1:20" s="132" customFormat="1" ht="38.1" customHeight="1">
      <c r="A10" s="69" t="str">
        <f t="shared" si="18"/>
        <v>E00000803061120402</v>
      </c>
      <c r="B10" s="94"/>
      <c r="C10" s="70" t="s">
        <v>123</v>
      </c>
      <c r="D10" s="70"/>
      <c r="E10" s="94"/>
      <c r="F10" s="124" t="s">
        <v>124</v>
      </c>
      <c r="G10" s="124" t="s">
        <v>125</v>
      </c>
      <c r="H10" s="109" t="s">
        <v>138</v>
      </c>
      <c r="I10" s="123">
        <v>50</v>
      </c>
      <c r="J10" s="156"/>
      <c r="K10" s="121">
        <f t="shared" si="13"/>
        <v>0</v>
      </c>
      <c r="L10" s="159">
        <v>10752</v>
      </c>
      <c r="M10" s="121">
        <f t="shared" si="14"/>
        <v>448896</v>
      </c>
      <c r="N10" s="122"/>
      <c r="O10" s="121">
        <f t="shared" si="15"/>
        <v>0</v>
      </c>
      <c r="P10" s="122"/>
      <c r="Q10" s="121">
        <f t="shared" si="16"/>
        <v>0</v>
      </c>
      <c r="R10" s="73">
        <f t="shared" si="17"/>
        <v>448896</v>
      </c>
      <c r="S10" s="108"/>
      <c r="T10" s="74"/>
    </row>
    <row r="11" spans="1:20" s="132" customFormat="1" ht="38.1" customHeight="1">
      <c r="A11" s="69" t="str">
        <f t="shared" si="18"/>
        <v>E00000803061300201</v>
      </c>
      <c r="B11" s="94"/>
      <c r="C11" s="70" t="s">
        <v>127</v>
      </c>
      <c r="D11" s="70"/>
      <c r="E11" s="94"/>
      <c r="F11" s="124" t="s">
        <v>128</v>
      </c>
      <c r="G11" s="124" t="s">
        <v>129</v>
      </c>
      <c r="H11" s="109" t="s">
        <v>126</v>
      </c>
      <c r="I11" s="123">
        <v>50</v>
      </c>
      <c r="J11" s="156"/>
      <c r="K11" s="121">
        <f t="shared" si="13"/>
        <v>0</v>
      </c>
      <c r="L11" s="158">
        <v>6368</v>
      </c>
      <c r="M11" s="121">
        <f t="shared" si="14"/>
        <v>265864</v>
      </c>
      <c r="N11" s="122"/>
      <c r="O11" s="121">
        <f t="shared" si="15"/>
        <v>0</v>
      </c>
      <c r="P11" s="122"/>
      <c r="Q11" s="121">
        <f t="shared" si="16"/>
        <v>0</v>
      </c>
      <c r="R11" s="73">
        <f t="shared" si="17"/>
        <v>265864</v>
      </c>
      <c r="S11" s="108"/>
      <c r="T11" s="74"/>
    </row>
    <row r="12" spans="1:20" s="132" customFormat="1" ht="38.1" customHeight="1">
      <c r="A12" s="69" t="str">
        <f t="shared" si="18"/>
        <v>M020411810170101</v>
      </c>
      <c r="B12" s="94"/>
      <c r="C12" s="70"/>
      <c r="D12" s="141" t="s">
        <v>142</v>
      </c>
      <c r="E12" s="94"/>
      <c r="F12" s="142" t="s">
        <v>143</v>
      </c>
      <c r="G12" s="142" t="s">
        <v>144</v>
      </c>
      <c r="H12" s="117" t="s">
        <v>140</v>
      </c>
      <c r="I12" s="123">
        <v>0.2</v>
      </c>
      <c r="J12" s="157">
        <v>89800</v>
      </c>
      <c r="K12" s="121">
        <f t="shared" si="13"/>
        <v>14996.599999999999</v>
      </c>
      <c r="L12" s="156"/>
      <c r="M12" s="121"/>
      <c r="N12" s="122"/>
      <c r="O12" s="121">
        <f t="shared" si="15"/>
        <v>0</v>
      </c>
      <c r="P12" s="122"/>
      <c r="Q12" s="121">
        <f t="shared" si="16"/>
        <v>0</v>
      </c>
      <c r="R12" s="73">
        <f t="shared" si="17"/>
        <v>14996.599999999999</v>
      </c>
      <c r="S12" s="108"/>
      <c r="T12" s="74"/>
    </row>
    <row r="13" spans="1:20" s="132" customFormat="1" ht="38.1" customHeight="1">
      <c r="A13" s="69" t="str">
        <f t="shared" si="18"/>
        <v>E00000803061120802</v>
      </c>
      <c r="B13" s="94"/>
      <c r="C13" s="70" t="s">
        <v>130</v>
      </c>
      <c r="D13" s="70"/>
      <c r="E13" s="94"/>
      <c r="F13" s="124" t="s">
        <v>131</v>
      </c>
      <c r="G13" s="124" t="s">
        <v>132</v>
      </c>
      <c r="H13" s="109" t="s">
        <v>126</v>
      </c>
      <c r="I13" s="123">
        <v>14</v>
      </c>
      <c r="J13" s="133"/>
      <c r="K13" s="72">
        <f t="shared" si="13"/>
        <v>0</v>
      </c>
      <c r="L13" s="158">
        <v>2496</v>
      </c>
      <c r="M13" s="72">
        <f t="shared" si="14"/>
        <v>29178.239999999998</v>
      </c>
      <c r="N13" s="73"/>
      <c r="O13" s="72">
        <f t="shared" si="15"/>
        <v>0</v>
      </c>
      <c r="P13" s="73"/>
      <c r="Q13" s="72">
        <f t="shared" si="16"/>
        <v>0</v>
      </c>
      <c r="R13" s="73">
        <f t="shared" si="17"/>
        <v>29178.239999999998</v>
      </c>
      <c r="S13" s="108"/>
      <c r="T13" s="74"/>
    </row>
    <row r="14" spans="1:20" s="132" customFormat="1" ht="38.1" customHeight="1">
      <c r="A14" s="69" t="str">
        <f t="shared" si="18"/>
        <v>E00000803061300701</v>
      </c>
      <c r="B14" s="94"/>
      <c r="C14" s="70" t="s">
        <v>133</v>
      </c>
      <c r="D14" s="70"/>
      <c r="E14" s="94"/>
      <c r="F14" s="124" t="s">
        <v>134</v>
      </c>
      <c r="G14" s="124" t="s">
        <v>129</v>
      </c>
      <c r="H14" s="109" t="s">
        <v>126</v>
      </c>
      <c r="I14" s="123">
        <v>14</v>
      </c>
      <c r="J14" s="110"/>
      <c r="K14" s="72">
        <f t="shared" si="13"/>
        <v>0</v>
      </c>
      <c r="L14" s="158">
        <v>3871</v>
      </c>
      <c r="M14" s="72">
        <f t="shared" si="14"/>
        <v>45251.99</v>
      </c>
      <c r="N14" s="73"/>
      <c r="O14" s="72">
        <f t="shared" si="15"/>
        <v>0</v>
      </c>
      <c r="P14" s="73"/>
      <c r="Q14" s="72">
        <f t="shared" si="16"/>
        <v>0</v>
      </c>
      <c r="R14" s="73">
        <f t="shared" si="17"/>
        <v>45251.99</v>
      </c>
      <c r="S14" s="108"/>
      <c r="T14" s="74"/>
    </row>
    <row r="15" spans="1:20" s="132" customFormat="1" ht="38.1" customHeight="1">
      <c r="A15" s="69" t="str">
        <f t="shared" si="18"/>
        <v>E00000803061120802</v>
      </c>
      <c r="B15" s="94"/>
      <c r="C15" s="70" t="s">
        <v>130</v>
      </c>
      <c r="D15" s="70"/>
      <c r="E15" s="94"/>
      <c r="F15" s="124" t="s">
        <v>135</v>
      </c>
      <c r="G15" s="124" t="s">
        <v>132</v>
      </c>
      <c r="H15" s="109" t="s">
        <v>126</v>
      </c>
      <c r="I15" s="123">
        <v>1.85</v>
      </c>
      <c r="J15" s="133"/>
      <c r="K15" s="72">
        <f t="shared" si="13"/>
        <v>0</v>
      </c>
      <c r="L15" s="158">
        <v>2496</v>
      </c>
      <c r="M15" s="72">
        <f t="shared" si="14"/>
        <v>3855.6959999999999</v>
      </c>
      <c r="N15" s="73"/>
      <c r="O15" s="72">
        <f t="shared" si="15"/>
        <v>0</v>
      </c>
      <c r="P15" s="73"/>
      <c r="Q15" s="72">
        <f t="shared" si="16"/>
        <v>0</v>
      </c>
      <c r="R15" s="73">
        <f t="shared" si="17"/>
        <v>3855.6959999999999</v>
      </c>
      <c r="S15" s="108"/>
      <c r="T15" s="74"/>
    </row>
    <row r="16" spans="1:20" s="132" customFormat="1" ht="38.1" customHeight="1">
      <c r="A16" s="69" t="str">
        <f t="shared" si="18"/>
        <v>E00000803061300401</v>
      </c>
      <c r="B16" s="94"/>
      <c r="C16" s="70" t="s">
        <v>136</v>
      </c>
      <c r="D16" s="70"/>
      <c r="E16" s="94"/>
      <c r="F16" s="124" t="s">
        <v>137</v>
      </c>
      <c r="G16" s="124" t="s">
        <v>129</v>
      </c>
      <c r="H16" s="109" t="s">
        <v>126</v>
      </c>
      <c r="I16" s="123">
        <v>1.85</v>
      </c>
      <c r="J16" s="110"/>
      <c r="K16" s="72">
        <f t="shared" si="13"/>
        <v>0</v>
      </c>
      <c r="L16" s="158">
        <v>5851</v>
      </c>
      <c r="M16" s="72">
        <f t="shared" si="14"/>
        <v>9038.3322499999995</v>
      </c>
      <c r="N16" s="73"/>
      <c r="O16" s="72">
        <f t="shared" si="15"/>
        <v>0</v>
      </c>
      <c r="P16" s="73"/>
      <c r="Q16" s="72">
        <f t="shared" si="16"/>
        <v>0</v>
      </c>
      <c r="R16" s="73">
        <f t="shared" si="17"/>
        <v>9038.3322499999995</v>
      </c>
      <c r="S16" s="108"/>
      <c r="T16" s="74"/>
    </row>
    <row r="17" spans="1:20" s="132" customFormat="1" ht="38.1" customHeight="1">
      <c r="A17" s="69" t="str">
        <f t="shared" si="18"/>
        <v>E00000801011510701</v>
      </c>
      <c r="B17" s="94"/>
      <c r="C17" s="70" t="s">
        <v>158</v>
      </c>
      <c r="D17" s="70"/>
      <c r="E17" s="94"/>
      <c r="F17" s="160" t="s">
        <v>162</v>
      </c>
      <c r="G17" s="71" t="s">
        <v>157</v>
      </c>
      <c r="H17" s="161" t="s">
        <v>163</v>
      </c>
      <c r="I17" s="123">
        <v>97</v>
      </c>
      <c r="J17" s="133"/>
      <c r="K17" s="72">
        <f t="shared" ref="K17" si="19">SUM(J17:J17)*I17*$K$2</f>
        <v>0</v>
      </c>
      <c r="L17" s="158">
        <v>5131</v>
      </c>
      <c r="M17" s="72">
        <f t="shared" si="14"/>
        <v>415585.34499999997</v>
      </c>
      <c r="N17" s="73"/>
      <c r="O17" s="72">
        <f t="shared" si="15"/>
        <v>0</v>
      </c>
      <c r="P17" s="73"/>
      <c r="Q17" s="72">
        <f t="shared" si="16"/>
        <v>0</v>
      </c>
      <c r="R17" s="73">
        <f t="shared" si="17"/>
        <v>415585.34499999997</v>
      </c>
      <c r="S17" s="108"/>
      <c r="T17" s="74"/>
    </row>
    <row r="18" spans="1:20" s="139" customFormat="1" ht="38.1" customHeight="1">
      <c r="A18" s="134"/>
      <c r="B18" s="135"/>
      <c r="C18" s="135"/>
      <c r="D18" s="135"/>
      <c r="E18" s="135"/>
      <c r="F18" s="127"/>
      <c r="G18" s="127"/>
      <c r="H18" s="135"/>
      <c r="I18" s="135"/>
      <c r="J18" s="135"/>
      <c r="K18" s="136">
        <f>SUM(K5:K17)</f>
        <v>729303.58744999999</v>
      </c>
      <c r="L18" s="137"/>
      <c r="M18" s="136">
        <f>SUM(M5:M17)</f>
        <v>2690271.5650230004</v>
      </c>
      <c r="N18" s="137"/>
      <c r="O18" s="136">
        <f>SUM(O5:O17)</f>
        <v>0</v>
      </c>
      <c r="P18" s="137"/>
      <c r="Q18" s="136">
        <f>SUM(Q5:Q17)</f>
        <v>0</v>
      </c>
      <c r="R18" s="138">
        <f>SUM(R5:R17)</f>
        <v>3419575.1524729999</v>
      </c>
      <c r="S18" s="102"/>
      <c r="T18" s="135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5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O33"/>
  <sheetViews>
    <sheetView zoomScaleNormal="100" workbookViewId="0">
      <selection activeCell="F36" sqref="F36"/>
    </sheetView>
  </sheetViews>
  <sheetFormatPr defaultColWidth="9" defaultRowHeight="14.25"/>
  <cols>
    <col min="1" max="1" width="22.625" style="93" customWidth="1"/>
    <col min="2" max="2" width="27.625" style="93" customWidth="1"/>
    <col min="3" max="3" width="5.75" style="93" customWidth="1"/>
    <col min="4" max="4" width="6.75" style="93" bestFit="1" customWidth="1"/>
    <col min="5" max="8" width="20.625" style="93" customWidth="1"/>
    <col min="9" max="12" width="20.625" style="93" hidden="1" customWidth="1"/>
    <col min="13" max="14" width="20.625" style="93" customWidth="1"/>
    <col min="15" max="15" width="32.75" style="93" customWidth="1"/>
    <col min="16" max="16" width="5.25" style="75" customWidth="1"/>
    <col min="17" max="16384" width="9" style="75"/>
  </cols>
  <sheetData>
    <row r="1" spans="1:15" ht="27" customHeight="1">
      <c r="A1" s="204" t="s">
        <v>57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</row>
    <row r="2" spans="1:15" ht="15" customHeight="1">
      <c r="A2" s="205" t="s">
        <v>58</v>
      </c>
      <c r="B2" s="206" t="s">
        <v>59</v>
      </c>
      <c r="C2" s="207" t="s">
        <v>46</v>
      </c>
      <c r="D2" s="207" t="s">
        <v>60</v>
      </c>
      <c r="E2" s="209" t="s">
        <v>61</v>
      </c>
      <c r="F2" s="206"/>
      <c r="G2" s="206" t="s">
        <v>62</v>
      </c>
      <c r="H2" s="206"/>
      <c r="I2" s="210" t="s">
        <v>63</v>
      </c>
      <c r="J2" s="211"/>
      <c r="K2" s="210" t="s">
        <v>64</v>
      </c>
      <c r="L2" s="211"/>
      <c r="M2" s="209" t="s">
        <v>65</v>
      </c>
      <c r="N2" s="206"/>
      <c r="O2" s="212" t="s">
        <v>66</v>
      </c>
    </row>
    <row r="3" spans="1:15" ht="15" customHeight="1">
      <c r="A3" s="205"/>
      <c r="B3" s="206"/>
      <c r="C3" s="208"/>
      <c r="D3" s="208"/>
      <c r="E3" s="116" t="s">
        <v>67</v>
      </c>
      <c r="F3" s="116" t="s">
        <v>68</v>
      </c>
      <c r="G3" s="76" t="s">
        <v>67</v>
      </c>
      <c r="H3" s="116" t="s">
        <v>69</v>
      </c>
      <c r="I3" s="116"/>
      <c r="J3" s="116"/>
      <c r="K3" s="76" t="s">
        <v>67</v>
      </c>
      <c r="L3" s="116" t="s">
        <v>69</v>
      </c>
      <c r="M3" s="76" t="s">
        <v>67</v>
      </c>
      <c r="N3" s="116" t="s">
        <v>69</v>
      </c>
      <c r="O3" s="213"/>
    </row>
    <row r="4" spans="1:15" ht="15" customHeight="1">
      <c r="A4" s="202" t="s">
        <v>168</v>
      </c>
      <c r="B4" s="203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</row>
    <row r="5" spans="1:15" ht="15" customHeight="1">
      <c r="A5" s="195" t="s">
        <v>70</v>
      </c>
      <c r="B5" s="78" t="s">
        <v>71</v>
      </c>
      <c r="C5" s="79" t="s">
        <v>72</v>
      </c>
      <c r="D5" s="143">
        <v>38</v>
      </c>
      <c r="E5" s="162">
        <v>1057</v>
      </c>
      <c r="F5" s="80">
        <f t="shared" ref="F5:F11" si="0">D5*E5</f>
        <v>40166</v>
      </c>
      <c r="G5" s="162">
        <v>9266</v>
      </c>
      <c r="H5" s="80">
        <f t="shared" ref="H5:H11" si="1">D5*G5</f>
        <v>352108</v>
      </c>
      <c r="I5" s="80"/>
      <c r="J5" s="80"/>
      <c r="K5" s="80"/>
      <c r="L5" s="80"/>
      <c r="M5" s="80"/>
      <c r="N5" s="80">
        <f>F5+H5+J5+L5</f>
        <v>392274</v>
      </c>
      <c r="O5" s="197" t="s">
        <v>148</v>
      </c>
    </row>
    <row r="6" spans="1:15" ht="15" customHeight="1">
      <c r="A6" s="196"/>
      <c r="B6" s="171" t="s">
        <v>73</v>
      </c>
      <c r="C6" s="172" t="s">
        <v>72</v>
      </c>
      <c r="D6" s="173"/>
      <c r="E6" s="174"/>
      <c r="F6" s="175"/>
      <c r="G6" s="174"/>
      <c r="H6" s="175"/>
      <c r="I6" s="175"/>
      <c r="J6" s="175"/>
      <c r="K6" s="175"/>
      <c r="L6" s="175"/>
      <c r="M6" s="175"/>
      <c r="N6" s="175"/>
      <c r="O6" s="198"/>
    </row>
    <row r="7" spans="1:15" ht="15" customHeight="1">
      <c r="A7" s="196"/>
      <c r="B7" s="78" t="s">
        <v>74</v>
      </c>
      <c r="C7" s="79" t="s">
        <v>72</v>
      </c>
      <c r="D7" s="143">
        <v>32</v>
      </c>
      <c r="E7" s="162">
        <v>1057</v>
      </c>
      <c r="F7" s="80">
        <f t="shared" si="0"/>
        <v>33824</v>
      </c>
      <c r="G7" s="162">
        <v>9266</v>
      </c>
      <c r="H7" s="80">
        <f t="shared" si="1"/>
        <v>296512</v>
      </c>
      <c r="I7" s="80"/>
      <c r="J7" s="80"/>
      <c r="K7" s="80"/>
      <c r="L7" s="80"/>
      <c r="M7" s="80"/>
      <c r="N7" s="80">
        <f t="shared" ref="N7:N11" si="2">F7+H7+J7+L7</f>
        <v>330336</v>
      </c>
      <c r="O7" s="198"/>
    </row>
    <row r="8" spans="1:15" ht="15" customHeight="1">
      <c r="A8" s="196"/>
      <c r="B8" s="171" t="s">
        <v>75</v>
      </c>
      <c r="C8" s="172" t="s">
        <v>72</v>
      </c>
      <c r="D8" s="173"/>
      <c r="E8" s="174"/>
      <c r="F8" s="175"/>
      <c r="G8" s="174"/>
      <c r="H8" s="175"/>
      <c r="I8" s="175"/>
      <c r="J8" s="175"/>
      <c r="K8" s="175"/>
      <c r="L8" s="175"/>
      <c r="M8" s="175"/>
      <c r="N8" s="175"/>
      <c r="O8" s="198"/>
    </row>
    <row r="9" spans="1:15" ht="15" customHeight="1">
      <c r="A9" s="196"/>
      <c r="B9" s="78" t="s">
        <v>76</v>
      </c>
      <c r="C9" s="79" t="s">
        <v>72</v>
      </c>
      <c r="D9" s="143">
        <v>25</v>
      </c>
      <c r="E9" s="162">
        <v>1057</v>
      </c>
      <c r="F9" s="80">
        <f t="shared" si="0"/>
        <v>26425</v>
      </c>
      <c r="G9" s="162">
        <v>9266</v>
      </c>
      <c r="H9" s="80">
        <f t="shared" si="1"/>
        <v>231650</v>
      </c>
      <c r="I9" s="80"/>
      <c r="J9" s="80"/>
      <c r="K9" s="80"/>
      <c r="L9" s="80"/>
      <c r="M9" s="80"/>
      <c r="N9" s="80">
        <f t="shared" si="2"/>
        <v>258075</v>
      </c>
      <c r="O9" s="198"/>
    </row>
    <row r="10" spans="1:15" ht="15" customHeight="1">
      <c r="A10" s="196"/>
      <c r="B10" s="171" t="s">
        <v>77</v>
      </c>
      <c r="C10" s="172" t="s">
        <v>72</v>
      </c>
      <c r="D10" s="173"/>
      <c r="E10" s="174"/>
      <c r="F10" s="175"/>
      <c r="G10" s="174"/>
      <c r="H10" s="175"/>
      <c r="I10" s="175"/>
      <c r="J10" s="175"/>
      <c r="K10" s="175"/>
      <c r="L10" s="175"/>
      <c r="M10" s="175"/>
      <c r="N10" s="175"/>
      <c r="O10" s="198"/>
    </row>
    <row r="11" spans="1:15" ht="15" customHeight="1">
      <c r="A11" s="196"/>
      <c r="B11" s="78" t="s">
        <v>78</v>
      </c>
      <c r="C11" s="79" t="s">
        <v>72</v>
      </c>
      <c r="D11" s="143">
        <v>25</v>
      </c>
      <c r="E11" s="162">
        <v>1057</v>
      </c>
      <c r="F11" s="80">
        <f t="shared" si="0"/>
        <v>26425</v>
      </c>
      <c r="G11" s="162">
        <v>9266</v>
      </c>
      <c r="H11" s="80">
        <f t="shared" si="1"/>
        <v>231650</v>
      </c>
      <c r="I11" s="80"/>
      <c r="J11" s="80"/>
      <c r="K11" s="80"/>
      <c r="L11" s="80"/>
      <c r="M11" s="80"/>
      <c r="N11" s="80">
        <f t="shared" si="2"/>
        <v>258075</v>
      </c>
      <c r="O11" s="198"/>
    </row>
    <row r="12" spans="1:15" ht="15" customHeight="1">
      <c r="A12" s="196"/>
      <c r="B12" s="171" t="s">
        <v>79</v>
      </c>
      <c r="C12" s="172" t="s">
        <v>72</v>
      </c>
      <c r="D12" s="173"/>
      <c r="E12" s="174"/>
      <c r="F12" s="175"/>
      <c r="G12" s="174"/>
      <c r="H12" s="175"/>
      <c r="I12" s="175"/>
      <c r="J12" s="175"/>
      <c r="K12" s="175"/>
      <c r="L12" s="175"/>
      <c r="M12" s="175"/>
      <c r="N12" s="175"/>
      <c r="O12" s="198"/>
    </row>
    <row r="13" spans="1:15" ht="15" customHeight="1">
      <c r="A13" s="103" t="s">
        <v>80</v>
      </c>
      <c r="B13" s="104"/>
      <c r="C13" s="105"/>
      <c r="D13" s="145">
        <f>SUM(D5:D12)</f>
        <v>120</v>
      </c>
      <c r="E13" s="106"/>
      <c r="F13" s="106">
        <f>SUM(F5:F12)</f>
        <v>126840</v>
      </c>
      <c r="G13" s="106"/>
      <c r="H13" s="106">
        <f>SUM(H5:H12)</f>
        <v>1111920</v>
      </c>
      <c r="I13" s="106"/>
      <c r="J13" s="106">
        <f>SUM(J5:J12)</f>
        <v>0</v>
      </c>
      <c r="K13" s="106"/>
      <c r="L13" s="106">
        <f>SUM(L5:L12)</f>
        <v>0</v>
      </c>
      <c r="M13" s="106"/>
      <c r="N13" s="106">
        <f>SUM(N5:N12)</f>
        <v>1238760</v>
      </c>
      <c r="O13" s="106"/>
    </row>
    <row r="14" spans="1:15" ht="15" customHeight="1">
      <c r="A14" s="199" t="s">
        <v>149</v>
      </c>
      <c r="B14" s="78" t="s">
        <v>81</v>
      </c>
      <c r="C14" s="79" t="s">
        <v>72</v>
      </c>
      <c r="D14" s="144">
        <v>26.1</v>
      </c>
      <c r="E14" s="162">
        <v>10855</v>
      </c>
      <c r="F14" s="111">
        <f>D14*E14</f>
        <v>283315.5</v>
      </c>
      <c r="G14" s="162">
        <v>6987</v>
      </c>
      <c r="H14" s="111">
        <f>D14*G14</f>
        <v>182360.7</v>
      </c>
      <c r="I14" s="111"/>
      <c r="J14" s="111"/>
      <c r="K14" s="80"/>
      <c r="L14" s="111"/>
      <c r="M14" s="80"/>
      <c r="N14" s="111">
        <f t="shared" ref="N14:N17" si="3">F14+H14+J14+L14</f>
        <v>465676.2</v>
      </c>
      <c r="O14" s="198"/>
    </row>
    <row r="15" spans="1:15" ht="15" customHeight="1">
      <c r="A15" s="199"/>
      <c r="B15" s="78" t="s">
        <v>82</v>
      </c>
      <c r="C15" s="79" t="s">
        <v>72</v>
      </c>
      <c r="D15" s="146">
        <v>10.9</v>
      </c>
      <c r="E15" s="162">
        <v>10855</v>
      </c>
      <c r="F15" s="111">
        <f>D15*E15</f>
        <v>118319.5</v>
      </c>
      <c r="G15" s="162">
        <v>6987</v>
      </c>
      <c r="H15" s="111">
        <f>D15*G15</f>
        <v>76158.3</v>
      </c>
      <c r="I15" s="111"/>
      <c r="J15" s="111"/>
      <c r="K15" s="80"/>
      <c r="L15" s="111"/>
      <c r="M15" s="80"/>
      <c r="N15" s="111">
        <f t="shared" si="3"/>
        <v>194477.8</v>
      </c>
      <c r="O15" s="198"/>
    </row>
    <row r="16" spans="1:15" ht="15" customHeight="1">
      <c r="A16" s="199"/>
      <c r="B16" s="78" t="s">
        <v>83</v>
      </c>
      <c r="C16" s="79" t="s">
        <v>72</v>
      </c>
      <c r="D16" s="146">
        <v>8.4</v>
      </c>
      <c r="E16" s="162">
        <v>10855</v>
      </c>
      <c r="F16" s="111">
        <f>D16*E16</f>
        <v>91182</v>
      </c>
      <c r="G16" s="162">
        <v>6987</v>
      </c>
      <c r="H16" s="111">
        <f>D16*G16</f>
        <v>58690.8</v>
      </c>
      <c r="I16" s="111"/>
      <c r="J16" s="111"/>
      <c r="K16" s="80"/>
      <c r="L16" s="111"/>
      <c r="M16" s="80"/>
      <c r="N16" s="111">
        <f t="shared" si="3"/>
        <v>149872.79999999999</v>
      </c>
      <c r="O16" s="198"/>
    </row>
    <row r="17" spans="1:15" ht="15" customHeight="1">
      <c r="A17" s="200"/>
      <c r="B17" s="78" t="s">
        <v>84</v>
      </c>
      <c r="C17" s="79" t="s">
        <v>72</v>
      </c>
      <c r="D17" s="146">
        <v>6.1</v>
      </c>
      <c r="E17" s="162">
        <v>10855</v>
      </c>
      <c r="F17" s="111">
        <f>D17*E17</f>
        <v>66215.5</v>
      </c>
      <c r="G17" s="162">
        <v>6987</v>
      </c>
      <c r="H17" s="111">
        <f>D17*G17</f>
        <v>42620.7</v>
      </c>
      <c r="I17" s="111"/>
      <c r="J17" s="111"/>
      <c r="K17" s="80"/>
      <c r="L17" s="111"/>
      <c r="M17" s="80"/>
      <c r="N17" s="111">
        <f t="shared" si="3"/>
        <v>108836.2</v>
      </c>
      <c r="O17" s="201"/>
    </row>
    <row r="18" spans="1:15" ht="15" customHeight="1">
      <c r="A18" s="95" t="s">
        <v>80</v>
      </c>
      <c r="B18" s="81"/>
      <c r="C18" s="84"/>
      <c r="D18" s="145">
        <f>SUM(D14:D17)</f>
        <v>51.5</v>
      </c>
      <c r="E18" s="83"/>
      <c r="F18" s="83">
        <f>SUM(F14:F17)</f>
        <v>559032.5</v>
      </c>
      <c r="G18" s="83"/>
      <c r="H18" s="83">
        <f>SUM(H14:H17)</f>
        <v>359830.5</v>
      </c>
      <c r="I18" s="83"/>
      <c r="J18" s="83">
        <f>SUM(J14:J17)</f>
        <v>0</v>
      </c>
      <c r="K18" s="83"/>
      <c r="L18" s="83">
        <f>SUM(L14:L17)</f>
        <v>0</v>
      </c>
      <c r="M18" s="83"/>
      <c r="N18" s="83">
        <f>SUM(N14:N17)</f>
        <v>918863</v>
      </c>
      <c r="O18" s="83"/>
    </row>
    <row r="19" spans="1:15" ht="15" customHeight="1">
      <c r="A19" s="100" t="s">
        <v>85</v>
      </c>
      <c r="B19" s="85"/>
      <c r="C19" s="86"/>
      <c r="D19" s="147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</row>
    <row r="20" spans="1:15" ht="15" customHeight="1">
      <c r="A20" s="112" t="s">
        <v>145</v>
      </c>
      <c r="B20" s="118" t="s">
        <v>141</v>
      </c>
      <c r="C20" s="118" t="s">
        <v>140</v>
      </c>
      <c r="D20" s="147">
        <v>0.5</v>
      </c>
      <c r="E20" s="162">
        <v>54693</v>
      </c>
      <c r="F20" s="111">
        <f>D20*E20</f>
        <v>27346.5</v>
      </c>
      <c r="G20" s="80"/>
      <c r="H20" s="80"/>
      <c r="I20" s="80"/>
      <c r="J20" s="80"/>
      <c r="K20" s="80"/>
      <c r="L20" s="80"/>
      <c r="M20" s="80"/>
      <c r="N20" s="113">
        <f t="shared" ref="N20:N29" si="4">F20+H20+J20+L20</f>
        <v>27346.5</v>
      </c>
      <c r="O20" s="80"/>
    </row>
    <row r="21" spans="1:15" ht="15" customHeight="1">
      <c r="A21" s="194" t="s">
        <v>86</v>
      </c>
      <c r="B21" s="85" t="s">
        <v>87</v>
      </c>
      <c r="C21" s="86" t="s">
        <v>72</v>
      </c>
      <c r="D21" s="147">
        <v>25</v>
      </c>
      <c r="E21" s="113"/>
      <c r="F21" s="113">
        <f>D21*E21</f>
        <v>0</v>
      </c>
      <c r="G21" s="163">
        <v>8978</v>
      </c>
      <c r="H21" s="113">
        <f t="shared" ref="H21:H27" si="5">D21*G21</f>
        <v>224450</v>
      </c>
      <c r="I21" s="113"/>
      <c r="J21" s="113"/>
      <c r="K21" s="113"/>
      <c r="L21" s="113"/>
      <c r="M21" s="113"/>
      <c r="N21" s="113">
        <f t="shared" si="4"/>
        <v>224450</v>
      </c>
      <c r="O21" s="80"/>
    </row>
    <row r="22" spans="1:15" ht="15" customHeight="1">
      <c r="A22" s="194"/>
      <c r="B22" s="85" t="s">
        <v>88</v>
      </c>
      <c r="C22" s="86" t="s">
        <v>72</v>
      </c>
      <c r="D22" s="147">
        <v>25</v>
      </c>
      <c r="E22" s="113"/>
      <c r="F22" s="113">
        <f t="shared" ref="F22:F29" si="6">D22*E22</f>
        <v>0</v>
      </c>
      <c r="G22" s="163">
        <v>5317</v>
      </c>
      <c r="H22" s="113">
        <f t="shared" si="5"/>
        <v>132925</v>
      </c>
      <c r="I22" s="113"/>
      <c r="J22" s="113"/>
      <c r="K22" s="113"/>
      <c r="L22" s="113"/>
      <c r="M22" s="113"/>
      <c r="N22" s="113">
        <f t="shared" si="4"/>
        <v>132925</v>
      </c>
      <c r="O22" s="80"/>
    </row>
    <row r="23" spans="1:15" ht="15" customHeight="1">
      <c r="A23" s="194" t="s">
        <v>89</v>
      </c>
      <c r="B23" s="85" t="s">
        <v>87</v>
      </c>
      <c r="C23" s="86" t="s">
        <v>72</v>
      </c>
      <c r="D23" s="147">
        <v>25</v>
      </c>
      <c r="E23" s="113"/>
      <c r="F23" s="113">
        <f>D23*E23</f>
        <v>0</v>
      </c>
      <c r="G23" s="163">
        <v>8978</v>
      </c>
      <c r="H23" s="113">
        <f t="shared" si="5"/>
        <v>224450</v>
      </c>
      <c r="I23" s="113"/>
      <c r="J23" s="113"/>
      <c r="K23" s="113"/>
      <c r="L23" s="113"/>
      <c r="M23" s="113"/>
      <c r="N23" s="113">
        <f t="shared" si="4"/>
        <v>224450</v>
      </c>
      <c r="O23" s="80"/>
    </row>
    <row r="24" spans="1:15" ht="15" customHeight="1">
      <c r="A24" s="194"/>
      <c r="B24" s="85" t="s">
        <v>88</v>
      </c>
      <c r="C24" s="86" t="s">
        <v>72</v>
      </c>
      <c r="D24" s="147">
        <v>25</v>
      </c>
      <c r="E24" s="113"/>
      <c r="F24" s="113">
        <f t="shared" ref="F24:F27" si="7">D24*E24</f>
        <v>0</v>
      </c>
      <c r="G24" s="163">
        <v>5317</v>
      </c>
      <c r="H24" s="113">
        <f t="shared" si="5"/>
        <v>132925</v>
      </c>
      <c r="I24" s="113"/>
      <c r="J24" s="113"/>
      <c r="K24" s="113"/>
      <c r="L24" s="113"/>
      <c r="M24" s="113"/>
      <c r="N24" s="113">
        <f t="shared" si="4"/>
        <v>132925</v>
      </c>
      <c r="O24" s="80"/>
    </row>
    <row r="25" spans="1:15" ht="15" customHeight="1">
      <c r="A25" s="119" t="s">
        <v>143</v>
      </c>
      <c r="B25" s="118" t="s">
        <v>144</v>
      </c>
      <c r="C25" s="118" t="s">
        <v>140</v>
      </c>
      <c r="D25" s="147">
        <v>0.2</v>
      </c>
      <c r="E25" s="162">
        <v>74983</v>
      </c>
      <c r="F25" s="113">
        <f t="shared" si="7"/>
        <v>14996.6</v>
      </c>
      <c r="G25" s="80"/>
      <c r="H25" s="80"/>
      <c r="I25" s="80"/>
      <c r="J25" s="80"/>
      <c r="K25" s="80"/>
      <c r="L25" s="80"/>
      <c r="M25" s="80"/>
      <c r="N25" s="113">
        <f t="shared" si="4"/>
        <v>14996.6</v>
      </c>
      <c r="O25" s="80"/>
    </row>
    <row r="26" spans="1:15" ht="15" customHeight="1">
      <c r="A26" s="194" t="s">
        <v>90</v>
      </c>
      <c r="B26" s="85" t="s">
        <v>91</v>
      </c>
      <c r="C26" s="86" t="s">
        <v>72</v>
      </c>
      <c r="D26" s="147">
        <v>14</v>
      </c>
      <c r="E26" s="80"/>
      <c r="F26" s="80">
        <f t="shared" si="6"/>
        <v>0</v>
      </c>
      <c r="G26" s="162">
        <v>2084</v>
      </c>
      <c r="H26" s="80">
        <f t="shared" si="5"/>
        <v>29176</v>
      </c>
      <c r="I26" s="80"/>
      <c r="J26" s="80"/>
      <c r="K26" s="80"/>
      <c r="L26" s="111"/>
      <c r="M26" s="80"/>
      <c r="N26" s="111">
        <f t="shared" si="4"/>
        <v>29176</v>
      </c>
      <c r="O26" s="80"/>
    </row>
    <row r="27" spans="1:15" ht="15" customHeight="1">
      <c r="A27" s="194"/>
      <c r="B27" s="85" t="s">
        <v>92</v>
      </c>
      <c r="C27" s="86" t="s">
        <v>72</v>
      </c>
      <c r="D27" s="147">
        <v>14</v>
      </c>
      <c r="E27" s="80"/>
      <c r="F27" s="80">
        <f t="shared" si="7"/>
        <v>0</v>
      </c>
      <c r="G27" s="162">
        <v>3232</v>
      </c>
      <c r="H27" s="80">
        <f t="shared" si="5"/>
        <v>45248</v>
      </c>
      <c r="I27" s="80"/>
      <c r="J27" s="80"/>
      <c r="K27" s="80"/>
      <c r="L27" s="111"/>
      <c r="M27" s="80"/>
      <c r="N27" s="111">
        <f t="shared" si="4"/>
        <v>45248</v>
      </c>
      <c r="O27" s="80"/>
    </row>
    <row r="28" spans="1:15" ht="15" customHeight="1">
      <c r="A28" s="194" t="s">
        <v>93</v>
      </c>
      <c r="B28" s="85" t="s">
        <v>91</v>
      </c>
      <c r="C28" s="86" t="s">
        <v>72</v>
      </c>
      <c r="D28" s="147">
        <v>2</v>
      </c>
      <c r="E28" s="80"/>
      <c r="F28" s="80">
        <f t="shared" si="6"/>
        <v>0</v>
      </c>
      <c r="G28" s="162">
        <v>2084</v>
      </c>
      <c r="H28" s="80">
        <f>D28*G28</f>
        <v>4168</v>
      </c>
      <c r="I28" s="80"/>
      <c r="J28" s="80"/>
      <c r="K28" s="80"/>
      <c r="L28" s="111"/>
      <c r="M28" s="80"/>
      <c r="N28" s="111">
        <f t="shared" si="4"/>
        <v>4168</v>
      </c>
      <c r="O28" s="80"/>
    </row>
    <row r="29" spans="1:15" ht="15" customHeight="1">
      <c r="A29" s="194"/>
      <c r="B29" s="85" t="s">
        <v>94</v>
      </c>
      <c r="C29" s="86" t="s">
        <v>72</v>
      </c>
      <c r="D29" s="147">
        <v>2</v>
      </c>
      <c r="E29" s="80"/>
      <c r="F29" s="80">
        <f t="shared" si="6"/>
        <v>0</v>
      </c>
      <c r="G29" s="162">
        <v>4886</v>
      </c>
      <c r="H29" s="80">
        <f t="shared" ref="H29" si="8">D29*G29</f>
        <v>9772</v>
      </c>
      <c r="I29" s="80"/>
      <c r="J29" s="80"/>
      <c r="K29" s="80"/>
      <c r="L29" s="111"/>
      <c r="M29" s="80"/>
      <c r="N29" s="111">
        <f t="shared" si="4"/>
        <v>9772</v>
      </c>
      <c r="O29" s="80"/>
    </row>
    <row r="30" spans="1:15" ht="15" customHeight="1">
      <c r="A30" s="95" t="s">
        <v>80</v>
      </c>
      <c r="B30" s="87"/>
      <c r="C30" s="88"/>
      <c r="D30" s="148"/>
      <c r="E30" s="83"/>
      <c r="F30" s="83">
        <f>SUM(F19:F29)</f>
        <v>42343.1</v>
      </c>
      <c r="G30" s="83"/>
      <c r="H30" s="83">
        <f>SUM(H19:H29)</f>
        <v>803114</v>
      </c>
      <c r="I30" s="83"/>
      <c r="J30" s="83">
        <f>SUM(J19:J29)</f>
        <v>0</v>
      </c>
      <c r="K30" s="83"/>
      <c r="L30" s="83">
        <f>SUM(L19:L29)</f>
        <v>0</v>
      </c>
      <c r="M30" s="83"/>
      <c r="N30" s="83">
        <f>SUM(N19:N29)</f>
        <v>845457.1</v>
      </c>
      <c r="O30" s="83"/>
    </row>
    <row r="31" spans="1:15" ht="15" customHeight="1">
      <c r="A31" s="101" t="s">
        <v>95</v>
      </c>
      <c r="B31" s="78" t="s">
        <v>96</v>
      </c>
      <c r="C31" s="79" t="s">
        <v>72</v>
      </c>
      <c r="D31" s="149">
        <v>97</v>
      </c>
      <c r="E31" s="111"/>
      <c r="F31" s="111"/>
      <c r="G31" s="162">
        <v>4284</v>
      </c>
      <c r="H31" s="111">
        <f>D31*G31</f>
        <v>415548</v>
      </c>
      <c r="I31" s="111"/>
      <c r="J31" s="111"/>
      <c r="K31" s="111"/>
      <c r="L31" s="111"/>
      <c r="M31" s="111"/>
      <c r="N31" s="111">
        <f>F31+H31+J31+L31</f>
        <v>415548</v>
      </c>
      <c r="O31" s="89" t="s">
        <v>97</v>
      </c>
    </row>
    <row r="32" spans="1:15" ht="15" customHeight="1">
      <c r="A32" s="96" t="s">
        <v>80</v>
      </c>
      <c r="B32" s="81"/>
      <c r="C32" s="82"/>
      <c r="D32" s="150"/>
      <c r="E32" s="90"/>
      <c r="F32" s="90"/>
      <c r="G32" s="90"/>
      <c r="H32" s="83">
        <f>SUM(H31:H31)</f>
        <v>415548</v>
      </c>
      <c r="I32" s="90"/>
      <c r="J32" s="83">
        <f t="shared" ref="J32:N32" si="9">SUM(J31:J31)</f>
        <v>0</v>
      </c>
      <c r="K32" s="83"/>
      <c r="L32" s="83">
        <f t="shared" si="9"/>
        <v>0</v>
      </c>
      <c r="M32" s="83"/>
      <c r="N32" s="83">
        <f t="shared" si="9"/>
        <v>415548</v>
      </c>
      <c r="O32" s="90"/>
    </row>
    <row r="33" spans="1:15" ht="15" customHeight="1">
      <c r="A33" s="95" t="s">
        <v>139</v>
      </c>
      <c r="B33" s="81"/>
      <c r="C33" s="82"/>
      <c r="D33" s="150"/>
      <c r="E33" s="91"/>
      <c r="F33" s="92">
        <f>F13+F18+F30+F32</f>
        <v>728215.6</v>
      </c>
      <c r="G33" s="92"/>
      <c r="H33" s="92">
        <f>H13+H18+H30+H32</f>
        <v>2690412.5</v>
      </c>
      <c r="I33" s="91"/>
      <c r="J33" s="92">
        <f>J13+J18+J30+J32</f>
        <v>0</v>
      </c>
      <c r="K33" s="91"/>
      <c r="L33" s="92">
        <f>L13+L18+L30+L32</f>
        <v>0</v>
      </c>
      <c r="M33" s="91"/>
      <c r="N33" s="92">
        <f>N13+N18+N30+N32</f>
        <v>3418628.1</v>
      </c>
      <c r="O33" s="91"/>
    </row>
  </sheetData>
  <mergeCells count="20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A26:A27"/>
    <mergeCell ref="A28:A29"/>
    <mergeCell ref="A5:A12"/>
    <mergeCell ref="O5:O12"/>
    <mergeCell ref="A14:A17"/>
    <mergeCell ref="O14:O17"/>
    <mergeCell ref="A21:A22"/>
    <mergeCell ref="A23:A24"/>
  </mergeCells>
  <phoneticPr fontId="5" type="noConversion"/>
  <pageMargins left="0.7" right="0.7" top="0.75" bottom="0.75" header="0.3" footer="0.3"/>
  <pageSetup paperSize="9" scale="47" orientation="landscape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4"/>
  <sheetViews>
    <sheetView showGridLines="0" zoomScale="120" zoomScaleNormal="120" workbookViewId="0">
      <selection activeCell="K23" sqref="K23"/>
    </sheetView>
  </sheetViews>
  <sheetFormatPr defaultColWidth="9" defaultRowHeight="14.25"/>
  <cols>
    <col min="1" max="1" width="25.125" style="61" customWidth="1"/>
    <col min="2" max="2" width="16.25" style="61" customWidth="1"/>
    <col min="3" max="3" width="22.375" style="61" customWidth="1"/>
    <col min="4" max="4" width="24.125" style="61" customWidth="1"/>
    <col min="5" max="5" width="13" style="61" customWidth="1"/>
    <col min="6" max="6" width="9" style="61" customWidth="1"/>
    <col min="7" max="16384" width="9" style="75"/>
  </cols>
  <sheetData>
    <row r="1" spans="1:6" ht="18" customHeight="1">
      <c r="A1" s="97" t="s">
        <v>0</v>
      </c>
      <c r="B1" s="97" t="s">
        <v>1</v>
      </c>
      <c r="C1" s="97" t="s">
        <v>2</v>
      </c>
      <c r="D1" s="97" t="s">
        <v>3</v>
      </c>
      <c r="E1" s="97" t="s">
        <v>4</v>
      </c>
      <c r="F1" s="97" t="s">
        <v>5</v>
      </c>
    </row>
    <row r="2" spans="1:6">
      <c r="A2" s="98" t="str">
        <f>'내역서(표준단가)'!A5</f>
        <v>M020853710050101</v>
      </c>
      <c r="B2" s="99">
        <f>'내역서(표준단가)'!B5</f>
        <v>0</v>
      </c>
      <c r="C2" s="99">
        <f>'내역서(표준단가)'!C5</f>
        <v>0</v>
      </c>
      <c r="D2" s="99" t="str">
        <f>'내역서(표준단가)'!D5</f>
        <v>M020853710050101</v>
      </c>
      <c r="E2" s="99">
        <f>'내역서(표준단가)'!E5</f>
        <v>0</v>
      </c>
      <c r="F2" s="107">
        <f>'내역서(표준단가)'!I5</f>
        <v>7.2683</v>
      </c>
    </row>
    <row r="3" spans="1:6">
      <c r="A3" s="98" t="str">
        <f>'내역서(표준단가)'!A6</f>
        <v>E00000803071260301</v>
      </c>
      <c r="B3" s="99">
        <f>'내역서(표준단가)'!B6</f>
        <v>0</v>
      </c>
      <c r="C3" s="99" t="str">
        <f>'내역서(표준단가)'!C6</f>
        <v>E00000803071260301</v>
      </c>
      <c r="D3" s="99">
        <f>'내역서(표준단가)'!D6</f>
        <v>0</v>
      </c>
      <c r="E3" s="99">
        <f>'내역서(표준단가)'!E6</f>
        <v>0</v>
      </c>
      <c r="F3" s="107">
        <f>'내역서(표준단가)'!I6</f>
        <v>2.609</v>
      </c>
    </row>
    <row r="4" spans="1:6">
      <c r="A4" s="98" t="str">
        <f>'내역서(표준단가)'!A7</f>
        <v>M020809012520101</v>
      </c>
      <c r="B4" s="99">
        <f>'내역서(표준단가)'!B7</f>
        <v>0</v>
      </c>
      <c r="C4" s="99">
        <f>'내역서(표준단가)'!C7</f>
        <v>0</v>
      </c>
      <c r="D4" s="99" t="str">
        <f>'내역서(표준단가)'!D7</f>
        <v>M020809012520101</v>
      </c>
      <c r="E4" s="99">
        <f>'내역서(표준단가)'!E7</f>
        <v>0</v>
      </c>
      <c r="F4" s="107">
        <f>'내역서(표준단가)'!I7</f>
        <v>51.6</v>
      </c>
    </row>
    <row r="5" spans="1:6">
      <c r="A5" s="98" t="str">
        <f>'내역서(표준단가)'!A8</f>
        <v>E00000803071260401</v>
      </c>
      <c r="B5" s="99">
        <f>'내역서(표준단가)'!B8</f>
        <v>0</v>
      </c>
      <c r="C5" s="99" t="str">
        <f>'내역서(표준단가)'!C8</f>
        <v>E00000803071260401</v>
      </c>
      <c r="D5" s="99">
        <f>'내역서(표준단가)'!D8</f>
        <v>0</v>
      </c>
      <c r="E5" s="99">
        <f>'내역서(표준단가)'!E8</f>
        <v>0</v>
      </c>
      <c r="F5" s="107">
        <f>'내역서(표준단가)'!I8</f>
        <v>0.84589999999999999</v>
      </c>
    </row>
    <row r="6" spans="1:6">
      <c r="A6" s="98" t="str">
        <f>'내역서(표준단가)'!A9</f>
        <v>M020412614110102</v>
      </c>
      <c r="B6" s="99">
        <f>'내역서(표준단가)'!B9</f>
        <v>0</v>
      </c>
      <c r="C6" s="99">
        <f>'내역서(표준단가)'!C9</f>
        <v>0</v>
      </c>
      <c r="D6" s="99" t="str">
        <f>'내역서(표준단가)'!D9</f>
        <v>M020412614110102</v>
      </c>
      <c r="E6" s="99">
        <f>'내역서(표준단가)'!E9</f>
        <v>0</v>
      </c>
      <c r="F6" s="107">
        <f>'내역서(표준단가)'!I9</f>
        <v>0.5</v>
      </c>
    </row>
    <row r="7" spans="1:6">
      <c r="A7" s="98" t="str">
        <f>'내역서(표준단가)'!A10</f>
        <v>E00000803061120402</v>
      </c>
      <c r="B7" s="99">
        <f>'내역서(표준단가)'!B10</f>
        <v>0</v>
      </c>
      <c r="C7" s="99" t="str">
        <f>'내역서(표준단가)'!C10</f>
        <v>E00000803061120402</v>
      </c>
      <c r="D7" s="99">
        <f>'내역서(표준단가)'!D10</f>
        <v>0</v>
      </c>
      <c r="E7" s="99">
        <f>'내역서(표준단가)'!E10</f>
        <v>0</v>
      </c>
      <c r="F7" s="107">
        <f>'내역서(표준단가)'!I10</f>
        <v>50</v>
      </c>
    </row>
    <row r="8" spans="1:6">
      <c r="A8" s="98" t="str">
        <f>'내역서(표준단가)'!A11</f>
        <v>E00000803061300201</v>
      </c>
      <c r="B8" s="99">
        <f>'내역서(표준단가)'!B11</f>
        <v>0</v>
      </c>
      <c r="C8" s="99" t="str">
        <f>'내역서(표준단가)'!C11</f>
        <v>E00000803061300201</v>
      </c>
      <c r="D8" s="99">
        <f>'내역서(표준단가)'!D11</f>
        <v>0</v>
      </c>
      <c r="E8" s="99">
        <f>'내역서(표준단가)'!E11</f>
        <v>0</v>
      </c>
      <c r="F8" s="107">
        <f>'내역서(표준단가)'!I11</f>
        <v>50</v>
      </c>
    </row>
    <row r="9" spans="1:6">
      <c r="A9" s="98" t="str">
        <f>'내역서(표준단가)'!A12</f>
        <v>M020411810170101</v>
      </c>
      <c r="B9" s="99">
        <f>'내역서(표준단가)'!B12</f>
        <v>0</v>
      </c>
      <c r="C9" s="99">
        <f>'내역서(표준단가)'!C12</f>
        <v>0</v>
      </c>
      <c r="D9" s="99" t="str">
        <f>'내역서(표준단가)'!D12</f>
        <v>M020411810170101</v>
      </c>
      <c r="E9" s="99">
        <f>'내역서(표준단가)'!E12</f>
        <v>0</v>
      </c>
      <c r="F9" s="107">
        <f>'내역서(표준단가)'!I12</f>
        <v>0.2</v>
      </c>
    </row>
    <row r="10" spans="1:6">
      <c r="A10" s="98" t="str">
        <f>'내역서(표준단가)'!A13</f>
        <v>E00000803061120802</v>
      </c>
      <c r="B10" s="99">
        <f>'내역서(표준단가)'!B13</f>
        <v>0</v>
      </c>
      <c r="C10" s="99" t="str">
        <f>'내역서(표준단가)'!C13</f>
        <v>E00000803061120802</v>
      </c>
      <c r="D10" s="99">
        <f>'내역서(표준단가)'!D13</f>
        <v>0</v>
      </c>
      <c r="E10" s="99">
        <f>'내역서(표준단가)'!E13</f>
        <v>0</v>
      </c>
      <c r="F10" s="107">
        <f>'내역서(표준단가)'!I13</f>
        <v>14</v>
      </c>
    </row>
    <row r="11" spans="1:6">
      <c r="A11" s="98" t="str">
        <f>'내역서(표준단가)'!A14</f>
        <v>E00000803061300701</v>
      </c>
      <c r="B11" s="99">
        <f>'내역서(표준단가)'!B14</f>
        <v>0</v>
      </c>
      <c r="C11" s="99" t="str">
        <f>'내역서(표준단가)'!C14</f>
        <v>E00000803061300701</v>
      </c>
      <c r="D11" s="99">
        <f>'내역서(표준단가)'!D14</f>
        <v>0</v>
      </c>
      <c r="E11" s="99">
        <f>'내역서(표준단가)'!E14</f>
        <v>0</v>
      </c>
      <c r="F11" s="107">
        <f>'내역서(표준단가)'!I14</f>
        <v>14</v>
      </c>
    </row>
    <row r="12" spans="1:6">
      <c r="A12" s="98" t="str">
        <f>'내역서(표준단가)'!A15</f>
        <v>E00000803061120802</v>
      </c>
      <c r="B12" s="99">
        <f>'내역서(표준단가)'!B15</f>
        <v>0</v>
      </c>
      <c r="C12" s="99" t="str">
        <f>'내역서(표준단가)'!C15</f>
        <v>E00000803061120802</v>
      </c>
      <c r="D12" s="99">
        <f>'내역서(표준단가)'!D15</f>
        <v>0</v>
      </c>
      <c r="E12" s="99">
        <f>'내역서(표준단가)'!E15</f>
        <v>0</v>
      </c>
      <c r="F12" s="107">
        <f>'내역서(표준단가)'!I15</f>
        <v>1.85</v>
      </c>
    </row>
    <row r="13" spans="1:6">
      <c r="A13" s="98" t="str">
        <f>'내역서(표준단가)'!A16</f>
        <v>E00000803061300401</v>
      </c>
      <c r="B13" s="99">
        <f>'내역서(표준단가)'!B16</f>
        <v>0</v>
      </c>
      <c r="C13" s="99" t="str">
        <f>'내역서(표준단가)'!C16</f>
        <v>E00000803061300401</v>
      </c>
      <c r="D13" s="99">
        <f>'내역서(표준단가)'!D16</f>
        <v>0</v>
      </c>
      <c r="E13" s="99">
        <f>'내역서(표준단가)'!E16</f>
        <v>0</v>
      </c>
      <c r="F13" s="107">
        <f>'내역서(표준단가)'!I16</f>
        <v>1.85</v>
      </c>
    </row>
    <row r="14" spans="1:6">
      <c r="A14" s="98" t="str">
        <f>'내역서(표준단가)'!A17</f>
        <v>E00000801011510701</v>
      </c>
      <c r="B14" s="99">
        <f>'내역서(표준단가)'!B17</f>
        <v>0</v>
      </c>
      <c r="C14" s="99" t="str">
        <f>'내역서(표준단가)'!C17</f>
        <v>E00000801011510701</v>
      </c>
      <c r="D14" s="99">
        <f>'내역서(표준단가)'!D17</f>
        <v>0</v>
      </c>
      <c r="E14" s="99">
        <f>'내역서(표준단가)'!E17</f>
        <v>0</v>
      </c>
      <c r="F14" s="107">
        <f>'내역서(표준단가)'!I17</f>
        <v>97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57581-6718-4076-BCF4-DD35610B8243}">
  <sheetPr codeName="Sheet4"/>
  <dimension ref="A1"/>
  <sheetViews>
    <sheetView workbookViewId="0">
      <selection activeCell="O13" sqref="O13"/>
    </sheetView>
  </sheetViews>
  <sheetFormatPr defaultRowHeight="14.25"/>
  <cols>
    <col min="1" max="16384" width="9" style="75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도면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2026-01-20T04:06:13Z</dcterms:created>
  <dcterms:modified xsi:type="dcterms:W3CDTF">2026-04-06T01:33:28Z</dcterms:modified>
</cp:coreProperties>
</file>
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7936EDE3-56EC-4352-864B-22C0B7A99730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V5" i="2" s="1"/>
  <c r="V7" i="2" s="1"/>
  <c r="Q5" i="2"/>
  <c r="O5" i="2"/>
  <c r="J22" i="4" l="1"/>
  <c r="J23" i="4"/>
  <c r="J24" i="4"/>
  <c r="J26" i="4"/>
  <c r="J25" i="4"/>
  <c r="J27" i="4" s="1"/>
  <c r="K9" i="3"/>
  <c r="D9" i="3"/>
  <c r="S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<sst xmlns="http://schemas.openxmlformats.org/spreadsheetml/2006/main" count="144" uniqueCount="126">
  <si>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보일러,버너,배관자재,에어컨</t>
  </si>
  <si>
    <t>314-19-99933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</si>
  <si>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</si>
  <si>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</si>
  <si>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</si>
  <si>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</si>
  <si>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>업      태</t>
  </si>
  <si>
    <t>네번타는보일러-30K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</si>
  <si>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</si>
  <si>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주      소</t>
  </si>
  <si>
    <t>상      호</t>
  </si>
  <si>
    <t>GTX-8000</t>
  </si>
  <si>
    <t>STV300-115</t>
  </si>
  <si>
    <t>품     명</t>
  </si>
  <si>
    <t>기 타 사 항</t>
  </si>
  <si>
    <t>세    액</t>
  </si>
  <si>
    <t>할증기준</t>
  </si>
  <si>
    <t>규     격</t>
  </si>
  <si>
    <t>열교환기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</si>
  <si>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</si>
  <si>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</si>
  <si>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성   명</t>
  </si>
  <si>
    <t>공 급 가 액</t>
  </si>
  <si>
    <t>비   고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</si>
  <si>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</si>
  <si>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단    가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</si>
  <si>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</si>
  <si>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</si>
  <si>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t>종   목</t>
  </si>
  <si>
    <t>합 계 금 액</t>
  </si>
  <si>
    <t>귀뚜라미산업</t>
  </si>
  <si>
    <t>등 록 번 호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</si>
  <si>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</si>
  <si>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</si>
  <si>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823-9444       FAX 823-9511</t>
  </si>
  <si>
    <t xml:space="preserve"> 2025  년   10  월   1  일</t>
  </si>
  <si>
    <t xml:space="preserve"> 견        적        서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</si>
  <si>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</si>
  <si>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</si>
  <si>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</si>
  <si>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</si>
  <si>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</si>
  <si>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콘트롤</t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</si>
  <si>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</si>
  <si>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  </t>
  </si>
  <si>
    <t>도소매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</si>
  <si>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</si>
  <si>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</si>
  <si>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</si>
  <si>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수 량</t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</si>
  <si>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</si>
  <si>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</si>
  <si>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</si>
  <si>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SET</t>
  </si>
  <si>
    <t>102동 203호</t>
  </si>
  <si>
    <t xml:space="preserve">  ※ LG사택 102동 203호</t>
  </si>
  <si>
    <t>삼방밸브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</si>
  <si>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</si>
  <si>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</si>
  <si>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</si>
  <si>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</si>
  <si>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</si>
  <si>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</si>
  <si>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</si>
  <si>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</si>
  <si>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</si>
  <si>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</si>
  <si>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</si>
  <si>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</si>
  <si>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</si>
  <si>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</si>
  <si>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</si>
  <si>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</si>
  <si>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</si>
  <si>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</si>
  <si>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</si>
  <si>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</si>
  <si>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</si>
  <si>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</si>
  <si>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</si>
  <si>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</si>
  <si>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</si>
  <si>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</si>
  <si>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</si>
  <si>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</si>
  <si>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</si>
  <si>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</si>
  <si>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</si>
  <si>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</si>
  <si>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</si>
  <si>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</si>
  <si>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</si>
  <si>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</si>
  <si>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</si>
  <si>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</si>
  <si>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</si>
  <si>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</si>
  <si>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</si>
  <si>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</si>
  <si>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</si>
  <si>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</si>
  <si>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</si>
  <si>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</si>
  <si>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</si>
  <si>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</si>
  <si>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</si>
  <si>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</si>
  <si>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</si>
  <si>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</si>
  <si>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</si>
  <si>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</si>
  <si>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</si>
  <si>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</si>
  <si>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</si>
  <si>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</si>
  <si>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</si>
  <si>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</si>
  <si>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</si>
  <si>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</si>
  <si>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</si>
  <si>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</si>
  <si>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</si>
  <si>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</si>
  <si>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</si>
  <si>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102-203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</si>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</sst>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660BFA25-3668-4FF2-9222-D3939E503221}"/>
    <cellStyle name="백분율 2 3" xfId="6" xr:uid="{00000000-0005-0000-0000-000006000000}"/>
    <cellStyle name="쉼표 [0] 17" xfId="2" xr:uid="{00000000-0005-0000-0000-000002000000}"/>
    <cellStyle name="쉼표 [0] 17 2" xfId="20" xr:uid="{106AA469-4989-4956-A65F-C49003012A90}"/>
    <cellStyle name="쉼표 [0] 2" xfId="13" xr:uid="{419FAE7F-1957-41B9-87F6-4BC1C65A4312}"/>
    <cellStyle name="쉼표 [0] 2 2 2" xfId="5" xr:uid="{00000000-0005-0000-0000-000005000000}"/>
    <cellStyle name="쉼표 [0] 2 2 29" xfId="14" xr:uid="{0CF10B7E-A2A9-4013-A2DD-CB8F3E600785}"/>
    <cellStyle name="쉼표 [0] 2 3" xfId="4" xr:uid="{00000000-0005-0000-0000-000004000000}"/>
    <cellStyle name="쉼표 [0] 2 84" xfId="18" xr:uid="{83790733-50DB-4583-8D36-C841A5DA058F}"/>
    <cellStyle name="쉼표 [0] 5" xfId="16" xr:uid="{E59A7B3C-6767-478B-BD5F-57F2DDB67D3F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3F2725C2-7DF1-4D4B-9016-52DC4C14BA00}"/>
    <cellStyle name="표준 10 2" xfId="10" xr:uid="{B8D85E68-2F58-4AA1-813F-9286BDA2211B}"/>
    <cellStyle name="표준 2" xfId="17" xr:uid="{CD251839-9881-4758-A383-0EF10DD4EF7A}"/>
    <cellStyle name="표준 3 2" xfId="3" xr:uid="{00000000-0005-0000-0000-000003000000}"/>
    <cellStyle name="표준 7" xfId="7" xr:uid="{00000000-0005-0000-0000-000007000000}"/>
    <cellStyle name="표준_p1공장 외벽청소(08.03.17)" xfId="11" xr:uid="{9A83E713-DD71-4DF5-9D20-279F8E261170}"/>
    <cellStyle name="표준_P456 공장 및 복지동 전면 유리창 청소건 라상혁님_1129(최종)" xfId="12" xr:uid="{9E07AD7F-BAD0-4877-A784-6ABB439D0084}"/>
    <cellStyle name="표준_S&amp;D_MAIN VALVE_최빈_2" xfId="9" xr:uid="{C82D6905-B32A-40C0-B87A-39A75773C4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3DFDB2E-AECC-42DA-9339-8B7B6DE4D6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CE46-A242-4082-9248-77D17CA6881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27</v>
      </c>
      <c r="Q1" s="44" t="s">
        <v>27</v>
      </c>
      <c r="S1" s="44" t="s">
        <v>27</v>
      </c>
      <c r="U1" s="44" t="s">
        <v>27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3</v>
      </c>
      <c r="G3" s="40"/>
      <c r="H3" s="40"/>
      <c r="I3" s="40"/>
      <c r="J3" s="234" t="s">
        <v>24</v>
      </c>
      <c r="K3" s="234"/>
      <c r="L3" s="234" t="s">
        <v>38</v>
      </c>
      <c r="M3" s="234" t="s">
        <v>52</v>
      </c>
      <c r="N3" s="240" t="s">
        <v>40</v>
      </c>
      <c r="O3" s="240"/>
      <c r="P3" s="240" t="s">
        <v>51</v>
      </c>
      <c r="Q3" s="240"/>
      <c r="R3" s="241" t="s">
        <v>20</v>
      </c>
      <c r="S3" s="241"/>
      <c r="T3" s="241" t="s">
        <v>8</v>
      </c>
      <c r="U3" s="241"/>
      <c r="V3" s="242" t="s">
        <v>39</v>
      </c>
      <c r="W3" s="236" t="s">
        <v>33</v>
      </c>
      <c r="X3" s="238" t="s">
        <v>16</v>
      </c>
    </row>
    <row r="4" spans="1:24" ht="19.899999999999999" customHeight="1">
      <c r="A4" s="39" t="s">
        <v>39</v>
      </c>
      <c r="B4" s="38"/>
      <c r="C4" s="38"/>
      <c r="D4" s="38"/>
      <c r="E4" s="38"/>
      <c r="F4" s="37"/>
      <c r="G4" s="37"/>
      <c r="H4" s="37"/>
      <c r="I4" s="37"/>
      <c r="J4" s="36" t="s">
        <v>41</v>
      </c>
      <c r="K4" s="36" t="s">
        <v>43</v>
      </c>
      <c r="L4" s="235"/>
      <c r="M4" s="235"/>
      <c r="N4" s="35" t="s">
        <v>32</v>
      </c>
      <c r="O4" s="34" t="s">
        <v>47</v>
      </c>
      <c r="P4" s="35" t="s">
        <v>46</v>
      </c>
      <c r="Q4" s="34" t="s">
        <v>47</v>
      </c>
      <c r="R4" s="34" t="s">
        <v>46</v>
      </c>
      <c r="S4" s="34" t="s">
        <v>47</v>
      </c>
      <c r="T4" s="34" t="s">
        <v>46</v>
      </c>
      <c r="U4" s="34" t="s">
        <v>47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54</v>
      </c>
      <c r="K5" s="32" t="s">
        <v>4</v>
      </c>
      <c r="L5" s="31" t="s">
        <v>53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K13" sqref="K13:N13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36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5</v>
      </c>
      <c r="B3" s="246"/>
      <c r="C3" s="246"/>
      <c r="D3" s="246"/>
      <c r="E3" s="246"/>
      <c r="F3" s="247" t="s">
        <v>31</v>
      </c>
      <c r="G3" s="248"/>
      <c r="H3" s="247"/>
      <c r="I3" s="249" t="s">
        <v>1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10</v>
      </c>
      <c r="G4" s="250"/>
      <c r="H4" s="247"/>
      <c r="I4" s="249" t="s">
        <v>30</v>
      </c>
      <c r="J4" s="249"/>
      <c r="K4" s="249"/>
      <c r="L4" s="249"/>
      <c r="M4" s="249"/>
      <c r="N4" s="249" t="s">
        <v>21</v>
      </c>
      <c r="O4" s="249"/>
      <c r="P4" s="249"/>
      <c r="Q4" s="251" t="s">
        <v>19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35</v>
      </c>
      <c r="B5" s="252"/>
      <c r="C5" s="252"/>
      <c r="D5" s="252"/>
      <c r="E5" s="252"/>
      <c r="F5" s="247" t="s">
        <v>9</v>
      </c>
      <c r="G5" s="248"/>
      <c r="H5" s="247"/>
      <c r="I5" s="249" t="s">
        <v>2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6</v>
      </c>
      <c r="G6" s="250"/>
      <c r="H6" s="247"/>
      <c r="I6" s="249" t="s">
        <v>45</v>
      </c>
      <c r="J6" s="249"/>
      <c r="K6" s="249" t="s">
        <v>28</v>
      </c>
      <c r="L6" s="249"/>
      <c r="M6" s="249"/>
      <c r="N6" s="249" t="s">
        <v>0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37</v>
      </c>
      <c r="B7" s="252"/>
      <c r="C7" s="252"/>
      <c r="D7" s="252"/>
      <c r="E7" s="252"/>
      <c r="F7" s="247" t="s">
        <v>26</v>
      </c>
      <c r="G7" s="250"/>
      <c r="H7" s="247"/>
      <c r="I7" s="249" t="s">
        <v>34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44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29</v>
      </c>
      <c r="B9" s="250"/>
      <c r="C9" s="250"/>
      <c r="D9" s="256" t="str">
        <f>"일금 "&amp;NUMBERSTRING((K20+N20),1)&amp;"원정"</f>
        <v>일금 육십이만육천원정</v>
      </c>
      <c r="E9" s="256"/>
      <c r="F9" s="256"/>
      <c r="G9" s="256"/>
      <c r="H9" s="256"/>
      <c r="I9" s="256"/>
      <c r="J9" s="256"/>
      <c r="K9" s="257">
        <f>K20+N20</f>
        <v>626000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48</v>
      </c>
      <c r="B10" s="260" t="s">
        <v>13</v>
      </c>
      <c r="C10" s="261"/>
      <c r="D10" s="262" t="s">
        <v>17</v>
      </c>
      <c r="E10" s="263"/>
      <c r="F10" s="51" t="s">
        <v>49</v>
      </c>
      <c r="G10" s="262" t="s">
        <v>25</v>
      </c>
      <c r="H10" s="264"/>
      <c r="I10" s="264"/>
      <c r="J10" s="263"/>
      <c r="K10" s="262" t="s">
        <v>22</v>
      </c>
      <c r="L10" s="264"/>
      <c r="M10" s="264"/>
      <c r="N10" s="263"/>
      <c r="O10" s="262" t="s">
        <v>15</v>
      </c>
      <c r="P10" s="264"/>
      <c r="Q10" s="263"/>
      <c r="R10" s="51" t="s">
        <v>23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18</v>
      </c>
      <c r="C11" s="266"/>
      <c r="D11" s="267" t="s">
        <v>7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42</v>
      </c>
      <c r="C12" s="266"/>
      <c r="D12" s="267" t="s">
        <v>11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56</v>
      </c>
      <c r="C13" s="266"/>
      <c r="D13" s="267" t="s">
        <v>12</v>
      </c>
      <c r="E13" s="266"/>
      <c r="F13" s="51">
        <v>1</v>
      </c>
      <c r="G13" s="268">
        <v>88000</v>
      </c>
      <c r="H13" s="269"/>
      <c r="I13" s="269"/>
      <c r="J13" s="270"/>
      <c r="K13" s="271">
        <f>F13*G13</f>
        <v>88000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50</v>
      </c>
      <c r="B20" s="265"/>
      <c r="C20" s="266"/>
      <c r="D20" s="267"/>
      <c r="E20" s="266"/>
      <c r="F20" s="51"/>
      <c r="G20" s="268">
        <f>SUM(G11:J14)</f>
        <v>626000</v>
      </c>
      <c r="H20" s="269"/>
      <c r="I20" s="269"/>
      <c r="J20" s="270"/>
      <c r="K20" s="271">
        <f>SUM(K11:N14)</f>
        <v>626000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14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2025-10-01T23:47:41Z</dcterms:modified>
  <cp:version>1300.0100.01</cp:version>
</cp:coreProperties>
</file>
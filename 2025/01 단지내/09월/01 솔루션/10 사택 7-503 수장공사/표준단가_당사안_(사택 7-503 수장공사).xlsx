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3 사택 7-503 수장공사\"/>
    </mc:Choice>
  </mc:AlternateContent>
  <xr:revisionPtr revIDLastSave="0" documentId="13_ncr:1_{51ADC661-4C4C-4F76-AE3C-E141C7ECF531}" xr6:coauthVersionLast="47" xr6:coauthVersionMax="47" xr10:uidLastSave="{00000000-0000-0000-0000-000000000000}"/>
  <bookViews>
    <workbookView xWindow="117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2" r:id="rId4"/>
    <sheet name="Upload(시중가)" sheetId="14" r:id="rId5"/>
    <sheet name="Upload" sheetId="1" r:id="rId6"/>
    <sheet name="1,2,7동 도면" sheetId="10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3" i="4"/>
  <c r="S13" i="4"/>
  <c r="Q13" i="4"/>
  <c r="O13" i="4"/>
  <c r="A13" i="4"/>
  <c r="A10" i="1" s="1"/>
  <c r="V13" i="4" l="1"/>
  <c r="D5" i="9"/>
  <c r="D19" i="9"/>
  <c r="D18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F30" i="9" s="1"/>
  <c r="N14" i="9"/>
  <c r="H27" i="9"/>
  <c r="H11" i="9"/>
  <c r="H30" i="9" s="1"/>
  <c r="N8" i="9"/>
  <c r="N7" i="9"/>
  <c r="N28" i="9"/>
  <c r="N29" i="9" s="1"/>
  <c r="N5" i="9"/>
  <c r="F15" i="9"/>
  <c r="N15" i="9" l="1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<sst xmlns="http://schemas.openxmlformats.org/spreadsheetml/2006/main" count="235" uniqueCount="179">
  <si>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</si>
  <si>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</si>
  <si>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</si>
  <si>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</si>
  <si>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</si>
  <si>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</si>
  <si>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</si>
  <si>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</si>
  <si>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</si>
  <si>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</si>
  <si>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</si>
  <si>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</si>
  <si>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</si>
  <si>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</si>
  <si>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</si>
  <si>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</si>
  <si>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</si>
  <si>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</si>
  <si>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</si>
  <si>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</si>
  <si>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</si>
  <si>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</si>
  <si>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</si>
  <si>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</si>
  <si>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</si>
  <si>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</si>
  <si>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</si>
  <si>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</si>
  <si>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</si>
  <si>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</si>
  <si>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</si>
  <si>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</si>
  <si>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</si>
  <si>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</si>
  <si>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</si>
  <si>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</si>
  <si>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</si>
  <si>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</si>
  <si>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</si>
  <si>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</si>
  <si>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</si>
  <si>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</si>
  <si>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</si>
  <si>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</si>
  <si>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</si>
  <si>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</si>
  <si>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</si>
  <si>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</si>
  <si>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</si>
  <si>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</si>
  <si>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</si>
  <si>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</si>
  <si>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</si>
  <si>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</si>
  <si>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</si>
  <si>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</si>
  <si>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</si>
  <si>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</si>
  <si>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</si>
  <si>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 xml:space="preserve"> 내   역   서</t>
    <phoneticPr fontId="14" type="noConversion"/>
  </si>
  <si>
    <t>품        명</t>
    <phoneticPr fontId="14" type="noConversion"/>
  </si>
  <si>
    <t>규      격</t>
  </si>
  <si>
    <t>수 량</t>
    <phoneticPr fontId="14" type="noConversion"/>
  </si>
  <si>
    <t xml:space="preserve">재    료   비   </t>
    <phoneticPr fontId="14" type="noConversion"/>
  </si>
  <si>
    <t>노   무   비</t>
    <phoneticPr fontId="14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</si>
  <si>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</si>
  <si>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</si>
  <si>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4" type="noConversion"/>
  </si>
  <si>
    <t>비  고</t>
    <phoneticPr fontId="14" type="noConversion"/>
  </si>
  <si>
    <t>단   가</t>
    <phoneticPr fontId="14" type="noConversion"/>
  </si>
  <si>
    <t>금     액</t>
    <phoneticPr fontId="14" type="noConversion"/>
  </si>
  <si>
    <t>금    액</t>
    <phoneticPr fontId="14" type="noConversion"/>
  </si>
  <si>
    <t>1.도배</t>
    <phoneticPr fontId="14" type="noConversion"/>
  </si>
  <si>
    <t>거실 벽면</t>
    <phoneticPr fontId="14" type="noConversion"/>
  </si>
  <si>
    <t>㎡</t>
    <phoneticPr fontId="14" type="noConversion"/>
  </si>
  <si>
    <t>거실 천정</t>
    <phoneticPr fontId="14" type="noConversion"/>
  </si>
  <si>
    <t>방A 벽면</t>
    <phoneticPr fontId="14" type="noConversion"/>
  </si>
  <si>
    <t>방A 천정</t>
    <phoneticPr fontId="14" type="noConversion"/>
  </si>
  <si>
    <t>방B 벽면</t>
    <phoneticPr fontId="14" type="noConversion"/>
  </si>
  <si>
    <t>방B 천정</t>
    <phoneticPr fontId="14" type="noConversion"/>
  </si>
  <si>
    <t>소 계</t>
    <phoneticPr fontId="8" type="noConversion"/>
  </si>
  <si>
    <t>거실 바닥</t>
    <phoneticPr fontId="14" type="noConversion"/>
  </si>
  <si>
    <t>방A 바닥</t>
    <phoneticPr fontId="14" type="noConversion"/>
  </si>
  <si>
    <t>방B 바닥</t>
    <phoneticPr fontId="14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</si>
  <si>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</si>
  <si>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</si>
  <si>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</si>
  <si>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</si>
  <si>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</si>
  <si>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</si>
  <si>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</si>
  <si>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</si>
  <si>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</si>
  <si>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</si>
  <si>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</si>
  <si>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4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</si>
  <si>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</si>
  <si>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</si>
  <si>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</si>
  <si>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</si>
  <si>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</si>
  <si>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</si>
  <si>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</si>
  <si>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</si>
  <si>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</si>
  <si>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</si>
  <si>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</si>
  <si>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</si>
  <si>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</si>
  <si>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</si>
  <si>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</si>
  <si>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</si>
  <si>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</si>
  <si>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</si>
  <si>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</si>
  <si>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</si>
  <si>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</si>
  <si>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</si>
  <si>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</si>
  <si>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</si>
  <si>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</si>
  <si>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</si>
  <si>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</si>
  <si>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</si>
  <si>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</si>
  <si>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</si>
  <si>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</si>
  <si>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</si>
  <si>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</si>
  <si>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</si>
  <si>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</si>
  <si>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</si>
  <si>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</si>
  <si>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</si>
  <si>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</si>
  <si>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</si>
  <si>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</si>
  <si>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</si>
  <si>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</si>
  <si>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 (재료비+노무비)*3.11%</t>
    <phoneticPr fontId="14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</si>
  <si>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</si>
  <si>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</si>
  <si>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</si>
  <si>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</si>
  <si>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</si>
  <si>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</si>
  <si>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</si>
  <si>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</si>
  <si>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</si>
  <si>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</si>
  <si>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</si>
  <si>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</si>
  <si>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</si>
  <si>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</si>
  <si>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</si>
  <si>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>도색(앞,뒤베란다 걸레받이(앞,뒤베란다 창고바닥포함))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</si>
  <si>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</si>
  <si>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</si>
  <si>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</si>
  <si>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</si>
  <si>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</si>
  <si>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</si>
  <si>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</si>
  <si>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</si>
  <si>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</si>
  <si>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</si>
  <si>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</si>
  <si>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</si>
  <si>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</si>
  <si>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</si>
  <si>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</si>
  <si>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</si>
  <si>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6" type="noConversion"/>
  </si>
  <si>
    <t>하부장 씽크볼측 문짝(1개) 교체</t>
    <phoneticPr fontId="6" type="noConversion"/>
  </si>
  <si>
    <t>씽크대 하부장 보수</t>
    <phoneticPr fontId="6" type="noConversion"/>
  </si>
  <si>
    <t>set</t>
    <phoneticPr fontId="6" type="noConversion"/>
  </si>
  <si>
    <t xml:space="preserve"> 견적일 : 2025 년  07월  09일</t>
    <phoneticPr fontId="12" type="noConversion"/>
  </si>
  <si>
    <t xml:space="preserve"> 공사명 : 사택 7-503 수장공사 외 1건</t>
    <phoneticPr fontId="12" type="noConversion"/>
  </si>
  <si>
    <t>사택 7-503 수장공사 외 1건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</si>
</sst>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  <numFmt numFmtId="194" formatCode="_-* #,##0.0_-;\-* #,##0.0_-;_-* &quot;-&quot;_-;_-@_-"/>
  </numFmts>
  <fonts count="3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21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1" fillId="0" borderId="0" xfId="0" applyFont="1">
      <alignment vertical="center"/>
    </xf>
    <xf numFmtId="183" fontId="26" fillId="0" borderId="31" xfId="15" quotePrefix="1" applyNumberFormat="1" applyFont="1" applyBorder="1" applyAlignment="1">
      <alignment horizontal="center" vertical="center"/>
    </xf>
    <xf numFmtId="177" fontId="25" fillId="0" borderId="31" xfId="13" applyFont="1" applyBorder="1" applyAlignment="1">
      <alignment vertical="center"/>
    </xf>
    <xf numFmtId="185" fontId="25" fillId="0" borderId="31" xfId="13" applyNumberFormat="1" applyFont="1" applyBorder="1" applyAlignment="1">
      <alignment horizontal="center" vertical="center"/>
    </xf>
    <xf numFmtId="177" fontId="25" fillId="0" borderId="31" xfId="13" applyFont="1" applyBorder="1" applyAlignment="1">
      <alignment horizontal="center" vertical="center"/>
    </xf>
    <xf numFmtId="183" fontId="25" fillId="5" borderId="31" xfId="13" applyNumberFormat="1" applyFont="1" applyFill="1" applyBorder="1" applyAlignment="1">
      <alignment horizontal="right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6" fontId="26" fillId="11" borderId="31" xfId="13" applyNumberFormat="1" applyFont="1" applyFill="1" applyBorder="1" applyAlignment="1">
      <alignment horizontal="center" vertical="center"/>
    </xf>
    <xf numFmtId="183" fontId="26" fillId="11" borderId="31" xfId="13" applyNumberFormat="1" applyFont="1" applyFill="1" applyBorder="1" applyAlignment="1">
      <alignment horizontal="right" vertical="center" wrapText="1"/>
    </xf>
    <xf numFmtId="183" fontId="26" fillId="11" borderId="31" xfId="13" applyNumberFormat="1" applyFont="1" applyFill="1" applyBorder="1" applyAlignment="1">
      <alignment horizontal="center" vertical="center" wrapText="1"/>
    </xf>
    <xf numFmtId="185" fontId="25" fillId="5" borderId="31" xfId="13" applyNumberFormat="1" applyFont="1" applyFill="1" applyBorder="1" applyAlignment="1">
      <alignment horizontal="center" vertical="center"/>
    </xf>
    <xf numFmtId="177" fontId="25" fillId="5" borderId="31" xfId="13" applyFont="1" applyFill="1" applyBorder="1" applyAlignment="1">
      <alignment horizontal="center" vertical="center"/>
    </xf>
    <xf numFmtId="183" fontId="25" fillId="5" borderId="31" xfId="13" applyNumberFormat="1" applyFont="1" applyFill="1" applyBorder="1" applyAlignment="1">
      <alignment horizontal="center" vertical="center" wrapText="1"/>
    </xf>
    <xf numFmtId="185" fontId="26" fillId="11" borderId="31" xfId="13" applyNumberFormat="1" applyFont="1" applyFill="1" applyBorder="1" applyAlignment="1">
      <alignment horizontal="center" vertical="center"/>
    </xf>
    <xf numFmtId="177" fontId="26" fillId="11" borderId="31" xfId="13" applyFont="1" applyFill="1" applyBorder="1" applyAlignment="1">
      <alignment horizontal="center" vertical="center"/>
    </xf>
    <xf numFmtId="183" fontId="20" fillId="5" borderId="31" xfId="13" applyNumberFormat="1" applyFont="1" applyFill="1" applyBorder="1" applyAlignment="1">
      <alignment horizontal="center" vertical="center" wrapText="1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vertical="center" wrapText="1"/>
    </xf>
    <xf numFmtId="183" fontId="26" fillId="11" borderId="31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49" fontId="20" fillId="7" borderId="3" xfId="0" applyNumberFormat="1" applyFont="1" applyFill="1" applyBorder="1" applyAlignment="1">
      <alignment horizontal="center" vertical="center"/>
    </xf>
    <xf numFmtId="0" fontId="24" fillId="11" borderId="31" xfId="13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4" fillId="0" borderId="32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3" fillId="5" borderId="0" xfId="0" applyFont="1" applyFill="1" applyAlignment="1">
      <alignment horizontal="center" vertical="center"/>
    </xf>
    <xf numFmtId="0" fontId="24" fillId="8" borderId="31" xfId="13" applyNumberFormat="1" applyFont="1" applyFill="1" applyBorder="1" applyAlignment="1">
      <alignment horizontal="center" vertical="center"/>
    </xf>
    <xf numFmtId="185" fontId="25" fillId="8" borderId="31" xfId="13" applyNumberFormat="1" applyFont="1" applyFill="1" applyBorder="1" applyAlignment="1">
      <alignment horizontal="center" vertical="center"/>
    </xf>
    <xf numFmtId="177" fontId="25" fillId="8" borderId="31" xfId="13" applyFont="1" applyFill="1" applyBorder="1" applyAlignment="1">
      <alignment horizontal="center" vertical="center"/>
    </xf>
    <xf numFmtId="183" fontId="26" fillId="8" borderId="31" xfId="13" applyNumberFormat="1" applyFont="1" applyFill="1" applyBorder="1" applyAlignment="1">
      <alignment horizontal="right" vertical="center" wrapText="1"/>
    </xf>
    <xf numFmtId="188" fontId="25" fillId="5" borderId="31" xfId="13" applyNumberFormat="1" applyFont="1" applyFill="1" applyBorder="1" applyAlignment="1">
      <alignment horizontal="center" vertical="center" wrapText="1"/>
    </xf>
    <xf numFmtId="189" fontId="20" fillId="0" borderId="1" xfId="1" applyNumberFormat="1" applyFont="1" applyBorder="1" applyAlignment="1">
      <alignment horizontal="center" vertical="center"/>
    </xf>
    <xf numFmtId="187" fontId="20" fillId="0" borderId="3" xfId="1" applyNumberFormat="1" applyFont="1" applyFill="1" applyBorder="1" applyAlignment="1">
      <alignment horizontal="center" vertical="center"/>
    </xf>
    <xf numFmtId="49" fontId="20" fillId="5" borderId="3" xfId="0" applyNumberFormat="1" applyFont="1" applyFill="1" applyBorder="1" applyAlignment="1">
      <alignment horizontal="center" vertical="center"/>
    </xf>
    <xf numFmtId="183" fontId="25" fillId="0" borderId="31" xfId="13" applyNumberFormat="1" applyFont="1" applyBorder="1" applyAlignment="1">
      <alignment horizontal="right" vertical="center" wrapText="1"/>
    </xf>
    <xf numFmtId="183" fontId="25" fillId="0" borderId="31" xfId="13" applyNumberFormat="1" applyFont="1" applyFill="1" applyBorder="1" applyAlignment="1">
      <alignment horizontal="right" vertical="center" wrapText="1"/>
    </xf>
    <xf numFmtId="186" fontId="26" fillId="5" borderId="31" xfId="13" applyNumberFormat="1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6" fillId="0" borderId="31" xfId="15" quotePrefix="1" applyFont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49" fontId="25" fillId="5" borderId="31" xfId="0" applyNumberFormat="1" applyFont="1" applyFill="1" applyBorder="1" applyAlignment="1">
      <alignment horizontal="center" vertical="center"/>
    </xf>
    <xf numFmtId="49" fontId="25" fillId="5" borderId="31" xfId="0" applyNumberFormat="1" applyFont="1" applyFill="1" applyBorder="1">
      <alignment vertical="center"/>
    </xf>
    <xf numFmtId="191" fontId="20" fillId="5" borderId="3" xfId="0" applyNumberFormat="1" applyFont="1" applyFill="1" applyBorder="1" applyAlignment="1">
      <alignment horizontal="right" vertical="center" wrapText="1"/>
    </xf>
    <xf numFmtId="191" fontId="20" fillId="6" borderId="3" xfId="1" applyNumberFormat="1" applyFont="1" applyFill="1" applyBorder="1" applyAlignment="1">
      <alignment horizontal="right" vertical="center" wrapText="1"/>
    </xf>
    <xf numFmtId="191" fontId="20" fillId="0" borderId="3" xfId="1" applyNumberFormat="1" applyFont="1" applyFill="1" applyBorder="1" applyAlignment="1">
      <alignment horizontal="right" vertical="center" wrapText="1"/>
    </xf>
    <xf numFmtId="191" fontId="20" fillId="5" borderId="3" xfId="0" applyNumberFormat="1" applyFont="1" applyFill="1" applyBorder="1" applyAlignment="1">
      <alignment horizontal="right" vertical="center"/>
    </xf>
    <xf numFmtId="191" fontId="20" fillId="5" borderId="3" xfId="1" applyNumberFormat="1" applyFont="1" applyFill="1" applyBorder="1" applyAlignment="1">
      <alignment horizontal="right" vertical="center" wrapText="1"/>
    </xf>
    <xf numFmtId="192" fontId="20" fillId="5" borderId="3" xfId="1" applyNumberFormat="1" applyFont="1" applyFill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5" borderId="0" xfId="0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0" fillId="5" borderId="3" xfId="0" applyFont="1" applyFill="1" applyBorder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5" borderId="3" xfId="0" applyNumberFormat="1" applyFont="1" applyFill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5" borderId="0" xfId="0" applyFont="1" applyFill="1">
      <alignment vertical="center"/>
    </xf>
    <xf numFmtId="177" fontId="13" fillId="12" borderId="0" xfId="0" applyNumberFormat="1" applyFont="1" applyFill="1">
      <alignment vertical="center"/>
    </xf>
    <xf numFmtId="0" fontId="27" fillId="0" borderId="0" xfId="0" applyFont="1">
      <alignment vertical="center"/>
    </xf>
    <xf numFmtId="177" fontId="27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91" fontId="20" fillId="5" borderId="3" xfId="1" applyNumberFormat="1" applyFont="1" applyFill="1" applyBorder="1" applyAlignment="1">
      <alignment horizontal="right" vertical="center"/>
    </xf>
    <xf numFmtId="0" fontId="25" fillId="7" borderId="3" xfId="0" applyFont="1" applyFill="1" applyBorder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 wrapText="1"/>
    </xf>
    <xf numFmtId="191" fontId="25" fillId="5" borderId="3" xfId="1" applyNumberFormat="1" applyFont="1" applyFill="1" applyBorder="1" applyAlignment="1">
      <alignment horizontal="right" vertical="center" wrapText="1"/>
    </xf>
    <xf numFmtId="177" fontId="20" fillId="5" borderId="3" xfId="1" applyFont="1" applyFill="1" applyBorder="1" applyAlignment="1">
      <alignment vertical="center"/>
    </xf>
    <xf numFmtId="192" fontId="20" fillId="0" borderId="3" xfId="1" applyNumberFormat="1" applyFont="1" applyFill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 wrapText="1"/>
    </xf>
    <xf numFmtId="185" fontId="25" fillId="0" borderId="31" xfId="13" applyNumberFormat="1" applyFont="1" applyFill="1" applyBorder="1" applyAlignment="1">
      <alignment horizontal="center" vertical="center"/>
    </xf>
    <xf numFmtId="177" fontId="25" fillId="0" borderId="31" xfId="13" applyFont="1" applyFill="1" applyBorder="1" applyAlignment="1">
      <alignment horizontal="center" vertical="center"/>
    </xf>
    <xf numFmtId="0" fontId="20" fillId="0" borderId="31" xfId="13" applyNumberFormat="1" applyFont="1" applyFill="1" applyBorder="1" applyAlignment="1">
      <alignment vertical="center"/>
    </xf>
    <xf numFmtId="49" fontId="25" fillId="0" borderId="31" xfId="0" applyNumberFormat="1" applyFont="1" applyBorder="1" applyAlignment="1">
      <alignment horizontal="center" vertical="center"/>
    </xf>
    <xf numFmtId="183" fontId="25" fillId="0" borderId="31" xfId="13" applyNumberFormat="1" applyFont="1" applyFill="1" applyBorder="1" applyAlignment="1">
      <alignment horizontal="center" vertical="center" wrapText="1"/>
    </xf>
    <xf numFmtId="180" fontId="23" fillId="0" borderId="16" xfId="6" applyNumberFormat="1" applyFont="1" applyBorder="1" applyAlignment="1">
      <alignment vertical="center"/>
    </xf>
    <xf numFmtId="190" fontId="25" fillId="10" borderId="31" xfId="13" applyNumberFormat="1" applyFont="1" applyFill="1" applyBorder="1" applyAlignment="1">
      <alignment horizontal="center" vertical="center"/>
    </xf>
    <xf numFmtId="190" fontId="25" fillId="0" borderId="31" xfId="13" applyNumberFormat="1" applyFont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9" fillId="0" borderId="31" xfId="13" applyNumberFormat="1" applyFont="1" applyFill="1" applyBorder="1" applyAlignment="1">
      <alignment horizontal="center" vertical="center" wrapText="1"/>
    </xf>
    <xf numFmtId="192" fontId="28" fillId="5" borderId="3" xfId="1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49" fontId="20" fillId="2" borderId="38" xfId="0" applyNumberFormat="1" applyFont="1" applyFill="1" applyBorder="1" applyAlignment="1">
      <alignment horizontal="center" vertical="center" wrapText="1"/>
    </xf>
    <xf numFmtId="194" fontId="20" fillId="0" borderId="0" xfId="1" applyNumberFormat="1" applyFont="1" applyFill="1" applyBorder="1" applyAlignment="1">
      <alignment horizontal="center" vertical="center"/>
    </xf>
    <xf numFmtId="177" fontId="20" fillId="0" borderId="0" xfId="1" applyFont="1" applyBorder="1">
      <alignment vertical="center"/>
    </xf>
    <xf numFmtId="0" fontId="31" fillId="0" borderId="0" xfId="0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20" fillId="0" borderId="32" xfId="13" applyNumberFormat="1" applyFont="1" applyBorder="1" applyAlignment="1">
      <alignment vertical="center"/>
    </xf>
    <xf numFmtId="0" fontId="20" fillId="0" borderId="36" xfId="13" applyNumberFormat="1" applyFont="1" applyBorder="1" applyAlignment="1">
      <alignment vertical="center"/>
    </xf>
    <xf numFmtId="183" fontId="20" fillId="0" borderId="32" xfId="13" applyNumberFormat="1" applyFont="1" applyBorder="1" applyAlignment="1">
      <alignment horizontal="center" vertical="center" wrapText="1"/>
    </xf>
    <xf numFmtId="183" fontId="20" fillId="0" borderId="36" xfId="13" applyNumberFormat="1" applyFont="1" applyBorder="1" applyAlignment="1">
      <alignment horizontal="center" vertical="center" wrapText="1"/>
    </xf>
    <xf numFmtId="0" fontId="20" fillId="10" borderId="36" xfId="13" applyNumberFormat="1" applyFont="1" applyFill="1" applyBorder="1" applyAlignment="1">
      <alignment vertical="center"/>
    </xf>
    <xf numFmtId="0" fontId="20" fillId="0" borderId="31" xfId="13" applyNumberFormat="1" applyFont="1" applyFill="1" applyBorder="1" applyAlignment="1">
      <alignment vertical="center"/>
    </xf>
    <xf numFmtId="183" fontId="29" fillId="5" borderId="32" xfId="13" applyNumberFormat="1" applyFont="1" applyFill="1" applyBorder="1" applyAlignment="1">
      <alignment horizontal="center" vertical="center" wrapText="1"/>
    </xf>
    <xf numFmtId="183" fontId="29" fillId="5" borderId="35" xfId="13" applyNumberFormat="1" applyFont="1" applyFill="1" applyBorder="1" applyAlignment="1">
      <alignment horizontal="center" vertical="center" wrapText="1"/>
    </xf>
    <xf numFmtId="184" fontId="24" fillId="11" borderId="33" xfId="13" applyNumberFormat="1" applyFont="1" applyFill="1" applyBorder="1" applyAlignment="1">
      <alignment vertical="center"/>
    </xf>
    <xf numFmtId="184" fontId="26" fillId="11" borderId="34" xfId="13" applyNumberFormat="1" applyFont="1" applyFill="1" applyBorder="1" applyAlignment="1">
      <alignment vertical="center"/>
    </xf>
    <xf numFmtId="0" fontId="22" fillId="0" borderId="30" xfId="15" applyFont="1" applyBorder="1" applyAlignment="1">
      <alignment horizontal="center" vertical="center"/>
    </xf>
    <xf numFmtId="0" fontId="24" fillId="0" borderId="31" xfId="15" quotePrefix="1" applyFont="1" applyBorder="1" applyAlignment="1">
      <alignment horizontal="center" vertical="center"/>
    </xf>
    <xf numFmtId="0" fontId="26" fillId="0" borderId="31" xfId="15" quotePrefix="1" applyFont="1" applyBorder="1" applyAlignment="1">
      <alignment horizontal="center" vertical="center"/>
    </xf>
    <xf numFmtId="0" fontId="26" fillId="0" borderId="32" xfId="15" quotePrefix="1" applyFont="1" applyBorder="1" applyAlignment="1">
      <alignment horizontal="center" vertical="center"/>
    </xf>
    <xf numFmtId="0" fontId="26" fillId="0" borderId="35" xfId="15" quotePrefix="1" applyFont="1" applyBorder="1" applyAlignment="1">
      <alignment horizontal="center" vertical="center"/>
    </xf>
    <xf numFmtId="0" fontId="26" fillId="0" borderId="31" xfId="15" applyFont="1" applyBorder="1" applyAlignment="1">
      <alignment horizontal="center" vertical="center"/>
    </xf>
    <xf numFmtId="0" fontId="26" fillId="0" borderId="33" xfId="15" quotePrefix="1" applyFont="1" applyBorder="1" applyAlignment="1">
      <alignment horizontal="center" vertical="center"/>
    </xf>
    <xf numFmtId="0" fontId="26" fillId="0" borderId="34" xfId="15" quotePrefix="1" applyFont="1" applyBorder="1" applyAlignment="1">
      <alignment horizontal="center" vertical="center"/>
    </xf>
    <xf numFmtId="0" fontId="26" fillId="0" borderId="32" xfId="15" applyFont="1" applyBorder="1" applyAlignment="1">
      <alignment horizontal="center" vertical="center"/>
    </xf>
    <xf numFmtId="0" fontId="26" fillId="0" borderId="35" xfId="15" applyFont="1" applyBorder="1" applyAlignment="1">
      <alignment horizontal="center" vertical="center"/>
    </xf>
  </cellXfs>
  <cellStyles count="2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" xfId="20" xr:uid="{F8280F3B-7954-464D-9E6B-7FCA19CF6409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8C4324F0-A28B-46DA-A9A2-7B35333895D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0</xdr:rowOff>
    </xdr:from>
    <xdr:to>
      <xdr:col>6</xdr:col>
      <xdr:colOff>485775</xdr:colOff>
      <xdr:row>33</xdr:row>
      <xdr:rowOff>19050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5C452E-04BF-495A-A3CD-7CC8D550BB10}"/>
            </a:ext>
          </a:extLst>
        </xdr:cNvPr>
        <xdr:cNvSpPr/>
      </xdr:nvSpPr>
      <xdr:spPr>
        <a:xfrm>
          <a:off x="28575" y="419100"/>
          <a:ext cx="5038725" cy="65151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7-107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하부장 씽크볼측 문짝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(1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)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466725</xdr:colOff>
      <xdr:row>4</xdr:row>
      <xdr:rowOff>152400</xdr:rowOff>
    </xdr:from>
    <xdr:to>
      <xdr:col>5</xdr:col>
      <xdr:colOff>550343</xdr:colOff>
      <xdr:row>31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7D181F-8696-4FF7-BAC4-C53353F1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990600"/>
          <a:ext cx="3979343" cy="5543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2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 x14ac:dyDescent="0.2">
      <c r="A3" s="121"/>
      <c r="B3" s="121"/>
      <c r="C3" s="121"/>
      <c r="D3" s="121"/>
      <c r="E3" s="121"/>
      <c r="F3" s="121"/>
      <c r="G3" s="121"/>
      <c r="H3" s="121"/>
    </row>
    <row r="4" spans="1:9" ht="14.25" x14ac:dyDescent="0.2">
      <c r="A4" s="121"/>
      <c r="B4" s="121"/>
      <c r="C4" s="121"/>
      <c r="D4" s="121"/>
      <c r="E4" s="121"/>
      <c r="H4" s="121"/>
    </row>
    <row r="5" spans="1:9" ht="27" customHeight="1" x14ac:dyDescent="0.2">
      <c r="A5" s="122" t="s">
        <v>48</v>
      </c>
      <c r="B5" s="4"/>
      <c r="C5" s="5"/>
      <c r="D5" s="121"/>
      <c r="E5" s="121"/>
      <c r="F5" s="6" t="s">
        <v>38</v>
      </c>
      <c r="G5" s="7" t="s">
        <v>52</v>
      </c>
      <c r="H5" s="121"/>
    </row>
    <row r="6" spans="1:9" ht="27" customHeight="1" x14ac:dyDescent="0.2">
      <c r="A6" s="121"/>
      <c r="B6" s="121"/>
      <c r="C6" s="121"/>
      <c r="D6" s="121"/>
      <c r="E6" s="121"/>
      <c r="F6" s="8" t="s">
        <v>41</v>
      </c>
      <c r="G6" s="9" t="s">
        <v>53</v>
      </c>
      <c r="H6" s="121"/>
    </row>
    <row r="7" spans="1:9" ht="27" customHeight="1" x14ac:dyDescent="0.2">
      <c r="A7" s="179" t="s">
        <v>177</v>
      </c>
      <c r="B7" s="180"/>
      <c r="C7" s="181"/>
      <c r="D7" s="121"/>
      <c r="E7" s="10"/>
      <c r="F7" s="11" t="s">
        <v>42</v>
      </c>
      <c r="G7" s="9" t="s">
        <v>54</v>
      </c>
      <c r="H7" s="121"/>
    </row>
    <row r="8" spans="1:9" ht="27" customHeight="1" x14ac:dyDescent="0.2">
      <c r="A8" s="121"/>
      <c r="B8" s="121"/>
      <c r="C8" s="121"/>
      <c r="D8" s="121"/>
      <c r="E8" s="121"/>
      <c r="F8" s="8" t="s">
        <v>43</v>
      </c>
      <c r="G8" s="9" t="s">
        <v>55</v>
      </c>
      <c r="H8" s="121"/>
    </row>
    <row r="9" spans="1:9" ht="27" customHeight="1" x14ac:dyDescent="0.2">
      <c r="A9" s="179" t="s">
        <v>176</v>
      </c>
      <c r="B9" s="180"/>
      <c r="C9" s="181"/>
      <c r="D9" s="121"/>
      <c r="E9" s="121"/>
      <c r="F9" s="8" t="s">
        <v>44</v>
      </c>
      <c r="G9" s="9" t="s">
        <v>56</v>
      </c>
      <c r="H9" s="121"/>
    </row>
    <row r="10" spans="1:9" ht="27" customHeight="1" x14ac:dyDescent="0.2">
      <c r="A10" s="121"/>
      <c r="B10" s="121"/>
      <c r="C10" s="121"/>
      <c r="D10" s="121"/>
      <c r="E10" s="121"/>
      <c r="F10" s="12" t="s">
        <v>39</v>
      </c>
      <c r="G10" s="13" t="s">
        <v>57</v>
      </c>
      <c r="H10" s="121"/>
      <c r="I10" s="121"/>
    </row>
    <row r="11" spans="1:9" ht="27" customHeight="1" x14ac:dyDescent="0.2">
      <c r="A11" s="177"/>
      <c r="B11" s="178"/>
      <c r="C11" s="178"/>
      <c r="D11" s="12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1"/>
      <c r="B13" s="121"/>
      <c r="C13" s="121"/>
      <c r="D13" s="121"/>
      <c r="E13" s="121"/>
      <c r="F13" s="121"/>
      <c r="G13" s="12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topLeftCell="J1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152" bestFit="1" customWidth="1"/>
    <col min="2" max="5" width="4.625" style="152" hidden="1" customWidth="1"/>
    <col min="6" max="6" width="9" style="139" hidden="1" customWidth="1"/>
    <col min="7" max="9" width="12.625" style="139" hidden="1" customWidth="1"/>
    <col min="10" max="11" width="30.625" style="134" customWidth="1"/>
    <col min="12" max="12" width="12.375" style="139" bestFit="1" customWidth="1"/>
    <col min="13" max="13" width="8.25" style="139" customWidth="1"/>
    <col min="14" max="14" width="10.625" style="139" bestFit="1" customWidth="1"/>
    <col min="15" max="15" width="13.25" style="139" bestFit="1" customWidth="1"/>
    <col min="16" max="16" width="12" style="139" bestFit="1" customWidth="1"/>
    <col min="17" max="17" width="15.625" style="139" bestFit="1" customWidth="1"/>
    <col min="18" max="18" width="9" style="139" hidden="1" customWidth="1"/>
    <col min="19" max="19" width="8.75" style="139" hidden="1" customWidth="1"/>
    <col min="20" max="20" width="10.5" style="139" hidden="1" customWidth="1"/>
    <col min="21" max="21" width="8.75" style="139" hidden="1" customWidth="1"/>
    <col min="22" max="22" width="15.625" style="139" bestFit="1" customWidth="1"/>
    <col min="23" max="23" width="10.625" style="66" bestFit="1" customWidth="1"/>
    <col min="24" max="24" width="8.5" style="139" bestFit="1" customWidth="1"/>
    <col min="25" max="16384" width="9" style="139"/>
  </cols>
  <sheetData>
    <row r="1" spans="1:24" ht="19.899999999999999" customHeight="1" x14ac:dyDescent="0.3">
      <c r="A1" s="182"/>
      <c r="B1" s="182"/>
      <c r="C1" s="182"/>
      <c r="D1" s="182"/>
      <c r="E1" s="182"/>
      <c r="F1" s="182"/>
      <c r="G1" s="182"/>
      <c r="H1" s="182"/>
      <c r="I1" s="182"/>
      <c r="N1" s="66"/>
      <c r="O1" s="137" t="s">
        <v>96</v>
      </c>
      <c r="Q1" s="137" t="s">
        <v>96</v>
      </c>
      <c r="S1" s="137" t="s">
        <v>96</v>
      </c>
      <c r="U1" s="137" t="s">
        <v>96</v>
      </c>
    </row>
    <row r="2" spans="1:24" ht="19.899999999999999" customHeight="1" thickBot="1" x14ac:dyDescent="0.35">
      <c r="A2" s="182"/>
      <c r="B2" s="182"/>
      <c r="C2" s="182"/>
      <c r="D2" s="182"/>
      <c r="E2" s="182"/>
      <c r="F2" s="182"/>
      <c r="G2" s="182"/>
      <c r="H2" s="182"/>
      <c r="I2" s="182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0"/>
      <c r="B3" s="141"/>
      <c r="C3" s="141"/>
      <c r="D3" s="141"/>
      <c r="E3" s="141"/>
      <c r="F3" s="141" t="s">
        <v>97</v>
      </c>
      <c r="G3" s="141"/>
      <c r="H3" s="141"/>
      <c r="I3" s="141"/>
      <c r="J3" s="193" t="s">
        <v>98</v>
      </c>
      <c r="K3" s="193"/>
      <c r="L3" s="191" t="s">
        <v>47</v>
      </c>
      <c r="M3" s="191" t="s">
        <v>5</v>
      </c>
      <c r="N3" s="187" t="s">
        <v>99</v>
      </c>
      <c r="O3" s="187"/>
      <c r="P3" s="187" t="s">
        <v>100</v>
      </c>
      <c r="Q3" s="187"/>
      <c r="R3" s="188" t="s">
        <v>101</v>
      </c>
      <c r="S3" s="188"/>
      <c r="T3" s="188" t="s">
        <v>102</v>
      </c>
      <c r="U3" s="188"/>
      <c r="V3" s="189" t="s">
        <v>103</v>
      </c>
      <c r="W3" s="185" t="s">
        <v>104</v>
      </c>
      <c r="X3" s="183" t="s">
        <v>45</v>
      </c>
    </row>
    <row r="4" spans="1:24" ht="19.899999999999999" customHeight="1" x14ac:dyDescent="0.3">
      <c r="A4" s="69" t="s">
        <v>105</v>
      </c>
      <c r="B4" s="138"/>
      <c r="C4" s="138"/>
      <c r="D4" s="138"/>
      <c r="E4" s="138"/>
      <c r="F4" s="70" t="s">
        <v>106</v>
      </c>
      <c r="G4" s="70" t="s">
        <v>107</v>
      </c>
      <c r="H4" s="70" t="s">
        <v>108</v>
      </c>
      <c r="I4" s="70" t="s">
        <v>109</v>
      </c>
      <c r="J4" s="135" t="s">
        <v>110</v>
      </c>
      <c r="K4" s="135" t="s">
        <v>111</v>
      </c>
      <c r="L4" s="192"/>
      <c r="M4" s="192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0"/>
      <c r="W4" s="186"/>
      <c r="X4" s="184"/>
    </row>
    <row r="5" spans="1:24" s="142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1"/>
      <c r="G5" s="74"/>
      <c r="H5" s="74" t="s">
        <v>140</v>
      </c>
      <c r="I5" s="101"/>
      <c r="J5" s="133" t="s">
        <v>141</v>
      </c>
      <c r="K5" s="159" t="s">
        <v>152</v>
      </c>
      <c r="L5" s="117" t="s">
        <v>150</v>
      </c>
      <c r="M5" s="158">
        <v>8.4789999999999992</v>
      </c>
      <c r="N5" s="153">
        <v>20900</v>
      </c>
      <c r="O5" s="128">
        <f t="shared" ref="O5" si="1">SUM(N5:N5)*M5*$O$2</f>
        <v>147971.26849999998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7">
        <f t="shared" ref="V5" si="5">SUM(O5+Q5)+S5+U5</f>
        <v>147971.26849999998</v>
      </c>
      <c r="W5" s="116"/>
      <c r="X5" s="78"/>
    </row>
    <row r="6" spans="1:24" s="142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1"/>
      <c r="G6" s="74" t="s">
        <v>116</v>
      </c>
      <c r="H6" s="74"/>
      <c r="I6" s="101"/>
      <c r="J6" s="133" t="s">
        <v>118</v>
      </c>
      <c r="K6" s="159" t="s">
        <v>153</v>
      </c>
      <c r="L6" s="75" t="s">
        <v>117</v>
      </c>
      <c r="M6" s="158">
        <v>1.978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804469.33387999993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7">
        <f t="shared" ref="V6" si="11">SUM(O6+Q6)+S6+U6</f>
        <v>804469.33387999993</v>
      </c>
      <c r="W6" s="116"/>
      <c r="X6" s="78"/>
    </row>
    <row r="7" spans="1:24" s="142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1"/>
      <c r="G7" s="74" t="s">
        <v>116</v>
      </c>
      <c r="H7" s="74"/>
      <c r="I7" s="101"/>
      <c r="J7" s="133" t="s">
        <v>119</v>
      </c>
      <c r="K7" s="159" t="s">
        <v>154</v>
      </c>
      <c r="L7" s="75" t="s">
        <v>117</v>
      </c>
      <c r="M7" s="158">
        <v>1.4</v>
      </c>
      <c r="N7" s="130"/>
      <c r="O7" s="128">
        <f t="shared" ref="O7:O13" si="13">SUM(N7:N7)*M7*$O$2</f>
        <v>0</v>
      </c>
      <c r="P7" s="127">
        <v>487076</v>
      </c>
      <c r="Q7" s="128">
        <f t="shared" ref="Q7:Q12" si="14">(P7*M7)*$Q$2</f>
        <v>569391.84399999992</v>
      </c>
      <c r="R7" s="129"/>
      <c r="S7" s="128">
        <f t="shared" ref="S7:S12" si="15">R7*M7*$S$2</f>
        <v>0</v>
      </c>
      <c r="T7" s="129"/>
      <c r="U7" s="128">
        <f t="shared" ref="U7:U12" si="16">T7*M7*$U$2</f>
        <v>0</v>
      </c>
      <c r="V7" s="77">
        <f t="shared" ref="V7:V12" si="17">SUM(O7+Q7)+S7+U7</f>
        <v>569391.84399999992</v>
      </c>
      <c r="W7" s="116"/>
      <c r="X7" s="78"/>
    </row>
    <row r="8" spans="1:24" s="142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1"/>
      <c r="G8" s="74"/>
      <c r="H8" s="74" t="s">
        <v>143</v>
      </c>
      <c r="I8" s="101"/>
      <c r="J8" s="133" t="s">
        <v>144</v>
      </c>
      <c r="K8" s="133" t="s">
        <v>145</v>
      </c>
      <c r="L8" s="117" t="s">
        <v>142</v>
      </c>
      <c r="M8" s="132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7">
        <f t="shared" si="17"/>
        <v>429858</v>
      </c>
      <c r="W8" s="116"/>
      <c r="X8" s="78"/>
    </row>
    <row r="9" spans="1:24" s="142" customFormat="1" ht="38.1" customHeight="1" x14ac:dyDescent="0.3">
      <c r="A9" s="73" t="str">
        <f t="shared" ref="A9:A12" si="18">F9&amp;G9&amp;H9&amp;I9</f>
        <v>E00000803071260401</v>
      </c>
      <c r="B9" s="106"/>
      <c r="C9" s="106"/>
      <c r="D9" s="106"/>
      <c r="E9" s="106"/>
      <c r="F9" s="101"/>
      <c r="G9" s="74" t="s">
        <v>120</v>
      </c>
      <c r="H9" s="74"/>
      <c r="I9" s="101"/>
      <c r="J9" s="133" t="s">
        <v>121</v>
      </c>
      <c r="K9" s="133" t="s">
        <v>151</v>
      </c>
      <c r="L9" s="75" t="s">
        <v>117</v>
      </c>
      <c r="M9" s="132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7">
        <f t="shared" si="17"/>
        <v>263953.79054000002</v>
      </c>
      <c r="W9" s="116"/>
      <c r="X9" s="78"/>
    </row>
    <row r="10" spans="1:24" s="142" customFormat="1" ht="38.1" customHeight="1" x14ac:dyDescent="0.3">
      <c r="A10" s="73" t="str">
        <f t="shared" si="18"/>
        <v>M020412614110102</v>
      </c>
      <c r="B10" s="106"/>
      <c r="C10" s="106"/>
      <c r="D10" s="106"/>
      <c r="E10" s="106"/>
      <c r="F10" s="101"/>
      <c r="G10" s="74"/>
      <c r="H10" s="154" t="s">
        <v>137</v>
      </c>
      <c r="I10" s="101"/>
      <c r="J10" s="155" t="s">
        <v>136</v>
      </c>
      <c r="K10" s="155" t="s">
        <v>132</v>
      </c>
      <c r="L10" s="124" t="s">
        <v>131</v>
      </c>
      <c r="M10" s="170">
        <v>0.2</v>
      </c>
      <c r="N10" s="156">
        <v>65500</v>
      </c>
      <c r="O10" s="128">
        <f t="shared" si="13"/>
        <v>10938.5</v>
      </c>
      <c r="P10" s="127"/>
      <c r="Q10" s="128"/>
      <c r="R10" s="129"/>
      <c r="S10" s="128"/>
      <c r="T10" s="129"/>
      <c r="U10" s="128"/>
      <c r="V10" s="77">
        <f t="shared" si="17"/>
        <v>10938.5</v>
      </c>
      <c r="W10" s="116"/>
      <c r="X10" s="78"/>
    </row>
    <row r="11" spans="1:24" s="142" customFormat="1" ht="38.1" customHeight="1" x14ac:dyDescent="0.3">
      <c r="A11" s="73" t="str">
        <f t="shared" si="18"/>
        <v>E00000803061120402</v>
      </c>
      <c r="B11" s="106"/>
      <c r="C11" s="106"/>
      <c r="D11" s="106"/>
      <c r="E11" s="106"/>
      <c r="F11" s="101"/>
      <c r="G11" s="74" t="s">
        <v>122</v>
      </c>
      <c r="H11" s="74"/>
      <c r="I11" s="101"/>
      <c r="J11" s="133" t="s">
        <v>123</v>
      </c>
      <c r="K11" s="133" t="s">
        <v>124</v>
      </c>
      <c r="L11" s="117" t="s">
        <v>129</v>
      </c>
      <c r="M11" s="132">
        <v>20</v>
      </c>
      <c r="N11" s="127"/>
      <c r="O11" s="128">
        <f t="shared" si="13"/>
        <v>0</v>
      </c>
      <c r="P11" s="127">
        <v>10432</v>
      </c>
      <c r="Q11" s="128">
        <f t="shared" si="14"/>
        <v>174214.39999999999</v>
      </c>
      <c r="R11" s="129"/>
      <c r="S11" s="128">
        <f t="shared" si="15"/>
        <v>0</v>
      </c>
      <c r="T11" s="129"/>
      <c r="U11" s="128">
        <f t="shared" si="16"/>
        <v>0</v>
      </c>
      <c r="V11" s="77">
        <f t="shared" si="17"/>
        <v>174214.39999999999</v>
      </c>
      <c r="W11" s="116"/>
      <c r="X11" s="78"/>
    </row>
    <row r="12" spans="1:24" s="142" customFormat="1" ht="38.1" customHeight="1" x14ac:dyDescent="0.3">
      <c r="A12" s="73" t="str">
        <f t="shared" si="18"/>
        <v>E00000803061300201</v>
      </c>
      <c r="B12" s="106"/>
      <c r="C12" s="106"/>
      <c r="D12" s="106"/>
      <c r="E12" s="106"/>
      <c r="F12" s="101"/>
      <c r="G12" s="74" t="s">
        <v>126</v>
      </c>
      <c r="H12" s="74"/>
      <c r="I12" s="101"/>
      <c r="J12" s="133" t="s">
        <v>127</v>
      </c>
      <c r="K12" s="133" t="s">
        <v>128</v>
      </c>
      <c r="L12" s="117" t="s">
        <v>125</v>
      </c>
      <c r="M12" s="132">
        <v>20</v>
      </c>
      <c r="N12" s="127"/>
      <c r="O12" s="128">
        <f t="shared" si="13"/>
        <v>0</v>
      </c>
      <c r="P12" s="127">
        <v>6179</v>
      </c>
      <c r="Q12" s="128">
        <f t="shared" si="14"/>
        <v>103189.29999999999</v>
      </c>
      <c r="R12" s="129"/>
      <c r="S12" s="128">
        <f t="shared" si="15"/>
        <v>0</v>
      </c>
      <c r="T12" s="129"/>
      <c r="U12" s="128">
        <f t="shared" si="16"/>
        <v>0</v>
      </c>
      <c r="V12" s="77">
        <f t="shared" si="17"/>
        <v>103189.29999999999</v>
      </c>
      <c r="W12" s="116"/>
      <c r="X12" s="78"/>
    </row>
    <row r="13" spans="1:24" s="142" customFormat="1" ht="38.1" customHeight="1" x14ac:dyDescent="0.3">
      <c r="A13" s="73" t="str">
        <f t="shared" ref="A13" si="19">F13&amp;G13&amp;H13&amp;I13</f>
        <v>E00000801011510701</v>
      </c>
      <c r="B13" s="106"/>
      <c r="C13" s="106"/>
      <c r="D13" s="106"/>
      <c r="E13" s="106"/>
      <c r="F13" s="101"/>
      <c r="G13" s="74" t="s">
        <v>149</v>
      </c>
      <c r="H13" s="74"/>
      <c r="I13" s="101"/>
      <c r="J13" s="144" t="s">
        <v>146</v>
      </c>
      <c r="K13" s="144" t="s">
        <v>147</v>
      </c>
      <c r="L13" s="145" t="s">
        <v>148</v>
      </c>
      <c r="M13" s="132">
        <v>79</v>
      </c>
      <c r="N13" s="143"/>
      <c r="O13" s="76">
        <f t="shared" si="13"/>
        <v>0</v>
      </c>
      <c r="P13" s="157">
        <v>4966</v>
      </c>
      <c r="Q13" s="76">
        <f t="shared" ref="Q13" si="20">(P13*M13)*$Q$2</f>
        <v>327582.19</v>
      </c>
      <c r="R13" s="77"/>
      <c r="S13" s="76">
        <f t="shared" ref="S13" si="21">R13*M13*$S$2</f>
        <v>0</v>
      </c>
      <c r="T13" s="77"/>
      <c r="U13" s="76">
        <f t="shared" ref="U13" si="22">T13*M13*$U$2</f>
        <v>0</v>
      </c>
      <c r="V13" s="77">
        <f t="shared" ref="V13" si="23">SUM(O13+Q13)+S13+U13</f>
        <v>327582.19</v>
      </c>
      <c r="W13" s="116"/>
      <c r="X13" s="78"/>
    </row>
    <row r="14" spans="1:24" s="151" customFormat="1" ht="38.1" customHeight="1" x14ac:dyDescent="0.3">
      <c r="A14" s="146"/>
      <c r="B14" s="147"/>
      <c r="C14" s="147"/>
      <c r="D14" s="147"/>
      <c r="E14" s="147"/>
      <c r="F14" s="147"/>
      <c r="G14" s="147"/>
      <c r="H14" s="147"/>
      <c r="I14" s="147"/>
      <c r="J14" s="136"/>
      <c r="K14" s="136"/>
      <c r="L14" s="147"/>
      <c r="M14" s="147"/>
      <c r="N14" s="147"/>
      <c r="O14" s="148">
        <f>SUM(O5:O13)</f>
        <v>588767.76850000001</v>
      </c>
      <c r="P14" s="149"/>
      <c r="Q14" s="148">
        <f>SUM(Q5:Q13)</f>
        <v>2242800.8584199999</v>
      </c>
      <c r="R14" s="149"/>
      <c r="S14" s="148">
        <f>SUM(S5:S13)</f>
        <v>0</v>
      </c>
      <c r="T14" s="149"/>
      <c r="U14" s="148">
        <f>SUM(U5:U13)</f>
        <v>0</v>
      </c>
      <c r="V14" s="150">
        <f>SUM(V5:V13)</f>
        <v>2831568.6269199997</v>
      </c>
      <c r="W14" s="109"/>
      <c r="X14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zoomScaleNormal="100" workbookViewId="0">
      <selection activeCell="A25" sqref="A25:A26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205" t="s">
        <v>59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15" customHeight="1" x14ac:dyDescent="0.3">
      <c r="A2" s="206" t="s">
        <v>60</v>
      </c>
      <c r="B2" s="207" t="s">
        <v>61</v>
      </c>
      <c r="C2" s="208" t="s">
        <v>47</v>
      </c>
      <c r="D2" s="208" t="s">
        <v>62</v>
      </c>
      <c r="E2" s="210" t="s">
        <v>63</v>
      </c>
      <c r="F2" s="207"/>
      <c r="G2" s="207" t="s">
        <v>64</v>
      </c>
      <c r="H2" s="207"/>
      <c r="I2" s="211" t="s">
        <v>65</v>
      </c>
      <c r="J2" s="212"/>
      <c r="K2" s="211" t="s">
        <v>66</v>
      </c>
      <c r="L2" s="212"/>
      <c r="M2" s="210" t="s">
        <v>67</v>
      </c>
      <c r="N2" s="207"/>
      <c r="O2" s="213" t="s">
        <v>68</v>
      </c>
    </row>
    <row r="3" spans="1:15" ht="15" customHeight="1" x14ac:dyDescent="0.3">
      <c r="A3" s="206"/>
      <c r="B3" s="207"/>
      <c r="C3" s="209"/>
      <c r="D3" s="209"/>
      <c r="E3" s="123" t="s">
        <v>69</v>
      </c>
      <c r="F3" s="123" t="s">
        <v>70</v>
      </c>
      <c r="G3" s="80" t="s">
        <v>69</v>
      </c>
      <c r="H3" s="123" t="s">
        <v>71</v>
      </c>
      <c r="I3" s="123"/>
      <c r="J3" s="123"/>
      <c r="K3" s="80" t="s">
        <v>69</v>
      </c>
      <c r="L3" s="123" t="s">
        <v>71</v>
      </c>
      <c r="M3" s="80" t="s">
        <v>69</v>
      </c>
      <c r="N3" s="123" t="s">
        <v>71</v>
      </c>
      <c r="O3" s="214"/>
    </row>
    <row r="4" spans="1:15" ht="15" customHeight="1" x14ac:dyDescent="0.3">
      <c r="A4" s="203" t="s">
        <v>178</v>
      </c>
      <c r="B4" s="20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5" t="s">
        <v>72</v>
      </c>
      <c r="B5" s="160" t="s">
        <v>73</v>
      </c>
      <c r="C5" s="161" t="s">
        <v>74</v>
      </c>
      <c r="D5" s="168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7"/>
    </row>
    <row r="6" spans="1:15" ht="15" customHeight="1" x14ac:dyDescent="0.3">
      <c r="A6" s="196"/>
      <c r="B6" s="160" t="s">
        <v>75</v>
      </c>
      <c r="C6" s="161" t="s">
        <v>74</v>
      </c>
      <c r="D6" s="168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8"/>
    </row>
    <row r="7" spans="1:15" ht="15" customHeight="1" x14ac:dyDescent="0.3">
      <c r="A7" s="196"/>
      <c r="B7" s="160" t="s">
        <v>76</v>
      </c>
      <c r="C7" s="161" t="s">
        <v>74</v>
      </c>
      <c r="D7" s="168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8"/>
    </row>
    <row r="8" spans="1:15" ht="15" customHeight="1" x14ac:dyDescent="0.3">
      <c r="A8" s="196"/>
      <c r="B8" s="160" t="s">
        <v>77</v>
      </c>
      <c r="C8" s="161" t="s">
        <v>74</v>
      </c>
      <c r="D8" s="168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8"/>
    </row>
    <row r="9" spans="1:15" ht="15" customHeight="1" x14ac:dyDescent="0.3">
      <c r="A9" s="196"/>
      <c r="B9" s="160" t="s">
        <v>78</v>
      </c>
      <c r="C9" s="161" t="s">
        <v>74</v>
      </c>
      <c r="D9" s="168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8"/>
    </row>
    <row r="10" spans="1:15" ht="15" customHeight="1" x14ac:dyDescent="0.3">
      <c r="A10" s="196"/>
      <c r="B10" s="160" t="s">
        <v>79</v>
      </c>
      <c r="C10" s="161" t="s">
        <v>74</v>
      </c>
      <c r="D10" s="168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8"/>
    </row>
    <row r="11" spans="1:15" ht="15" customHeight="1" x14ac:dyDescent="0.3">
      <c r="A11" s="110" t="s">
        <v>80</v>
      </c>
      <c r="B11" s="111"/>
      <c r="C11" s="112"/>
      <c r="D11" s="89">
        <f>SUM(D5:D10)</f>
        <v>139.6</v>
      </c>
      <c r="E11" s="113"/>
      <c r="F11" s="113">
        <f>SUM(F5:F10)</f>
        <v>147557.20000000001</v>
      </c>
      <c r="G11" s="113"/>
      <c r="H11" s="113">
        <f>SUM(H5:H10)</f>
        <v>1369036.5399999998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1516593.7399999998</v>
      </c>
      <c r="O11" s="113"/>
    </row>
    <row r="12" spans="1:15" ht="15" customHeight="1" x14ac:dyDescent="0.3">
      <c r="A12" s="199" t="s">
        <v>138</v>
      </c>
      <c r="B12" s="82" t="s">
        <v>81</v>
      </c>
      <c r="C12" s="83" t="s">
        <v>74</v>
      </c>
      <c r="D12" s="166">
        <v>20.7</v>
      </c>
      <c r="E12" s="118">
        <v>10855</v>
      </c>
      <c r="F12" s="118">
        <f>D12*E12</f>
        <v>224698.5</v>
      </c>
      <c r="G12" s="84">
        <v>6668.1</v>
      </c>
      <c r="H12" s="118">
        <f>D12*G12</f>
        <v>138029.67000000001</v>
      </c>
      <c r="I12" s="118"/>
      <c r="J12" s="118"/>
      <c r="K12" s="84"/>
      <c r="L12" s="118"/>
      <c r="M12" s="84"/>
      <c r="N12" s="118">
        <f t="shared" ref="N12:N14" si="3">F12+H12+J12+L12</f>
        <v>362728.17000000004</v>
      </c>
      <c r="O12" s="198"/>
    </row>
    <row r="13" spans="1:15" ht="15" customHeight="1" x14ac:dyDescent="0.3">
      <c r="A13" s="199"/>
      <c r="B13" s="82" t="s">
        <v>82</v>
      </c>
      <c r="C13" s="83" t="s">
        <v>74</v>
      </c>
      <c r="D13" s="167">
        <v>11.2</v>
      </c>
      <c r="E13" s="118">
        <v>10855</v>
      </c>
      <c r="F13" s="118">
        <f>D13*E13</f>
        <v>121575.99999999999</v>
      </c>
      <c r="G13" s="84">
        <v>6668.1</v>
      </c>
      <c r="H13" s="118">
        <f>D13*G13</f>
        <v>74682.720000000001</v>
      </c>
      <c r="I13" s="118"/>
      <c r="J13" s="118"/>
      <c r="K13" s="84"/>
      <c r="L13" s="118"/>
      <c r="M13" s="84"/>
      <c r="N13" s="118">
        <f t="shared" si="3"/>
        <v>196258.71999999997</v>
      </c>
      <c r="O13" s="198"/>
    </row>
    <row r="14" spans="1:15" ht="15" customHeight="1" x14ac:dyDescent="0.3">
      <c r="A14" s="199"/>
      <c r="B14" s="82" t="s">
        <v>83</v>
      </c>
      <c r="C14" s="83" t="s">
        <v>74</v>
      </c>
      <c r="D14" s="167">
        <v>7.8</v>
      </c>
      <c r="E14" s="118">
        <v>10855</v>
      </c>
      <c r="F14" s="118">
        <f>D14*E14</f>
        <v>84669</v>
      </c>
      <c r="G14" s="84">
        <v>6668.1</v>
      </c>
      <c r="H14" s="118">
        <f>D14*G14</f>
        <v>52011.18</v>
      </c>
      <c r="I14" s="118"/>
      <c r="J14" s="118"/>
      <c r="K14" s="84"/>
      <c r="L14" s="118"/>
      <c r="M14" s="84"/>
      <c r="N14" s="118">
        <f t="shared" si="3"/>
        <v>136680.18</v>
      </c>
      <c r="O14" s="198"/>
    </row>
    <row r="15" spans="1:15" ht="15" customHeight="1" x14ac:dyDescent="0.3">
      <c r="A15" s="102" t="s">
        <v>80</v>
      </c>
      <c r="B15" s="85"/>
      <c r="C15" s="89"/>
      <c r="D15" s="89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7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2" t="s">
        <v>135</v>
      </c>
      <c r="B17" s="163" t="s">
        <v>132</v>
      </c>
      <c r="C17" s="163" t="s">
        <v>131</v>
      </c>
      <c r="D17" s="169">
        <v>0.2</v>
      </c>
      <c r="E17" s="84">
        <v>54693</v>
      </c>
      <c r="F17" s="118">
        <f>D17*E17</f>
        <v>10938.6</v>
      </c>
      <c r="G17" s="84"/>
      <c r="H17" s="84"/>
      <c r="I17" s="84"/>
      <c r="J17" s="84"/>
      <c r="K17" s="84"/>
      <c r="L17" s="84"/>
      <c r="M17" s="84"/>
      <c r="N17" s="119">
        <f t="shared" ref="N17:N20" si="4">F17+H17+J17+L17</f>
        <v>10938.6</v>
      </c>
      <c r="O17" s="84"/>
    </row>
    <row r="18" spans="1:15" ht="15" customHeight="1" x14ac:dyDescent="0.3">
      <c r="A18" s="200" t="s">
        <v>85</v>
      </c>
      <c r="B18" s="160" t="s">
        <v>86</v>
      </c>
      <c r="C18" s="161" t="s">
        <v>74</v>
      </c>
      <c r="D18" s="164">
        <f>20</f>
        <v>20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84"/>
    </row>
    <row r="19" spans="1:15" ht="20.100000000000001" customHeight="1" x14ac:dyDescent="0.3">
      <c r="A19" s="200"/>
      <c r="B19" s="160" t="s">
        <v>87</v>
      </c>
      <c r="C19" s="161" t="s">
        <v>74</v>
      </c>
      <c r="D19" s="164">
        <f>20</f>
        <v>20</v>
      </c>
      <c r="E19" s="119"/>
      <c r="F19" s="119">
        <f t="shared" ref="F19" si="5">D19*E19</f>
        <v>0</v>
      </c>
      <c r="G19" s="119">
        <v>5159</v>
      </c>
      <c r="H19" s="119">
        <f t="shared" ref="H19:H20" si="6">D19*G19</f>
        <v>103180</v>
      </c>
      <c r="I19" s="119"/>
      <c r="J19" s="119"/>
      <c r="K19" s="119"/>
      <c r="L19" s="119"/>
      <c r="M19" s="119"/>
      <c r="N19" s="119">
        <f t="shared" si="4"/>
        <v>103180</v>
      </c>
      <c r="O19" s="201" t="s">
        <v>155</v>
      </c>
    </row>
    <row r="20" spans="1:15" ht="20.100000000000001" customHeight="1" x14ac:dyDescent="0.3">
      <c r="A20" s="194" t="s">
        <v>88</v>
      </c>
      <c r="B20" s="90" t="s">
        <v>86</v>
      </c>
      <c r="C20" s="91" t="s">
        <v>74</v>
      </c>
      <c r="D20" s="92">
        <v>20</v>
      </c>
      <c r="E20" s="119"/>
      <c r="F20" s="119">
        <f>D20*E20</f>
        <v>0</v>
      </c>
      <c r="G20" s="119">
        <v>8711</v>
      </c>
      <c r="H20" s="119">
        <f t="shared" si="6"/>
        <v>174220</v>
      </c>
      <c r="I20" s="119"/>
      <c r="J20" s="119"/>
      <c r="K20" s="119"/>
      <c r="L20" s="119"/>
      <c r="M20" s="119"/>
      <c r="N20" s="119">
        <f t="shared" si="4"/>
        <v>174220</v>
      </c>
      <c r="O20" s="202"/>
    </row>
    <row r="21" spans="1:15" ht="15" customHeight="1" x14ac:dyDescent="0.3">
      <c r="A21" s="194"/>
      <c r="B21" s="90" t="s">
        <v>87</v>
      </c>
      <c r="C21" s="91" t="s">
        <v>74</v>
      </c>
      <c r="D21" s="92">
        <v>20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84"/>
    </row>
    <row r="22" spans="1:15" ht="15" customHeight="1" x14ac:dyDescent="0.3">
      <c r="A22" s="126" t="s">
        <v>133</v>
      </c>
      <c r="B22" s="125" t="s">
        <v>134</v>
      </c>
      <c r="C22" s="125" t="s">
        <v>131</v>
      </c>
      <c r="D22" s="114">
        <v>0.13</v>
      </c>
      <c r="E22" s="84"/>
      <c r="F22" s="119"/>
      <c r="G22" s="84"/>
      <c r="H22" s="84"/>
      <c r="I22" s="84"/>
      <c r="J22" s="84"/>
      <c r="K22" s="84"/>
      <c r="L22" s="84"/>
      <c r="M22" s="84"/>
      <c r="N22" s="119"/>
      <c r="O22" s="84"/>
    </row>
    <row r="23" spans="1:15" ht="15" customHeight="1" x14ac:dyDescent="0.3">
      <c r="A23" s="194" t="s">
        <v>89</v>
      </c>
      <c r="B23" s="90" t="s">
        <v>90</v>
      </c>
      <c r="C23" s="91" t="s">
        <v>74</v>
      </c>
      <c r="D23" s="92">
        <v>10</v>
      </c>
      <c r="E23" s="84"/>
      <c r="F23" s="84"/>
      <c r="G23" s="84"/>
      <c r="H23" s="84"/>
      <c r="I23" s="84"/>
      <c r="J23" s="84"/>
      <c r="K23" s="84"/>
      <c r="L23" s="118"/>
      <c r="M23" s="84"/>
      <c r="N23" s="118"/>
      <c r="O23" s="84"/>
    </row>
    <row r="24" spans="1:15" ht="15" customHeight="1" x14ac:dyDescent="0.3">
      <c r="A24" s="194"/>
      <c r="B24" s="90" t="s">
        <v>91</v>
      </c>
      <c r="C24" s="91" t="s">
        <v>74</v>
      </c>
      <c r="D24" s="92">
        <v>10</v>
      </c>
      <c r="E24" s="84"/>
      <c r="F24" s="84"/>
      <c r="G24" s="84"/>
      <c r="H24" s="84"/>
      <c r="I24" s="84"/>
      <c r="J24" s="84"/>
      <c r="K24" s="84"/>
      <c r="L24" s="118"/>
      <c r="M24" s="84"/>
      <c r="N24" s="118"/>
      <c r="O24" s="84"/>
    </row>
    <row r="25" spans="1:15" ht="15" customHeight="1" x14ac:dyDescent="0.3">
      <c r="A25" s="194" t="s">
        <v>92</v>
      </c>
      <c r="B25" s="90" t="s">
        <v>90</v>
      </c>
      <c r="C25" s="91" t="s">
        <v>74</v>
      </c>
      <c r="D25" s="92">
        <v>2</v>
      </c>
      <c r="E25" s="84"/>
      <c r="F25" s="84"/>
      <c r="G25" s="84"/>
      <c r="H25" s="84"/>
      <c r="I25" s="84"/>
      <c r="J25" s="84"/>
      <c r="K25" s="84"/>
      <c r="L25" s="118"/>
      <c r="M25" s="84"/>
      <c r="N25" s="118"/>
      <c r="O25" s="84"/>
    </row>
    <row r="26" spans="1:15" ht="15" customHeight="1" x14ac:dyDescent="0.3">
      <c r="A26" s="194"/>
      <c r="B26" s="90" t="s">
        <v>93</v>
      </c>
      <c r="C26" s="91" t="s">
        <v>74</v>
      </c>
      <c r="D26" s="92">
        <v>2</v>
      </c>
      <c r="E26" s="84"/>
      <c r="F26" s="84"/>
      <c r="G26" s="84"/>
      <c r="H26" s="84"/>
      <c r="I26" s="84"/>
      <c r="J26" s="84"/>
      <c r="K26" s="84"/>
      <c r="L26" s="118"/>
      <c r="M26" s="84"/>
      <c r="N26" s="118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8" t="s">
        <v>94</v>
      </c>
      <c r="B28" s="82" t="s">
        <v>95</v>
      </c>
      <c r="C28" s="83" t="s">
        <v>74</v>
      </c>
      <c r="D28" s="120">
        <v>79</v>
      </c>
      <c r="E28" s="118"/>
      <c r="F28" s="118"/>
      <c r="G28" s="84">
        <v>4147</v>
      </c>
      <c r="H28" s="118">
        <f>D28*G28</f>
        <v>327613</v>
      </c>
      <c r="I28" s="118"/>
      <c r="J28" s="118"/>
      <c r="K28" s="118"/>
      <c r="L28" s="118"/>
      <c r="M28" s="118"/>
      <c r="N28" s="118">
        <f>F28+H28+J28+L28</f>
        <v>327613</v>
      </c>
      <c r="O28" s="95"/>
    </row>
    <row r="29" spans="1:15" ht="15" customHeight="1" x14ac:dyDescent="0.3">
      <c r="A29" s="102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 t="e">
        <f>N11+N15+N27+N29+#REF!</f>
        <v>#REF!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13B8-2523-429F-A8A2-BFAD84D87370}">
  <dimension ref="A1"/>
  <sheetViews>
    <sheetView workbookViewId="0">
      <selection activeCell="N15" sqref="N15"/>
    </sheetView>
  </sheetViews>
  <sheetFormatPr defaultColWidth="9" defaultRowHeight="16.5" x14ac:dyDescent="0.3"/>
  <cols>
    <col min="1" max="4" width="9" style="171"/>
    <col min="5" max="5" width="15.125" style="171" customWidth="1"/>
    <col min="6" max="16384" width="9" style="171"/>
  </cols>
  <sheetData/>
  <phoneticPr fontId="6" type="noConversion"/>
  <pageMargins left="0.7" right="0.7" top="0.75" bottom="0.75" header="0.3" footer="0.3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D80-E9E6-484C-B8C6-ABB659A4716C}">
  <sheetPr>
    <pageSetUpPr fitToPage="1"/>
  </sheetPr>
  <dimension ref="A1:R4"/>
  <sheetViews>
    <sheetView workbookViewId="0">
      <selection activeCell="H15" sqref="H15"/>
    </sheetView>
  </sheetViews>
  <sheetFormatPr defaultColWidth="9" defaultRowHeight="16.5" x14ac:dyDescent="0.3"/>
  <cols>
    <col min="1" max="1" width="11.125" style="171" customWidth="1"/>
    <col min="2" max="2" width="13.375" style="171" customWidth="1"/>
    <col min="3" max="3" width="38.75" style="171" customWidth="1"/>
    <col min="4" max="4" width="28.75" style="171" customWidth="1"/>
    <col min="5" max="5" width="5" style="171" customWidth="1"/>
    <col min="6" max="6" width="6.25" style="171" customWidth="1"/>
    <col min="7" max="7" width="10" style="171" customWidth="1"/>
    <col min="8" max="8" width="11.875" style="171" customWidth="1"/>
    <col min="9" max="9" width="10" style="171" customWidth="1"/>
    <col min="10" max="10" width="11.875" style="171" customWidth="1"/>
    <col min="11" max="11" width="10" style="171" customWidth="1"/>
    <col min="12" max="12" width="11.875" style="171" customWidth="1"/>
    <col min="13" max="13" width="10" style="171" customWidth="1"/>
    <col min="14" max="14" width="11.875" style="171" customWidth="1"/>
    <col min="15" max="15" width="9.125" style="171" customWidth="1"/>
    <col min="16" max="16" width="11.5" style="171" customWidth="1"/>
    <col min="17" max="17" width="11.75" style="171" customWidth="1"/>
    <col min="18" max="18" width="17.875" style="171" customWidth="1"/>
    <col min="19" max="16384" width="9" style="171"/>
  </cols>
  <sheetData>
    <row r="1" spans="1:18" ht="18" customHeight="1" x14ac:dyDescent="0.3">
      <c r="A1" s="103" t="s">
        <v>156</v>
      </c>
      <c r="B1" s="172" t="s">
        <v>157</v>
      </c>
      <c r="C1" s="172" t="s">
        <v>158</v>
      </c>
      <c r="D1" s="172" t="s">
        <v>159</v>
      </c>
      <c r="E1" s="172" t="s">
        <v>47</v>
      </c>
      <c r="F1" s="172" t="s">
        <v>5</v>
      </c>
      <c r="G1" s="172" t="s">
        <v>160</v>
      </c>
      <c r="H1" s="172" t="s">
        <v>161</v>
      </c>
      <c r="I1" s="172" t="s">
        <v>162</v>
      </c>
      <c r="J1" s="172" t="s">
        <v>163</v>
      </c>
      <c r="K1" s="172" t="s">
        <v>164</v>
      </c>
      <c r="L1" s="172" t="s">
        <v>165</v>
      </c>
      <c r="M1" s="172" t="s">
        <v>166</v>
      </c>
      <c r="N1" s="172" t="s">
        <v>167</v>
      </c>
      <c r="O1" s="172" t="s">
        <v>168</v>
      </c>
      <c r="P1" s="172" t="s">
        <v>169</v>
      </c>
      <c r="Q1" s="172" t="s">
        <v>170</v>
      </c>
      <c r="R1" s="172" t="s">
        <v>171</v>
      </c>
    </row>
    <row r="2" spans="1:18" x14ac:dyDescent="0.3">
      <c r="A2" s="66">
        <v>999999</v>
      </c>
      <c r="B2" s="139" t="s">
        <v>172</v>
      </c>
      <c r="C2" s="66" t="s">
        <v>174</v>
      </c>
      <c r="D2" s="66" t="s">
        <v>173</v>
      </c>
      <c r="E2" s="66" t="s">
        <v>175</v>
      </c>
      <c r="F2" s="173">
        <v>1</v>
      </c>
      <c r="G2" s="174">
        <v>50000</v>
      </c>
      <c r="H2" s="174"/>
      <c r="I2" s="174"/>
      <c r="J2" s="139"/>
      <c r="K2" s="139"/>
      <c r="L2" s="139"/>
      <c r="M2" s="139"/>
      <c r="N2" s="139"/>
      <c r="O2" s="139"/>
      <c r="P2" s="139"/>
      <c r="Q2" s="139"/>
      <c r="R2" s="139"/>
    </row>
    <row r="3" spans="1:18" x14ac:dyDescent="0.3">
      <c r="D3" s="175"/>
    </row>
    <row r="4" spans="1:18" x14ac:dyDescent="0.3">
      <c r="D4" s="175"/>
    </row>
  </sheetData>
  <phoneticPr fontId="6" type="noConversion"/>
  <pageMargins left="0.7" right="0.7" top="0.75" bottom="0.75" header="0.3" footer="0.3"/>
  <pageSetup paperSize="9" scale="4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G31" sqref="G30:G31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8.4789999999999992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1.978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1.4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M020412614110102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M020412614110102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E00000803061120402</v>
      </c>
      <c r="B8" s="105">
        <f>'내역서(표준단가)'!F11</f>
        <v>0</v>
      </c>
      <c r="C8" s="105" t="str">
        <f>'내역서(표준단가)'!G11</f>
        <v>E00000803061120402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20</v>
      </c>
    </row>
    <row r="9" spans="1:6" x14ac:dyDescent="0.3">
      <c r="A9" s="104" t="str">
        <f>'내역서(표준단가)'!A12</f>
        <v>E00000803061300201</v>
      </c>
      <c r="B9" s="105">
        <f>'내역서(표준단가)'!F12</f>
        <v>0</v>
      </c>
      <c r="C9" s="105" t="str">
        <f>'내역서(표준단가)'!G12</f>
        <v>E00000803061300201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20</v>
      </c>
    </row>
    <row r="10" spans="1:6" x14ac:dyDescent="0.3">
      <c r="A10" s="104" t="str">
        <f>'내역서(표준단가)'!A13</f>
        <v>E00000801011510701</v>
      </c>
      <c r="B10" s="105">
        <f>'내역서(표준단가)'!F13</f>
        <v>0</v>
      </c>
      <c r="C10" s="105" t="str">
        <f>'내역서(표준단가)'!G13</f>
        <v>E00000801011510701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상세내역</vt:lpstr>
      <vt:lpstr>시중가 근거서류</vt:lpstr>
      <vt:lpstr>Upload(시중가)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2025-07-09T03:30:59Z</dcterms:modified>
</cp:coreProperties>
</file>
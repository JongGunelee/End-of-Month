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25\06 작업폴더\01 사택 1동-9동 주차장 주차면 정리\"/>
    </mc:Choice>
  </mc:AlternateContent>
  <xr:revisionPtr revIDLastSave="0" documentId="13_ncr:1_{C251C804-26A2-4444-A95E-FEE9B165584E}" xr6:coauthVersionLast="47" xr6:coauthVersionMax="47" xr10:uidLastSave="{00000000-0000-0000-0000-000000000000}"/>
  <bookViews>
    <workbookView xWindow="3900" yWindow="0" windowWidth="14490" windowHeight="16245" xr2:uid="{00000000-000D-0000-FFFF-FFFF00000000}"/>
  </bookViews>
  <sheets>
    <sheet name="갑지" sheetId="5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C2" i="1"/>
  <c r="B2" i="1"/>
  <c r="O6" i="4"/>
  <c r="U6" i="4"/>
  <c r="S6" i="4"/>
  <c r="Q6" i="4"/>
  <c r="U5" i="4"/>
  <c r="S5" i="4"/>
  <c r="Q5" i="4"/>
  <c r="O5" i="4"/>
  <c r="A5" i="4"/>
  <c r="A2" i="1" s="1"/>
  <c r="V6" i="4" l="1"/>
  <c r="V5" i="4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<sst xmlns="http://schemas.openxmlformats.org/spreadsheetml/2006/main" count="130" uniqueCount="107">
  <si>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</si>
  <si>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</si>
  <si>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</si>
  <si>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</si>
  <si>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</si>
  <si>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</si>
  <si>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</si>
  <si>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</si>
  <si>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</si>
  <si>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</si>
  <si>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</si>
  <si>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</si>
  <si>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</si>
  <si>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</si>
  <si>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</si>
  <si>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</si>
  <si>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</si>
  <si>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</si>
  <si>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</si>
  <si>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</si>
  <si>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</si>
  <si>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</si>
  <si>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</si>
  <si>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</si>
  <si>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</si>
  <si>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</si>
  <si>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</si>
  <si>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</si>
  <si>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</si>
  <si>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</si>
  <si>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</si>
  <si>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</si>
  <si>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</si>
  <si>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</si>
  <si>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</si>
  <si>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</si>
  <si>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</si>
  <si>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</si>
  <si>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</si>
  <si>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</si>
  <si>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</si>
  <si>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</si>
  <si>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</si>
  <si>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</si>
  <si>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</si>
  <si>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</si>
  <si>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</si>
  <si>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</si>
  <si>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</si>
  <si>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</si>
  <si>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</si>
  <si>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</si>
  <si>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</si>
  <si>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</si>
  <si>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</si>
  <si>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</si>
  <si>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</si>
  <si>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</si>
  <si>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</si>
  <si>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</si>
  <si>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</si>
  <si>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</si>
  <si>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</si>
  <si>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</si>
  <si>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</si>
  <si>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</si>
  <si>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</si>
  <si>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</si>
  <si>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</si>
  <si>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</si>
  <si>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</si>
  <si>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</si>
  <si>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</si>
  <si>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</si>
  <si>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</si>
  <si>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인</t>
    <phoneticPr fontId="11" type="noConversion"/>
  </si>
  <si>
    <t>영선,건축</t>
    <phoneticPr fontId="11" type="noConversion"/>
  </si>
  <si>
    <t>단가</t>
    <phoneticPr fontId="13" type="noConversion"/>
  </si>
  <si>
    <t>set</t>
    <phoneticPr fontId="11" type="noConversion"/>
  </si>
  <si>
    <t>L003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</si>
  <si>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</si>
  <si>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</si>
  <si>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</si>
  <si>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</si>
  <si>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</si>
  <si>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</si>
  <si>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</si>
  <si>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</si>
  <si>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</si>
  <si>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</si>
  <si>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</si>
  <si>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</si>
  <si>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</si>
  <si>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</si>
  <si>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</si>
  <si>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</si>
  <si>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</si>
  <si>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</si>
  <si>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</si>
  <si>
    <t> (재료비+노무비)*3.11%</t>
    <phoneticPr fontId="19" type="noConversion"/>
  </si>
  <si>
    <t xml:space="preserve">시중노임단가, 특별인부 </t>
    <phoneticPr fontId="11" type="noConversion"/>
  </si>
  <si>
    <t>시중가, 전문업체 견적서 첨부</t>
    <phoneticPr fontId="11" type="noConversion"/>
  </si>
  <si>
    <t>차선도색</t>
    <phoneticPr fontId="11" type="noConversion"/>
  </si>
  <si>
    <t xml:space="preserve"> 공사명 : 사택 1,9동 보행도 차선 도색 </t>
    <phoneticPr fontId="17" type="noConversion"/>
  </si>
  <si>
    <t xml:space="preserve"> 견적일 : 2025년  09월  25일</t>
    <phoneticPr fontId="17" type="noConversion"/>
  </si>
  <si>
    <t>차선도색 차량통제 현장관리원, 2일 작업</t>
    <phoneticPr fontId="11" type="noConversion"/>
  </si>
  <si>
    <t>차선도색 , 사택 1,9동 보행도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</si>
</sst>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;\-#,##0;"/>
    <numFmt numFmtId="185" formatCode="0.000"/>
    <numFmt numFmtId="186" formatCode="###,###,###,##0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3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4" fillId="0" borderId="0" xfId="6" applyFont="1" applyAlignment="1">
      <alignment vertical="center"/>
    </xf>
    <xf numFmtId="0" fontId="25" fillId="0" borderId="0" xfId="3" applyFont="1"/>
    <xf numFmtId="0" fontId="26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8" fillId="0" borderId="0" xfId="10" applyFont="1"/>
    <xf numFmtId="181" fontId="26" fillId="0" borderId="0" xfId="1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49" fontId="25" fillId="7" borderId="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77" fontId="25" fillId="0" borderId="0" xfId="1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 shrinkToFit="1"/>
    </xf>
    <xf numFmtId="49" fontId="25" fillId="0" borderId="0" xfId="0" applyNumberFormat="1" applyFont="1" applyAlignment="1">
      <alignment horizontal="center" vertical="center" wrapText="1"/>
    </xf>
    <xf numFmtId="183" fontId="25" fillId="0" borderId="0" xfId="1" applyNumberFormat="1" applyFont="1" applyFill="1" applyBorder="1" applyAlignment="1">
      <alignment horizontal="center" vertical="center"/>
    </xf>
    <xf numFmtId="177" fontId="25" fillId="0" borderId="0" xfId="1" applyFont="1" applyBorder="1" applyAlignment="1">
      <alignment horizontal="center" vertical="center" wrapText="1"/>
    </xf>
    <xf numFmtId="49" fontId="25" fillId="2" borderId="0" xfId="0" applyNumberFormat="1" applyFont="1" applyFill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77" fontId="25" fillId="0" borderId="3" xfId="1" applyFont="1" applyFill="1" applyBorder="1" applyAlignment="1">
      <alignment vertical="center" wrapText="1"/>
    </xf>
    <xf numFmtId="9" fontId="25" fillId="0" borderId="3" xfId="0" applyNumberFormat="1" applyFont="1" applyBorder="1">
      <alignment vertical="center"/>
    </xf>
    <xf numFmtId="0" fontId="25" fillId="0" borderId="23" xfId="0" applyFont="1" applyBorder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49" fontId="25" fillId="0" borderId="3" xfId="0" applyNumberFormat="1" applyFont="1" applyBorder="1" applyAlignment="1">
      <alignment horizontal="center" vertical="center" wrapText="1"/>
    </xf>
    <xf numFmtId="0" fontId="26" fillId="0" borderId="0" xfId="31" applyFont="1">
      <alignment vertical="center"/>
    </xf>
    <xf numFmtId="0" fontId="31" fillId="0" borderId="0" xfId="31" applyFont="1">
      <alignment vertical="center"/>
    </xf>
    <xf numFmtId="0" fontId="26" fillId="0" borderId="0" xfId="31" applyFont="1" applyAlignment="1">
      <alignment horizontal="center" vertical="center"/>
    </xf>
    <xf numFmtId="0" fontId="26" fillId="0" borderId="0" xfId="0" applyFont="1">
      <alignment vertical="center"/>
    </xf>
    <xf numFmtId="177" fontId="26" fillId="0" borderId="0" xfId="1" applyFont="1" applyBorder="1">
      <alignment vertical="center"/>
    </xf>
    <xf numFmtId="184" fontId="25" fillId="5" borderId="3" xfId="0" applyNumberFormat="1" applyFont="1" applyFill="1" applyBorder="1" applyAlignment="1">
      <alignment horizontal="right" vertical="center" wrapText="1"/>
    </xf>
    <xf numFmtId="184" fontId="25" fillId="6" borderId="3" xfId="1" applyNumberFormat="1" applyFont="1" applyFill="1" applyBorder="1" applyAlignment="1">
      <alignment horizontal="right" vertical="center" wrapText="1"/>
    </xf>
    <xf numFmtId="184" fontId="25" fillId="0" borderId="3" xfId="1" applyNumberFormat="1" applyFont="1" applyFill="1" applyBorder="1" applyAlignment="1">
      <alignment horizontal="right" vertical="center" wrapText="1"/>
    </xf>
    <xf numFmtId="184" fontId="25" fillId="5" borderId="3" xfId="0" applyNumberFormat="1" applyFont="1" applyFill="1" applyBorder="1" applyAlignment="1">
      <alignment horizontal="right" vertical="center"/>
    </xf>
    <xf numFmtId="49" fontId="25" fillId="5" borderId="3" xfId="1" applyNumberFormat="1" applyFont="1" applyFill="1" applyBorder="1" applyAlignment="1">
      <alignment horizontal="center" vertical="center"/>
    </xf>
    <xf numFmtId="185" fontId="25" fillId="0" borderId="3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9" fillId="4" borderId="3" xfId="3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30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8" fillId="10" borderId="0" xfId="0" applyNumberFormat="1" applyFont="1" applyFill="1">
      <alignment vertical="center"/>
    </xf>
    <xf numFmtId="0" fontId="29" fillId="0" borderId="0" xfId="0" applyFont="1">
      <alignment vertical="center"/>
    </xf>
    <xf numFmtId="0" fontId="29" fillId="5" borderId="0" xfId="0" applyFont="1" applyFill="1">
      <alignment vertical="center"/>
    </xf>
    <xf numFmtId="177" fontId="25" fillId="0" borderId="0" xfId="0" applyNumberFormat="1" applyFont="1">
      <alignment vertical="center"/>
    </xf>
    <xf numFmtId="0" fontId="32" fillId="6" borderId="22" xfId="0" applyFont="1" applyFill="1" applyBorder="1" applyAlignment="1">
      <alignment horizontal="center" vertical="center"/>
    </xf>
    <xf numFmtId="49" fontId="34" fillId="7" borderId="3" xfId="0" applyNumberFormat="1" applyFont="1" applyFill="1" applyBorder="1" applyAlignment="1">
      <alignment horizontal="center" vertical="center" wrapText="1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49" fontId="33" fillId="5" borderId="3" xfId="0" applyNumberFormat="1" applyFont="1" applyFill="1" applyBorder="1" applyAlignment="1">
      <alignment horizontal="center" vertical="center"/>
    </xf>
    <xf numFmtId="0" fontId="37" fillId="5" borderId="3" xfId="3" applyFont="1" applyFill="1" applyBorder="1" applyAlignment="1">
      <alignment horizontal="center" vertical="center" shrinkToFit="1"/>
    </xf>
    <xf numFmtId="177" fontId="38" fillId="5" borderId="3" xfId="1" applyFont="1" applyFill="1" applyBorder="1" applyAlignment="1">
      <alignment horizontal="center" vertical="center"/>
    </xf>
    <xf numFmtId="177" fontId="39" fillId="5" borderId="3" xfId="1" applyFont="1" applyFill="1" applyBorder="1" applyAlignment="1">
      <alignment vertical="center"/>
    </xf>
    <xf numFmtId="177" fontId="34" fillId="5" borderId="3" xfId="1" applyFont="1" applyFill="1" applyBorder="1" applyAlignment="1">
      <alignment horizontal="center" vertical="center" wrapText="1"/>
    </xf>
    <xf numFmtId="186" fontId="34" fillId="5" borderId="3" xfId="0" applyNumberFormat="1" applyFont="1" applyFill="1" applyBorder="1" applyAlignment="1">
      <alignment horizontal="right" vertical="center" wrapText="1"/>
    </xf>
    <xf numFmtId="177" fontId="39" fillId="6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9" fontId="32" fillId="0" borderId="3" xfId="0" applyNumberFormat="1" applyFont="1" applyBorder="1" applyAlignment="1">
      <alignment horizontal="center" vertical="center"/>
    </xf>
    <xf numFmtId="177" fontId="18" fillId="0" borderId="0" xfId="0" applyNumberFormat="1" applyFont="1">
      <alignment vertical="center"/>
    </xf>
    <xf numFmtId="0" fontId="24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2 4 3 2" xfId="32" xr:uid="{ABB5AA14-A386-4574-8F5E-637EC4B6017C}"/>
    <cellStyle name="쉼표 [0] 2 4 4" xfId="28" xr:uid="{513C62A6-0268-4236-890D-F29C52B7A826}"/>
    <cellStyle name="쉼표 [0] 2 4 5" xfId="30" xr:uid="{4F303914-66E8-41EC-B8DE-FCE6BF9299AB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4 2" xfId="31" xr:uid="{4BA36CB4-0E2E-4DB8-AA3D-9FDE06F21E87}"/>
    <cellStyle name="표준 7 5" xfId="27" xr:uid="{55C0920F-EF39-45A4-B1E9-11488D2D357A}"/>
    <cellStyle name="표준 7 6" xfId="29" xr:uid="{A72395F3-015F-4FD2-8609-F2583A780480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53590</xdr:rowOff>
    </xdr:from>
    <xdr:to>
      <xdr:col>4</xdr:col>
      <xdr:colOff>263771</xdr:colOff>
      <xdr:row>37</xdr:row>
      <xdr:rowOff>131884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0" y="222109"/>
          <a:ext cx="4447444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주차라인 도색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249116</xdr:colOff>
      <xdr:row>3</xdr:row>
      <xdr:rowOff>80596</xdr:rowOff>
    </xdr:from>
    <xdr:to>
      <xdr:col>4</xdr:col>
      <xdr:colOff>104773</xdr:colOff>
      <xdr:row>37</xdr:row>
      <xdr:rowOff>36634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857C3C3-CDA3-4877-A4AA-E1A60138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16" y="586154"/>
          <a:ext cx="4039330" cy="5685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H14" sqref="H14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35" t="s">
        <v>6</v>
      </c>
      <c r="B2" s="135"/>
      <c r="C2" s="135"/>
      <c r="D2" s="135"/>
      <c r="E2" s="135"/>
      <c r="F2" s="135"/>
      <c r="G2" s="135"/>
      <c r="H2" s="2"/>
    </row>
    <row r="3" spans="1:9" ht="14.25">
      <c r="A3" s="91"/>
      <c r="B3" s="91"/>
      <c r="C3" s="91"/>
      <c r="D3" s="91"/>
      <c r="E3" s="91"/>
      <c r="F3" s="91"/>
      <c r="G3" s="91"/>
      <c r="H3" s="91"/>
    </row>
    <row r="4" spans="1:9" ht="14.25">
      <c r="A4" s="91"/>
      <c r="B4" s="91"/>
      <c r="C4" s="91"/>
      <c r="D4" s="91"/>
      <c r="E4" s="91"/>
      <c r="H4" s="91"/>
    </row>
    <row r="5" spans="1:9" ht="27" customHeight="1">
      <c r="A5" s="92" t="s">
        <v>64</v>
      </c>
      <c r="B5" s="4"/>
      <c r="C5" s="5"/>
      <c r="D5" s="91"/>
      <c r="E5" s="91"/>
      <c r="F5" s="6" t="s">
        <v>38</v>
      </c>
      <c r="G5" s="7" t="s">
        <v>68</v>
      </c>
      <c r="H5" s="91"/>
    </row>
    <row r="6" spans="1:9" ht="27" customHeight="1">
      <c r="A6" s="91"/>
      <c r="B6" s="91"/>
      <c r="C6" s="91"/>
      <c r="D6" s="91"/>
      <c r="E6" s="91"/>
      <c r="F6" s="8" t="s">
        <v>41</v>
      </c>
      <c r="G6" s="9" t="s">
        <v>69</v>
      </c>
      <c r="H6" s="91"/>
    </row>
    <row r="7" spans="1:9" ht="27" customHeight="1">
      <c r="A7" s="141" t="s">
        <v>103</v>
      </c>
      <c r="B7" s="142"/>
      <c r="C7" s="143"/>
      <c r="D7" s="91"/>
      <c r="E7" s="10"/>
      <c r="F7" s="11" t="s">
        <v>42</v>
      </c>
      <c r="G7" s="9" t="s">
        <v>70</v>
      </c>
      <c r="H7" s="91"/>
    </row>
    <row r="8" spans="1:9" ht="27" customHeight="1">
      <c r="A8" s="91"/>
      <c r="B8" s="91"/>
      <c r="C8" s="91"/>
      <c r="D8" s="91"/>
      <c r="E8" s="91"/>
      <c r="F8" s="8" t="s">
        <v>43</v>
      </c>
      <c r="G8" s="9" t="s">
        <v>71</v>
      </c>
      <c r="H8" s="91"/>
    </row>
    <row r="9" spans="1:9" ht="27" customHeight="1">
      <c r="A9" s="138" t="s">
        <v>104</v>
      </c>
      <c r="B9" s="139"/>
      <c r="C9" s="140"/>
      <c r="D9" s="91"/>
      <c r="E9" s="91"/>
      <c r="F9" s="8" t="s">
        <v>44</v>
      </c>
      <c r="G9" s="9" t="s">
        <v>72</v>
      </c>
      <c r="H9" s="91"/>
    </row>
    <row r="10" spans="1:9" ht="27" customHeight="1">
      <c r="A10" s="91"/>
      <c r="B10" s="91"/>
      <c r="C10" s="91"/>
      <c r="D10" s="91"/>
      <c r="E10" s="91"/>
      <c r="F10" s="12" t="s">
        <v>39</v>
      </c>
      <c r="G10" s="13" t="s">
        <v>73</v>
      </c>
      <c r="H10" s="91"/>
      <c r="I10" s="91"/>
    </row>
    <row r="11" spans="1:9" ht="27" customHeight="1">
      <c r="A11" s="136"/>
      <c r="B11" s="137"/>
      <c r="C11" s="137"/>
      <c r="D11" s="91"/>
      <c r="E11" s="14"/>
      <c r="F11" s="15" t="s">
        <v>40</v>
      </c>
      <c r="G11" s="16" t="s">
        <v>74</v>
      </c>
      <c r="H11" s="14"/>
    </row>
    <row r="12" spans="1:9" ht="18.75" thickBot="1">
      <c r="A12" s="17" t="s">
        <v>7</v>
      </c>
      <c r="B12" s="17" t="str">
        <f>NUMBERSTRING(F31,1)</f>
        <v>이백삼십사만이천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'내역서(표준단가)'!O8</f>
        <v>1750000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'내역서(표준단가)'!Q8</f>
        <v>438642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2188642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19738.89</v>
      </c>
      <c r="G21" s="35" t="s">
        <v>26</v>
      </c>
    </row>
    <row r="22" spans="1:7" ht="33" customHeight="1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15549.858900000001</v>
      </c>
      <c r="G22" s="48" t="s">
        <v>28</v>
      </c>
    </row>
    <row r="23" spans="1:7" ht="33" customHeight="1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2013.7067275500001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4430.2842000000001</v>
      </c>
      <c r="G24" s="35" t="s">
        <v>28</v>
      </c>
    </row>
    <row r="25" spans="1:7" ht="33" customHeight="1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15615.655199999999</v>
      </c>
      <c r="G25" s="35" t="s">
        <v>28</v>
      </c>
    </row>
    <row r="26" spans="1:7" ht="33" customHeight="1">
      <c r="A26" s="29"/>
      <c r="B26" s="42" t="s">
        <v>32</v>
      </c>
      <c r="C26" s="49" t="s">
        <v>99</v>
      </c>
      <c r="D26" s="30">
        <v>1</v>
      </c>
      <c r="E26" s="30" t="s">
        <v>25</v>
      </c>
      <c r="F26" s="43">
        <f>(F16+F17)*3.11%</f>
        <v>68066.766199999998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28202.858061377501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153618.01928892752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2342260.0192889273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2342000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R1" sqref="R1:U1048576"/>
    </sheetView>
  </sheetViews>
  <sheetFormatPr defaultColWidth="9" defaultRowHeight="38.1" customHeight="1"/>
  <cols>
    <col min="1" max="1" width="20.875" style="116" bestFit="1" customWidth="1"/>
    <col min="2" max="5" width="18.5" style="116" hidden="1" customWidth="1"/>
    <col min="6" max="9" width="17.625" style="66" hidden="1" customWidth="1"/>
    <col min="10" max="10" width="32.125" style="105" customWidth="1"/>
    <col min="11" max="11" width="30.625" style="105" customWidth="1"/>
    <col min="12" max="12" width="5.25" style="66" bestFit="1" customWidth="1"/>
    <col min="13" max="13" width="6.125" style="66" bestFit="1" customWidth="1"/>
    <col min="14" max="14" width="13" style="66" bestFit="1" customWidth="1"/>
    <col min="15" max="15" width="15.5" style="66" bestFit="1" customWidth="1"/>
    <col min="16" max="16" width="11" style="66" bestFit="1" customWidth="1"/>
    <col min="17" max="17" width="15.5" style="66" customWidth="1"/>
    <col min="18" max="18" width="12.375" style="66" hidden="1" customWidth="1"/>
    <col min="19" max="19" width="8.5" style="66" hidden="1" customWidth="1"/>
    <col min="20" max="20" width="12.625" style="66" hidden="1" customWidth="1"/>
    <col min="21" max="21" width="8.5" style="66" hidden="1" customWidth="1"/>
    <col min="22" max="22" width="16.75" style="66" bestFit="1" customWidth="1"/>
    <col min="23" max="23" width="10.75" style="67" bestFit="1" customWidth="1"/>
    <col min="24" max="24" width="9.125" style="66" bestFit="1" customWidth="1"/>
    <col min="25" max="16384" width="9" style="66"/>
  </cols>
  <sheetData>
    <row r="1" spans="1:24" ht="19.899999999999999" customHeight="1">
      <c r="A1" s="144"/>
      <c r="B1" s="144"/>
      <c r="C1" s="144"/>
      <c r="D1" s="144"/>
      <c r="E1" s="144"/>
      <c r="F1" s="144"/>
      <c r="G1" s="144"/>
      <c r="H1" s="144"/>
      <c r="I1" s="144"/>
      <c r="N1" s="67"/>
      <c r="O1" s="108" t="s">
        <v>80</v>
      </c>
      <c r="Q1" s="108" t="s">
        <v>80</v>
      </c>
      <c r="S1" s="108" t="s">
        <v>80</v>
      </c>
      <c r="U1" s="108" t="s">
        <v>80</v>
      </c>
    </row>
    <row r="2" spans="1:24" ht="19.899999999999999" customHeight="1" thickBot="1">
      <c r="A2" s="144"/>
      <c r="B2" s="144"/>
      <c r="C2" s="144"/>
      <c r="D2" s="144"/>
      <c r="E2" s="144"/>
      <c r="F2" s="144"/>
      <c r="G2" s="144"/>
      <c r="H2" s="144"/>
      <c r="I2" s="144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>
      <c r="A3" s="109"/>
      <c r="B3" s="109"/>
      <c r="C3" s="109"/>
      <c r="D3" s="109"/>
      <c r="E3" s="109"/>
      <c r="F3" s="109" t="s">
        <v>81</v>
      </c>
      <c r="G3" s="110"/>
      <c r="H3" s="110"/>
      <c r="I3" s="110"/>
      <c r="J3" s="155" t="s">
        <v>82</v>
      </c>
      <c r="K3" s="155"/>
      <c r="L3" s="153" t="s">
        <v>51</v>
      </c>
      <c r="M3" s="153" t="s">
        <v>5</v>
      </c>
      <c r="N3" s="149" t="s">
        <v>83</v>
      </c>
      <c r="O3" s="149"/>
      <c r="P3" s="149" t="s">
        <v>84</v>
      </c>
      <c r="Q3" s="149"/>
      <c r="R3" s="150" t="s">
        <v>85</v>
      </c>
      <c r="S3" s="150"/>
      <c r="T3" s="150" t="s">
        <v>86</v>
      </c>
      <c r="U3" s="150"/>
      <c r="V3" s="151" t="s">
        <v>87</v>
      </c>
      <c r="W3" s="147" t="s">
        <v>88</v>
      </c>
      <c r="X3" s="145" t="s">
        <v>45</v>
      </c>
    </row>
    <row r="4" spans="1:24" ht="19.899999999999999" customHeight="1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6" t="s">
        <v>94</v>
      </c>
      <c r="K4" s="106" t="s">
        <v>95</v>
      </c>
      <c r="L4" s="154"/>
      <c r="M4" s="154"/>
      <c r="N4" s="73" t="s">
        <v>96</v>
      </c>
      <c r="O4" s="74" t="s">
        <v>97</v>
      </c>
      <c r="P4" s="73" t="s">
        <v>77</v>
      </c>
      <c r="Q4" s="74" t="s">
        <v>97</v>
      </c>
      <c r="R4" s="74" t="s">
        <v>98</v>
      </c>
      <c r="S4" s="74" t="s">
        <v>97</v>
      </c>
      <c r="T4" s="74" t="s">
        <v>98</v>
      </c>
      <c r="U4" s="74" t="s">
        <v>97</v>
      </c>
      <c r="V4" s="152"/>
      <c r="W4" s="148"/>
      <c r="X4" s="146"/>
    </row>
    <row r="5" spans="1:24" s="111" customFormat="1" ht="38.1" customHeight="1">
      <c r="A5" s="118" t="str">
        <f t="shared" ref="A5" si="0">F5&amp;G5&amp;H5&amp;I5</f>
        <v>L003</v>
      </c>
      <c r="B5" s="123"/>
      <c r="C5" s="123"/>
      <c r="D5" s="123"/>
      <c r="E5" s="123"/>
      <c r="F5" s="119"/>
      <c r="G5" s="124"/>
      <c r="H5" s="124"/>
      <c r="I5" s="119" t="s">
        <v>79</v>
      </c>
      <c r="J5" s="125" t="s">
        <v>105</v>
      </c>
      <c r="K5" s="126" t="s">
        <v>100</v>
      </c>
      <c r="L5" s="127" t="s">
        <v>75</v>
      </c>
      <c r="M5" s="128">
        <v>2</v>
      </c>
      <c r="N5" s="129"/>
      <c r="O5" s="120">
        <f t="shared" ref="O5" si="1">SUM(N5:N5)*M5*$O$2</f>
        <v>0</v>
      </c>
      <c r="P5" s="130">
        <v>219321</v>
      </c>
      <c r="Q5" s="131">
        <f>M5*P5</f>
        <v>438642</v>
      </c>
      <c r="R5" s="121"/>
      <c r="S5" s="120">
        <f t="shared" ref="S5:S6" si="2">R5*M5*$S$2</f>
        <v>0</v>
      </c>
      <c r="T5" s="121"/>
      <c r="U5" s="120">
        <f t="shared" ref="U5:U6" si="3">T5*M5*$U$2</f>
        <v>0</v>
      </c>
      <c r="V5" s="132">
        <f t="shared" ref="V5:V6" si="4">SUM(O5+Q5)+S5+U5</f>
        <v>438642</v>
      </c>
      <c r="W5" s="133"/>
      <c r="X5" s="122"/>
    </row>
    <row r="6" spans="1:24" s="111" customFormat="1" ht="38.1" customHeight="1">
      <c r="A6" s="118">
        <v>999999</v>
      </c>
      <c r="B6" s="123"/>
      <c r="C6" s="123"/>
      <c r="D6" s="123"/>
      <c r="E6" s="123"/>
      <c r="F6" s="119"/>
      <c r="G6" s="124"/>
      <c r="H6" s="124"/>
      <c r="I6" s="119"/>
      <c r="J6" s="125" t="s">
        <v>106</v>
      </c>
      <c r="K6" s="126" t="s">
        <v>101</v>
      </c>
      <c r="L6" s="127" t="s">
        <v>78</v>
      </c>
      <c r="M6" s="128">
        <v>1</v>
      </c>
      <c r="N6" s="129">
        <v>1750000</v>
      </c>
      <c r="O6" s="120">
        <f>M6*N6</f>
        <v>1750000</v>
      </c>
      <c r="P6" s="130"/>
      <c r="Q6" s="131">
        <f>M6*P6</f>
        <v>0</v>
      </c>
      <c r="R6" s="121"/>
      <c r="S6" s="120">
        <f t="shared" si="2"/>
        <v>0</v>
      </c>
      <c r="T6" s="121"/>
      <c r="U6" s="120">
        <f t="shared" si="3"/>
        <v>0</v>
      </c>
      <c r="V6" s="132">
        <f t="shared" si="4"/>
        <v>1750000</v>
      </c>
      <c r="W6" s="133"/>
      <c r="X6" s="122"/>
    </row>
    <row r="7" spans="1:24" s="111" customFormat="1" ht="38.1" customHeight="1">
      <c r="A7" s="75"/>
      <c r="B7" s="87"/>
      <c r="C7" s="87"/>
      <c r="D7" s="87"/>
      <c r="E7" s="87"/>
      <c r="F7" s="72"/>
      <c r="G7" s="72"/>
      <c r="H7" s="72"/>
      <c r="I7" s="76"/>
      <c r="J7" s="93"/>
      <c r="K7" s="93"/>
      <c r="L7" s="103"/>
      <c r="M7" s="104"/>
      <c r="N7" s="102"/>
      <c r="O7" s="100"/>
      <c r="P7" s="99"/>
      <c r="Q7" s="100"/>
      <c r="R7" s="101"/>
      <c r="S7" s="100"/>
      <c r="T7" s="101"/>
      <c r="U7" s="100"/>
      <c r="V7" s="88"/>
      <c r="W7" s="89"/>
      <c r="X7" s="90"/>
    </row>
    <row r="8" spans="1:24" s="113" customFormat="1" ht="38.1" customHeight="1">
      <c r="A8" s="112"/>
      <c r="B8" s="112"/>
      <c r="C8" s="112"/>
      <c r="D8" s="112"/>
      <c r="E8" s="112"/>
      <c r="J8" s="107"/>
      <c r="K8" s="107"/>
      <c r="O8" s="114">
        <f>SUM(O5:O7)</f>
        <v>1750000</v>
      </c>
      <c r="P8" s="115"/>
      <c r="Q8" s="114">
        <f>SUM(Q5:Q7)</f>
        <v>438642</v>
      </c>
      <c r="R8" s="115"/>
      <c r="S8" s="114">
        <f>SUM(S5:S7)</f>
        <v>0</v>
      </c>
      <c r="T8" s="115"/>
      <c r="U8" s="114">
        <f>SUM(U5:U7)</f>
        <v>0</v>
      </c>
      <c r="V8" s="134">
        <f>SUM(V5:V7)</f>
        <v>2188642</v>
      </c>
      <c r="W8" s="77"/>
    </row>
    <row r="12" spans="1:24" ht="38.1" customHeight="1">
      <c r="Q12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zoomScale="130" zoomScaleNormal="130" zoomScaleSheetLayoutView="85" workbookViewId="0">
      <selection activeCell="F14" sqref="F14"/>
    </sheetView>
  </sheetViews>
  <sheetFormatPr defaultColWidth="9" defaultRowHeight="14.25"/>
  <cols>
    <col min="1" max="1" width="11.5" style="94" bestFit="1" customWidth="1"/>
    <col min="2" max="2" width="17.875" style="94" customWidth="1"/>
    <col min="3" max="3" width="14.625" style="94" customWidth="1"/>
    <col min="4" max="4" width="10.875" style="94" customWidth="1"/>
    <col min="5" max="5" width="12" style="94" customWidth="1"/>
    <col min="6" max="6" width="10.625" style="94" customWidth="1"/>
    <col min="7" max="7" width="13.625" style="95" customWidth="1"/>
    <col min="8" max="8" width="9.625" style="94" customWidth="1"/>
    <col min="9" max="9" width="13.625" style="94" customWidth="1"/>
    <col min="10" max="10" width="12.75" style="94" customWidth="1"/>
    <col min="11" max="11" width="9.25" style="94" customWidth="1"/>
    <col min="12" max="12" width="13.625" style="95" customWidth="1"/>
    <col min="13" max="13" width="9.625" style="94" customWidth="1"/>
    <col min="14" max="14" width="13.625" style="95" customWidth="1"/>
    <col min="15" max="15" width="18.75" style="96" customWidth="1"/>
    <col min="16" max="16" width="20.875" style="96" customWidth="1"/>
    <col min="17" max="16384" width="9" style="94"/>
  </cols>
  <sheetData/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3"/>
  <sheetViews>
    <sheetView workbookViewId="0">
      <selection activeCell="H14" sqref="H14"/>
    </sheetView>
  </sheetViews>
  <sheetFormatPr defaultColWidth="9" defaultRowHeight="14.25"/>
  <cols>
    <col min="1" max="1" width="11.125" style="97" customWidth="1"/>
    <col min="2" max="2" width="13.375" style="97" customWidth="1"/>
    <col min="3" max="3" width="29.125" style="97" bestFit="1" customWidth="1"/>
    <col min="4" max="4" width="30.875" style="97" bestFit="1" customWidth="1"/>
    <col min="5" max="5" width="5" style="97" customWidth="1"/>
    <col min="6" max="6" width="6.25" style="97" customWidth="1"/>
    <col min="7" max="7" width="13" style="97" customWidth="1"/>
    <col min="8" max="8" width="11.875" style="97" customWidth="1"/>
    <col min="9" max="9" width="10" style="97" customWidth="1"/>
    <col min="10" max="10" width="11.875" style="97" customWidth="1"/>
    <col min="11" max="11" width="10" style="97" customWidth="1"/>
    <col min="12" max="12" width="11.875" style="97" customWidth="1"/>
    <col min="13" max="13" width="10" style="97" customWidth="1"/>
    <col min="14" max="14" width="11.875" style="97" customWidth="1"/>
    <col min="15" max="15" width="9.125" style="97" customWidth="1"/>
    <col min="16" max="16" width="11.5" style="97" customWidth="1"/>
    <col min="17" max="17" width="11.75" style="97" customWidth="1"/>
    <col min="18" max="18" width="17.875" style="97" customWidth="1"/>
    <col min="19" max="16384" width="9" style="97"/>
  </cols>
  <sheetData>
    <row r="1" spans="1:18" ht="18" customHeight="1">
      <c r="A1" s="83" t="s">
        <v>47</v>
      </c>
      <c r="B1" s="83" t="s">
        <v>48</v>
      </c>
      <c r="C1" s="83" t="s">
        <v>49</v>
      </c>
      <c r="D1" s="83" t="s">
        <v>50</v>
      </c>
      <c r="E1" s="83" t="s">
        <v>51</v>
      </c>
      <c r="F1" s="83" t="s">
        <v>5</v>
      </c>
      <c r="G1" s="83" t="s">
        <v>52</v>
      </c>
      <c r="H1" s="83" t="s">
        <v>53</v>
      </c>
      <c r="I1" s="83" t="s">
        <v>54</v>
      </c>
      <c r="J1" s="83" t="s">
        <v>55</v>
      </c>
      <c r="K1" s="83" t="s">
        <v>56</v>
      </c>
      <c r="L1" s="83" t="s">
        <v>57</v>
      </c>
      <c r="M1" s="83" t="s">
        <v>58</v>
      </c>
      <c r="N1" s="83" t="s">
        <v>59</v>
      </c>
      <c r="O1" s="83" t="s">
        <v>60</v>
      </c>
      <c r="P1" s="83" t="s">
        <v>61</v>
      </c>
      <c r="Q1" s="83" t="s">
        <v>62</v>
      </c>
      <c r="R1" s="83" t="s">
        <v>63</v>
      </c>
    </row>
    <row r="2" spans="1:18" ht="18" customHeight="1">
      <c r="A2" s="66">
        <v>999999</v>
      </c>
      <c r="B2" s="67" t="s">
        <v>76</v>
      </c>
      <c r="C2" s="78" t="s">
        <v>102</v>
      </c>
      <c r="D2" s="79" t="s">
        <v>101</v>
      </c>
      <c r="E2" s="80" t="s">
        <v>78</v>
      </c>
      <c r="F2" s="81">
        <v>1</v>
      </c>
      <c r="G2" s="82">
        <v>1750000</v>
      </c>
      <c r="H2" s="82"/>
      <c r="I2" s="82"/>
      <c r="J2" s="82"/>
      <c r="K2" s="82"/>
      <c r="L2" s="82"/>
      <c r="M2" s="82"/>
      <c r="N2" s="82"/>
      <c r="O2" s="82"/>
      <c r="P2" s="80"/>
      <c r="Q2" s="80"/>
      <c r="R2" s="80"/>
    </row>
    <row r="3" spans="1:18">
      <c r="G3" s="82"/>
      <c r="H3" s="82"/>
      <c r="I3" s="82"/>
      <c r="J3" s="82"/>
      <c r="K3" s="82"/>
      <c r="L3" s="82"/>
      <c r="M3" s="82"/>
      <c r="N3" s="82"/>
      <c r="O3" s="82"/>
    </row>
    <row r="4" spans="1:18">
      <c r="G4" s="82"/>
      <c r="H4" s="82"/>
      <c r="I4" s="82"/>
      <c r="J4" s="82"/>
      <c r="K4" s="82"/>
      <c r="L4" s="82"/>
      <c r="M4" s="82"/>
      <c r="N4" s="82"/>
      <c r="O4" s="82"/>
    </row>
    <row r="5" spans="1:18">
      <c r="G5" s="82"/>
      <c r="H5" s="82"/>
      <c r="I5" s="82"/>
      <c r="J5" s="82"/>
      <c r="K5" s="82"/>
      <c r="L5" s="82"/>
      <c r="M5" s="82"/>
      <c r="N5" s="82"/>
      <c r="O5" s="82"/>
    </row>
    <row r="6" spans="1:18">
      <c r="G6" s="82"/>
      <c r="H6" s="82"/>
      <c r="I6" s="82"/>
      <c r="J6" s="82"/>
      <c r="K6" s="82"/>
      <c r="L6" s="82"/>
      <c r="M6" s="82"/>
      <c r="N6" s="82"/>
      <c r="O6" s="82"/>
    </row>
    <row r="7" spans="1:18">
      <c r="G7" s="82"/>
      <c r="H7" s="82"/>
      <c r="I7" s="82"/>
      <c r="J7" s="82"/>
      <c r="K7" s="82"/>
      <c r="L7" s="82"/>
      <c r="M7" s="82"/>
      <c r="N7" s="82"/>
      <c r="O7" s="82"/>
    </row>
    <row r="8" spans="1:18">
      <c r="G8" s="82"/>
      <c r="H8" s="82"/>
      <c r="I8" s="82"/>
      <c r="J8" s="82"/>
      <c r="K8" s="82"/>
      <c r="L8" s="82"/>
      <c r="M8" s="82"/>
      <c r="N8" s="82"/>
      <c r="O8" s="82"/>
    </row>
    <row r="9" spans="1:18">
      <c r="G9" s="82"/>
      <c r="H9" s="82"/>
      <c r="I9" s="82"/>
      <c r="J9" s="82"/>
      <c r="K9" s="82"/>
      <c r="L9" s="82"/>
      <c r="M9" s="82"/>
      <c r="N9" s="82"/>
      <c r="O9" s="82"/>
    </row>
    <row r="10" spans="1:18">
      <c r="G10" s="82"/>
      <c r="H10" s="82"/>
      <c r="I10" s="82"/>
      <c r="J10" s="82"/>
      <c r="K10" s="82"/>
      <c r="L10" s="82"/>
      <c r="M10" s="82"/>
      <c r="N10" s="82"/>
      <c r="O10" s="82"/>
    </row>
    <row r="11" spans="1:18">
      <c r="G11" s="82"/>
      <c r="H11" s="82"/>
      <c r="I11" s="82"/>
      <c r="J11" s="82"/>
      <c r="K11" s="82"/>
      <c r="L11" s="82"/>
      <c r="M11" s="82"/>
      <c r="N11" s="82"/>
      <c r="O11" s="82"/>
    </row>
    <row r="12" spans="1:18">
      <c r="G12" s="82"/>
      <c r="H12" s="82"/>
      <c r="I12" s="82"/>
      <c r="J12" s="82"/>
      <c r="K12" s="82"/>
      <c r="L12" s="82"/>
      <c r="M12" s="82"/>
      <c r="N12" s="82"/>
      <c r="O12" s="82"/>
    </row>
    <row r="13" spans="1:18">
      <c r="G13" s="98"/>
      <c r="H13" s="98"/>
      <c r="I13" s="98"/>
      <c r="J13" s="98"/>
      <c r="K13" s="98"/>
      <c r="L13" s="98"/>
      <c r="M13" s="9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2"/>
  <sheetViews>
    <sheetView showGridLines="0" zoomScaleNormal="100" workbookViewId="0">
      <selection activeCell="G35" sqref="G35"/>
    </sheetView>
  </sheetViews>
  <sheetFormatPr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</row>
    <row r="2" spans="1:6">
      <c r="A2" s="85" t="str">
        <f>'내역서(표준단가)'!A5</f>
        <v>L003</v>
      </c>
      <c r="B2" s="86">
        <f>'내역서(표준단가)'!F5</f>
        <v>0</v>
      </c>
      <c r="C2" s="86">
        <f>'내역서(표준단가)'!G5</f>
        <v>0</v>
      </c>
      <c r="D2" s="86">
        <f>'내역서(표준단가)'!H5</f>
        <v>0</v>
      </c>
      <c r="E2" s="86" t="str">
        <f>'내역서(표준단가)'!I5</f>
        <v>L003</v>
      </c>
      <c r="F2" s="86">
        <f>'내역서(표준단가)'!M5</f>
        <v>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2025-09-25T03:37:40Z</dcterms:modified>
</cp:coreProperties>
</file>
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CE6F83B-807B-47C0-A57B-2E11EC154B29}" xr6:coauthVersionLast="36" xr6:coauthVersionMax="36" xr10:uidLastSave="{00000000-0000-0000-0000-000000000000}"/>
  <bookViews>
    <workbookView xWindow="-4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calcPr calcId="191029"/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D13" i="9" l="1"/>
  <c r="F2" i="1"/>
  <c r="E2" i="1"/>
  <c r="D2" i="1"/>
  <c r="C2" i="1"/>
  <c r="B2" i="1"/>
  <c r="U5" i="4" l="1"/>
  <c r="S5" i="4"/>
  <c r="Q5" i="4"/>
  <c r="O5" i="4"/>
  <c r="V5" i="4" s="1"/>
  <c r="A5" i="4"/>
  <c r="A2" i="1" s="1"/>
  <c r="U18" i="4" l="1"/>
  <c r="S18" i="4"/>
  <c r="Q18" i="4"/>
  <c r="O18" i="4"/>
  <c r="A18" i="4"/>
  <c r="U8" i="4"/>
  <c r="S8" i="4"/>
  <c r="Q8" i="4"/>
  <c r="O8" i="4"/>
  <c r="A8" i="4"/>
  <c r="U6" i="4"/>
  <c r="S6" i="4"/>
  <c r="Q6" i="4"/>
  <c r="O6" i="4"/>
  <c r="A6" i="4"/>
  <c r="V18" i="4" l="1"/>
  <c r="V6" i="4"/>
  <c r="V8" i="4"/>
  <c r="A13" i="4" l="1"/>
  <c r="F25" i="9"/>
  <c r="N25" i="9" s="1"/>
  <c r="F20" i="9"/>
  <c r="N20" i="9" s="1"/>
  <c r="O13" i="4"/>
  <c r="S13" i="4"/>
  <c r="U13" i="4"/>
  <c r="O10" i="4"/>
  <c r="V10" i="4" s="1"/>
  <c r="A10" i="4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O7" i="4"/>
  <c r="Q7" i="4"/>
  <c r="S7" i="4"/>
  <c r="U7" i="4"/>
  <c r="V7" i="4" l="1"/>
  <c r="A17" i="4" l="1"/>
  <c r="A16" i="4"/>
  <c r="A15" i="4"/>
  <c r="A14" i="4"/>
  <c r="A12" i="4"/>
  <c r="A11" i="4"/>
  <c r="A9" i="4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S19" i="4"/>
  <c r="F16" i="5" l="1"/>
  <c r="F26" i="5" s="1"/>
  <c r="F18" i="5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<sst xmlns="http://schemas.openxmlformats.org/spreadsheetml/2006/main" count="240" uniqueCount="172">
  <si>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</si>
  <si>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</si>
  <si>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</si>
  <si>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</si>
  <si>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</si>
  <si>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</si>
  <si>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</si>
  <si>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</si>
  <si>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</si>
  <si>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</si>
  <si>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</si>
  <si>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</si>
  <si>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</si>
  <si>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</si>
  <si>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</si>
  <si>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</si>
  <si>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</si>
  <si>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</si>
  <si>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</si>
  <si>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</si>
  <si>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</si>
  <si>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</si>
  <si>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</si>
  <si>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</si>
  <si>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</si>
  <si>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</si>
  <si>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</si>
  <si>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</si>
  <si>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</si>
  <si>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</si>
  <si>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</si>
  <si>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</si>
  <si>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</si>
  <si>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</si>
  <si>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</si>
  <si>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</si>
  <si>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</si>
  <si>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</si>
  <si>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</si>
  <si>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</si>
  <si>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</si>
  <si>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</si>
  <si>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</si>
  <si>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</si>
  <si>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</si>
  <si>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</si>
  <si>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</si>
  <si>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</si>
  <si>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</si>
  <si>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</si>
  <si>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</si>
  <si>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</si>
  <si>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</si>
  <si>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</si>
  <si>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</si>
  <si>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</si>
  <si>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</si>
  <si>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</si>
  <si>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</si>
  <si>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</si>
  <si>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</si>
  <si>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</si>
  <si>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</si>
  <si>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</si>
  <si>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</si>
  <si>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</si>
  <si>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</si>
  <si>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</si>
  <si>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</si>
  <si>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</si>
  <si>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</si>
  <si>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</si>
  <si>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</si>
  <si>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</si>
  <si>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</si>
  <si>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</si>
  <si>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</si>
  <si>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</si>
  <si>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</si>
  <si>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</si>
  <si>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</si>
  <si>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</si>
  <si>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</si>
  <si>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</si>
  <si>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</si>
  <si>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</si>
  <si>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</si>
  <si>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</si>
  <si>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</si>
  <si>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</si>
  <si>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</si>
  <si>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</si>
  <si>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</si>
  <si>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</si>
  <si>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</si>
  <si>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</si>
  <si>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</si>
  <si>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</si>
  <si>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</si>
  <si>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</si>
  <si>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</si>
  <si>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</si>
  <si>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</si>
  <si>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</si>
  <si>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</si>
  <si>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</si>
  <si>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</si>
  <si>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</si>
  <si>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</si>
  <si>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</si>
  <si>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</si>
  <si>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</si>
  <si>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</si>
  <si>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</si>
  <si>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</si>
  <si>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</si>
  <si>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</si>
  <si>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</si>
  <si>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</si>
  <si>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</si>
  <si>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</si>
  <si>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</si>
  <si>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</si>
  <si>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</si>
  <si>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</si>
  <si>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</si>
  <si>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</si>
  <si>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</si>
  <si>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</si>
  <si>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</si>
  <si>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</si>
  <si>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</si>
  <si>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</si>
  <si>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</si>
  <si>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</si>
  <si>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</si>
  <si>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</si>
  <si>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</si>
  <si>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</si>
  <si>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</si>
  <si>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</si>
  <si>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</si>
  <si>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</si>
  <si>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</si>
  <si>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</si>
  <si>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</si>
  <si>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</si>
  <si>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</si>
  <si>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</si>
  <si>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</si>
  <si>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</si>
  <si>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</si>
  <si>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</si>
  <si>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</si>
  <si>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</si>
  <si>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</si>
  <si>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</si>
  <si>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</si>
  <si>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</si>
  <si>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</si>
  <si>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</si>
  <si>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</si>
  <si>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</si>
  <si>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</si>
  <si>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</si>
  <si>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</si>
  <si>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</si>
  <si>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 xml:space="preserve"> 공사명 : 사택 5-204 수장공사</t>
    <phoneticPr fontId="11" type="noConversion"/>
  </si>
  <si>
    <t>공사명 : 사택 5-204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</si>
  <si>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소요량144/16.51=8.722R/L</t>
    </r>
    <phoneticPr fontId="5" type="noConversion"/>
  </si>
  <si>
    <t>일당 시공량-천장 35㎡ 적산정보 500p 참조, 시공총량24/일당35=0.6858</t>
    <phoneticPr fontId="5" type="noConversion"/>
  </si>
  <si>
    <t xml:space="preserve"> 견적일 : 2025 년  05월  07일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</si>
</sst>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7" sqref="J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7" t="s">
        <v>6</v>
      </c>
      <c r="B2" s="167"/>
      <c r="C2" s="167"/>
      <c r="D2" s="167"/>
      <c r="E2" s="167"/>
      <c r="F2" s="167"/>
      <c r="G2" s="167"/>
      <c r="H2" s="2"/>
    </row>
    <row r="3" spans="1:9" ht="13.5">
      <c r="A3" s="128"/>
      <c r="B3" s="128"/>
      <c r="C3" s="128"/>
      <c r="D3" s="128"/>
      <c r="E3" s="128"/>
      <c r="F3" s="128"/>
      <c r="G3" s="128"/>
      <c r="H3" s="128"/>
    </row>
    <row r="4" spans="1:9" ht="13.5">
      <c r="A4" s="128"/>
      <c r="B4" s="128"/>
      <c r="C4" s="128"/>
      <c r="D4" s="128"/>
      <c r="E4" s="128"/>
      <c r="H4" s="128"/>
    </row>
    <row r="5" spans="1:9" ht="27" customHeight="1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>
      <c r="A7" s="170" t="s">
        <v>167</v>
      </c>
      <c r="B7" s="171"/>
      <c r="C7" s="172"/>
      <c r="D7" s="128"/>
      <c r="E7" s="10"/>
      <c r="F7" s="11" t="s">
        <v>42</v>
      </c>
      <c r="G7" s="9" t="s">
        <v>54</v>
      </c>
      <c r="H7" s="128"/>
    </row>
    <row r="8" spans="1:9" ht="27" customHeight="1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>
      <c r="A9" s="170" t="s">
        <v>171</v>
      </c>
      <c r="B9" s="171"/>
      <c r="C9" s="172"/>
      <c r="D9" s="128"/>
      <c r="E9" s="128"/>
      <c r="F9" s="8" t="s">
        <v>44</v>
      </c>
      <c r="G9" s="9" t="s">
        <v>56</v>
      </c>
      <c r="H9" s="128"/>
    </row>
    <row r="10" spans="1:9" ht="27" customHeight="1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>
      <c r="A11" s="168"/>
      <c r="B11" s="169"/>
      <c r="C11" s="169"/>
      <c r="D11" s="128"/>
      <c r="E11" s="14"/>
      <c r="F11" s="15" t="s">
        <v>40</v>
      </c>
      <c r="G11" s="16" t="s">
        <v>58</v>
      </c>
      <c r="H11" s="14"/>
    </row>
    <row r="12" spans="1:9" ht="19.5" thickBot="1">
      <c r="A12" s="17" t="s">
        <v>7</v>
      </c>
      <c r="B12" s="17" t="str">
        <f>NUMBERSTRING(F31,1)</f>
        <v>사백이십칠만삼천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'내역서(표준단가)'!O19</f>
        <v>754672.83299999998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'내역서(표준단가)'!Q19</f>
        <v>2864519.8905720003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3619192.7235720004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128903.39507574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101547.23012077741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13150.366300640675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28931.650894777202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101976.9081043632</v>
      </c>
      <c r="G25" s="35" t="s">
        <v>28</v>
      </c>
    </row>
    <row r="26" spans="1:7" ht="33" customHeight="1">
      <c r="A26" s="29"/>
      <c r="B26" s="42" t="s">
        <v>32</v>
      </c>
      <c r="C26" s="49" t="s">
        <v>153</v>
      </c>
      <c r="D26" s="30">
        <v>1</v>
      </c>
      <c r="E26" s="30" t="s">
        <v>25</v>
      </c>
      <c r="F26" s="43">
        <f>(F16+F17)*3.11%</f>
        <v>112556.89370308921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167579.31673856941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654645.76093795709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4273838.484509958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4273000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P22" sqref="P22"/>
    </sheetView>
  </sheetViews>
  <sheetFormatPr defaultColWidth="9" defaultRowHeight="38.1" customHeight="1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>
      <c r="A1" s="173"/>
      <c r="B1" s="173"/>
      <c r="C1" s="173"/>
      <c r="D1" s="173"/>
      <c r="E1" s="173"/>
      <c r="F1" s="173"/>
      <c r="G1" s="173"/>
      <c r="H1" s="173"/>
      <c r="I1" s="173"/>
      <c r="N1" s="66"/>
      <c r="O1" s="144" t="s">
        <v>100</v>
      </c>
      <c r="Q1" s="144" t="s">
        <v>100</v>
      </c>
      <c r="S1" s="144" t="s">
        <v>100</v>
      </c>
      <c r="U1" s="144" t="s">
        <v>100</v>
      </c>
    </row>
    <row r="2" spans="1:24" ht="19.899999999999999" customHeight="1" thickBot="1">
      <c r="A2" s="173"/>
      <c r="B2" s="173"/>
      <c r="C2" s="173"/>
      <c r="D2" s="173"/>
      <c r="E2" s="173"/>
      <c r="F2" s="173"/>
      <c r="G2" s="173"/>
      <c r="H2" s="173"/>
      <c r="I2" s="17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47"/>
      <c r="B3" s="148"/>
      <c r="C3" s="148"/>
      <c r="D3" s="148"/>
      <c r="E3" s="148"/>
      <c r="F3" s="148" t="s">
        <v>101</v>
      </c>
      <c r="G3" s="148"/>
      <c r="H3" s="148"/>
      <c r="I3" s="148"/>
      <c r="J3" s="184" t="s">
        <v>102</v>
      </c>
      <c r="K3" s="184"/>
      <c r="L3" s="182" t="s">
        <v>47</v>
      </c>
      <c r="M3" s="182" t="s">
        <v>5</v>
      </c>
      <c r="N3" s="178" t="s">
        <v>103</v>
      </c>
      <c r="O3" s="178"/>
      <c r="P3" s="178" t="s">
        <v>104</v>
      </c>
      <c r="Q3" s="178"/>
      <c r="R3" s="179" t="s">
        <v>105</v>
      </c>
      <c r="S3" s="179"/>
      <c r="T3" s="179" t="s">
        <v>106</v>
      </c>
      <c r="U3" s="179"/>
      <c r="V3" s="180" t="s">
        <v>107</v>
      </c>
      <c r="W3" s="176" t="s">
        <v>108</v>
      </c>
      <c r="X3" s="174" t="s">
        <v>45</v>
      </c>
    </row>
    <row r="4" spans="1:24" ht="19.899999999999999" customHeight="1">
      <c r="A4" s="69" t="s">
        <v>109</v>
      </c>
      <c r="B4" s="145"/>
      <c r="C4" s="145"/>
      <c r="D4" s="145"/>
      <c r="E4" s="145"/>
      <c r="F4" s="70" t="s">
        <v>110</v>
      </c>
      <c r="G4" s="70" t="s">
        <v>111</v>
      </c>
      <c r="H4" s="70" t="s">
        <v>112</v>
      </c>
      <c r="I4" s="70" t="s">
        <v>113</v>
      </c>
      <c r="J4" s="142" t="s">
        <v>114</v>
      </c>
      <c r="K4" s="142" t="s">
        <v>115</v>
      </c>
      <c r="L4" s="183"/>
      <c r="M4" s="183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1"/>
      <c r="W4" s="177"/>
      <c r="X4" s="175"/>
    </row>
    <row r="5" spans="1:24" s="149" customFormat="1" ht="38.1" customHeight="1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158</v>
      </c>
      <c r="I5" s="103"/>
      <c r="J5" s="140" t="s">
        <v>159</v>
      </c>
      <c r="K5" s="140" t="s">
        <v>169</v>
      </c>
      <c r="L5" s="121" t="s">
        <v>164</v>
      </c>
      <c r="M5" s="139">
        <v>8.7219999999999995</v>
      </c>
      <c r="N5" s="161">
        <v>20900</v>
      </c>
      <c r="O5" s="135">
        <f t="shared" ref="O5" si="1">SUM(N5:N5)*M5*$O$2</f>
        <v>152211.98299999998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152211.98299999998</v>
      </c>
      <c r="W5" s="120"/>
      <c r="X5" s="78"/>
    </row>
    <row r="6" spans="1:24" s="149" customFormat="1" ht="38.1" customHeight="1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0" t="s">
        <v>122</v>
      </c>
      <c r="K6" s="140" t="s">
        <v>165</v>
      </c>
      <c r="L6" s="75" t="s">
        <v>121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0" t="s">
        <v>123</v>
      </c>
      <c r="K7" s="140" t="s">
        <v>170</v>
      </c>
      <c r="L7" s="75" t="s">
        <v>121</v>
      </c>
      <c r="M7" s="139">
        <v>0.68579999999999997</v>
      </c>
      <c r="N7" s="137"/>
      <c r="O7" s="135">
        <f t="shared" ref="O7:O17" si="13">SUM(N7:N7)*M7*$O$2</f>
        <v>0</v>
      </c>
      <c r="P7" s="134">
        <v>487076</v>
      </c>
      <c r="Q7" s="135">
        <f t="shared" ref="Q7:Q18" si="14">(P7*M7)*$Q$2</f>
        <v>278920.661868</v>
      </c>
      <c r="R7" s="136"/>
      <c r="S7" s="135">
        <f t="shared" ref="S7:S18" si="15">R7*M7*$S$2</f>
        <v>0</v>
      </c>
      <c r="T7" s="136"/>
      <c r="U7" s="135">
        <f t="shared" ref="U7:U18" si="16">T7*M7*$U$2</f>
        <v>0</v>
      </c>
      <c r="V7" s="77">
        <f t="shared" ref="V7:V18" si="17">SUM(O7+Q7)+S7+U7</f>
        <v>278920.661868</v>
      </c>
      <c r="W7" s="120"/>
      <c r="X7" s="78"/>
    </row>
    <row r="8" spans="1:24" s="149" customFormat="1" ht="38.1" customHeight="1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154</v>
      </c>
      <c r="I8" s="103"/>
      <c r="J8" s="140" t="s">
        <v>155</v>
      </c>
      <c r="K8" s="140" t="s">
        <v>156</v>
      </c>
      <c r="L8" s="121" t="s">
        <v>157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>
      <c r="A9" s="73" t="str">
        <f t="shared" ref="A9:A18" si="18">F9&amp;G9&amp;H9&amp;I9</f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0" t="s">
        <v>125</v>
      </c>
      <c r="K9" s="140" t="s">
        <v>166</v>
      </c>
      <c r="L9" s="75" t="s">
        <v>121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>
      <c r="A10" s="73" t="str">
        <f t="shared" si="18"/>
        <v>M020412614110102</v>
      </c>
      <c r="B10" s="109"/>
      <c r="C10" s="109"/>
      <c r="D10" s="109"/>
      <c r="E10" s="109"/>
      <c r="F10" s="103"/>
      <c r="G10" s="74"/>
      <c r="H10" s="162" t="s">
        <v>150</v>
      </c>
      <c r="I10" s="103"/>
      <c r="J10" s="163" t="s">
        <v>149</v>
      </c>
      <c r="K10" s="163" t="s">
        <v>144</v>
      </c>
      <c r="L10" s="131" t="s">
        <v>143</v>
      </c>
      <c r="M10" s="139">
        <v>0.5</v>
      </c>
      <c r="N10" s="164">
        <v>65500</v>
      </c>
      <c r="O10" s="135">
        <f t="shared" si="13"/>
        <v>27346.25</v>
      </c>
      <c r="P10" s="134"/>
      <c r="Q10" s="135"/>
      <c r="R10" s="136"/>
      <c r="S10" s="135"/>
      <c r="T10" s="136"/>
      <c r="U10" s="135"/>
      <c r="V10" s="77">
        <f t="shared" si="17"/>
        <v>27346.25</v>
      </c>
      <c r="W10" s="120"/>
      <c r="X10" s="78"/>
    </row>
    <row r="11" spans="1:24" s="149" customFormat="1" ht="38.1" customHeight="1">
      <c r="A11" s="73" t="str">
        <f t="shared" si="18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0" t="s">
        <v>127</v>
      </c>
      <c r="K11" s="140" t="s">
        <v>128</v>
      </c>
      <c r="L11" s="121" t="s">
        <v>141</v>
      </c>
      <c r="M11" s="139">
        <v>50</v>
      </c>
      <c r="N11" s="134"/>
      <c r="O11" s="135">
        <f t="shared" si="13"/>
        <v>0</v>
      </c>
      <c r="P11" s="134">
        <v>10432</v>
      </c>
      <c r="Q11" s="135">
        <f t="shared" si="14"/>
        <v>435536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435536</v>
      </c>
      <c r="W11" s="120"/>
      <c r="X11" s="78"/>
    </row>
    <row r="12" spans="1:24" s="149" customFormat="1" ht="38.1" customHeight="1">
      <c r="A12" s="73" t="str">
        <f t="shared" si="18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0" t="s">
        <v>131</v>
      </c>
      <c r="K12" s="140" t="s">
        <v>132</v>
      </c>
      <c r="L12" s="121" t="s">
        <v>129</v>
      </c>
      <c r="M12" s="139">
        <v>50</v>
      </c>
      <c r="N12" s="134"/>
      <c r="O12" s="135">
        <f t="shared" si="13"/>
        <v>0</v>
      </c>
      <c r="P12" s="134">
        <v>6179</v>
      </c>
      <c r="Q12" s="135">
        <f t="shared" si="14"/>
        <v>257973.25</v>
      </c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257973.25</v>
      </c>
      <c r="W12" s="120"/>
      <c r="X12" s="78"/>
    </row>
    <row r="13" spans="1:24" s="149" customFormat="1" ht="38.1" customHeight="1">
      <c r="A13" s="73" t="str">
        <f t="shared" si="18"/>
        <v>M020411810170101</v>
      </c>
      <c r="B13" s="109"/>
      <c r="C13" s="109"/>
      <c r="D13" s="109"/>
      <c r="E13" s="109"/>
      <c r="F13" s="103"/>
      <c r="G13" s="74"/>
      <c r="H13" s="162" t="s">
        <v>145</v>
      </c>
      <c r="I13" s="103"/>
      <c r="J13" s="163" t="s">
        <v>146</v>
      </c>
      <c r="K13" s="163" t="s">
        <v>147</v>
      </c>
      <c r="L13" s="131" t="s">
        <v>143</v>
      </c>
      <c r="M13" s="139">
        <v>0.2</v>
      </c>
      <c r="N13" s="164">
        <v>89800</v>
      </c>
      <c r="O13" s="135">
        <f t="shared" si="13"/>
        <v>14996.599999999999</v>
      </c>
      <c r="P13" s="134"/>
      <c r="Q13" s="135"/>
      <c r="R13" s="136"/>
      <c r="S13" s="135">
        <f t="shared" si="15"/>
        <v>0</v>
      </c>
      <c r="T13" s="136"/>
      <c r="U13" s="135">
        <f t="shared" si="16"/>
        <v>0</v>
      </c>
      <c r="V13" s="77">
        <f t="shared" si="17"/>
        <v>14996.599999999999</v>
      </c>
      <c r="W13" s="120"/>
      <c r="X13" s="78"/>
    </row>
    <row r="14" spans="1:24" s="149" customFormat="1" ht="38.1" customHeight="1">
      <c r="A14" s="73" t="str">
        <f t="shared" si="18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0" t="s">
        <v>134</v>
      </c>
      <c r="K14" s="140" t="s">
        <v>135</v>
      </c>
      <c r="L14" s="121" t="s">
        <v>129</v>
      </c>
      <c r="M14" s="139">
        <v>14</v>
      </c>
      <c r="N14" s="150"/>
      <c r="O14" s="76">
        <f t="shared" si="13"/>
        <v>0</v>
      </c>
      <c r="P14" s="151">
        <v>2422</v>
      </c>
      <c r="Q14" s="76">
        <f t="shared" si="14"/>
        <v>28313.18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28313.18</v>
      </c>
      <c r="W14" s="120"/>
      <c r="X14" s="78"/>
    </row>
    <row r="15" spans="1:24" s="149" customFormat="1" ht="38.1" customHeight="1">
      <c r="A15" s="73" t="str">
        <f t="shared" si="18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0" t="s">
        <v>137</v>
      </c>
      <c r="K15" s="140" t="s">
        <v>132</v>
      </c>
      <c r="L15" s="121" t="s">
        <v>129</v>
      </c>
      <c r="M15" s="139">
        <v>14</v>
      </c>
      <c r="N15" s="122"/>
      <c r="O15" s="76">
        <f t="shared" si="13"/>
        <v>0</v>
      </c>
      <c r="P15" s="151">
        <v>3756</v>
      </c>
      <c r="Q15" s="76">
        <f t="shared" si="14"/>
        <v>43907.64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43907.64</v>
      </c>
      <c r="W15" s="120"/>
      <c r="X15" s="78"/>
    </row>
    <row r="16" spans="1:24" s="149" customFormat="1" ht="38.1" customHeight="1">
      <c r="A16" s="73" t="str">
        <f t="shared" si="18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0" t="s">
        <v>138</v>
      </c>
      <c r="K16" s="140" t="s">
        <v>135</v>
      </c>
      <c r="L16" s="121" t="s">
        <v>129</v>
      </c>
      <c r="M16" s="139">
        <v>1.85</v>
      </c>
      <c r="N16" s="150"/>
      <c r="O16" s="76">
        <f t="shared" si="13"/>
        <v>0</v>
      </c>
      <c r="P16" s="151">
        <v>2422</v>
      </c>
      <c r="Q16" s="76">
        <f t="shared" si="14"/>
        <v>3741.3844999999997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3741.3844999999997</v>
      </c>
      <c r="W16" s="120"/>
      <c r="X16" s="78"/>
    </row>
    <row r="17" spans="1:24" s="149" customFormat="1" ht="38.1" customHeight="1">
      <c r="A17" s="73" t="str">
        <f t="shared" si="18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0" t="s">
        <v>140</v>
      </c>
      <c r="K17" s="140" t="s">
        <v>132</v>
      </c>
      <c r="L17" s="121" t="s">
        <v>129</v>
      </c>
      <c r="M17" s="139">
        <v>1.85</v>
      </c>
      <c r="N17" s="122"/>
      <c r="O17" s="76">
        <f t="shared" si="13"/>
        <v>0</v>
      </c>
      <c r="P17" s="151">
        <v>5677</v>
      </c>
      <c r="Q17" s="76">
        <f t="shared" si="14"/>
        <v>8769.5457500000011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8769.5457500000011</v>
      </c>
      <c r="W17" s="120"/>
      <c r="X17" s="78"/>
    </row>
    <row r="18" spans="1:24" s="149" customFormat="1" ht="38.1" customHeight="1">
      <c r="A18" s="73" t="str">
        <f t="shared" si="18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2" t="s">
        <v>160</v>
      </c>
      <c r="K18" s="152" t="s">
        <v>161</v>
      </c>
      <c r="L18" s="153" t="s">
        <v>162</v>
      </c>
      <c r="M18" s="139">
        <v>97</v>
      </c>
      <c r="N18" s="150"/>
      <c r="O18" s="76">
        <f t="shared" ref="O18" si="19">SUM(N18:N18)*M18*$O$2</f>
        <v>0</v>
      </c>
      <c r="P18" s="165">
        <v>4966</v>
      </c>
      <c r="Q18" s="76">
        <f t="shared" si="14"/>
        <v>402221.17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402221.17</v>
      </c>
      <c r="W18" s="120"/>
      <c r="X18" s="78"/>
    </row>
    <row r="19" spans="1:24" s="159" customFormat="1" ht="38.1" customHeight="1">
      <c r="A19" s="154"/>
      <c r="B19" s="155"/>
      <c r="C19" s="155"/>
      <c r="D19" s="155"/>
      <c r="E19" s="155"/>
      <c r="F19" s="155"/>
      <c r="G19" s="155"/>
      <c r="H19" s="155"/>
      <c r="I19" s="155"/>
      <c r="J19" s="143"/>
      <c r="K19" s="143"/>
      <c r="L19" s="155"/>
      <c r="M19" s="155"/>
      <c r="N19" s="155"/>
      <c r="O19" s="156">
        <f>SUM(O5:O18)</f>
        <v>754672.83299999998</v>
      </c>
      <c r="P19" s="157"/>
      <c r="Q19" s="156">
        <f>SUM(Q5:Q18)</f>
        <v>2864519.8905720003</v>
      </c>
      <c r="R19" s="157"/>
      <c r="S19" s="156">
        <f>SUM(S5:S18)</f>
        <v>0</v>
      </c>
      <c r="T19" s="157"/>
      <c r="U19" s="156">
        <f>SUM(U5:U18)</f>
        <v>0</v>
      </c>
      <c r="V19" s="158">
        <f>SUM(V5:V18)</f>
        <v>3619192.7235720004</v>
      </c>
      <c r="W19" s="112"/>
      <c r="X19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F38" sqref="F38"/>
    </sheetView>
  </sheetViews>
  <sheetFormatPr defaultColWidth="9" defaultRowHeight="13.5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>
      <c r="A1" s="196" t="s">
        <v>59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5" ht="15" customHeight="1">
      <c r="A2" s="197" t="s">
        <v>60</v>
      </c>
      <c r="B2" s="198" t="s">
        <v>61</v>
      </c>
      <c r="C2" s="199" t="s">
        <v>47</v>
      </c>
      <c r="D2" s="199" t="s">
        <v>62</v>
      </c>
      <c r="E2" s="201" t="s">
        <v>63</v>
      </c>
      <c r="F2" s="198"/>
      <c r="G2" s="198" t="s">
        <v>64</v>
      </c>
      <c r="H2" s="198"/>
      <c r="I2" s="202" t="s">
        <v>65</v>
      </c>
      <c r="J2" s="203"/>
      <c r="K2" s="202" t="s">
        <v>66</v>
      </c>
      <c r="L2" s="203"/>
      <c r="M2" s="201" t="s">
        <v>67</v>
      </c>
      <c r="N2" s="198"/>
      <c r="O2" s="204" t="s">
        <v>68</v>
      </c>
    </row>
    <row r="3" spans="1:15" ht="15" customHeight="1">
      <c r="A3" s="197"/>
      <c r="B3" s="198"/>
      <c r="C3" s="200"/>
      <c r="D3" s="200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5"/>
    </row>
    <row r="4" spans="1:15" ht="15" customHeight="1">
      <c r="A4" s="194" t="s">
        <v>168</v>
      </c>
      <c r="B4" s="19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>
      <c r="A5" s="186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2" si="0">D5*E5</f>
        <v>40166</v>
      </c>
      <c r="G5" s="85">
        <v>8839.9</v>
      </c>
      <c r="H5" s="85">
        <f t="shared" ref="H5:H12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188" t="s">
        <v>151</v>
      </c>
    </row>
    <row r="6" spans="1:15" ht="15" customHeight="1">
      <c r="A6" s="187"/>
      <c r="B6" s="82" t="s">
        <v>75</v>
      </c>
      <c r="C6" s="83" t="s">
        <v>74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89"/>
    </row>
    <row r="7" spans="1:15" ht="15" customHeight="1">
      <c r="A7" s="187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89"/>
    </row>
    <row r="8" spans="1:15" ht="15" customHeight="1">
      <c r="A8" s="187"/>
      <c r="B8" s="206" t="s">
        <v>77</v>
      </c>
      <c r="C8" s="207" t="s">
        <v>74</v>
      </c>
      <c r="D8" s="208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189"/>
    </row>
    <row r="9" spans="1:15" ht="15" customHeight="1">
      <c r="A9" s="187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189"/>
    </row>
    <row r="10" spans="1:15" ht="15" customHeight="1">
      <c r="A10" s="187"/>
      <c r="B10" s="206" t="s">
        <v>79</v>
      </c>
      <c r="C10" s="207" t="s">
        <v>74</v>
      </c>
      <c r="D10" s="208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189"/>
    </row>
    <row r="11" spans="1:15" ht="15" customHeight="1">
      <c r="A11" s="187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189"/>
    </row>
    <row r="12" spans="1:15" ht="15" customHeight="1">
      <c r="A12" s="187"/>
      <c r="B12" s="206" t="s">
        <v>81</v>
      </c>
      <c r="C12" s="207" t="s">
        <v>74</v>
      </c>
      <c r="D12" s="208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189"/>
    </row>
    <row r="13" spans="1:15" ht="15" customHeight="1">
      <c r="A13" s="113" t="s">
        <v>82</v>
      </c>
      <c r="B13" s="114"/>
      <c r="C13" s="115"/>
      <c r="D13" s="124">
        <f>SUM(D5:D12)</f>
        <v>144</v>
      </c>
      <c r="E13" s="116"/>
      <c r="F13" s="116">
        <f>SUM(F5:F12)</f>
        <v>152208</v>
      </c>
      <c r="G13" s="116"/>
      <c r="H13" s="116">
        <f>SUM(H5:H12)</f>
        <v>1339605.6000000001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1491813.6</v>
      </c>
      <c r="O13" s="116"/>
    </row>
    <row r="14" spans="1:15" ht="15" customHeight="1">
      <c r="A14" s="190" t="s">
        <v>152</v>
      </c>
      <c r="B14" s="82" t="s">
        <v>83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189"/>
    </row>
    <row r="15" spans="1:15" ht="15" customHeight="1">
      <c r="A15" s="190"/>
      <c r="B15" s="82" t="s">
        <v>84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189"/>
    </row>
    <row r="16" spans="1:15" ht="15" customHeight="1">
      <c r="A16" s="190"/>
      <c r="B16" s="82" t="s">
        <v>85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189"/>
    </row>
    <row r="17" spans="1:15" ht="15" customHeight="1">
      <c r="A17" s="191"/>
      <c r="B17" s="82" t="s">
        <v>86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192"/>
    </row>
    <row r="18" spans="1:15" ht="15" customHeight="1">
      <c r="A18" s="104" t="s">
        <v>82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>
      <c r="A20" s="125" t="s">
        <v>148</v>
      </c>
      <c r="B20" s="132" t="s">
        <v>144</v>
      </c>
      <c r="C20" s="132" t="s">
        <v>143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>
      <c r="A21" s="193" t="s">
        <v>88</v>
      </c>
      <c r="B21" s="92" t="s">
        <v>89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>
      <c r="A22" s="193"/>
      <c r="B22" s="92" t="s">
        <v>90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>
      <c r="A23" s="193" t="s">
        <v>91</v>
      </c>
      <c r="B23" s="92" t="s">
        <v>89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>
      <c r="A24" s="193"/>
      <c r="B24" s="92" t="s">
        <v>90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>
      <c r="A25" s="133" t="s">
        <v>146</v>
      </c>
      <c r="B25" s="132" t="s">
        <v>147</v>
      </c>
      <c r="C25" s="132" t="s">
        <v>143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>
      <c r="A26" s="185" t="s">
        <v>92</v>
      </c>
      <c r="B26" s="92" t="s">
        <v>93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>
      <c r="A27" s="185"/>
      <c r="B27" s="92" t="s">
        <v>94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>
      <c r="A28" s="185" t="s">
        <v>95</v>
      </c>
      <c r="B28" s="92" t="s">
        <v>93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>
      <c r="A29" s="185"/>
      <c r="B29" s="92" t="s">
        <v>96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>
      <c r="A31" s="111" t="s">
        <v>97</v>
      </c>
      <c r="B31" s="82" t="s">
        <v>98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99</v>
      </c>
    </row>
    <row r="32" spans="1:15" ht="15" customHeight="1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>
      <c r="A33" s="104" t="s">
        <v>142</v>
      </c>
      <c r="B33" s="87"/>
      <c r="C33" s="88"/>
      <c r="D33" s="98"/>
      <c r="E33" s="100"/>
      <c r="F33" s="101">
        <f>F13+F18+F30+F32</f>
        <v>753584.4</v>
      </c>
      <c r="G33" s="101"/>
      <c r="H33" s="101">
        <f>H13+H18+H30+H32</f>
        <v>2864507.75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3618092.15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E27" sqref="E27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8.7219999999999995</v>
      </c>
    </row>
    <row r="3" spans="1:6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0.68579999999999997</v>
      </c>
    </row>
    <row r="5" spans="1:6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8">
        <f>'내역서(표준단가)'!M10</f>
        <v>0.5</v>
      </c>
    </row>
    <row r="8" spans="1:6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50</v>
      </c>
    </row>
    <row r="10" spans="1:6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8">
        <f>'내역서(표준단가)'!M13</f>
        <v>0.2</v>
      </c>
    </row>
    <row r="11" spans="1:6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14</v>
      </c>
    </row>
    <row r="13" spans="1:6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1.85</v>
      </c>
    </row>
    <row r="15" spans="1:6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8">
        <f>'내역서(표준단가)'!M18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2025-05-05T01:56:36Z</dcterms:modified>
</cp:coreProperties>
</file>
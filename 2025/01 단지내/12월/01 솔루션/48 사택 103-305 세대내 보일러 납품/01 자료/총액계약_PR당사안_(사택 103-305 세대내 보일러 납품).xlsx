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E557E1DD-E284-42A4-A2B2-67DF518A7D02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4" i="3"/>
  <c r="K13" i="3"/>
  <c r="K12" i="3"/>
  <c r="K11" i="3"/>
  <c r="K20" i="3" s="1"/>
  <c r="U6" i="2"/>
  <c r="S6" i="2"/>
  <c r="V6" i="2" s="1"/>
  <c r="Q6" i="2"/>
  <c r="O6" i="2"/>
  <c r="A6" i="2"/>
  <c r="U5" i="2"/>
  <c r="U7" i="2" s="1"/>
  <c r="S5" i="2"/>
  <c r="S7" i="2" s="1"/>
  <c r="Q5" i="2"/>
  <c r="Q7" i="2" s="1"/>
  <c r="O5" i="2"/>
  <c r="V5" i="2" s="1"/>
  <c r="J24" i="4" l="1"/>
  <c r="J23" i="4"/>
  <c r="J26" i="4"/>
  <c r="J25" i="4"/>
  <c r="J27" i="4" s="1"/>
  <c r="J22" i="4"/>
  <c r="D9" i="3"/>
  <c r="K9" i="3"/>
  <c r="V7" i="2"/>
  <c r="O7" i="2"/>
  <c r="J28" i="4" l="1"/>
  <c r="J20" i="4" s="1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<sst xmlns="http://schemas.openxmlformats.org/spreadsheetml/2006/main" count="146" uniqueCount="128">
  <si>
    <t>순환펌프</t>
  </si>
  <si>
    <t>삼방밸브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</si>
  <si>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</si>
  <si>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주      소</t>
  </si>
  <si>
    <t>업      태</t>
  </si>
  <si>
    <t>GTX-8000</t>
  </si>
  <si>
    <t>상      호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</si>
  <si>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</si>
  <si>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종   목</t>
  </si>
  <si>
    <t>할증기준</t>
  </si>
  <si>
    <r>
      <rPr>
        <b/>
        <sz val="10"/>
        <color rgb="FF000000"/>
        <rFont val="LG스마트체 Regular"/>
        <family val="3"/>
        <charset val="129"/>
      </rPr>
      <t>기계경비</t>
    </r>
  </si>
  <si>
    <t>규     격</t>
  </si>
  <si>
    <t>합 계 금 액</t>
  </si>
  <si>
    <t>기 타 사 항</t>
  </si>
  <si>
    <t>품     명</t>
  </si>
  <si>
    <t xml:space="preserve">  김 태 용</t>
  </si>
  <si>
    <t>등 록 번 호</t>
  </si>
  <si>
    <t>전 화 번 호</t>
  </si>
  <si>
    <t>단    가</t>
  </si>
  <si>
    <t>세    액</t>
  </si>
  <si>
    <t>성   명</t>
  </si>
  <si>
    <t>가스밸브</t>
  </si>
  <si>
    <t>귀뚜라미산업</t>
  </si>
  <si>
    <t>비   고</t>
  </si>
  <si>
    <t>공 급 가 액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</si>
  <si>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</si>
  <si>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</si>
  <si>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</si>
  <si>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rPr>
        <b/>
        <sz val="10"/>
        <color rgb="FF000000"/>
        <rFont val="LG스마트체 Regular"/>
        <family val="3"/>
        <charset val="129"/>
      </rPr>
      <t>주요내역</t>
    </r>
  </si>
  <si>
    <t>314-19-99933</t>
  </si>
  <si>
    <t>GRV-300(601)</t>
  </si>
  <si>
    <t>보일러,버너,배관자재,에어컨</t>
  </si>
  <si>
    <t>823-9444       FAX 823-9511</t>
  </si>
  <si>
    <t>합계</t>
  </si>
  <si>
    <t>수 량</t>
  </si>
  <si>
    <r>
      <rPr>
        <b/>
        <sz val="10"/>
        <color rgb="FF000000"/>
        <rFont val="LG스마트체 Regular"/>
        <family val="3"/>
        <charset val="129"/>
      </rPr>
      <t>규격</t>
    </r>
  </si>
  <si>
    <t>SET</t>
  </si>
  <si>
    <r>
      <rPr>
        <b/>
        <sz val="10"/>
        <color rgb="FF000000"/>
        <rFont val="LG스마트체 Regular"/>
        <family val="3"/>
        <charset val="129"/>
      </rPr>
      <t>금액</t>
    </r>
  </si>
  <si>
    <t>도소매</t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</si>
  <si>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</si>
  <si>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</si>
  <si>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t xml:space="preserve">  </t>
  </si>
  <si>
    <r>
      <rPr>
        <b/>
        <sz val="10"/>
        <color rgb="FF000000"/>
        <rFont val="LG스마트체 Regular"/>
        <family val="3"/>
        <charset val="129"/>
      </rPr>
      <t>단위</t>
    </r>
  </si>
  <si>
    <t>번 호</t>
  </si>
  <si>
    <t>콘트롤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</si>
  <si>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</si>
  <si>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</si>
  <si>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</si>
  <si>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</si>
  <si>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t xml:space="preserve"> 대전광역시 유성구 계룡로 16번길 48, 1층(구암동)</t>
  </si>
  <si>
    <t>거꾸로ECO콘덴싱L20-27H 외</t>
  </si>
  <si>
    <t xml:space="preserve">  에스앤아이코퍼레이션시스템 귀하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</si>
  <si>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</si>
  <si>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견        적        서</t>
  </si>
  <si>
    <t xml:space="preserve"> 2025  년   10  월   1  일</t>
  </si>
  <si>
    <t>KP-111</t>
  </si>
  <si>
    <t xml:space="preserve">  ※ LG사택 103동 305호</t>
  </si>
  <si>
    <t>STV300-115</t>
  </si>
  <si>
    <t>103동 305호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</si>
  <si>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</si>
  <si>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</si>
  <si>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</si>
  <si>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</si>
  <si>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</si>
  <si>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</si>
  <si>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</si>
  <si>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</si>
  <si>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</si>
  <si>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</si>
  <si>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</si>
  <si>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</si>
  <si>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</si>
  <si>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</si>
  <si>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</si>
  <si>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</si>
  <si>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</si>
  <si>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</si>
  <si>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</si>
  <si>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</si>
  <si>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</si>
  <si>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</si>
  <si>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</si>
  <si>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</si>
  <si>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</si>
  <si>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</si>
  <si>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</si>
  <si>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</si>
  <si>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</si>
  <si>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</si>
  <si>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</si>
  <si>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</si>
  <si>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</si>
  <si>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</si>
  <si>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</si>
  <si>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</si>
  <si>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</si>
  <si>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</si>
  <si>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</si>
  <si>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</si>
  <si>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</si>
  <si>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</si>
  <si>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</si>
  <si>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</si>
  <si>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</si>
  <si>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</si>
  <si>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</si>
  <si>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</si>
  <si>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</si>
  <si>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</si>
  <si>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</si>
  <si>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</si>
  <si>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</si>
  <si>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</si>
  <si>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</si>
  <si>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</si>
  <si>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</si>
  <si>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</si>
  <si>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</si>
  <si>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</si>
  <si>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</si>
  <si>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</si>
  <si>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</si>
  <si>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</si>
  <si>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</si>
  <si>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</si>
  <si>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</si>
  <si>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103-305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</si>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</sst>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C1B92828-EEAB-4E17-BEB3-AF035C17C97E}"/>
    <cellStyle name="백분율 2 3" xfId="6" xr:uid="{00000000-0005-0000-0000-000006000000}"/>
    <cellStyle name="쉼표 [0] 17" xfId="2" xr:uid="{00000000-0005-0000-0000-000002000000}"/>
    <cellStyle name="쉼표 [0] 17 2" xfId="20" xr:uid="{8B0EFD2C-EE18-4B32-93A8-D8E93BA9FD50}"/>
    <cellStyle name="쉼표 [0] 2" xfId="13" xr:uid="{7BCD2E10-2568-4B54-8D5D-145A816629B0}"/>
    <cellStyle name="쉼표 [0] 2 2 2" xfId="5" xr:uid="{00000000-0005-0000-0000-000005000000}"/>
    <cellStyle name="쉼표 [0] 2 2 29" xfId="14" xr:uid="{5BE1AF72-6878-4A2F-9B30-336203F780AF}"/>
    <cellStyle name="쉼표 [0] 2 3" xfId="4" xr:uid="{00000000-0005-0000-0000-000004000000}"/>
    <cellStyle name="쉼표 [0] 2 84" xfId="18" xr:uid="{565F6192-7C20-453D-B9FF-A7C1C2BB2DE5}"/>
    <cellStyle name="쉼표 [0] 5" xfId="16" xr:uid="{15C2126E-601A-4B5A-AC51-06CA67738614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43443187-5AD1-4C54-B6E6-FB63B180AD44}"/>
    <cellStyle name="표준 10 2" xfId="10" xr:uid="{861B17A3-EA6B-42B1-B059-6D847102B489}"/>
    <cellStyle name="표준 2" xfId="17" xr:uid="{01425427-A879-463C-B511-EB9EB857300C}"/>
    <cellStyle name="표준 3 2" xfId="3" xr:uid="{00000000-0005-0000-0000-000003000000}"/>
    <cellStyle name="표준 7" xfId="7" xr:uid="{00000000-0005-0000-0000-000007000000}"/>
    <cellStyle name="표준_p1공장 외벽청소(08.03.17)" xfId="11" xr:uid="{56F9D370-38B8-434C-A99E-6448E01D0AF8}"/>
    <cellStyle name="표준_P456 공장 및 복지동 전면 유리창 청소건 라상혁님_1129(최종)" xfId="12" xr:uid="{ECAA7161-6549-4D0D-B90B-0B36058A02E2}"/>
    <cellStyle name="표준_S&amp;D_MAIN VALVE_최빈_2" xfId="9" xr:uid="{AC5A6268-28B7-4B4B-95B9-A6BCA11903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2A4E5FE-7686-4F14-BE42-436AAE0C2C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597C-AFF1-4FB1-B0E4-3510A98503DC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59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60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127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61</v>
      </c>
      <c r="B7" s="210"/>
      <c r="C7" s="211"/>
      <c r="D7" s="119">
        <v>2025</v>
      </c>
      <c r="E7" s="69" t="s">
        <v>62</v>
      </c>
      <c r="F7" s="120">
        <v>10</v>
      </c>
      <c r="G7" s="69" t="s">
        <v>63</v>
      </c>
      <c r="H7" s="120">
        <v>2</v>
      </c>
      <c r="I7" s="69" t="s">
        <v>64</v>
      </c>
      <c r="J7" s="70"/>
      <c r="K7" s="212" t="s">
        <v>65</v>
      </c>
      <c r="L7" s="71" t="s">
        <v>66</v>
      </c>
      <c r="M7" s="71" t="s">
        <v>67</v>
      </c>
      <c r="N7" s="71" t="s">
        <v>68</v>
      </c>
      <c r="O7" s="72" t="s">
        <v>69</v>
      </c>
    </row>
    <row r="8" spans="1:15" ht="23.25" customHeight="1">
      <c r="A8" s="215" t="s">
        <v>70</v>
      </c>
      <c r="B8" s="216"/>
      <c r="C8" s="217"/>
      <c r="D8" s="218" t="s">
        <v>71</v>
      </c>
      <c r="E8" s="219"/>
      <c r="F8" s="219"/>
      <c r="G8" s="220"/>
      <c r="H8" s="221" t="s">
        <v>72</v>
      </c>
      <c r="I8" s="219"/>
      <c r="J8" s="222"/>
      <c r="K8" s="213"/>
      <c r="L8" s="73" t="s">
        <v>73</v>
      </c>
      <c r="M8" s="73" t="s">
        <v>74</v>
      </c>
      <c r="N8" s="73" t="s">
        <v>75</v>
      </c>
      <c r="O8" s="74" t="s">
        <v>76</v>
      </c>
    </row>
    <row r="9" spans="1:15" ht="23.25" customHeight="1">
      <c r="A9" s="215" t="s">
        <v>77</v>
      </c>
      <c r="B9" s="216"/>
      <c r="C9" s="217"/>
      <c r="D9" s="223" t="s">
        <v>78</v>
      </c>
      <c r="E9" s="224"/>
      <c r="F9" s="224"/>
      <c r="G9" s="224"/>
      <c r="H9" s="224"/>
      <c r="I9" s="224"/>
      <c r="J9" s="225"/>
      <c r="K9" s="213"/>
      <c r="L9" s="73" t="s">
        <v>79</v>
      </c>
      <c r="M9" s="226" t="s">
        <v>80</v>
      </c>
      <c r="N9" s="216"/>
      <c r="O9" s="217"/>
    </row>
    <row r="10" spans="1:15" ht="23.25" customHeight="1" thickBot="1">
      <c r="A10" s="227" t="s">
        <v>81</v>
      </c>
      <c r="B10" s="228"/>
      <c r="C10" s="229"/>
      <c r="D10" s="230" t="s">
        <v>82</v>
      </c>
      <c r="E10" s="231"/>
      <c r="F10" s="231"/>
      <c r="G10" s="231"/>
      <c r="H10" s="231"/>
      <c r="I10" s="231"/>
      <c r="J10" s="232"/>
      <c r="K10" s="214"/>
      <c r="L10" s="75" t="s">
        <v>83</v>
      </c>
      <c r="M10" s="75" t="s">
        <v>84</v>
      </c>
      <c r="N10" s="75" t="s">
        <v>85</v>
      </c>
      <c r="O10" s="76" t="s">
        <v>86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126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87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88</v>
      </c>
      <c r="B17" s="195" t="s">
        <v>89</v>
      </c>
      <c r="C17" s="196"/>
      <c r="D17" s="196"/>
      <c r="E17" s="196"/>
      <c r="F17" s="196"/>
      <c r="G17" s="197"/>
      <c r="H17" s="86" t="s">
        <v>90</v>
      </c>
      <c r="I17" s="87" t="s">
        <v>91</v>
      </c>
      <c r="J17" s="198" t="s">
        <v>92</v>
      </c>
      <c r="K17" s="199"/>
      <c r="L17" s="199"/>
      <c r="M17" s="200"/>
      <c r="N17" s="195" t="s">
        <v>93</v>
      </c>
      <c r="O17" s="201"/>
    </row>
    <row r="18" spans="1:17" ht="28.5" customHeight="1">
      <c r="A18" s="88">
        <v>1</v>
      </c>
      <c r="B18" s="189" t="s">
        <v>94</v>
      </c>
      <c r="C18" s="190"/>
      <c r="D18" s="190"/>
      <c r="E18" s="190"/>
      <c r="F18" s="190"/>
      <c r="G18" s="191"/>
      <c r="H18" s="121">
        <v>1</v>
      </c>
      <c r="I18" s="122" t="s">
        <v>95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96</v>
      </c>
      <c r="C19" s="170"/>
      <c r="D19" s="170"/>
      <c r="E19" s="170"/>
      <c r="F19" s="170"/>
      <c r="G19" s="171"/>
      <c r="H19" s="123">
        <v>1</v>
      </c>
      <c r="I19" s="123" t="s">
        <v>95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97</v>
      </c>
      <c r="C20" s="178"/>
      <c r="D20" s="178"/>
      <c r="E20" s="178"/>
      <c r="F20" s="178"/>
      <c r="G20" s="179"/>
      <c r="H20" s="90">
        <v>1</v>
      </c>
      <c r="I20" s="90" t="s">
        <v>95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98</v>
      </c>
      <c r="D21" s="162"/>
      <c r="E21" s="162"/>
      <c r="F21" s="162"/>
      <c r="G21" s="163"/>
      <c r="H21" s="124">
        <v>1</v>
      </c>
      <c r="I21" s="124" t="s">
        <v>95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99</v>
      </c>
      <c r="O21" s="168"/>
    </row>
    <row r="22" spans="1:17" ht="28.5" customHeight="1">
      <c r="A22" s="88"/>
      <c r="B22" s="92"/>
      <c r="C22" s="155" t="s">
        <v>100</v>
      </c>
      <c r="D22" s="156"/>
      <c r="E22" s="156"/>
      <c r="F22" s="156"/>
      <c r="G22" s="157"/>
      <c r="H22" s="93">
        <v>3.11</v>
      </c>
      <c r="I22" s="93" t="s">
        <v>101</v>
      </c>
      <c r="J22" s="158">
        <f>IFERROR((J18+J19)*H22%,"-")</f>
        <v>31100</v>
      </c>
      <c r="K22" s="159"/>
      <c r="L22" s="159"/>
      <c r="M22" s="160"/>
      <c r="N22" s="151" t="s">
        <v>102</v>
      </c>
      <c r="O22" s="152"/>
    </row>
    <row r="23" spans="1:17" ht="28.5" customHeight="1">
      <c r="A23" s="88"/>
      <c r="B23" s="92"/>
      <c r="C23" s="155" t="s">
        <v>103</v>
      </c>
      <c r="D23" s="156"/>
      <c r="E23" s="156"/>
      <c r="F23" s="156"/>
      <c r="G23" s="157"/>
      <c r="H23" s="93">
        <v>3.56</v>
      </c>
      <c r="I23" s="93" t="s">
        <v>104</v>
      </c>
      <c r="J23" s="158">
        <f>IFERROR(J19*H23%,"-")</f>
        <v>6408</v>
      </c>
      <c r="K23" s="159"/>
      <c r="L23" s="159"/>
      <c r="M23" s="160"/>
      <c r="N23" s="151" t="s">
        <v>105</v>
      </c>
      <c r="O23" s="152"/>
    </row>
    <row r="24" spans="1:17" ht="28.5" customHeight="1">
      <c r="A24" s="88"/>
      <c r="B24" s="92"/>
      <c r="C24" s="155" t="s">
        <v>106</v>
      </c>
      <c r="D24" s="156"/>
      <c r="E24" s="156"/>
      <c r="F24" s="156"/>
      <c r="G24" s="157"/>
      <c r="H24" s="93">
        <v>1.01</v>
      </c>
      <c r="I24" s="93" t="s">
        <v>104</v>
      </c>
      <c r="J24" s="158">
        <f>IFERROR(J19*H24%,"-")</f>
        <v>1818</v>
      </c>
      <c r="K24" s="159"/>
      <c r="L24" s="159"/>
      <c r="M24" s="160"/>
      <c r="N24" s="151" t="s">
        <v>107</v>
      </c>
      <c r="O24" s="152"/>
    </row>
    <row r="25" spans="1:17" ht="28.5" customHeight="1">
      <c r="A25" s="88"/>
      <c r="B25" s="92"/>
      <c r="C25" s="155" t="s">
        <v>108</v>
      </c>
      <c r="D25" s="156"/>
      <c r="E25" s="156"/>
      <c r="F25" s="156"/>
      <c r="G25" s="157"/>
      <c r="H25" s="94">
        <v>3.5449999999999999</v>
      </c>
      <c r="I25" s="93" t="s">
        <v>104</v>
      </c>
      <c r="J25" s="158">
        <f>IFERROR(J19*H25%,"-")</f>
        <v>6381</v>
      </c>
      <c r="K25" s="159"/>
      <c r="L25" s="159"/>
      <c r="M25" s="160"/>
      <c r="N25" s="151" t="s">
        <v>109</v>
      </c>
      <c r="O25" s="152"/>
      <c r="Q25" s="91"/>
    </row>
    <row r="26" spans="1:17" ht="28.5" customHeight="1">
      <c r="A26" s="88"/>
      <c r="B26" s="92"/>
      <c r="C26" s="155" t="s">
        <v>110</v>
      </c>
      <c r="D26" s="156"/>
      <c r="E26" s="156"/>
      <c r="F26" s="156"/>
      <c r="G26" s="157"/>
      <c r="H26" s="93">
        <v>4.5</v>
      </c>
      <c r="I26" s="93" t="s">
        <v>104</v>
      </c>
      <c r="J26" s="158">
        <f>IFERROR(J19*H26%,"-")</f>
        <v>8100</v>
      </c>
      <c r="K26" s="159"/>
      <c r="L26" s="159"/>
      <c r="M26" s="160"/>
      <c r="N26" s="151" t="s">
        <v>111</v>
      </c>
      <c r="O26" s="152"/>
      <c r="Q26" s="95"/>
    </row>
    <row r="27" spans="1:17" ht="28.5" customHeight="1">
      <c r="A27" s="88"/>
      <c r="B27" s="92"/>
      <c r="C27" s="145" t="s">
        <v>112</v>
      </c>
      <c r="D27" s="146"/>
      <c r="E27" s="146"/>
      <c r="F27" s="146"/>
      <c r="G27" s="147"/>
      <c r="H27" s="96">
        <v>12.95</v>
      </c>
      <c r="I27" s="97" t="s">
        <v>104</v>
      </c>
      <c r="J27" s="148">
        <f>IFERROR($H$27*J25%,"-")</f>
        <v>826.33949999999993</v>
      </c>
      <c r="K27" s="149"/>
      <c r="L27" s="149"/>
      <c r="M27" s="150"/>
      <c r="N27" s="151" t="s">
        <v>113</v>
      </c>
      <c r="O27" s="152"/>
    </row>
    <row r="28" spans="1:17" ht="28.5" customHeight="1">
      <c r="A28" s="88"/>
      <c r="B28" s="92"/>
      <c r="C28" s="145" t="s">
        <v>114</v>
      </c>
      <c r="D28" s="146"/>
      <c r="E28" s="146"/>
      <c r="F28" s="146"/>
      <c r="G28" s="147"/>
      <c r="H28" s="96">
        <v>8.1000000000000003E-2</v>
      </c>
      <c r="I28" s="97" t="s">
        <v>104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115</v>
      </c>
      <c r="O28" s="154"/>
    </row>
    <row r="29" spans="1:17" ht="28.5" customHeight="1">
      <c r="A29" s="98"/>
      <c r="B29" s="99"/>
      <c r="C29" s="125" t="s">
        <v>116</v>
      </c>
      <c r="D29" s="126"/>
      <c r="E29" s="126"/>
      <c r="F29" s="126"/>
      <c r="G29" s="127"/>
      <c r="H29" s="100">
        <v>1</v>
      </c>
      <c r="I29" s="101" t="s">
        <v>117</v>
      </c>
      <c r="J29" s="128">
        <f>34*0</f>
        <v>0</v>
      </c>
      <c r="K29" s="129"/>
      <c r="L29" s="129"/>
      <c r="M29" s="130"/>
      <c r="N29" s="131" t="s">
        <v>118</v>
      </c>
      <c r="O29" s="132"/>
    </row>
    <row r="30" spans="1:17" ht="28.5" customHeight="1">
      <c r="A30" s="98">
        <v>4</v>
      </c>
      <c r="B30" s="99"/>
      <c r="C30" s="125" t="s">
        <v>119</v>
      </c>
      <c r="D30" s="126"/>
      <c r="E30" s="126"/>
      <c r="F30" s="126"/>
      <c r="G30" s="127"/>
      <c r="H30" s="101">
        <v>5</v>
      </c>
      <c r="I30" s="102" t="s">
        <v>120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121</v>
      </c>
      <c r="O30" s="142"/>
    </row>
    <row r="31" spans="1:17" ht="28.5" customHeight="1" thickBot="1">
      <c r="A31" s="98">
        <v>5</v>
      </c>
      <c r="B31" s="99"/>
      <c r="C31" s="125" t="s">
        <v>122</v>
      </c>
      <c r="D31" s="126"/>
      <c r="E31" s="126"/>
      <c r="F31" s="126"/>
      <c r="G31" s="127"/>
      <c r="H31" s="101">
        <v>7.5</v>
      </c>
      <c r="I31" s="102" t="s">
        <v>104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123</v>
      </c>
      <c r="O31" s="144"/>
      <c r="Q31" s="103"/>
    </row>
    <row r="32" spans="1:17" ht="28.5" customHeight="1" thickBot="1">
      <c r="A32" s="133" t="s">
        <v>124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125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25</v>
      </c>
      <c r="Q1" s="44" t="s">
        <v>25</v>
      </c>
      <c r="S1" s="44" t="s">
        <v>25</v>
      </c>
      <c r="U1" s="44" t="s">
        <v>25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2</v>
      </c>
      <c r="G3" s="40"/>
      <c r="H3" s="40"/>
      <c r="I3" s="40"/>
      <c r="J3" s="234" t="s">
        <v>28</v>
      </c>
      <c r="K3" s="234"/>
      <c r="L3" s="234" t="s">
        <v>42</v>
      </c>
      <c r="M3" s="234" t="s">
        <v>39</v>
      </c>
      <c r="N3" s="240" t="s">
        <v>47</v>
      </c>
      <c r="O3" s="240"/>
      <c r="P3" s="240" t="s">
        <v>48</v>
      </c>
      <c r="Q3" s="240"/>
      <c r="R3" s="241" t="s">
        <v>10</v>
      </c>
      <c r="S3" s="241"/>
      <c r="T3" s="241" t="s">
        <v>7</v>
      </c>
      <c r="U3" s="241"/>
      <c r="V3" s="242" t="s">
        <v>40</v>
      </c>
      <c r="W3" s="236" t="s">
        <v>27</v>
      </c>
      <c r="X3" s="238" t="s">
        <v>9</v>
      </c>
    </row>
    <row r="4" spans="1:24" ht="19.899999999999999" customHeight="1">
      <c r="A4" s="39" t="s">
        <v>40</v>
      </c>
      <c r="B4" s="38"/>
      <c r="C4" s="38"/>
      <c r="D4" s="38"/>
      <c r="E4" s="38"/>
      <c r="F4" s="37"/>
      <c r="G4" s="37"/>
      <c r="H4" s="37"/>
      <c r="I4" s="37"/>
      <c r="J4" s="36" t="s">
        <v>46</v>
      </c>
      <c r="K4" s="36" t="s">
        <v>35</v>
      </c>
      <c r="L4" s="235"/>
      <c r="M4" s="235"/>
      <c r="N4" s="35" t="s">
        <v>26</v>
      </c>
      <c r="O4" s="34" t="s">
        <v>37</v>
      </c>
      <c r="P4" s="35" t="s">
        <v>45</v>
      </c>
      <c r="Q4" s="34" t="s">
        <v>37</v>
      </c>
      <c r="R4" s="34" t="s">
        <v>45</v>
      </c>
      <c r="S4" s="34" t="s">
        <v>37</v>
      </c>
      <c r="T4" s="34" t="s">
        <v>45</v>
      </c>
      <c r="U4" s="34" t="s">
        <v>37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58</v>
      </c>
      <c r="K5" s="32" t="s">
        <v>50</v>
      </c>
      <c r="L5" s="31" t="s">
        <v>36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O14" sqref="O14:Q14"/>
    </sheetView>
  </sheetViews>
  <sheetFormatPr defaultColWidth="8.75" defaultRowHeight="16.5"/>
  <cols>
    <col min="1" max="1" width="8.75" style="46" bestFit="1" customWidth="1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53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51</v>
      </c>
      <c r="B3" s="246"/>
      <c r="C3" s="246"/>
      <c r="D3" s="246"/>
      <c r="E3" s="246"/>
      <c r="F3" s="247" t="s">
        <v>16</v>
      </c>
      <c r="G3" s="248"/>
      <c r="H3" s="247"/>
      <c r="I3" s="249" t="s">
        <v>29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6</v>
      </c>
      <c r="G4" s="250"/>
      <c r="H4" s="247"/>
      <c r="I4" s="249" t="s">
        <v>22</v>
      </c>
      <c r="J4" s="249"/>
      <c r="K4" s="249"/>
      <c r="L4" s="249"/>
      <c r="M4" s="249"/>
      <c r="N4" s="249" t="s">
        <v>20</v>
      </c>
      <c r="O4" s="249"/>
      <c r="P4" s="249"/>
      <c r="Q4" s="251" t="s">
        <v>15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54</v>
      </c>
      <c r="B5" s="252"/>
      <c r="C5" s="252"/>
      <c r="D5" s="252"/>
      <c r="E5" s="252"/>
      <c r="F5" s="247" t="s">
        <v>3</v>
      </c>
      <c r="G5" s="248"/>
      <c r="H5" s="247"/>
      <c r="I5" s="249" t="s">
        <v>49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4</v>
      </c>
      <c r="G6" s="250"/>
      <c r="H6" s="247"/>
      <c r="I6" s="249" t="s">
        <v>38</v>
      </c>
      <c r="J6" s="249"/>
      <c r="K6" s="249" t="s">
        <v>8</v>
      </c>
      <c r="L6" s="249"/>
      <c r="M6" s="249"/>
      <c r="N6" s="249" t="s">
        <v>31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52</v>
      </c>
      <c r="B7" s="252"/>
      <c r="C7" s="252"/>
      <c r="D7" s="252"/>
      <c r="E7" s="252"/>
      <c r="F7" s="247" t="s">
        <v>17</v>
      </c>
      <c r="G7" s="250"/>
      <c r="H7" s="247"/>
      <c r="I7" s="249" t="s">
        <v>32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41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12</v>
      </c>
      <c r="B9" s="250"/>
      <c r="C9" s="250"/>
      <c r="D9" s="256" t="str">
        <f>"일금 "&amp;NUMBERSTRING((K20+N20),1)&amp;"원정"</f>
        <v>일금 사십육만육천원정</v>
      </c>
      <c r="E9" s="256"/>
      <c r="F9" s="256"/>
      <c r="G9" s="256"/>
      <c r="H9" s="256"/>
      <c r="I9" s="256"/>
      <c r="J9" s="256"/>
      <c r="K9" s="257">
        <f>K20+N20</f>
        <v>466000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43</v>
      </c>
      <c r="B10" s="260" t="s">
        <v>14</v>
      </c>
      <c r="C10" s="261"/>
      <c r="D10" s="262" t="s">
        <v>11</v>
      </c>
      <c r="E10" s="263"/>
      <c r="F10" s="51" t="s">
        <v>34</v>
      </c>
      <c r="G10" s="262" t="s">
        <v>18</v>
      </c>
      <c r="H10" s="264"/>
      <c r="I10" s="264"/>
      <c r="J10" s="263"/>
      <c r="K10" s="262" t="s">
        <v>24</v>
      </c>
      <c r="L10" s="264"/>
      <c r="M10" s="264"/>
      <c r="N10" s="263"/>
      <c r="O10" s="262" t="s">
        <v>19</v>
      </c>
      <c r="P10" s="264"/>
      <c r="Q10" s="263"/>
      <c r="R10" s="51" t="s">
        <v>23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1</v>
      </c>
      <c r="C11" s="266"/>
      <c r="D11" s="267" t="s">
        <v>57</v>
      </c>
      <c r="E11" s="266"/>
      <c r="F11" s="51">
        <v>1</v>
      </c>
      <c r="G11" s="268">
        <v>88000</v>
      </c>
      <c r="H11" s="269"/>
      <c r="I11" s="269"/>
      <c r="J11" s="270"/>
      <c r="K11" s="271">
        <f>F11*G11</f>
        <v>88000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44</v>
      </c>
      <c r="C12" s="266"/>
      <c r="D12" s="267" t="s">
        <v>5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21</v>
      </c>
      <c r="C13" s="266"/>
      <c r="D13" s="267" t="s">
        <v>30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>
        <v>4</v>
      </c>
      <c r="B14" s="274" t="s">
        <v>0</v>
      </c>
      <c r="C14" s="275"/>
      <c r="D14" s="276" t="s">
        <v>55</v>
      </c>
      <c r="E14" s="275"/>
      <c r="F14" s="51">
        <v>1</v>
      </c>
      <c r="G14" s="277">
        <v>123000</v>
      </c>
      <c r="H14" s="278"/>
      <c r="I14" s="278"/>
      <c r="J14" s="279"/>
      <c r="K14" s="271">
        <f>F14*G14</f>
        <v>123000</v>
      </c>
      <c r="L14" s="272"/>
      <c r="M14" s="272"/>
      <c r="N14" s="273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33</v>
      </c>
      <c r="B20" s="265"/>
      <c r="C20" s="266"/>
      <c r="D20" s="267"/>
      <c r="E20" s="266"/>
      <c r="F20" s="51"/>
      <c r="G20" s="268">
        <f>SUM(G11:J14)</f>
        <v>466000</v>
      </c>
      <c r="H20" s="269"/>
      <c r="I20" s="269"/>
      <c r="J20" s="270"/>
      <c r="K20" s="271">
        <f>SUM(K11:N14)</f>
        <v>466000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13</v>
      </c>
      <c r="B21" s="284"/>
      <c r="C21" s="285"/>
      <c r="D21" s="286" t="s">
        <v>56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23</cp:revision>
  <dcterms:created xsi:type="dcterms:W3CDTF">2020-09-15T23:52:51Z</dcterms:created>
  <dcterms:modified xsi:type="dcterms:W3CDTF">2025-10-01T23:48:12Z</dcterms:modified>
  <cp:version>1300.0100.01</cp:version>
</cp:coreProperties>
</file>
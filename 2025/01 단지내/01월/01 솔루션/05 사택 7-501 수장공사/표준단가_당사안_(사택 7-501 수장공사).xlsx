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212\06 작업폴더\04 사택 7-501 수장공사\"/>
    </mc:Choice>
  </mc:AlternateContent>
  <xr:revisionPtr revIDLastSave="0" documentId="13_ncr:1_{A7CCBB58-926E-4519-87D9-0629595DA515}" xr6:coauthVersionLast="47" xr6:coauthVersionMax="47" xr10:uidLastSave="{00000000-0000-0000-0000-000000000000}"/>
  <bookViews>
    <workbookView xWindow="2685" yWindow="2685" windowWidth="7500" windowHeight="11295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1" i="9" l="1"/>
  <c r="F2" i="1" l="1"/>
  <c r="E2" i="1"/>
  <c r="D2" i="1"/>
  <c r="C2" i="1"/>
  <c r="B2" i="1"/>
  <c r="L35" i="9" l="1"/>
  <c r="J35" i="9"/>
  <c r="L32" i="9"/>
  <c r="J32" i="9"/>
  <c r="J30" i="9"/>
  <c r="J20" i="9"/>
  <c r="J12" i="9"/>
  <c r="H34" i="9"/>
  <c r="H31" i="9"/>
  <c r="H32" i="9" s="1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N6" i="9" l="1"/>
  <c r="N8" i="9"/>
  <c r="N10" i="9"/>
  <c r="N5" i="9"/>
  <c r="N7" i="9"/>
  <c r="N9" i="9"/>
  <c r="N31" i="9"/>
  <c r="N32" i="9" s="1"/>
  <c r="N17" i="9"/>
  <c r="N19" i="9"/>
  <c r="N24" i="9"/>
  <c r="F35" i="9"/>
  <c r="N18" i="9"/>
  <c r="N23" i="9"/>
  <c r="H20" i="9"/>
  <c r="H35" i="9"/>
  <c r="N34" i="9"/>
  <c r="H30" i="9"/>
  <c r="J36" i="9"/>
  <c r="L30" i="9"/>
  <c r="F12" i="9"/>
  <c r="F30" i="9"/>
  <c r="L12" i="9"/>
  <c r="L20" i="9"/>
  <c r="F20" i="9"/>
  <c r="F36" i="9" l="1"/>
  <c r="N35" i="9"/>
  <c r="Q14" i="4" l="1"/>
  <c r="J16" i="4"/>
  <c r="J15" i="4"/>
  <c r="U12" i="4"/>
  <c r="S12" i="4"/>
  <c r="Q12" i="4"/>
  <c r="O12" i="4"/>
  <c r="A12" i="4"/>
  <c r="A9" i="1" s="1"/>
  <c r="A17" i="4"/>
  <c r="A14" i="4"/>
  <c r="A11" i="1" s="1"/>
  <c r="A13" i="4"/>
  <c r="A10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2" i="4" l="1"/>
  <c r="U13" i="4"/>
  <c r="S13" i="4"/>
  <c r="Q13" i="4"/>
  <c r="O13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6" i="4"/>
  <c r="V8" i="4"/>
  <c r="V10" i="4"/>
  <c r="V13" i="4"/>
  <c r="D20" i="9"/>
  <c r="D12" i="9"/>
  <c r="H11" i="9"/>
  <c r="N11" i="9" l="1"/>
  <c r="N12" i="9" s="1"/>
  <c r="H12" i="9"/>
  <c r="H36" i="9" s="1"/>
  <c r="N30" i="9"/>
  <c r="N20" i="9"/>
  <c r="N36" i="9" l="1"/>
  <c r="U17" i="4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O14" i="4"/>
  <c r="V14" i="4" l="1"/>
  <c r="V15" i="4"/>
  <c r="V16" i="4"/>
  <c r="V17" i="4"/>
  <c r="U18" i="4"/>
  <c r="Q18" i="4"/>
  <c r="S18" i="4" l="1"/>
  <c r="V18" i="4" l="1"/>
  <c r="F18" i="5" l="1"/>
  <c r="O1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<sst xmlns="http://schemas.openxmlformats.org/spreadsheetml/2006/main" count="268" uniqueCount="200">
  <si>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</si>
  <si>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</si>
  <si>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</si>
  <si>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</si>
  <si>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</si>
  <si>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</si>
  <si>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</si>
  <si>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</si>
  <si>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</si>
  <si>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</si>
  <si>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</si>
  <si>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</si>
  <si>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</si>
  <si>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</si>
  <si>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</si>
  <si>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</si>
  <si>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</si>
  <si>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</si>
  <si>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</si>
  <si>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</si>
  <si>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</si>
  <si>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</si>
  <si>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</si>
  <si>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</si>
  <si>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</si>
  <si>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</si>
  <si>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</si>
  <si>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</si>
  <si>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</si>
  <si>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</si>
  <si>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</si>
  <si>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</si>
  <si>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</si>
  <si>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</si>
  <si>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</si>
  <si>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</si>
  <si>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</si>
  <si>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</si>
  <si>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</si>
  <si>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</si>
  <si>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</si>
  <si>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</si>
  <si>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</si>
  <si>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</si>
  <si>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</si>
  <si>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</si>
  <si>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</si>
  <si>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</si>
  <si>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</si>
  <si>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</si>
  <si>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</si>
  <si>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</si>
  <si>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</si>
  <si>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</si>
  <si>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</si>
  <si>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</si>
  <si>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</si>
  <si>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</si>
  <si>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</si>
  <si>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</si>
  <si>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</si>
  <si>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</si>
  <si>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</si>
  <si>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</si>
  <si>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</si>
  <si>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</si>
  <si>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</si>
  <si>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</si>
  <si>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</si>
  <si>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</si>
  <si>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</si>
  <si>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</si>
  <si>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</si>
  <si>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</si>
  <si>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</si>
  <si>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</si>
  <si>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</si>
  <si>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</si>
  <si>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</si>
  <si>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</si>
  <si>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</si>
  <si>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</si>
  <si>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</si>
  <si>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</si>
  <si>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</si>
  <si>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</si>
  <si>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</si>
  <si>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</si>
  <si>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</si>
  <si>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</si>
  <si>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</si>
  <si>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</si>
  <si>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</si>
  <si>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</si>
  <si>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</si>
  <si>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</si>
  <si>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</si>
  <si>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</si>
  <si>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</si>
  <si>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</si>
  <si>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</si>
  <si>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</si>
  <si>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</si>
  <si>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</si>
  <si>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</si>
  <si>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</si>
  <si>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</si>
  <si>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</si>
  <si>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</si>
  <si>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</si>
  <si>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</si>
  <si>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</si>
  <si>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</si>
  <si>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</si>
  <si>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</si>
  <si>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</si>
  <si>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</si>
  <si>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</si>
  <si>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</si>
  <si>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인</t>
    <phoneticPr fontId="7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</si>
  <si>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</si>
  <si>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</si>
  <si>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</si>
  <si>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</si>
  <si>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</si>
  <si>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</si>
  <si>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</si>
  <si>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</si>
  <si>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</si>
  <si>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</si>
  <si>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</si>
  <si>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</si>
  <si>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</si>
  <si>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</si>
  <si>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</si>
  <si>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</si>
  <si>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</si>
  <si>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</si>
  <si>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</si>
  <si>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</si>
  <si>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</si>
  <si>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</si>
  <si>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</si>
  <si>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</si>
  <si>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</si>
  <si>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</si>
  <si>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</si>
  <si>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</si>
  <si>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</si>
  <si>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</si>
  <si>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M010602702400101</t>
  </si>
  <si>
    <t>IPALG 조인트용 접착제(TB-100)</t>
  </si>
  <si>
    <t>시트용 접착제,</t>
  </si>
  <si>
    <t>㎏</t>
  </si>
  <si>
    <t>인</t>
    <phoneticPr fontId="5" type="noConversion"/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</si>
  <si>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</si>
  <si>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</si>
  <si>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</si>
  <si>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</si>
  <si>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</si>
  <si>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</si>
  <si>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</si>
  <si>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</si>
  <si>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</si>
  <si>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</si>
  <si>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</si>
  <si>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</si>
  <si>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</si>
  <si>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</si>
  <si>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</si>
  <si>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</si>
  <si>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</si>
  <si>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</si>
  <si>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</si>
  <si>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</si>
  <si>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</si>
  <si>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</si>
  <si>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</si>
  <si>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</si>
  <si>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</si>
  <si>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</si>
  <si>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</si>
  <si>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</si>
  <si>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</si>
  <si>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</si>
  <si>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</si>
  <si>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</si>
  <si>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</si>
  <si>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</si>
  <si>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</si>
  <si>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L003</t>
    <phoneticPr fontId="5" type="noConversion"/>
  </si>
  <si>
    <t>특별인부</t>
    <phoneticPr fontId="5" type="noConversion"/>
  </si>
  <si>
    <t>5.도어보수</t>
    <phoneticPr fontId="7" type="noConversion"/>
  </si>
  <si>
    <t xml:space="preserve"> 공사명 : 사택 7-501 수장공사</t>
    <phoneticPr fontId="11" type="noConversion"/>
  </si>
  <si>
    <t xml:space="preserve"> 견적일 : 2024 년  12월  05일</t>
    <phoneticPr fontId="11" type="noConversion"/>
  </si>
  <si>
    <t>사택 7-501 수장공사</t>
    <phoneticPr fontId="13" type="noConversion"/>
  </si>
  <si>
    <t>도색(앞,뒤베란다 걸레받이(앞,뒤베란다 창고바닥포함))</t>
    <phoneticPr fontId="5" type="noConversion"/>
  </si>
  <si>
    <t>도어보수(1개소)</t>
    <phoneticPr fontId="7" type="noConversion"/>
  </si>
  <si>
    <t>화장실  우측 도어, 특별인부</t>
    <phoneticPr fontId="5" type="noConversion"/>
  </si>
  <si>
    <t>도어보수 화장실 우측  1개소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</si>
</sst>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  <numFmt numFmtId="190" formatCode="0.0_ "/>
  </numFmts>
  <fonts count="3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9"/>
      <color rgb="FFFF0000"/>
      <name val="굴림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9" fillId="0" borderId="0" xfId="17" applyFont="1">
      <alignment vertical="center"/>
    </xf>
    <xf numFmtId="0" fontId="28" fillId="0" borderId="0" xfId="17" applyFont="1">
      <alignment vertical="center"/>
    </xf>
    <xf numFmtId="0" fontId="29" fillId="0" borderId="0" xfId="17" applyFont="1" applyAlignment="1">
      <alignment horizontal="center" vertical="center"/>
    </xf>
    <xf numFmtId="177" fontId="30" fillId="6" borderId="25" xfId="18" applyFont="1" applyFill="1" applyBorder="1" applyAlignment="1">
      <alignment horizontal="center" vertical="center"/>
    </xf>
    <xf numFmtId="177" fontId="30" fillId="6" borderId="41" xfId="18" applyFont="1" applyFill="1" applyBorder="1" applyAlignment="1">
      <alignment horizontal="center" vertical="center"/>
    </xf>
    <xf numFmtId="177" fontId="30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31" fillId="0" borderId="42" xfId="18" applyFont="1" applyBorder="1" applyAlignment="1">
      <alignment horizontal="center" vertical="center"/>
    </xf>
    <xf numFmtId="0" fontId="31" fillId="12" borderId="29" xfId="17" applyFont="1" applyFill="1" applyBorder="1">
      <alignment vertical="center"/>
    </xf>
    <xf numFmtId="0" fontId="27" fillId="0" borderId="0" xfId="0" applyFont="1">
      <alignment vertical="center"/>
    </xf>
    <xf numFmtId="0" fontId="32" fillId="5" borderId="35" xfId="15" applyFont="1" applyFill="1" applyBorder="1" applyAlignment="1">
      <alignment horizontal="center" vertical="center"/>
    </xf>
    <xf numFmtId="185" fontId="32" fillId="5" borderId="35" xfId="16" applyNumberFormat="1" applyFont="1" applyFill="1" applyBorder="1" applyAlignment="1">
      <alignment vertical="center"/>
    </xf>
    <xf numFmtId="0" fontId="26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19" fillId="5" borderId="3" xfId="0" applyFont="1" applyFill="1" applyBorder="1">
      <alignment vertical="center"/>
    </xf>
    <xf numFmtId="0" fontId="19" fillId="5" borderId="3" xfId="0" applyFont="1" applyFill="1" applyBorder="1" applyAlignment="1">
      <alignment horizont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vertical="center"/>
    </xf>
    <xf numFmtId="185" fontId="32" fillId="11" borderId="35" xfId="13" applyNumberFormat="1" applyFont="1" applyFill="1" applyBorder="1" applyAlignment="1">
      <alignment vertical="center" wrapText="1"/>
    </xf>
    <xf numFmtId="185" fontId="33" fillId="11" borderId="35" xfId="13" applyNumberFormat="1" applyFont="1" applyFill="1" applyBorder="1" applyAlignment="1">
      <alignment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0" fontId="19" fillId="0" borderId="23" xfId="0" applyFont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184" fontId="19" fillId="13" borderId="3" xfId="0" applyNumberFormat="1" applyFont="1" applyFill="1" applyBorder="1" applyAlignment="1">
      <alignment horizontal="right" vertical="center" wrapText="1"/>
    </xf>
    <xf numFmtId="183" fontId="19" fillId="0" borderId="3" xfId="1" applyNumberFormat="1" applyFont="1" applyFill="1" applyBorder="1" applyAlignment="1">
      <alignment horizontal="center" vertical="center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9" fontId="19" fillId="0" borderId="3" xfId="0" applyNumberFormat="1" applyFont="1" applyBorder="1" applyAlignment="1">
      <alignment horizontal="center" vertical="center"/>
    </xf>
    <xf numFmtId="0" fontId="19" fillId="12" borderId="0" xfId="0" applyFont="1" applyFill="1">
      <alignment vertical="center"/>
    </xf>
    <xf numFmtId="177" fontId="24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7" fontId="24" fillId="0" borderId="0" xfId="0" applyNumberFormat="1" applyFont="1">
      <alignment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19" fillId="5" borderId="35" xfId="15" applyFont="1" applyFill="1" applyBorder="1">
      <alignment vertical="center"/>
    </xf>
    <xf numFmtId="0" fontId="24" fillId="5" borderId="35" xfId="15" applyFont="1" applyFill="1" applyBorder="1">
      <alignment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5" fontId="19" fillId="0" borderId="36" xfId="13" applyNumberFormat="1" applyFont="1" applyBorder="1" applyAlignment="1">
      <alignment vertical="center" wrapText="1"/>
    </xf>
    <xf numFmtId="187" fontId="32" fillId="7" borderId="35" xfId="13" applyNumberFormat="1" applyFont="1" applyFill="1" applyBorder="1" applyAlignment="1">
      <alignment horizontal="center" vertical="center"/>
    </xf>
    <xf numFmtId="177" fontId="32" fillId="7" borderId="35" xfId="13" applyFont="1" applyFill="1" applyBorder="1" applyAlignment="1">
      <alignment horizontal="center" vertical="center"/>
    </xf>
    <xf numFmtId="185" fontId="32" fillId="7" borderId="35" xfId="13" applyNumberFormat="1" applyFont="1" applyFill="1" applyBorder="1" applyAlignment="1">
      <alignment horizontal="center" vertical="center" wrapText="1"/>
    </xf>
    <xf numFmtId="185" fontId="32" fillId="7" borderId="35" xfId="13" applyNumberFormat="1" applyFont="1" applyFill="1" applyBorder="1" applyAlignment="1">
      <alignment horizontal="right" vertical="center" wrapText="1"/>
    </xf>
    <xf numFmtId="190" fontId="19" fillId="0" borderId="1" xfId="1" applyNumberFormat="1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4" fillId="0" borderId="35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34" fillId="0" borderId="40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8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78" t="s">
        <v>6</v>
      </c>
      <c r="B2" s="178"/>
      <c r="C2" s="178"/>
      <c r="D2" s="178"/>
      <c r="E2" s="178"/>
      <c r="F2" s="178"/>
      <c r="G2" s="178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81" t="s">
        <v>193</v>
      </c>
      <c r="B7" s="182"/>
      <c r="C7" s="183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81" t="s">
        <v>194</v>
      </c>
      <c r="B9" s="182"/>
      <c r="C9" s="183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79"/>
      <c r="B11" s="180"/>
      <c r="C11" s="180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삼백일십만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'내역서(표준단가)'!O18</f>
        <v>668530.22499999998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'내역서(표준단가)'!Q18</f>
        <v>1979434.6899999997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'내역서(표준단가)'!S18+'내역서(표준단가)'!U18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2647964.9149999996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89074.561049999989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70170.959760499987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9087.1392889847484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19992.290368999995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70467.874963999988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77585.372009500003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115790.64437209922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452168.84181408398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3100133.7568140836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3100000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2"/>
  <sheetViews>
    <sheetView showGridLines="0" zoomScale="70" zoomScaleNormal="70" workbookViewId="0">
      <selection activeCell="Y42" sqref="Y42"/>
    </sheetView>
  </sheetViews>
  <sheetFormatPr defaultColWidth="9" defaultRowHeight="12.75" x14ac:dyDescent="0.3"/>
  <cols>
    <col min="1" max="1" width="19.375" style="109" bestFit="1" customWidth="1"/>
    <col min="2" max="5" width="18.5" style="109" hidden="1" customWidth="1"/>
    <col min="6" max="6" width="60.25" style="84" hidden="1" customWidth="1"/>
    <col min="7" max="7" width="19.25" style="84" hidden="1" customWidth="1"/>
    <col min="8" max="8" width="16.625" style="84" hidden="1" customWidth="1"/>
    <col min="9" max="9" width="10.125" style="84" hidden="1" customWidth="1"/>
    <col min="10" max="10" width="38.125" style="84" bestFit="1" customWidth="1"/>
    <col min="11" max="11" width="26.375" style="84" bestFit="1" customWidth="1"/>
    <col min="12" max="12" width="5.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10.25" style="84" bestFit="1" customWidth="1"/>
    <col min="17" max="17" width="15.5" style="84" bestFit="1" customWidth="1"/>
    <col min="18" max="18" width="6.375" style="84" hidden="1" customWidth="1"/>
    <col min="19" max="19" width="8.5" style="84" hidden="1" customWidth="1"/>
    <col min="20" max="20" width="6.375" style="84" hidden="1" customWidth="1"/>
    <col min="21" max="21" width="8.5" style="84" hidden="1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1:24" ht="19.899999999999999" customHeight="1" x14ac:dyDescent="0.3">
      <c r="A1" s="184"/>
      <c r="B1" s="184"/>
      <c r="C1" s="184"/>
      <c r="D1" s="184"/>
      <c r="E1" s="184"/>
      <c r="F1" s="184"/>
      <c r="G1" s="184"/>
      <c r="H1" s="184"/>
      <c r="I1" s="184"/>
      <c r="N1" s="85"/>
      <c r="O1" s="83" t="s">
        <v>170</v>
      </c>
      <c r="Q1" s="83" t="s">
        <v>170</v>
      </c>
      <c r="S1" s="83" t="s">
        <v>170</v>
      </c>
      <c r="U1" s="83" t="s">
        <v>170</v>
      </c>
    </row>
    <row r="2" spans="1:24" ht="19.899999999999999" customHeight="1" thickBot="1" x14ac:dyDescent="0.35">
      <c r="A2" s="184"/>
      <c r="B2" s="184"/>
      <c r="C2" s="184"/>
      <c r="D2" s="184"/>
      <c r="E2" s="184"/>
      <c r="F2" s="184"/>
      <c r="G2" s="184"/>
      <c r="H2" s="184"/>
      <c r="I2" s="184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1:24" ht="19.899999999999999" customHeight="1" x14ac:dyDescent="0.3">
      <c r="A3" s="88"/>
      <c r="B3" s="88"/>
      <c r="C3" s="88"/>
      <c r="D3" s="88"/>
      <c r="E3" s="88"/>
      <c r="F3" s="88" t="s">
        <v>171</v>
      </c>
      <c r="G3" s="89"/>
      <c r="H3" s="89"/>
      <c r="I3" s="89"/>
      <c r="J3" s="193" t="s">
        <v>172</v>
      </c>
      <c r="K3" s="193"/>
      <c r="L3" s="193" t="s">
        <v>52</v>
      </c>
      <c r="M3" s="193" t="s">
        <v>5</v>
      </c>
      <c r="N3" s="189" t="s">
        <v>173</v>
      </c>
      <c r="O3" s="189"/>
      <c r="P3" s="189" t="s">
        <v>174</v>
      </c>
      <c r="Q3" s="189"/>
      <c r="R3" s="190" t="s">
        <v>175</v>
      </c>
      <c r="S3" s="190"/>
      <c r="T3" s="190" t="s">
        <v>176</v>
      </c>
      <c r="U3" s="190"/>
      <c r="V3" s="191" t="s">
        <v>177</v>
      </c>
      <c r="W3" s="187" t="s">
        <v>178</v>
      </c>
      <c r="X3" s="185" t="s">
        <v>46</v>
      </c>
    </row>
    <row r="4" spans="1:24" ht="19.899999999999999" customHeight="1" x14ac:dyDescent="0.3">
      <c r="A4" s="90" t="s">
        <v>179</v>
      </c>
      <c r="B4" s="91"/>
      <c r="C4" s="91"/>
      <c r="D4" s="91"/>
      <c r="E4" s="91"/>
      <c r="F4" s="92" t="s">
        <v>180</v>
      </c>
      <c r="G4" s="92" t="s">
        <v>181</v>
      </c>
      <c r="H4" s="92" t="s">
        <v>182</v>
      </c>
      <c r="I4" s="92" t="s">
        <v>183</v>
      </c>
      <c r="J4" s="93" t="s">
        <v>184</v>
      </c>
      <c r="K4" s="93" t="s">
        <v>185</v>
      </c>
      <c r="L4" s="194"/>
      <c r="M4" s="194"/>
      <c r="N4" s="94" t="s">
        <v>186</v>
      </c>
      <c r="O4" s="95" t="s">
        <v>187</v>
      </c>
      <c r="P4" s="94" t="s">
        <v>188</v>
      </c>
      <c r="Q4" s="95" t="s">
        <v>187</v>
      </c>
      <c r="R4" s="95" t="s">
        <v>189</v>
      </c>
      <c r="S4" s="95" t="s">
        <v>187</v>
      </c>
      <c r="T4" s="95" t="s">
        <v>189</v>
      </c>
      <c r="U4" s="95" t="s">
        <v>187</v>
      </c>
      <c r="V4" s="192"/>
      <c r="W4" s="188"/>
      <c r="X4" s="186"/>
    </row>
    <row r="5" spans="1:24" ht="19.899999999999999" customHeight="1" x14ac:dyDescent="0.3">
      <c r="A5" s="96" t="str">
        <f t="shared" ref="A5:A17" si="0">F5&amp;G5&amp;H5&amp;I5</f>
        <v>D02641</v>
      </c>
      <c r="B5" s="97"/>
      <c r="C5" s="97"/>
      <c r="D5" s="97"/>
      <c r="E5" s="97"/>
      <c r="F5" s="99" t="s">
        <v>129</v>
      </c>
      <c r="G5" s="98"/>
      <c r="H5" s="98"/>
      <c r="I5" s="99"/>
      <c r="J5" s="100" t="s">
        <v>130</v>
      </c>
      <c r="K5" s="100" t="s">
        <v>131</v>
      </c>
      <c r="L5" s="100" t="s">
        <v>132</v>
      </c>
      <c r="M5" s="145">
        <v>105</v>
      </c>
      <c r="N5" s="101"/>
      <c r="O5" s="102">
        <f t="shared" ref="O5:O13" si="1">SUM(N5:N5)*M5*$O$2</f>
        <v>0</v>
      </c>
      <c r="P5" s="146">
        <v>6691</v>
      </c>
      <c r="Q5" s="102">
        <f t="shared" ref="Q5:Q13" si="2">(P5*M5)*$Q$2</f>
        <v>586633.42499999993</v>
      </c>
      <c r="R5" s="103"/>
      <c r="S5" s="102">
        <f t="shared" ref="S5:S13" si="3">R5*M5*$S$2</f>
        <v>0</v>
      </c>
      <c r="T5" s="103"/>
      <c r="U5" s="102">
        <f t="shared" ref="U5:U13" si="4">T5*M5*$U$2</f>
        <v>0</v>
      </c>
      <c r="V5" s="103">
        <f t="shared" ref="V5:V13" si="5">SUM(O5+Q5)+S5+U5</f>
        <v>586633.42499999993</v>
      </c>
      <c r="W5" s="104"/>
      <c r="X5" s="147"/>
    </row>
    <row r="6" spans="1:24" ht="19.899999999999999" customHeight="1" x14ac:dyDescent="0.3">
      <c r="A6" s="96" t="str">
        <f t="shared" si="0"/>
        <v>D02642</v>
      </c>
      <c r="B6" s="97"/>
      <c r="C6" s="97"/>
      <c r="D6" s="97"/>
      <c r="E6" s="97"/>
      <c r="F6" s="99" t="s">
        <v>133</v>
      </c>
      <c r="G6" s="98"/>
      <c r="H6" s="98"/>
      <c r="I6" s="99"/>
      <c r="J6" s="100" t="s">
        <v>134</v>
      </c>
      <c r="K6" s="100" t="s">
        <v>131</v>
      </c>
      <c r="L6" s="100" t="s">
        <v>132</v>
      </c>
      <c r="M6" s="145">
        <v>61</v>
      </c>
      <c r="N6" s="101"/>
      <c r="O6" s="102">
        <f t="shared" si="1"/>
        <v>0</v>
      </c>
      <c r="P6" s="146">
        <v>8698</v>
      </c>
      <c r="Q6" s="102">
        <f t="shared" si="2"/>
        <v>443032.63</v>
      </c>
      <c r="R6" s="103"/>
      <c r="S6" s="102">
        <f t="shared" si="3"/>
        <v>0</v>
      </c>
      <c r="T6" s="103"/>
      <c r="U6" s="102">
        <f t="shared" si="4"/>
        <v>0</v>
      </c>
      <c r="V6" s="103">
        <f t="shared" si="5"/>
        <v>443032.63</v>
      </c>
      <c r="W6" s="104"/>
      <c r="X6" s="147"/>
    </row>
    <row r="7" spans="1:24" ht="19.899999999999999" customHeight="1" x14ac:dyDescent="0.3">
      <c r="A7" s="96" t="str">
        <f t="shared" si="0"/>
        <v>D02873</v>
      </c>
      <c r="B7" s="97"/>
      <c r="C7" s="97"/>
      <c r="D7" s="97"/>
      <c r="E7" s="97"/>
      <c r="F7" s="99" t="s">
        <v>135</v>
      </c>
      <c r="G7" s="98"/>
      <c r="H7" s="98"/>
      <c r="I7" s="99"/>
      <c r="J7" s="100" t="s">
        <v>136</v>
      </c>
      <c r="K7" s="100" t="s">
        <v>137</v>
      </c>
      <c r="L7" s="100" t="s">
        <v>132</v>
      </c>
      <c r="M7" s="145">
        <v>83</v>
      </c>
      <c r="N7" s="101"/>
      <c r="O7" s="102">
        <f t="shared" si="1"/>
        <v>0</v>
      </c>
      <c r="P7" s="146">
        <v>1618</v>
      </c>
      <c r="Q7" s="102">
        <f t="shared" si="2"/>
        <v>112135.48999999999</v>
      </c>
      <c r="R7" s="103"/>
      <c r="S7" s="102">
        <f t="shared" si="3"/>
        <v>0</v>
      </c>
      <c r="T7" s="103"/>
      <c r="U7" s="102">
        <f t="shared" si="4"/>
        <v>0</v>
      </c>
      <c r="V7" s="103">
        <f t="shared" si="5"/>
        <v>112135.48999999999</v>
      </c>
      <c r="W7" s="104"/>
      <c r="X7" s="147"/>
    </row>
    <row r="8" spans="1:24" ht="19.899999999999999" customHeight="1" x14ac:dyDescent="0.3">
      <c r="A8" s="96" t="str">
        <f t="shared" si="0"/>
        <v>D02859</v>
      </c>
      <c r="B8" s="97"/>
      <c r="C8" s="97"/>
      <c r="D8" s="97"/>
      <c r="E8" s="97"/>
      <c r="F8" s="99" t="s">
        <v>138</v>
      </c>
      <c r="G8" s="98"/>
      <c r="H8" s="98"/>
      <c r="I8" s="99"/>
      <c r="J8" s="100" t="s">
        <v>139</v>
      </c>
      <c r="K8" s="100" t="s">
        <v>140</v>
      </c>
      <c r="L8" s="100" t="s">
        <v>132</v>
      </c>
      <c r="M8" s="145">
        <v>34</v>
      </c>
      <c r="N8" s="101"/>
      <c r="O8" s="102">
        <f t="shared" si="1"/>
        <v>0</v>
      </c>
      <c r="P8" s="146">
        <v>4855</v>
      </c>
      <c r="Q8" s="102">
        <f t="shared" si="2"/>
        <v>137833.44999999998</v>
      </c>
      <c r="R8" s="103"/>
      <c r="S8" s="102">
        <f t="shared" si="3"/>
        <v>0</v>
      </c>
      <c r="T8" s="103"/>
      <c r="U8" s="102">
        <f t="shared" si="4"/>
        <v>0</v>
      </c>
      <c r="V8" s="103">
        <f t="shared" si="5"/>
        <v>137833.44999999998</v>
      </c>
      <c r="W8" s="104"/>
      <c r="X8" s="147"/>
    </row>
    <row r="9" spans="1:24" ht="19.899999999999999" customHeight="1" x14ac:dyDescent="0.3">
      <c r="A9" s="96" t="str">
        <f t="shared" si="0"/>
        <v>D02558</v>
      </c>
      <c r="B9" s="97"/>
      <c r="C9" s="97"/>
      <c r="D9" s="97"/>
      <c r="E9" s="97"/>
      <c r="F9" s="99" t="s">
        <v>141</v>
      </c>
      <c r="G9" s="98"/>
      <c r="H9" s="98"/>
      <c r="I9" s="99"/>
      <c r="J9" s="100" t="s">
        <v>142</v>
      </c>
      <c r="K9" s="100" t="s">
        <v>143</v>
      </c>
      <c r="L9" s="100" t="s">
        <v>132</v>
      </c>
      <c r="M9" s="145">
        <v>34</v>
      </c>
      <c r="N9" s="105"/>
      <c r="O9" s="102">
        <f t="shared" si="1"/>
        <v>0</v>
      </c>
      <c r="P9" s="146">
        <v>4453</v>
      </c>
      <c r="Q9" s="102">
        <f t="shared" si="2"/>
        <v>126420.67</v>
      </c>
      <c r="R9" s="103"/>
      <c r="S9" s="102">
        <f t="shared" si="3"/>
        <v>0</v>
      </c>
      <c r="T9" s="103"/>
      <c r="U9" s="102">
        <f t="shared" si="4"/>
        <v>0</v>
      </c>
      <c r="V9" s="103">
        <f t="shared" si="5"/>
        <v>126420.67</v>
      </c>
      <c r="W9" s="104"/>
      <c r="X9" s="147"/>
    </row>
    <row r="10" spans="1:24" ht="19.899999999999999" customHeight="1" x14ac:dyDescent="0.3">
      <c r="A10" s="96" t="str">
        <f t="shared" si="0"/>
        <v>D02825</v>
      </c>
      <c r="B10" s="97"/>
      <c r="C10" s="97"/>
      <c r="D10" s="97"/>
      <c r="E10" s="97"/>
      <c r="F10" s="99" t="s">
        <v>144</v>
      </c>
      <c r="G10" s="98"/>
      <c r="H10" s="98"/>
      <c r="I10" s="99"/>
      <c r="J10" s="100" t="s">
        <v>145</v>
      </c>
      <c r="K10" s="100" t="s">
        <v>146</v>
      </c>
      <c r="L10" s="100" t="s">
        <v>132</v>
      </c>
      <c r="M10" s="145">
        <v>15</v>
      </c>
      <c r="N10" s="146">
        <v>528</v>
      </c>
      <c r="O10" s="102">
        <f t="shared" si="1"/>
        <v>6613.2</v>
      </c>
      <c r="P10" s="146">
        <v>10367</v>
      </c>
      <c r="Q10" s="102">
        <f t="shared" si="2"/>
        <v>129846.67499999999</v>
      </c>
      <c r="R10" s="103"/>
      <c r="S10" s="102">
        <f t="shared" si="3"/>
        <v>0</v>
      </c>
      <c r="T10" s="103"/>
      <c r="U10" s="102">
        <f t="shared" si="4"/>
        <v>0</v>
      </c>
      <c r="V10" s="103">
        <f t="shared" si="5"/>
        <v>136459.875</v>
      </c>
      <c r="W10" s="104"/>
      <c r="X10" s="147"/>
    </row>
    <row r="11" spans="1:24" ht="19.899999999999999" customHeight="1" x14ac:dyDescent="0.3">
      <c r="A11" s="96" t="str">
        <f t="shared" si="0"/>
        <v>D02832</v>
      </c>
      <c r="B11" s="97"/>
      <c r="C11" s="97"/>
      <c r="D11" s="97"/>
      <c r="E11" s="97"/>
      <c r="F11" s="99" t="s">
        <v>147</v>
      </c>
      <c r="G11" s="98"/>
      <c r="H11" s="98"/>
      <c r="I11" s="99"/>
      <c r="J11" s="100" t="s">
        <v>148</v>
      </c>
      <c r="K11" s="100" t="s">
        <v>149</v>
      </c>
      <c r="L11" s="100" t="s">
        <v>132</v>
      </c>
      <c r="M11" s="145">
        <v>15</v>
      </c>
      <c r="N11" s="146">
        <v>461</v>
      </c>
      <c r="O11" s="102">
        <f t="shared" si="1"/>
        <v>5774.0249999999996</v>
      </c>
      <c r="P11" s="146">
        <v>6146</v>
      </c>
      <c r="Q11" s="102">
        <f t="shared" si="2"/>
        <v>76978.649999999994</v>
      </c>
      <c r="R11" s="103"/>
      <c r="S11" s="102">
        <f t="shared" si="3"/>
        <v>0</v>
      </c>
      <c r="T11" s="103"/>
      <c r="U11" s="102">
        <f t="shared" si="4"/>
        <v>0</v>
      </c>
      <c r="V11" s="103">
        <f t="shared" si="5"/>
        <v>82752.674999999988</v>
      </c>
      <c r="W11" s="104"/>
      <c r="X11" s="147"/>
    </row>
    <row r="12" spans="1:24" ht="19.899999999999999" customHeight="1" x14ac:dyDescent="0.3">
      <c r="A12" s="96" t="str">
        <f t="shared" ref="A12" si="6">F12&amp;G12&amp;H12&amp;I12</f>
        <v>M012003400500101</v>
      </c>
      <c r="B12" s="97"/>
      <c r="C12" s="97"/>
      <c r="D12" s="97"/>
      <c r="E12" s="97"/>
      <c r="F12" s="99"/>
      <c r="G12" s="98"/>
      <c r="H12" s="148" t="s">
        <v>157</v>
      </c>
      <c r="I12" s="99"/>
      <c r="J12" s="108" t="s">
        <v>158</v>
      </c>
      <c r="K12" s="108" t="s">
        <v>159</v>
      </c>
      <c r="L12" s="100" t="s">
        <v>132</v>
      </c>
      <c r="M12" s="145">
        <v>34</v>
      </c>
      <c r="N12" s="149">
        <v>15000</v>
      </c>
      <c r="O12" s="102">
        <f t="shared" ref="O12" si="7">SUM(N12:N12)*M12*$O$2</f>
        <v>425850</v>
      </c>
      <c r="P12" s="107"/>
      <c r="Q12" s="102">
        <f t="shared" ref="Q12" si="8">(P12*M12)*$Q$2</f>
        <v>0</v>
      </c>
      <c r="R12" s="103"/>
      <c r="S12" s="102">
        <f t="shared" ref="S12" si="9">R12*M12*$S$2</f>
        <v>0</v>
      </c>
      <c r="T12" s="103"/>
      <c r="U12" s="102">
        <f t="shared" ref="U12" si="10">T12*M12*$U$2</f>
        <v>0</v>
      </c>
      <c r="V12" s="103">
        <f t="shared" ref="V12" si="11">SUM(O12+Q12)+S12+U12</f>
        <v>425850</v>
      </c>
      <c r="W12" s="104"/>
      <c r="X12" s="147"/>
    </row>
    <row r="13" spans="1:24" ht="19.899999999999999" customHeight="1" x14ac:dyDescent="0.3">
      <c r="A13" s="96" t="str">
        <f t="shared" si="0"/>
        <v>M010602702400101</v>
      </c>
      <c r="B13" s="97"/>
      <c r="C13" s="97"/>
      <c r="D13" s="97"/>
      <c r="E13" s="97"/>
      <c r="F13" s="99"/>
      <c r="G13" s="98"/>
      <c r="H13" s="148" t="s">
        <v>150</v>
      </c>
      <c r="I13" s="99"/>
      <c r="J13" s="108" t="s">
        <v>151</v>
      </c>
      <c r="K13" s="108" t="s">
        <v>152</v>
      </c>
      <c r="L13" s="108" t="s">
        <v>153</v>
      </c>
      <c r="M13" s="145">
        <v>4</v>
      </c>
      <c r="N13" s="149">
        <v>15000</v>
      </c>
      <c r="O13" s="102">
        <f t="shared" si="1"/>
        <v>50100</v>
      </c>
      <c r="P13" s="107"/>
      <c r="Q13" s="102">
        <f t="shared" si="2"/>
        <v>0</v>
      </c>
      <c r="R13" s="103"/>
      <c r="S13" s="102">
        <f t="shared" si="3"/>
        <v>0</v>
      </c>
      <c r="T13" s="103"/>
      <c r="U13" s="102">
        <f t="shared" si="4"/>
        <v>0</v>
      </c>
      <c r="V13" s="103">
        <f t="shared" si="5"/>
        <v>50100</v>
      </c>
      <c r="W13" s="104"/>
      <c r="X13" s="147"/>
    </row>
    <row r="14" spans="1:24" ht="19.899999999999999" customHeight="1" x14ac:dyDescent="0.2">
      <c r="A14" s="96" t="str">
        <f t="shared" si="0"/>
        <v>L003</v>
      </c>
      <c r="B14" s="97"/>
      <c r="C14" s="97"/>
      <c r="D14" s="97"/>
      <c r="E14" s="97"/>
      <c r="F14" s="99"/>
      <c r="G14" s="98"/>
      <c r="H14" s="98"/>
      <c r="I14" s="99" t="s">
        <v>190</v>
      </c>
      <c r="J14" s="100" t="s">
        <v>199</v>
      </c>
      <c r="K14" s="100" t="s">
        <v>191</v>
      </c>
      <c r="L14" s="106" t="s">
        <v>154</v>
      </c>
      <c r="M14" s="151">
        <v>0.5</v>
      </c>
      <c r="N14" s="101"/>
      <c r="O14" s="102">
        <f t="shared" ref="O14:O17" si="12">SUM(N14:N14)*M14*$O$2</f>
        <v>0</v>
      </c>
      <c r="P14" s="150">
        <v>208527</v>
      </c>
      <c r="Q14" s="102">
        <f t="shared" ref="Q14" si="13">M14*P14</f>
        <v>104263.5</v>
      </c>
      <c r="R14" s="103"/>
      <c r="S14" s="102">
        <f t="shared" ref="S14:S17" si="14">R14*M14*$S$2</f>
        <v>0</v>
      </c>
      <c r="T14" s="103"/>
      <c r="U14" s="102">
        <f t="shared" ref="U14:U17" si="15">T14*M14*$U$2</f>
        <v>0</v>
      </c>
      <c r="V14" s="103">
        <f t="shared" ref="V14:V17" si="16">SUM(O14+Q14)+S14+U14</f>
        <v>104263.5</v>
      </c>
      <c r="W14" s="104"/>
      <c r="X14" s="147"/>
    </row>
    <row r="15" spans="1:24" ht="19.899999999999999" customHeight="1" x14ac:dyDescent="0.3">
      <c r="A15" s="96"/>
      <c r="B15" s="97"/>
      <c r="C15" s="97"/>
      <c r="D15" s="97"/>
      <c r="E15" s="97"/>
      <c r="F15" s="99"/>
      <c r="G15" s="98"/>
      <c r="H15" s="98"/>
      <c r="I15" s="99"/>
      <c r="J15" s="100" t="str">
        <f>"시중가_"&amp;K15&amp;")"</f>
        <v>시중가_합지벽지(LG하우시스 휘앙세))</v>
      </c>
      <c r="K15" s="100" t="s">
        <v>155</v>
      </c>
      <c r="L15" s="100" t="s">
        <v>132</v>
      </c>
      <c r="M15" s="151">
        <v>166</v>
      </c>
      <c r="N15" s="101">
        <v>1300</v>
      </c>
      <c r="O15" s="102">
        <f t="shared" si="12"/>
        <v>180193</v>
      </c>
      <c r="P15" s="107"/>
      <c r="Q15" s="102">
        <f t="shared" ref="Q15:Q17" si="17">(P15*M15)*$Q$2</f>
        <v>0</v>
      </c>
      <c r="R15" s="103"/>
      <c r="S15" s="102">
        <f t="shared" si="14"/>
        <v>0</v>
      </c>
      <c r="T15" s="103"/>
      <c r="U15" s="102">
        <f t="shared" si="15"/>
        <v>0</v>
      </c>
      <c r="V15" s="103">
        <f t="shared" si="16"/>
        <v>180193</v>
      </c>
      <c r="W15" s="104"/>
      <c r="X15" s="147"/>
    </row>
    <row r="16" spans="1:24" ht="19.899999999999999" customHeight="1" x14ac:dyDescent="0.3">
      <c r="A16" s="96"/>
      <c r="B16" s="97"/>
      <c r="C16" s="97"/>
      <c r="D16" s="97"/>
      <c r="E16" s="97"/>
      <c r="F16" s="99"/>
      <c r="G16" s="98"/>
      <c r="H16" s="98"/>
      <c r="I16" s="99"/>
      <c r="J16" s="100" t="str">
        <f>"시중가_"&amp;K16&amp;""</f>
        <v>시중가_청소, 실내건축 일위대가 적용</v>
      </c>
      <c r="K16" s="100" t="s">
        <v>156</v>
      </c>
      <c r="L16" s="100" t="s">
        <v>132</v>
      </c>
      <c r="M16" s="151">
        <v>40</v>
      </c>
      <c r="N16" s="101"/>
      <c r="O16" s="102">
        <f t="shared" si="12"/>
        <v>0</v>
      </c>
      <c r="P16" s="107">
        <v>7853</v>
      </c>
      <c r="Q16" s="102">
        <f t="shared" si="17"/>
        <v>262290.2</v>
      </c>
      <c r="R16" s="103"/>
      <c r="S16" s="102">
        <f t="shared" si="14"/>
        <v>0</v>
      </c>
      <c r="T16" s="103"/>
      <c r="U16" s="102">
        <f t="shared" si="15"/>
        <v>0</v>
      </c>
      <c r="V16" s="103">
        <f t="shared" si="16"/>
        <v>262290.2</v>
      </c>
      <c r="W16" s="104"/>
      <c r="X16" s="147"/>
    </row>
    <row r="17" spans="1:24" ht="19.899999999999999" customHeight="1" x14ac:dyDescent="0.3">
      <c r="A17" s="96" t="str">
        <f t="shared" si="0"/>
        <v/>
      </c>
      <c r="B17" s="97"/>
      <c r="C17" s="97"/>
      <c r="D17" s="97"/>
      <c r="E17" s="97"/>
      <c r="F17" s="99"/>
      <c r="G17" s="98"/>
      <c r="H17" s="98"/>
      <c r="I17" s="99"/>
      <c r="J17" s="152"/>
      <c r="K17" s="152"/>
      <c r="L17" s="153"/>
      <c r="M17" s="151"/>
      <c r="N17" s="101"/>
      <c r="O17" s="102">
        <f t="shared" si="12"/>
        <v>0</v>
      </c>
      <c r="P17" s="107"/>
      <c r="Q17" s="102">
        <f t="shared" si="17"/>
        <v>0</v>
      </c>
      <c r="R17" s="103"/>
      <c r="S17" s="102">
        <f t="shared" si="14"/>
        <v>0</v>
      </c>
      <c r="T17" s="103"/>
      <c r="U17" s="102">
        <f t="shared" si="15"/>
        <v>0</v>
      </c>
      <c r="V17" s="103">
        <f t="shared" si="16"/>
        <v>0</v>
      </c>
      <c r="W17" s="154"/>
      <c r="X17" s="147"/>
    </row>
    <row r="18" spans="1:24" ht="19.899999999999999" customHeight="1" x14ac:dyDescent="0.3">
      <c r="A18" s="155"/>
      <c r="B18" s="155"/>
      <c r="C18" s="155"/>
      <c r="D18" s="155"/>
      <c r="E18" s="155"/>
      <c r="O18" s="156">
        <f>SUM(O5:O17)</f>
        <v>668530.22499999998</v>
      </c>
      <c r="P18" s="157"/>
      <c r="Q18" s="156">
        <f>SUM(Q5:Q17)</f>
        <v>1979434.6899999997</v>
      </c>
      <c r="R18" s="157"/>
      <c r="S18" s="156">
        <f>SUM(S5:S17)</f>
        <v>0</v>
      </c>
      <c r="T18" s="157"/>
      <c r="U18" s="156">
        <f>SUM(U5:U17)</f>
        <v>0</v>
      </c>
      <c r="V18" s="158">
        <f>SUM(V5:V17)</f>
        <v>2647964.915</v>
      </c>
    </row>
    <row r="22" spans="1:24" x14ac:dyDescent="0.3">
      <c r="Q22" s="11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6"/>
  <sheetViews>
    <sheetView zoomScale="90" zoomScaleNormal="90" workbookViewId="0">
      <selection activeCell="F43" sqref="F43"/>
    </sheetView>
  </sheetViews>
  <sheetFormatPr defaultColWidth="9" defaultRowHeight="14.25" x14ac:dyDescent="0.3"/>
  <cols>
    <col min="1" max="1" width="22.625" style="144" customWidth="1"/>
    <col min="2" max="2" width="27.625" style="144" customWidth="1"/>
    <col min="3" max="3" width="5.75" style="144" customWidth="1"/>
    <col min="4" max="4" width="5.25" style="144" customWidth="1"/>
    <col min="5" max="8" width="20.625" style="144" customWidth="1"/>
    <col min="9" max="12" width="20.625" style="144" hidden="1" customWidth="1"/>
    <col min="13" max="14" width="20.625" style="144" customWidth="1"/>
    <col min="15" max="15" width="32.75" style="144" customWidth="1"/>
    <col min="16" max="16384" width="9" style="111"/>
  </cols>
  <sheetData>
    <row r="1" spans="1:16" ht="27" customHeight="1" x14ac:dyDescent="0.3">
      <c r="A1" s="195" t="s">
        <v>76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</row>
    <row r="2" spans="1:16" ht="12.95" customHeight="1" x14ac:dyDescent="0.3">
      <c r="A2" s="197" t="s">
        <v>77</v>
      </c>
      <c r="B2" s="198" t="s">
        <v>78</v>
      </c>
      <c r="C2" s="199" t="s">
        <v>52</v>
      </c>
      <c r="D2" s="199" t="s">
        <v>79</v>
      </c>
      <c r="E2" s="201" t="s">
        <v>80</v>
      </c>
      <c r="F2" s="198"/>
      <c r="G2" s="198" t="s">
        <v>81</v>
      </c>
      <c r="H2" s="198"/>
      <c r="I2" s="202" t="s">
        <v>82</v>
      </c>
      <c r="J2" s="203"/>
      <c r="K2" s="202" t="s">
        <v>83</v>
      </c>
      <c r="L2" s="203"/>
      <c r="M2" s="201" t="s">
        <v>84</v>
      </c>
      <c r="N2" s="198"/>
      <c r="O2" s="204" t="s">
        <v>85</v>
      </c>
    </row>
    <row r="3" spans="1:16" ht="12.95" customHeight="1" x14ac:dyDescent="0.3">
      <c r="A3" s="197"/>
      <c r="B3" s="198"/>
      <c r="C3" s="200"/>
      <c r="D3" s="200"/>
      <c r="E3" s="112" t="s">
        <v>86</v>
      </c>
      <c r="F3" s="112" t="s">
        <v>87</v>
      </c>
      <c r="G3" s="113" t="s">
        <v>86</v>
      </c>
      <c r="H3" s="112" t="s">
        <v>88</v>
      </c>
      <c r="I3" s="112"/>
      <c r="J3" s="112"/>
      <c r="K3" s="113" t="s">
        <v>86</v>
      </c>
      <c r="L3" s="112" t="s">
        <v>88</v>
      </c>
      <c r="M3" s="113" t="s">
        <v>86</v>
      </c>
      <c r="N3" s="112" t="s">
        <v>88</v>
      </c>
      <c r="O3" s="205"/>
    </row>
    <row r="4" spans="1:16" ht="12.95" customHeight="1" x14ac:dyDescent="0.3">
      <c r="A4" s="211" t="s">
        <v>195</v>
      </c>
      <c r="B4" s="212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</row>
    <row r="5" spans="1:16" ht="12.95" customHeight="1" x14ac:dyDescent="0.3">
      <c r="A5" s="216" t="s">
        <v>89</v>
      </c>
      <c r="B5" s="115" t="s">
        <v>90</v>
      </c>
      <c r="C5" s="116" t="s">
        <v>91</v>
      </c>
      <c r="D5" s="117">
        <v>55</v>
      </c>
      <c r="E5" s="118">
        <v>1086</v>
      </c>
      <c r="F5" s="119">
        <f t="shared" ref="F5:F10" si="0">D5*E5</f>
        <v>59730</v>
      </c>
      <c r="G5" s="119">
        <v>5587</v>
      </c>
      <c r="H5" s="118">
        <f t="shared" ref="H5:H11" si="1">D5*G5</f>
        <v>307285</v>
      </c>
      <c r="I5" s="118"/>
      <c r="J5" s="118"/>
      <c r="K5" s="119"/>
      <c r="L5" s="119"/>
      <c r="M5" s="119"/>
      <c r="N5" s="119">
        <f>F5+H5+J5+L5</f>
        <v>367015</v>
      </c>
      <c r="O5" s="213" t="s">
        <v>164</v>
      </c>
    </row>
    <row r="6" spans="1:16" ht="12.95" customHeight="1" x14ac:dyDescent="0.3">
      <c r="A6" s="217"/>
      <c r="B6" s="115" t="s">
        <v>92</v>
      </c>
      <c r="C6" s="116" t="s">
        <v>91</v>
      </c>
      <c r="D6" s="117">
        <v>37</v>
      </c>
      <c r="E6" s="118">
        <v>1086</v>
      </c>
      <c r="F6" s="119">
        <f t="shared" si="0"/>
        <v>40182</v>
      </c>
      <c r="G6" s="119">
        <v>7263</v>
      </c>
      <c r="H6" s="118">
        <f t="shared" si="1"/>
        <v>268731</v>
      </c>
      <c r="I6" s="118"/>
      <c r="J6" s="118"/>
      <c r="K6" s="119"/>
      <c r="L6" s="119"/>
      <c r="M6" s="119"/>
      <c r="N6" s="119">
        <f t="shared" ref="N6:N11" si="2">F6+H6+J6+L6</f>
        <v>308913</v>
      </c>
      <c r="O6" s="214"/>
    </row>
    <row r="7" spans="1:16" ht="12.95" customHeight="1" x14ac:dyDescent="0.3">
      <c r="A7" s="217"/>
      <c r="B7" s="115" t="s">
        <v>93</v>
      </c>
      <c r="C7" s="116" t="s">
        <v>91</v>
      </c>
      <c r="D7" s="117">
        <v>30</v>
      </c>
      <c r="E7" s="118">
        <v>1086</v>
      </c>
      <c r="F7" s="119">
        <f t="shared" si="0"/>
        <v>32580</v>
      </c>
      <c r="G7" s="119">
        <v>5587</v>
      </c>
      <c r="H7" s="118">
        <f t="shared" si="1"/>
        <v>167610</v>
      </c>
      <c r="I7" s="118"/>
      <c r="J7" s="118"/>
      <c r="K7" s="119"/>
      <c r="L7" s="119"/>
      <c r="M7" s="119"/>
      <c r="N7" s="119">
        <f t="shared" si="2"/>
        <v>200190</v>
      </c>
      <c r="O7" s="214"/>
    </row>
    <row r="8" spans="1:16" ht="12.95" customHeight="1" x14ac:dyDescent="0.3">
      <c r="A8" s="217"/>
      <c r="B8" s="115" t="s">
        <v>94</v>
      </c>
      <c r="C8" s="116" t="s">
        <v>91</v>
      </c>
      <c r="D8" s="117">
        <v>12</v>
      </c>
      <c r="E8" s="118">
        <v>1086</v>
      </c>
      <c r="F8" s="119">
        <f t="shared" si="0"/>
        <v>13032</v>
      </c>
      <c r="G8" s="119">
        <v>7263</v>
      </c>
      <c r="H8" s="118">
        <f t="shared" si="1"/>
        <v>87156</v>
      </c>
      <c r="I8" s="118"/>
      <c r="J8" s="118"/>
      <c r="K8" s="119"/>
      <c r="L8" s="119"/>
      <c r="M8" s="119"/>
      <c r="N8" s="119">
        <f t="shared" si="2"/>
        <v>100188</v>
      </c>
      <c r="O8" s="214"/>
    </row>
    <row r="9" spans="1:16" ht="12.95" customHeight="1" x14ac:dyDescent="0.3">
      <c r="A9" s="217"/>
      <c r="B9" s="115" t="s">
        <v>95</v>
      </c>
      <c r="C9" s="116" t="s">
        <v>91</v>
      </c>
      <c r="D9" s="117">
        <v>20</v>
      </c>
      <c r="E9" s="118">
        <v>1086</v>
      </c>
      <c r="F9" s="119">
        <f t="shared" si="0"/>
        <v>21720</v>
      </c>
      <c r="G9" s="119">
        <v>5587</v>
      </c>
      <c r="H9" s="118">
        <f t="shared" si="1"/>
        <v>111740</v>
      </c>
      <c r="I9" s="118"/>
      <c r="J9" s="118"/>
      <c r="K9" s="119"/>
      <c r="L9" s="119"/>
      <c r="M9" s="119"/>
      <c r="N9" s="119">
        <f t="shared" si="2"/>
        <v>133460</v>
      </c>
      <c r="O9" s="214"/>
    </row>
    <row r="10" spans="1:16" ht="12.95" customHeight="1" x14ac:dyDescent="0.3">
      <c r="A10" s="217"/>
      <c r="B10" s="115" t="s">
        <v>96</v>
      </c>
      <c r="C10" s="116" t="s">
        <v>91</v>
      </c>
      <c r="D10" s="117">
        <v>12</v>
      </c>
      <c r="E10" s="118">
        <v>1086</v>
      </c>
      <c r="F10" s="119">
        <f t="shared" si="0"/>
        <v>13032</v>
      </c>
      <c r="G10" s="119">
        <v>7263</v>
      </c>
      <c r="H10" s="118">
        <f t="shared" si="1"/>
        <v>87156</v>
      </c>
      <c r="I10" s="118"/>
      <c r="J10" s="118"/>
      <c r="K10" s="119"/>
      <c r="L10" s="119"/>
      <c r="M10" s="119"/>
      <c r="N10" s="119">
        <f t="shared" si="2"/>
        <v>100188</v>
      </c>
      <c r="O10" s="214"/>
    </row>
    <row r="11" spans="1:16" ht="12.95" customHeight="1" x14ac:dyDescent="0.3">
      <c r="A11" s="218"/>
      <c r="B11" s="115" t="s">
        <v>169</v>
      </c>
      <c r="C11" s="116" t="s">
        <v>91</v>
      </c>
      <c r="D11" s="120">
        <f>SUM(D5:D10)*50%</f>
        <v>83</v>
      </c>
      <c r="E11" s="118"/>
      <c r="F11" s="119"/>
      <c r="G11" s="119">
        <v>1351</v>
      </c>
      <c r="H11" s="118">
        <f t="shared" si="1"/>
        <v>112133</v>
      </c>
      <c r="I11" s="118"/>
      <c r="J11" s="118"/>
      <c r="K11" s="119"/>
      <c r="L11" s="119"/>
      <c r="M11" s="119"/>
      <c r="N11" s="119">
        <f t="shared" si="2"/>
        <v>112133</v>
      </c>
      <c r="O11" s="215"/>
    </row>
    <row r="12" spans="1:16" ht="12.95" customHeight="1" x14ac:dyDescent="0.3">
      <c r="A12" s="161" t="s">
        <v>97</v>
      </c>
      <c r="B12" s="121"/>
      <c r="C12" s="122"/>
      <c r="D12" s="123">
        <f>SUM(D5:D10)</f>
        <v>166</v>
      </c>
      <c r="E12" s="124"/>
      <c r="F12" s="124">
        <f>SUM(F5:F11)</f>
        <v>180276</v>
      </c>
      <c r="G12" s="124"/>
      <c r="H12" s="124">
        <f>SUM(H5:H11)</f>
        <v>1141811</v>
      </c>
      <c r="I12" s="124"/>
      <c r="J12" s="124">
        <f>SUM(J5:J11)</f>
        <v>0</v>
      </c>
      <c r="K12" s="124"/>
      <c r="L12" s="124">
        <f>SUM(L5:L11)</f>
        <v>0</v>
      </c>
      <c r="M12" s="124"/>
      <c r="N12" s="124">
        <f>SUM(N5:N11)</f>
        <v>1322087</v>
      </c>
      <c r="O12" s="124"/>
      <c r="P12" s="125"/>
    </row>
    <row r="13" spans="1:16" ht="12.95" customHeight="1" x14ac:dyDescent="0.3">
      <c r="A13" s="207" t="s">
        <v>98</v>
      </c>
      <c r="B13" s="115" t="s">
        <v>99</v>
      </c>
      <c r="C13" s="116" t="s">
        <v>91</v>
      </c>
      <c r="D13" s="120">
        <v>18</v>
      </c>
      <c r="E13" s="118"/>
      <c r="F13" s="118"/>
      <c r="G13" s="118">
        <v>4054</v>
      </c>
      <c r="H13" s="119">
        <f t="shared" ref="H13:H15" si="3">D13*G13</f>
        <v>72972</v>
      </c>
      <c r="I13" s="118"/>
      <c r="J13" s="118"/>
      <c r="K13" s="118"/>
      <c r="L13" s="119"/>
      <c r="M13" s="118"/>
      <c r="N13" s="119">
        <f t="shared" ref="N13:N19" si="4">F13+H13+J13+L13</f>
        <v>72972</v>
      </c>
      <c r="O13" s="213" t="s">
        <v>165</v>
      </c>
    </row>
    <row r="14" spans="1:16" ht="12.95" customHeight="1" x14ac:dyDescent="0.3">
      <c r="A14" s="208"/>
      <c r="B14" s="115" t="s">
        <v>100</v>
      </c>
      <c r="C14" s="116" t="s">
        <v>91</v>
      </c>
      <c r="D14" s="126">
        <v>9</v>
      </c>
      <c r="E14" s="118"/>
      <c r="F14" s="118"/>
      <c r="G14" s="118">
        <v>4054</v>
      </c>
      <c r="H14" s="119">
        <f t="shared" si="3"/>
        <v>36486</v>
      </c>
      <c r="I14" s="118"/>
      <c r="J14" s="118"/>
      <c r="K14" s="118"/>
      <c r="L14" s="119"/>
      <c r="M14" s="118"/>
      <c r="N14" s="119">
        <f t="shared" si="4"/>
        <v>36486</v>
      </c>
      <c r="O14" s="214"/>
    </row>
    <row r="15" spans="1:16" ht="12.95" customHeight="1" x14ac:dyDescent="0.3">
      <c r="A15" s="208"/>
      <c r="B15" s="115" t="s">
        <v>101</v>
      </c>
      <c r="C15" s="116" t="s">
        <v>91</v>
      </c>
      <c r="D15" s="126">
        <v>7</v>
      </c>
      <c r="E15" s="118"/>
      <c r="F15" s="118"/>
      <c r="G15" s="118">
        <v>4054</v>
      </c>
      <c r="H15" s="119">
        <f t="shared" si="3"/>
        <v>28378</v>
      </c>
      <c r="I15" s="118"/>
      <c r="J15" s="118"/>
      <c r="K15" s="118"/>
      <c r="L15" s="119"/>
      <c r="M15" s="118"/>
      <c r="N15" s="119">
        <f t="shared" si="4"/>
        <v>28378</v>
      </c>
      <c r="O15" s="214"/>
    </row>
    <row r="16" spans="1:16" ht="12.95" customHeight="1" x14ac:dyDescent="0.3">
      <c r="A16" s="208"/>
      <c r="B16" s="115" t="s">
        <v>102</v>
      </c>
      <c r="C16" s="116" t="s">
        <v>103</v>
      </c>
      <c r="D16" s="126">
        <v>4</v>
      </c>
      <c r="E16" s="119">
        <v>12525</v>
      </c>
      <c r="F16" s="119">
        <f>D16*E16</f>
        <v>50100</v>
      </c>
      <c r="G16" s="118"/>
      <c r="H16" s="119"/>
      <c r="I16" s="119"/>
      <c r="J16" s="119"/>
      <c r="K16" s="118"/>
      <c r="L16" s="119"/>
      <c r="M16" s="118"/>
      <c r="N16" s="119">
        <f t="shared" si="4"/>
        <v>50100</v>
      </c>
      <c r="O16" s="214"/>
    </row>
    <row r="17" spans="1:15" ht="12.95" customHeight="1" x14ac:dyDescent="0.3">
      <c r="A17" s="208"/>
      <c r="B17" s="115" t="s">
        <v>104</v>
      </c>
      <c r="C17" s="116" t="s">
        <v>91</v>
      </c>
      <c r="D17" s="120">
        <v>18</v>
      </c>
      <c r="E17" s="119">
        <v>12525</v>
      </c>
      <c r="F17" s="119">
        <f>D17*E17</f>
        <v>225450</v>
      </c>
      <c r="G17" s="118">
        <v>3718</v>
      </c>
      <c r="H17" s="119">
        <f>D17*G17</f>
        <v>66924</v>
      </c>
      <c r="I17" s="119"/>
      <c r="J17" s="119"/>
      <c r="K17" s="118"/>
      <c r="L17" s="119"/>
      <c r="M17" s="118"/>
      <c r="N17" s="119">
        <f t="shared" si="4"/>
        <v>292374</v>
      </c>
      <c r="O17" s="214"/>
    </row>
    <row r="18" spans="1:15" ht="12.95" customHeight="1" x14ac:dyDescent="0.3">
      <c r="A18" s="208"/>
      <c r="B18" s="115" t="s">
        <v>105</v>
      </c>
      <c r="C18" s="116" t="s">
        <v>91</v>
      </c>
      <c r="D18" s="126">
        <v>9</v>
      </c>
      <c r="E18" s="119">
        <v>12525</v>
      </c>
      <c r="F18" s="119">
        <f>D18*E18</f>
        <v>112725</v>
      </c>
      <c r="G18" s="118">
        <v>3718</v>
      </c>
      <c r="H18" s="119">
        <f>D18*G18</f>
        <v>33462</v>
      </c>
      <c r="I18" s="119"/>
      <c r="J18" s="119"/>
      <c r="K18" s="118"/>
      <c r="L18" s="119"/>
      <c r="M18" s="118"/>
      <c r="N18" s="119">
        <f t="shared" si="4"/>
        <v>146187</v>
      </c>
      <c r="O18" s="214"/>
    </row>
    <row r="19" spans="1:15" ht="12.95" customHeight="1" x14ac:dyDescent="0.3">
      <c r="A19" s="208"/>
      <c r="B19" s="115" t="s">
        <v>106</v>
      </c>
      <c r="C19" s="116" t="s">
        <v>91</v>
      </c>
      <c r="D19" s="126">
        <v>7</v>
      </c>
      <c r="E19" s="119">
        <v>12525</v>
      </c>
      <c r="F19" s="119">
        <f>D19*E19</f>
        <v>87675</v>
      </c>
      <c r="G19" s="118">
        <v>3718</v>
      </c>
      <c r="H19" s="119">
        <f>D19*G19</f>
        <v>26026</v>
      </c>
      <c r="I19" s="119"/>
      <c r="J19" s="119"/>
      <c r="K19" s="118"/>
      <c r="L19" s="119"/>
      <c r="M19" s="118"/>
      <c r="N19" s="119">
        <f t="shared" si="4"/>
        <v>113701</v>
      </c>
      <c r="O19" s="214"/>
    </row>
    <row r="20" spans="1:15" ht="12.95" customHeight="1" x14ac:dyDescent="0.3">
      <c r="A20" s="161" t="s">
        <v>97</v>
      </c>
      <c r="B20" s="121"/>
      <c r="C20" s="127"/>
      <c r="D20" s="127">
        <f>SUM(D17:D19)</f>
        <v>34</v>
      </c>
      <c r="E20" s="124"/>
      <c r="F20" s="124">
        <f>SUM(F13:F19)</f>
        <v>475950</v>
      </c>
      <c r="G20" s="124"/>
      <c r="H20" s="124">
        <f>SUM(H13:H19)</f>
        <v>264248</v>
      </c>
      <c r="I20" s="124"/>
      <c r="J20" s="124">
        <f>SUM(J13:J19)</f>
        <v>0</v>
      </c>
      <c r="K20" s="124"/>
      <c r="L20" s="124">
        <f>SUM(L13:L19)</f>
        <v>0</v>
      </c>
      <c r="M20" s="124"/>
      <c r="N20" s="124">
        <f>SUM(N13:N19)</f>
        <v>740198</v>
      </c>
      <c r="O20" s="124"/>
    </row>
    <row r="21" spans="1:15" ht="12.95" customHeight="1" x14ac:dyDescent="0.3">
      <c r="A21" s="159" t="s">
        <v>107</v>
      </c>
      <c r="B21" s="128"/>
      <c r="C21" s="129"/>
      <c r="D21" s="130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</row>
    <row r="22" spans="1:15" ht="12.95" customHeight="1" x14ac:dyDescent="0.3">
      <c r="A22" s="206" t="s">
        <v>108</v>
      </c>
      <c r="B22" s="173" t="s">
        <v>109</v>
      </c>
      <c r="C22" s="174" t="s">
        <v>91</v>
      </c>
      <c r="D22" s="175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2"/>
    </row>
    <row r="23" spans="1:15" ht="12.95" customHeight="1" x14ac:dyDescent="0.3">
      <c r="A23" s="206"/>
      <c r="B23" s="128" t="s">
        <v>110</v>
      </c>
      <c r="C23" s="129" t="s">
        <v>91</v>
      </c>
      <c r="D23" s="130">
        <v>15</v>
      </c>
      <c r="E23" s="118">
        <v>385</v>
      </c>
      <c r="F23" s="118">
        <f t="shared" ref="F23" si="5">D23*E23</f>
        <v>5775</v>
      </c>
      <c r="G23" s="118">
        <v>5132</v>
      </c>
      <c r="H23" s="118">
        <f t="shared" ref="H23:H24" si="6">D23*G23</f>
        <v>76980</v>
      </c>
      <c r="I23" s="118"/>
      <c r="J23" s="118"/>
      <c r="K23" s="118"/>
      <c r="L23" s="119"/>
      <c r="M23" s="118"/>
      <c r="N23" s="119">
        <f t="shared" ref="N23:N24" si="7">F23+H23+J23+L23</f>
        <v>82755</v>
      </c>
      <c r="O23" s="209" t="s">
        <v>196</v>
      </c>
    </row>
    <row r="24" spans="1:15" ht="12.95" customHeight="1" x14ac:dyDescent="0.3">
      <c r="A24" s="206" t="s">
        <v>111</v>
      </c>
      <c r="B24" s="128" t="s">
        <v>109</v>
      </c>
      <c r="C24" s="129" t="s">
        <v>91</v>
      </c>
      <c r="D24" s="130">
        <v>15</v>
      </c>
      <c r="E24" s="118">
        <v>441</v>
      </c>
      <c r="F24" s="118">
        <f>D24*E24</f>
        <v>6615</v>
      </c>
      <c r="G24" s="118">
        <v>8656</v>
      </c>
      <c r="H24" s="118">
        <f t="shared" si="6"/>
        <v>129840</v>
      </c>
      <c r="I24" s="118"/>
      <c r="J24" s="118"/>
      <c r="K24" s="118"/>
      <c r="L24" s="119"/>
      <c r="M24" s="118"/>
      <c r="N24" s="119">
        <f t="shared" si="7"/>
        <v>136455</v>
      </c>
      <c r="O24" s="209"/>
    </row>
    <row r="25" spans="1:15" ht="12.95" customHeight="1" x14ac:dyDescent="0.3">
      <c r="A25" s="206"/>
      <c r="B25" s="173" t="s">
        <v>110</v>
      </c>
      <c r="C25" s="174" t="s">
        <v>91</v>
      </c>
      <c r="D25" s="175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209"/>
    </row>
    <row r="26" spans="1:15" ht="12.95" customHeight="1" x14ac:dyDescent="0.3">
      <c r="A26" s="206" t="s">
        <v>112</v>
      </c>
      <c r="B26" s="173" t="s">
        <v>113</v>
      </c>
      <c r="C26" s="174" t="s">
        <v>91</v>
      </c>
      <c r="D26" s="175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209"/>
    </row>
    <row r="27" spans="1:15" ht="12.95" customHeight="1" x14ac:dyDescent="0.3">
      <c r="A27" s="206"/>
      <c r="B27" s="173" t="s">
        <v>114</v>
      </c>
      <c r="C27" s="174" t="s">
        <v>91</v>
      </c>
      <c r="D27" s="175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209"/>
    </row>
    <row r="28" spans="1:15" ht="12.95" customHeight="1" x14ac:dyDescent="0.3">
      <c r="A28" s="206" t="s">
        <v>115</v>
      </c>
      <c r="B28" s="173" t="s">
        <v>113</v>
      </c>
      <c r="C28" s="174" t="s">
        <v>91</v>
      </c>
      <c r="D28" s="175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209"/>
    </row>
    <row r="29" spans="1:15" ht="12.95" customHeight="1" x14ac:dyDescent="0.3">
      <c r="A29" s="206"/>
      <c r="B29" s="173" t="s">
        <v>116</v>
      </c>
      <c r="C29" s="174" t="s">
        <v>91</v>
      </c>
      <c r="D29" s="175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210"/>
    </row>
    <row r="30" spans="1:15" ht="12.95" customHeight="1" x14ac:dyDescent="0.3">
      <c r="A30" s="161" t="s">
        <v>97</v>
      </c>
      <c r="B30" s="131"/>
      <c r="C30" s="132"/>
      <c r="D30" s="123"/>
      <c r="E30" s="124"/>
      <c r="F30" s="124">
        <f>SUM(F21:F29)</f>
        <v>12390</v>
      </c>
      <c r="G30" s="124"/>
      <c r="H30" s="124">
        <f>SUM(H21:H29)</f>
        <v>206820</v>
      </c>
      <c r="I30" s="124"/>
      <c r="J30" s="124">
        <f>SUM(J21:J29)</f>
        <v>0</v>
      </c>
      <c r="K30" s="124"/>
      <c r="L30" s="124">
        <f>SUM(L21:L29)</f>
        <v>0</v>
      </c>
      <c r="M30" s="124"/>
      <c r="N30" s="124">
        <f>SUM(N21:N29)</f>
        <v>219210</v>
      </c>
      <c r="O30" s="124"/>
    </row>
    <row r="31" spans="1:15" ht="12.95" customHeight="1" x14ac:dyDescent="0.3">
      <c r="A31" s="160" t="s">
        <v>117</v>
      </c>
      <c r="B31" s="115" t="s">
        <v>118</v>
      </c>
      <c r="C31" s="116" t="s">
        <v>91</v>
      </c>
      <c r="D31" s="133">
        <v>40</v>
      </c>
      <c r="E31" s="119"/>
      <c r="F31" s="119"/>
      <c r="G31" s="118">
        <v>6557</v>
      </c>
      <c r="H31" s="119">
        <f>D31*G31</f>
        <v>262280</v>
      </c>
      <c r="I31" s="119"/>
      <c r="J31" s="119"/>
      <c r="K31" s="119"/>
      <c r="L31" s="119"/>
      <c r="M31" s="119"/>
      <c r="N31" s="119">
        <f>F31+H31+J31+L31</f>
        <v>262280</v>
      </c>
      <c r="O31" s="134" t="s">
        <v>163</v>
      </c>
    </row>
    <row r="32" spans="1:15" ht="12.95" customHeight="1" x14ac:dyDescent="0.3">
      <c r="A32" s="162" t="s">
        <v>97</v>
      </c>
      <c r="B32" s="121"/>
      <c r="C32" s="122"/>
      <c r="D32" s="135"/>
      <c r="E32" s="136"/>
      <c r="F32" s="136"/>
      <c r="G32" s="136"/>
      <c r="H32" s="124">
        <f>SUM(H31:H31)</f>
        <v>262280</v>
      </c>
      <c r="I32" s="136"/>
      <c r="J32" s="124">
        <f t="shared" ref="J32:N32" si="8">SUM(J31:J31)</f>
        <v>0</v>
      </c>
      <c r="K32" s="124"/>
      <c r="L32" s="124">
        <f t="shared" si="8"/>
        <v>0</v>
      </c>
      <c r="M32" s="124"/>
      <c r="N32" s="124">
        <f t="shared" si="8"/>
        <v>262280</v>
      </c>
      <c r="O32" s="136"/>
    </row>
    <row r="33" spans="1:15" ht="12.95" customHeight="1" x14ac:dyDescent="0.3">
      <c r="A33" s="164" t="s">
        <v>192</v>
      </c>
      <c r="B33" s="79"/>
      <c r="C33" s="79"/>
      <c r="D33" s="79"/>
      <c r="E33" s="80"/>
      <c r="F33" s="80"/>
      <c r="G33" s="80"/>
      <c r="H33" s="80"/>
      <c r="I33" s="137"/>
      <c r="J33" s="137"/>
      <c r="K33" s="137"/>
      <c r="L33" s="137"/>
      <c r="M33" s="137"/>
      <c r="N33" s="137"/>
      <c r="O33" s="137"/>
    </row>
    <row r="34" spans="1:15" ht="12.95" customHeight="1" x14ac:dyDescent="0.3">
      <c r="A34" s="163" t="s">
        <v>197</v>
      </c>
      <c r="B34" s="79" t="s">
        <v>198</v>
      </c>
      <c r="C34" s="79" t="s">
        <v>119</v>
      </c>
      <c r="D34" s="79">
        <v>0.5</v>
      </c>
      <c r="E34" s="80"/>
      <c r="F34" s="80"/>
      <c r="G34" s="80">
        <v>208527</v>
      </c>
      <c r="H34" s="80">
        <f t="shared" ref="H34" si="9">D34*G34</f>
        <v>104263.5</v>
      </c>
      <c r="I34" s="137"/>
      <c r="J34" s="137"/>
      <c r="K34" s="137"/>
      <c r="L34" s="137"/>
      <c r="M34" s="137"/>
      <c r="N34" s="119">
        <f t="shared" ref="N34" si="10">F34+H34+J34+L34</f>
        <v>104263.5</v>
      </c>
      <c r="O34" s="137"/>
    </row>
    <row r="35" spans="1:15" ht="12.95" customHeight="1" x14ac:dyDescent="0.3">
      <c r="A35" s="161" t="s">
        <v>97</v>
      </c>
      <c r="B35" s="121"/>
      <c r="C35" s="122"/>
      <c r="D35" s="135"/>
      <c r="E35" s="138"/>
      <c r="F35" s="139">
        <f>SUM(F34:F34)</f>
        <v>0</v>
      </c>
      <c r="G35" s="139"/>
      <c r="H35" s="139">
        <f>SUM(H34:H34)</f>
        <v>104263.5</v>
      </c>
      <c r="I35" s="138"/>
      <c r="J35" s="139">
        <f>SUM(J34:J34)</f>
        <v>0</v>
      </c>
      <c r="K35" s="138"/>
      <c r="L35" s="139">
        <f>SUM(L34:L34)</f>
        <v>0</v>
      </c>
      <c r="M35" s="138"/>
      <c r="N35" s="139">
        <f>SUM(N34:N34)</f>
        <v>104263.5</v>
      </c>
      <c r="O35" s="138"/>
    </row>
    <row r="36" spans="1:15" ht="12.95" customHeight="1" x14ac:dyDescent="0.3">
      <c r="A36" s="165" t="s">
        <v>120</v>
      </c>
      <c r="B36" s="140"/>
      <c r="C36" s="141"/>
      <c r="D36" s="142"/>
      <c r="E36" s="143"/>
      <c r="F36" s="143">
        <f>F12+F20+F30+F32+F35</f>
        <v>668616</v>
      </c>
      <c r="G36" s="143"/>
      <c r="H36" s="143">
        <f>H12+H20+H30+H32+H35</f>
        <v>1979422.5</v>
      </c>
      <c r="I36" s="143"/>
      <c r="J36" s="143" t="e">
        <f>J13+J20+J30+J32+#REF!+#REF!+#REF!+J35+#REF!</f>
        <v>#REF!</v>
      </c>
      <c r="K36" s="143"/>
      <c r="L36" s="143"/>
      <c r="M36" s="143"/>
      <c r="N36" s="143">
        <f>N12+N20+N30+N32+N35</f>
        <v>2648038.5</v>
      </c>
      <c r="O36" s="143"/>
    </row>
  </sheetData>
  <mergeCells count="21">
    <mergeCell ref="A26:A27"/>
    <mergeCell ref="A28:A29"/>
    <mergeCell ref="A13:A19"/>
    <mergeCell ref="O23:O29"/>
    <mergeCell ref="A4:B4"/>
    <mergeCell ref="O5:O11"/>
    <mergeCell ref="A5:A11"/>
    <mergeCell ref="O13:O19"/>
    <mergeCell ref="A22:A23"/>
    <mergeCell ref="A24:A25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8"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19" t="s">
        <v>121</v>
      </c>
      <c r="B2" s="219"/>
      <c r="G2" s="69"/>
      <c r="L2" s="69"/>
      <c r="N2" s="69"/>
      <c r="O2" s="70"/>
      <c r="P2" s="70"/>
    </row>
    <row r="3" spans="1:16" s="68" customFormat="1" x14ac:dyDescent="0.3">
      <c r="A3" s="71" t="s">
        <v>122</v>
      </c>
      <c r="B3" s="72" t="s">
        <v>123</v>
      </c>
      <c r="C3" s="72" t="s">
        <v>124</v>
      </c>
      <c r="D3" s="72" t="s">
        <v>125</v>
      </c>
      <c r="E3" s="73" t="s">
        <v>126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127</v>
      </c>
      <c r="C4" s="75" t="s">
        <v>128</v>
      </c>
      <c r="D4" s="76">
        <v>1300</v>
      </c>
      <c r="E4" s="77" t="s">
        <v>168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I22" sqref="I22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7.87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8" t="s">
        <v>48</v>
      </c>
      <c r="B1" s="169" t="s">
        <v>49</v>
      </c>
      <c r="C1" s="169" t="s">
        <v>50</v>
      </c>
      <c r="D1" s="169" t="s">
        <v>51</v>
      </c>
      <c r="E1" s="169" t="s">
        <v>52</v>
      </c>
      <c r="F1" s="169" t="s">
        <v>5</v>
      </c>
      <c r="G1" s="169" t="s">
        <v>53</v>
      </c>
      <c r="H1" s="169" t="s">
        <v>54</v>
      </c>
      <c r="I1" s="169" t="s">
        <v>55</v>
      </c>
      <c r="J1" s="169" t="s">
        <v>56</v>
      </c>
      <c r="K1" s="169" t="s">
        <v>57</v>
      </c>
      <c r="L1" s="169" t="s">
        <v>58</v>
      </c>
      <c r="M1" s="169" t="s">
        <v>59</v>
      </c>
      <c r="N1" s="169" t="s">
        <v>60</v>
      </c>
      <c r="O1" s="169" t="s">
        <v>61</v>
      </c>
      <c r="P1" s="169" t="s">
        <v>62</v>
      </c>
      <c r="Q1" s="169" t="s">
        <v>63</v>
      </c>
      <c r="R1" s="169" t="s">
        <v>64</v>
      </c>
    </row>
    <row r="2" spans="1:18" x14ac:dyDescent="0.3">
      <c r="A2" s="85">
        <v>999999</v>
      </c>
      <c r="B2" s="84" t="s">
        <v>160</v>
      </c>
      <c r="C2" s="85" t="s">
        <v>167</v>
      </c>
      <c r="D2" s="85" t="s">
        <v>166</v>
      </c>
      <c r="E2" s="85" t="s">
        <v>132</v>
      </c>
      <c r="F2" s="166">
        <v>166</v>
      </c>
      <c r="G2" s="167">
        <v>1086</v>
      </c>
      <c r="H2" s="167"/>
      <c r="I2" s="167"/>
      <c r="J2" s="84"/>
      <c r="K2" s="84"/>
      <c r="L2" s="84"/>
      <c r="M2" s="84"/>
      <c r="N2" s="84"/>
      <c r="O2" s="84"/>
      <c r="P2" s="84"/>
      <c r="Q2" s="84"/>
      <c r="R2" s="84"/>
    </row>
    <row r="3" spans="1:18" x14ac:dyDescent="0.3">
      <c r="A3" s="85">
        <v>999999</v>
      </c>
      <c r="B3" s="84" t="s">
        <v>160</v>
      </c>
      <c r="C3" s="85" t="s">
        <v>162</v>
      </c>
      <c r="D3" s="85" t="s">
        <v>161</v>
      </c>
      <c r="E3" s="85" t="s">
        <v>132</v>
      </c>
      <c r="F3" s="166">
        <v>40</v>
      </c>
      <c r="G3" s="167"/>
      <c r="H3" s="167"/>
      <c r="I3" s="167">
        <v>6557</v>
      </c>
      <c r="J3" s="84"/>
      <c r="K3" s="84"/>
      <c r="L3" s="84"/>
      <c r="M3" s="84"/>
      <c r="N3" s="84"/>
      <c r="O3" s="84"/>
      <c r="P3" s="84"/>
      <c r="Q3" s="84"/>
      <c r="R3" s="84"/>
    </row>
    <row r="4" spans="1:18" x14ac:dyDescent="0.3">
      <c r="D4" s="81"/>
    </row>
    <row r="5" spans="1:18" x14ac:dyDescent="0.3">
      <c r="D5" s="81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K30" sqref="K30"/>
    </sheetView>
  </sheetViews>
  <sheetFormatPr defaultColWidth="9" defaultRowHeight="16.5" x14ac:dyDescent="0.3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78"/>
  </cols>
  <sheetData>
    <row r="1" spans="1:6" ht="18" customHeight="1" x14ac:dyDescent="0.3">
      <c r="A1" s="168" t="s">
        <v>0</v>
      </c>
      <c r="B1" s="168" t="s">
        <v>1</v>
      </c>
      <c r="C1" s="168" t="s">
        <v>2</v>
      </c>
      <c r="D1" s="168" t="s">
        <v>3</v>
      </c>
      <c r="E1" s="168" t="s">
        <v>4</v>
      </c>
      <c r="F1" s="168" t="s">
        <v>5</v>
      </c>
    </row>
    <row r="2" spans="1:6" x14ac:dyDescent="0.3">
      <c r="A2" s="170" t="str">
        <f>'내역서(표준단가)'!A5</f>
        <v>D02641</v>
      </c>
      <c r="B2" s="171" t="str">
        <f>'내역서(표준단가)'!F5</f>
        <v>D02641</v>
      </c>
      <c r="C2" s="171">
        <f>'내역서(표준단가)'!G5</f>
        <v>0</v>
      </c>
      <c r="D2" s="171">
        <f>'내역서(표준단가)'!H5</f>
        <v>0</v>
      </c>
      <c r="E2" s="171">
        <f>'내역서(표준단가)'!I5</f>
        <v>0</v>
      </c>
      <c r="F2" s="171">
        <f>'내역서(표준단가)'!M5</f>
        <v>105</v>
      </c>
    </row>
    <row r="3" spans="1:6" x14ac:dyDescent="0.3">
      <c r="A3" s="170" t="str">
        <f>'내역서(표준단가)'!A6</f>
        <v>D02642</v>
      </c>
      <c r="B3" s="171" t="str">
        <f>'내역서(표준단가)'!F6</f>
        <v>D02642</v>
      </c>
      <c r="C3" s="171">
        <f>'내역서(표준단가)'!G6</f>
        <v>0</v>
      </c>
      <c r="D3" s="171">
        <f>'내역서(표준단가)'!H6</f>
        <v>0</v>
      </c>
      <c r="E3" s="171">
        <f>'내역서(표준단가)'!I6</f>
        <v>0</v>
      </c>
      <c r="F3" s="171">
        <f>'내역서(표준단가)'!M6</f>
        <v>61</v>
      </c>
    </row>
    <row r="4" spans="1:6" x14ac:dyDescent="0.3">
      <c r="A4" s="170" t="str">
        <f>'내역서(표준단가)'!A7</f>
        <v>D02873</v>
      </c>
      <c r="B4" s="171" t="str">
        <f>'내역서(표준단가)'!F7</f>
        <v>D02873</v>
      </c>
      <c r="C4" s="171">
        <f>'내역서(표준단가)'!G7</f>
        <v>0</v>
      </c>
      <c r="D4" s="171">
        <f>'내역서(표준단가)'!H7</f>
        <v>0</v>
      </c>
      <c r="E4" s="171">
        <f>'내역서(표준단가)'!I7</f>
        <v>0</v>
      </c>
      <c r="F4" s="171">
        <f>'내역서(표준단가)'!M7</f>
        <v>83</v>
      </c>
    </row>
    <row r="5" spans="1:6" x14ac:dyDescent="0.3">
      <c r="A5" s="170" t="str">
        <f>'내역서(표준단가)'!A8</f>
        <v>D02859</v>
      </c>
      <c r="B5" s="171" t="str">
        <f>'내역서(표준단가)'!F8</f>
        <v>D02859</v>
      </c>
      <c r="C5" s="171">
        <f>'내역서(표준단가)'!G8</f>
        <v>0</v>
      </c>
      <c r="D5" s="171">
        <f>'내역서(표준단가)'!H8</f>
        <v>0</v>
      </c>
      <c r="E5" s="171">
        <f>'내역서(표준단가)'!I8</f>
        <v>0</v>
      </c>
      <c r="F5" s="171">
        <f>'내역서(표준단가)'!M8</f>
        <v>34</v>
      </c>
    </row>
    <row r="6" spans="1:6" x14ac:dyDescent="0.3">
      <c r="A6" s="170" t="str">
        <f>'내역서(표준단가)'!A9</f>
        <v>D02558</v>
      </c>
      <c r="B6" s="171" t="str">
        <f>'내역서(표준단가)'!F9</f>
        <v>D02558</v>
      </c>
      <c r="C6" s="171">
        <f>'내역서(표준단가)'!G9</f>
        <v>0</v>
      </c>
      <c r="D6" s="171">
        <f>'내역서(표준단가)'!H9</f>
        <v>0</v>
      </c>
      <c r="E6" s="171">
        <f>'내역서(표준단가)'!I9</f>
        <v>0</v>
      </c>
      <c r="F6" s="171">
        <f>'내역서(표준단가)'!M9</f>
        <v>34</v>
      </c>
    </row>
    <row r="7" spans="1:6" x14ac:dyDescent="0.3">
      <c r="A7" s="170" t="str">
        <f>'내역서(표준단가)'!A10</f>
        <v>D02825</v>
      </c>
      <c r="B7" s="171" t="str">
        <f>'내역서(표준단가)'!F10</f>
        <v>D02825</v>
      </c>
      <c r="C7" s="171">
        <f>'내역서(표준단가)'!G10</f>
        <v>0</v>
      </c>
      <c r="D7" s="171">
        <f>'내역서(표준단가)'!H10</f>
        <v>0</v>
      </c>
      <c r="E7" s="171">
        <f>'내역서(표준단가)'!I10</f>
        <v>0</v>
      </c>
      <c r="F7" s="171">
        <f>'내역서(표준단가)'!M10</f>
        <v>15</v>
      </c>
    </row>
    <row r="8" spans="1:6" x14ac:dyDescent="0.3">
      <c r="A8" s="170" t="str">
        <f>'내역서(표준단가)'!A11</f>
        <v>D02832</v>
      </c>
      <c r="B8" s="171" t="str">
        <f>'내역서(표준단가)'!F11</f>
        <v>D02832</v>
      </c>
      <c r="C8" s="171">
        <f>'내역서(표준단가)'!G11</f>
        <v>0</v>
      </c>
      <c r="D8" s="171">
        <f>'내역서(표준단가)'!H11</f>
        <v>0</v>
      </c>
      <c r="E8" s="171">
        <f>'내역서(표준단가)'!I11</f>
        <v>0</v>
      </c>
      <c r="F8" s="171">
        <f>'내역서(표준단가)'!M11</f>
        <v>15</v>
      </c>
    </row>
    <row r="9" spans="1:6" x14ac:dyDescent="0.3">
      <c r="A9" s="170" t="str">
        <f>'내역서(표준단가)'!A12</f>
        <v>M012003400500101</v>
      </c>
      <c r="B9" s="171">
        <f>'내역서(표준단가)'!F12</f>
        <v>0</v>
      </c>
      <c r="C9" s="171">
        <f>'내역서(표준단가)'!G12</f>
        <v>0</v>
      </c>
      <c r="D9" s="171" t="str">
        <f>'내역서(표준단가)'!H12</f>
        <v>M012003400500101</v>
      </c>
      <c r="E9" s="171">
        <f>'내역서(표준단가)'!I12</f>
        <v>0</v>
      </c>
      <c r="F9" s="171">
        <f>'내역서(표준단가)'!M12</f>
        <v>34</v>
      </c>
    </row>
    <row r="10" spans="1:6" x14ac:dyDescent="0.3">
      <c r="A10" s="170" t="str">
        <f>'내역서(표준단가)'!A13</f>
        <v>M010602702400101</v>
      </c>
      <c r="B10" s="171">
        <f>'내역서(표준단가)'!F13</f>
        <v>0</v>
      </c>
      <c r="C10" s="171">
        <f>'내역서(표준단가)'!G13</f>
        <v>0</v>
      </c>
      <c r="D10" s="171" t="str">
        <f>'내역서(표준단가)'!H13</f>
        <v>M010602702400101</v>
      </c>
      <c r="E10" s="171">
        <f>'내역서(표준단가)'!I13</f>
        <v>0</v>
      </c>
      <c r="F10" s="171">
        <f>'내역서(표준단가)'!M13</f>
        <v>4</v>
      </c>
    </row>
    <row r="11" spans="1:6" x14ac:dyDescent="0.3">
      <c r="A11" s="170" t="str">
        <f>'내역서(표준단가)'!A14</f>
        <v>L003</v>
      </c>
      <c r="B11" s="171">
        <f>'내역서(표준단가)'!F14</f>
        <v>0</v>
      </c>
      <c r="C11" s="171">
        <f>'내역서(표준단가)'!G14</f>
        <v>0</v>
      </c>
      <c r="D11" s="171">
        <f>'내역서(표준단가)'!H14</f>
        <v>0</v>
      </c>
      <c r="E11" s="171" t="str">
        <f>'내역서(표준단가)'!I14</f>
        <v>L003</v>
      </c>
      <c r="F11" s="177">
        <f>'내역서(표준단가)'!M14</f>
        <v>0.5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2024-12-12T02:57:01Z</dcterms:modified>
</cp:coreProperties>
</file>
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2 사택 9-204 현관 방화문 수리\"/>
    </mc:Choice>
  </mc:AlternateContent>
  <xr:revisionPtr revIDLastSave="0" documentId="13_ncr:1_{38451154-7163-4DC8-B47C-6435DA73AD28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⑤ 용접용단작업_알곤" sheetId="1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[1]수리결과!#REF!</definedName>
    <definedName name="_KEY2" hidden="1">[1]수리결과!#REF!</definedName>
    <definedName name="_Order1" hidden="1">255</definedName>
    <definedName name="_Order2" hidden="1">0</definedName>
    <definedName name="_Sort" localSheetId="0" hidden="1">#REF!</definedName>
    <definedName name="_Sort" hidden="1">#REF!</definedName>
    <definedName name="ddd" localSheetId="0" hidden="1">#REF!</definedName>
    <definedName name="ddd" hidden="1">#REF!</definedName>
    <definedName name="dsd" localSheetId="0" hidden="1">#REF!</definedName>
    <definedName name="dsd" hidden="1">#REF!</definedName>
    <definedName name="RRR" hidden="1">[2]울산시산표!$G$1:$G$1019</definedName>
    <definedName name="갑지" localSheetId="0" hidden="1">#REF!</definedName>
    <definedName name="갑지" hidden="1">#REF!</definedName>
    <definedName name="갑지2" localSheetId="0" hidden="1">#REF!</definedName>
    <definedName name="갑지2" hidden="1">#REF!</definedName>
    <definedName name="ㅁㄴㅇㄴㅁㄴㅇ" localSheetId="0" hidden="1">[1]수리결과!#REF!</definedName>
    <definedName name="ㅁㄴㅇㄴㅁㄴㅇ" hidden="1">[1]수리결과!#REF!</definedName>
    <definedName name="보증일반환산" localSheetId="0" hidden="1">[3]수리결과!#REF!</definedName>
    <definedName name="보증일반환산" hidden="1">[3]수리결과!#REF!</definedName>
    <definedName name="양싲ㄱㅈ" localSheetId="0" hidden="1">#REF!</definedName>
    <definedName name="양싲ㄱㅈ" hidden="1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2" l="1"/>
  <c r="L7" i="12"/>
  <c r="H8" i="12"/>
  <c r="L8" i="12"/>
  <c r="H9" i="12"/>
  <c r="L9" i="12"/>
  <c r="H10" i="12"/>
  <c r="L10" i="12"/>
  <c r="H11" i="12"/>
  <c r="L11" i="12"/>
  <c r="H12" i="12"/>
  <c r="L12" i="12"/>
  <c r="H13" i="12"/>
  <c r="L13" i="12"/>
  <c r="H14" i="12"/>
  <c r="L14" i="12"/>
  <c r="H15" i="12"/>
  <c r="L15" i="12"/>
  <c r="H16" i="12"/>
  <c r="L16" i="12"/>
  <c r="H17" i="12"/>
  <c r="L17" i="12"/>
  <c r="H18" i="12"/>
  <c r="L18" i="12"/>
  <c r="H19" i="12"/>
  <c r="L19" i="12"/>
  <c r="H20" i="12"/>
  <c r="L20" i="12"/>
  <c r="H21" i="12"/>
  <c r="L21" i="12"/>
</calcChain>
</file>

<file path=xl/sharedStrings.xml><?xml version="1.0" encoding="utf-8"?>
<sst xmlns="http://schemas.openxmlformats.org/spreadsheetml/2006/main" count="64" uniqueCount="51">
  <si>
    <t>세부작업</t>
    <phoneticPr fontId="1" type="noConversion"/>
  </si>
  <si>
    <t>빈도</t>
    <phoneticPr fontId="1" type="noConversion"/>
  </si>
  <si>
    <t>강도</t>
    <phoneticPr fontId="1" type="noConversion"/>
  </si>
  <si>
    <t>개선대책 및 관리계획</t>
    <phoneticPr fontId="1" type="noConversion"/>
  </si>
  <si>
    <t>구분</t>
    <phoneticPr fontId="1" type="noConversion"/>
  </si>
  <si>
    <t>현장별 특성 반영</t>
    <phoneticPr fontId="1" type="noConversion"/>
  </si>
  <si>
    <t>◆ 중대위험작업 위험성평가표</t>
    <phoneticPr fontId="1" type="noConversion"/>
  </si>
  <si>
    <t>화재/폭발</t>
  </si>
  <si>
    <t>인화성 물질 인접장소에서 화기사용으로 인한 화재 위험</t>
    <phoneticPr fontId="1" type="noConversion"/>
  </si>
  <si>
    <t>인화성 물질 작업구역 내에서 화기사용 금지</t>
    <phoneticPr fontId="1" type="noConversion"/>
  </si>
  <si>
    <t>비래</t>
  </si>
  <si>
    <t>감전</t>
  </si>
  <si>
    <t>건강이상</t>
  </si>
  <si>
    <t>작업 중 토치 등 화기 사용시 열에 의하여 작업자 화상</t>
    <phoneticPr fontId="1" type="noConversion"/>
  </si>
  <si>
    <t>토치 등 화기 사용시 화상방지를 위한 안전장갑 착용 후 작업</t>
  </si>
  <si>
    <t>체류되는 알곤가스는 계속하여 배기조치하거나 공기를 투입하여 순환 실시</t>
    <phoneticPr fontId="1" type="noConversion"/>
  </si>
  <si>
    <t>용접•용단 작업 시 알곤가스 누출로 인하여 질식 위험</t>
  </si>
  <si>
    <t>건강이상</t>
    <phoneticPr fontId="1" type="noConversion"/>
  </si>
  <si>
    <t>용접•용단 작업 흄에 대한 MSDS를 작업장에 비치하고 작업 전 내용을 인지한 후 작업 실시</t>
    <phoneticPr fontId="1" type="noConversion"/>
  </si>
  <si>
    <t>용접•용단작업 시 작업자가 MSDS 미인지 상태에서 사용 작업 중 흄 흡입에 따른 신체 손상</t>
    <phoneticPr fontId="1" type="noConversion"/>
  </si>
  <si>
    <t xml:space="preserve">구조물 용접•용단 시 부득이하게 어스를 연결할 경우 타 작업 금지토록 함
(작업금지 표지판 설치) </t>
  </si>
  <si>
    <t>구조물 용접•용단작업 중 철 구조물에 어스를 연결하여 사용 중 구조물
에서 작업하는 타 작업자 감전</t>
  </si>
  <si>
    <t>용접•용단이기 홀더, 피복, 충전부가 노출된 경우 절연 테이프 등으로 노출되지 않도록 조치하고 용접기 접지 실시</t>
    <phoneticPr fontId="1" type="noConversion"/>
  </si>
  <si>
    <t>용접•용단작업 시 홀더 및 피복, 충전부 노출로 인한 감전</t>
  </si>
  <si>
    <t>용접•용단 작업 시 보안경, 보안면 및 작업복 (긴팔, 긴바지) 착용 후 작업</t>
  </si>
  <si>
    <t>용접•용단 작업 시 비산되는 불꽃에 의하여 피부 화상 및 눈 상해 위험</t>
    <phoneticPr fontId="1" type="noConversion"/>
  </si>
  <si>
    <t>용접•용단작업 시 용접•용단용 보안면 및 용접•용단장갑 착용</t>
  </si>
  <si>
    <t>용접•용단 작업 시 용접•용단 파편이 튀어 눈 또는 안면 상해</t>
    <phoneticPr fontId="1" type="noConversion"/>
  </si>
  <si>
    <t>배관 용접•용단 작업시 가스측정기 등으로 배관 내 잔류가스 유무를 확인하고 작업</t>
  </si>
  <si>
    <t>배관 용접•용단 작업 중 배관 내 잔류가스로 인하여 질식 위험</t>
    <phoneticPr fontId="1" type="noConversion"/>
  </si>
  <si>
    <t>용접•용단 작업 전 주변의 가연성 물질 제거 또는 방염조치하고 불티방지포 설치 및 대형소화기 1대, 3.3kg 4대 비치, 화기감시인 배치 후 작업</t>
    <phoneticPr fontId="1" type="noConversion"/>
  </si>
  <si>
    <t>작업장소 주위의 인화성 물질 접촉으로 인한 화재위험</t>
    <phoneticPr fontId="1" type="noConversion"/>
  </si>
  <si>
    <t>불활성 가스 배출로 인한 사고예방으로 충분한 환기 및 조절밸브 작동을 서서히 하면서
작업, 가스누설 검사 실시</t>
    <phoneticPr fontId="1" type="noConversion"/>
  </si>
  <si>
    <t>밀폐공간에서 작업 시 불활성기체(알곤, 헬륨 등)의 지속적인 누출로 질식 위험</t>
    <phoneticPr fontId="1" type="noConversion"/>
  </si>
  <si>
    <t>용접기에 (자동)전격방지기 설치</t>
    <phoneticPr fontId="1" type="noConversion"/>
  </si>
  <si>
    <t>용접•용단이기 무부하 시 전격방지기 미설치로 인한 감전 위험</t>
  </si>
  <si>
    <t>감전</t>
    <phoneticPr fontId="1" type="noConversion"/>
  </si>
  <si>
    <t>용접•용단작업 전 주변의 가연성 물질 제거 또는 방염조치하고 불티방지포 설치 및 대형소화기 1대, 3.3kg 4대 비치, 화기감시인 배치 후 작업</t>
    <phoneticPr fontId="1" type="noConversion"/>
  </si>
  <si>
    <t>용접•용단작업 시 불티에 의하여 주변 인화성 및 가연성 물질에
옮겨 화재</t>
    <phoneticPr fontId="1" type="noConversion"/>
  </si>
  <si>
    <t>용접•용단작업 전 주변의 가연성 물질 제거 또는 방염조치하고 불티방지포 설치 및 대형소화기 1대, 3.3kg 4대 비치, 화기감시인 배치 후 작업</t>
  </si>
  <si>
    <t>용접•용단작업 시 불티가 불티방지포 미설치 상태에서 가연성 물질로 튀어 화재</t>
    <phoneticPr fontId="1" type="noConversion"/>
  </si>
  <si>
    <t>도장작업장 주변에서 용접•용단작업 및 화기사용을 금지하고 대형소화기 1대, 3.3kg 
4대 비치</t>
  </si>
  <si>
    <t>용접•용단작업 부근에서 도장작업 중 불티로 인하여 화재</t>
  </si>
  <si>
    <t>용접•용단</t>
    <phoneticPr fontId="1" type="noConversion"/>
  </si>
  <si>
    <t>알곤용접•용단작업</t>
    <phoneticPr fontId="1" type="noConversion"/>
  </si>
  <si>
    <t>등급</t>
    <phoneticPr fontId="1" type="noConversion"/>
  </si>
  <si>
    <t>유해위험요인</t>
    <phoneticPr fontId="1" type="noConversion"/>
  </si>
  <si>
    <t>위험분류</t>
    <phoneticPr fontId="1" type="noConversion"/>
  </si>
  <si>
    <t>개선 후</t>
    <phoneticPr fontId="1" type="noConversion"/>
  </si>
  <si>
    <t>개선 전</t>
    <phoneticPr fontId="1" type="noConversion"/>
  </si>
  <si>
    <t>유해위험요인 파악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</si>
</sst>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name val="LG스마트체 Regular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1" fontId="0" fillId="0" borderId="0" xfId="0" applyNumberFormat="1">
      <alignment vertical="center"/>
    </xf>
    <xf numFmtId="4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3" xfId="1" xr:uid="{04BD895F-9FBA-4650-9713-5A4E2C0E0704}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2%20&#44592;&#49689;&#49324;%20&#48143;%20&#49324;&#53469;\14%20&#51089;&#50629;%20&#54728;&#44032;&#49436;(&#49556;&#47336;&#49496;)\01%20&#44148;&#52629;\01%20&#51068;&#49457;\03%20&#51473;&#45824;&#50948;&#54744;&#51089;&#50629;\01%20&#49324;&#51204;&#54408;&#51032;\25&#45380;\02%20&#49324;&#53469;%209-204%20&#54788;&#44288;%20&#48169;&#54868;&#47928;%20&#49688;&#47532;\00%20&#52280;&#51312;\08%20&#52392;&#48512;4_&#51473;&#45824;&#50948;&#54744;&#51089;&#50629;%20&#50948;&#54744;&#49457;&#54217;&#44032;&#54364;_&#50696;&#49884;_v3.0.xlsx" TargetMode="External"/><Relationship Id="rId1" Type="http://schemas.openxmlformats.org/officeDocument/2006/relationships/externalLinkPath" Target="00%20&#52280;&#51312;/08%20&#52392;&#48512;4_&#51473;&#45824;&#50948;&#54744;&#51089;&#50629;%20&#50948;&#54744;&#49457;&#54217;&#44032;&#54364;_&#50696;&#49884;_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위험성평가표(예시)"/>
      <sheetName val="1-1)외벽로프(자체제어하강기)"/>
      <sheetName val="1-2)외벽로프"/>
      <sheetName val="2-1)스카이(고소작업차)"/>
      <sheetName val="2-2)이동식 크레인"/>
      <sheetName val="2-3)굴착기"/>
      <sheetName val="2-4)지게차"/>
      <sheetName val="3)비계"/>
      <sheetName val="4)기계식 주차설비"/>
      <sheetName val="5)용접용단작업_산소"/>
      <sheetName val="5)용접용단작업_아크"/>
      <sheetName val="6)밀폐공간"/>
      <sheetName val="7)수변전설비"/>
      <sheetName val="8)승강기"/>
      <sheetName val="9)4m이상 고소작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034B-F58C-455C-8D88-BEDD54A2282B}">
  <sheetPr>
    <pageSetUpPr fitToPage="1"/>
  </sheetPr>
  <dimension ref="A2:L28"/>
  <sheetViews>
    <sheetView showGridLines="0" tabSelected="1" zoomScale="70" zoomScaleNormal="70" zoomScaleSheetLayoutView="70" workbookViewId="0">
      <selection activeCell="D17" sqref="D17"/>
    </sheetView>
  </sheetViews>
  <sheetFormatPr defaultRowHeight="16.5"/>
  <cols>
    <col min="1" max="1" width="2.625" customWidth="1"/>
    <col min="2" max="4" width="14.625" customWidth="1"/>
    <col min="5" max="5" width="57.625" style="1" customWidth="1"/>
    <col min="6" max="7" width="4.75" style="11" customWidth="1"/>
    <col min="8" max="8" width="10.25" bestFit="1" customWidth="1"/>
    <col min="9" max="9" width="65.625" style="1" customWidth="1"/>
    <col min="10" max="11" width="5.625" style="11" customWidth="1"/>
    <col min="12" max="12" width="10.25" bestFit="1" customWidth="1"/>
  </cols>
  <sheetData>
    <row r="2" spans="2:12" ht="31.5">
      <c r="B2" s="2" t="s">
        <v>6</v>
      </c>
    </row>
    <row r="4" spans="2:12" ht="17.25">
      <c r="B4" s="10" t="s">
        <v>44</v>
      </c>
    </row>
    <row r="5" spans="2:12" ht="29.25" customHeight="1">
      <c r="B5" s="21" t="s">
        <v>4</v>
      </c>
      <c r="C5" s="21" t="s">
        <v>0</v>
      </c>
      <c r="D5" s="21" t="s">
        <v>50</v>
      </c>
      <c r="E5" s="21"/>
      <c r="F5" s="22" t="s">
        <v>49</v>
      </c>
      <c r="G5" s="22"/>
      <c r="H5" s="22"/>
      <c r="I5" s="21" t="s">
        <v>3</v>
      </c>
      <c r="J5" s="22" t="s">
        <v>48</v>
      </c>
      <c r="K5" s="22"/>
      <c r="L5" s="22"/>
    </row>
    <row r="6" spans="2:12">
      <c r="B6" s="21"/>
      <c r="C6" s="21"/>
      <c r="D6" s="19" t="s">
        <v>47</v>
      </c>
      <c r="E6" s="19" t="s">
        <v>46</v>
      </c>
      <c r="F6" s="20" t="s">
        <v>1</v>
      </c>
      <c r="G6" s="20" t="s">
        <v>2</v>
      </c>
      <c r="H6" s="19" t="s">
        <v>45</v>
      </c>
      <c r="I6" s="21"/>
      <c r="J6" s="20" t="s">
        <v>1</v>
      </c>
      <c r="K6" s="20" t="s">
        <v>2</v>
      </c>
      <c r="L6" s="19" t="s">
        <v>45</v>
      </c>
    </row>
    <row r="7" spans="2:12" ht="27">
      <c r="B7" s="18" t="s">
        <v>44</v>
      </c>
      <c r="C7" s="18" t="s">
        <v>43</v>
      </c>
      <c r="D7" s="5" t="s">
        <v>7</v>
      </c>
      <c r="E7" s="6" t="s">
        <v>42</v>
      </c>
      <c r="F7" s="16">
        <v>3</v>
      </c>
      <c r="G7" s="16">
        <v>3</v>
      </c>
      <c r="H7" s="15">
        <f>F7*G7</f>
        <v>9</v>
      </c>
      <c r="I7" s="17" t="s">
        <v>41</v>
      </c>
      <c r="J7" s="16">
        <v>1</v>
      </c>
      <c r="K7" s="16">
        <v>3</v>
      </c>
      <c r="L7" s="15">
        <f>J7*K7</f>
        <v>3</v>
      </c>
    </row>
    <row r="8" spans="2:12" ht="27">
      <c r="B8" s="18"/>
      <c r="C8" s="18"/>
      <c r="D8" s="5" t="s">
        <v>7</v>
      </c>
      <c r="E8" s="6" t="s">
        <v>40</v>
      </c>
      <c r="F8" s="16">
        <v>3</v>
      </c>
      <c r="G8" s="16">
        <v>3</v>
      </c>
      <c r="H8" s="15">
        <f>F8*G8</f>
        <v>9</v>
      </c>
      <c r="I8" s="17" t="s">
        <v>39</v>
      </c>
      <c r="J8" s="16">
        <v>1</v>
      </c>
      <c r="K8" s="16">
        <v>3</v>
      </c>
      <c r="L8" s="15">
        <f>J8*K8</f>
        <v>3</v>
      </c>
    </row>
    <row r="9" spans="2:12" ht="27">
      <c r="B9" s="18"/>
      <c r="C9" s="18"/>
      <c r="D9" s="5" t="s">
        <v>7</v>
      </c>
      <c r="E9" s="6" t="s">
        <v>38</v>
      </c>
      <c r="F9" s="16">
        <v>3</v>
      </c>
      <c r="G9" s="16">
        <v>3</v>
      </c>
      <c r="H9" s="15">
        <f>F9*G9</f>
        <v>9</v>
      </c>
      <c r="I9" s="17" t="s">
        <v>37</v>
      </c>
      <c r="J9" s="16">
        <v>1</v>
      </c>
      <c r="K9" s="16">
        <v>3</v>
      </c>
      <c r="L9" s="15">
        <f>J9*K9</f>
        <v>3</v>
      </c>
    </row>
    <row r="10" spans="2:12">
      <c r="B10" s="18"/>
      <c r="C10" s="18"/>
      <c r="D10" s="5" t="s">
        <v>36</v>
      </c>
      <c r="E10" s="6" t="s">
        <v>35</v>
      </c>
      <c r="F10" s="16">
        <v>3</v>
      </c>
      <c r="G10" s="16">
        <v>3</v>
      </c>
      <c r="H10" s="15">
        <f>F10*G10</f>
        <v>9</v>
      </c>
      <c r="I10" s="17" t="s">
        <v>34</v>
      </c>
      <c r="J10" s="16">
        <v>1</v>
      </c>
      <c r="K10" s="16">
        <v>3</v>
      </c>
      <c r="L10" s="15">
        <f>J10*K10</f>
        <v>3</v>
      </c>
    </row>
    <row r="11" spans="2:12" ht="27">
      <c r="B11" s="18"/>
      <c r="C11" s="18"/>
      <c r="D11" s="5" t="s">
        <v>17</v>
      </c>
      <c r="E11" s="6" t="s">
        <v>33</v>
      </c>
      <c r="F11" s="16">
        <v>2</v>
      </c>
      <c r="G11" s="16">
        <v>3</v>
      </c>
      <c r="H11" s="15">
        <f>F11*G11</f>
        <v>6</v>
      </c>
      <c r="I11" s="17" t="s">
        <v>32</v>
      </c>
      <c r="J11" s="16">
        <v>1</v>
      </c>
      <c r="K11" s="16">
        <v>3</v>
      </c>
      <c r="L11" s="15">
        <f>J11*K11</f>
        <v>3</v>
      </c>
    </row>
    <row r="12" spans="2:12" ht="27">
      <c r="B12" s="18"/>
      <c r="C12" s="18"/>
      <c r="D12" s="5" t="s">
        <v>7</v>
      </c>
      <c r="E12" s="6" t="s">
        <v>31</v>
      </c>
      <c r="F12" s="16">
        <v>2</v>
      </c>
      <c r="G12" s="16">
        <v>3</v>
      </c>
      <c r="H12" s="15">
        <f>F12*G12</f>
        <v>6</v>
      </c>
      <c r="I12" s="17" t="s">
        <v>30</v>
      </c>
      <c r="J12" s="16">
        <v>1</v>
      </c>
      <c r="K12" s="16">
        <v>3</v>
      </c>
      <c r="L12" s="15">
        <f>J12*K12</f>
        <v>3</v>
      </c>
    </row>
    <row r="13" spans="2:12">
      <c r="B13" s="18"/>
      <c r="C13" s="18"/>
      <c r="D13" s="5" t="s">
        <v>17</v>
      </c>
      <c r="E13" s="6" t="s">
        <v>29</v>
      </c>
      <c r="F13" s="16">
        <v>3</v>
      </c>
      <c r="G13" s="16">
        <v>3</v>
      </c>
      <c r="H13" s="15">
        <f>F13*G13</f>
        <v>9</v>
      </c>
      <c r="I13" s="17" t="s">
        <v>28</v>
      </c>
      <c r="J13" s="16">
        <v>1</v>
      </c>
      <c r="K13" s="16">
        <v>3</v>
      </c>
      <c r="L13" s="15">
        <f>J13*K13</f>
        <v>3</v>
      </c>
    </row>
    <row r="14" spans="2:12">
      <c r="B14" s="18"/>
      <c r="C14" s="18"/>
      <c r="D14" s="5" t="s">
        <v>7</v>
      </c>
      <c r="E14" s="6" t="s">
        <v>8</v>
      </c>
      <c r="F14" s="16">
        <v>2</v>
      </c>
      <c r="G14" s="16">
        <v>3</v>
      </c>
      <c r="H14" s="15">
        <f>F14*G14</f>
        <v>6</v>
      </c>
      <c r="I14" s="17" t="s">
        <v>9</v>
      </c>
      <c r="J14" s="16">
        <v>1</v>
      </c>
      <c r="K14" s="16">
        <v>3</v>
      </c>
      <c r="L14" s="15">
        <f>J14*K14</f>
        <v>3</v>
      </c>
    </row>
    <row r="15" spans="2:12">
      <c r="B15" s="18"/>
      <c r="C15" s="18"/>
      <c r="D15" s="5" t="s">
        <v>10</v>
      </c>
      <c r="E15" s="6" t="s">
        <v>27</v>
      </c>
      <c r="F15" s="16">
        <v>2</v>
      </c>
      <c r="G15" s="16">
        <v>2</v>
      </c>
      <c r="H15" s="15">
        <f>F15*G15</f>
        <v>4</v>
      </c>
      <c r="I15" s="17" t="s">
        <v>26</v>
      </c>
      <c r="J15" s="16">
        <v>1</v>
      </c>
      <c r="K15" s="16">
        <v>2</v>
      </c>
      <c r="L15" s="15">
        <f>J15*K15</f>
        <v>2</v>
      </c>
    </row>
    <row r="16" spans="2:12">
      <c r="B16" s="18"/>
      <c r="C16" s="18"/>
      <c r="D16" s="5" t="s">
        <v>10</v>
      </c>
      <c r="E16" s="6" t="s">
        <v>25</v>
      </c>
      <c r="F16" s="16">
        <v>2</v>
      </c>
      <c r="G16" s="16">
        <v>2</v>
      </c>
      <c r="H16" s="15">
        <f>F16*G16</f>
        <v>4</v>
      </c>
      <c r="I16" s="17" t="s">
        <v>24</v>
      </c>
      <c r="J16" s="16">
        <v>1</v>
      </c>
      <c r="K16" s="16">
        <v>2</v>
      </c>
      <c r="L16" s="15">
        <f>J16*K16</f>
        <v>2</v>
      </c>
    </row>
    <row r="17" spans="1:12" ht="27">
      <c r="B17" s="18"/>
      <c r="C17" s="18"/>
      <c r="D17" s="5" t="s">
        <v>11</v>
      </c>
      <c r="E17" s="6" t="s">
        <v>23</v>
      </c>
      <c r="F17" s="16">
        <v>2</v>
      </c>
      <c r="G17" s="16">
        <v>2</v>
      </c>
      <c r="H17" s="15">
        <f>F17*G17</f>
        <v>4</v>
      </c>
      <c r="I17" s="17" t="s">
        <v>22</v>
      </c>
      <c r="J17" s="16">
        <v>1</v>
      </c>
      <c r="K17" s="16">
        <v>2</v>
      </c>
      <c r="L17" s="15">
        <f>J17*K17</f>
        <v>2</v>
      </c>
    </row>
    <row r="18" spans="1:12" ht="27">
      <c r="B18" s="18"/>
      <c r="C18" s="18"/>
      <c r="D18" s="5" t="s">
        <v>11</v>
      </c>
      <c r="E18" s="6" t="s">
        <v>21</v>
      </c>
      <c r="F18" s="16">
        <v>2</v>
      </c>
      <c r="G18" s="16">
        <v>2</v>
      </c>
      <c r="H18" s="15">
        <f>F18*G18</f>
        <v>4</v>
      </c>
      <c r="I18" s="17" t="s">
        <v>20</v>
      </c>
      <c r="J18" s="16">
        <v>1</v>
      </c>
      <c r="K18" s="16">
        <v>2</v>
      </c>
      <c r="L18" s="15">
        <f>J18*K18</f>
        <v>2</v>
      </c>
    </row>
    <row r="19" spans="1:12" ht="27">
      <c r="B19" s="18"/>
      <c r="C19" s="18"/>
      <c r="D19" s="5" t="s">
        <v>12</v>
      </c>
      <c r="E19" s="6" t="s">
        <v>19</v>
      </c>
      <c r="F19" s="16">
        <v>2</v>
      </c>
      <c r="G19" s="16">
        <v>2</v>
      </c>
      <c r="H19" s="15">
        <f>F19*G19</f>
        <v>4</v>
      </c>
      <c r="I19" s="17" t="s">
        <v>18</v>
      </c>
      <c r="J19" s="16">
        <v>1</v>
      </c>
      <c r="K19" s="16">
        <v>2</v>
      </c>
      <c r="L19" s="15">
        <f>J19*K19</f>
        <v>2</v>
      </c>
    </row>
    <row r="20" spans="1:12">
      <c r="B20" s="18"/>
      <c r="C20" s="18"/>
      <c r="D20" s="5" t="s">
        <v>12</v>
      </c>
      <c r="E20" s="6" t="s">
        <v>13</v>
      </c>
      <c r="F20" s="16">
        <v>2</v>
      </c>
      <c r="G20" s="16">
        <v>2</v>
      </c>
      <c r="H20" s="15">
        <f>F20*G20</f>
        <v>4</v>
      </c>
      <c r="I20" s="17" t="s">
        <v>14</v>
      </c>
      <c r="J20" s="16">
        <v>1</v>
      </c>
      <c r="K20" s="16">
        <v>2</v>
      </c>
      <c r="L20" s="15">
        <f>J20*K20</f>
        <v>2</v>
      </c>
    </row>
    <row r="21" spans="1:12">
      <c r="B21" s="18"/>
      <c r="C21" s="18"/>
      <c r="D21" s="5" t="s">
        <v>17</v>
      </c>
      <c r="E21" s="6" t="s">
        <v>16</v>
      </c>
      <c r="F21" s="16">
        <v>2</v>
      </c>
      <c r="G21" s="16">
        <v>3</v>
      </c>
      <c r="H21" s="15">
        <f>F21*G21</f>
        <v>6</v>
      </c>
      <c r="I21" s="17" t="s">
        <v>15</v>
      </c>
      <c r="J21" s="16">
        <v>1</v>
      </c>
      <c r="K21" s="16">
        <v>3</v>
      </c>
      <c r="L21" s="15">
        <f>J21*K21</f>
        <v>3</v>
      </c>
    </row>
    <row r="22" spans="1:12" ht="20.25">
      <c r="B22" s="13" t="s">
        <v>5</v>
      </c>
      <c r="C22" s="8"/>
      <c r="D22" s="14"/>
      <c r="E22" s="9"/>
      <c r="F22" s="12"/>
      <c r="G22" s="12"/>
      <c r="H22" s="8"/>
      <c r="I22" s="7"/>
      <c r="J22" s="12"/>
      <c r="K22" s="12"/>
      <c r="L22" s="8"/>
    </row>
    <row r="23" spans="1:12" ht="20.25">
      <c r="B23" s="13"/>
      <c r="C23" s="8"/>
      <c r="D23" s="14"/>
      <c r="E23" s="9"/>
      <c r="F23" s="12"/>
      <c r="G23" s="12"/>
      <c r="H23" s="8"/>
      <c r="I23" s="7"/>
      <c r="J23" s="12"/>
      <c r="K23" s="12"/>
      <c r="L23" s="8"/>
    </row>
    <row r="24" spans="1:12" ht="20.25">
      <c r="B24" s="13"/>
      <c r="C24" s="8"/>
      <c r="D24" s="14"/>
      <c r="E24" s="9"/>
      <c r="F24" s="12"/>
      <c r="G24" s="12"/>
      <c r="H24" s="8"/>
      <c r="I24" s="7"/>
      <c r="J24" s="12"/>
      <c r="K24" s="12"/>
      <c r="L24" s="8"/>
    </row>
    <row r="25" spans="1:12">
      <c r="B25" s="13"/>
      <c r="C25" s="8"/>
      <c r="D25" s="8"/>
      <c r="E25" s="9"/>
      <c r="F25" s="12"/>
      <c r="G25" s="12"/>
      <c r="H25" s="8"/>
      <c r="I25" s="7"/>
      <c r="J25" s="12"/>
      <c r="K25" s="12"/>
      <c r="L25" s="8"/>
    </row>
    <row r="26" spans="1:12">
      <c r="I26" s="3"/>
    </row>
    <row r="27" spans="1:12">
      <c r="A27" s="4"/>
      <c r="B27" s="4"/>
      <c r="C27" s="4"/>
      <c r="D27" s="4"/>
      <c r="E27" s="3"/>
    </row>
    <row r="28" spans="1:12" s="11" customFormat="1">
      <c r="A28" s="4"/>
      <c r="B28" s="4"/>
      <c r="C28" s="4"/>
      <c r="D28" s="4"/>
      <c r="E28" s="3"/>
      <c r="H28"/>
      <c r="I28" s="1"/>
    </row>
  </sheetData>
  <mergeCells count="9">
    <mergeCell ref="I5:I6"/>
    <mergeCell ref="J5:L5"/>
    <mergeCell ref="B7:B21"/>
    <mergeCell ref="C7:C21"/>
    <mergeCell ref="B22:B25"/>
    <mergeCell ref="B5:B6"/>
    <mergeCell ref="C5:C6"/>
    <mergeCell ref="D5:E5"/>
    <mergeCell ref="F5:H5"/>
  </mergeCells>
  <phoneticPr fontId="1" type="noConversion"/>
  <conditionalFormatting sqref="H7:H21">
    <cfRule type="cellIs" dxfId="5" priority="4" operator="between">
      <formula>1</formula>
      <formula>3</formula>
    </cfRule>
    <cfRule type="cellIs" dxfId="4" priority="5" operator="equal">
      <formula>4</formula>
    </cfRule>
    <cfRule type="cellIs" dxfId="3" priority="6" operator="between">
      <formula>6</formula>
      <formula>9</formula>
    </cfRule>
  </conditionalFormatting>
  <conditionalFormatting sqref="L7:L21">
    <cfRule type="cellIs" dxfId="2" priority="1" operator="between">
      <formula>1</formula>
      <formula>3</formula>
    </cfRule>
    <cfRule type="cellIs" dxfId="1" priority="2" operator="equal">
      <formula>4</formula>
    </cfRule>
    <cfRule type="cellIs" dxfId="0" priority="3" operator="between">
      <formula>6</formula>
      <formula>9</formula>
    </cfRule>
  </conditionalFormatting>
  <pageMargins left="0" right="0" top="0.59055118110236227" bottom="0" header="0.31496062992125984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⑤ 용접용단작업_알곤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2024-02-13T07:53:14Z</cp:lastPrinted>
  <dcterms:created xsi:type="dcterms:W3CDTF">2022-05-26T09:46:27Z</dcterms:created>
  <dcterms:modified xsi:type="dcterms:W3CDTF">2025-10-14T05:40:03Z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
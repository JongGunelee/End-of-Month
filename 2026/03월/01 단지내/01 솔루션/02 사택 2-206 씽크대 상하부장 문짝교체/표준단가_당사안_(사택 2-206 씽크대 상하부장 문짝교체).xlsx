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EA0602B3-2202-456C-AA43-98A29C978706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Q5" i="4" l="1"/>
  <c r="F2" i="1" l="1"/>
  <c r="E2" i="1" l="1"/>
  <c r="D2" i="1"/>
  <c r="C2" i="1"/>
  <c r="B2" i="1"/>
  <c r="A5" i="4"/>
  <c r="A2" i="1" s="1"/>
  <c r="U6" i="4" l="1"/>
  <c r="S6" i="4"/>
  <c r="Q6" i="4"/>
  <c r="O6" i="4"/>
  <c r="V6" i="4" l="1"/>
  <c r="O5" i="4"/>
  <c r="U5" i="4" l="1"/>
  <c r="S5" i="4"/>
  <c r="V5" i="4" l="1"/>
  <c r="U7" i="4"/>
  <c r="Q7" i="4"/>
  <c r="S7" i="4" l="1"/>
  <c r="V7" i="4" l="1"/>
  <c r="F18" i="5" l="1"/>
  <c r="O7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<sst xmlns="http://schemas.openxmlformats.org/spreadsheetml/2006/main" count="130" uniqueCount="109">
  <si>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</si>
  <si>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</si>
  <si>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</si>
  <si>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</si>
  <si>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</si>
  <si>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</si>
  <si>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</si>
  <si>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</si>
  <si>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</si>
  <si>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</si>
  <si>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</si>
  <si>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</si>
  <si>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</si>
  <si>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</si>
  <si>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</si>
  <si>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</si>
  <si>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</si>
  <si>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</si>
  <si>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</si>
  <si>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</si>
  <si>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</si>
  <si>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</si>
  <si>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</si>
  <si>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</si>
  <si>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</si>
  <si>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</si>
  <si>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</si>
  <si>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</si>
  <si>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</si>
  <si>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</si>
  <si>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</si>
  <si>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</si>
  <si>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</si>
  <si>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</si>
  <si>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</si>
  <si>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</si>
  <si>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</si>
  <si>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</si>
  <si>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</si>
  <si>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</si>
  <si>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</si>
  <si>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</si>
  <si>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</si>
  <si>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</si>
  <si>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</si>
  <si>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</si>
  <si>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</si>
  <si>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</si>
  <si>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</si>
  <si>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</si>
  <si>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</si>
  <si>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</si>
  <si>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</si>
  <si>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</si>
  <si>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</si>
  <si>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</si>
  <si>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</si>
  <si>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</si>
  <si>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</si>
  <si>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</si>
  <si>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</si>
  <si>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</si>
  <si>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</si>
  <si>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</si>
  <si>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</si>
  <si>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</si>
  <si>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</si>
  <si>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</si>
  <si>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</si>
  <si>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</si>
  <si>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</si>
  <si>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</si>
  <si>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</si>
  <si>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</si>
  <si>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</si>
  <si>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</si>
  <si>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</si>
  <si>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</si>
  <si>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</si>
  <si>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</si>
  <si>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</si>
  <si>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</si>
  <si>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</si>
  <si>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</si>
  <si>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</si>
  <si>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</si>
  <si>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</si>
  <si>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</si>
  <si>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</si>
  <si>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</si>
  <si>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</si>
  <si>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</si>
  <si>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</si>
  <si>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</si>
  <si>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</si>
  <si>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</si>
  <si>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</si>
  <si>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</si>
  <si>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</si>
  <si>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</si>
  <si>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</si>
  <si>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</si>
  <si>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</si>
  <si>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</si>
  <si>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</si>
  <si>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</si>
  <si>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</si>
  <si>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2-206 씽크대 상하부장 문짝교체</t>
    <phoneticPr fontId="12" type="noConversion"/>
  </si>
  <si>
    <t xml:space="preserve"> 견적일 : 2026년  01월  13일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</si>
</sst>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8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64722"/>
          <a:ext cx="1432560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N15" sqref="N15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20" t="s">
        <v>6</v>
      </c>
      <c r="B2" s="120"/>
      <c r="C2" s="120"/>
      <c r="D2" s="120"/>
      <c r="E2" s="120"/>
      <c r="F2" s="120"/>
      <c r="G2" s="120"/>
      <c r="H2" s="2"/>
    </row>
    <row r="3" spans="1:9" ht="13.5">
      <c r="A3" s="92"/>
      <c r="B3" s="92"/>
      <c r="C3" s="92"/>
      <c r="D3" s="92"/>
      <c r="E3" s="92"/>
      <c r="F3" s="92"/>
      <c r="G3" s="92"/>
      <c r="H3" s="92"/>
    </row>
    <row r="4" spans="1:9" ht="13.5">
      <c r="A4" s="92"/>
      <c r="B4" s="92"/>
      <c r="C4" s="92"/>
      <c r="D4" s="92"/>
      <c r="E4" s="92"/>
      <c r="H4" s="92"/>
    </row>
    <row r="5" spans="1:9" ht="27" customHeight="1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>
      <c r="A7" s="123" t="s">
        <v>107</v>
      </c>
      <c r="B7" s="124"/>
      <c r="C7" s="125"/>
      <c r="D7" s="92"/>
      <c r="E7" s="10"/>
      <c r="F7" s="11" t="s">
        <v>42</v>
      </c>
      <c r="G7" s="9" t="s">
        <v>70</v>
      </c>
      <c r="H7" s="92"/>
    </row>
    <row r="8" spans="1:9" ht="27" customHeight="1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>
      <c r="A9" s="123" t="s">
        <v>108</v>
      </c>
      <c r="B9" s="124"/>
      <c r="C9" s="125"/>
      <c r="D9" s="92"/>
      <c r="E9" s="92"/>
      <c r="F9" s="8" t="s">
        <v>44</v>
      </c>
      <c r="G9" s="9" t="s">
        <v>72</v>
      </c>
      <c r="H9" s="92"/>
    </row>
    <row r="10" spans="1:9" ht="27" customHeight="1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>
      <c r="A11" s="121"/>
      <c r="B11" s="122"/>
      <c r="C11" s="122"/>
      <c r="D11" s="92"/>
      <c r="E11" s="14"/>
      <c r="F11" s="15" t="s">
        <v>40</v>
      </c>
      <c r="G11" s="16" t="s">
        <v>74</v>
      </c>
      <c r="H11" s="14"/>
    </row>
    <row r="12" spans="1:9" ht="19.5" thickBot="1">
      <c r="A12" s="17" t="s">
        <v>7</v>
      </c>
      <c r="B12" s="17" t="str">
        <f>NUMBERSTRING(F31,1)</f>
        <v>일백일십사만오천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'내역서(표준단가)'!O7</f>
        <v>850000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1069321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>
      <c r="A26" s="29"/>
      <c r="B26" s="42" t="s">
        <v>32</v>
      </c>
      <c r="C26" s="49" t="s">
        <v>106</v>
      </c>
      <c r="D26" s="30">
        <v>1</v>
      </c>
      <c r="E26" s="30" t="s">
        <v>25</v>
      </c>
      <c r="F26" s="43">
        <f>(F16+F17)*3.11%</f>
        <v>33255.883099999999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14062.554030688751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75992.63464446376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1145313.6346444637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1145000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5.375" style="116" bestFit="1" customWidth="1"/>
    <col min="2" max="5" width="18.5" style="116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>
      <c r="A1" s="126"/>
      <c r="B1" s="126"/>
      <c r="C1" s="126"/>
      <c r="D1" s="126"/>
      <c r="E1" s="126"/>
      <c r="F1" s="126"/>
      <c r="G1" s="126"/>
      <c r="H1" s="126"/>
      <c r="I1" s="126"/>
      <c r="N1" s="67"/>
      <c r="O1" s="109" t="s">
        <v>82</v>
      </c>
      <c r="Q1" s="109" t="s">
        <v>82</v>
      </c>
      <c r="S1" s="109" t="s">
        <v>82</v>
      </c>
      <c r="U1" s="109" t="s">
        <v>82</v>
      </c>
    </row>
    <row r="2" spans="1:24" ht="19.899999999999999" customHeight="1" thickBot="1">
      <c r="A2" s="126"/>
      <c r="B2" s="126"/>
      <c r="C2" s="126"/>
      <c r="D2" s="126"/>
      <c r="E2" s="126"/>
      <c r="F2" s="126"/>
      <c r="G2" s="126"/>
      <c r="H2" s="126"/>
      <c r="I2" s="126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>
      <c r="A3" s="110"/>
      <c r="B3" s="110"/>
      <c r="C3" s="110"/>
      <c r="D3" s="110"/>
      <c r="E3" s="110"/>
      <c r="F3" s="110" t="s">
        <v>83</v>
      </c>
      <c r="G3" s="111"/>
      <c r="H3" s="111"/>
      <c r="I3" s="111"/>
      <c r="J3" s="137" t="s">
        <v>84</v>
      </c>
      <c r="K3" s="137"/>
      <c r="L3" s="135" t="s">
        <v>51</v>
      </c>
      <c r="M3" s="135" t="s">
        <v>5</v>
      </c>
      <c r="N3" s="131" t="s">
        <v>85</v>
      </c>
      <c r="O3" s="131"/>
      <c r="P3" s="131" t="s">
        <v>86</v>
      </c>
      <c r="Q3" s="131"/>
      <c r="R3" s="132" t="s">
        <v>87</v>
      </c>
      <c r="S3" s="132"/>
      <c r="T3" s="132" t="s">
        <v>88</v>
      </c>
      <c r="U3" s="132"/>
      <c r="V3" s="133" t="s">
        <v>89</v>
      </c>
      <c r="W3" s="129" t="s">
        <v>90</v>
      </c>
      <c r="X3" s="127" t="s">
        <v>45</v>
      </c>
    </row>
    <row r="4" spans="1:24" ht="19.899999999999999" customHeight="1">
      <c r="A4" s="70" t="s">
        <v>91</v>
      </c>
      <c r="B4" s="71"/>
      <c r="C4" s="71"/>
      <c r="D4" s="71"/>
      <c r="E4" s="71"/>
      <c r="F4" s="72" t="s">
        <v>92</v>
      </c>
      <c r="G4" s="72" t="s">
        <v>93</v>
      </c>
      <c r="H4" s="72" t="s">
        <v>94</v>
      </c>
      <c r="I4" s="72" t="s">
        <v>95</v>
      </c>
      <c r="J4" s="107" t="s">
        <v>96</v>
      </c>
      <c r="K4" s="107" t="s">
        <v>97</v>
      </c>
      <c r="L4" s="136"/>
      <c r="M4" s="136"/>
      <c r="N4" s="73" t="s">
        <v>98</v>
      </c>
      <c r="O4" s="74" t="s">
        <v>99</v>
      </c>
      <c r="P4" s="73" t="s">
        <v>100</v>
      </c>
      <c r="Q4" s="74" t="s">
        <v>99</v>
      </c>
      <c r="R4" s="74" t="s">
        <v>101</v>
      </c>
      <c r="S4" s="74" t="s">
        <v>99</v>
      </c>
      <c r="T4" s="74" t="s">
        <v>101</v>
      </c>
      <c r="U4" s="74" t="s">
        <v>99</v>
      </c>
      <c r="V4" s="134"/>
      <c r="W4" s="130"/>
      <c r="X4" s="128"/>
    </row>
    <row r="5" spans="1:24" s="112" customFormat="1" ht="38.1" customHeight="1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102</v>
      </c>
      <c r="J5" s="94" t="s">
        <v>103</v>
      </c>
      <c r="K5" s="95" t="s">
        <v>104</v>
      </c>
      <c r="L5" s="78" t="s">
        <v>105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>
      <c r="A6" s="75"/>
      <c r="B6" s="76"/>
      <c r="C6" s="76"/>
      <c r="D6" s="76"/>
      <c r="E6" s="76"/>
      <c r="F6" s="77"/>
      <c r="G6" s="81"/>
      <c r="H6" s="91"/>
      <c r="I6" s="77"/>
      <c r="J6" s="94" t="s">
        <v>75</v>
      </c>
      <c r="K6" s="95" t="s">
        <v>76</v>
      </c>
      <c r="L6" s="78" t="s">
        <v>77</v>
      </c>
      <c r="M6" s="105">
        <v>1</v>
      </c>
      <c r="N6" s="102">
        <v>850000</v>
      </c>
      <c r="O6" s="103">
        <f>M6*N6</f>
        <v>850000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850000</v>
      </c>
      <c r="W6" s="82"/>
      <c r="X6" s="80"/>
    </row>
    <row r="7" spans="1:24" s="114" customFormat="1" ht="38.1" customHeight="1">
      <c r="A7" s="113"/>
      <c r="B7" s="113"/>
      <c r="C7" s="113"/>
      <c r="D7" s="113"/>
      <c r="E7" s="113"/>
      <c r="J7" s="108"/>
      <c r="K7" s="108"/>
      <c r="O7" s="118">
        <f>SUM(O5:O6)</f>
        <v>850000</v>
      </c>
      <c r="Q7" s="118">
        <f>SUM(Q5:Q6)</f>
        <v>219321</v>
      </c>
      <c r="S7" s="115">
        <f>SUM(S5:S6)</f>
        <v>0</v>
      </c>
      <c r="U7" s="115">
        <f>SUM(U5:U6)</f>
        <v>0</v>
      </c>
      <c r="V7" s="119">
        <f>SUM(V5:V6)</f>
        <v>1069321</v>
      </c>
      <c r="W7" s="83"/>
    </row>
    <row r="11" spans="1:24" ht="38.1" customHeight="1">
      <c r="Q11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2" zoomScale="160" zoomScaleNormal="160" zoomScaleSheetLayoutView="85" workbookViewId="0">
      <selection activeCell="P22" sqref="P22"/>
    </sheetView>
  </sheetViews>
  <sheetFormatPr defaultColWidth="9" defaultRowHeight="13.5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9" sqref="H9"/>
    </sheetView>
  </sheetViews>
  <sheetFormatPr defaultColWidth="9" defaultRowHeight="13.5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>
      <c r="A2" s="67">
        <v>999999</v>
      </c>
      <c r="B2" s="67" t="s">
        <v>78</v>
      </c>
      <c r="C2" s="67" t="s">
        <v>79</v>
      </c>
      <c r="D2" s="67" t="s">
        <v>80</v>
      </c>
      <c r="E2" s="67" t="s">
        <v>81</v>
      </c>
      <c r="F2" s="87">
        <v>1</v>
      </c>
      <c r="G2" s="90">
        <v>850000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2026-01-13T05:24:35Z</dcterms:modified>
</cp:coreProperties>
</file>
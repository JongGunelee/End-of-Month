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5 사택 8-405 씽크대 상하부장 문짝교체\01 자료\"/>
    </mc:Choice>
  </mc:AlternateContent>
  <xr:revisionPtr revIDLastSave="0" documentId="13_ncr:1_{FA35D701-A414-4AC8-8270-788E33B398E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8" i="12" s="1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0" i="12" l="1"/>
  <c r="J30" i="12"/>
  <c r="V6" i="4"/>
  <c r="V5" i="4"/>
  <c r="U7" i="4"/>
  <c r="Q7" i="4"/>
  <c r="M32" i="12" l="1"/>
  <c r="B15" i="12" s="1"/>
  <c r="S7" i="4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<sst xmlns="http://schemas.openxmlformats.org/spreadsheetml/2006/main" count="143" uniqueCount="121">
  <si>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</si>
  <si>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</si>
  <si>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</si>
  <si>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</si>
  <si>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</si>
  <si>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</si>
  <si>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</si>
  <si>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</si>
  <si>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</si>
  <si>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</si>
  <si>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</si>
  <si>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</si>
  <si>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</si>
  <si>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</si>
  <si>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</si>
  <si>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</si>
  <si>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</si>
  <si>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</si>
  <si>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</si>
  <si>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</si>
  <si>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</si>
  <si>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</si>
  <si>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</si>
  <si>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</si>
  <si>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</si>
  <si>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</si>
  <si>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</si>
  <si>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</si>
  <si>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</si>
  <si>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</si>
  <si>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</si>
  <si>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</si>
  <si>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</si>
  <si>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</si>
  <si>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</si>
  <si>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</si>
  <si>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</si>
  <si>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</si>
  <si>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</si>
  <si>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</si>
  <si>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</si>
  <si>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</si>
  <si>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</si>
  <si>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</si>
  <si>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</si>
  <si>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</si>
  <si>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</si>
  <si>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</si>
  <si>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</si>
  <si>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</si>
  <si>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</si>
  <si>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</si>
  <si>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</si>
  <si>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</si>
  <si>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</si>
  <si>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</si>
  <si>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</si>
  <si>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</si>
  <si>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</si>
  <si>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</si>
  <si>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</si>
  <si>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</si>
  <si>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</si>
  <si>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</si>
  <si>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</si>
  <si>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</si>
  <si>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</si>
  <si>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</si>
  <si>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</si>
  <si>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</si>
  <si>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</si>
  <si>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</si>
  <si>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</si>
  <si>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</si>
  <si>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</si>
  <si>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</si>
  <si>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</si>
  <si>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</si>
  <si>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</si>
  <si>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</si>
  <si>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</si>
  <si>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</si>
  <si>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</si>
  <si>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</si>
  <si>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</si>
  <si>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</si>
  <si>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</si>
  <si>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</si>
  <si>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</si>
  <si>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</si>
  <si>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</si>
  <si>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</si>
  <si>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</si>
  <si>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</si>
  <si>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</si>
  <si>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</si>
  <si>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</si>
  <si>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</si>
  <si>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</si>
  <si>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</si>
  <si>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</si>
  <si>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</si>
  <si>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</si>
  <si>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</si>
  <si>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</si>
  <si>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</si>
  <si>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</si>
  <si>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</si>
  <si>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</si>
  <si>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</si>
  <si>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</si>
  <si>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</si>
  <si>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</si>
  <si>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</si>
  <si>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</si>
  <si>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</si>
  <si>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</si>
  <si>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</si>
  <si>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</si>
  <si>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8-405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</si>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</sst>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632E2A7C-3696-4537-94B9-7C75778B9D97}"/>
    <cellStyle name="쉼표 [0] 2 84" xfId="25" xr:uid="{6045F51A-2871-49BE-901E-2F7D8FEBB5C0}"/>
    <cellStyle name="쉼표 [0] 3" xfId="14" xr:uid="{8F7BE219-40E1-4BBB-A9BD-02188B74B2A3}"/>
    <cellStyle name="쉼표 [0] 4" xfId="22" xr:uid="{FEBC5A03-04B6-4FC7-9796-93F181E0F2C9}"/>
    <cellStyle name="쉼표 [0] 5" xfId="24" xr:uid="{F4920778-4992-44C1-A530-774A2C938ED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91C7F602-A9FC-42AA-80F5-8F7182F7577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7FCF4651-6457-4108-9DE5-45C56859ACE7}"/>
    <cellStyle name="표준_P456 공장 및 복지동 전면 유리창 청소건 라상혁님_1129(최종)" xfId="21" xr:uid="{E1F23819-01C1-4BEB-8798-86D209E60062}"/>
    <cellStyle name="표준_S&amp;D_MAIN VALVE_최빈_2" xfId="18" xr:uid="{384129F3-91B7-4026-B621-3F485C1BE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FEF53FB-2961-4CC6-9415-E27494743C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C5DB-18CF-4EEA-BDD3-59114E4416E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7" t="s">
        <v>55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119"/>
      <c r="H5" s="119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10" t="s">
        <v>57</v>
      </c>
      <c r="B7" s="211"/>
      <c r="C7" s="212"/>
      <c r="D7" s="120">
        <v>2025</v>
      </c>
      <c r="E7" s="70" t="s">
        <v>58</v>
      </c>
      <c r="F7" s="121">
        <v>6</v>
      </c>
      <c r="G7" s="70" t="s">
        <v>59</v>
      </c>
      <c r="H7" s="121">
        <v>26</v>
      </c>
      <c r="I7" s="70" t="s">
        <v>60</v>
      </c>
      <c r="J7" s="71"/>
      <c r="K7" s="213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6" t="s">
        <v>66</v>
      </c>
      <c r="B8" s="217"/>
      <c r="C8" s="218"/>
      <c r="D8" s="219" t="s">
        <v>67</v>
      </c>
      <c r="E8" s="220"/>
      <c r="F8" s="220"/>
      <c r="G8" s="221"/>
      <c r="H8" s="222" t="s">
        <v>68</v>
      </c>
      <c r="I8" s="220"/>
      <c r="J8" s="223"/>
      <c r="K8" s="214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6" t="s">
        <v>73</v>
      </c>
      <c r="B9" s="217"/>
      <c r="C9" s="218"/>
      <c r="D9" s="224" t="s">
        <v>74</v>
      </c>
      <c r="E9" s="225"/>
      <c r="F9" s="225"/>
      <c r="G9" s="225"/>
      <c r="H9" s="225"/>
      <c r="I9" s="225"/>
      <c r="J9" s="226"/>
      <c r="K9" s="214"/>
      <c r="L9" s="74" t="s">
        <v>75</v>
      </c>
      <c r="M9" s="227" t="s">
        <v>76</v>
      </c>
      <c r="N9" s="217"/>
      <c r="O9" s="218"/>
    </row>
    <row r="10" spans="1:15" ht="23.25" customHeight="1" thickBot="1" x14ac:dyDescent="0.35">
      <c r="A10" s="228" t="s">
        <v>77</v>
      </c>
      <c r="B10" s="229"/>
      <c r="C10" s="230"/>
      <c r="D10" s="231" t="s">
        <v>78</v>
      </c>
      <c r="E10" s="232"/>
      <c r="F10" s="232"/>
      <c r="G10" s="232"/>
      <c r="H10" s="232"/>
      <c r="I10" s="232"/>
      <c r="J10" s="233"/>
      <c r="K10" s="215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203" t="s">
        <v>119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6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8"/>
      <c r="L16" s="188"/>
      <c r="M16" s="188"/>
      <c r="N16" s="188"/>
      <c r="O16" s="189"/>
    </row>
    <row r="17" spans="1:17" ht="27.75" customHeight="1" thickBot="1" x14ac:dyDescent="0.35">
      <c r="A17" s="86" t="s">
        <v>84</v>
      </c>
      <c r="B17" s="196" t="s">
        <v>85</v>
      </c>
      <c r="C17" s="197"/>
      <c r="D17" s="197"/>
      <c r="E17" s="197"/>
      <c r="F17" s="197"/>
      <c r="G17" s="198"/>
      <c r="H17" s="87" t="s">
        <v>86</v>
      </c>
      <c r="I17" s="88" t="s">
        <v>87</v>
      </c>
      <c r="J17" s="199" t="s">
        <v>88</v>
      </c>
      <c r="K17" s="200"/>
      <c r="L17" s="200"/>
      <c r="M17" s="201"/>
      <c r="N17" s="196" t="s">
        <v>89</v>
      </c>
      <c r="O17" s="202"/>
    </row>
    <row r="18" spans="1:17" ht="28.5" customHeight="1" x14ac:dyDescent="0.3">
      <c r="A18" s="89">
        <v>1</v>
      </c>
      <c r="B18" s="190" t="s">
        <v>33</v>
      </c>
      <c r="C18" s="191"/>
      <c r="D18" s="191"/>
      <c r="E18" s="191"/>
      <c r="F18" s="191"/>
      <c r="G18" s="192"/>
      <c r="H18" s="122">
        <v>1</v>
      </c>
      <c r="I18" s="123" t="s">
        <v>6</v>
      </c>
      <c r="J18" s="193">
        <f>IFERROR(LOOKUP(2, 1/(TRIM('내역서(표준단가)'!O4:O100)&lt;&gt;""), '내역서(표준단가)'!O4:O100), "-")</f>
        <v>800000</v>
      </c>
      <c r="K18" s="193"/>
      <c r="L18" s="193"/>
      <c r="M18" s="193"/>
      <c r="N18" s="194"/>
      <c r="O18" s="195"/>
    </row>
    <row r="19" spans="1:17" ht="28.5" customHeight="1" x14ac:dyDescent="0.3">
      <c r="A19" s="90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219321</v>
      </c>
      <c r="K19" s="174"/>
      <c r="L19" s="174"/>
      <c r="M19" s="175"/>
      <c r="N19" s="176"/>
      <c r="O19" s="177"/>
    </row>
    <row r="20" spans="1:17" ht="28.5" customHeight="1" x14ac:dyDescent="0.3">
      <c r="A20" s="90">
        <v>3</v>
      </c>
      <c r="B20" s="178" t="s">
        <v>90</v>
      </c>
      <c r="C20" s="179"/>
      <c r="D20" s="179"/>
      <c r="E20" s="179"/>
      <c r="F20" s="179"/>
      <c r="G20" s="180"/>
      <c r="H20" s="91">
        <v>1</v>
      </c>
      <c r="I20" s="91" t="s">
        <v>6</v>
      </c>
      <c r="J20" s="181">
        <f>IFERROR(SUM(J21:M29),"-")</f>
        <v>60375.080613774997</v>
      </c>
      <c r="K20" s="182"/>
      <c r="L20" s="182"/>
      <c r="M20" s="183"/>
      <c r="N20" s="184"/>
      <c r="O20" s="185"/>
      <c r="P20" s="92"/>
    </row>
    <row r="21" spans="1:17" ht="28.5" customHeight="1" x14ac:dyDescent="0.3">
      <c r="A21" s="89"/>
      <c r="B21" s="93"/>
      <c r="C21" s="162" t="s">
        <v>91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92</v>
      </c>
      <c r="O21" s="169"/>
    </row>
    <row r="22" spans="1:17" ht="28.5" customHeight="1" x14ac:dyDescent="0.3">
      <c r="A22" s="89"/>
      <c r="B22" s="93"/>
      <c r="C22" s="156" t="s">
        <v>93</v>
      </c>
      <c r="D22" s="157"/>
      <c r="E22" s="157"/>
      <c r="F22" s="157"/>
      <c r="G22" s="158"/>
      <c r="H22" s="94">
        <v>3.11</v>
      </c>
      <c r="I22" s="94" t="s">
        <v>94</v>
      </c>
      <c r="J22" s="159">
        <f>IFERROR((J18+J19)*H22%,"-")</f>
        <v>31700.883099999999</v>
      </c>
      <c r="K22" s="160"/>
      <c r="L22" s="160"/>
      <c r="M22" s="161"/>
      <c r="N22" s="152" t="s">
        <v>95</v>
      </c>
      <c r="O22" s="153"/>
    </row>
    <row r="23" spans="1:17" ht="28.5" customHeight="1" x14ac:dyDescent="0.3">
      <c r="A23" s="89"/>
      <c r="B23" s="93"/>
      <c r="C23" s="156" t="s">
        <v>96</v>
      </c>
      <c r="D23" s="157"/>
      <c r="E23" s="157"/>
      <c r="F23" s="157"/>
      <c r="G23" s="158"/>
      <c r="H23" s="94">
        <v>3.56</v>
      </c>
      <c r="I23" s="94" t="s">
        <v>97</v>
      </c>
      <c r="J23" s="159">
        <f>IFERROR(J19*H23%,"-")</f>
        <v>7807.8275999999996</v>
      </c>
      <c r="K23" s="160"/>
      <c r="L23" s="160"/>
      <c r="M23" s="161"/>
      <c r="N23" s="152" t="s">
        <v>98</v>
      </c>
      <c r="O23" s="153"/>
    </row>
    <row r="24" spans="1:17" ht="28.5" customHeight="1" x14ac:dyDescent="0.3">
      <c r="A24" s="89"/>
      <c r="B24" s="93"/>
      <c r="C24" s="156" t="s">
        <v>99</v>
      </c>
      <c r="D24" s="157"/>
      <c r="E24" s="157"/>
      <c r="F24" s="157"/>
      <c r="G24" s="158"/>
      <c r="H24" s="94">
        <v>1.01</v>
      </c>
      <c r="I24" s="94" t="s">
        <v>97</v>
      </c>
      <c r="J24" s="159">
        <f>IFERROR(J19*H24%,"-")</f>
        <v>2215.1421</v>
      </c>
      <c r="K24" s="160"/>
      <c r="L24" s="160"/>
      <c r="M24" s="161"/>
      <c r="N24" s="152" t="s">
        <v>100</v>
      </c>
      <c r="O24" s="153"/>
    </row>
    <row r="25" spans="1:17" ht="28.5" customHeight="1" x14ac:dyDescent="0.3">
      <c r="A25" s="89"/>
      <c r="B25" s="93"/>
      <c r="C25" s="156" t="s">
        <v>101</v>
      </c>
      <c r="D25" s="157"/>
      <c r="E25" s="157"/>
      <c r="F25" s="157"/>
      <c r="G25" s="158"/>
      <c r="H25" s="95">
        <v>3.5449999999999999</v>
      </c>
      <c r="I25" s="94" t="s">
        <v>97</v>
      </c>
      <c r="J25" s="159">
        <f>IFERROR(J19*H25%,"-")</f>
        <v>7774.9294500000005</v>
      </c>
      <c r="K25" s="160"/>
      <c r="L25" s="160"/>
      <c r="M25" s="161"/>
      <c r="N25" s="152" t="s">
        <v>102</v>
      </c>
      <c r="O25" s="153"/>
      <c r="Q25" s="92"/>
    </row>
    <row r="26" spans="1:17" ht="28.5" customHeight="1" x14ac:dyDescent="0.3">
      <c r="A26" s="89"/>
      <c r="B26" s="93"/>
      <c r="C26" s="156" t="s">
        <v>103</v>
      </c>
      <c r="D26" s="157"/>
      <c r="E26" s="157"/>
      <c r="F26" s="157"/>
      <c r="G26" s="158"/>
      <c r="H26" s="94">
        <v>4.5</v>
      </c>
      <c r="I26" s="94" t="s">
        <v>97</v>
      </c>
      <c r="J26" s="159">
        <f>IFERROR(J19*H26%,"-")</f>
        <v>9869.4449999999997</v>
      </c>
      <c r="K26" s="160"/>
      <c r="L26" s="160"/>
      <c r="M26" s="161"/>
      <c r="N26" s="152" t="s">
        <v>104</v>
      </c>
      <c r="O26" s="153"/>
      <c r="Q26" s="96"/>
    </row>
    <row r="27" spans="1:17" ht="28.5" customHeight="1" x14ac:dyDescent="0.3">
      <c r="A27" s="89"/>
      <c r="B27" s="93"/>
      <c r="C27" s="146" t="s">
        <v>105</v>
      </c>
      <c r="D27" s="147"/>
      <c r="E27" s="147"/>
      <c r="F27" s="147"/>
      <c r="G27" s="148"/>
      <c r="H27" s="97">
        <v>12.95</v>
      </c>
      <c r="I27" s="98" t="s">
        <v>97</v>
      </c>
      <c r="J27" s="149">
        <f>IFERROR($H$27*J25%,"-")</f>
        <v>1006.853363775</v>
      </c>
      <c r="K27" s="150"/>
      <c r="L27" s="150"/>
      <c r="M27" s="151"/>
      <c r="N27" s="152" t="s">
        <v>106</v>
      </c>
      <c r="O27" s="153"/>
    </row>
    <row r="28" spans="1:17" ht="28.5" customHeight="1" x14ac:dyDescent="0.3">
      <c r="A28" s="89"/>
      <c r="B28" s="93"/>
      <c r="C28" s="146" t="s">
        <v>107</v>
      </c>
      <c r="D28" s="147"/>
      <c r="E28" s="147"/>
      <c r="F28" s="147"/>
      <c r="G28" s="148"/>
      <c r="H28" s="97">
        <v>8.1000000000000003E-2</v>
      </c>
      <c r="I28" s="98" t="s">
        <v>97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108</v>
      </c>
      <c r="O28" s="155"/>
    </row>
    <row r="29" spans="1:17" ht="28.5" customHeight="1" x14ac:dyDescent="0.3">
      <c r="A29" s="99"/>
      <c r="B29" s="100"/>
      <c r="C29" s="126" t="s">
        <v>109</v>
      </c>
      <c r="D29" s="127"/>
      <c r="E29" s="127"/>
      <c r="F29" s="127"/>
      <c r="G29" s="128"/>
      <c r="H29" s="101">
        <v>1</v>
      </c>
      <c r="I29" s="102" t="s">
        <v>110</v>
      </c>
      <c r="J29" s="129">
        <f>34*0</f>
        <v>0</v>
      </c>
      <c r="K29" s="130"/>
      <c r="L29" s="130"/>
      <c r="M29" s="131"/>
      <c r="N29" s="132" t="s">
        <v>111</v>
      </c>
      <c r="O29" s="133"/>
    </row>
    <row r="30" spans="1:17" ht="28.5" customHeight="1" x14ac:dyDescent="0.3">
      <c r="A30" s="99">
        <v>4</v>
      </c>
      <c r="B30" s="100"/>
      <c r="C30" s="126" t="s">
        <v>112</v>
      </c>
      <c r="D30" s="127"/>
      <c r="E30" s="127"/>
      <c r="F30" s="127"/>
      <c r="G30" s="128"/>
      <c r="H30" s="102">
        <v>5</v>
      </c>
      <c r="I30" s="103" t="s">
        <v>113</v>
      </c>
      <c r="J30" s="139">
        <f>IFERROR(IF(ISNUMBER(H30), SUM(J18:M20) * (H30 / 100), "-"), "-")</f>
        <v>53984.804030688749</v>
      </c>
      <c r="K30" s="140"/>
      <c r="L30" s="140"/>
      <c r="M30" s="141"/>
      <c r="N30" s="142" t="s">
        <v>114</v>
      </c>
      <c r="O30" s="143"/>
    </row>
    <row r="31" spans="1:17" ht="28.5" customHeight="1" thickBot="1" x14ac:dyDescent="0.35">
      <c r="A31" s="99">
        <v>5</v>
      </c>
      <c r="B31" s="100"/>
      <c r="C31" s="126" t="s">
        <v>115</v>
      </c>
      <c r="D31" s="127"/>
      <c r="E31" s="127"/>
      <c r="F31" s="127"/>
      <c r="G31" s="128"/>
      <c r="H31" s="102">
        <v>7.5</v>
      </c>
      <c r="I31" s="103" t="s">
        <v>97</v>
      </c>
      <c r="J31" s="129">
        <f>IFERROR(SUM(J18:M20, J30) * (H31 / 100), "-")+-43731</f>
        <v>41295.066348334774</v>
      </c>
      <c r="K31" s="130"/>
      <c r="L31" s="130"/>
      <c r="M31" s="131"/>
      <c r="N31" s="144" t="s">
        <v>116</v>
      </c>
      <c r="O31" s="145"/>
      <c r="Q31" s="104"/>
    </row>
    <row r="32" spans="1:17" ht="28.5" customHeight="1" thickBot="1" x14ac:dyDescent="0.35">
      <c r="A32" s="134" t="s">
        <v>117</v>
      </c>
      <c r="B32" s="135"/>
      <c r="C32" s="135"/>
      <c r="D32" s="135"/>
      <c r="E32" s="135"/>
      <c r="F32" s="135"/>
      <c r="G32" s="135"/>
      <c r="H32" s="135"/>
      <c r="I32" s="136"/>
      <c r="J32" s="105"/>
      <c r="K32" s="106"/>
      <c r="L32" s="106"/>
      <c r="M32" s="107">
        <f>IFERROR(ROUNDDOWN(SUM(J18:M20)+J30+J31,0),"-")</f>
        <v>1174975</v>
      </c>
      <c r="N32" s="137"/>
      <c r="O32" s="138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4"/>
      <c r="B1" s="234"/>
      <c r="C1" s="234"/>
      <c r="D1" s="234"/>
      <c r="E1" s="234"/>
      <c r="F1" s="234"/>
      <c r="G1" s="234"/>
      <c r="H1" s="234"/>
      <c r="I1" s="234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4"/>
      <c r="B2" s="234"/>
      <c r="C2" s="234"/>
      <c r="D2" s="234"/>
      <c r="E2" s="234"/>
      <c r="F2" s="234"/>
      <c r="G2" s="234"/>
      <c r="H2" s="234"/>
      <c r="I2" s="234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5" t="s">
        <v>32</v>
      </c>
      <c r="K3" s="245"/>
      <c r="L3" s="243" t="s">
        <v>12</v>
      </c>
      <c r="M3" s="243" t="s">
        <v>5</v>
      </c>
      <c r="N3" s="239" t="s">
        <v>33</v>
      </c>
      <c r="O3" s="239"/>
      <c r="P3" s="239" t="s">
        <v>34</v>
      </c>
      <c r="Q3" s="239"/>
      <c r="R3" s="240" t="s">
        <v>35</v>
      </c>
      <c r="S3" s="240"/>
      <c r="T3" s="240" t="s">
        <v>36</v>
      </c>
      <c r="U3" s="240"/>
      <c r="V3" s="241" t="s">
        <v>37</v>
      </c>
      <c r="W3" s="237" t="s">
        <v>38</v>
      </c>
      <c r="X3" s="235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4"/>
      <c r="M4" s="244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2"/>
      <c r="W4" s="238"/>
      <c r="X4" s="236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2025-06-26T01:08:04Z</dcterms:modified>
</cp:coreProperties>
</file>
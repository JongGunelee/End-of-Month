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현재_통합_문서"/>
  <xr:revisionPtr revIDLastSave="0" documentId="13_ncr:1_{D63DD26E-C40E-4B91-99C1-5A460A192518}" xr6:coauthVersionLast="47" xr6:coauthVersionMax="47" xr10:uidLastSave="{00000000-0000-0000-0000-000000000000}"/>
  <bookViews>
    <workbookView xWindow="2340" yWindow="675" windowWidth="14490" windowHeight="15525" xr2:uid="{00000000-000D-0000-FFFF-FFFF00000000}"/>
  </bookViews>
  <sheets>
    <sheet name="PR당사안" sheetId="12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6" i="9"/>
  <c r="Q5" i="9"/>
  <c r="J22" i="12" l="1"/>
  <c r="J24" i="12"/>
  <c r="J23" i="12"/>
  <c r="J26" i="12"/>
  <c r="J25" i="12"/>
  <c r="J27" i="12" s="1"/>
  <c r="F9" i="10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J28" i="12" l="1"/>
  <c r="J20" i="12" s="1"/>
  <c r="J30" i="12" s="1"/>
  <c r="Q5" i="4"/>
  <c r="O5" i="4"/>
  <c r="M5" i="4"/>
  <c r="K5" i="4"/>
  <c r="A5" i="4"/>
  <c r="A2" i="10" s="1"/>
  <c r="M32" i="12" l="1"/>
  <c r="B15" i="12" s="1"/>
  <c r="R5" i="4"/>
  <c r="H26" i="9" l="1"/>
  <c r="N26" i="9" s="1"/>
  <c r="Q12" i="4"/>
  <c r="O12" i="4"/>
  <c r="M12" i="4"/>
  <c r="K12" i="4"/>
  <c r="A12" i="4"/>
  <c r="A9" i="10" s="1"/>
  <c r="Q7" i="4"/>
  <c r="O7" i="4"/>
  <c r="M7" i="4"/>
  <c r="K7" i="4"/>
  <c r="A7" i="4"/>
  <c r="A4" i="10" s="1"/>
  <c r="Q6" i="4"/>
  <c r="O6" i="4"/>
  <c r="M6" i="4"/>
  <c r="K6" i="4"/>
  <c r="A6" i="4"/>
  <c r="A3" i="10" s="1"/>
  <c r="R6" i="4" l="1"/>
  <c r="R12" i="4"/>
  <c r="R7" i="4"/>
  <c r="F20" i="9" l="1"/>
  <c r="N20" i="9" s="1"/>
  <c r="K9" i="4"/>
  <c r="R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Q11" i="4" l="1"/>
  <c r="O11" i="4"/>
  <c r="M11" i="4"/>
  <c r="K11" i="4"/>
  <c r="Q10" i="4"/>
  <c r="O10" i="4"/>
  <c r="M10" i="4"/>
  <c r="K10" i="4"/>
  <c r="Q8" i="4"/>
  <c r="O8" i="4"/>
  <c r="M8" i="4"/>
  <c r="K8" i="4"/>
  <c r="M13" i="4" l="1"/>
  <c r="R8" i="4"/>
  <c r="R11" i="4"/>
  <c r="R10" i="4"/>
  <c r="Q13" i="4" l="1"/>
  <c r="K13" i="4"/>
  <c r="O13" i="4"/>
  <c r="R13" i="4" l="1"/>
</calcChain>
</file>

<file path=xl/sharedStrings.xml><?xml version="1.0" encoding="utf-8"?>
<sst xmlns="http://schemas.openxmlformats.org/spreadsheetml/2006/main" count="218" uniqueCount="169">
  <si>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</si>
  <si>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</si>
  <si>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</si>
  <si>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</si>
  <si>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</si>
  <si>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</si>
  <si>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</si>
  <si>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</si>
  <si>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</si>
  <si>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</si>
  <si>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</si>
  <si>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</si>
  <si>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</si>
  <si>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</si>
  <si>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</si>
  <si>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</si>
  <si>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</si>
  <si>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</si>
  <si>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</si>
  <si>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</si>
  <si>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</si>
  <si>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</si>
  <si>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</si>
  <si>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</si>
  <si>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</si>
  <si>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</si>
  <si>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</si>
  <si>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</si>
  <si>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</si>
  <si>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</si>
  <si>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</si>
  <si>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</si>
  <si>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</si>
  <si>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</si>
  <si>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</si>
  <si>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</si>
  <si>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</si>
  <si>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</si>
  <si>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</si>
  <si>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</si>
  <si>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</si>
  <si>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</si>
  <si>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</si>
  <si>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</si>
  <si>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</si>
  <si>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</si>
  <si>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</si>
  <si>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</si>
  <si>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</si>
  <si>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</si>
  <si>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</si>
  <si>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</si>
  <si>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</si>
  <si>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</si>
  <si>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</si>
  <si>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</si>
  <si>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</si>
  <si>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</si>
  <si>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</si>
  <si>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</si>
  <si>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</si>
  <si>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</si>
  <si>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</si>
  <si>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</si>
  <si>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</si>
  <si>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</si>
  <si>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</si>
  <si>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</si>
  <si>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</si>
  <si>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</si>
  <si>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</si>
  <si>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</si>
  <si>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</si>
  <si>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</si>
  <si>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</si>
  <si>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</si>
  <si>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</si>
  <si>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</si>
  <si>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</si>
  <si>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</si>
  <si>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</si>
  <si>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</si>
  <si>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</si>
  <si>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</si>
  <si>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</si>
  <si>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</si>
  <si>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전체면적</t>
    <phoneticPr fontId="6" type="noConversion"/>
  </si>
  <si>
    <t xml:space="preserve">준공청소(특별인부), </t>
    <phoneticPr fontId="12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</si>
  <si>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</si>
  <si>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</si>
  <si>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</si>
  <si>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</si>
  <si>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</si>
  <si>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</si>
  <si>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</si>
  <si>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6" type="noConversion"/>
  </si>
  <si>
    <t xml:space="preserve">일당 시공량-61㎡ 적산정보 500p 참조,시공총량61.8/일당61=0.0.8196, </t>
    <phoneticPr fontId="6" type="noConversion"/>
  </si>
  <si>
    <t>벽</t>
    <phoneticPr fontId="6" type="noConversion"/>
  </si>
  <si>
    <t>천정</t>
    <phoneticPr fontId="6" type="noConversion"/>
  </si>
  <si>
    <t>입주청소</t>
  </si>
  <si>
    <t>(바닥면적 ㎡당)</t>
  </si>
  <si>
    <t>사택 102-404 수장공사</t>
    <phoneticPr fontId="6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</si>
  <si>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소요량186/16.51=11.2658R/L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</si>
  <si>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</si>
  <si>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</si>
  <si>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</si>
  <si>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</si>
  <si>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</si>
  <si>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</si>
  <si>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</si>
  <si>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</si>
  <si>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</si>
  <si>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</si>
  <si>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</si>
  <si>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</si>
  <si>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</si>
  <si>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</si>
  <si>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</si>
  <si>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</si>
  <si>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</si>
  <si>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</si>
  <si>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</si>
  <si>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</si>
  <si>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</si>
  <si>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</si>
  <si>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</si>
  <si>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</si>
  <si>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</si>
  <si>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</si>
  <si>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</si>
  <si>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</si>
  <si>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</si>
  <si>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0" type="noConversion"/>
  </si>
  <si>
    <t>구          분</t>
    <phoneticPr fontId="40" type="noConversion"/>
  </si>
  <si>
    <t>수량</t>
    <phoneticPr fontId="40" type="noConversion"/>
  </si>
  <si>
    <t>단위</t>
    <phoneticPr fontId="40" type="noConversion"/>
  </si>
  <si>
    <t>금    액</t>
    <phoneticPr fontId="40" type="noConversion"/>
  </si>
  <si>
    <t>비    고</t>
    <phoneticPr fontId="40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</si>
  <si>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</si>
  <si>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</si>
  <si>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</si>
  <si>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</si>
  <si>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</si>
  <si>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</si>
  <si>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</si>
  <si>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</si>
  <si>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</si>
  <si>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</si>
  <si>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</si>
  <si>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</si>
  <si>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노무비*3.595%</t>
    <phoneticPr fontId="8" type="noConversion"/>
  </si>
  <si>
    <t>국민연금 보험료</t>
  </si>
  <si>
    <t>노무비*4.75%</t>
    <phoneticPr fontId="6" type="noConversion"/>
  </si>
  <si>
    <t>노인장기요양 보험료</t>
    <phoneticPr fontId="12" type="noConversion"/>
  </si>
  <si>
    <t>건강보험료*13.14%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</si>
  <si>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</si>
  <si>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</si>
  <si>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</si>
  <si>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</si>
  <si>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</si>
  <si>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</si>
  <si>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</si>
  <si>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</si>
  <si>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</si>
  <si>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</si>
  <si>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</si>
  <si>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</si>
  <si>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102-404 수장작업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</si>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</sst>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#,##0_);[Red]\(#,##0\)"/>
    <numFmt numFmtId="182" formatCode="#,##0_ "/>
    <numFmt numFmtId="183" formatCode="&quot;₩&quot;#,##0"/>
    <numFmt numFmtId="184" formatCode="0_);[Red]\(0\)"/>
    <numFmt numFmtId="185" formatCode="###,###,###,##0"/>
    <numFmt numFmtId="186" formatCode="#,##0.000_ "/>
    <numFmt numFmtId="187" formatCode="#"/>
    <numFmt numFmtId="188" formatCode="0.000_ "/>
    <numFmt numFmtId="189" formatCode="#,##0;\-#,##0;"/>
    <numFmt numFmtId="190" formatCode="0.000"/>
    <numFmt numFmtId="191" formatCode="0.0_);[Red]\(0.0\)"/>
    <numFmt numFmtId="192" formatCode="&quot;공사명:&quot;\ @"/>
  </numFmts>
  <fonts count="4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3" fillId="0" borderId="0"/>
    <xf numFmtId="178" fontId="13" fillId="0" borderId="0" applyFont="0" applyFill="0" applyBorder="0" applyAlignment="0" applyProtection="0"/>
    <xf numFmtId="176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7">
    <xf numFmtId="0" fontId="0" fillId="0" borderId="0" xfId="0">
      <alignment vertical="center"/>
    </xf>
    <xf numFmtId="0" fontId="14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 wrapText="1"/>
    </xf>
    <xf numFmtId="176" fontId="14" fillId="5" borderId="1" xfId="1" applyFont="1" applyFill="1" applyBorder="1" applyAlignment="1">
      <alignment horizontal="center" vertical="center" wrapText="1"/>
    </xf>
    <xf numFmtId="176" fontId="14" fillId="0" borderId="1" xfId="1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15" fillId="0" borderId="0" xfId="0" applyFont="1">
      <alignment vertical="center"/>
    </xf>
    <xf numFmtId="181" fontId="20" fillId="0" borderId="10" xfId="13" quotePrefix="1" applyNumberFormat="1" applyFont="1" applyBorder="1" applyAlignment="1">
      <alignment horizontal="center" vertical="center"/>
    </xf>
    <xf numFmtId="176" fontId="19" fillId="0" borderId="10" xfId="11" applyFont="1" applyBorder="1" applyAlignment="1">
      <alignment vertical="center"/>
    </xf>
    <xf numFmtId="183" fontId="19" fillId="0" borderId="10" xfId="11" applyNumberFormat="1" applyFont="1" applyBorder="1" applyAlignment="1">
      <alignment horizontal="center" vertical="center"/>
    </xf>
    <xf numFmtId="176" fontId="19" fillId="0" borderId="10" xfId="11" applyFont="1" applyBorder="1" applyAlignment="1">
      <alignment horizontal="center" vertical="center"/>
    </xf>
    <xf numFmtId="181" fontId="19" fillId="4" borderId="10" xfId="11" applyNumberFormat="1" applyFont="1" applyFill="1" applyBorder="1" applyAlignment="1">
      <alignment horizontal="right" vertical="center" wrapText="1"/>
    </xf>
    <xf numFmtId="183" fontId="19" fillId="10" borderId="10" xfId="11" applyNumberFormat="1" applyFont="1" applyFill="1" applyBorder="1" applyAlignment="1">
      <alignment horizontal="center" vertical="center"/>
    </xf>
    <xf numFmtId="176" fontId="19" fillId="10" borderId="10" xfId="11" applyFont="1" applyFill="1" applyBorder="1" applyAlignment="1">
      <alignment horizontal="center" vertical="center"/>
    </xf>
    <xf numFmtId="181" fontId="20" fillId="10" borderId="10" xfId="11" applyNumberFormat="1" applyFont="1" applyFill="1" applyBorder="1" applyAlignment="1">
      <alignment horizontal="right" vertical="center" wrapText="1"/>
    </xf>
    <xf numFmtId="181" fontId="20" fillId="10" borderId="10" xfId="11" applyNumberFormat="1" applyFont="1" applyFill="1" applyBorder="1" applyAlignment="1">
      <alignment horizontal="center" vertical="center" wrapText="1"/>
    </xf>
    <xf numFmtId="183" fontId="19" fillId="4" borderId="10" xfId="11" applyNumberFormat="1" applyFont="1" applyFill="1" applyBorder="1" applyAlignment="1">
      <alignment horizontal="center" vertical="center"/>
    </xf>
    <xf numFmtId="176" fontId="19" fillId="4" borderId="10" xfId="11" applyFont="1" applyFill="1" applyBorder="1" applyAlignment="1">
      <alignment horizontal="center" vertical="center"/>
    </xf>
    <xf numFmtId="183" fontId="20" fillId="10" borderId="10" xfId="11" applyNumberFormat="1" applyFont="1" applyFill="1" applyBorder="1" applyAlignment="1">
      <alignment horizontal="center" vertical="center"/>
    </xf>
    <xf numFmtId="176" fontId="20" fillId="10" borderId="10" xfId="11" applyFont="1" applyFill="1" applyBorder="1" applyAlignment="1">
      <alignment horizontal="center" vertical="center"/>
    </xf>
    <xf numFmtId="181" fontId="14" fillId="4" borderId="10" xfId="11" applyNumberFormat="1" applyFont="1" applyFill="1" applyBorder="1" applyAlignment="1">
      <alignment horizontal="center" vertical="center" wrapText="1"/>
    </xf>
    <xf numFmtId="184" fontId="19" fillId="10" borderId="10" xfId="11" applyNumberFormat="1" applyFont="1" applyFill="1" applyBorder="1" applyAlignment="1">
      <alignment horizontal="center" vertical="center"/>
    </xf>
    <xf numFmtId="181" fontId="19" fillId="10" borderId="10" xfId="11" applyNumberFormat="1" applyFont="1" applyFill="1" applyBorder="1" applyAlignment="1">
      <alignment horizontal="right" vertical="center" wrapText="1"/>
    </xf>
    <xf numFmtId="181" fontId="19" fillId="10" borderId="10" xfId="11" applyNumberFormat="1" applyFont="1" applyFill="1" applyBorder="1" applyAlignment="1">
      <alignment vertical="center" wrapText="1"/>
    </xf>
    <xf numFmtId="181" fontId="20" fillId="10" borderId="10" xfId="11" applyNumberFormat="1" applyFont="1" applyFill="1" applyBorder="1" applyAlignment="1">
      <alignment vertical="center" wrapText="1"/>
    </xf>
    <xf numFmtId="0" fontId="15" fillId="0" borderId="0" xfId="13" applyFont="1">
      <alignment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18" fillId="10" borderId="10" xfId="11" applyNumberFormat="1" applyFont="1" applyFill="1" applyBorder="1" applyAlignment="1">
      <alignment horizontal="center" vertical="center"/>
    </xf>
    <xf numFmtId="0" fontId="18" fillId="10" borderId="15" xfId="11" applyNumberFormat="1" applyFont="1" applyFill="1" applyBorder="1" applyAlignment="1">
      <alignment horizontal="center" vertical="center"/>
    </xf>
    <xf numFmtId="0" fontId="18" fillId="0" borderId="11" xfId="11" applyNumberFormat="1" applyFont="1" applyBorder="1" applyAlignment="1">
      <alignment vertical="center"/>
    </xf>
    <xf numFmtId="0" fontId="18" fillId="0" borderId="14" xfId="11" applyNumberFormat="1" applyFont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18" fillId="7" borderId="10" xfId="11" applyNumberFormat="1" applyFont="1" applyFill="1" applyBorder="1" applyAlignment="1">
      <alignment horizontal="center" vertical="center"/>
    </xf>
    <xf numFmtId="183" fontId="19" fillId="7" borderId="10" xfId="11" applyNumberFormat="1" applyFont="1" applyFill="1" applyBorder="1" applyAlignment="1">
      <alignment horizontal="center" vertical="center"/>
    </xf>
    <xf numFmtId="176" fontId="19" fillId="7" borderId="10" xfId="11" applyFont="1" applyFill="1" applyBorder="1" applyAlignment="1">
      <alignment horizontal="center" vertical="center"/>
    </xf>
    <xf numFmtId="181" fontId="20" fillId="7" borderId="10" xfId="11" applyNumberFormat="1" applyFont="1" applyFill="1" applyBorder="1" applyAlignment="1">
      <alignment horizontal="right" vertical="center" wrapText="1"/>
    </xf>
    <xf numFmtId="49" fontId="14" fillId="11" borderId="17" xfId="0" applyNumberFormat="1" applyFont="1" applyFill="1" applyBorder="1" applyAlignment="1">
      <alignment horizontal="center" vertical="center" wrapText="1"/>
    </xf>
    <xf numFmtId="187" fontId="14" fillId="6" borderId="17" xfId="1" applyNumberFormat="1" applyFont="1" applyFill="1" applyBorder="1" applyAlignment="1">
      <alignment horizontal="center" vertical="center"/>
    </xf>
    <xf numFmtId="187" fontId="14" fillId="0" borderId="17" xfId="1" applyNumberFormat="1" applyFont="1" applyBorder="1" applyAlignment="1">
      <alignment horizontal="center" vertical="center"/>
    </xf>
    <xf numFmtId="188" fontId="14" fillId="0" borderId="17" xfId="1" applyNumberFormat="1" applyFont="1" applyBorder="1" applyAlignment="1">
      <alignment horizontal="center" vertical="center"/>
    </xf>
    <xf numFmtId="187" fontId="15" fillId="0" borderId="0" xfId="1" applyNumberFormat="1" applyFont="1" applyAlignment="1">
      <alignment horizontal="center" vertical="center"/>
    </xf>
    <xf numFmtId="186" fontId="14" fillId="0" borderId="1" xfId="1" applyNumberFormat="1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185" fontId="14" fillId="4" borderId="1" xfId="0" applyNumberFormat="1" applyFont="1" applyFill="1" applyBorder="1" applyAlignment="1">
      <alignment horizontal="right" vertical="center" wrapText="1"/>
    </xf>
    <xf numFmtId="181" fontId="19" fillId="0" borderId="10" xfId="11" applyNumberFormat="1" applyFont="1" applyBorder="1" applyAlignment="1">
      <alignment horizontal="right" vertical="center" wrapText="1"/>
    </xf>
    <xf numFmtId="0" fontId="14" fillId="4" borderId="10" xfId="11" applyNumberFormat="1" applyFont="1" applyFill="1" applyBorder="1" applyAlignment="1">
      <alignment vertical="center"/>
    </xf>
    <xf numFmtId="181" fontId="19" fillId="0" borderId="10" xfId="11" applyNumberFormat="1" applyFont="1" applyFill="1" applyBorder="1" applyAlignment="1">
      <alignment horizontal="right" vertical="center" wrapText="1"/>
    </xf>
    <xf numFmtId="0" fontId="20" fillId="0" borderId="10" xfId="13" quotePrefix="1" applyFont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center" vertical="center"/>
    </xf>
    <xf numFmtId="49" fontId="19" fillId="4" borderId="10" xfId="0" applyNumberFormat="1" applyFont="1" applyFill="1" applyBorder="1" applyAlignment="1">
      <alignment horizontal="center" vertical="center"/>
    </xf>
    <xf numFmtId="189" fontId="14" fillId="4" borderId="1" xfId="0" applyNumberFormat="1" applyFont="1" applyFill="1" applyBorder="1" applyAlignment="1">
      <alignment horizontal="right" vertical="center" wrapText="1"/>
    </xf>
    <xf numFmtId="189" fontId="14" fillId="5" borderId="1" xfId="1" applyNumberFormat="1" applyFont="1" applyFill="1" applyBorder="1" applyAlignment="1">
      <alignment horizontal="right" vertical="center" wrapText="1"/>
    </xf>
    <xf numFmtId="189" fontId="14" fillId="0" borderId="1" xfId="1" applyNumberFormat="1" applyFont="1" applyFill="1" applyBorder="1" applyAlignment="1">
      <alignment horizontal="right" vertical="center" wrapText="1"/>
    </xf>
    <xf numFmtId="189" fontId="14" fillId="4" borderId="1" xfId="0" applyNumberFormat="1" applyFont="1" applyFill="1" applyBorder="1" applyAlignment="1">
      <alignment horizontal="right" vertical="center"/>
    </xf>
    <xf numFmtId="189" fontId="14" fillId="4" borderId="1" xfId="1" applyNumberFormat="1" applyFont="1" applyFill="1" applyBorder="1" applyAlignment="1">
      <alignment horizontal="right" vertical="center" wrapText="1"/>
    </xf>
    <xf numFmtId="190" fontId="14" fillId="4" borderId="1" xfId="1" applyNumberFormat="1" applyFont="1" applyFill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8" fillId="3" borderId="1" xfId="3" applyFont="1" applyFill="1" applyBorder="1" applyAlignment="1">
      <alignment horizontal="center" vertical="center" wrapText="1"/>
    </xf>
    <xf numFmtId="0" fontId="17" fillId="4" borderId="0" xfId="0" applyFont="1" applyFill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8" fillId="8" borderId="8" xfId="0" applyFont="1" applyFill="1" applyBorder="1">
      <alignment vertical="center"/>
    </xf>
    <xf numFmtId="0" fontId="18" fillId="8" borderId="5" xfId="0" applyFont="1" applyFill="1" applyBorder="1">
      <alignment vertical="center"/>
    </xf>
    <xf numFmtId="0" fontId="19" fillId="0" borderId="0" xfId="0" applyFont="1">
      <alignment vertical="center"/>
    </xf>
    <xf numFmtId="0" fontId="14" fillId="4" borderId="1" xfId="0" applyFont="1" applyFill="1" applyBorder="1">
      <alignment vertical="center"/>
    </xf>
    <xf numFmtId="0" fontId="17" fillId="12" borderId="0" xfId="0" applyFont="1" applyFill="1">
      <alignment vertical="center"/>
    </xf>
    <xf numFmtId="0" fontId="17" fillId="4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1" fillId="0" borderId="0" xfId="0" applyFont="1">
      <alignment vertical="center"/>
    </xf>
    <xf numFmtId="176" fontId="21" fillId="0" borderId="0" xfId="0" applyNumberFormat="1" applyFont="1">
      <alignment vertical="center"/>
    </xf>
    <xf numFmtId="0" fontId="17" fillId="0" borderId="0" xfId="0" applyFont="1">
      <alignment vertical="center"/>
    </xf>
    <xf numFmtId="0" fontId="18" fillId="4" borderId="0" xfId="0" applyFont="1" applyFill="1">
      <alignment vertical="center"/>
    </xf>
    <xf numFmtId="0" fontId="19" fillId="6" borderId="1" xfId="0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191" fontId="19" fillId="0" borderId="10" xfId="11" applyNumberFormat="1" applyFont="1" applyBorder="1" applyAlignment="1">
      <alignment horizontal="center" vertical="center"/>
    </xf>
    <xf numFmtId="191" fontId="19" fillId="9" borderId="10" xfId="11" applyNumberFormat="1" applyFont="1" applyFill="1" applyBorder="1" applyAlignment="1">
      <alignment horizontal="center" vertical="center"/>
    </xf>
    <xf numFmtId="191" fontId="20" fillId="7" borderId="10" xfId="11" applyNumberFormat="1" applyFont="1" applyFill="1" applyBorder="1" applyAlignment="1">
      <alignment horizontal="center" vertical="center"/>
    </xf>
    <xf numFmtId="191" fontId="19" fillId="0" borderId="10" xfId="11" applyNumberFormat="1" applyFont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 wrapText="1"/>
    </xf>
    <xf numFmtId="191" fontId="19" fillId="4" borderId="10" xfId="11" applyNumberFormat="1" applyFont="1" applyFill="1" applyBorder="1" applyAlignment="1">
      <alignment horizontal="center" vertical="center" wrapText="1"/>
    </xf>
    <xf numFmtId="191" fontId="20" fillId="10" borderId="10" xfId="11" applyNumberFormat="1" applyFont="1" applyFill="1" applyBorder="1" applyAlignment="1">
      <alignment horizontal="center" vertical="center"/>
    </xf>
    <xf numFmtId="191" fontId="19" fillId="4" borderId="10" xfId="11" applyNumberFormat="1" applyFont="1" applyFill="1" applyBorder="1" applyAlignment="1">
      <alignment horizontal="center" vertical="center"/>
    </xf>
    <xf numFmtId="191" fontId="15" fillId="0" borderId="0" xfId="0" applyNumberFormat="1" applyFont="1">
      <alignment vertical="center"/>
    </xf>
    <xf numFmtId="176" fontId="22" fillId="4" borderId="1" xfId="1" applyFont="1" applyFill="1" applyBorder="1" applyAlignment="1">
      <alignment horizontal="center" vertical="center"/>
    </xf>
    <xf numFmtId="176" fontId="23" fillId="4" borderId="1" xfId="1" applyFont="1" applyFill="1" applyBorder="1" applyAlignment="1">
      <alignment horizontal="right" vertical="center"/>
    </xf>
    <xf numFmtId="176" fontId="23" fillId="4" borderId="1" xfId="1" applyFont="1" applyFill="1" applyBorder="1" applyAlignment="1">
      <alignment vertical="center"/>
    </xf>
    <xf numFmtId="0" fontId="24" fillId="4" borderId="1" xfId="0" applyFont="1" applyFill="1" applyBorder="1" applyAlignment="1">
      <alignment horizontal="center" vertical="center"/>
    </xf>
    <xf numFmtId="0" fontId="23" fillId="4" borderId="1" xfId="0" applyFont="1" applyFill="1" applyBorder="1">
      <alignment vertical="center"/>
    </xf>
    <xf numFmtId="181" fontId="25" fillId="4" borderId="10" xfId="11" applyNumberFormat="1" applyFont="1" applyFill="1" applyBorder="1" applyAlignment="1">
      <alignment horizontal="right" vertical="center" wrapText="1"/>
    </xf>
    <xf numFmtId="181" fontId="25" fillId="0" borderId="10" xfId="11" applyNumberFormat="1" applyFont="1" applyFill="1" applyBorder="1" applyAlignment="1">
      <alignment horizontal="right" vertical="center" wrapText="1"/>
    </xf>
    <xf numFmtId="183" fontId="19" fillId="6" borderId="10" xfId="11" applyNumberFormat="1" applyFont="1" applyFill="1" applyBorder="1" applyAlignment="1">
      <alignment horizontal="center" vertical="center"/>
    </xf>
    <xf numFmtId="176" fontId="19" fillId="6" borderId="10" xfId="11" applyFont="1" applyFill="1" applyBorder="1" applyAlignment="1">
      <alignment horizontal="center" vertical="center"/>
    </xf>
    <xf numFmtId="191" fontId="19" fillId="6" borderId="10" xfId="11" applyNumberFormat="1" applyFont="1" applyFill="1" applyBorder="1" applyAlignment="1">
      <alignment horizontal="center" vertical="center"/>
    </xf>
    <xf numFmtId="181" fontId="25" fillId="6" borderId="10" xfId="11" applyNumberFormat="1" applyFont="1" applyFill="1" applyBorder="1" applyAlignment="1">
      <alignment horizontal="right" vertical="center" wrapText="1"/>
    </xf>
    <xf numFmtId="181" fontId="19" fillId="6" borderId="10" xfId="11" applyNumberFormat="1" applyFont="1" applyFill="1" applyBorder="1" applyAlignment="1">
      <alignment horizontal="right" vertical="center" wrapText="1"/>
    </xf>
    <xf numFmtId="0" fontId="28" fillId="0" borderId="0" xfId="18" applyFont="1">
      <alignment vertical="center"/>
    </xf>
    <xf numFmtId="0" fontId="27" fillId="0" borderId="21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30" fillId="0" borderId="21" xfId="17" applyFont="1" applyBorder="1" applyAlignment="1">
      <alignment horizontal="left" vertical="center"/>
    </xf>
    <xf numFmtId="0" fontId="31" fillId="0" borderId="0" xfId="17" applyFont="1" applyAlignment="1">
      <alignment vertical="center"/>
    </xf>
    <xf numFmtId="0" fontId="31" fillId="0" borderId="0" xfId="17" applyFont="1" applyAlignment="1">
      <alignment horizontal="left" vertical="center" textRotation="1"/>
    </xf>
    <xf numFmtId="0" fontId="32" fillId="0" borderId="0" xfId="17" applyFont="1" applyAlignment="1">
      <alignment horizontal="centerContinuous" vertical="center"/>
    </xf>
    <xf numFmtId="0" fontId="32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2"/>
    </xf>
    <xf numFmtId="0" fontId="28" fillId="0" borderId="9" xfId="17" applyFont="1" applyBorder="1" applyAlignment="1">
      <alignment vertical="center"/>
    </xf>
    <xf numFmtId="0" fontId="28" fillId="0" borderId="0" xfId="17" applyFont="1" applyAlignment="1">
      <alignment vertical="center"/>
    </xf>
    <xf numFmtId="0" fontId="32" fillId="0" borderId="22" xfId="17" applyFont="1" applyBorder="1" applyAlignment="1">
      <alignment horizontal="right" vertical="center"/>
    </xf>
    <xf numFmtId="0" fontId="33" fillId="0" borderId="21" xfId="17" applyFont="1" applyBorder="1" applyAlignment="1">
      <alignment vertical="center"/>
    </xf>
    <xf numFmtId="0" fontId="33" fillId="0" borderId="0" xfId="17" applyFont="1" applyAlignment="1">
      <alignment vertical="center"/>
    </xf>
    <xf numFmtId="0" fontId="32" fillId="0" borderId="0" xfId="17" applyFont="1" applyAlignment="1">
      <alignment horizontal="right" vertical="center"/>
    </xf>
    <xf numFmtId="0" fontId="33" fillId="0" borderId="22" xfId="17" applyFont="1" applyBorder="1" applyAlignment="1">
      <alignment vertical="center"/>
    </xf>
    <xf numFmtId="0" fontId="28" fillId="0" borderId="24" xfId="17" applyFont="1" applyBorder="1" applyAlignment="1">
      <alignment horizontal="center" vertical="center"/>
    </xf>
    <xf numFmtId="0" fontId="28" fillId="0" borderId="25" xfId="17" applyFont="1" applyBorder="1" applyAlignment="1">
      <alignment horizontal="center" vertical="center"/>
    </xf>
    <xf numFmtId="0" fontId="28" fillId="0" borderId="5" xfId="17" applyFont="1" applyBorder="1" applyAlignment="1">
      <alignment horizontal="center" vertical="center"/>
    </xf>
    <xf numFmtId="0" fontId="28" fillId="0" borderId="16" xfId="17" applyFont="1" applyBorder="1" applyAlignment="1">
      <alignment horizontal="center" vertical="center"/>
    </xf>
    <xf numFmtId="0" fontId="28" fillId="0" borderId="1" xfId="17" applyFont="1" applyBorder="1" applyAlignment="1">
      <alignment horizontal="center" vertical="center"/>
    </xf>
    <xf numFmtId="0" fontId="36" fillId="0" borderId="7" xfId="17" applyFont="1" applyBorder="1" applyAlignment="1">
      <alignment horizontal="center" vertical="center"/>
    </xf>
    <xf numFmtId="0" fontId="28" fillId="0" borderId="34" xfId="17" applyFont="1" applyBorder="1" applyAlignment="1">
      <alignment horizontal="center" vertical="center"/>
    </xf>
    <xf numFmtId="0" fontId="28" fillId="0" borderId="35" xfId="17" applyFont="1" applyBorder="1" applyAlignment="1">
      <alignment horizontal="center"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0" xfId="17" applyFont="1" applyAlignment="1">
      <alignment horizontal="left" vertical="center" indent="1"/>
    </xf>
    <xf numFmtId="0" fontId="32" fillId="0" borderId="0" xfId="17" applyFont="1" applyAlignment="1">
      <alignment vertical="center"/>
    </xf>
    <xf numFmtId="0" fontId="28" fillId="0" borderId="21" xfId="17" applyFont="1" applyBorder="1" applyAlignment="1">
      <alignment vertical="center"/>
    </xf>
    <xf numFmtId="0" fontId="28" fillId="0" borderId="22" xfId="17" applyFont="1" applyBorder="1" applyAlignment="1">
      <alignment vertical="center"/>
    </xf>
    <xf numFmtId="0" fontId="33" fillId="0" borderId="21" xfId="17" applyFont="1" applyBorder="1" applyAlignment="1">
      <alignment horizontal="left" vertical="center" indent="1"/>
    </xf>
    <xf numFmtId="0" fontId="38" fillId="0" borderId="0" xfId="17" applyFont="1" applyAlignment="1">
      <alignment vertical="center"/>
    </xf>
    <xf numFmtId="0" fontId="38" fillId="14" borderId="36" xfId="17" applyFont="1" applyFill="1" applyBorder="1" applyAlignment="1">
      <alignment horizontal="center" vertical="center"/>
    </xf>
    <xf numFmtId="0" fontId="38" fillId="14" borderId="37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0" fontId="28" fillId="0" borderId="41" xfId="17" applyFont="1" applyBorder="1" applyAlignment="1">
      <alignment horizontal="center" vertical="center"/>
    </xf>
    <xf numFmtId="0" fontId="28" fillId="0" borderId="45" xfId="17" applyFont="1" applyBorder="1" applyAlignment="1">
      <alignment horizontal="center" vertical="center"/>
    </xf>
    <xf numFmtId="0" fontId="28" fillId="0" borderId="12" xfId="20" applyFont="1" applyBorder="1" applyAlignment="1">
      <alignment horizontal="center" vertical="center"/>
    </xf>
    <xf numFmtId="176" fontId="28" fillId="0" borderId="0" xfId="18" applyNumberFormat="1" applyFont="1">
      <alignment vertical="center"/>
    </xf>
    <xf numFmtId="0" fontId="28" fillId="0" borderId="15" xfId="20" applyFont="1" applyBorder="1" applyAlignment="1">
      <alignment horizontal="left" vertical="center" wrapText="1" indent="1"/>
    </xf>
    <xf numFmtId="0" fontId="32" fillId="0" borderId="56" xfId="20" applyFont="1" applyBorder="1" applyAlignment="1">
      <alignment horizontal="center" vertical="center"/>
    </xf>
    <xf numFmtId="190" fontId="32" fillId="0" borderId="56" xfId="20" applyNumberFormat="1" applyFont="1" applyBorder="1" applyAlignment="1">
      <alignment horizontal="center" vertical="center"/>
    </xf>
    <xf numFmtId="177" fontId="28" fillId="0" borderId="0" xfId="18" applyNumberFormat="1" applyFont="1">
      <alignment vertical="center"/>
    </xf>
    <xf numFmtId="2" fontId="32" fillId="0" borderId="58" xfId="20" applyNumberFormat="1" applyFont="1" applyBorder="1" applyAlignment="1">
      <alignment horizontal="center" vertical="center"/>
    </xf>
    <xf numFmtId="0" fontId="32" fillId="0" borderId="61" xfId="20" applyFont="1" applyBorder="1" applyAlignment="1">
      <alignment horizontal="center" vertical="center"/>
    </xf>
    <xf numFmtId="0" fontId="28" fillId="0" borderId="63" xfId="17" applyFont="1" applyBorder="1" applyAlignment="1">
      <alignment horizontal="center" vertical="center"/>
    </xf>
    <xf numFmtId="0" fontId="28" fillId="0" borderId="14" xfId="20" applyFont="1" applyBorder="1" applyAlignment="1">
      <alignment horizontal="left" vertical="center" wrapText="1" indent="1"/>
    </xf>
    <xf numFmtId="1" fontId="32" fillId="0" borderId="64" xfId="20" applyNumberFormat="1" applyFont="1" applyBorder="1" applyAlignment="1">
      <alignment horizontal="center" vertical="center"/>
    </xf>
    <xf numFmtId="0" fontId="32" fillId="0" borderId="64" xfId="20" applyFont="1" applyBorder="1" applyAlignment="1">
      <alignment horizontal="center" vertical="center"/>
    </xf>
    <xf numFmtId="0" fontId="32" fillId="0" borderId="68" xfId="20" applyFont="1" applyBorder="1" applyAlignment="1">
      <alignment horizontal="center" vertical="center"/>
    </xf>
    <xf numFmtId="176" fontId="28" fillId="0" borderId="0" xfId="21" applyFont="1">
      <alignment vertical="center"/>
    </xf>
    <xf numFmtId="176" fontId="42" fillId="15" borderId="38" xfId="17" applyNumberFormat="1" applyFont="1" applyFill="1" applyBorder="1" applyAlignment="1">
      <alignment horizontal="right" vertical="center"/>
    </xf>
    <xf numFmtId="0" fontId="42" fillId="15" borderId="38" xfId="17" applyFont="1" applyFill="1" applyBorder="1" applyAlignment="1">
      <alignment horizontal="right" vertical="center"/>
    </xf>
    <xf numFmtId="176" fontId="42" fillId="15" borderId="70" xfId="21" applyFont="1" applyFill="1" applyBorder="1" applyAlignment="1">
      <alignment horizontal="right" vertical="center"/>
    </xf>
    <xf numFmtId="179" fontId="28" fillId="0" borderId="0" xfId="23" applyFont="1" applyAlignment="1">
      <alignment vertical="center"/>
    </xf>
    <xf numFmtId="49" fontId="32" fillId="0" borderId="21" xfId="17" applyNumberFormat="1" applyFont="1" applyBorder="1" applyAlignment="1">
      <alignment horizontal="left" vertical="center" indent="1"/>
    </xf>
    <xf numFmtId="49" fontId="28" fillId="0" borderId="0" xfId="17" applyNumberFormat="1" applyFont="1" applyAlignment="1">
      <alignment vertical="center"/>
    </xf>
    <xf numFmtId="49" fontId="28" fillId="0" borderId="22" xfId="17" applyNumberFormat="1" applyFont="1" applyBorder="1" applyAlignment="1">
      <alignment vertical="center"/>
    </xf>
    <xf numFmtId="49" fontId="28" fillId="0" borderId="21" xfId="17" applyNumberFormat="1" applyFont="1" applyBorder="1" applyAlignment="1">
      <alignment vertical="center"/>
    </xf>
    <xf numFmtId="0" fontId="33" fillId="0" borderId="0" xfId="20" applyFont="1" applyAlignment="1">
      <alignment horizontal="left" vertical="center"/>
    </xf>
    <xf numFmtId="0" fontId="33" fillId="0" borderId="22" xfId="20" applyFont="1" applyBorder="1" applyAlignment="1">
      <alignment horizontal="left" vertical="center"/>
    </xf>
    <xf numFmtId="49" fontId="28" fillId="0" borderId="72" xfId="17" applyNumberFormat="1" applyFont="1" applyBorder="1" applyAlignment="1">
      <alignment vertical="center"/>
    </xf>
    <xf numFmtId="49" fontId="28" fillId="0" borderId="73" xfId="17" applyNumberFormat="1" applyFont="1" applyBorder="1" applyAlignment="1">
      <alignment vertical="center"/>
    </xf>
    <xf numFmtId="49" fontId="28" fillId="0" borderId="74" xfId="17" applyNumberFormat="1" applyFont="1" applyBorder="1" applyAlignment="1">
      <alignment vertical="center"/>
    </xf>
    <xf numFmtId="0" fontId="33" fillId="0" borderId="9" xfId="17" applyFont="1" applyFill="1" applyBorder="1" applyAlignment="1">
      <alignment vertical="center"/>
    </xf>
    <xf numFmtId="0" fontId="28" fillId="0" borderId="9" xfId="17" applyFont="1" applyFill="1" applyBorder="1" applyAlignment="1">
      <alignment vertical="center"/>
    </xf>
    <xf numFmtId="0" fontId="28" fillId="0" borderId="23" xfId="17" applyFont="1" applyFill="1" applyBorder="1" applyAlignment="1">
      <alignment horizontal="right" vertical="center"/>
    </xf>
    <xf numFmtId="0" fontId="28" fillId="0" borderId="24" xfId="17" applyFont="1" applyFill="1" applyBorder="1" applyAlignment="1">
      <alignment horizontal="center" vertical="center"/>
    </xf>
    <xf numFmtId="0" fontId="28" fillId="0" borderId="42" xfId="20" applyFont="1" applyFill="1" applyBorder="1" applyAlignment="1">
      <alignment horizontal="center" vertical="center"/>
    </xf>
    <xf numFmtId="0" fontId="28" fillId="0" borderId="44" xfId="20" applyFont="1" applyFill="1" applyBorder="1" applyAlignment="1">
      <alignment horizontal="center" vertical="center"/>
    </xf>
    <xf numFmtId="0" fontId="28" fillId="0" borderId="11" xfId="20" applyFont="1" applyFill="1" applyBorder="1" applyAlignment="1">
      <alignment horizontal="center" vertical="center"/>
    </xf>
    <xf numFmtId="0" fontId="32" fillId="0" borderId="52" xfId="20" applyFont="1" applyFill="1" applyBorder="1" applyAlignment="1">
      <alignment horizontal="center" vertical="center"/>
    </xf>
    <xf numFmtId="0" fontId="32" fillId="0" borderId="64" xfId="20" applyFont="1" applyBorder="1" applyAlignment="1">
      <alignment horizontal="left" vertical="center" wrapText="1" indent="1"/>
    </xf>
    <xf numFmtId="0" fontId="32" fillId="0" borderId="65" xfId="20" applyFont="1" applyBorder="1" applyAlignment="1">
      <alignment horizontal="left" vertical="center" wrapText="1" indent="1"/>
    </xf>
    <xf numFmtId="0" fontId="32" fillId="0" borderId="66" xfId="20" applyFont="1" applyBorder="1" applyAlignment="1">
      <alignment horizontal="left" vertical="center" wrapText="1" indent="1"/>
    </xf>
    <xf numFmtId="176" fontId="28" fillId="0" borderId="64" xfId="21" applyFont="1" applyFill="1" applyBorder="1" applyAlignment="1">
      <alignment horizontal="right" vertical="center"/>
    </xf>
    <xf numFmtId="176" fontId="28" fillId="0" borderId="65" xfId="21" applyFont="1" applyFill="1" applyBorder="1" applyAlignment="1">
      <alignment horizontal="right" vertical="center"/>
    </xf>
    <xf numFmtId="176" fontId="28" fillId="0" borderId="66" xfId="21" applyFont="1" applyFill="1" applyBorder="1" applyAlignment="1">
      <alignment horizontal="right" vertical="center"/>
    </xf>
    <xf numFmtId="176" fontId="28" fillId="0" borderId="64" xfId="22" applyFont="1" applyFill="1" applyBorder="1" applyAlignment="1">
      <alignment horizontal="left" vertical="center"/>
    </xf>
    <xf numFmtId="176" fontId="28" fillId="0" borderId="67" xfId="22" applyFont="1" applyFill="1" applyBorder="1" applyAlignment="1">
      <alignment horizontal="left" vertical="center"/>
    </xf>
    <xf numFmtId="0" fontId="42" fillId="15" borderId="69" xfId="17" applyFont="1" applyFill="1" applyBorder="1" applyAlignment="1">
      <alignment horizontal="center" vertical="center"/>
    </xf>
    <xf numFmtId="0" fontId="42" fillId="15" borderId="38" xfId="17" applyFont="1" applyFill="1" applyBorder="1" applyAlignment="1">
      <alignment horizontal="center" vertical="center"/>
    </xf>
    <xf numFmtId="0" fontId="42" fillId="15" borderId="70" xfId="17" applyFont="1" applyFill="1" applyBorder="1" applyAlignment="1">
      <alignment horizontal="center" vertical="center"/>
    </xf>
    <xf numFmtId="9" fontId="42" fillId="15" borderId="71" xfId="2" applyFont="1" applyFill="1" applyBorder="1" applyAlignment="1">
      <alignment horizontal="center" vertical="center"/>
    </xf>
    <xf numFmtId="9" fontId="42" fillId="15" borderId="40" xfId="2" applyFont="1" applyFill="1" applyBorder="1" applyAlignment="1">
      <alignment horizontal="center" vertical="center"/>
    </xf>
    <xf numFmtId="176" fontId="28" fillId="0" borderId="12" xfId="21" applyFont="1" applyFill="1" applyBorder="1" applyAlignment="1">
      <alignment horizontal="right" vertical="center"/>
    </xf>
    <xf numFmtId="176" fontId="28" fillId="0" borderId="50" xfId="21" applyFont="1" applyFill="1" applyBorder="1" applyAlignment="1">
      <alignment horizontal="right" vertical="center"/>
    </xf>
    <xf numFmtId="176" fontId="28" fillId="0" borderId="13" xfId="21" applyFont="1" applyFill="1" applyBorder="1" applyAlignment="1">
      <alignment horizontal="right" vertical="center"/>
    </xf>
    <xf numFmtId="176" fontId="28" fillId="0" borderId="12" xfId="22" applyFont="1" applyFill="1" applyBorder="1" applyAlignment="1">
      <alignment horizontal="left" vertical="center"/>
    </xf>
    <xf numFmtId="176" fontId="28" fillId="0" borderId="51" xfId="22" applyFont="1" applyFill="1" applyBorder="1" applyAlignment="1">
      <alignment horizontal="left" vertical="center"/>
    </xf>
    <xf numFmtId="176" fontId="41" fillId="0" borderId="64" xfId="22" applyFont="1" applyBorder="1" applyAlignment="1">
      <alignment horizontal="left" vertical="center"/>
    </xf>
    <xf numFmtId="176" fontId="41" fillId="0" borderId="67" xfId="22" applyFont="1" applyBorder="1" applyAlignment="1">
      <alignment horizontal="left" vertical="center"/>
    </xf>
    <xf numFmtId="0" fontId="32" fillId="0" borderId="58" xfId="20" applyFont="1" applyBorder="1" applyAlignment="1">
      <alignment horizontal="left" vertical="center" wrapText="1" indent="1"/>
    </xf>
    <xf numFmtId="0" fontId="32" fillId="0" borderId="59" xfId="20" applyFont="1" applyBorder="1" applyAlignment="1">
      <alignment horizontal="left" vertical="center" wrapText="1" indent="1"/>
    </xf>
    <xf numFmtId="0" fontId="32" fillId="0" borderId="60" xfId="20" applyFont="1" applyBorder="1" applyAlignment="1">
      <alignment horizontal="left" vertical="center" wrapText="1" indent="1"/>
    </xf>
    <xf numFmtId="176" fontId="28" fillId="0" borderId="58" xfId="21" applyFont="1" applyFill="1" applyBorder="1" applyAlignment="1">
      <alignment horizontal="right" vertical="center"/>
    </xf>
    <xf numFmtId="176" fontId="28" fillId="0" borderId="59" xfId="21" applyFont="1" applyFill="1" applyBorder="1" applyAlignment="1">
      <alignment horizontal="right" vertical="center"/>
    </xf>
    <xf numFmtId="176" fontId="28" fillId="0" borderId="60" xfId="21" applyFont="1" applyFill="1" applyBorder="1" applyAlignment="1">
      <alignment horizontal="right" vertical="center"/>
    </xf>
    <xf numFmtId="176" fontId="28" fillId="0" borderId="56" xfId="22" applyFont="1" applyFill="1" applyBorder="1" applyAlignment="1">
      <alignment horizontal="left" vertical="center"/>
    </xf>
    <xf numFmtId="176" fontId="28" fillId="0" borderId="28" xfId="22" applyFont="1" applyFill="1" applyBorder="1" applyAlignment="1">
      <alignment horizontal="left" vertical="center"/>
    </xf>
    <xf numFmtId="176" fontId="28" fillId="0" borderId="58" xfId="22" applyFont="1" applyFill="1" applyBorder="1" applyAlignment="1">
      <alignment horizontal="left" vertical="center"/>
    </xf>
    <xf numFmtId="176" fontId="28" fillId="0" borderId="62" xfId="22" applyFont="1" applyFill="1" applyBorder="1" applyAlignment="1">
      <alignment horizontal="left" vertical="center"/>
    </xf>
    <xf numFmtId="0" fontId="32" fillId="0" borderId="56" xfId="20" applyFont="1" applyBorder="1" applyAlignment="1">
      <alignment horizontal="left" vertical="center" wrapText="1" indent="1"/>
    </xf>
    <xf numFmtId="0" fontId="32" fillId="0" borderId="3" xfId="20" applyFont="1" applyBorder="1" applyAlignment="1">
      <alignment horizontal="left" vertical="center" wrapText="1" indent="1"/>
    </xf>
    <xf numFmtId="0" fontId="32" fillId="0" borderId="57" xfId="20" applyFont="1" applyBorder="1" applyAlignment="1">
      <alignment horizontal="left" vertical="center" wrapText="1" indent="1"/>
    </xf>
    <xf numFmtId="176" fontId="28" fillId="0" borderId="56" xfId="21" applyFont="1" applyFill="1" applyBorder="1" applyAlignment="1">
      <alignment horizontal="right" vertical="center"/>
    </xf>
    <xf numFmtId="176" fontId="28" fillId="0" borderId="3" xfId="21" applyFont="1" applyFill="1" applyBorder="1" applyAlignment="1">
      <alignment horizontal="right" vertical="center"/>
    </xf>
    <xf numFmtId="176" fontId="28" fillId="0" borderId="57" xfId="21" applyFont="1" applyFill="1" applyBorder="1" applyAlignment="1">
      <alignment horizontal="right" vertical="center"/>
    </xf>
    <xf numFmtId="0" fontId="32" fillId="0" borderId="52" xfId="20" applyFont="1" applyFill="1" applyBorder="1" applyAlignment="1">
      <alignment horizontal="left" vertical="center" wrapText="1" indent="1"/>
    </xf>
    <xf numFmtId="0" fontId="32" fillId="0" borderId="53" xfId="20" applyFont="1" applyFill="1" applyBorder="1" applyAlignment="1">
      <alignment horizontal="left" vertical="center" wrapText="1" indent="1"/>
    </xf>
    <xf numFmtId="0" fontId="32" fillId="0" borderId="54" xfId="20" applyFont="1" applyFill="1" applyBorder="1" applyAlignment="1">
      <alignment horizontal="left" vertical="center" wrapText="1" indent="1"/>
    </xf>
    <xf numFmtId="176" fontId="28" fillId="0" borderId="52" xfId="21" applyFont="1" applyFill="1" applyBorder="1" applyAlignment="1">
      <alignment horizontal="right" vertical="center"/>
    </xf>
    <xf numFmtId="176" fontId="28" fillId="0" borderId="53" xfId="21" applyFont="1" applyFill="1" applyBorder="1" applyAlignment="1">
      <alignment horizontal="right" vertical="center"/>
    </xf>
    <xf numFmtId="176" fontId="28" fillId="0" borderId="54" xfId="21" applyFont="1" applyFill="1" applyBorder="1" applyAlignment="1">
      <alignment horizontal="right" vertical="center"/>
    </xf>
    <xf numFmtId="176" fontId="28" fillId="0" borderId="52" xfId="22" applyFont="1" applyBorder="1" applyAlignment="1">
      <alignment horizontal="left" vertical="center"/>
    </xf>
    <xf numFmtId="176" fontId="28" fillId="0" borderId="55" xfId="22" applyFont="1" applyBorder="1" applyAlignment="1">
      <alignment horizontal="left" vertical="center"/>
    </xf>
    <xf numFmtId="0" fontId="28" fillId="0" borderId="46" xfId="20" applyFont="1" applyFill="1" applyBorder="1" applyAlignment="1">
      <alignment horizontal="center" vertical="center" wrapText="1"/>
    </xf>
    <xf numFmtId="0" fontId="28" fillId="0" borderId="47" xfId="20" applyFont="1" applyFill="1" applyBorder="1" applyAlignment="1">
      <alignment horizontal="center" vertical="center" wrapText="1"/>
    </xf>
    <xf numFmtId="0" fontId="28" fillId="0" borderId="48" xfId="20" applyFont="1" applyFill="1" applyBorder="1" applyAlignment="1">
      <alignment horizontal="center" vertical="center" wrapText="1"/>
    </xf>
    <xf numFmtId="176" fontId="28" fillId="0" borderId="46" xfId="21" applyFont="1" applyFill="1" applyBorder="1" applyAlignment="1">
      <alignment horizontal="right" vertical="center"/>
    </xf>
    <xf numFmtId="176" fontId="28" fillId="0" borderId="47" xfId="21" applyFont="1" applyFill="1" applyBorder="1" applyAlignment="1">
      <alignment horizontal="right" vertical="center"/>
    </xf>
    <xf numFmtId="176" fontId="28" fillId="0" borderId="48" xfId="21" applyFont="1" applyFill="1" applyBorder="1" applyAlignment="1">
      <alignment horizontal="right" vertical="center"/>
    </xf>
    <xf numFmtId="176" fontId="28" fillId="0" borderId="46" xfId="22" applyFont="1" applyBorder="1" applyAlignment="1">
      <alignment horizontal="left" vertical="center"/>
    </xf>
    <xf numFmtId="176" fontId="28" fillId="0" borderId="49" xfId="22" applyFont="1" applyBorder="1" applyAlignment="1">
      <alignment horizontal="left" vertical="center"/>
    </xf>
    <xf numFmtId="0" fontId="28" fillId="0" borderId="46" xfId="20" applyFont="1" applyBorder="1" applyAlignment="1">
      <alignment horizontal="center" vertical="center" wrapText="1"/>
    </xf>
    <xf numFmtId="0" fontId="28" fillId="0" borderId="47" xfId="20" applyFont="1" applyBorder="1" applyAlignment="1">
      <alignment horizontal="center" vertical="center" wrapText="1"/>
    </xf>
    <xf numFmtId="0" fontId="28" fillId="0" borderId="48" xfId="20" applyFont="1" applyBorder="1" applyAlignment="1">
      <alignment horizontal="center" vertical="center" wrapText="1"/>
    </xf>
    <xf numFmtId="176" fontId="28" fillId="0" borderId="12" xfId="21" applyFont="1" applyBorder="1" applyAlignment="1">
      <alignment horizontal="center" vertical="center"/>
    </xf>
    <xf numFmtId="176" fontId="28" fillId="0" borderId="50" xfId="21" applyFont="1" applyBorder="1" applyAlignment="1">
      <alignment horizontal="center" vertical="center"/>
    </xf>
    <xf numFmtId="176" fontId="28" fillId="0" borderId="13" xfId="21" applyFont="1" applyBorder="1" applyAlignment="1">
      <alignment horizontal="center" vertical="center"/>
    </xf>
    <xf numFmtId="176" fontId="28" fillId="0" borderId="12" xfId="22" applyFont="1" applyBorder="1" applyAlignment="1">
      <alignment horizontal="left" vertical="center"/>
    </xf>
    <xf numFmtId="176" fontId="28" fillId="0" borderId="51" xfId="22" applyFont="1" applyBorder="1" applyAlignment="1">
      <alignment horizontal="left" vertical="center"/>
    </xf>
    <xf numFmtId="0" fontId="39" fillId="13" borderId="0" xfId="19" applyFont="1" applyFill="1" applyAlignment="1">
      <alignment horizontal="left" vertical="center"/>
    </xf>
    <xf numFmtId="0" fontId="39" fillId="13" borderId="22" xfId="19" applyFont="1" applyFill="1" applyBorder="1" applyAlignment="1">
      <alignment horizontal="left" vertical="center"/>
    </xf>
    <xf numFmtId="0" fontId="28" fillId="0" borderId="0" xfId="17" applyFont="1" applyAlignment="1">
      <alignment horizontal="right" vertical="center"/>
    </xf>
    <xf numFmtId="0" fontId="28" fillId="0" borderId="22" xfId="17" applyFont="1" applyBorder="1" applyAlignment="1">
      <alignment horizontal="right" vertical="center"/>
    </xf>
    <xf numFmtId="0" fontId="28" fillId="0" borderId="42" xfId="20" applyFont="1" applyFill="1" applyBorder="1" applyAlignment="1">
      <alignment horizontal="center" vertical="center" wrapText="1"/>
    </xf>
    <xf numFmtId="0" fontId="28" fillId="0" borderId="24" xfId="20" applyFont="1" applyFill="1" applyBorder="1" applyAlignment="1">
      <alignment horizontal="center" vertical="center" wrapText="1"/>
    </xf>
    <xf numFmtId="0" fontId="28" fillId="0" borderId="43" xfId="20" applyFont="1" applyFill="1" applyBorder="1" applyAlignment="1">
      <alignment horizontal="center" vertical="center" wrapText="1"/>
    </xf>
    <xf numFmtId="176" fontId="28" fillId="0" borderId="44" xfId="21" applyFont="1" applyFill="1" applyBorder="1" applyAlignment="1">
      <alignment horizontal="right" vertical="center"/>
    </xf>
    <xf numFmtId="176" fontId="28" fillId="0" borderId="42" xfId="20" applyNumberFormat="1" applyFont="1" applyBorder="1" applyAlignment="1">
      <alignment horizontal="left" vertical="center"/>
    </xf>
    <xf numFmtId="176" fontId="28" fillId="0" borderId="25" xfId="20" applyNumberFormat="1" applyFont="1" applyBorder="1" applyAlignment="1">
      <alignment horizontal="left" vertical="center"/>
    </xf>
    <xf numFmtId="0" fontId="38" fillId="14" borderId="37" xfId="17" applyFont="1" applyFill="1" applyBorder="1" applyAlignment="1">
      <alignment horizontal="center" vertical="center"/>
    </xf>
    <xf numFmtId="0" fontId="38" fillId="14" borderId="38" xfId="17" applyFont="1" applyFill="1" applyBorder="1" applyAlignment="1">
      <alignment horizontal="center" vertical="center"/>
    </xf>
    <xf numFmtId="0" fontId="38" fillId="14" borderId="39" xfId="17" applyFont="1" applyFill="1" applyBorder="1" applyAlignment="1">
      <alignment horizontal="center" vertical="center"/>
    </xf>
    <xf numFmtId="3" fontId="38" fillId="14" borderId="37" xfId="17" applyNumberFormat="1" applyFont="1" applyFill="1" applyBorder="1" applyAlignment="1">
      <alignment horizontal="center" vertical="center"/>
    </xf>
    <xf numFmtId="3" fontId="38" fillId="14" borderId="38" xfId="17" applyNumberFormat="1" applyFont="1" applyFill="1" applyBorder="1" applyAlignment="1">
      <alignment horizontal="center" vertical="center"/>
    </xf>
    <xf numFmtId="3" fontId="38" fillId="14" borderId="39" xfId="17" applyNumberFormat="1" applyFont="1" applyFill="1" applyBorder="1" applyAlignment="1">
      <alignment horizontal="center" vertical="center"/>
    </xf>
    <xf numFmtId="0" fontId="38" fillId="14" borderId="40" xfId="17" applyFont="1" applyFill="1" applyBorder="1" applyAlignment="1">
      <alignment horizontal="center" vertical="center"/>
    </xf>
    <xf numFmtId="192" fontId="37" fillId="13" borderId="0" xfId="17" applyNumberFormat="1" applyFont="1" applyFill="1" applyAlignment="1">
      <alignment horizontal="left" vertical="center"/>
    </xf>
    <xf numFmtId="0" fontId="27" fillId="0" borderId="18" xfId="17" applyFont="1" applyBorder="1" applyAlignment="1">
      <alignment horizontal="center"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9" fillId="0" borderId="21" xfId="17" applyFont="1" applyBorder="1" applyAlignment="1" applyProtection="1">
      <alignment horizontal="center" vertical="center"/>
      <protection locked="0"/>
    </xf>
    <xf numFmtId="0" fontId="29" fillId="0" borderId="0" xfId="17" applyFont="1" applyAlignment="1" applyProtection="1">
      <alignment horizontal="center" vertical="center"/>
      <protection locked="0"/>
    </xf>
    <xf numFmtId="0" fontId="29" fillId="0" borderId="22" xfId="17" applyFont="1" applyBorder="1" applyAlignment="1" applyProtection="1">
      <alignment horizontal="center" vertical="center"/>
      <protection locked="0"/>
    </xf>
    <xf numFmtId="0" fontId="28" fillId="9" borderId="23" xfId="17" applyFont="1" applyFill="1" applyBorder="1" applyAlignment="1">
      <alignment horizontal="center" vertical="center"/>
    </xf>
    <xf numFmtId="0" fontId="28" fillId="9" borderId="24" xfId="17" applyFont="1" applyFill="1" applyBorder="1" applyAlignment="1">
      <alignment horizontal="center" vertical="center"/>
    </xf>
    <xf numFmtId="0" fontId="28" fillId="9" borderId="25" xfId="17" applyFont="1" applyFill="1" applyBorder="1" applyAlignment="1">
      <alignment horizontal="center" vertical="center"/>
    </xf>
    <xf numFmtId="0" fontId="28" fillId="0" borderId="26" xfId="17" applyFont="1" applyBorder="1" applyAlignment="1">
      <alignment horizontal="center" vertical="center" wrapText="1"/>
    </xf>
    <xf numFmtId="0" fontId="28" fillId="0" borderId="29" xfId="17" applyFont="1" applyBorder="1" applyAlignment="1">
      <alignment horizontal="center" vertical="center"/>
    </xf>
    <xf numFmtId="0" fontId="28" fillId="0" borderId="33" xfId="17" applyFont="1" applyBorder="1" applyAlignment="1">
      <alignment horizontal="center" vertical="center"/>
    </xf>
    <xf numFmtId="0" fontId="28" fillId="0" borderId="27" xfId="17" applyFont="1" applyBorder="1" applyAlignment="1">
      <alignment horizontal="center" vertical="center"/>
    </xf>
    <xf numFmtId="0" fontId="28" fillId="0" borderId="3" xfId="17" applyFont="1" applyBorder="1" applyAlignment="1">
      <alignment horizontal="center" vertical="center"/>
    </xf>
    <xf numFmtId="0" fontId="28" fillId="0" borderId="28" xfId="17" applyFont="1" applyBorder="1" applyAlignment="1">
      <alignment horizontal="center" vertical="center"/>
    </xf>
    <xf numFmtId="0" fontId="35" fillId="0" borderId="27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3" fillId="0" borderId="4" xfId="17" applyFont="1" applyBorder="1" applyAlignment="1">
      <alignment horizontal="center" vertical="center"/>
    </xf>
    <xf numFmtId="0" fontId="35" fillId="0" borderId="2" xfId="17" applyFont="1" applyBorder="1" applyAlignment="1">
      <alignment horizontal="center" vertical="center"/>
    </xf>
    <xf numFmtId="0" fontId="33" fillId="0" borderId="28" xfId="17" applyFont="1" applyBorder="1" applyAlignment="1">
      <alignment horizontal="center" vertical="center"/>
    </xf>
    <xf numFmtId="0" fontId="28" fillId="0" borderId="27" xfId="17" applyFont="1" applyBorder="1" applyAlignment="1">
      <alignment horizontal="left" vertical="center" indent="1"/>
    </xf>
    <xf numFmtId="0" fontId="28" fillId="0" borderId="3" xfId="17" applyFont="1" applyBorder="1" applyAlignment="1">
      <alignment horizontal="left" vertical="center" indent="1"/>
    </xf>
    <xf numFmtId="0" fontId="28" fillId="0" borderId="28" xfId="17" applyFont="1" applyBorder="1" applyAlignment="1">
      <alignment horizontal="left" vertical="center" indent="1"/>
    </xf>
    <xf numFmtId="0" fontId="28" fillId="0" borderId="2" xfId="17" applyFont="1" applyBorder="1" applyAlignment="1">
      <alignment horizontal="center" vertical="center"/>
    </xf>
    <xf numFmtId="0" fontId="28" fillId="0" borderId="30" xfId="17" applyFont="1" applyBorder="1" applyAlignment="1">
      <alignment horizontal="center" vertical="center"/>
    </xf>
    <xf numFmtId="0" fontId="28" fillId="0" borderId="31" xfId="17" applyFont="1" applyBorder="1" applyAlignment="1">
      <alignment horizontal="center" vertical="center"/>
    </xf>
    <xf numFmtId="0" fontId="28" fillId="0" borderId="32" xfId="17" applyFont="1" applyBorder="1" applyAlignment="1">
      <alignment horizontal="center" vertical="center"/>
    </xf>
    <xf numFmtId="0" fontId="28" fillId="0" borderId="30" xfId="17" applyFont="1" applyBorder="1" applyAlignment="1">
      <alignment horizontal="left" vertical="center" indent="1"/>
    </xf>
    <xf numFmtId="0" fontId="28" fillId="0" borderId="31" xfId="17" applyFont="1" applyBorder="1" applyAlignment="1">
      <alignment horizontal="left" vertical="center" indent="1"/>
    </xf>
    <xf numFmtId="0" fontId="28" fillId="0" borderId="32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 wrapText="1"/>
    </xf>
    <xf numFmtId="182" fontId="18" fillId="10" borderId="12" xfId="11" applyNumberFormat="1" applyFont="1" applyFill="1" applyBorder="1" applyAlignment="1">
      <alignment vertical="center"/>
    </xf>
    <xf numFmtId="182" fontId="20" fillId="10" borderId="13" xfId="11" applyNumberFormat="1" applyFont="1" applyFill="1" applyBorder="1" applyAlignment="1">
      <alignment vertical="center"/>
    </xf>
    <xf numFmtId="0" fontId="16" fillId="0" borderId="9" xfId="13" applyFont="1" applyBorder="1" applyAlignment="1">
      <alignment horizontal="center" vertical="center"/>
    </xf>
    <xf numFmtId="0" fontId="18" fillId="0" borderId="10" xfId="13" quotePrefix="1" applyFont="1" applyBorder="1" applyAlignment="1">
      <alignment horizontal="center" vertical="center"/>
    </xf>
    <xf numFmtId="0" fontId="20" fillId="0" borderId="10" xfId="13" quotePrefix="1" applyFont="1" applyBorder="1" applyAlignment="1">
      <alignment horizontal="center" vertical="center"/>
    </xf>
    <xf numFmtId="0" fontId="20" fillId="0" borderId="11" xfId="13" quotePrefix="1" applyFont="1" applyBorder="1" applyAlignment="1">
      <alignment horizontal="center" vertical="center"/>
    </xf>
    <xf numFmtId="0" fontId="20" fillId="0" borderId="14" xfId="13" quotePrefix="1" applyFont="1" applyBorder="1" applyAlignment="1">
      <alignment horizontal="center" vertical="center"/>
    </xf>
    <xf numFmtId="0" fontId="20" fillId="0" borderId="10" xfId="13" applyFont="1" applyBorder="1" applyAlignment="1">
      <alignment horizontal="center" vertical="center"/>
    </xf>
    <xf numFmtId="0" fontId="20" fillId="0" borderId="12" xfId="13" quotePrefix="1" applyFont="1" applyBorder="1" applyAlignment="1">
      <alignment horizontal="center" vertical="center"/>
    </xf>
    <xf numFmtId="0" fontId="20" fillId="0" borderId="13" xfId="13" quotePrefix="1" applyFont="1" applyBorder="1" applyAlignment="1">
      <alignment horizontal="center" vertical="center"/>
    </xf>
    <xf numFmtId="0" fontId="20" fillId="0" borderId="11" xfId="13" applyFont="1" applyBorder="1" applyAlignment="1">
      <alignment horizontal="center" vertical="center"/>
    </xf>
    <xf numFmtId="0" fontId="20" fillId="0" borderId="14" xfId="13" applyFont="1" applyBorder="1" applyAlignment="1">
      <alignment horizontal="center" vertical="center"/>
    </xf>
    <xf numFmtId="181" fontId="14" fillId="0" borderId="11" xfId="11" applyNumberFormat="1" applyFont="1" applyBorder="1" applyAlignment="1">
      <alignment horizontal="center" vertical="center" wrapText="1"/>
    </xf>
    <xf numFmtId="181" fontId="14" fillId="0" borderId="15" xfId="11" applyNumberFormat="1" applyFont="1" applyBorder="1" applyAlignment="1">
      <alignment horizontal="center" vertical="center" wrapText="1"/>
    </xf>
    <xf numFmtId="0" fontId="14" fillId="9" borderId="15" xfId="11" applyNumberFormat="1" applyFont="1" applyFill="1" applyBorder="1" applyAlignment="1">
      <alignment vertical="center"/>
    </xf>
    <xf numFmtId="0" fontId="14" fillId="9" borderId="14" xfId="11" applyNumberFormat="1" applyFont="1" applyFill="1" applyBorder="1" applyAlignment="1">
      <alignment vertical="center"/>
    </xf>
    <xf numFmtId="181" fontId="14" fillId="0" borderId="14" xfId="11" applyNumberFormat="1" applyFont="1" applyBorder="1" applyAlignment="1">
      <alignment horizontal="center" vertical="center" wrapText="1"/>
    </xf>
    <xf numFmtId="0" fontId="14" fillId="0" borderId="10" xfId="11" applyNumberFormat="1" applyFont="1" applyBorder="1" applyAlignment="1">
      <alignment vertical="center"/>
    </xf>
    <xf numFmtId="0" fontId="14" fillId="0" borderId="11" xfId="11" applyNumberFormat="1" applyFont="1" applyBorder="1" applyAlignment="1">
      <alignment vertical="center"/>
    </xf>
    <xf numFmtId="0" fontId="14" fillId="0" borderId="15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918A7AE1-66D1-4460-A688-BCF355A1E9E7}"/>
    <cellStyle name="쉼표 [0] 2 84" xfId="24" xr:uid="{CF0DAD44-F862-4190-83D8-E435A580C50F}"/>
    <cellStyle name="쉼표 [0] 3" xfId="14" xr:uid="{8F7BE219-40E1-4BBB-A9BD-02188B74B2A3}"/>
    <cellStyle name="쉼표 [0] 4" xfId="21" xr:uid="{F7F1D5ED-9982-4DA5-9D90-FEEEDB5C6357}"/>
    <cellStyle name="쉼표 [0] 5" xfId="23" xr:uid="{E18E8AB9-6EA8-482A-B173-7D1A9FB08957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70711257-C8F2-430B-A35C-EFDC0D8FB730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189E3918-3781-4CCA-A723-750EB94B4654}"/>
    <cellStyle name="표준_P456 공장 및 복지동 전면 유리창 청소건 라상혁님_1129(최종)" xfId="20" xr:uid="{024922E6-4C44-46DF-829B-9630078011FF}"/>
    <cellStyle name="표준_S&amp;D_MAIN VALVE_최빈_2" xfId="17" xr:uid="{5FA608FF-0322-474D-9EE3-F001333D0D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99117B7-7963-4152-AE34-66BDDB5C00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4A4CF77-BE41-42B6-A3B6-8A24D4DAEAEF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9382-21DA-44EF-BA66-555D606D889D}">
  <sheetPr>
    <tabColor rgb="FF0000FF"/>
  </sheetPr>
  <dimension ref="A1:Q43"/>
  <sheetViews>
    <sheetView tabSelected="1" view="pageBreakPreview" topLeftCell="A15" zoomScale="85" zoomScaleNormal="85" zoomScaleSheetLayoutView="85" workbookViewId="0">
      <selection activeCell="J18" sqref="J18:M18"/>
    </sheetView>
  </sheetViews>
  <sheetFormatPr defaultRowHeight="14.25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>
      <c r="A3" s="258" t="s">
        <v>103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>
      <c r="A4" s="108" t="s">
        <v>104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>
      <c r="A5" s="113"/>
      <c r="B5" s="169" t="s">
        <v>168</v>
      </c>
      <c r="C5" s="169"/>
      <c r="D5" s="169"/>
      <c r="E5" s="169"/>
      <c r="F5" s="169"/>
      <c r="G5" s="170"/>
      <c r="H5" s="170"/>
      <c r="I5" s="114"/>
      <c r="J5" s="114"/>
      <c r="K5" s="114"/>
      <c r="L5" s="114"/>
      <c r="M5" s="115"/>
      <c r="N5" s="115"/>
      <c r="O5" s="116"/>
    </row>
    <row r="6" spans="1:15" ht="12" customHeight="1" thickBot="1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>
      <c r="A7" s="261" t="s">
        <v>105</v>
      </c>
      <c r="B7" s="262"/>
      <c r="C7" s="263"/>
      <c r="D7" s="171">
        <v>2026</v>
      </c>
      <c r="E7" s="121" t="s">
        <v>106</v>
      </c>
      <c r="F7" s="172">
        <v>7</v>
      </c>
      <c r="G7" s="121" t="s">
        <v>107</v>
      </c>
      <c r="H7" s="172">
        <v>10</v>
      </c>
      <c r="I7" s="121" t="s">
        <v>108</v>
      </c>
      <c r="J7" s="122"/>
      <c r="K7" s="264" t="s">
        <v>109</v>
      </c>
      <c r="L7" s="123" t="s">
        <v>110</v>
      </c>
      <c r="M7" s="123" t="s">
        <v>111</v>
      </c>
      <c r="N7" s="123" t="s">
        <v>112</v>
      </c>
      <c r="O7" s="124" t="s">
        <v>113</v>
      </c>
    </row>
    <row r="8" spans="1:15" ht="23.25" customHeight="1">
      <c r="A8" s="267" t="s">
        <v>114</v>
      </c>
      <c r="B8" s="268"/>
      <c r="C8" s="269"/>
      <c r="D8" s="270" t="s">
        <v>115</v>
      </c>
      <c r="E8" s="271"/>
      <c r="F8" s="271"/>
      <c r="G8" s="272"/>
      <c r="H8" s="273" t="s">
        <v>116</v>
      </c>
      <c r="I8" s="271"/>
      <c r="J8" s="274"/>
      <c r="K8" s="265"/>
      <c r="L8" s="125" t="s">
        <v>117</v>
      </c>
      <c r="M8" s="125" t="s">
        <v>118</v>
      </c>
      <c r="N8" s="125" t="s">
        <v>119</v>
      </c>
      <c r="O8" s="126" t="s">
        <v>120</v>
      </c>
    </row>
    <row r="9" spans="1:15" ht="23.25" customHeight="1">
      <c r="A9" s="267" t="s">
        <v>121</v>
      </c>
      <c r="B9" s="268"/>
      <c r="C9" s="269"/>
      <c r="D9" s="275" t="s">
        <v>122</v>
      </c>
      <c r="E9" s="276"/>
      <c r="F9" s="276"/>
      <c r="G9" s="276"/>
      <c r="H9" s="276"/>
      <c r="I9" s="276"/>
      <c r="J9" s="277"/>
      <c r="K9" s="265"/>
      <c r="L9" s="125" t="s">
        <v>123</v>
      </c>
      <c r="M9" s="278" t="s">
        <v>124</v>
      </c>
      <c r="N9" s="268"/>
      <c r="O9" s="269"/>
    </row>
    <row r="10" spans="1:15" ht="23.25" customHeight="1" thickBot="1">
      <c r="A10" s="279" t="s">
        <v>125</v>
      </c>
      <c r="B10" s="280"/>
      <c r="C10" s="281"/>
      <c r="D10" s="282" t="s">
        <v>126</v>
      </c>
      <c r="E10" s="283"/>
      <c r="F10" s="283"/>
      <c r="G10" s="283"/>
      <c r="H10" s="283"/>
      <c r="I10" s="283"/>
      <c r="J10" s="284"/>
      <c r="K10" s="266"/>
      <c r="L10" s="127" t="s">
        <v>127</v>
      </c>
      <c r="M10" s="127" t="s">
        <v>128</v>
      </c>
      <c r="N10" s="127" t="s">
        <v>129</v>
      </c>
      <c r="O10" s="128" t="s">
        <v>130</v>
      </c>
    </row>
    <row r="11" spans="1:15" ht="21.75" customHeight="1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>
      <c r="A13" s="135"/>
      <c r="B13" s="254" t="s">
        <v>167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36" t="s">
        <v>131</v>
      </c>
      <c r="O13" s="134"/>
    </row>
    <row r="14" spans="1:15" ht="9" customHeight="1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>
      <c r="A15" s="135"/>
      <c r="B15" s="237" t="str">
        <f>"견 적 금 액 : 一金"&amp;NUMBERSTRING(M32,1) &amp; "원정""(\"&amp; TEXT(M32,"#,###")&amp;"원) [VAT 별도]"</f>
        <v>견 적 금 액 : 一金사백팔십팔만일천오백칠십오원정"(\4,881,575원)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9"/>
      <c r="L16" s="239"/>
      <c r="M16" s="239"/>
      <c r="N16" s="239"/>
      <c r="O16" s="240"/>
    </row>
    <row r="17" spans="1:17" ht="27.75" customHeight="1" thickBot="1">
      <c r="A17" s="137" t="s">
        <v>132</v>
      </c>
      <c r="B17" s="247" t="s">
        <v>133</v>
      </c>
      <c r="C17" s="248"/>
      <c r="D17" s="248"/>
      <c r="E17" s="248"/>
      <c r="F17" s="248"/>
      <c r="G17" s="249"/>
      <c r="H17" s="138" t="s">
        <v>134</v>
      </c>
      <c r="I17" s="139" t="s">
        <v>135</v>
      </c>
      <c r="J17" s="250" t="s">
        <v>136</v>
      </c>
      <c r="K17" s="251"/>
      <c r="L17" s="251"/>
      <c r="M17" s="252"/>
      <c r="N17" s="247" t="s">
        <v>137</v>
      </c>
      <c r="O17" s="253"/>
    </row>
    <row r="18" spans="1:17" ht="28.5" customHeight="1">
      <c r="A18" s="140">
        <v>1</v>
      </c>
      <c r="B18" s="241" t="s">
        <v>42</v>
      </c>
      <c r="C18" s="242"/>
      <c r="D18" s="242"/>
      <c r="E18" s="242"/>
      <c r="F18" s="242"/>
      <c r="G18" s="243"/>
      <c r="H18" s="173">
        <v>1</v>
      </c>
      <c r="I18" s="174" t="s">
        <v>1</v>
      </c>
      <c r="J18" s="244">
        <f>IFERROR(LOOKUP(2, 1/(TRIM('내역서(표준단가)'!K4:K100)&lt;&gt;""), '내역서(표준단가)'!K4:K100), "-")</f>
        <v>883837.89749999996</v>
      </c>
      <c r="K18" s="244"/>
      <c r="L18" s="244"/>
      <c r="M18" s="244"/>
      <c r="N18" s="245"/>
      <c r="O18" s="246"/>
    </row>
    <row r="19" spans="1:17" ht="28.5" customHeight="1">
      <c r="A19" s="141">
        <v>2</v>
      </c>
      <c r="B19" s="221" t="s">
        <v>43</v>
      </c>
      <c r="C19" s="222"/>
      <c r="D19" s="222"/>
      <c r="E19" s="222"/>
      <c r="F19" s="222"/>
      <c r="G19" s="223"/>
      <c r="H19" s="175">
        <v>1</v>
      </c>
      <c r="I19" s="175" t="s">
        <v>1</v>
      </c>
      <c r="J19" s="224">
        <f>IFERROR(LOOKUP(2, 1/(TRIM('내역서(표준단가)'!M4:M100)&lt;&gt;""), '내역서(표준단가)'!M4:M100), "-")</f>
        <v>2966699.8602739996</v>
      </c>
      <c r="K19" s="225"/>
      <c r="L19" s="225"/>
      <c r="M19" s="226"/>
      <c r="N19" s="227"/>
      <c r="O19" s="228"/>
    </row>
    <row r="20" spans="1:17" ht="28.5" customHeight="1">
      <c r="A20" s="141">
        <v>3</v>
      </c>
      <c r="B20" s="229" t="s">
        <v>138</v>
      </c>
      <c r="C20" s="230"/>
      <c r="D20" s="230"/>
      <c r="E20" s="230"/>
      <c r="F20" s="230"/>
      <c r="G20" s="231"/>
      <c r="H20" s="142">
        <v>1</v>
      </c>
      <c r="I20" s="142" t="s">
        <v>1</v>
      </c>
      <c r="J20" s="232">
        <f>IFERROR(SUM(J21:M29),"-")</f>
        <v>516915.19702211657</v>
      </c>
      <c r="K20" s="233"/>
      <c r="L20" s="233"/>
      <c r="M20" s="234"/>
      <c r="N20" s="235"/>
      <c r="O20" s="236"/>
      <c r="P20" s="143"/>
    </row>
    <row r="21" spans="1:17" ht="28.5" customHeight="1">
      <c r="A21" s="140"/>
      <c r="B21" s="144"/>
      <c r="C21" s="213" t="s">
        <v>139</v>
      </c>
      <c r="D21" s="214"/>
      <c r="E21" s="214"/>
      <c r="F21" s="214"/>
      <c r="G21" s="215"/>
      <c r="H21" s="176">
        <v>1</v>
      </c>
      <c r="I21" s="176" t="s">
        <v>1</v>
      </c>
      <c r="J21" s="216">
        <f>IFERROR(LOOKUP(2, 1/(TRIM('내역서(표준단가)'!O4:O100)&lt;&gt;""), '내역서(표준단가)'!O4:O100) + LOOKUP(2, 1/(TRIM('내역서(표준단가)'!Q4:Q100)&lt;&gt;""), '내역서(표준단가)'!Q4:Q100), "-")</f>
        <v>0</v>
      </c>
      <c r="K21" s="217"/>
      <c r="L21" s="217"/>
      <c r="M21" s="218"/>
      <c r="N21" s="219" t="s">
        <v>140</v>
      </c>
      <c r="O21" s="220"/>
    </row>
    <row r="22" spans="1:17" ht="28.5" customHeight="1">
      <c r="A22" s="140"/>
      <c r="B22" s="144"/>
      <c r="C22" s="207" t="s">
        <v>141</v>
      </c>
      <c r="D22" s="208"/>
      <c r="E22" s="208"/>
      <c r="F22" s="208"/>
      <c r="G22" s="209"/>
      <c r="H22" s="145">
        <v>3.11</v>
      </c>
      <c r="I22" s="145" t="s">
        <v>142</v>
      </c>
      <c r="J22" s="210">
        <f>IFERROR((J18+J19)*H22%,"-")</f>
        <v>119751.72426677139</v>
      </c>
      <c r="K22" s="211"/>
      <c r="L22" s="211"/>
      <c r="M22" s="212"/>
      <c r="N22" s="203" t="s">
        <v>143</v>
      </c>
      <c r="O22" s="204"/>
    </row>
    <row r="23" spans="1:17" ht="28.5" customHeight="1">
      <c r="A23" s="140"/>
      <c r="B23" s="144"/>
      <c r="C23" s="207" t="s">
        <v>144</v>
      </c>
      <c r="D23" s="208"/>
      <c r="E23" s="208"/>
      <c r="F23" s="208"/>
      <c r="G23" s="209"/>
      <c r="H23" s="145">
        <v>3.56</v>
      </c>
      <c r="I23" s="145" t="s">
        <v>145</v>
      </c>
      <c r="J23" s="210">
        <f>IFERROR(J19*H23%,"-")</f>
        <v>105614.51502575439</v>
      </c>
      <c r="K23" s="211"/>
      <c r="L23" s="211"/>
      <c r="M23" s="212"/>
      <c r="N23" s="203" t="s">
        <v>146</v>
      </c>
      <c r="O23" s="204"/>
    </row>
    <row r="24" spans="1:17" ht="28.5" customHeight="1">
      <c r="A24" s="140"/>
      <c r="B24" s="144"/>
      <c r="C24" s="207" t="s">
        <v>147</v>
      </c>
      <c r="D24" s="208"/>
      <c r="E24" s="208"/>
      <c r="F24" s="208"/>
      <c r="G24" s="209"/>
      <c r="H24" s="145">
        <v>1.01</v>
      </c>
      <c r="I24" s="145" t="s">
        <v>145</v>
      </c>
      <c r="J24" s="210">
        <f>IFERROR(J19*H24%,"-")</f>
        <v>29963.668588767396</v>
      </c>
      <c r="K24" s="211"/>
      <c r="L24" s="211"/>
      <c r="M24" s="212"/>
      <c r="N24" s="203" t="s">
        <v>148</v>
      </c>
      <c r="O24" s="204"/>
    </row>
    <row r="25" spans="1:17" ht="28.5" customHeight="1">
      <c r="A25" s="140"/>
      <c r="B25" s="144"/>
      <c r="C25" s="207" t="s">
        <v>149</v>
      </c>
      <c r="D25" s="208"/>
      <c r="E25" s="208"/>
      <c r="F25" s="208"/>
      <c r="G25" s="209"/>
      <c r="H25" s="146">
        <v>3.5950000000000002</v>
      </c>
      <c r="I25" s="145" t="s">
        <v>145</v>
      </c>
      <c r="J25" s="210">
        <f>IFERROR(J19*H25%,"-")</f>
        <v>106652.85997685029</v>
      </c>
      <c r="K25" s="211"/>
      <c r="L25" s="211"/>
      <c r="M25" s="212"/>
      <c r="N25" s="203" t="s">
        <v>150</v>
      </c>
      <c r="O25" s="204"/>
      <c r="Q25" s="143"/>
    </row>
    <row r="26" spans="1:17" ht="28.5" customHeight="1">
      <c r="A26" s="140"/>
      <c r="B26" s="144"/>
      <c r="C26" s="207" t="s">
        <v>151</v>
      </c>
      <c r="D26" s="208"/>
      <c r="E26" s="208"/>
      <c r="F26" s="208"/>
      <c r="G26" s="209"/>
      <c r="H26" s="145">
        <v>4.75</v>
      </c>
      <c r="I26" s="145" t="s">
        <v>145</v>
      </c>
      <c r="J26" s="210">
        <f>IFERROR(J19*H26%,"-")</f>
        <v>140918.24336301498</v>
      </c>
      <c r="K26" s="211"/>
      <c r="L26" s="211"/>
      <c r="M26" s="212"/>
      <c r="N26" s="203" t="s">
        <v>152</v>
      </c>
      <c r="O26" s="204"/>
      <c r="Q26" s="147"/>
    </row>
    <row r="27" spans="1:17" ht="28.5" customHeight="1">
      <c r="A27" s="140"/>
      <c r="B27" s="144"/>
      <c r="C27" s="197" t="s">
        <v>153</v>
      </c>
      <c r="D27" s="198"/>
      <c r="E27" s="198"/>
      <c r="F27" s="198"/>
      <c r="G27" s="199"/>
      <c r="H27" s="148">
        <v>13.14</v>
      </c>
      <c r="I27" s="149" t="s">
        <v>145</v>
      </c>
      <c r="J27" s="200">
        <f>IFERROR($H$27*J25%,"-")</f>
        <v>14014.18580095813</v>
      </c>
      <c r="K27" s="201"/>
      <c r="L27" s="201"/>
      <c r="M27" s="202"/>
      <c r="N27" s="203" t="s">
        <v>154</v>
      </c>
      <c r="O27" s="204"/>
    </row>
    <row r="28" spans="1:17" ht="28.5" customHeight="1">
      <c r="A28" s="140"/>
      <c r="B28" s="144"/>
      <c r="C28" s="197" t="s">
        <v>155</v>
      </c>
      <c r="D28" s="198"/>
      <c r="E28" s="198"/>
      <c r="F28" s="198"/>
      <c r="G28" s="199"/>
      <c r="H28" s="148">
        <v>8.1000000000000003E-2</v>
      </c>
      <c r="I28" s="149" t="s">
        <v>145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156</v>
      </c>
      <c r="O28" s="206"/>
    </row>
    <row r="29" spans="1:17" ht="28.5" customHeight="1">
      <c r="A29" s="150"/>
      <c r="B29" s="151"/>
      <c r="C29" s="177" t="s">
        <v>157</v>
      </c>
      <c r="D29" s="178"/>
      <c r="E29" s="178"/>
      <c r="F29" s="178"/>
      <c r="G29" s="179"/>
      <c r="H29" s="152">
        <v>1</v>
      </c>
      <c r="I29" s="153" t="s">
        <v>158</v>
      </c>
      <c r="J29" s="180">
        <f>34*0</f>
        <v>0</v>
      </c>
      <c r="K29" s="181"/>
      <c r="L29" s="181"/>
      <c r="M29" s="182"/>
      <c r="N29" s="183" t="s">
        <v>159</v>
      </c>
      <c r="O29" s="184"/>
    </row>
    <row r="30" spans="1:17" ht="28.5" customHeight="1">
      <c r="A30" s="150">
        <v>4</v>
      </c>
      <c r="B30" s="151"/>
      <c r="C30" s="177" t="s">
        <v>160</v>
      </c>
      <c r="D30" s="178"/>
      <c r="E30" s="178"/>
      <c r="F30" s="178"/>
      <c r="G30" s="179"/>
      <c r="H30" s="153">
        <v>5</v>
      </c>
      <c r="I30" s="154" t="s">
        <v>161</v>
      </c>
      <c r="J30" s="190">
        <f>IFERROR(IF(ISNUMBER(H30), SUM(J18:M20) * (H30 / 100), "-"), "-")</f>
        <v>218372.64773980581</v>
      </c>
      <c r="K30" s="191"/>
      <c r="L30" s="191"/>
      <c r="M30" s="192"/>
      <c r="N30" s="193" t="s">
        <v>162</v>
      </c>
      <c r="O30" s="194"/>
    </row>
    <row r="31" spans="1:17" ht="28.5" customHeight="1" thickBot="1">
      <c r="A31" s="150">
        <v>5</v>
      </c>
      <c r="B31" s="151"/>
      <c r="C31" s="177" t="s">
        <v>163</v>
      </c>
      <c r="D31" s="178"/>
      <c r="E31" s="178"/>
      <c r="F31" s="178"/>
      <c r="G31" s="179"/>
      <c r="H31" s="153">
        <v>7.5</v>
      </c>
      <c r="I31" s="154" t="s">
        <v>145</v>
      </c>
      <c r="J31" s="180">
        <f>IFERROR(SUM(J18:M20, J30) * (H31 / 100), "-")+-48187</f>
        <v>295749.92019019416</v>
      </c>
      <c r="K31" s="181"/>
      <c r="L31" s="181"/>
      <c r="M31" s="182"/>
      <c r="N31" s="195" t="s">
        <v>164</v>
      </c>
      <c r="O31" s="196"/>
      <c r="Q31" s="155"/>
    </row>
    <row r="32" spans="1:17" ht="28.5" customHeight="1" thickBot="1">
      <c r="A32" s="185" t="s">
        <v>165</v>
      </c>
      <c r="B32" s="186"/>
      <c r="C32" s="186"/>
      <c r="D32" s="186"/>
      <c r="E32" s="186"/>
      <c r="F32" s="186"/>
      <c r="G32" s="186"/>
      <c r="H32" s="186"/>
      <c r="I32" s="187"/>
      <c r="J32" s="156"/>
      <c r="K32" s="157"/>
      <c r="L32" s="157"/>
      <c r="M32" s="158">
        <f>IFERROR(ROUNDDOWN(SUM(J18:M20)+J30+J31,0),"-")</f>
        <v>4881575</v>
      </c>
      <c r="N32" s="188"/>
      <c r="O32" s="189"/>
      <c r="P32" s="159"/>
    </row>
    <row r="33" spans="1:15">
      <c r="A33" s="160" t="s">
        <v>166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>
      <c r="M42" s="155"/>
    </row>
    <row r="43" spans="1:15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T13"/>
  <sheetViews>
    <sheetView showGridLines="0" zoomScale="80" zoomScaleNormal="80" workbookViewId="0">
      <pane ySplit="4" topLeftCell="A5" activePane="bottomLeft" state="frozen"/>
      <selection pane="bottomLeft" activeCell="K19" sqref="K19"/>
    </sheetView>
  </sheetViews>
  <sheetFormatPr defaultColWidth="9" defaultRowHeight="38.1" customHeight="1"/>
  <cols>
    <col min="1" max="1" width="22.625" style="80" bestFit="1" customWidth="1"/>
    <col min="2" max="2" width="9" style="69" customWidth="1"/>
    <col min="3" max="5" width="12.625" style="69" customWidth="1"/>
    <col min="6" max="7" width="30.625" style="65" customWidth="1"/>
    <col min="8" max="8" width="11.375" style="69" bestFit="1" customWidth="1"/>
    <col min="9" max="9" width="8.25" style="69" customWidth="1"/>
    <col min="10" max="10" width="10.625" style="69" bestFit="1" customWidth="1"/>
    <col min="11" max="11" width="13.25" style="69" bestFit="1" customWidth="1"/>
    <col min="12" max="12" width="12" style="69" bestFit="1" customWidth="1"/>
    <col min="13" max="13" width="15.625" style="69" bestFit="1" customWidth="1"/>
    <col min="14" max="14" width="9" style="69" customWidth="1"/>
    <col min="15" max="15" width="8.75" style="69" bestFit="1" customWidth="1"/>
    <col min="16" max="16" width="10.5" style="69" customWidth="1"/>
    <col min="17" max="17" width="8.75" style="69" bestFit="1" customWidth="1"/>
    <col min="18" max="18" width="15.625" style="69" bestFit="1" customWidth="1"/>
    <col min="19" max="19" width="10.625" style="1" bestFit="1" customWidth="1"/>
    <col min="20" max="20" width="8.5" style="69" bestFit="1" customWidth="1"/>
    <col min="21" max="16384" width="9" style="69"/>
  </cols>
  <sheetData>
    <row r="1" spans="1:20" ht="19.899999999999999" customHeight="1">
      <c r="A1" s="285"/>
      <c r="B1" s="285"/>
      <c r="C1" s="285"/>
      <c r="D1" s="285"/>
      <c r="E1" s="285"/>
      <c r="J1" s="1"/>
      <c r="K1" s="68" t="s">
        <v>39</v>
      </c>
      <c r="M1" s="68" t="s">
        <v>39</v>
      </c>
      <c r="O1" s="68" t="s">
        <v>39</v>
      </c>
      <c r="Q1" s="68" t="s">
        <v>39</v>
      </c>
    </row>
    <row r="2" spans="1:20" ht="19.899999999999999" customHeight="1" thickBot="1">
      <c r="A2" s="285"/>
      <c r="B2" s="285"/>
      <c r="C2" s="285"/>
      <c r="D2" s="285"/>
      <c r="E2" s="285"/>
      <c r="J2" s="2"/>
      <c r="K2" s="3">
        <v>0.83499999999999996</v>
      </c>
      <c r="M2" s="3">
        <v>0.83499999999999996</v>
      </c>
      <c r="O2" s="3">
        <v>0.83499999999999996</v>
      </c>
      <c r="Q2" s="3">
        <v>0.83499999999999996</v>
      </c>
    </row>
    <row r="3" spans="1:20" ht="19.899999999999999" customHeight="1">
      <c r="A3" s="70"/>
      <c r="B3" s="71" t="s">
        <v>40</v>
      </c>
      <c r="C3" s="71"/>
      <c r="D3" s="71"/>
      <c r="E3" s="71"/>
      <c r="F3" s="296" t="s">
        <v>41</v>
      </c>
      <c r="G3" s="296"/>
      <c r="H3" s="294" t="s">
        <v>3</v>
      </c>
      <c r="I3" s="294" t="s">
        <v>0</v>
      </c>
      <c r="J3" s="290" t="s">
        <v>42</v>
      </c>
      <c r="K3" s="290"/>
      <c r="L3" s="290" t="s">
        <v>43</v>
      </c>
      <c r="M3" s="290"/>
      <c r="N3" s="291" t="s">
        <v>44</v>
      </c>
      <c r="O3" s="291"/>
      <c r="P3" s="291" t="s">
        <v>45</v>
      </c>
      <c r="Q3" s="291"/>
      <c r="R3" s="292" t="s">
        <v>46</v>
      </c>
      <c r="S3" s="288" t="s">
        <v>47</v>
      </c>
      <c r="T3" s="286" t="s">
        <v>2</v>
      </c>
    </row>
    <row r="4" spans="1:20" ht="19.899999999999999" customHeight="1">
      <c r="A4" s="4" t="s">
        <v>48</v>
      </c>
      <c r="B4" s="5" t="s">
        <v>49</v>
      </c>
      <c r="C4" s="5" t="s">
        <v>50</v>
      </c>
      <c r="D4" s="5" t="s">
        <v>51</v>
      </c>
      <c r="E4" s="5" t="s">
        <v>52</v>
      </c>
      <c r="F4" s="66" t="s">
        <v>53</v>
      </c>
      <c r="G4" s="66" t="s">
        <v>54</v>
      </c>
      <c r="H4" s="295"/>
      <c r="I4" s="295"/>
      <c r="J4" s="6" t="s">
        <v>55</v>
      </c>
      <c r="K4" s="7" t="s">
        <v>56</v>
      </c>
      <c r="L4" s="6" t="s">
        <v>57</v>
      </c>
      <c r="M4" s="7" t="s">
        <v>56</v>
      </c>
      <c r="N4" s="7" t="s">
        <v>58</v>
      </c>
      <c r="O4" s="7" t="s">
        <v>56</v>
      </c>
      <c r="P4" s="7" t="s">
        <v>58</v>
      </c>
      <c r="Q4" s="7" t="s">
        <v>56</v>
      </c>
      <c r="R4" s="293"/>
      <c r="S4" s="289"/>
      <c r="T4" s="287"/>
    </row>
    <row r="5" spans="1:20" s="72" customFormat="1" ht="38.1" customHeight="1">
      <c r="A5" s="8" t="str">
        <f t="shared" ref="A5" si="0">B5&amp;C5&amp;D5&amp;E5</f>
        <v>M020853710050101</v>
      </c>
      <c r="B5" s="34"/>
      <c r="C5" s="9"/>
      <c r="D5" s="9" t="s">
        <v>80</v>
      </c>
      <c r="E5" s="34"/>
      <c r="F5" s="64" t="s">
        <v>81</v>
      </c>
      <c r="G5" s="64" t="s">
        <v>102</v>
      </c>
      <c r="H5" s="50" t="s">
        <v>94</v>
      </c>
      <c r="I5" s="63">
        <v>11.265000000000001</v>
      </c>
      <c r="J5" s="92">
        <v>20900</v>
      </c>
      <c r="K5" s="59">
        <f t="shared" ref="K5" si="1">SUM(J5:J5)*I5*$K$2</f>
        <v>196591.14749999999</v>
      </c>
      <c r="L5" s="58"/>
      <c r="M5" s="59">
        <f t="shared" ref="M5" si="2">(L5*I5)*$M$2</f>
        <v>0</v>
      </c>
      <c r="N5" s="60"/>
      <c r="O5" s="59">
        <f t="shared" ref="O5" si="3">N5*I5*$O$2</f>
        <v>0</v>
      </c>
      <c r="P5" s="60"/>
      <c r="Q5" s="59">
        <f t="shared" ref="Q5" si="4">P5*I5*$Q$2</f>
        <v>0</v>
      </c>
      <c r="R5" s="12">
        <f t="shared" ref="R5" si="5">SUM(K5+M5)+O5+Q5</f>
        <v>196591.14749999999</v>
      </c>
      <c r="S5" s="49"/>
      <c r="T5" s="13"/>
    </row>
    <row r="6" spans="1:20" s="72" customFormat="1" ht="38.1" customHeight="1">
      <c r="A6" s="8" t="str">
        <f t="shared" ref="A6" si="6">B6&amp;C6&amp;D6&amp;E6</f>
        <v>E00000803071260301</v>
      </c>
      <c r="B6" s="34"/>
      <c r="C6" s="9" t="s">
        <v>59</v>
      </c>
      <c r="D6" s="9"/>
      <c r="E6" s="34"/>
      <c r="F6" s="64" t="s">
        <v>61</v>
      </c>
      <c r="G6" s="64" t="s">
        <v>95</v>
      </c>
      <c r="H6" s="10" t="s">
        <v>60</v>
      </c>
      <c r="I6" s="63">
        <v>4.0430000000000001</v>
      </c>
      <c r="J6" s="61"/>
      <c r="K6" s="59">
        <f t="shared" ref="K6" si="7">SUM(J6:J6)*I6*$K$2</f>
        <v>0</v>
      </c>
      <c r="L6" s="93">
        <v>510462</v>
      </c>
      <c r="M6" s="59">
        <f t="shared" ref="M6" si="8">(L6*I6)*$M$2</f>
        <v>1723271.21811</v>
      </c>
      <c r="N6" s="60"/>
      <c r="O6" s="59">
        <f t="shared" ref="O6" si="9">N6*I6*$O$2</f>
        <v>0</v>
      </c>
      <c r="P6" s="60"/>
      <c r="Q6" s="59">
        <f t="shared" ref="Q6" si="10">P6*I6*$Q$2</f>
        <v>0</v>
      </c>
      <c r="R6" s="12">
        <f t="shared" ref="R6" si="11">SUM(K6+M6)+O6+Q6</f>
        <v>1723271.21811</v>
      </c>
      <c r="S6" s="49"/>
      <c r="T6" s="13"/>
    </row>
    <row r="7" spans="1:20" s="72" customFormat="1" ht="38.1" customHeight="1">
      <c r="A7" s="8" t="str">
        <f t="shared" ref="A7" si="12">B7&amp;C7&amp;D7&amp;E7</f>
        <v>M020809012520101</v>
      </c>
      <c r="B7" s="34"/>
      <c r="C7" s="9"/>
      <c r="D7" s="9" t="s">
        <v>83</v>
      </c>
      <c r="E7" s="34"/>
      <c r="F7" s="64" t="s">
        <v>84</v>
      </c>
      <c r="G7" s="64" t="s">
        <v>85</v>
      </c>
      <c r="H7" s="50" t="s">
        <v>82</v>
      </c>
      <c r="I7" s="63">
        <v>61.8</v>
      </c>
      <c r="J7" s="62">
        <v>13000</v>
      </c>
      <c r="K7" s="59">
        <f t="shared" ref="K7:K11" si="13">SUM(J7:J7)*I7*$K$2</f>
        <v>670839</v>
      </c>
      <c r="L7" s="58"/>
      <c r="M7" s="59">
        <f t="shared" ref="M7:M12" si="14">(L7*I7)*$M$2</f>
        <v>0</v>
      </c>
      <c r="N7" s="60"/>
      <c r="O7" s="59">
        <f t="shared" ref="O7:O12" si="15">N7*I7*$O$2</f>
        <v>0</v>
      </c>
      <c r="P7" s="60"/>
      <c r="Q7" s="59">
        <f t="shared" ref="Q7:Q12" si="16">P7*I7*$Q$2</f>
        <v>0</v>
      </c>
      <c r="R7" s="12">
        <f t="shared" ref="R7:R12" si="17">SUM(K7+M7)+O7+Q7</f>
        <v>670839</v>
      </c>
      <c r="S7" s="49"/>
      <c r="T7" s="13"/>
    </row>
    <row r="8" spans="1:20" s="72" customFormat="1" ht="38.1" customHeight="1">
      <c r="A8" s="8" t="str">
        <f t="shared" ref="A8:A12" si="18">B8&amp;C8&amp;D8&amp;E8</f>
        <v>E00000803071260401</v>
      </c>
      <c r="B8" s="34"/>
      <c r="C8" s="9" t="s">
        <v>62</v>
      </c>
      <c r="D8" s="9"/>
      <c r="E8" s="34"/>
      <c r="F8" s="64" t="s">
        <v>63</v>
      </c>
      <c r="G8" s="64" t="s">
        <v>96</v>
      </c>
      <c r="H8" s="10" t="s">
        <v>60</v>
      </c>
      <c r="I8" s="63">
        <v>1.0132000000000001</v>
      </c>
      <c r="J8" s="61"/>
      <c r="K8" s="59">
        <f t="shared" si="13"/>
        <v>0</v>
      </c>
      <c r="L8" s="93">
        <v>510462</v>
      </c>
      <c r="M8" s="59">
        <f t="shared" si="14"/>
        <v>431862.08216400002</v>
      </c>
      <c r="N8" s="60"/>
      <c r="O8" s="59">
        <f t="shared" si="15"/>
        <v>0</v>
      </c>
      <c r="P8" s="60"/>
      <c r="Q8" s="59">
        <f t="shared" si="16"/>
        <v>0</v>
      </c>
      <c r="R8" s="12">
        <f t="shared" si="17"/>
        <v>431862.08216400002</v>
      </c>
      <c r="S8" s="49"/>
      <c r="T8" s="13"/>
    </row>
    <row r="9" spans="1:20" s="72" customFormat="1" ht="38.1" customHeight="1">
      <c r="A9" s="8" t="str">
        <f t="shared" si="18"/>
        <v>M020412614110102</v>
      </c>
      <c r="B9" s="34"/>
      <c r="C9" s="9"/>
      <c r="D9" s="81" t="s">
        <v>77</v>
      </c>
      <c r="E9" s="34"/>
      <c r="F9" s="82" t="s">
        <v>76</v>
      </c>
      <c r="G9" s="82" t="s">
        <v>74</v>
      </c>
      <c r="H9" s="56" t="s">
        <v>73</v>
      </c>
      <c r="I9" s="63">
        <v>0.3</v>
      </c>
      <c r="J9" s="92">
        <v>65500</v>
      </c>
      <c r="K9" s="59">
        <f t="shared" si="13"/>
        <v>16407.75</v>
      </c>
      <c r="L9" s="58"/>
      <c r="M9" s="59"/>
      <c r="N9" s="60"/>
      <c r="O9" s="59"/>
      <c r="P9" s="60"/>
      <c r="Q9" s="59"/>
      <c r="R9" s="12">
        <f t="shared" si="17"/>
        <v>16407.75</v>
      </c>
      <c r="S9" s="49"/>
      <c r="T9" s="13"/>
    </row>
    <row r="10" spans="1:20" s="72" customFormat="1" ht="38.1" customHeight="1">
      <c r="A10" s="8" t="str">
        <f t="shared" si="18"/>
        <v>E00000803061120402</v>
      </c>
      <c r="B10" s="34"/>
      <c r="C10" s="9" t="s">
        <v>64</v>
      </c>
      <c r="D10" s="9"/>
      <c r="E10" s="34"/>
      <c r="F10" s="64" t="s">
        <v>65</v>
      </c>
      <c r="G10" s="64" t="s">
        <v>66</v>
      </c>
      <c r="H10" s="50" t="s">
        <v>71</v>
      </c>
      <c r="I10" s="63">
        <v>28</v>
      </c>
      <c r="J10" s="51"/>
      <c r="K10" s="11">
        <f t="shared" si="13"/>
        <v>0</v>
      </c>
      <c r="L10" s="94">
        <v>10752</v>
      </c>
      <c r="M10" s="11">
        <f t="shared" si="14"/>
        <v>251381.75999999998</v>
      </c>
      <c r="N10" s="12"/>
      <c r="O10" s="11">
        <f t="shared" si="15"/>
        <v>0</v>
      </c>
      <c r="P10" s="12"/>
      <c r="Q10" s="11">
        <f t="shared" si="16"/>
        <v>0</v>
      </c>
      <c r="R10" s="12">
        <f t="shared" si="17"/>
        <v>251381.75999999998</v>
      </c>
      <c r="S10" s="49"/>
      <c r="T10" s="13"/>
    </row>
    <row r="11" spans="1:20" s="72" customFormat="1" ht="38.1" customHeight="1">
      <c r="A11" s="8" t="str">
        <f t="shared" si="18"/>
        <v>E00000803061300201</v>
      </c>
      <c r="B11" s="34"/>
      <c r="C11" s="9" t="s">
        <v>68</v>
      </c>
      <c r="D11" s="9"/>
      <c r="E11" s="34"/>
      <c r="F11" s="64" t="s">
        <v>69</v>
      </c>
      <c r="G11" s="64" t="s">
        <v>70</v>
      </c>
      <c r="H11" s="50" t="s">
        <v>67</v>
      </c>
      <c r="I11" s="63">
        <v>28</v>
      </c>
      <c r="J11" s="51"/>
      <c r="K11" s="11">
        <f t="shared" si="13"/>
        <v>0</v>
      </c>
      <c r="L11" s="93">
        <v>6368</v>
      </c>
      <c r="M11" s="11">
        <f t="shared" si="14"/>
        <v>148883.84</v>
      </c>
      <c r="N11" s="12"/>
      <c r="O11" s="11">
        <f t="shared" si="15"/>
        <v>0</v>
      </c>
      <c r="P11" s="12"/>
      <c r="Q11" s="11">
        <f t="shared" si="16"/>
        <v>0</v>
      </c>
      <c r="R11" s="12">
        <f t="shared" si="17"/>
        <v>148883.84</v>
      </c>
      <c r="S11" s="49"/>
      <c r="T11" s="13"/>
    </row>
    <row r="12" spans="1:20" s="72" customFormat="1" ht="38.1" customHeight="1">
      <c r="A12" s="8" t="str">
        <f t="shared" si="18"/>
        <v>E00000801011510701</v>
      </c>
      <c r="B12" s="34"/>
      <c r="C12" s="9" t="s">
        <v>93</v>
      </c>
      <c r="D12" s="9"/>
      <c r="E12" s="34"/>
      <c r="F12" s="95" t="s">
        <v>99</v>
      </c>
      <c r="G12" s="10" t="s">
        <v>86</v>
      </c>
      <c r="H12" s="96" t="s">
        <v>100</v>
      </c>
      <c r="I12" s="63">
        <v>96</v>
      </c>
      <c r="J12" s="73"/>
      <c r="K12" s="11">
        <f t="shared" ref="K12" si="19">SUM(J12:J12)*I12*$K$2</f>
        <v>0</v>
      </c>
      <c r="L12" s="93">
        <v>5131</v>
      </c>
      <c r="M12" s="11">
        <f t="shared" si="14"/>
        <v>411300.95999999996</v>
      </c>
      <c r="N12" s="12"/>
      <c r="O12" s="11">
        <f t="shared" si="15"/>
        <v>0</v>
      </c>
      <c r="P12" s="12"/>
      <c r="Q12" s="11">
        <f t="shared" si="16"/>
        <v>0</v>
      </c>
      <c r="R12" s="12">
        <f t="shared" si="17"/>
        <v>411300.95999999996</v>
      </c>
      <c r="S12" s="49"/>
      <c r="T12" s="13"/>
    </row>
    <row r="13" spans="1:20" s="79" customFormat="1" ht="38.1" customHeight="1">
      <c r="A13" s="74"/>
      <c r="B13" s="75"/>
      <c r="C13" s="75"/>
      <c r="D13" s="75"/>
      <c r="E13" s="75"/>
      <c r="F13" s="67"/>
      <c r="G13" s="67"/>
      <c r="H13" s="75"/>
      <c r="I13" s="75"/>
      <c r="J13" s="75"/>
      <c r="K13" s="76">
        <f>SUM(K5:K12)</f>
        <v>883837.89749999996</v>
      </c>
      <c r="L13" s="77"/>
      <c r="M13" s="76">
        <f>SUM(M5:M12)</f>
        <v>2966699.8602739996</v>
      </c>
      <c r="N13" s="77"/>
      <c r="O13" s="76">
        <f>SUM(O5:O12)</f>
        <v>0</v>
      </c>
      <c r="P13" s="77"/>
      <c r="Q13" s="76">
        <f>SUM(Q5:Q12)</f>
        <v>0</v>
      </c>
      <c r="R13" s="78">
        <f>SUM(R5:R12)</f>
        <v>3850537.7577739991</v>
      </c>
      <c r="S13" s="39"/>
      <c r="T13" s="7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Q28"/>
  <sheetViews>
    <sheetView zoomScaleNormal="100" workbookViewId="0">
      <selection activeCell="G39" sqref="G39"/>
    </sheetView>
  </sheetViews>
  <sheetFormatPr defaultColWidth="9" defaultRowHeight="14.25"/>
  <cols>
    <col min="1" max="1" width="22.625" style="33" customWidth="1"/>
    <col min="2" max="2" width="27.625" style="33" customWidth="1"/>
    <col min="3" max="3" width="5.75" style="33" customWidth="1"/>
    <col min="4" max="4" width="5.25" style="33" customWidth="1"/>
    <col min="5" max="8" width="20.625" style="33" customWidth="1"/>
    <col min="9" max="12" width="20.625" style="33" hidden="1" customWidth="1"/>
    <col min="13" max="14" width="20.625" style="33" customWidth="1"/>
    <col min="15" max="15" width="32.75" style="33" customWidth="1"/>
    <col min="16" max="16" width="5.75" style="14" customWidth="1"/>
    <col min="17" max="16384" width="9" style="14"/>
  </cols>
  <sheetData>
    <row r="1" spans="1:17" ht="27" customHeight="1">
      <c r="A1" s="299" t="s">
        <v>4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</row>
    <row r="2" spans="1:17" ht="15" customHeight="1">
      <c r="A2" s="300" t="s">
        <v>5</v>
      </c>
      <c r="B2" s="301" t="s">
        <v>6</v>
      </c>
      <c r="C2" s="302" t="s">
        <v>3</v>
      </c>
      <c r="D2" s="302" t="s">
        <v>7</v>
      </c>
      <c r="E2" s="304" t="s">
        <v>8</v>
      </c>
      <c r="F2" s="301"/>
      <c r="G2" s="301" t="s">
        <v>9</v>
      </c>
      <c r="H2" s="301"/>
      <c r="I2" s="305" t="s">
        <v>10</v>
      </c>
      <c r="J2" s="306"/>
      <c r="K2" s="305" t="s">
        <v>11</v>
      </c>
      <c r="L2" s="306"/>
      <c r="M2" s="304" t="s">
        <v>12</v>
      </c>
      <c r="N2" s="301"/>
      <c r="O2" s="307" t="s">
        <v>13</v>
      </c>
    </row>
    <row r="3" spans="1:17" ht="15" customHeight="1">
      <c r="A3" s="300"/>
      <c r="B3" s="301"/>
      <c r="C3" s="303"/>
      <c r="D3" s="303"/>
      <c r="E3" s="55" t="s">
        <v>14</v>
      </c>
      <c r="F3" s="55" t="s">
        <v>15</v>
      </c>
      <c r="G3" s="15" t="s">
        <v>14</v>
      </c>
      <c r="H3" s="55" t="s">
        <v>16</v>
      </c>
      <c r="I3" s="55"/>
      <c r="J3" s="55"/>
      <c r="K3" s="15" t="s">
        <v>14</v>
      </c>
      <c r="L3" s="55" t="s">
        <v>16</v>
      </c>
      <c r="M3" s="15" t="s">
        <v>14</v>
      </c>
      <c r="N3" s="55" t="s">
        <v>16</v>
      </c>
      <c r="O3" s="308"/>
    </row>
    <row r="4" spans="1:17" ht="15" customHeight="1">
      <c r="A4" s="297" t="s">
        <v>101</v>
      </c>
      <c r="B4" s="298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7" ht="15" customHeight="1">
      <c r="A5" s="315" t="s">
        <v>17</v>
      </c>
      <c r="B5" s="17" t="s">
        <v>18</v>
      </c>
      <c r="C5" s="18" t="s">
        <v>19</v>
      </c>
      <c r="D5" s="83">
        <v>85</v>
      </c>
      <c r="E5" s="97">
        <v>1057</v>
      </c>
      <c r="F5" s="19">
        <f t="shared" ref="F5:F11" si="0">D5*E5</f>
        <v>89845</v>
      </c>
      <c r="G5" s="97">
        <v>9266</v>
      </c>
      <c r="H5" s="19">
        <f t="shared" ref="H5:H11" si="1">D5*G5</f>
        <v>787610</v>
      </c>
      <c r="I5" s="19"/>
      <c r="J5" s="19"/>
      <c r="K5" s="19"/>
      <c r="L5" s="19"/>
      <c r="M5" s="19"/>
      <c r="N5" s="19">
        <f>F5+H5+J5+L5</f>
        <v>877455</v>
      </c>
      <c r="O5" s="309" t="s">
        <v>78</v>
      </c>
      <c r="P5" s="14" t="s">
        <v>97</v>
      </c>
      <c r="Q5" s="91">
        <f>D5+D7+D9+D11</f>
        <v>186</v>
      </c>
    </row>
    <row r="6" spans="1:17" ht="15" customHeight="1">
      <c r="A6" s="316"/>
      <c r="B6" s="99" t="s">
        <v>20</v>
      </c>
      <c r="C6" s="100" t="s">
        <v>19</v>
      </c>
      <c r="D6" s="101"/>
      <c r="E6" s="102"/>
      <c r="F6" s="103"/>
      <c r="G6" s="102"/>
      <c r="H6" s="103"/>
      <c r="I6" s="103"/>
      <c r="J6" s="103"/>
      <c r="K6" s="103"/>
      <c r="L6" s="103"/>
      <c r="M6" s="103"/>
      <c r="N6" s="103"/>
      <c r="O6" s="310"/>
      <c r="P6" s="14" t="s">
        <v>98</v>
      </c>
      <c r="Q6" s="91">
        <f>D6+D8+D10+D12</f>
        <v>0</v>
      </c>
    </row>
    <row r="7" spans="1:17" ht="15" customHeight="1">
      <c r="A7" s="316"/>
      <c r="B7" s="17" t="s">
        <v>21</v>
      </c>
      <c r="C7" s="18" t="s">
        <v>19</v>
      </c>
      <c r="D7" s="83">
        <v>38</v>
      </c>
      <c r="E7" s="97">
        <v>1057</v>
      </c>
      <c r="F7" s="19">
        <f t="shared" si="0"/>
        <v>40166</v>
      </c>
      <c r="G7" s="97">
        <v>9266</v>
      </c>
      <c r="H7" s="19">
        <f t="shared" si="1"/>
        <v>352108</v>
      </c>
      <c r="I7" s="19"/>
      <c r="J7" s="19"/>
      <c r="K7" s="19"/>
      <c r="L7" s="19"/>
      <c r="M7" s="19"/>
      <c r="N7" s="19">
        <f t="shared" ref="N7:N11" si="2">F7+H7+J7+L7</f>
        <v>392274</v>
      </c>
      <c r="O7" s="310"/>
    </row>
    <row r="8" spans="1:17" ht="15" customHeight="1">
      <c r="A8" s="316"/>
      <c r="B8" s="99" t="s">
        <v>22</v>
      </c>
      <c r="C8" s="100" t="s">
        <v>19</v>
      </c>
      <c r="D8" s="101"/>
      <c r="E8" s="102"/>
      <c r="F8" s="103"/>
      <c r="G8" s="102"/>
      <c r="H8" s="103"/>
      <c r="I8" s="103"/>
      <c r="J8" s="103"/>
      <c r="K8" s="103"/>
      <c r="L8" s="103"/>
      <c r="M8" s="103"/>
      <c r="N8" s="103"/>
      <c r="O8" s="310"/>
    </row>
    <row r="9" spans="1:17" ht="15" customHeight="1">
      <c r="A9" s="316"/>
      <c r="B9" s="17" t="s">
        <v>23</v>
      </c>
      <c r="C9" s="18" t="s">
        <v>19</v>
      </c>
      <c r="D9" s="83">
        <v>32</v>
      </c>
      <c r="E9" s="97">
        <v>1057</v>
      </c>
      <c r="F9" s="19">
        <f t="shared" si="0"/>
        <v>33824</v>
      </c>
      <c r="G9" s="97">
        <v>9266</v>
      </c>
      <c r="H9" s="19">
        <f t="shared" si="1"/>
        <v>296512</v>
      </c>
      <c r="I9" s="19"/>
      <c r="J9" s="19"/>
      <c r="K9" s="19"/>
      <c r="L9" s="19"/>
      <c r="M9" s="19"/>
      <c r="N9" s="19">
        <f t="shared" si="2"/>
        <v>330336</v>
      </c>
      <c r="O9" s="310"/>
    </row>
    <row r="10" spans="1:17" ht="15" customHeight="1">
      <c r="A10" s="316"/>
      <c r="B10" s="99" t="s">
        <v>24</v>
      </c>
      <c r="C10" s="100" t="s">
        <v>19</v>
      </c>
      <c r="D10" s="101"/>
      <c r="E10" s="102"/>
      <c r="F10" s="103"/>
      <c r="G10" s="102"/>
      <c r="H10" s="103"/>
      <c r="I10" s="103"/>
      <c r="J10" s="103"/>
      <c r="K10" s="103"/>
      <c r="L10" s="103"/>
      <c r="M10" s="103"/>
      <c r="N10" s="103"/>
      <c r="O10" s="310"/>
    </row>
    <row r="11" spans="1:17" ht="15" customHeight="1">
      <c r="A11" s="316"/>
      <c r="B11" s="17" t="s">
        <v>25</v>
      </c>
      <c r="C11" s="18" t="s">
        <v>19</v>
      </c>
      <c r="D11" s="83">
        <v>31</v>
      </c>
      <c r="E11" s="97">
        <v>1057</v>
      </c>
      <c r="F11" s="19">
        <f t="shared" si="0"/>
        <v>32767</v>
      </c>
      <c r="G11" s="97">
        <v>9266</v>
      </c>
      <c r="H11" s="19">
        <f t="shared" si="1"/>
        <v>287246</v>
      </c>
      <c r="I11" s="19"/>
      <c r="J11" s="19"/>
      <c r="K11" s="19"/>
      <c r="L11" s="19"/>
      <c r="M11" s="19"/>
      <c r="N11" s="19">
        <f t="shared" si="2"/>
        <v>320013</v>
      </c>
      <c r="O11" s="310"/>
    </row>
    <row r="12" spans="1:17" ht="15" customHeight="1">
      <c r="A12" s="316"/>
      <c r="B12" s="99" t="s">
        <v>26</v>
      </c>
      <c r="C12" s="100" t="s">
        <v>19</v>
      </c>
      <c r="D12" s="101"/>
      <c r="E12" s="102"/>
      <c r="F12" s="103"/>
      <c r="G12" s="102"/>
      <c r="H12" s="103"/>
      <c r="I12" s="103"/>
      <c r="J12" s="103"/>
      <c r="K12" s="103"/>
      <c r="L12" s="103"/>
      <c r="M12" s="103"/>
      <c r="N12" s="103"/>
      <c r="O12" s="310"/>
    </row>
    <row r="13" spans="1:17" ht="15" customHeight="1">
      <c r="A13" s="40" t="s">
        <v>27</v>
      </c>
      <c r="B13" s="41"/>
      <c r="C13" s="42"/>
      <c r="D13" s="85"/>
      <c r="E13" s="43"/>
      <c r="F13" s="43">
        <f>SUM(F5:F12)</f>
        <v>196602</v>
      </c>
      <c r="G13" s="43"/>
      <c r="H13" s="43">
        <f>SUM(H5:H12)</f>
        <v>1723476</v>
      </c>
      <c r="I13" s="43"/>
      <c r="J13" s="43">
        <f>SUM(J5:J12)</f>
        <v>0</v>
      </c>
      <c r="K13" s="43"/>
      <c r="L13" s="43">
        <f>SUM(L5:L12)</f>
        <v>0</v>
      </c>
      <c r="M13" s="43"/>
      <c r="N13" s="43">
        <f>SUM(N5:N12)</f>
        <v>1920078</v>
      </c>
      <c r="O13" s="43"/>
    </row>
    <row r="14" spans="1:17" ht="15" customHeight="1">
      <c r="A14" s="311" t="s">
        <v>79</v>
      </c>
      <c r="B14" s="17" t="s">
        <v>28</v>
      </c>
      <c r="C14" s="18" t="s">
        <v>19</v>
      </c>
      <c r="D14" s="84">
        <v>33.200000000000003</v>
      </c>
      <c r="E14" s="97">
        <v>10855</v>
      </c>
      <c r="F14" s="52">
        <f>D14*E14</f>
        <v>360386.00000000006</v>
      </c>
      <c r="G14" s="97">
        <v>6987</v>
      </c>
      <c r="H14" s="52">
        <f>D14*G14</f>
        <v>231968.40000000002</v>
      </c>
      <c r="I14" s="52"/>
      <c r="J14" s="52"/>
      <c r="K14" s="19"/>
      <c r="L14" s="52"/>
      <c r="M14" s="19"/>
      <c r="N14" s="52">
        <f t="shared" ref="N14:N17" si="3">F14+H14+J14+L14</f>
        <v>592354.40000000014</v>
      </c>
      <c r="O14" s="310"/>
    </row>
    <row r="15" spans="1:17" ht="15" customHeight="1">
      <c r="A15" s="311"/>
      <c r="B15" s="17" t="s">
        <v>29</v>
      </c>
      <c r="C15" s="18" t="s">
        <v>19</v>
      </c>
      <c r="D15" s="86">
        <v>11.7</v>
      </c>
      <c r="E15" s="97">
        <v>10855</v>
      </c>
      <c r="F15" s="52">
        <f>D15*E15</f>
        <v>127003.49999999999</v>
      </c>
      <c r="G15" s="97">
        <v>6987</v>
      </c>
      <c r="H15" s="52">
        <f>D15*G15</f>
        <v>81747.899999999994</v>
      </c>
      <c r="I15" s="52"/>
      <c r="J15" s="52"/>
      <c r="K15" s="19"/>
      <c r="L15" s="52"/>
      <c r="M15" s="19"/>
      <c r="N15" s="52">
        <f t="shared" si="3"/>
        <v>208751.39999999997</v>
      </c>
      <c r="O15" s="310"/>
    </row>
    <row r="16" spans="1:17" ht="15" customHeight="1">
      <c r="A16" s="311"/>
      <c r="B16" s="17" t="s">
        <v>30</v>
      </c>
      <c r="C16" s="18" t="s">
        <v>19</v>
      </c>
      <c r="D16" s="86">
        <v>8.5</v>
      </c>
      <c r="E16" s="97">
        <v>10855</v>
      </c>
      <c r="F16" s="52">
        <f>D16*E16</f>
        <v>92267.5</v>
      </c>
      <c r="G16" s="97">
        <v>6987</v>
      </c>
      <c r="H16" s="52">
        <f>D16*G16</f>
        <v>59389.5</v>
      </c>
      <c r="I16" s="52"/>
      <c r="J16" s="52"/>
      <c r="K16" s="19"/>
      <c r="L16" s="52"/>
      <c r="M16" s="19"/>
      <c r="N16" s="52">
        <f t="shared" si="3"/>
        <v>151657</v>
      </c>
      <c r="O16" s="310"/>
    </row>
    <row r="17" spans="1:15" ht="15" customHeight="1">
      <c r="A17" s="312"/>
      <c r="B17" s="17" t="s">
        <v>31</v>
      </c>
      <c r="C17" s="18" t="s">
        <v>19</v>
      </c>
      <c r="D17" s="86">
        <v>8.4</v>
      </c>
      <c r="E17" s="97">
        <v>10855</v>
      </c>
      <c r="F17" s="52">
        <f>D17*E17</f>
        <v>91182</v>
      </c>
      <c r="G17" s="97">
        <v>6987</v>
      </c>
      <c r="H17" s="52">
        <f>D17*G17</f>
        <v>58690.8</v>
      </c>
      <c r="I17" s="52"/>
      <c r="J17" s="52"/>
      <c r="K17" s="19"/>
      <c r="L17" s="52"/>
      <c r="M17" s="19"/>
      <c r="N17" s="52">
        <f t="shared" si="3"/>
        <v>149872.79999999999</v>
      </c>
      <c r="O17" s="313"/>
    </row>
    <row r="18" spans="1:15" ht="15" customHeight="1">
      <c r="A18" s="35" t="s">
        <v>27</v>
      </c>
      <c r="B18" s="20"/>
      <c r="C18" s="23"/>
      <c r="D18" s="87">
        <f>SUM(D14:D17)</f>
        <v>61.800000000000004</v>
      </c>
      <c r="E18" s="22"/>
      <c r="F18" s="22">
        <f>SUM(F14:F17)</f>
        <v>670839</v>
      </c>
      <c r="G18" s="22"/>
      <c r="H18" s="22">
        <f>SUM(H14:H17)</f>
        <v>431796.60000000003</v>
      </c>
      <c r="I18" s="22"/>
      <c r="J18" s="22">
        <f>SUM(J14:J17)</f>
        <v>0</v>
      </c>
      <c r="K18" s="22"/>
      <c r="L18" s="22">
        <f>SUM(L14:L17)</f>
        <v>0</v>
      </c>
      <c r="M18" s="22"/>
      <c r="N18" s="22">
        <f>SUM(N14:N17)</f>
        <v>1102635.6000000001</v>
      </c>
      <c r="O18" s="22"/>
    </row>
    <row r="19" spans="1:15" ht="15" customHeight="1">
      <c r="A19" s="37" t="s">
        <v>32</v>
      </c>
      <c r="B19" s="24"/>
      <c r="C19" s="25"/>
      <c r="D19" s="8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ht="15" customHeight="1">
      <c r="A20" s="53" t="s">
        <v>75</v>
      </c>
      <c r="B20" s="57" t="s">
        <v>74</v>
      </c>
      <c r="C20" s="57" t="s">
        <v>73</v>
      </c>
      <c r="D20" s="88">
        <v>0.3</v>
      </c>
      <c r="E20" s="97">
        <v>54693</v>
      </c>
      <c r="F20" s="52">
        <f>D20*E20</f>
        <v>16407.899999999998</v>
      </c>
      <c r="G20" s="19"/>
      <c r="H20" s="19"/>
      <c r="I20" s="19"/>
      <c r="J20" s="19"/>
      <c r="K20" s="19"/>
      <c r="L20" s="19"/>
      <c r="M20" s="19"/>
      <c r="N20" s="54">
        <f t="shared" ref="N20:N24" si="4">F20+H20+J20+L20</f>
        <v>16407.899999999998</v>
      </c>
      <c r="O20" s="19"/>
    </row>
    <row r="21" spans="1:15" ht="15" customHeight="1">
      <c r="A21" s="314" t="s">
        <v>33</v>
      </c>
      <c r="B21" s="24" t="s">
        <v>34</v>
      </c>
      <c r="C21" s="25" t="s">
        <v>19</v>
      </c>
      <c r="D21" s="88">
        <v>17</v>
      </c>
      <c r="E21" s="54"/>
      <c r="F21" s="54">
        <f>D21*E21</f>
        <v>0</v>
      </c>
      <c r="G21" s="98">
        <v>8978</v>
      </c>
      <c r="H21" s="54">
        <f t="shared" ref="H21:H24" si="5">D21*G21</f>
        <v>152626</v>
      </c>
      <c r="I21" s="54"/>
      <c r="J21" s="54"/>
      <c r="K21" s="54"/>
      <c r="L21" s="54"/>
      <c r="M21" s="54"/>
      <c r="N21" s="54">
        <f t="shared" si="4"/>
        <v>152626</v>
      </c>
      <c r="O21" s="19"/>
    </row>
    <row r="22" spans="1:15" ht="15" customHeight="1">
      <c r="A22" s="314"/>
      <c r="B22" s="24" t="s">
        <v>35</v>
      </c>
      <c r="C22" s="25" t="s">
        <v>19</v>
      </c>
      <c r="D22" s="88">
        <v>17</v>
      </c>
      <c r="E22" s="54"/>
      <c r="F22" s="54">
        <f t="shared" ref="F22" si="6">D22*E22</f>
        <v>0</v>
      </c>
      <c r="G22" s="98">
        <v>5317</v>
      </c>
      <c r="H22" s="54">
        <f t="shared" si="5"/>
        <v>90389</v>
      </c>
      <c r="I22" s="54"/>
      <c r="J22" s="54"/>
      <c r="K22" s="54"/>
      <c r="L22" s="54"/>
      <c r="M22" s="54"/>
      <c r="N22" s="54">
        <f t="shared" si="4"/>
        <v>90389</v>
      </c>
      <c r="O22" s="19"/>
    </row>
    <row r="23" spans="1:15" ht="15" customHeight="1">
      <c r="A23" s="314" t="s">
        <v>36</v>
      </c>
      <c r="B23" s="24" t="s">
        <v>34</v>
      </c>
      <c r="C23" s="25" t="s">
        <v>19</v>
      </c>
      <c r="D23" s="88">
        <v>11</v>
      </c>
      <c r="E23" s="54"/>
      <c r="F23" s="54">
        <f>D23*E23</f>
        <v>0</v>
      </c>
      <c r="G23" s="98">
        <v>8978</v>
      </c>
      <c r="H23" s="54">
        <f t="shared" si="5"/>
        <v>98758</v>
      </c>
      <c r="I23" s="54"/>
      <c r="J23" s="54"/>
      <c r="K23" s="54"/>
      <c r="L23" s="54"/>
      <c r="M23" s="54"/>
      <c r="N23" s="54">
        <f t="shared" si="4"/>
        <v>98758</v>
      </c>
      <c r="O23" s="19"/>
    </row>
    <row r="24" spans="1:15" ht="15" customHeight="1">
      <c r="A24" s="314"/>
      <c r="B24" s="24" t="s">
        <v>35</v>
      </c>
      <c r="C24" s="25" t="s">
        <v>19</v>
      </c>
      <c r="D24" s="88">
        <v>11</v>
      </c>
      <c r="E24" s="54"/>
      <c r="F24" s="54">
        <f t="shared" ref="F24" si="7">D24*E24</f>
        <v>0</v>
      </c>
      <c r="G24" s="98">
        <v>5317</v>
      </c>
      <c r="H24" s="54">
        <f t="shared" si="5"/>
        <v>58487</v>
      </c>
      <c r="I24" s="54"/>
      <c r="J24" s="54"/>
      <c r="K24" s="54"/>
      <c r="L24" s="54"/>
      <c r="M24" s="54"/>
      <c r="N24" s="54">
        <f t="shared" si="4"/>
        <v>58487</v>
      </c>
      <c r="O24" s="19"/>
    </row>
    <row r="25" spans="1:15" ht="15" customHeight="1">
      <c r="A25" s="35" t="s">
        <v>27</v>
      </c>
      <c r="B25" s="26"/>
      <c r="C25" s="27"/>
      <c r="D25" s="89"/>
      <c r="E25" s="22"/>
      <c r="F25" s="22">
        <f>SUM(F19:F24)</f>
        <v>16407.899999999998</v>
      </c>
      <c r="G25" s="22"/>
      <c r="H25" s="22">
        <f>SUM(H19:H24)</f>
        <v>400260</v>
      </c>
      <c r="I25" s="22"/>
      <c r="J25" s="22">
        <f>SUM(J19:J24)</f>
        <v>0</v>
      </c>
      <c r="K25" s="22"/>
      <c r="L25" s="22">
        <f>SUM(L19:L24)</f>
        <v>0</v>
      </c>
      <c r="M25" s="22"/>
      <c r="N25" s="22">
        <f>SUM(N19:N24)</f>
        <v>416667.9</v>
      </c>
      <c r="O25" s="22"/>
    </row>
    <row r="26" spans="1:15" ht="15" customHeight="1">
      <c r="A26" s="38" t="s">
        <v>37</v>
      </c>
      <c r="B26" s="17" t="s">
        <v>87</v>
      </c>
      <c r="C26" s="18" t="s">
        <v>19</v>
      </c>
      <c r="D26" s="90">
        <v>96</v>
      </c>
      <c r="E26" s="52"/>
      <c r="F26" s="52"/>
      <c r="G26" s="97">
        <v>4284</v>
      </c>
      <c r="H26" s="52">
        <f>D26*G26</f>
        <v>411264</v>
      </c>
      <c r="I26" s="52"/>
      <c r="J26" s="52"/>
      <c r="K26" s="52"/>
      <c r="L26" s="52"/>
      <c r="M26" s="52"/>
      <c r="N26" s="52">
        <f>F26+H26+J26+L26</f>
        <v>411264</v>
      </c>
      <c r="O26" s="28" t="s">
        <v>38</v>
      </c>
    </row>
    <row r="27" spans="1:15" ht="15" customHeight="1">
      <c r="A27" s="36" t="s">
        <v>27</v>
      </c>
      <c r="B27" s="20"/>
      <c r="C27" s="21"/>
      <c r="D27" s="29"/>
      <c r="E27" s="30"/>
      <c r="F27" s="30"/>
      <c r="G27" s="30"/>
      <c r="H27" s="22">
        <f>SUM(H26:H26)</f>
        <v>411264</v>
      </c>
      <c r="I27" s="30"/>
      <c r="J27" s="22">
        <f t="shared" ref="J27:N27" si="8">SUM(J26:J26)</f>
        <v>0</v>
      </c>
      <c r="K27" s="22"/>
      <c r="L27" s="22">
        <f t="shared" si="8"/>
        <v>0</v>
      </c>
      <c r="M27" s="22"/>
      <c r="N27" s="22">
        <f t="shared" si="8"/>
        <v>411264</v>
      </c>
      <c r="O27" s="30"/>
    </row>
    <row r="28" spans="1:15" ht="15" customHeight="1">
      <c r="A28" s="35" t="s">
        <v>72</v>
      </c>
      <c r="B28" s="20"/>
      <c r="C28" s="21"/>
      <c r="D28" s="29"/>
      <c r="E28" s="31"/>
      <c r="F28" s="32">
        <f>F13+F18+F25+F27</f>
        <v>883848.9</v>
      </c>
      <c r="G28" s="32"/>
      <c r="H28" s="32">
        <f>H13+H18+H25+H27</f>
        <v>2966796.6</v>
      </c>
      <c r="I28" s="31"/>
      <c r="J28" s="32">
        <f>J13+J18+J25+J27</f>
        <v>0</v>
      </c>
      <c r="K28" s="31"/>
      <c r="L28" s="32">
        <f>L13+L18+L25+L27</f>
        <v>0</v>
      </c>
      <c r="M28" s="31"/>
      <c r="N28" s="32">
        <f>N13+N18+N25+N27</f>
        <v>3850645.5</v>
      </c>
      <c r="O28" s="31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A4" sqref="A4:XFD4"/>
    </sheetView>
  </sheetViews>
  <sheetFormatPr defaultColWidth="9" defaultRowHeight="14.2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9" style="48" customWidth="1"/>
    <col min="7" max="16384" width="9" style="14"/>
  </cols>
  <sheetData>
    <row r="1" spans="1:6" ht="18" customHeight="1">
      <c r="A1" s="44" t="s">
        <v>88</v>
      </c>
      <c r="B1" s="44" t="s">
        <v>89</v>
      </c>
      <c r="C1" s="44" t="s">
        <v>90</v>
      </c>
      <c r="D1" s="44" t="s">
        <v>91</v>
      </c>
      <c r="E1" s="44" t="s">
        <v>92</v>
      </c>
      <c r="F1" s="44" t="s">
        <v>0</v>
      </c>
    </row>
    <row r="2" spans="1:6">
      <c r="A2" s="45" t="str">
        <f>'내역서(표준단가)'!A5</f>
        <v>M020853710050101</v>
      </c>
      <c r="B2" s="46">
        <f>'내역서(표준단가)'!B5</f>
        <v>0</v>
      </c>
      <c r="C2" s="46">
        <f>'내역서(표준단가)'!C5</f>
        <v>0</v>
      </c>
      <c r="D2" s="46" t="str">
        <f>'내역서(표준단가)'!D5</f>
        <v>M020853710050101</v>
      </c>
      <c r="E2" s="46">
        <f>'내역서(표준단가)'!E5</f>
        <v>0</v>
      </c>
      <c r="F2" s="47">
        <f>'내역서(표준단가)'!I5</f>
        <v>11.265000000000001</v>
      </c>
    </row>
    <row r="3" spans="1:6">
      <c r="A3" s="45" t="str">
        <f>'내역서(표준단가)'!A6</f>
        <v>E00000803071260301</v>
      </c>
      <c r="B3" s="46">
        <f>'내역서(표준단가)'!B6</f>
        <v>0</v>
      </c>
      <c r="C3" s="46" t="str">
        <f>'내역서(표준단가)'!C6</f>
        <v>E00000803071260301</v>
      </c>
      <c r="D3" s="46">
        <f>'내역서(표준단가)'!D6</f>
        <v>0</v>
      </c>
      <c r="E3" s="46">
        <f>'내역서(표준단가)'!E6</f>
        <v>0</v>
      </c>
      <c r="F3" s="47">
        <f>'내역서(표준단가)'!I6</f>
        <v>4.0430000000000001</v>
      </c>
    </row>
    <row r="4" spans="1:6">
      <c r="A4" s="45" t="str">
        <f>'내역서(표준단가)'!A7</f>
        <v>M020809012520101</v>
      </c>
      <c r="B4" s="46">
        <f>'내역서(표준단가)'!B7</f>
        <v>0</v>
      </c>
      <c r="C4" s="46">
        <f>'내역서(표준단가)'!C7</f>
        <v>0</v>
      </c>
      <c r="D4" s="46" t="str">
        <f>'내역서(표준단가)'!D7</f>
        <v>M020809012520101</v>
      </c>
      <c r="E4" s="46">
        <f>'내역서(표준단가)'!E7</f>
        <v>0</v>
      </c>
      <c r="F4" s="47">
        <f>'내역서(표준단가)'!I7</f>
        <v>61.8</v>
      </c>
    </row>
    <row r="5" spans="1:6">
      <c r="A5" s="45" t="str">
        <f>'내역서(표준단가)'!A8</f>
        <v>E00000803071260401</v>
      </c>
      <c r="B5" s="46">
        <f>'내역서(표준단가)'!B8</f>
        <v>0</v>
      </c>
      <c r="C5" s="46" t="str">
        <f>'내역서(표준단가)'!C8</f>
        <v>E00000803071260401</v>
      </c>
      <c r="D5" s="46">
        <f>'내역서(표준단가)'!D8</f>
        <v>0</v>
      </c>
      <c r="E5" s="46">
        <f>'내역서(표준단가)'!E8</f>
        <v>0</v>
      </c>
      <c r="F5" s="47">
        <f>'내역서(표준단가)'!I8</f>
        <v>1.0132000000000001</v>
      </c>
    </row>
    <row r="6" spans="1:6">
      <c r="A6" s="45" t="str">
        <f>'내역서(표준단가)'!A9</f>
        <v>M020412614110102</v>
      </c>
      <c r="B6" s="46">
        <f>'내역서(표준단가)'!B9</f>
        <v>0</v>
      </c>
      <c r="C6" s="46">
        <f>'내역서(표준단가)'!C9</f>
        <v>0</v>
      </c>
      <c r="D6" s="46" t="str">
        <f>'내역서(표준단가)'!D9</f>
        <v>M020412614110102</v>
      </c>
      <c r="E6" s="46">
        <f>'내역서(표준단가)'!E9</f>
        <v>0</v>
      </c>
      <c r="F6" s="47">
        <f>'내역서(표준단가)'!I9</f>
        <v>0.3</v>
      </c>
    </row>
    <row r="7" spans="1:6">
      <c r="A7" s="45" t="str">
        <f>'내역서(표준단가)'!A10</f>
        <v>E00000803061120402</v>
      </c>
      <c r="B7" s="46">
        <f>'내역서(표준단가)'!B10</f>
        <v>0</v>
      </c>
      <c r="C7" s="46" t="str">
        <f>'내역서(표준단가)'!C10</f>
        <v>E00000803061120402</v>
      </c>
      <c r="D7" s="46">
        <f>'내역서(표준단가)'!D10</f>
        <v>0</v>
      </c>
      <c r="E7" s="46">
        <f>'내역서(표준단가)'!E10</f>
        <v>0</v>
      </c>
      <c r="F7" s="47">
        <f>'내역서(표준단가)'!I10</f>
        <v>28</v>
      </c>
    </row>
    <row r="8" spans="1:6">
      <c r="A8" s="45" t="str">
        <f>'내역서(표준단가)'!A11</f>
        <v>E00000803061300201</v>
      </c>
      <c r="B8" s="46">
        <f>'내역서(표준단가)'!B11</f>
        <v>0</v>
      </c>
      <c r="C8" s="46" t="str">
        <f>'내역서(표준단가)'!C11</f>
        <v>E00000803061300201</v>
      </c>
      <c r="D8" s="46">
        <f>'내역서(표준단가)'!D11</f>
        <v>0</v>
      </c>
      <c r="E8" s="46">
        <f>'내역서(표준단가)'!E11</f>
        <v>0</v>
      </c>
      <c r="F8" s="47">
        <f>'내역서(표준단가)'!I11</f>
        <v>28</v>
      </c>
    </row>
    <row r="9" spans="1:6">
      <c r="A9" s="45" t="str">
        <f>'내역서(표준단가)'!A12</f>
        <v>E00000801011510701</v>
      </c>
      <c r="B9" s="46">
        <f>'내역서(표준단가)'!B12</f>
        <v>0</v>
      </c>
      <c r="C9" s="46" t="str">
        <f>'내역서(표준단가)'!C12</f>
        <v>E00000801011510701</v>
      </c>
      <c r="D9" s="46">
        <f>'내역서(표준단가)'!D12</f>
        <v>0</v>
      </c>
      <c r="E9" s="46">
        <f>'내역서(표준단가)'!E12</f>
        <v>0</v>
      </c>
      <c r="F9" s="47">
        <f>'내역서(표준단가)'!I12</f>
        <v>96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/>
  <cols>
    <col min="1" max="16384" width="9" style="14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2026-01-20T04:06:15Z</dcterms:created>
  <dcterms:modified xsi:type="dcterms:W3CDTF">2026-07-10T06:50:26Z</dcterms:modified>
</cp:coreProperties>
</file>
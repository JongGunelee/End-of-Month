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4 사택 7-303 방1-2 천장 도배 작업\01 자료\"/>
    </mc:Choice>
  </mc:AlternateContent>
  <xr:revisionPtr revIDLastSave="0" documentId="13_ncr:1_{0B0BF314-9A77-4C22-83BD-A3C737010B0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3" i="1"/>
  <c r="E3" i="1"/>
  <c r="D3" i="1"/>
  <c r="C3" i="1"/>
  <c r="B3" i="1"/>
  <c r="J22" i="11" l="1"/>
  <c r="J24" i="11"/>
  <c r="J23" i="11"/>
  <c r="J26" i="11"/>
  <c r="J25" i="11"/>
  <c r="J27" i="11" s="1"/>
  <c r="D11" i="9"/>
  <c r="D10" i="9"/>
  <c r="D8" i="9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M32" i="11" l="1"/>
  <c r="B15" i="11" s="1"/>
  <c r="L29" i="9"/>
  <c r="J29" i="9"/>
  <c r="H29" i="9"/>
  <c r="L27" i="9"/>
  <c r="J27" i="9"/>
  <c r="L15" i="9"/>
  <c r="J15" i="9"/>
  <c r="D15" i="9"/>
  <c r="L11" i="9"/>
  <c r="J11" i="9"/>
  <c r="H10" i="9"/>
  <c r="F10" i="9"/>
  <c r="H8" i="9"/>
  <c r="F8" i="9"/>
  <c r="L30" i="9" l="1"/>
  <c r="J30" i="9"/>
  <c r="N10" i="9"/>
  <c r="F27" i="9"/>
  <c r="H15" i="9"/>
  <c r="F11" i="9"/>
  <c r="H27" i="9"/>
  <c r="H11" i="9"/>
  <c r="N8" i="9"/>
  <c r="N29" i="9"/>
  <c r="F15" i="9"/>
  <c r="F30" i="9" l="1"/>
  <c r="N15" i="9"/>
  <c r="H30" i="9"/>
  <c r="N11" i="9"/>
  <c r="N27" i="9"/>
  <c r="N30" i="9" l="1"/>
  <c r="A6" i="4"/>
  <c r="A3" i="1" s="1"/>
  <c r="O6" i="4"/>
  <c r="Q6" i="4"/>
  <c r="S6" i="4"/>
  <c r="U6" i="4"/>
  <c r="V6" i="4" l="1"/>
  <c r="Q7" i="4" l="1"/>
  <c r="U7" i="4" l="1"/>
  <c r="O7" i="4"/>
  <c r="S7" i="4"/>
  <c r="V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<sst xmlns="http://schemas.openxmlformats.org/spreadsheetml/2006/main" count="197" uniqueCount="148">
  <si>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</si>
  <si>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</si>
  <si>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</si>
  <si>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</si>
  <si>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</si>
  <si>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</si>
  <si>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</si>
  <si>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</si>
  <si>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</si>
  <si>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</si>
  <si>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</si>
  <si>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</si>
  <si>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</si>
  <si>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</si>
  <si>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</si>
  <si>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</si>
  <si>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</si>
  <si>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</si>
  <si>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</si>
  <si>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</si>
  <si>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</si>
  <si>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</si>
  <si>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</si>
  <si>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</si>
  <si>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</si>
  <si>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</si>
  <si>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</si>
  <si>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</si>
  <si>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</si>
  <si>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</si>
  <si>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</si>
  <si>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</si>
  <si>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</si>
  <si>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</si>
  <si>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</si>
  <si>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</si>
  <si>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</si>
  <si>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</si>
  <si>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</si>
  <si>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</si>
  <si>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</si>
  <si>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</si>
  <si>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</si>
  <si>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</si>
  <si>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</si>
  <si>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</si>
  <si>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</si>
  <si>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</si>
  <si>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</si>
  <si>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</si>
  <si>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</si>
  <si>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</si>
  <si>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</si>
  <si>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</si>
  <si>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</si>
  <si>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</si>
  <si>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</si>
  <si>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</si>
  <si>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</si>
  <si>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</si>
  <si>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</si>
  <si>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</si>
  <si>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</si>
  <si>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</si>
  <si>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</si>
  <si>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</si>
  <si>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</si>
  <si>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</si>
  <si>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교체(천장)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</si>
  <si>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</si>
  <si>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</si>
  <si>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</si>
  <si>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</si>
  <si>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</si>
  <si>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</si>
  <si>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</si>
  <si>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</si>
  <si>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</si>
  <si>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R/L</t>
  </si>
  <si>
    <t>7-303 방1,2 천장 도배보수</t>
    <phoneticPr fontId="6" type="noConversion"/>
  </si>
  <si>
    <r>
      <t>일당 시공량-천장 35㎡ 적산정보 500p 참조,</t>
    </r>
    <r>
      <rPr>
        <b/>
        <sz val="10"/>
        <color rgb="FFFF0000"/>
        <rFont val="LG스마트체 Regular"/>
        <family val="3"/>
        <charset val="129"/>
      </rPr>
      <t xml:space="preserve"> 시공총량20/일당35=0.57</t>
    </r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</si>
  <si>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b/>
        <sz val="10"/>
        <color rgb="FFFF0000"/>
        <rFont val="LG스마트체 Regular"/>
        <family val="3"/>
        <charset val="129"/>
      </rPr>
      <t>소요량20/16.51=1.21R/L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</si>
  <si>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</si>
  <si>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</si>
  <si>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</si>
  <si>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</si>
  <si>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</si>
  <si>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</si>
  <si>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</si>
  <si>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</si>
  <si>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</si>
  <si>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</si>
  <si>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</si>
  <si>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</si>
  <si>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</si>
  <si>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</si>
  <si>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</si>
  <si>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</si>
  <si>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</si>
  <si>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</si>
  <si>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</si>
  <si>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</si>
  <si>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</si>
  <si>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</si>
  <si>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</si>
  <si>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</si>
  <si>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</si>
  <si>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</si>
  <si>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</si>
  <si>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</si>
  <si>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</si>
  <si>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</si>
  <si>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</si>
  <si>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</si>
  <si>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</si>
  <si>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</si>
  <si>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</si>
  <si>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</si>
  <si>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</si>
  <si>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</si>
  <si>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</si>
  <si>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</si>
  <si>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</si>
  <si>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</si>
  <si>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</si>
  <si>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</si>
  <si>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</si>
  <si>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</si>
  <si>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</si>
  <si>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</si>
  <si>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</si>
  <si>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</si>
  <si>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</si>
  <si>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</si>
  <si>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</si>
  <si>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</si>
  <si>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</si>
  <si>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</si>
  <si>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</si>
  <si>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</si>
  <si>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</si>
  <si>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</si>
  <si>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</si>
  <si>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</si>
  <si>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</si>
  <si>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</si>
  <si>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7-303 방1-2 천장 도배 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</si>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</sst>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b/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7" fontId="22" fillId="0" borderId="11" xfId="11" applyNumberFormat="1" applyFont="1" applyFill="1" applyBorder="1" applyAlignment="1">
      <alignment horizontal="center" vertical="center" wrapText="1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92" fontId="22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184" fontId="22" fillId="13" borderId="11" xfId="11" applyNumberFormat="1" applyFont="1" applyFill="1" applyBorder="1" applyAlignment="1">
      <alignment horizontal="center" vertical="center"/>
    </xf>
    <xf numFmtId="176" fontId="22" fillId="13" borderId="11" xfId="11" applyFont="1" applyFill="1" applyBorder="1" applyAlignment="1">
      <alignment horizontal="center" vertical="center"/>
    </xf>
    <xf numFmtId="192" fontId="22" fillId="13" borderId="11" xfId="11" applyNumberFormat="1" applyFont="1" applyFill="1" applyBorder="1" applyAlignment="1">
      <alignment horizontal="right" vertical="center"/>
    </xf>
    <xf numFmtId="182" fontId="22" fillId="13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5" borderId="36" xfId="17" applyFont="1" applyFill="1" applyBorder="1" applyAlignment="1">
      <alignment horizontal="center" vertical="center"/>
    </xf>
    <xf numFmtId="0" fontId="39" fillId="15" borderId="37" xfId="17" applyFont="1" applyFill="1" applyBorder="1" applyAlignment="1">
      <alignment horizontal="center" vertical="center"/>
    </xf>
    <xf numFmtId="3" fontId="39" fillId="15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6" borderId="38" xfId="17" applyNumberFormat="1" applyFont="1" applyFill="1" applyBorder="1" applyAlignment="1">
      <alignment horizontal="right" vertical="center"/>
    </xf>
    <xf numFmtId="0" fontId="43" fillId="16" borderId="38" xfId="17" applyFont="1" applyFill="1" applyBorder="1" applyAlignment="1">
      <alignment horizontal="right" vertical="center"/>
    </xf>
    <xf numFmtId="176" fontId="43" fillId="16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6" borderId="69" xfId="17" applyFont="1" applyFill="1" applyBorder="1" applyAlignment="1">
      <alignment horizontal="center" vertical="center"/>
    </xf>
    <xf numFmtId="0" fontId="43" fillId="16" borderId="38" xfId="17" applyFont="1" applyFill="1" applyBorder="1" applyAlignment="1">
      <alignment horizontal="center" vertical="center"/>
    </xf>
    <xf numFmtId="0" fontId="43" fillId="16" borderId="70" xfId="17" applyFont="1" applyFill="1" applyBorder="1" applyAlignment="1">
      <alignment horizontal="center" vertical="center"/>
    </xf>
    <xf numFmtId="9" fontId="43" fillId="16" borderId="71" xfId="2" applyFont="1" applyFill="1" applyBorder="1" applyAlignment="1">
      <alignment horizontal="center" vertical="center"/>
    </xf>
    <xf numFmtId="9" fontId="43" fillId="16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4" borderId="0" xfId="19" applyFont="1" applyFill="1" applyAlignment="1">
      <alignment horizontal="left" vertical="center"/>
    </xf>
    <xf numFmtId="0" fontId="40" fillId="14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5" borderId="37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39" xfId="17" applyFont="1" applyFill="1" applyBorder="1" applyAlignment="1">
      <alignment horizontal="center" vertical="center"/>
    </xf>
    <xf numFmtId="3" fontId="39" fillId="15" borderId="37" xfId="17" applyNumberFormat="1" applyFont="1" applyFill="1" applyBorder="1" applyAlignment="1">
      <alignment horizontal="center" vertical="center"/>
    </xf>
    <xf numFmtId="3" fontId="39" fillId="15" borderId="38" xfId="17" applyNumberFormat="1" applyFont="1" applyFill="1" applyBorder="1" applyAlignment="1">
      <alignment horizontal="center" vertical="center"/>
    </xf>
    <xf numFmtId="3" fontId="39" fillId="15" borderId="39" xfId="17" applyNumberFormat="1" applyFont="1" applyFill="1" applyBorder="1" applyAlignment="1">
      <alignment horizontal="center" vertical="center"/>
    </xf>
    <xf numFmtId="0" fontId="39" fillId="15" borderId="40" xfId="17" applyFont="1" applyFill="1" applyBorder="1" applyAlignment="1">
      <alignment horizontal="center" vertical="center"/>
    </xf>
    <xf numFmtId="193" fontId="38" fillId="14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6A76ED5-D5D6-4939-8AE3-D1A5290A49F1}"/>
    <cellStyle name="쉼표 [0] 2 84" xfId="24" xr:uid="{C6E86408-1B27-43E3-838C-4F98097E421E}"/>
    <cellStyle name="쉼표 [0] 3" xfId="14" xr:uid="{8F7BE219-40E1-4BBB-A9BD-02188B74B2A3}"/>
    <cellStyle name="쉼표 [0] 4" xfId="21" xr:uid="{AF0F1408-2AAD-447C-AE82-C3C37480C0BC}"/>
    <cellStyle name="쉼표 [0] 5" xfId="23" xr:uid="{25CFCAC9-7DC7-4F9B-B63D-5B2557D69E4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F829D34D-B733-4517-BA65-66A47411E4D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7199BED-8A1D-4D83-88E8-414261F4F23D}"/>
    <cellStyle name="표준_P456 공장 및 복지동 전면 유리창 청소건 라상혁님_1129(최종)" xfId="20" xr:uid="{C00A5777-92E8-45BD-AA51-8E1F6506040D}"/>
    <cellStyle name="표준_S&amp;D_MAIN VALVE_최빈_2" xfId="17" xr:uid="{99CE368D-80C9-4079-B06E-5BF03FAD7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FFC57E-F2CF-402D-A426-7C7C3AE9C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A21E-7B97-40DC-8C17-AC9DF6A9211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252" t="s">
        <v>82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2" t="s">
        <v>83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147</v>
      </c>
      <c r="C5" s="163"/>
      <c r="D5" s="163"/>
      <c r="E5" s="163"/>
      <c r="F5" s="163"/>
      <c r="G5" s="164"/>
      <c r="H5" s="164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255" t="s">
        <v>84</v>
      </c>
      <c r="B7" s="256"/>
      <c r="C7" s="257"/>
      <c r="D7" s="165">
        <v>2025</v>
      </c>
      <c r="E7" s="115" t="s">
        <v>85</v>
      </c>
      <c r="F7" s="166">
        <v>4</v>
      </c>
      <c r="G7" s="115" t="s">
        <v>86</v>
      </c>
      <c r="H7" s="166">
        <v>28</v>
      </c>
      <c r="I7" s="115" t="s">
        <v>87</v>
      </c>
      <c r="J7" s="116"/>
      <c r="K7" s="258" t="s">
        <v>88</v>
      </c>
      <c r="L7" s="117" t="s">
        <v>89</v>
      </c>
      <c r="M7" s="117" t="s">
        <v>90</v>
      </c>
      <c r="N7" s="117" t="s">
        <v>91</v>
      </c>
      <c r="O7" s="118" t="s">
        <v>92</v>
      </c>
    </row>
    <row r="8" spans="1:15" ht="23.25" customHeight="1" x14ac:dyDescent="0.3">
      <c r="A8" s="261" t="s">
        <v>93</v>
      </c>
      <c r="B8" s="262"/>
      <c r="C8" s="263"/>
      <c r="D8" s="264" t="s">
        <v>94</v>
      </c>
      <c r="E8" s="265"/>
      <c r="F8" s="265"/>
      <c r="G8" s="266"/>
      <c r="H8" s="267" t="s">
        <v>95</v>
      </c>
      <c r="I8" s="265"/>
      <c r="J8" s="268"/>
      <c r="K8" s="259"/>
      <c r="L8" s="119" t="s">
        <v>96</v>
      </c>
      <c r="M8" s="119" t="s">
        <v>97</v>
      </c>
      <c r="N8" s="119" t="s">
        <v>98</v>
      </c>
      <c r="O8" s="120" t="s">
        <v>99</v>
      </c>
    </row>
    <row r="9" spans="1:15" ht="23.25" customHeight="1" x14ac:dyDescent="0.3">
      <c r="A9" s="261" t="s">
        <v>100</v>
      </c>
      <c r="B9" s="262"/>
      <c r="C9" s="263"/>
      <c r="D9" s="269" t="s">
        <v>101</v>
      </c>
      <c r="E9" s="270"/>
      <c r="F9" s="270"/>
      <c r="G9" s="270"/>
      <c r="H9" s="270"/>
      <c r="I9" s="270"/>
      <c r="J9" s="271"/>
      <c r="K9" s="259"/>
      <c r="L9" s="119" t="s">
        <v>102</v>
      </c>
      <c r="M9" s="272" t="s">
        <v>103</v>
      </c>
      <c r="N9" s="262"/>
      <c r="O9" s="263"/>
    </row>
    <row r="10" spans="1:15" ht="23.25" customHeight="1" thickBot="1" x14ac:dyDescent="0.35">
      <c r="A10" s="273" t="s">
        <v>104</v>
      </c>
      <c r="B10" s="274"/>
      <c r="C10" s="275"/>
      <c r="D10" s="276" t="s">
        <v>105</v>
      </c>
      <c r="E10" s="277"/>
      <c r="F10" s="277"/>
      <c r="G10" s="277"/>
      <c r="H10" s="277"/>
      <c r="I10" s="277"/>
      <c r="J10" s="278"/>
      <c r="K10" s="260"/>
      <c r="L10" s="121" t="s">
        <v>106</v>
      </c>
      <c r="M10" s="121" t="s">
        <v>107</v>
      </c>
      <c r="N10" s="121" t="s">
        <v>108</v>
      </c>
      <c r="O10" s="122" t="s">
        <v>109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248" t="s">
        <v>146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0" t="s">
        <v>110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31" t="str">
        <f>"견 적 금 액 : 一金"&amp;NUMBERSTRING(M32,1) &amp; "원정""(\"&amp; TEXT(M32,"#,###")&amp;"원) [VAT 별도]"</f>
        <v>견 적 금 액 : 一金삼십이만육천팔백원정"(\326,800원)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33"/>
      <c r="L16" s="233"/>
      <c r="M16" s="233"/>
      <c r="N16" s="233"/>
      <c r="O16" s="234"/>
    </row>
    <row r="17" spans="1:17" ht="27.75" customHeight="1" thickBot="1" x14ac:dyDescent="0.35">
      <c r="A17" s="131" t="s">
        <v>111</v>
      </c>
      <c r="B17" s="241" t="s">
        <v>112</v>
      </c>
      <c r="C17" s="242"/>
      <c r="D17" s="242"/>
      <c r="E17" s="242"/>
      <c r="F17" s="242"/>
      <c r="G17" s="243"/>
      <c r="H17" s="132" t="s">
        <v>113</v>
      </c>
      <c r="I17" s="133" t="s">
        <v>114</v>
      </c>
      <c r="J17" s="244" t="s">
        <v>115</v>
      </c>
      <c r="K17" s="245"/>
      <c r="L17" s="245"/>
      <c r="M17" s="246"/>
      <c r="N17" s="241" t="s">
        <v>116</v>
      </c>
      <c r="O17" s="247"/>
    </row>
    <row r="18" spans="1:17" ht="28.5" customHeight="1" x14ac:dyDescent="0.3">
      <c r="A18" s="134">
        <v>1</v>
      </c>
      <c r="B18" s="235" t="s">
        <v>49</v>
      </c>
      <c r="C18" s="236"/>
      <c r="D18" s="236"/>
      <c r="E18" s="236"/>
      <c r="F18" s="236"/>
      <c r="G18" s="237"/>
      <c r="H18" s="167">
        <v>1</v>
      </c>
      <c r="I18" s="168" t="s">
        <v>6</v>
      </c>
      <c r="J18" s="238">
        <f>IFERROR(LOOKUP(2, 1/(TRIM('내역서(표준단가)'!O4:O100)&lt;&gt;""), '내역서(표준단가)'!O4:O100), "-")</f>
        <v>21116.314999999999</v>
      </c>
      <c r="K18" s="238"/>
      <c r="L18" s="238"/>
      <c r="M18" s="238"/>
      <c r="N18" s="239"/>
      <c r="O18" s="240"/>
    </row>
    <row r="19" spans="1:17" ht="28.5" customHeight="1" x14ac:dyDescent="0.3">
      <c r="A19" s="135">
        <v>2</v>
      </c>
      <c r="B19" s="215" t="s">
        <v>50</v>
      </c>
      <c r="C19" s="216"/>
      <c r="D19" s="216"/>
      <c r="E19" s="216"/>
      <c r="F19" s="216"/>
      <c r="G19" s="217"/>
      <c r="H19" s="169">
        <v>1</v>
      </c>
      <c r="I19" s="169" t="s">
        <v>6</v>
      </c>
      <c r="J19" s="218">
        <f>IFERROR(LOOKUP(2, 1/(TRIM('내역서(표준단가)'!Q4:Q100)&lt;&gt;""), '내역서(표준단가)'!Q4:Q100), "-")</f>
        <v>231823.82219999994</v>
      </c>
      <c r="K19" s="219"/>
      <c r="L19" s="219"/>
      <c r="M19" s="220"/>
      <c r="N19" s="221"/>
      <c r="O19" s="222"/>
    </row>
    <row r="20" spans="1:17" ht="28.5" customHeight="1" x14ac:dyDescent="0.3">
      <c r="A20" s="135">
        <v>3</v>
      </c>
      <c r="B20" s="223" t="s">
        <v>117</v>
      </c>
      <c r="C20" s="224"/>
      <c r="D20" s="224"/>
      <c r="E20" s="224"/>
      <c r="F20" s="224"/>
      <c r="G20" s="225"/>
      <c r="H20" s="136">
        <v>1</v>
      </c>
      <c r="I20" s="136" t="s">
        <v>6</v>
      </c>
      <c r="J20" s="226">
        <f>IFERROR(SUM(J21:M29),"-")</f>
        <v>38175.264444810193</v>
      </c>
      <c r="K20" s="227"/>
      <c r="L20" s="227"/>
      <c r="M20" s="228"/>
      <c r="N20" s="229"/>
      <c r="O20" s="230"/>
      <c r="P20" s="137"/>
    </row>
    <row r="21" spans="1:17" ht="28.5" customHeight="1" x14ac:dyDescent="0.3">
      <c r="A21" s="134"/>
      <c r="B21" s="138"/>
      <c r="C21" s="207" t="s">
        <v>118</v>
      </c>
      <c r="D21" s="208"/>
      <c r="E21" s="208"/>
      <c r="F21" s="208"/>
      <c r="G21" s="209"/>
      <c r="H21" s="170">
        <v>1</v>
      </c>
      <c r="I21" s="170" t="s">
        <v>6</v>
      </c>
      <c r="J21" s="21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1"/>
      <c r="L21" s="211"/>
      <c r="M21" s="212"/>
      <c r="N21" s="213" t="s">
        <v>119</v>
      </c>
      <c r="O21" s="214"/>
    </row>
    <row r="22" spans="1:17" ht="28.5" customHeight="1" x14ac:dyDescent="0.3">
      <c r="A22" s="134"/>
      <c r="B22" s="138"/>
      <c r="C22" s="201" t="s">
        <v>120</v>
      </c>
      <c r="D22" s="202"/>
      <c r="E22" s="202"/>
      <c r="F22" s="202"/>
      <c r="G22" s="203"/>
      <c r="H22" s="139">
        <v>3.11</v>
      </c>
      <c r="I22" s="139" t="s">
        <v>121</v>
      </c>
      <c r="J22" s="204">
        <f>IFERROR((J18+J19)*H22%,"-")</f>
        <v>7866.4382669199977</v>
      </c>
      <c r="K22" s="205"/>
      <c r="L22" s="205"/>
      <c r="M22" s="206"/>
      <c r="N22" s="197" t="s">
        <v>122</v>
      </c>
      <c r="O22" s="198"/>
    </row>
    <row r="23" spans="1:17" ht="28.5" customHeight="1" x14ac:dyDescent="0.3">
      <c r="A23" s="134"/>
      <c r="B23" s="138"/>
      <c r="C23" s="201" t="s">
        <v>123</v>
      </c>
      <c r="D23" s="202"/>
      <c r="E23" s="202"/>
      <c r="F23" s="202"/>
      <c r="G23" s="203"/>
      <c r="H23" s="139">
        <v>3.56</v>
      </c>
      <c r="I23" s="139" t="s">
        <v>124</v>
      </c>
      <c r="J23" s="204">
        <f>IFERROR(J19*H23%,"-")</f>
        <v>8252.9280703199984</v>
      </c>
      <c r="K23" s="205"/>
      <c r="L23" s="205"/>
      <c r="M23" s="206"/>
      <c r="N23" s="197" t="s">
        <v>125</v>
      </c>
      <c r="O23" s="198"/>
    </row>
    <row r="24" spans="1:17" ht="28.5" customHeight="1" x14ac:dyDescent="0.3">
      <c r="A24" s="134"/>
      <c r="B24" s="138"/>
      <c r="C24" s="201" t="s">
        <v>126</v>
      </c>
      <c r="D24" s="202"/>
      <c r="E24" s="202"/>
      <c r="F24" s="202"/>
      <c r="G24" s="203"/>
      <c r="H24" s="139">
        <v>1.01</v>
      </c>
      <c r="I24" s="139" t="s">
        <v>124</v>
      </c>
      <c r="J24" s="204">
        <f>IFERROR(J19*H24%,"-")</f>
        <v>2341.4206042199994</v>
      </c>
      <c r="K24" s="205"/>
      <c r="L24" s="205"/>
      <c r="M24" s="206"/>
      <c r="N24" s="197" t="s">
        <v>127</v>
      </c>
      <c r="O24" s="198"/>
    </row>
    <row r="25" spans="1:17" ht="28.5" customHeight="1" x14ac:dyDescent="0.3">
      <c r="A25" s="134"/>
      <c r="B25" s="138"/>
      <c r="C25" s="201" t="s">
        <v>128</v>
      </c>
      <c r="D25" s="202"/>
      <c r="E25" s="202"/>
      <c r="F25" s="202"/>
      <c r="G25" s="203"/>
      <c r="H25" s="140">
        <v>3.5449999999999999</v>
      </c>
      <c r="I25" s="139" t="s">
        <v>124</v>
      </c>
      <c r="J25" s="204">
        <f>IFERROR(J19*H25%,"-")</f>
        <v>8218.1544969899987</v>
      </c>
      <c r="K25" s="205"/>
      <c r="L25" s="205"/>
      <c r="M25" s="206"/>
      <c r="N25" s="197" t="s">
        <v>129</v>
      </c>
      <c r="O25" s="198"/>
      <c r="Q25" s="137"/>
    </row>
    <row r="26" spans="1:17" ht="28.5" customHeight="1" x14ac:dyDescent="0.3">
      <c r="A26" s="134"/>
      <c r="B26" s="138"/>
      <c r="C26" s="201" t="s">
        <v>130</v>
      </c>
      <c r="D26" s="202"/>
      <c r="E26" s="202"/>
      <c r="F26" s="202"/>
      <c r="G26" s="203"/>
      <c r="H26" s="139">
        <v>4.5</v>
      </c>
      <c r="I26" s="139" t="s">
        <v>124</v>
      </c>
      <c r="J26" s="204">
        <f>IFERROR(J19*H26%,"-")</f>
        <v>10432.071998999996</v>
      </c>
      <c r="K26" s="205"/>
      <c r="L26" s="205"/>
      <c r="M26" s="206"/>
      <c r="N26" s="197" t="s">
        <v>131</v>
      </c>
      <c r="O26" s="198"/>
      <c r="Q26" s="141"/>
    </row>
    <row r="27" spans="1:17" ht="28.5" customHeight="1" x14ac:dyDescent="0.3">
      <c r="A27" s="134"/>
      <c r="B27" s="138"/>
      <c r="C27" s="191" t="s">
        <v>132</v>
      </c>
      <c r="D27" s="192"/>
      <c r="E27" s="192"/>
      <c r="F27" s="192"/>
      <c r="G27" s="193"/>
      <c r="H27" s="142">
        <v>12.95</v>
      </c>
      <c r="I27" s="143" t="s">
        <v>124</v>
      </c>
      <c r="J27" s="194">
        <f>IFERROR($H$27*J25%,"-")</f>
        <v>1064.2510073602048</v>
      </c>
      <c r="K27" s="195"/>
      <c r="L27" s="195"/>
      <c r="M27" s="196"/>
      <c r="N27" s="197" t="s">
        <v>133</v>
      </c>
      <c r="O27" s="198"/>
    </row>
    <row r="28" spans="1:17" ht="28.5" customHeight="1" x14ac:dyDescent="0.3">
      <c r="A28" s="134"/>
      <c r="B28" s="138"/>
      <c r="C28" s="191" t="s">
        <v>134</v>
      </c>
      <c r="D28" s="192"/>
      <c r="E28" s="192"/>
      <c r="F28" s="192"/>
      <c r="G28" s="193"/>
      <c r="H28" s="142">
        <v>8.1000000000000003E-2</v>
      </c>
      <c r="I28" s="143" t="s">
        <v>124</v>
      </c>
      <c r="J28" s="194" t="str">
        <f>IFERROR(IF(SUM(J21:J27,J18:J19)&gt;=10000000,SUM(J21:J27,J18:J19)*H28%,"-"),"-")</f>
        <v>-</v>
      </c>
      <c r="K28" s="195"/>
      <c r="L28" s="195"/>
      <c r="M28" s="196"/>
      <c r="N28" s="199" t="s">
        <v>135</v>
      </c>
      <c r="O28" s="200"/>
    </row>
    <row r="29" spans="1:17" ht="28.5" customHeight="1" x14ac:dyDescent="0.3">
      <c r="A29" s="144"/>
      <c r="B29" s="145"/>
      <c r="C29" s="171" t="s">
        <v>136</v>
      </c>
      <c r="D29" s="172"/>
      <c r="E29" s="172"/>
      <c r="F29" s="172"/>
      <c r="G29" s="173"/>
      <c r="H29" s="146">
        <v>1</v>
      </c>
      <c r="I29" s="147" t="s">
        <v>137</v>
      </c>
      <c r="J29" s="174">
        <f>34*0</f>
        <v>0</v>
      </c>
      <c r="K29" s="175"/>
      <c r="L29" s="175"/>
      <c r="M29" s="176"/>
      <c r="N29" s="177" t="s">
        <v>138</v>
      </c>
      <c r="O29" s="178"/>
    </row>
    <row r="30" spans="1:17" ht="28.5" customHeight="1" x14ac:dyDescent="0.3">
      <c r="A30" s="144">
        <v>4</v>
      </c>
      <c r="B30" s="145"/>
      <c r="C30" s="171" t="s">
        <v>139</v>
      </c>
      <c r="D30" s="172"/>
      <c r="E30" s="172"/>
      <c r="F30" s="172"/>
      <c r="G30" s="173"/>
      <c r="H30" s="147">
        <v>5</v>
      </c>
      <c r="I30" s="148" t="s">
        <v>140</v>
      </c>
      <c r="J30" s="184">
        <f>IFERROR(IF(ISNUMBER(H30), SUM(J18:M20) * (H30 / 100), "-"), "-")</f>
        <v>14555.770082240506</v>
      </c>
      <c r="K30" s="185"/>
      <c r="L30" s="185"/>
      <c r="M30" s="186"/>
      <c r="N30" s="187" t="s">
        <v>141</v>
      </c>
      <c r="O30" s="188"/>
    </row>
    <row r="31" spans="1:17" ht="28.5" customHeight="1" thickBot="1" x14ac:dyDescent="0.35">
      <c r="A31" s="144">
        <v>5</v>
      </c>
      <c r="B31" s="145"/>
      <c r="C31" s="171" t="s">
        <v>142</v>
      </c>
      <c r="D31" s="172"/>
      <c r="E31" s="172"/>
      <c r="F31" s="172"/>
      <c r="G31" s="173"/>
      <c r="H31" s="147">
        <v>7.5</v>
      </c>
      <c r="I31" s="148" t="s">
        <v>124</v>
      </c>
      <c r="J31" s="174">
        <f>IFERROR(SUM(J18:M20, J30) * (H31 / 100), "-")+-1796</f>
        <v>21129.337879528797</v>
      </c>
      <c r="K31" s="175"/>
      <c r="L31" s="175"/>
      <c r="M31" s="176"/>
      <c r="N31" s="189" t="s">
        <v>143</v>
      </c>
      <c r="O31" s="190"/>
      <c r="Q31" s="149"/>
    </row>
    <row r="32" spans="1:17" ht="28.5" customHeight="1" thickBot="1" x14ac:dyDescent="0.35">
      <c r="A32" s="179" t="s">
        <v>144</v>
      </c>
      <c r="B32" s="180"/>
      <c r="C32" s="180"/>
      <c r="D32" s="180"/>
      <c r="E32" s="180"/>
      <c r="F32" s="180"/>
      <c r="G32" s="180"/>
      <c r="H32" s="180"/>
      <c r="I32" s="181"/>
      <c r="J32" s="150"/>
      <c r="K32" s="151"/>
      <c r="L32" s="151"/>
      <c r="M32" s="152">
        <f>IFERROR(ROUNDDOWN(SUM(J18:M20)+J30+J31,0),"-")</f>
        <v>326800</v>
      </c>
      <c r="N32" s="182"/>
      <c r="O32" s="183"/>
      <c r="P32" s="153"/>
    </row>
    <row r="33" spans="1:15" x14ac:dyDescent="0.3">
      <c r="A33" s="154" t="s">
        <v>145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7"/>
  <sheetViews>
    <sheetView showGridLines="0" zoomScale="80" zoomScaleNormal="80" workbookViewId="0">
      <pane ySplit="4" topLeftCell="A5" activePane="bottomLeft" state="frozen"/>
      <selection pane="bottomLeft" activeCell="P14" sqref="P14"/>
    </sheetView>
  </sheetViews>
  <sheetFormatPr defaultColWidth="9" defaultRowHeight="38.1" customHeight="1" x14ac:dyDescent="0.3"/>
  <cols>
    <col min="1" max="1" width="22.625" style="80" bestFit="1" customWidth="1"/>
    <col min="2" max="5" width="4.625" style="80" hidden="1" customWidth="1"/>
    <col min="6" max="6" width="9" style="70" hidden="1" customWidth="1"/>
    <col min="7" max="9" width="12.625" style="70" hidden="1" customWidth="1"/>
    <col min="10" max="11" width="30.625" style="65" customWidth="1"/>
    <col min="12" max="12" width="12.375" style="70" bestFit="1" customWidth="1"/>
    <col min="13" max="13" width="8.25" style="70" customWidth="1"/>
    <col min="14" max="14" width="10.625" style="70" bestFit="1" customWidth="1"/>
    <col min="15" max="15" width="13.25" style="70" bestFit="1" customWidth="1"/>
    <col min="16" max="16" width="12" style="70" bestFit="1" customWidth="1"/>
    <col min="17" max="17" width="15.625" style="70" bestFit="1" customWidth="1"/>
    <col min="18" max="18" width="9" style="70" customWidth="1"/>
    <col min="19" max="19" width="8.75" style="70" bestFit="1" customWidth="1"/>
    <col min="20" max="20" width="10.5" style="70" customWidth="1"/>
    <col min="21" max="21" width="8.75" style="70" bestFit="1" customWidth="1"/>
    <col min="22" max="22" width="15.625" style="70" bestFit="1" customWidth="1"/>
    <col min="23" max="23" width="10.625" style="2" bestFit="1" customWidth="1"/>
    <col min="24" max="24" width="8.5" style="70" bestFit="1" customWidth="1"/>
    <col min="25" max="16384" width="9" style="70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2"/>
      <c r="O1" s="68" t="s">
        <v>46</v>
      </c>
      <c r="Q1" s="68" t="s">
        <v>46</v>
      </c>
      <c r="S1" s="68" t="s">
        <v>46</v>
      </c>
      <c r="U1" s="68" t="s">
        <v>46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1"/>
      <c r="B3" s="72"/>
      <c r="C3" s="72"/>
      <c r="D3" s="72"/>
      <c r="E3" s="72"/>
      <c r="F3" s="72" t="s">
        <v>47</v>
      </c>
      <c r="G3" s="72"/>
      <c r="H3" s="72"/>
      <c r="I3" s="72"/>
      <c r="J3" s="290" t="s">
        <v>48</v>
      </c>
      <c r="K3" s="290"/>
      <c r="L3" s="288" t="s">
        <v>8</v>
      </c>
      <c r="M3" s="288" t="s">
        <v>5</v>
      </c>
      <c r="N3" s="284" t="s">
        <v>49</v>
      </c>
      <c r="O3" s="284"/>
      <c r="P3" s="284" t="s">
        <v>50</v>
      </c>
      <c r="Q3" s="284"/>
      <c r="R3" s="285" t="s">
        <v>51</v>
      </c>
      <c r="S3" s="285"/>
      <c r="T3" s="285" t="s">
        <v>52</v>
      </c>
      <c r="U3" s="285"/>
      <c r="V3" s="286" t="s">
        <v>53</v>
      </c>
      <c r="W3" s="282" t="s">
        <v>54</v>
      </c>
      <c r="X3" s="280" t="s">
        <v>7</v>
      </c>
    </row>
    <row r="4" spans="1:24" ht="19.899999999999999" customHeight="1" x14ac:dyDescent="0.3">
      <c r="A4" s="5" t="s">
        <v>55</v>
      </c>
      <c r="B4" s="69"/>
      <c r="C4" s="69"/>
      <c r="D4" s="69"/>
      <c r="E4" s="69"/>
      <c r="F4" s="6" t="s">
        <v>56</v>
      </c>
      <c r="G4" s="6" t="s">
        <v>57</v>
      </c>
      <c r="H4" s="6" t="s">
        <v>58</v>
      </c>
      <c r="I4" s="6" t="s">
        <v>59</v>
      </c>
      <c r="J4" s="66" t="s">
        <v>60</v>
      </c>
      <c r="K4" s="66" t="s">
        <v>61</v>
      </c>
      <c r="L4" s="289"/>
      <c r="M4" s="289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87"/>
      <c r="W4" s="283"/>
      <c r="X4" s="281"/>
    </row>
    <row r="5" spans="1:24" s="73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76</v>
      </c>
      <c r="I5" s="36"/>
      <c r="J5" s="64" t="s">
        <v>77</v>
      </c>
      <c r="K5" s="83" t="s">
        <v>81</v>
      </c>
      <c r="L5" s="53" t="s">
        <v>78</v>
      </c>
      <c r="M5" s="82">
        <v>1.21</v>
      </c>
      <c r="N5" s="81">
        <v>20900</v>
      </c>
      <c r="O5" s="61">
        <f t="shared" ref="O5" si="1">SUM(N5:N5)*M5*$O$2</f>
        <v>21116.314999999999</v>
      </c>
      <c r="P5" s="60"/>
      <c r="Q5" s="61">
        <f t="shared" ref="Q5" si="2">(P5*M5)*$Q$2</f>
        <v>0</v>
      </c>
      <c r="R5" s="62"/>
      <c r="S5" s="61">
        <f t="shared" ref="S5" si="3">R5*M5*$S$2</f>
        <v>0</v>
      </c>
      <c r="T5" s="62"/>
      <c r="U5" s="61">
        <f t="shared" ref="U5" si="4">T5*M5*$U$2</f>
        <v>0</v>
      </c>
      <c r="V5" s="12">
        <f t="shared" ref="V5" si="5">SUM(O5+Q5)+S5+U5</f>
        <v>21116.314999999999</v>
      </c>
      <c r="W5" s="52"/>
      <c r="X5" s="13"/>
    </row>
    <row r="6" spans="1:24" s="73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64" t="s">
        <v>68</v>
      </c>
      <c r="K6" s="83" t="s">
        <v>80</v>
      </c>
      <c r="L6" s="11" t="s">
        <v>67</v>
      </c>
      <c r="M6" s="82">
        <v>0.56999999999999995</v>
      </c>
      <c r="N6" s="63"/>
      <c r="O6" s="61">
        <f t="shared" ref="O6" si="7">SUM(N6:N6)*M6*$O$2</f>
        <v>0</v>
      </c>
      <c r="P6" s="60">
        <v>487076</v>
      </c>
      <c r="Q6" s="61">
        <f t="shared" ref="Q6" si="8">(P6*M6)*$Q$2</f>
        <v>231823.82219999994</v>
      </c>
      <c r="R6" s="62"/>
      <c r="S6" s="61">
        <f t="shared" ref="S6" si="9">R6*M6*$S$2</f>
        <v>0</v>
      </c>
      <c r="T6" s="62"/>
      <c r="U6" s="61">
        <f t="shared" ref="U6" si="10">T6*M6*$U$2</f>
        <v>0</v>
      </c>
      <c r="V6" s="12">
        <f t="shared" ref="V6" si="11">SUM(O6+Q6)+S6+U6</f>
        <v>231823.82219999994</v>
      </c>
      <c r="W6" s="52"/>
      <c r="X6" s="13"/>
    </row>
    <row r="7" spans="1:24" s="79" customFormat="1" ht="38.1" customHeight="1" x14ac:dyDescent="0.3">
      <c r="A7" s="74"/>
      <c r="B7" s="75"/>
      <c r="C7" s="75"/>
      <c r="D7" s="75"/>
      <c r="E7" s="75"/>
      <c r="F7" s="75"/>
      <c r="G7" s="75"/>
      <c r="H7" s="75"/>
      <c r="I7" s="75"/>
      <c r="J7" s="67"/>
      <c r="K7" s="67"/>
      <c r="L7" s="75"/>
      <c r="M7" s="75"/>
      <c r="N7" s="75"/>
      <c r="O7" s="76">
        <f>SUM(O5:O6)</f>
        <v>21116.314999999999</v>
      </c>
      <c r="P7" s="77"/>
      <c r="Q7" s="76">
        <f>SUM(Q5:Q6)</f>
        <v>231823.82219999994</v>
      </c>
      <c r="R7" s="77"/>
      <c r="S7" s="76">
        <f>SUM(S5:S6)</f>
        <v>0</v>
      </c>
      <c r="T7" s="77"/>
      <c r="U7" s="76">
        <f>SUM(U5:U6)</f>
        <v>0</v>
      </c>
      <c r="V7" s="78">
        <f>SUM(V5:V6)</f>
        <v>252940.13719999994</v>
      </c>
      <c r="W7" s="45"/>
      <c r="X7" s="7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M37" sqref="M37"/>
    </sheetView>
  </sheetViews>
  <sheetFormatPr defaultColWidth="9" defaultRowHeight="14.25" x14ac:dyDescent="0.3"/>
  <cols>
    <col min="1" max="1" width="22.625" style="35" customWidth="1"/>
    <col min="2" max="2" width="27.625" style="35" customWidth="1"/>
    <col min="3" max="3" width="5.75" style="35" customWidth="1"/>
    <col min="4" max="4" width="5.75" style="35" bestFit="1" customWidth="1"/>
    <col min="5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5" ht="27" customHeight="1" x14ac:dyDescent="0.3">
      <c r="A1" s="293" t="s">
        <v>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ht="15" customHeight="1" x14ac:dyDescent="0.3">
      <c r="A2" s="294" t="s">
        <v>10</v>
      </c>
      <c r="B2" s="295" t="s">
        <v>11</v>
      </c>
      <c r="C2" s="296" t="s">
        <v>8</v>
      </c>
      <c r="D2" s="296" t="s">
        <v>12</v>
      </c>
      <c r="E2" s="298" t="s">
        <v>13</v>
      </c>
      <c r="F2" s="295"/>
      <c r="G2" s="295" t="s">
        <v>14</v>
      </c>
      <c r="H2" s="295"/>
      <c r="I2" s="299" t="s">
        <v>15</v>
      </c>
      <c r="J2" s="300"/>
      <c r="K2" s="299" t="s">
        <v>16</v>
      </c>
      <c r="L2" s="300"/>
      <c r="M2" s="298" t="s">
        <v>17</v>
      </c>
      <c r="N2" s="295"/>
      <c r="O2" s="301" t="s">
        <v>18</v>
      </c>
    </row>
    <row r="3" spans="1:15" ht="15" customHeight="1" x14ac:dyDescent="0.3">
      <c r="A3" s="294"/>
      <c r="B3" s="295"/>
      <c r="C3" s="297"/>
      <c r="D3" s="297"/>
      <c r="E3" s="57" t="s">
        <v>19</v>
      </c>
      <c r="F3" s="57" t="s">
        <v>20</v>
      </c>
      <c r="G3" s="15" t="s">
        <v>19</v>
      </c>
      <c r="H3" s="57" t="s">
        <v>21</v>
      </c>
      <c r="I3" s="57"/>
      <c r="J3" s="57"/>
      <c r="K3" s="15" t="s">
        <v>19</v>
      </c>
      <c r="L3" s="57" t="s">
        <v>21</v>
      </c>
      <c r="M3" s="15" t="s">
        <v>19</v>
      </c>
      <c r="N3" s="57" t="s">
        <v>21</v>
      </c>
      <c r="O3" s="302"/>
    </row>
    <row r="4" spans="1:15" ht="15" customHeight="1" x14ac:dyDescent="0.3">
      <c r="A4" s="291" t="s">
        <v>79</v>
      </c>
      <c r="B4" s="29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4" t="s">
        <v>22</v>
      </c>
      <c r="B5" s="84" t="s">
        <v>23</v>
      </c>
      <c r="C5" s="85" t="s">
        <v>24</v>
      </c>
      <c r="D5" s="92"/>
      <c r="E5" s="19"/>
      <c r="F5" s="19"/>
      <c r="G5" s="19"/>
      <c r="H5" s="19"/>
      <c r="I5" s="19"/>
      <c r="J5" s="19"/>
      <c r="K5" s="19"/>
      <c r="L5" s="19"/>
      <c r="M5" s="19"/>
      <c r="N5" s="19"/>
      <c r="O5" s="306"/>
    </row>
    <row r="6" spans="1:15" ht="15" customHeight="1" x14ac:dyDescent="0.3">
      <c r="A6" s="305"/>
      <c r="B6" s="84" t="s">
        <v>25</v>
      </c>
      <c r="C6" s="85" t="s">
        <v>24</v>
      </c>
      <c r="D6" s="92"/>
      <c r="E6" s="19"/>
      <c r="F6" s="19"/>
      <c r="G6" s="19"/>
      <c r="H6" s="19"/>
      <c r="I6" s="19"/>
      <c r="J6" s="19"/>
      <c r="K6" s="19"/>
      <c r="L6" s="19"/>
      <c r="M6" s="19"/>
      <c r="N6" s="19"/>
      <c r="O6" s="307"/>
    </row>
    <row r="7" spans="1:15" ht="15" customHeight="1" x14ac:dyDescent="0.3">
      <c r="A7" s="305"/>
      <c r="B7" s="84" t="s">
        <v>26</v>
      </c>
      <c r="C7" s="85" t="s">
        <v>24</v>
      </c>
      <c r="D7" s="92"/>
      <c r="E7" s="19"/>
      <c r="F7" s="19"/>
      <c r="G7" s="19"/>
      <c r="H7" s="19"/>
      <c r="I7" s="19"/>
      <c r="J7" s="19"/>
      <c r="K7" s="19"/>
      <c r="L7" s="19"/>
      <c r="M7" s="19"/>
      <c r="N7" s="19"/>
      <c r="O7" s="307"/>
    </row>
    <row r="8" spans="1:15" ht="15" customHeight="1" x14ac:dyDescent="0.3">
      <c r="A8" s="305"/>
      <c r="B8" s="94" t="s">
        <v>27</v>
      </c>
      <c r="C8" s="95" t="s">
        <v>24</v>
      </c>
      <c r="D8" s="96">
        <f>12-0.2</f>
        <v>11.8</v>
      </c>
      <c r="E8" s="97">
        <v>1057</v>
      </c>
      <c r="F8" s="97">
        <f t="shared" ref="F8:F10" si="0">D8*E8</f>
        <v>12472.6</v>
      </c>
      <c r="G8" s="97">
        <v>11617.4</v>
      </c>
      <c r="H8" s="97">
        <f t="shared" ref="H8:H10" si="1">D8*G8</f>
        <v>137085.32</v>
      </c>
      <c r="I8" s="97"/>
      <c r="J8" s="97"/>
      <c r="K8" s="97"/>
      <c r="L8" s="97"/>
      <c r="M8" s="97"/>
      <c r="N8" s="97">
        <f t="shared" ref="N8:N10" si="2">F8+H8+J8+L8</f>
        <v>149557.92000000001</v>
      </c>
      <c r="O8" s="307"/>
    </row>
    <row r="9" spans="1:15" ht="15" customHeight="1" x14ac:dyDescent="0.3">
      <c r="A9" s="305"/>
      <c r="B9" s="84" t="s">
        <v>28</v>
      </c>
      <c r="C9" s="85" t="s">
        <v>24</v>
      </c>
      <c r="D9" s="92"/>
      <c r="E9" s="19"/>
      <c r="F9" s="19"/>
      <c r="G9" s="19"/>
      <c r="H9" s="19"/>
      <c r="I9" s="19"/>
      <c r="J9" s="19"/>
      <c r="K9" s="19"/>
      <c r="L9" s="19"/>
      <c r="M9" s="19"/>
      <c r="N9" s="19"/>
      <c r="O9" s="307"/>
    </row>
    <row r="10" spans="1:15" ht="15" customHeight="1" x14ac:dyDescent="0.3">
      <c r="A10" s="305"/>
      <c r="B10" s="94" t="s">
        <v>29</v>
      </c>
      <c r="C10" s="95" t="s">
        <v>24</v>
      </c>
      <c r="D10" s="96">
        <f>12-3.9</f>
        <v>8.1</v>
      </c>
      <c r="E10" s="97">
        <v>1057</v>
      </c>
      <c r="F10" s="97">
        <f t="shared" si="0"/>
        <v>8561.6999999999989</v>
      </c>
      <c r="G10" s="97">
        <v>11617.4</v>
      </c>
      <c r="H10" s="97">
        <f t="shared" si="1"/>
        <v>94100.939999999988</v>
      </c>
      <c r="I10" s="97"/>
      <c r="J10" s="97"/>
      <c r="K10" s="97"/>
      <c r="L10" s="97"/>
      <c r="M10" s="97"/>
      <c r="N10" s="97">
        <f t="shared" si="2"/>
        <v>102662.63999999998</v>
      </c>
      <c r="O10" s="307"/>
    </row>
    <row r="11" spans="1:15" ht="15" customHeight="1" x14ac:dyDescent="0.3">
      <c r="A11" s="46" t="s">
        <v>30</v>
      </c>
      <c r="B11" s="47"/>
      <c r="C11" s="48"/>
      <c r="D11" s="93">
        <f>SUM(D5:D10)</f>
        <v>19.899999999999999</v>
      </c>
      <c r="E11" s="49"/>
      <c r="F11" s="49">
        <f>SUM(F5:F10)</f>
        <v>21034.3</v>
      </c>
      <c r="G11" s="49"/>
      <c r="H11" s="49">
        <f>SUM(H5:H10)</f>
        <v>231186.26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252220.56</v>
      </c>
      <c r="O11" s="49"/>
    </row>
    <row r="12" spans="1:15" ht="15" customHeight="1" x14ac:dyDescent="0.3">
      <c r="A12" s="308" t="s">
        <v>75</v>
      </c>
      <c r="B12" s="17" t="s">
        <v>31</v>
      </c>
      <c r="C12" s="18" t="s">
        <v>24</v>
      </c>
      <c r="D12" s="90"/>
      <c r="E12" s="54"/>
      <c r="F12" s="54"/>
      <c r="G12" s="19"/>
      <c r="H12" s="54"/>
      <c r="I12" s="54"/>
      <c r="J12" s="54"/>
      <c r="K12" s="19"/>
      <c r="L12" s="54"/>
      <c r="M12" s="19"/>
      <c r="N12" s="54"/>
      <c r="O12" s="307"/>
    </row>
    <row r="13" spans="1:15" ht="15" customHeight="1" x14ac:dyDescent="0.3">
      <c r="A13" s="308"/>
      <c r="B13" s="17" t="s">
        <v>32</v>
      </c>
      <c r="C13" s="18" t="s">
        <v>24</v>
      </c>
      <c r="D13" s="91"/>
      <c r="E13" s="54"/>
      <c r="F13" s="54"/>
      <c r="G13" s="19"/>
      <c r="H13" s="54"/>
      <c r="I13" s="54"/>
      <c r="J13" s="54"/>
      <c r="K13" s="19"/>
      <c r="L13" s="54"/>
      <c r="M13" s="19"/>
      <c r="N13" s="54"/>
      <c r="O13" s="307"/>
    </row>
    <row r="14" spans="1:15" ht="15" customHeight="1" x14ac:dyDescent="0.3">
      <c r="A14" s="308"/>
      <c r="B14" s="17" t="s">
        <v>33</v>
      </c>
      <c r="C14" s="18" t="s">
        <v>24</v>
      </c>
      <c r="D14" s="91"/>
      <c r="E14" s="54"/>
      <c r="F14" s="54"/>
      <c r="G14" s="19"/>
      <c r="H14" s="54"/>
      <c r="I14" s="54"/>
      <c r="J14" s="54"/>
      <c r="K14" s="19"/>
      <c r="L14" s="54"/>
      <c r="M14" s="19"/>
      <c r="N14" s="54"/>
      <c r="O14" s="307"/>
    </row>
    <row r="15" spans="1:15" ht="15" customHeight="1" x14ac:dyDescent="0.3">
      <c r="A15" s="37" t="s">
        <v>30</v>
      </c>
      <c r="B15" s="20"/>
      <c r="C15" s="24"/>
      <c r="D15" s="24">
        <f>SUM(D12:D14)</f>
        <v>0</v>
      </c>
      <c r="E15" s="23"/>
      <c r="F15" s="23">
        <f>SUM(F12:F14)</f>
        <v>0</v>
      </c>
      <c r="G15" s="23"/>
      <c r="H15" s="23">
        <f>SUM(H12:H14)</f>
        <v>0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0</v>
      </c>
      <c r="O15" s="23"/>
    </row>
    <row r="16" spans="1:15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86" t="s">
        <v>74</v>
      </c>
      <c r="B17" s="87" t="s">
        <v>71</v>
      </c>
      <c r="C17" s="87" t="s">
        <v>70</v>
      </c>
      <c r="D17" s="88"/>
      <c r="E17" s="19"/>
      <c r="F17" s="54"/>
      <c r="G17" s="19"/>
      <c r="H17" s="19"/>
      <c r="I17" s="19"/>
      <c r="J17" s="19"/>
      <c r="K17" s="19"/>
      <c r="L17" s="19"/>
      <c r="M17" s="19"/>
      <c r="N17" s="55"/>
      <c r="O17" s="19"/>
    </row>
    <row r="18" spans="1:15" ht="15" customHeight="1" x14ac:dyDescent="0.3">
      <c r="A18" s="309" t="s">
        <v>35</v>
      </c>
      <c r="B18" s="84" t="s">
        <v>36</v>
      </c>
      <c r="C18" s="85" t="s">
        <v>24</v>
      </c>
      <c r="D18" s="89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19"/>
    </row>
    <row r="19" spans="1:15" ht="15" customHeight="1" x14ac:dyDescent="0.3">
      <c r="A19" s="309"/>
      <c r="B19" s="84" t="s">
        <v>37</v>
      </c>
      <c r="C19" s="85" t="s">
        <v>24</v>
      </c>
      <c r="D19" s="89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19"/>
    </row>
    <row r="20" spans="1:15" ht="15" customHeight="1" x14ac:dyDescent="0.3">
      <c r="A20" s="303" t="s">
        <v>38</v>
      </c>
      <c r="B20" s="25" t="s">
        <v>36</v>
      </c>
      <c r="C20" s="26" t="s">
        <v>24</v>
      </c>
      <c r="D20" s="27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19"/>
    </row>
    <row r="21" spans="1:15" ht="15" customHeight="1" x14ac:dyDescent="0.3">
      <c r="A21" s="303"/>
      <c r="B21" s="25" t="s">
        <v>37</v>
      </c>
      <c r="C21" s="26" t="s">
        <v>24</v>
      </c>
      <c r="D21" s="2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19"/>
    </row>
    <row r="22" spans="1:15" ht="15" customHeight="1" x14ac:dyDescent="0.3">
      <c r="A22" s="59" t="s">
        <v>72</v>
      </c>
      <c r="B22" s="58" t="s">
        <v>73</v>
      </c>
      <c r="C22" s="58" t="s">
        <v>70</v>
      </c>
      <c r="D22" s="50"/>
      <c r="E22" s="19"/>
      <c r="F22" s="55"/>
      <c r="G22" s="19"/>
      <c r="H22" s="19"/>
      <c r="I22" s="19"/>
      <c r="J22" s="19"/>
      <c r="K22" s="19"/>
      <c r="L22" s="19"/>
      <c r="M22" s="19"/>
      <c r="N22" s="55"/>
      <c r="O22" s="19"/>
    </row>
    <row r="23" spans="1:15" ht="15" customHeight="1" x14ac:dyDescent="0.3">
      <c r="A23" s="303" t="s">
        <v>39</v>
      </c>
      <c r="B23" s="25" t="s">
        <v>40</v>
      </c>
      <c r="C23" s="26" t="s">
        <v>24</v>
      </c>
      <c r="D23" s="27"/>
      <c r="E23" s="19"/>
      <c r="F23" s="19"/>
      <c r="G23" s="19"/>
      <c r="H23" s="19"/>
      <c r="I23" s="19"/>
      <c r="J23" s="19"/>
      <c r="K23" s="19"/>
      <c r="L23" s="54"/>
      <c r="M23" s="19"/>
      <c r="N23" s="54"/>
      <c r="O23" s="19"/>
    </row>
    <row r="24" spans="1:15" ht="15" customHeight="1" x14ac:dyDescent="0.3">
      <c r="A24" s="303"/>
      <c r="B24" s="25" t="s">
        <v>41</v>
      </c>
      <c r="C24" s="26" t="s">
        <v>24</v>
      </c>
      <c r="D24" s="27"/>
      <c r="E24" s="19"/>
      <c r="F24" s="19"/>
      <c r="G24" s="19"/>
      <c r="H24" s="19"/>
      <c r="I24" s="19"/>
      <c r="J24" s="19"/>
      <c r="K24" s="19"/>
      <c r="L24" s="54"/>
      <c r="M24" s="19"/>
      <c r="N24" s="54"/>
      <c r="O24" s="19"/>
    </row>
    <row r="25" spans="1:15" ht="15" customHeight="1" x14ac:dyDescent="0.3">
      <c r="A25" s="303" t="s">
        <v>42</v>
      </c>
      <c r="B25" s="25" t="s">
        <v>40</v>
      </c>
      <c r="C25" s="26" t="s">
        <v>24</v>
      </c>
      <c r="D25" s="27"/>
      <c r="E25" s="19"/>
      <c r="F25" s="19"/>
      <c r="G25" s="19"/>
      <c r="H25" s="19"/>
      <c r="I25" s="19"/>
      <c r="J25" s="19"/>
      <c r="K25" s="19"/>
      <c r="L25" s="54"/>
      <c r="M25" s="19"/>
      <c r="N25" s="54"/>
      <c r="O25" s="19"/>
    </row>
    <row r="26" spans="1:15" ht="15" customHeight="1" x14ac:dyDescent="0.3">
      <c r="A26" s="303"/>
      <c r="B26" s="25" t="s">
        <v>43</v>
      </c>
      <c r="C26" s="26" t="s">
        <v>24</v>
      </c>
      <c r="D26" s="27"/>
      <c r="E26" s="19"/>
      <c r="F26" s="19"/>
      <c r="G26" s="19"/>
      <c r="H26" s="19"/>
      <c r="I26" s="19"/>
      <c r="J26" s="19"/>
      <c r="K26" s="19"/>
      <c r="L26" s="54"/>
      <c r="M26" s="19"/>
      <c r="N26" s="54"/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0</v>
      </c>
      <c r="G27" s="23"/>
      <c r="H27" s="23">
        <f>SUM(H16:H26)</f>
        <v>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0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6"/>
      <c r="E28" s="54"/>
      <c r="F28" s="54"/>
      <c r="G28" s="19"/>
      <c r="H28" s="54"/>
      <c r="I28" s="54"/>
      <c r="J28" s="54"/>
      <c r="K28" s="54"/>
      <c r="L28" s="54"/>
      <c r="M28" s="54"/>
      <c r="N28" s="54"/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0</v>
      </c>
      <c r="I29" s="32"/>
      <c r="J29" s="23">
        <f t="shared" ref="J29:N29" si="3">SUM(J28:J28)</f>
        <v>0</v>
      </c>
      <c r="K29" s="23"/>
      <c r="L29" s="23">
        <f t="shared" si="3"/>
        <v>0</v>
      </c>
      <c r="M29" s="23"/>
      <c r="N29" s="23">
        <f t="shared" si="3"/>
        <v>0</v>
      </c>
      <c r="O29" s="32"/>
    </row>
    <row r="30" spans="1:15" ht="15" customHeight="1" x14ac:dyDescent="0.3">
      <c r="A30" s="37" t="s">
        <v>69</v>
      </c>
      <c r="B30" s="20"/>
      <c r="C30" s="21"/>
      <c r="D30" s="31"/>
      <c r="E30" s="33"/>
      <c r="F30" s="34">
        <f>F11+F15+F27+F29</f>
        <v>21034.3</v>
      </c>
      <c r="G30" s="34"/>
      <c r="H30" s="34">
        <f>H11+H15+H27+H29</f>
        <v>231186.26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252220.56</v>
      </c>
      <c r="O30" s="33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="120" zoomScaleNormal="120" workbookViewId="0">
      <selection activeCell="K36" sqref="K3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1.21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0.56999999999999995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2025-04-28T04:55:30Z</dcterms:modified>
</cp:coreProperties>
</file>
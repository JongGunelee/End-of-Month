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1DDE91F7-F42D-4392-B914-9DBB54BB3382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" l="1"/>
  <c r="D19" i="9"/>
  <c r="D18" i="9"/>
  <c r="D10" i="9"/>
  <c r="D9" i="9"/>
  <c r="D8" i="9"/>
  <c r="D7" i="9"/>
  <c r="D6" i="9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6" i="9" l="1"/>
  <c r="D11" i="9"/>
  <c r="Q5" i="9"/>
  <c r="Q5" i="4"/>
  <c r="O5" i="4"/>
  <c r="M5" i="4"/>
  <c r="K5" i="4"/>
  <c r="A5" i="4"/>
  <c r="A2" i="1" s="1"/>
  <c r="R5" i="4" l="1"/>
  <c r="Q10" i="4"/>
  <c r="O10" i="4"/>
  <c r="M10" i="4"/>
  <c r="K10" i="4"/>
  <c r="A10" i="4"/>
  <c r="A7" i="1" s="1"/>
  <c r="Q8" i="4"/>
  <c r="O8" i="4"/>
  <c r="M8" i="4"/>
  <c r="K8" i="4"/>
  <c r="A8" i="4"/>
  <c r="A5" i="1" s="1"/>
  <c r="Q6" i="4"/>
  <c r="O6" i="4"/>
  <c r="M6" i="4"/>
  <c r="K6" i="4"/>
  <c r="A6" i="4"/>
  <c r="A3" i="1" s="1"/>
  <c r="R8" i="4" l="1"/>
  <c r="R10" i="4"/>
  <c r="R6" i="4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K7" i="4"/>
  <c r="M7" i="4"/>
  <c r="O7" i="4"/>
  <c r="Q7" i="4"/>
  <c r="R7" i="4" l="1"/>
  <c r="A9" i="4" l="1"/>
  <c r="A6" i="1" s="1"/>
  <c r="Q9" i="4" l="1"/>
  <c r="O9" i="4"/>
  <c r="M9" i="4"/>
  <c r="K9" i="4"/>
  <c r="M11" i="4" l="1"/>
  <c r="F17" i="5" s="1"/>
  <c r="R9" i="4"/>
  <c r="F21" i="5" l="1"/>
  <c r="F22" i="5"/>
  <c r="Q11" i="4"/>
  <c r="K11" i="4"/>
  <c r="F16" i="5" s="1"/>
  <c r="F26" i="5" s="1"/>
  <c r="O11" i="4"/>
  <c r="F18" i="5" l="1"/>
  <c r="R11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<sst xmlns="http://schemas.openxmlformats.org/spreadsheetml/2006/main" count="212" uniqueCount="152">
  <si>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</si>
  <si>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</si>
  <si>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</si>
  <si>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</si>
  <si>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</si>
  <si>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</si>
  <si>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</si>
  <si>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</si>
  <si>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</si>
  <si>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</si>
  <si>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</si>
  <si>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</si>
  <si>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</si>
  <si>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</si>
  <si>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</si>
  <si>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</si>
  <si>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</si>
  <si>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</si>
  <si>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</si>
  <si>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</si>
  <si>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</si>
  <si>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</si>
  <si>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</si>
  <si>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</si>
  <si>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</si>
  <si>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</si>
  <si>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</si>
  <si>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</si>
  <si>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</si>
  <si>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</si>
  <si>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</si>
  <si>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</si>
  <si>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</si>
  <si>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</si>
  <si>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</si>
  <si>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</si>
  <si>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</si>
  <si>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</si>
  <si>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</si>
  <si>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</si>
  <si>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</si>
  <si>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</si>
  <si>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</si>
  <si>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</si>
  <si>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</si>
  <si>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</si>
  <si>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</si>
  <si>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</si>
  <si>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</si>
  <si>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</si>
  <si>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</si>
  <si>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</si>
  <si>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</si>
  <si>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</si>
  <si>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</si>
  <si>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</si>
  <si>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</si>
  <si>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</si>
  <si>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</si>
  <si>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</si>
  <si>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</si>
  <si>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</si>
  <si>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</si>
  <si>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</si>
  <si>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</si>
  <si>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</si>
  <si>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</si>
  <si>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</si>
  <si>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</si>
  <si>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</si>
  <si>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</si>
  <si>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</si>
  <si>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</si>
  <si>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</si>
  <si>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</si>
  <si>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</si>
  <si>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</si>
  <si>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</si>
  <si>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</si>
  <si>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</si>
  <si>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</si>
  <si>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</si>
  <si>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</si>
  <si>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</si>
  <si>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</si>
  <si>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</si>
  <si>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</si>
  <si>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</si>
  <si>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</si>
  <si>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</si>
  <si>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</si>
  <si>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</si>
  <si>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</si>
  <si>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</si>
  <si>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</si>
  <si>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</si>
  <si>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</si>
  <si>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</si>
  <si>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</si>
  <si>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</si>
  <si>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</si>
  <si>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</si>
  <si>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</si>
  <si>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</si>
  <si>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</si>
  <si>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</si>
  <si>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</si>
  <si>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</si>
  <si>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</si>
  <si>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</si>
  <si>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</si>
  <si>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</si>
  <si>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</si>
  <si>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</si>
  <si>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</si>
  <si>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</si>
  <si>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</si>
  <si>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</si>
  <si>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</si>
  <si>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</si>
  <si>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</si>
  <si>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</si>
  <si>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</si>
  <si>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</si>
  <si>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</si>
  <si>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</si>
  <si>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</si>
  <si>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</si>
  <si>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</si>
  <si>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</si>
  <si>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</si>
  <si>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</si>
  <si>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</si>
  <si>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</si>
  <si>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</si>
  <si>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>E00000801011510701</t>
  </si>
  <si>
    <t>R/L</t>
  </si>
  <si>
    <t xml:space="preserve">일당 시공량-61㎡ 적산정보 500p 참조,시공총량39.6/일당61=0.887 </t>
    <phoneticPr fontId="5" type="noConversion"/>
  </si>
  <si>
    <t>사택 7동 수장공사</t>
    <phoneticPr fontId="5" type="noConversion"/>
  </si>
  <si>
    <t>벽</t>
    <phoneticPr fontId="5" type="noConversion"/>
  </si>
  <si>
    <t>천정</t>
    <phoneticPr fontId="5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</si>
  <si>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5" type="noConversion"/>
  </si>
  <si>
    <r>
      <t>일당 시공량-벽 46㎡, 적산정보 500p 참조,</t>
    </r>
    <r>
      <rPr>
        <sz val="10"/>
        <color rgb="FFFF0000"/>
        <rFont val="LG스마트체 Regular"/>
        <family val="3"/>
        <charset val="129"/>
      </rPr>
      <t>시공총량91/일당46=1.978</t>
    </r>
    <phoneticPr fontId="5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</si>
  <si>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시공총량49/일당35=1.400</t>
    </r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</si>
  <si>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</si>
  <si>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</si>
  <si>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</si>
  <si>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</si>
  <si>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>도장 대상 아님(탄성 코트)</t>
    <phoneticPr fontId="5" type="noConversion"/>
  </si>
  <si>
    <t>도장 대상 아님(철문 아님)</t>
    <phoneticPr fontId="5" type="noConversion"/>
  </si>
  <si>
    <t xml:space="preserve"> 공사명 : 사택 7-108 수장공사</t>
    <phoneticPr fontId="11" type="noConversion"/>
  </si>
  <si>
    <t xml:space="preserve"> 견적일 : 2026년  05월  22일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</si>
</sst>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8" fontId="16" fillId="0" borderId="1" xfId="1" applyNumberFormat="1" applyFont="1" applyBorder="1" applyAlignment="1">
      <alignment horizontal="center" vertical="center"/>
    </xf>
    <xf numFmtId="187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0" fontId="16" fillId="5" borderId="3" xfId="0" applyNumberFormat="1" applyFont="1" applyFill="1" applyBorder="1" applyAlignment="1">
      <alignment horizontal="right" vertical="center" wrapText="1"/>
    </xf>
    <xf numFmtId="190" fontId="16" fillId="6" borderId="3" xfId="1" applyNumberFormat="1" applyFont="1" applyFill="1" applyBorder="1" applyAlignment="1">
      <alignment horizontal="right" vertical="center" wrapText="1"/>
    </xf>
    <xf numFmtId="190" fontId="16" fillId="0" borderId="3" xfId="1" applyNumberFormat="1" applyFont="1" applyFill="1" applyBorder="1" applyAlignment="1">
      <alignment horizontal="right" vertical="center" wrapText="1"/>
    </xf>
    <xf numFmtId="190" fontId="16" fillId="5" borderId="3" xfId="0" applyNumberFormat="1" applyFont="1" applyFill="1" applyBorder="1" applyAlignment="1">
      <alignment horizontal="right" vertical="center"/>
    </xf>
    <xf numFmtId="191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1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0" fontId="16" fillId="0" borderId="31" xfId="13" applyNumberFormat="1" applyFont="1" applyFill="1" applyBorder="1" applyAlignment="1">
      <alignment vertical="center"/>
    </xf>
    <xf numFmtId="49" fontId="21" fillId="0" borderId="31" xfId="0" applyNumberFormat="1" applyFont="1" applyBorder="1" applyAlignment="1">
      <alignment horizontal="center" vertical="center"/>
    </xf>
    <xf numFmtId="180" fontId="19" fillId="0" borderId="16" xfId="6" applyNumberFormat="1" applyFont="1" applyBorder="1" applyAlignment="1">
      <alignment vertical="center"/>
    </xf>
    <xf numFmtId="189" fontId="21" fillId="10" borderId="31" xfId="13" applyNumberFormat="1" applyFont="1" applyFill="1" applyBorder="1" applyAlignment="1">
      <alignment horizontal="center" vertical="center"/>
    </xf>
    <xf numFmtId="189" fontId="21" fillId="0" borderId="31" xfId="13" applyNumberFormat="1" applyFont="1" applyBorder="1" applyAlignment="1">
      <alignment horizontal="center" vertical="center" wrapText="1"/>
    </xf>
    <xf numFmtId="192" fontId="17" fillId="0" borderId="0" xfId="0" applyNumberFormat="1" applyFont="1">
      <alignment vertical="center"/>
    </xf>
    <xf numFmtId="189" fontId="25" fillId="0" borderId="31" xfId="13" applyNumberFormat="1" applyFont="1" applyFill="1" applyBorder="1" applyAlignment="1">
      <alignment horizontal="right"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89" fontId="21" fillId="0" borderId="31" xfId="13" applyNumberFormat="1" applyFont="1" applyFill="1" applyBorder="1" applyAlignment="1">
      <alignment horizontal="center" vertical="center" wrapText="1"/>
    </xf>
    <xf numFmtId="189" fontId="22" fillId="11" borderId="31" xfId="13" applyNumberFormat="1" applyFont="1" applyFill="1" applyBorder="1" applyAlignment="1">
      <alignment horizontal="center" vertical="center"/>
    </xf>
    <xf numFmtId="189" fontId="22" fillId="5" borderId="31" xfId="13" applyNumberFormat="1" applyFont="1" applyFill="1" applyBorder="1" applyAlignment="1">
      <alignment horizontal="center" vertical="center"/>
    </xf>
    <xf numFmtId="189" fontId="21" fillId="11" borderId="31" xfId="13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/>
    </xf>
    <xf numFmtId="190" fontId="27" fillId="5" borderId="3" xfId="1" applyNumberFormat="1" applyFont="1" applyFill="1" applyBorder="1" applyAlignment="1">
      <alignment horizontal="right" vertical="center" wrapText="1"/>
    </xf>
    <xf numFmtId="177" fontId="29" fillId="5" borderId="3" xfId="1" applyFont="1" applyFill="1" applyBorder="1" applyAlignment="1">
      <alignment horizontal="right" vertical="center"/>
    </xf>
    <xf numFmtId="183" fontId="30" fillId="5" borderId="31" xfId="13" applyNumberFormat="1" applyFont="1" applyFill="1" applyBorder="1" applyAlignment="1">
      <alignment horizontal="right" vertical="center" wrapText="1"/>
    </xf>
    <xf numFmtId="183" fontId="30" fillId="0" borderId="31" xfId="13" applyNumberFormat="1" applyFont="1" applyBorder="1" applyAlignment="1">
      <alignment horizontal="right" vertical="center" wrapText="1"/>
    </xf>
    <xf numFmtId="183" fontId="30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31" fillId="5" borderId="3" xfId="0" applyFont="1" applyFill="1" applyBorder="1" applyAlignment="1">
      <alignment horizontal="center" vertical="center"/>
    </xf>
    <xf numFmtId="0" fontId="29" fillId="5" borderId="3" xfId="0" applyFont="1" applyFill="1" applyBorder="1">
      <alignment vertical="center"/>
    </xf>
    <xf numFmtId="0" fontId="32" fillId="0" borderId="15" xfId="8" applyFont="1" applyBorder="1" applyAlignment="1">
      <alignment horizontal="center" vertical="center"/>
    </xf>
    <xf numFmtId="0" fontId="33" fillId="0" borderId="15" xfId="6" applyFont="1" applyBorder="1" applyAlignment="1">
      <alignment vertical="center"/>
    </xf>
    <xf numFmtId="0" fontId="32" fillId="0" borderId="15" xfId="6" applyFont="1" applyBorder="1" applyAlignment="1">
      <alignment horizontal="center" vertical="center"/>
    </xf>
    <xf numFmtId="178" fontId="33" fillId="0" borderId="15" xfId="5" applyFont="1" applyFill="1" applyBorder="1" applyAlignment="1">
      <alignment horizontal="right" vertical="center"/>
    </xf>
    <xf numFmtId="0" fontId="32" fillId="5" borderId="15" xfId="8" applyFont="1" applyFill="1" applyBorder="1" applyAlignment="1">
      <alignment horizontal="center" vertical="center"/>
    </xf>
    <xf numFmtId="0" fontId="32" fillId="5" borderId="15" xfId="6" applyFont="1" applyFill="1" applyBorder="1" applyAlignment="1">
      <alignment horizontal="center" vertical="center"/>
    </xf>
    <xf numFmtId="178" fontId="33" fillId="5" borderId="15" xfId="5" applyFont="1" applyFill="1" applyBorder="1" applyAlignment="1">
      <alignment horizontal="right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0" borderId="31" xfId="13" applyNumberFormat="1" applyFont="1" applyFill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7" zoomScale="85" zoomScaleNormal="85" workbookViewId="0">
      <selection activeCell="L17" sqref="L1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5" t="s">
        <v>6</v>
      </c>
      <c r="B2" s="175"/>
      <c r="C2" s="175"/>
      <c r="D2" s="175"/>
      <c r="E2" s="175"/>
      <c r="F2" s="175"/>
      <c r="G2" s="175"/>
      <c r="H2" s="2"/>
    </row>
    <row r="3" spans="1:9" ht="14.25">
      <c r="A3" s="113"/>
      <c r="B3" s="113"/>
      <c r="C3" s="113"/>
      <c r="D3" s="113"/>
      <c r="E3" s="113"/>
      <c r="F3" s="113"/>
      <c r="G3" s="113"/>
      <c r="H3" s="113"/>
    </row>
    <row r="4" spans="1:9" ht="14.25">
      <c r="A4" s="113"/>
      <c r="B4" s="113"/>
      <c r="C4" s="113"/>
      <c r="D4" s="113"/>
      <c r="E4" s="113"/>
      <c r="H4" s="113"/>
    </row>
    <row r="5" spans="1:9" ht="27" customHeight="1">
      <c r="A5" s="114" t="s">
        <v>47</v>
      </c>
      <c r="B5" s="4"/>
      <c r="C5" s="5"/>
      <c r="D5" s="113"/>
      <c r="E5" s="113"/>
      <c r="F5" s="6" t="s">
        <v>37</v>
      </c>
      <c r="G5" s="7" t="s">
        <v>50</v>
      </c>
      <c r="H5" s="113"/>
    </row>
    <row r="6" spans="1:9" ht="27" customHeight="1">
      <c r="A6" s="113"/>
      <c r="B6" s="113"/>
      <c r="C6" s="113"/>
      <c r="D6" s="113"/>
      <c r="E6" s="113"/>
      <c r="F6" s="8" t="s">
        <v>40</v>
      </c>
      <c r="G6" s="9" t="s">
        <v>51</v>
      </c>
      <c r="H6" s="113"/>
    </row>
    <row r="7" spans="1:9" ht="27" customHeight="1">
      <c r="A7" s="178" t="s">
        <v>150</v>
      </c>
      <c r="B7" s="179"/>
      <c r="C7" s="180"/>
      <c r="D7" s="113"/>
      <c r="E7" s="10"/>
      <c r="F7" s="11" t="s">
        <v>41</v>
      </c>
      <c r="G7" s="9" t="s">
        <v>52</v>
      </c>
      <c r="H7" s="113"/>
    </row>
    <row r="8" spans="1:9" ht="27" customHeight="1">
      <c r="A8" s="113"/>
      <c r="B8" s="113"/>
      <c r="C8" s="113"/>
      <c r="D8" s="113"/>
      <c r="E8" s="113"/>
      <c r="F8" s="8" t="s">
        <v>42</v>
      </c>
      <c r="G8" s="9" t="s">
        <v>53</v>
      </c>
      <c r="H8" s="113"/>
    </row>
    <row r="9" spans="1:9" ht="27" customHeight="1">
      <c r="A9" s="114" t="s">
        <v>151</v>
      </c>
      <c r="B9" s="163"/>
      <c r="C9" s="164"/>
      <c r="D9" s="113"/>
      <c r="E9" s="113"/>
      <c r="F9" s="8" t="s">
        <v>43</v>
      </c>
      <c r="G9" s="9" t="s">
        <v>54</v>
      </c>
      <c r="H9" s="113"/>
    </row>
    <row r="10" spans="1:9" ht="27" customHeight="1">
      <c r="A10" s="113"/>
      <c r="B10" s="113"/>
      <c r="C10" s="113"/>
      <c r="D10" s="113"/>
      <c r="E10" s="113"/>
      <c r="F10" s="12" t="s">
        <v>38</v>
      </c>
      <c r="G10" s="13" t="s">
        <v>55</v>
      </c>
      <c r="H10" s="113"/>
      <c r="I10" s="113"/>
    </row>
    <row r="11" spans="1:9" ht="27" customHeight="1">
      <c r="A11" s="176"/>
      <c r="B11" s="177"/>
      <c r="C11" s="177"/>
      <c r="D11" s="113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삼백일십일만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3"/>
      <c r="B13" s="113"/>
      <c r="C13" s="113"/>
      <c r="D13" s="113"/>
      <c r="E13" s="113"/>
      <c r="F13" s="113"/>
      <c r="G13" s="113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'내역서(표준단가)'!K11</f>
        <v>577829.26850000001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'내역서(표준단가)'!M11</f>
        <v>2054917.8607899998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'내역서(표준단가)'!O11+'내역서(표준단가)'!Q11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2632747.1292899996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7" t="s">
        <v>23</v>
      </c>
      <c r="C21" s="168" t="s">
        <v>146</v>
      </c>
      <c r="D21" s="169">
        <v>1</v>
      </c>
      <c r="E21" s="169" t="s">
        <v>24</v>
      </c>
      <c r="F21" s="170">
        <f>F17*4.75%</f>
        <v>97608.598387524995</v>
      </c>
      <c r="G21" s="35" t="s">
        <v>25</v>
      </c>
    </row>
    <row r="22" spans="1:7" ht="33" customHeight="1">
      <c r="A22" s="29"/>
      <c r="B22" s="171" t="s">
        <v>26</v>
      </c>
      <c r="C22" s="168" t="s">
        <v>147</v>
      </c>
      <c r="D22" s="172">
        <v>1</v>
      </c>
      <c r="E22" s="172" t="s">
        <v>24</v>
      </c>
      <c r="F22" s="173">
        <f>F17*3.595%</f>
        <v>73874.2970954005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9566.7214738543644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20754.670393978999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73155.075844123989</v>
      </c>
      <c r="G25" s="35" t="s">
        <v>27</v>
      </c>
    </row>
    <row r="26" spans="1:7" ht="33" customHeight="1">
      <c r="A26" s="29"/>
      <c r="B26" s="42" t="s">
        <v>31</v>
      </c>
      <c r="C26" s="45" t="s">
        <v>127</v>
      </c>
      <c r="D26" s="30">
        <v>1</v>
      </c>
      <c r="E26" s="30" t="s">
        <v>24</v>
      </c>
      <c r="F26" s="43">
        <f>(F16+F17)*3.11%</f>
        <v>81878.435720918991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120587.7829852901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477425.58190109197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3110172.7111910917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3110000</v>
      </c>
      <c r="G31" s="146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G14" sqref="G14"/>
    </sheetView>
  </sheetViews>
  <sheetFormatPr defaultColWidth="9" defaultRowHeight="38.1" customHeight="1"/>
  <cols>
    <col min="1" max="1" width="22.625" style="139" bestFit="1" customWidth="1"/>
    <col min="2" max="2" width="9" style="128" hidden="1" customWidth="1"/>
    <col min="3" max="5" width="12.625" style="128" hidden="1" customWidth="1"/>
    <col min="6" max="7" width="30.625" style="124" customWidth="1"/>
    <col min="8" max="8" width="12.375" style="128" bestFit="1" customWidth="1"/>
    <col min="9" max="9" width="8.25" style="128" customWidth="1"/>
    <col min="10" max="10" width="10.625" style="128" bestFit="1" customWidth="1"/>
    <col min="11" max="11" width="13.25" style="128" bestFit="1" customWidth="1"/>
    <col min="12" max="12" width="12" style="128" bestFit="1" customWidth="1"/>
    <col min="13" max="13" width="15.625" style="128" bestFit="1" customWidth="1"/>
    <col min="14" max="14" width="9" style="128" hidden="1" customWidth="1"/>
    <col min="15" max="15" width="8.75" style="128" hidden="1" customWidth="1"/>
    <col min="16" max="16" width="10.5" style="128" hidden="1" customWidth="1"/>
    <col min="17" max="17" width="8.75" style="128" hidden="1" customWidth="1"/>
    <col min="18" max="18" width="15.625" style="128" bestFit="1" customWidth="1"/>
    <col min="19" max="19" width="10.625" style="62" bestFit="1" customWidth="1"/>
    <col min="20" max="20" width="8.5" style="128" bestFit="1" customWidth="1"/>
    <col min="21" max="16384" width="9" style="128"/>
  </cols>
  <sheetData>
    <row r="1" spans="1:20" ht="19.899999999999999" customHeight="1">
      <c r="A1" s="181"/>
      <c r="B1" s="181"/>
      <c r="C1" s="181"/>
      <c r="D1" s="181"/>
      <c r="E1" s="181"/>
      <c r="J1" s="62"/>
      <c r="K1" s="127" t="s">
        <v>94</v>
      </c>
      <c r="M1" s="127" t="s">
        <v>94</v>
      </c>
      <c r="O1" s="127" t="s">
        <v>94</v>
      </c>
      <c r="Q1" s="127" t="s">
        <v>94</v>
      </c>
    </row>
    <row r="2" spans="1:20" ht="19.899999999999999" customHeight="1" thickBot="1">
      <c r="A2" s="181"/>
      <c r="B2" s="181"/>
      <c r="C2" s="181"/>
      <c r="D2" s="181"/>
      <c r="E2" s="181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29"/>
      <c r="B3" s="130" t="s">
        <v>95</v>
      </c>
      <c r="C3" s="130"/>
      <c r="D3" s="130"/>
      <c r="E3" s="130"/>
      <c r="F3" s="192" t="s">
        <v>96</v>
      </c>
      <c r="G3" s="192"/>
      <c r="H3" s="190" t="s">
        <v>46</v>
      </c>
      <c r="I3" s="190" t="s">
        <v>5</v>
      </c>
      <c r="J3" s="186" t="s">
        <v>97</v>
      </c>
      <c r="K3" s="186"/>
      <c r="L3" s="186" t="s">
        <v>98</v>
      </c>
      <c r="M3" s="186"/>
      <c r="N3" s="187" t="s">
        <v>99</v>
      </c>
      <c r="O3" s="187"/>
      <c r="P3" s="187" t="s">
        <v>100</v>
      </c>
      <c r="Q3" s="187"/>
      <c r="R3" s="188" t="s">
        <v>101</v>
      </c>
      <c r="S3" s="184" t="s">
        <v>102</v>
      </c>
      <c r="T3" s="182" t="s">
        <v>44</v>
      </c>
    </row>
    <row r="4" spans="1:20" ht="19.899999999999999" customHeight="1">
      <c r="A4" s="65" t="s">
        <v>103</v>
      </c>
      <c r="B4" s="66" t="s">
        <v>104</v>
      </c>
      <c r="C4" s="66" t="s">
        <v>105</v>
      </c>
      <c r="D4" s="66" t="s">
        <v>106</v>
      </c>
      <c r="E4" s="66" t="s">
        <v>107</v>
      </c>
      <c r="F4" s="125" t="s">
        <v>108</v>
      </c>
      <c r="G4" s="125" t="s">
        <v>109</v>
      </c>
      <c r="H4" s="191"/>
      <c r="I4" s="191"/>
      <c r="J4" s="67" t="s">
        <v>110</v>
      </c>
      <c r="K4" s="68" t="s">
        <v>111</v>
      </c>
      <c r="L4" s="67" t="s">
        <v>112</v>
      </c>
      <c r="M4" s="68" t="s">
        <v>111</v>
      </c>
      <c r="N4" s="68" t="s">
        <v>113</v>
      </c>
      <c r="O4" s="68" t="s">
        <v>111</v>
      </c>
      <c r="P4" s="68" t="s">
        <v>113</v>
      </c>
      <c r="Q4" s="68" t="s">
        <v>111</v>
      </c>
      <c r="R4" s="189"/>
      <c r="S4" s="185"/>
      <c r="T4" s="183"/>
    </row>
    <row r="5" spans="1:20" s="131" customFormat="1" ht="38.1" customHeight="1">
      <c r="A5" s="69" t="str">
        <f t="shared" ref="A5" si="0">B5&amp;C5&amp;D5&amp;E5</f>
        <v>M020853710050101</v>
      </c>
      <c r="B5" s="95"/>
      <c r="C5" s="70"/>
      <c r="D5" s="70" t="s">
        <v>128</v>
      </c>
      <c r="E5" s="95"/>
      <c r="F5" s="123" t="s">
        <v>129</v>
      </c>
      <c r="G5" s="141" t="s">
        <v>141</v>
      </c>
      <c r="H5" s="110" t="s">
        <v>136</v>
      </c>
      <c r="I5" s="140">
        <v>8.4789999999999992</v>
      </c>
      <c r="J5" s="157">
        <v>20900</v>
      </c>
      <c r="K5" s="119">
        <f t="shared" ref="K5" si="1">SUM(J5:J5)*I5*$K$2</f>
        <v>147971.26849999998</v>
      </c>
      <c r="L5" s="118"/>
      <c r="M5" s="119">
        <f t="shared" ref="M5" si="2">(L5*I5)*$M$2</f>
        <v>0</v>
      </c>
      <c r="N5" s="120"/>
      <c r="O5" s="119">
        <f t="shared" ref="O5" si="3">N5*I5*$O$2</f>
        <v>0</v>
      </c>
      <c r="P5" s="120"/>
      <c r="Q5" s="119">
        <f t="shared" ref="Q5" si="4">P5*I5*$Q$2</f>
        <v>0</v>
      </c>
      <c r="R5" s="73">
        <f t="shared" ref="R5" si="5">SUM(K5+M5)+O5+Q5</f>
        <v>147971.26849999998</v>
      </c>
      <c r="S5" s="109"/>
      <c r="T5" s="74"/>
    </row>
    <row r="6" spans="1:20" s="131" customFormat="1" ht="38.1" customHeight="1">
      <c r="A6" s="69" t="str">
        <f t="shared" ref="A6" si="6">B6&amp;C6&amp;D6&amp;E6</f>
        <v>E00000803071260301</v>
      </c>
      <c r="B6" s="95"/>
      <c r="C6" s="70" t="s">
        <v>114</v>
      </c>
      <c r="D6" s="70"/>
      <c r="E6" s="95"/>
      <c r="F6" s="123" t="s">
        <v>116</v>
      </c>
      <c r="G6" s="141" t="s">
        <v>142</v>
      </c>
      <c r="H6" s="71" t="s">
        <v>115</v>
      </c>
      <c r="I6" s="140">
        <v>1.978</v>
      </c>
      <c r="J6" s="121"/>
      <c r="K6" s="119">
        <f t="shared" ref="K6" si="7">SUM(J6:J6)*I6*$K$2</f>
        <v>0</v>
      </c>
      <c r="L6" s="159">
        <v>510462</v>
      </c>
      <c r="M6" s="119">
        <f t="shared" ref="M6" si="8">(L6*I6)*$M$2</f>
        <v>843094.35305999999</v>
      </c>
      <c r="N6" s="120"/>
      <c r="O6" s="119">
        <f t="shared" ref="O6" si="9">N6*I6*$O$2</f>
        <v>0</v>
      </c>
      <c r="P6" s="120"/>
      <c r="Q6" s="119">
        <f t="shared" ref="Q6" si="10">P6*I6*$Q$2</f>
        <v>0</v>
      </c>
      <c r="R6" s="73">
        <f t="shared" ref="R6" si="11">SUM(K6+M6)+O6+Q6</f>
        <v>843094.35305999999</v>
      </c>
      <c r="S6" s="109"/>
      <c r="T6" s="74"/>
    </row>
    <row r="7" spans="1:20" s="131" customFormat="1" ht="38.1" customHeight="1">
      <c r="A7" s="69" t="str">
        <f t="shared" ref="A7:A8" si="12">B7&amp;C7&amp;D7&amp;E7</f>
        <v>E00000803071260301</v>
      </c>
      <c r="B7" s="95"/>
      <c r="C7" s="70" t="s">
        <v>114</v>
      </c>
      <c r="D7" s="70"/>
      <c r="E7" s="95"/>
      <c r="F7" s="123" t="s">
        <v>117</v>
      </c>
      <c r="G7" s="141" t="s">
        <v>143</v>
      </c>
      <c r="H7" s="71" t="s">
        <v>115</v>
      </c>
      <c r="I7" s="140">
        <v>1.4</v>
      </c>
      <c r="J7" s="121"/>
      <c r="K7" s="119">
        <f t="shared" ref="K7:K9" si="13">SUM(J7:J7)*I7*$K$2</f>
        <v>0</v>
      </c>
      <c r="L7" s="159">
        <v>510462</v>
      </c>
      <c r="M7" s="119">
        <f t="shared" ref="M7:M10" si="14">(L7*I7)*$M$2</f>
        <v>596730.07799999986</v>
      </c>
      <c r="N7" s="120"/>
      <c r="O7" s="119">
        <f t="shared" ref="O7:O10" si="15">N7*I7*$O$2</f>
        <v>0</v>
      </c>
      <c r="P7" s="120"/>
      <c r="Q7" s="119">
        <f t="shared" ref="Q7:Q10" si="16">P7*I7*$Q$2</f>
        <v>0</v>
      </c>
      <c r="R7" s="73">
        <f t="shared" ref="R7:R10" si="17">SUM(K7+M7)+O7+Q7</f>
        <v>596730.07799999986</v>
      </c>
      <c r="S7" s="109"/>
      <c r="T7" s="74"/>
    </row>
    <row r="8" spans="1:20" s="131" customFormat="1" ht="38.1" customHeight="1">
      <c r="A8" s="69" t="str">
        <f t="shared" si="12"/>
        <v>M020809012520101</v>
      </c>
      <c r="B8" s="95"/>
      <c r="C8" s="70"/>
      <c r="D8" s="70" t="s">
        <v>131</v>
      </c>
      <c r="E8" s="95"/>
      <c r="F8" s="123" t="s">
        <v>132</v>
      </c>
      <c r="G8" s="123" t="s">
        <v>133</v>
      </c>
      <c r="H8" s="110" t="s">
        <v>130</v>
      </c>
      <c r="I8" s="122">
        <v>39.6</v>
      </c>
      <c r="J8" s="158">
        <v>13000</v>
      </c>
      <c r="K8" s="119">
        <f t="shared" si="13"/>
        <v>429858</v>
      </c>
      <c r="L8" s="118"/>
      <c r="M8" s="119">
        <f t="shared" si="14"/>
        <v>0</v>
      </c>
      <c r="N8" s="120"/>
      <c r="O8" s="119">
        <f t="shared" si="15"/>
        <v>0</v>
      </c>
      <c r="P8" s="120"/>
      <c r="Q8" s="119">
        <f t="shared" si="16"/>
        <v>0</v>
      </c>
      <c r="R8" s="73">
        <f t="shared" si="17"/>
        <v>429858</v>
      </c>
      <c r="S8" s="109"/>
      <c r="T8" s="74"/>
    </row>
    <row r="9" spans="1:20" s="131" customFormat="1" ht="38.1" customHeight="1">
      <c r="A9" s="69" t="str">
        <f t="shared" ref="A9:A10" si="18">B9&amp;C9&amp;D9&amp;E9</f>
        <v>E00000803071260401</v>
      </c>
      <c r="B9" s="95"/>
      <c r="C9" s="70" t="s">
        <v>118</v>
      </c>
      <c r="D9" s="70"/>
      <c r="E9" s="95"/>
      <c r="F9" s="123" t="s">
        <v>119</v>
      </c>
      <c r="G9" s="123" t="s">
        <v>137</v>
      </c>
      <c r="H9" s="71" t="s">
        <v>115</v>
      </c>
      <c r="I9" s="122">
        <v>0.64900000000000002</v>
      </c>
      <c r="J9" s="121"/>
      <c r="K9" s="119">
        <f t="shared" si="13"/>
        <v>0</v>
      </c>
      <c r="L9" s="159">
        <v>510462</v>
      </c>
      <c r="M9" s="119">
        <f t="shared" si="14"/>
        <v>276627.01473</v>
      </c>
      <c r="N9" s="120"/>
      <c r="O9" s="119">
        <f t="shared" si="15"/>
        <v>0</v>
      </c>
      <c r="P9" s="120"/>
      <c r="Q9" s="119">
        <f t="shared" si="16"/>
        <v>0</v>
      </c>
      <c r="R9" s="73">
        <f t="shared" si="17"/>
        <v>276627.01473</v>
      </c>
      <c r="S9" s="109"/>
      <c r="T9" s="74"/>
    </row>
    <row r="10" spans="1:20" s="131" customFormat="1" ht="38.1" customHeight="1">
      <c r="A10" s="69" t="str">
        <f t="shared" si="18"/>
        <v>E00000801011510701</v>
      </c>
      <c r="B10" s="95"/>
      <c r="C10" s="70" t="s">
        <v>135</v>
      </c>
      <c r="D10" s="70"/>
      <c r="E10" s="95"/>
      <c r="F10" s="165" t="s">
        <v>144</v>
      </c>
      <c r="G10" s="71" t="s">
        <v>134</v>
      </c>
      <c r="H10" s="166" t="s">
        <v>145</v>
      </c>
      <c r="I10" s="122">
        <v>79</v>
      </c>
      <c r="J10" s="132"/>
      <c r="K10" s="72">
        <f t="shared" ref="K10" si="19">SUM(J10:J10)*I10*$K$2</f>
        <v>0</v>
      </c>
      <c r="L10" s="159">
        <v>5131</v>
      </c>
      <c r="M10" s="72">
        <f t="shared" si="14"/>
        <v>338466.41499999998</v>
      </c>
      <c r="N10" s="73"/>
      <c r="O10" s="72">
        <f t="shared" si="15"/>
        <v>0</v>
      </c>
      <c r="P10" s="73"/>
      <c r="Q10" s="72">
        <f t="shared" si="16"/>
        <v>0</v>
      </c>
      <c r="R10" s="73">
        <f t="shared" si="17"/>
        <v>338466.41499999998</v>
      </c>
      <c r="S10" s="109"/>
      <c r="T10" s="74"/>
    </row>
    <row r="11" spans="1:20" s="138" customFormat="1" ht="38.1" customHeight="1">
      <c r="A11" s="133"/>
      <c r="B11" s="134"/>
      <c r="C11" s="134"/>
      <c r="D11" s="134"/>
      <c r="E11" s="134"/>
      <c r="F11" s="126"/>
      <c r="G11" s="126"/>
      <c r="H11" s="134"/>
      <c r="I11" s="134"/>
      <c r="J11" s="134"/>
      <c r="K11" s="135">
        <f>SUM(K5:K10)</f>
        <v>577829.26850000001</v>
      </c>
      <c r="L11" s="136"/>
      <c r="M11" s="135">
        <f>SUM(M5:M10)</f>
        <v>2054917.8607899998</v>
      </c>
      <c r="N11" s="136"/>
      <c r="O11" s="135">
        <f>SUM(O5:O10)</f>
        <v>0</v>
      </c>
      <c r="P11" s="136"/>
      <c r="Q11" s="135">
        <f>SUM(Q5:Q10)</f>
        <v>0</v>
      </c>
      <c r="R11" s="137">
        <f>SUM(R5:R10)</f>
        <v>2632747.1292900001</v>
      </c>
      <c r="S11" s="103"/>
      <c r="T11" s="13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30"/>
  <sheetViews>
    <sheetView zoomScaleNormal="100" workbookViewId="0">
      <selection activeCell="F41" sqref="F41"/>
    </sheetView>
  </sheetViews>
  <sheetFormatPr defaultColWidth="9" defaultRowHeight="14.25"/>
  <cols>
    <col min="1" max="1" width="22.625" style="94" customWidth="1"/>
    <col min="2" max="2" width="27.625" style="94" customWidth="1"/>
    <col min="3" max="3" width="5.75" style="94" customWidth="1"/>
    <col min="4" max="4" width="6.75" style="94" bestFit="1" customWidth="1"/>
    <col min="5" max="8" width="20.625" style="94" customWidth="1"/>
    <col min="9" max="12" width="20.625" style="94" hidden="1" customWidth="1"/>
    <col min="13" max="14" width="20.625" style="94" customWidth="1"/>
    <col min="15" max="15" width="32.75" style="94" customWidth="1"/>
    <col min="16" max="16" width="5.5" style="75" customWidth="1"/>
    <col min="17" max="16384" width="9" style="75"/>
  </cols>
  <sheetData>
    <row r="1" spans="1:17" ht="27" customHeight="1">
      <c r="A1" s="202" t="s">
        <v>57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</row>
    <row r="2" spans="1:17" ht="15" customHeight="1">
      <c r="A2" s="203" t="s">
        <v>58</v>
      </c>
      <c r="B2" s="204" t="s">
        <v>59</v>
      </c>
      <c r="C2" s="205" t="s">
        <v>46</v>
      </c>
      <c r="D2" s="205" t="s">
        <v>60</v>
      </c>
      <c r="E2" s="207" t="s">
        <v>61</v>
      </c>
      <c r="F2" s="204"/>
      <c r="G2" s="204" t="s">
        <v>62</v>
      </c>
      <c r="H2" s="204"/>
      <c r="I2" s="208" t="s">
        <v>63</v>
      </c>
      <c r="J2" s="209"/>
      <c r="K2" s="208" t="s">
        <v>64</v>
      </c>
      <c r="L2" s="209"/>
      <c r="M2" s="207" t="s">
        <v>65</v>
      </c>
      <c r="N2" s="204"/>
      <c r="O2" s="210" t="s">
        <v>66</v>
      </c>
    </row>
    <row r="3" spans="1:17" ht="15" customHeight="1">
      <c r="A3" s="203"/>
      <c r="B3" s="204"/>
      <c r="C3" s="206"/>
      <c r="D3" s="206"/>
      <c r="E3" s="115" t="s">
        <v>67</v>
      </c>
      <c r="F3" s="115" t="s">
        <v>68</v>
      </c>
      <c r="G3" s="76" t="s">
        <v>67</v>
      </c>
      <c r="H3" s="115" t="s">
        <v>69</v>
      </c>
      <c r="I3" s="115"/>
      <c r="J3" s="115"/>
      <c r="K3" s="76" t="s">
        <v>67</v>
      </c>
      <c r="L3" s="115" t="s">
        <v>69</v>
      </c>
      <c r="M3" s="76" t="s">
        <v>67</v>
      </c>
      <c r="N3" s="115" t="s">
        <v>69</v>
      </c>
      <c r="O3" s="211"/>
    </row>
    <row r="4" spans="1:17" ht="15" customHeight="1">
      <c r="A4" s="200" t="s">
        <v>138</v>
      </c>
      <c r="B4" s="20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7" ht="15" customHeight="1">
      <c r="A5" s="194" t="s">
        <v>70</v>
      </c>
      <c r="B5" s="142" t="s">
        <v>71</v>
      </c>
      <c r="C5" s="143" t="s">
        <v>72</v>
      </c>
      <c r="D5" s="150">
        <f>55-7.7</f>
        <v>47.3</v>
      </c>
      <c r="E5" s="160">
        <v>1057</v>
      </c>
      <c r="F5" s="80">
        <f t="shared" ref="F5:F10" si="0">D5*E5</f>
        <v>49996.1</v>
      </c>
      <c r="G5" s="160">
        <v>9266</v>
      </c>
      <c r="H5" s="80">
        <f t="shared" ref="H5:H10" si="1">D5*G5</f>
        <v>438281.8</v>
      </c>
      <c r="I5" s="80"/>
      <c r="J5" s="80"/>
      <c r="K5" s="80"/>
      <c r="L5" s="80"/>
      <c r="M5" s="80"/>
      <c r="N5" s="80">
        <f>F5+H5+J5+L5</f>
        <v>488277.89999999997</v>
      </c>
      <c r="O5" s="196"/>
      <c r="P5" s="75" t="s">
        <v>139</v>
      </c>
      <c r="Q5" s="149">
        <f>D5+D7+D9</f>
        <v>91</v>
      </c>
    </row>
    <row r="6" spans="1:17" ht="15" customHeight="1">
      <c r="A6" s="195"/>
      <c r="B6" s="142" t="s">
        <v>73</v>
      </c>
      <c r="C6" s="143" t="s">
        <v>72</v>
      </c>
      <c r="D6" s="150">
        <f>37-8.3</f>
        <v>28.7</v>
      </c>
      <c r="E6" s="160">
        <v>1057</v>
      </c>
      <c r="F6" s="80">
        <f t="shared" si="0"/>
        <v>30335.899999999998</v>
      </c>
      <c r="G6" s="160">
        <v>12178</v>
      </c>
      <c r="H6" s="80">
        <f t="shared" si="1"/>
        <v>349508.6</v>
      </c>
      <c r="I6" s="80"/>
      <c r="J6" s="80"/>
      <c r="K6" s="80"/>
      <c r="L6" s="80"/>
      <c r="M6" s="80"/>
      <c r="N6" s="80">
        <f t="shared" ref="N6:N10" si="2">F6+H6+J6+L6</f>
        <v>379844.5</v>
      </c>
      <c r="O6" s="197"/>
      <c r="P6" s="75" t="s">
        <v>140</v>
      </c>
      <c r="Q6" s="149">
        <f>D6+D8+D10</f>
        <v>48.6</v>
      </c>
    </row>
    <row r="7" spans="1:17" ht="15" customHeight="1">
      <c r="A7" s="195"/>
      <c r="B7" s="142" t="s">
        <v>74</v>
      </c>
      <c r="C7" s="143" t="s">
        <v>72</v>
      </c>
      <c r="D7" s="150">
        <f>30-5.9</f>
        <v>24.1</v>
      </c>
      <c r="E7" s="160">
        <v>1057</v>
      </c>
      <c r="F7" s="80">
        <f t="shared" si="0"/>
        <v>25473.7</v>
      </c>
      <c r="G7" s="160">
        <v>9266</v>
      </c>
      <c r="H7" s="80">
        <f t="shared" si="1"/>
        <v>223310.6</v>
      </c>
      <c r="I7" s="80"/>
      <c r="J7" s="80"/>
      <c r="K7" s="80"/>
      <c r="L7" s="80"/>
      <c r="M7" s="80"/>
      <c r="N7" s="80">
        <f t="shared" si="2"/>
        <v>248784.30000000002</v>
      </c>
      <c r="O7" s="197"/>
    </row>
    <row r="8" spans="1:17" ht="15" customHeight="1">
      <c r="A8" s="195"/>
      <c r="B8" s="142" t="s">
        <v>75</v>
      </c>
      <c r="C8" s="143" t="s">
        <v>72</v>
      </c>
      <c r="D8" s="150">
        <f>12-0.2</f>
        <v>11.8</v>
      </c>
      <c r="E8" s="160">
        <v>1057</v>
      </c>
      <c r="F8" s="80">
        <f t="shared" si="0"/>
        <v>12472.6</v>
      </c>
      <c r="G8" s="160">
        <v>12178</v>
      </c>
      <c r="H8" s="80">
        <f t="shared" si="1"/>
        <v>143700.4</v>
      </c>
      <c r="I8" s="80"/>
      <c r="J8" s="80"/>
      <c r="K8" s="80"/>
      <c r="L8" s="80"/>
      <c r="M8" s="80"/>
      <c r="N8" s="80">
        <f t="shared" si="2"/>
        <v>156173</v>
      </c>
      <c r="O8" s="197"/>
    </row>
    <row r="9" spans="1:17" ht="15" customHeight="1">
      <c r="A9" s="195"/>
      <c r="B9" s="142" t="s">
        <v>76</v>
      </c>
      <c r="C9" s="143" t="s">
        <v>72</v>
      </c>
      <c r="D9" s="150">
        <f>20-0.4</f>
        <v>19.600000000000001</v>
      </c>
      <c r="E9" s="160">
        <v>1057</v>
      </c>
      <c r="F9" s="80">
        <f t="shared" si="0"/>
        <v>20717.2</v>
      </c>
      <c r="G9" s="160">
        <v>9266</v>
      </c>
      <c r="H9" s="80">
        <f t="shared" si="1"/>
        <v>181613.6</v>
      </c>
      <c r="I9" s="80"/>
      <c r="J9" s="80"/>
      <c r="K9" s="80"/>
      <c r="L9" s="80"/>
      <c r="M9" s="80"/>
      <c r="N9" s="80">
        <f t="shared" si="2"/>
        <v>202330.80000000002</v>
      </c>
      <c r="O9" s="197"/>
    </row>
    <row r="10" spans="1:17" ht="15" customHeight="1">
      <c r="A10" s="195"/>
      <c r="B10" s="142" t="s">
        <v>77</v>
      </c>
      <c r="C10" s="143" t="s">
        <v>72</v>
      </c>
      <c r="D10" s="150">
        <f>12-3.9</f>
        <v>8.1</v>
      </c>
      <c r="E10" s="160">
        <v>1057</v>
      </c>
      <c r="F10" s="80">
        <f t="shared" si="0"/>
        <v>8561.6999999999989</v>
      </c>
      <c r="G10" s="160">
        <v>12178</v>
      </c>
      <c r="H10" s="80">
        <f t="shared" si="1"/>
        <v>98641.8</v>
      </c>
      <c r="I10" s="80"/>
      <c r="J10" s="80"/>
      <c r="K10" s="80"/>
      <c r="L10" s="80"/>
      <c r="M10" s="80"/>
      <c r="N10" s="80">
        <f t="shared" si="2"/>
        <v>107203.5</v>
      </c>
      <c r="O10" s="197"/>
    </row>
    <row r="11" spans="1:17" ht="15" customHeight="1">
      <c r="A11" s="104" t="s">
        <v>78</v>
      </c>
      <c r="B11" s="105"/>
      <c r="C11" s="106"/>
      <c r="D11" s="151">
        <f>SUM(D5:D10)</f>
        <v>139.6</v>
      </c>
      <c r="E11" s="107"/>
      <c r="F11" s="107">
        <f>SUM(F5:F10)</f>
        <v>147557.20000000001</v>
      </c>
      <c r="G11" s="107"/>
      <c r="H11" s="107">
        <f>SUM(H5:H10)</f>
        <v>1435056.8</v>
      </c>
      <c r="I11" s="107"/>
      <c r="J11" s="107">
        <f>SUM(J5:J10)</f>
        <v>0</v>
      </c>
      <c r="K11" s="107"/>
      <c r="L11" s="107">
        <f>SUM(L5:L10)</f>
        <v>0</v>
      </c>
      <c r="M11" s="107"/>
      <c r="N11" s="107">
        <f>SUM(N5:N10)</f>
        <v>1582614</v>
      </c>
      <c r="O11" s="107"/>
    </row>
    <row r="12" spans="1:17" ht="15" customHeight="1">
      <c r="A12" s="198" t="s">
        <v>126</v>
      </c>
      <c r="B12" s="78" t="s">
        <v>79</v>
      </c>
      <c r="C12" s="79" t="s">
        <v>72</v>
      </c>
      <c r="D12" s="147">
        <v>20.7</v>
      </c>
      <c r="E12" s="161">
        <v>10855</v>
      </c>
      <c r="F12" s="111">
        <f>D12*E12</f>
        <v>224698.5</v>
      </c>
      <c r="G12" s="160">
        <v>6987</v>
      </c>
      <c r="H12" s="111">
        <f>D12*G12</f>
        <v>144630.9</v>
      </c>
      <c r="I12" s="111"/>
      <c r="J12" s="111"/>
      <c r="K12" s="80"/>
      <c r="L12" s="111"/>
      <c r="M12" s="80"/>
      <c r="N12" s="111">
        <f t="shared" ref="N12:N14" si="3">F12+H12+J12+L12</f>
        <v>369329.4</v>
      </c>
      <c r="O12" s="197"/>
    </row>
    <row r="13" spans="1:17" ht="15" customHeight="1">
      <c r="A13" s="198"/>
      <c r="B13" s="78" t="s">
        <v>80</v>
      </c>
      <c r="C13" s="79" t="s">
        <v>72</v>
      </c>
      <c r="D13" s="148">
        <v>11.2</v>
      </c>
      <c r="E13" s="161">
        <v>10855</v>
      </c>
      <c r="F13" s="111">
        <f>D13*E13</f>
        <v>121575.99999999999</v>
      </c>
      <c r="G13" s="160">
        <v>6987</v>
      </c>
      <c r="H13" s="111">
        <f>D13*G13</f>
        <v>78254.399999999994</v>
      </c>
      <c r="I13" s="111"/>
      <c r="J13" s="111"/>
      <c r="K13" s="80"/>
      <c r="L13" s="111"/>
      <c r="M13" s="80"/>
      <c r="N13" s="111">
        <f t="shared" si="3"/>
        <v>199830.39999999997</v>
      </c>
      <c r="O13" s="197"/>
    </row>
    <row r="14" spans="1:17" ht="15" customHeight="1">
      <c r="A14" s="198"/>
      <c r="B14" s="78" t="s">
        <v>81</v>
      </c>
      <c r="C14" s="79" t="s">
        <v>72</v>
      </c>
      <c r="D14" s="148">
        <v>7.8</v>
      </c>
      <c r="E14" s="161">
        <v>10855</v>
      </c>
      <c r="F14" s="111">
        <f>D14*E14</f>
        <v>84669</v>
      </c>
      <c r="G14" s="160">
        <v>6987</v>
      </c>
      <c r="H14" s="111">
        <f>D14*G14</f>
        <v>54498.6</v>
      </c>
      <c r="I14" s="111"/>
      <c r="J14" s="111"/>
      <c r="K14" s="80"/>
      <c r="L14" s="111"/>
      <c r="M14" s="80"/>
      <c r="N14" s="111">
        <f t="shared" si="3"/>
        <v>139167.6</v>
      </c>
      <c r="O14" s="197"/>
    </row>
    <row r="15" spans="1:17" ht="15" customHeight="1">
      <c r="A15" s="96" t="s">
        <v>78</v>
      </c>
      <c r="B15" s="81"/>
      <c r="C15" s="84"/>
      <c r="D15" s="151">
        <f>SUM(D12:D14)</f>
        <v>39.699999999999996</v>
      </c>
      <c r="E15" s="83"/>
      <c r="F15" s="83">
        <f>SUM(F12:F14)</f>
        <v>430943.5</v>
      </c>
      <c r="G15" s="83"/>
      <c r="H15" s="83">
        <f>SUM(H12:H14)</f>
        <v>277383.89999999997</v>
      </c>
      <c r="I15" s="83"/>
      <c r="J15" s="83">
        <f>SUM(J12:J14)</f>
        <v>0</v>
      </c>
      <c r="K15" s="83"/>
      <c r="L15" s="83">
        <f>SUM(L12:L14)</f>
        <v>0</v>
      </c>
      <c r="M15" s="83"/>
      <c r="N15" s="83">
        <f>SUM(N12:N14)</f>
        <v>708327.4</v>
      </c>
      <c r="O15" s="83"/>
    </row>
    <row r="16" spans="1:17" ht="15" customHeight="1">
      <c r="A16" s="101" t="s">
        <v>82</v>
      </c>
      <c r="B16" s="85"/>
      <c r="C16" s="86"/>
      <c r="D16" s="152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</row>
    <row r="17" spans="1:15" ht="15" customHeight="1">
      <c r="A17" s="144" t="s">
        <v>125</v>
      </c>
      <c r="B17" s="145" t="s">
        <v>122</v>
      </c>
      <c r="C17" s="145" t="s">
        <v>121</v>
      </c>
      <c r="D17" s="153">
        <v>0.4</v>
      </c>
      <c r="E17" s="160"/>
      <c r="F17" s="111"/>
      <c r="G17" s="80"/>
      <c r="H17" s="80"/>
      <c r="I17" s="80"/>
      <c r="J17" s="80"/>
      <c r="K17" s="80"/>
      <c r="L17" s="80"/>
      <c r="M17" s="80"/>
      <c r="N17" s="112"/>
      <c r="O17" s="174" t="s">
        <v>148</v>
      </c>
    </row>
    <row r="18" spans="1:15" ht="15" customHeight="1">
      <c r="A18" s="199" t="s">
        <v>83</v>
      </c>
      <c r="B18" s="142" t="s">
        <v>84</v>
      </c>
      <c r="C18" s="143" t="s">
        <v>72</v>
      </c>
      <c r="D18" s="153">
        <f>20</f>
        <v>20</v>
      </c>
      <c r="E18" s="112"/>
      <c r="F18" s="112"/>
      <c r="G18" s="162"/>
      <c r="H18" s="112"/>
      <c r="I18" s="112"/>
      <c r="J18" s="112"/>
      <c r="K18" s="112"/>
      <c r="L18" s="112"/>
      <c r="M18" s="112"/>
      <c r="N18" s="112"/>
      <c r="O18" s="174" t="s">
        <v>148</v>
      </c>
    </row>
    <row r="19" spans="1:15" ht="15" customHeight="1">
      <c r="A19" s="199"/>
      <c r="B19" s="142" t="s">
        <v>85</v>
      </c>
      <c r="C19" s="143" t="s">
        <v>72</v>
      </c>
      <c r="D19" s="153">
        <f>20</f>
        <v>20</v>
      </c>
      <c r="E19" s="112"/>
      <c r="F19" s="112"/>
      <c r="G19" s="162"/>
      <c r="H19" s="112"/>
      <c r="I19" s="112"/>
      <c r="J19" s="112"/>
      <c r="K19" s="112"/>
      <c r="L19" s="112"/>
      <c r="M19" s="112"/>
      <c r="N19" s="112"/>
      <c r="O19" s="174" t="s">
        <v>148</v>
      </c>
    </row>
    <row r="20" spans="1:15" ht="15" customHeight="1">
      <c r="A20" s="193" t="s">
        <v>86</v>
      </c>
      <c r="B20" s="85" t="s">
        <v>84</v>
      </c>
      <c r="C20" s="86" t="s">
        <v>72</v>
      </c>
      <c r="D20" s="152">
        <v>20</v>
      </c>
      <c r="E20" s="112"/>
      <c r="F20" s="112"/>
      <c r="G20" s="162"/>
      <c r="H20" s="112"/>
      <c r="I20" s="112"/>
      <c r="J20" s="112"/>
      <c r="K20" s="112"/>
      <c r="L20" s="112"/>
      <c r="M20" s="112"/>
      <c r="N20" s="112"/>
      <c r="O20" s="174" t="s">
        <v>148</v>
      </c>
    </row>
    <row r="21" spans="1:15" ht="15" customHeight="1">
      <c r="A21" s="193"/>
      <c r="B21" s="85" t="s">
        <v>85</v>
      </c>
      <c r="C21" s="86" t="s">
        <v>72</v>
      </c>
      <c r="D21" s="152">
        <v>20</v>
      </c>
      <c r="E21" s="112"/>
      <c r="F21" s="112"/>
      <c r="G21" s="162"/>
      <c r="H21" s="112"/>
      <c r="I21" s="112"/>
      <c r="J21" s="112"/>
      <c r="K21" s="112"/>
      <c r="L21" s="112"/>
      <c r="M21" s="112"/>
      <c r="N21" s="112"/>
      <c r="O21" s="174" t="s">
        <v>148</v>
      </c>
    </row>
    <row r="22" spans="1:15" ht="15" customHeight="1">
      <c r="A22" s="117" t="s">
        <v>123</v>
      </c>
      <c r="B22" s="116" t="s">
        <v>124</v>
      </c>
      <c r="C22" s="116" t="s">
        <v>121</v>
      </c>
      <c r="D22" s="152">
        <v>0.13</v>
      </c>
      <c r="E22" s="160"/>
      <c r="F22" s="112"/>
      <c r="G22" s="80"/>
      <c r="H22" s="80"/>
      <c r="I22" s="80"/>
      <c r="J22" s="80"/>
      <c r="K22" s="80"/>
      <c r="L22" s="80"/>
      <c r="M22" s="80"/>
      <c r="N22" s="112"/>
      <c r="O22" s="174" t="s">
        <v>148</v>
      </c>
    </row>
    <row r="23" spans="1:15" ht="15" customHeight="1">
      <c r="A23" s="193" t="s">
        <v>87</v>
      </c>
      <c r="B23" s="85" t="s">
        <v>88</v>
      </c>
      <c r="C23" s="86" t="s">
        <v>72</v>
      </c>
      <c r="D23" s="152">
        <v>10</v>
      </c>
      <c r="E23" s="80"/>
      <c r="F23" s="80"/>
      <c r="G23" s="160"/>
      <c r="H23" s="80"/>
      <c r="I23" s="80"/>
      <c r="J23" s="80"/>
      <c r="K23" s="80"/>
      <c r="L23" s="111"/>
      <c r="M23" s="80"/>
      <c r="N23" s="111"/>
      <c r="O23" s="174" t="s">
        <v>148</v>
      </c>
    </row>
    <row r="24" spans="1:15" ht="15" customHeight="1">
      <c r="A24" s="193"/>
      <c r="B24" s="85" t="s">
        <v>89</v>
      </c>
      <c r="C24" s="86" t="s">
        <v>72</v>
      </c>
      <c r="D24" s="152">
        <v>10</v>
      </c>
      <c r="E24" s="80"/>
      <c r="F24" s="80"/>
      <c r="G24" s="160"/>
      <c r="H24" s="80"/>
      <c r="I24" s="80"/>
      <c r="J24" s="80"/>
      <c r="K24" s="80"/>
      <c r="L24" s="111"/>
      <c r="M24" s="80"/>
      <c r="N24" s="111"/>
      <c r="O24" s="174" t="s">
        <v>148</v>
      </c>
    </row>
    <row r="25" spans="1:15" ht="15" customHeight="1">
      <c r="A25" s="193" t="s">
        <v>90</v>
      </c>
      <c r="B25" s="85" t="s">
        <v>88</v>
      </c>
      <c r="C25" s="86" t="s">
        <v>72</v>
      </c>
      <c r="D25" s="152">
        <v>2</v>
      </c>
      <c r="E25" s="80"/>
      <c r="F25" s="80"/>
      <c r="G25" s="160"/>
      <c r="H25" s="80"/>
      <c r="I25" s="80"/>
      <c r="J25" s="80"/>
      <c r="K25" s="80"/>
      <c r="L25" s="111"/>
      <c r="M25" s="80"/>
      <c r="N25" s="111"/>
      <c r="O25" s="174" t="s">
        <v>149</v>
      </c>
    </row>
    <row r="26" spans="1:15" ht="15" customHeight="1">
      <c r="A26" s="193"/>
      <c r="B26" s="85" t="s">
        <v>91</v>
      </c>
      <c r="C26" s="86" t="s">
        <v>72</v>
      </c>
      <c r="D26" s="152">
        <v>2</v>
      </c>
      <c r="E26" s="80"/>
      <c r="F26" s="80"/>
      <c r="G26" s="160"/>
      <c r="H26" s="80"/>
      <c r="I26" s="80"/>
      <c r="J26" s="80"/>
      <c r="K26" s="80"/>
      <c r="L26" s="111"/>
      <c r="M26" s="80"/>
      <c r="N26" s="111"/>
      <c r="O26" s="174" t="s">
        <v>149</v>
      </c>
    </row>
    <row r="27" spans="1:15" ht="15" customHeight="1">
      <c r="A27" s="96" t="s">
        <v>78</v>
      </c>
      <c r="B27" s="87"/>
      <c r="C27" s="88"/>
      <c r="D27" s="154"/>
      <c r="E27" s="83"/>
      <c r="F27" s="83">
        <f>SUM(F16:F26)</f>
        <v>0</v>
      </c>
      <c r="G27" s="83"/>
      <c r="H27" s="83">
        <f>SUM(H16:H26)</f>
        <v>0</v>
      </c>
      <c r="I27" s="83"/>
      <c r="J27" s="83">
        <f>SUM(J16:J26)</f>
        <v>0</v>
      </c>
      <c r="K27" s="83"/>
      <c r="L27" s="83">
        <f>SUM(L16:L26)</f>
        <v>0</v>
      </c>
      <c r="M27" s="83"/>
      <c r="N27" s="83">
        <f>SUM(N16:N26)</f>
        <v>0</v>
      </c>
      <c r="O27" s="83"/>
    </row>
    <row r="28" spans="1:15" ht="15" customHeight="1">
      <c r="A28" s="102" t="s">
        <v>92</v>
      </c>
      <c r="B28" s="78" t="s">
        <v>93</v>
      </c>
      <c r="C28" s="79" t="s">
        <v>72</v>
      </c>
      <c r="D28" s="155">
        <v>79</v>
      </c>
      <c r="E28" s="111"/>
      <c r="F28" s="111"/>
      <c r="G28" s="160">
        <v>4284</v>
      </c>
      <c r="H28" s="111">
        <f>D28*G28</f>
        <v>338436</v>
      </c>
      <c r="I28" s="111"/>
      <c r="J28" s="111"/>
      <c r="K28" s="111"/>
      <c r="L28" s="111"/>
      <c r="M28" s="111"/>
      <c r="N28" s="111">
        <f>F28+H28+J28+L28</f>
        <v>338436</v>
      </c>
      <c r="O28" s="89"/>
    </row>
    <row r="29" spans="1:15" ht="15" customHeight="1">
      <c r="A29" s="97" t="s">
        <v>78</v>
      </c>
      <c r="B29" s="81"/>
      <c r="C29" s="82"/>
      <c r="D29" s="156"/>
      <c r="E29" s="91"/>
      <c r="F29" s="91"/>
      <c r="G29" s="91"/>
      <c r="H29" s="83">
        <f>SUM(H28:H28)</f>
        <v>338436</v>
      </c>
      <c r="I29" s="91"/>
      <c r="J29" s="83">
        <f t="shared" ref="J29:N29" si="4">SUM(J28:J28)</f>
        <v>0</v>
      </c>
      <c r="K29" s="83"/>
      <c r="L29" s="83">
        <f t="shared" si="4"/>
        <v>0</v>
      </c>
      <c r="M29" s="83"/>
      <c r="N29" s="83">
        <f t="shared" si="4"/>
        <v>338436</v>
      </c>
      <c r="O29" s="91"/>
    </row>
    <row r="30" spans="1:15" ht="15" customHeight="1">
      <c r="A30" s="96" t="s">
        <v>120</v>
      </c>
      <c r="B30" s="81"/>
      <c r="C30" s="82"/>
      <c r="D30" s="90"/>
      <c r="E30" s="92"/>
      <c r="F30" s="93">
        <f>F11+F15+F27+F29</f>
        <v>578500.69999999995</v>
      </c>
      <c r="G30" s="93"/>
      <c r="H30" s="93">
        <f>H11+H15+H27+H29</f>
        <v>2050876.7</v>
      </c>
      <c r="I30" s="92"/>
      <c r="J30" s="93">
        <f>J11+J15+J27+J29</f>
        <v>0</v>
      </c>
      <c r="K30" s="92"/>
      <c r="L30" s="93">
        <f>L11+L15+L27+L29</f>
        <v>0</v>
      </c>
      <c r="M30" s="92"/>
      <c r="N30" s="93">
        <f>N11+N15+N27+N29</f>
        <v>2629377.4</v>
      </c>
      <c r="O30" s="92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A17" sqref="A17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</row>
    <row r="2" spans="1:6">
      <c r="A2" s="99" t="str">
        <f>'내역서(표준단가)'!A5</f>
        <v>M020853710050101</v>
      </c>
      <c r="B2" s="100">
        <f>'내역서(표준단가)'!B5</f>
        <v>0</v>
      </c>
      <c r="C2" s="100">
        <f>'내역서(표준단가)'!C5</f>
        <v>0</v>
      </c>
      <c r="D2" s="100" t="str">
        <f>'내역서(표준단가)'!D5</f>
        <v>M020853710050101</v>
      </c>
      <c r="E2" s="100">
        <f>'내역서(표준단가)'!E5</f>
        <v>0</v>
      </c>
      <c r="F2" s="108">
        <f>'내역서(표준단가)'!I5</f>
        <v>8.4789999999999992</v>
      </c>
    </row>
    <row r="3" spans="1:6">
      <c r="A3" s="99" t="str">
        <f>'내역서(표준단가)'!A6</f>
        <v>E00000803071260301</v>
      </c>
      <c r="B3" s="100">
        <f>'내역서(표준단가)'!B6</f>
        <v>0</v>
      </c>
      <c r="C3" s="100" t="str">
        <f>'내역서(표준단가)'!C6</f>
        <v>E00000803071260301</v>
      </c>
      <c r="D3" s="100">
        <f>'내역서(표준단가)'!D6</f>
        <v>0</v>
      </c>
      <c r="E3" s="100">
        <f>'내역서(표준단가)'!E6</f>
        <v>0</v>
      </c>
      <c r="F3" s="108">
        <f>'내역서(표준단가)'!I6</f>
        <v>1.978</v>
      </c>
    </row>
    <row r="4" spans="1:6">
      <c r="A4" s="99" t="str">
        <f>'내역서(표준단가)'!A7</f>
        <v>E00000803071260301</v>
      </c>
      <c r="B4" s="100">
        <f>'내역서(표준단가)'!B7</f>
        <v>0</v>
      </c>
      <c r="C4" s="100" t="str">
        <f>'내역서(표준단가)'!C7</f>
        <v>E00000803071260301</v>
      </c>
      <c r="D4" s="100">
        <f>'내역서(표준단가)'!D7</f>
        <v>0</v>
      </c>
      <c r="E4" s="100">
        <f>'내역서(표준단가)'!E7</f>
        <v>0</v>
      </c>
      <c r="F4" s="108">
        <f>'내역서(표준단가)'!I7</f>
        <v>1.4</v>
      </c>
    </row>
    <row r="5" spans="1:6">
      <c r="A5" s="99" t="str">
        <f>'내역서(표준단가)'!A8</f>
        <v>M020809012520101</v>
      </c>
      <c r="B5" s="100">
        <f>'내역서(표준단가)'!B8</f>
        <v>0</v>
      </c>
      <c r="C5" s="100">
        <f>'내역서(표준단가)'!C8</f>
        <v>0</v>
      </c>
      <c r="D5" s="100" t="str">
        <f>'내역서(표준단가)'!D8</f>
        <v>M020809012520101</v>
      </c>
      <c r="E5" s="100">
        <f>'내역서(표준단가)'!E8</f>
        <v>0</v>
      </c>
      <c r="F5" s="108">
        <f>'내역서(표준단가)'!I8</f>
        <v>39.6</v>
      </c>
    </row>
    <row r="6" spans="1:6">
      <c r="A6" s="99" t="str">
        <f>'내역서(표준단가)'!A9</f>
        <v>E00000803071260401</v>
      </c>
      <c r="B6" s="100">
        <f>'내역서(표준단가)'!B9</f>
        <v>0</v>
      </c>
      <c r="C6" s="100" t="str">
        <f>'내역서(표준단가)'!C9</f>
        <v>E00000803071260401</v>
      </c>
      <c r="D6" s="100">
        <f>'내역서(표준단가)'!D9</f>
        <v>0</v>
      </c>
      <c r="E6" s="100">
        <f>'내역서(표준단가)'!E9</f>
        <v>0</v>
      </c>
      <c r="F6" s="108">
        <f>'내역서(표준단가)'!I9</f>
        <v>0.64900000000000002</v>
      </c>
    </row>
    <row r="7" spans="1:6">
      <c r="A7" s="99" t="str">
        <f>'내역서(표준단가)'!A10</f>
        <v>E00000801011510701</v>
      </c>
      <c r="B7" s="100">
        <f>'내역서(표준단가)'!B10</f>
        <v>0</v>
      </c>
      <c r="C7" s="100" t="str">
        <f>'내역서(표준단가)'!C10</f>
        <v>E00000801011510701</v>
      </c>
      <c r="D7" s="100">
        <f>'내역서(표준단가)'!D10</f>
        <v>0</v>
      </c>
      <c r="E7" s="100">
        <f>'내역서(표준단가)'!E10</f>
        <v>0</v>
      </c>
      <c r="F7" s="108">
        <f>'내역서(표준단가)'!I10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2026-05-26T01:38:18Z</dcterms:modified>
</cp:coreProperties>
</file>
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03 금일작업\26년\"/>
    </mc:Choice>
  </mc:AlternateContent>
  <xr:revisionPtr revIDLastSave="0" documentId="13_ncr:1_{F97B89E1-D663-42C9-8524-23F3F3DFCB39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LGES AB_3동 기숙사" sheetId="4" r:id="rId1"/>
    <sheet name="LGES_ 공용부 기숙 및 사택" sheetId="5" r:id="rId2"/>
    <sheet name="LG 사택 어린이집(오버홀)" sheetId="2" r:id="rId3"/>
    <sheet name="화학_AB_3동 기숙사" sheetId="3" r:id="rId4"/>
  </sheets>
  <externalReferences>
    <externalReference r:id="rId5"/>
  </externalReferences>
  <definedNames>
    <definedName name="_xlnm.Print_Area" localSheetId="2">'LG 사택 어린이집(오버홀)'!$A$1:$O$46</definedName>
    <definedName name="_xlnm.Print_Area" localSheetId="0">'LGES AB_3동 기숙사'!$A$1:$O$44</definedName>
    <definedName name="_xlnm.Print_Area" localSheetId="1">'LGES_ 공용부 기숙 및 사택'!$A$1:$O$43</definedName>
    <definedName name="_xlnm.Print_Area" localSheetId="3">'화학_AB_3동 기숙사'!$A$1:$O$46</definedName>
    <definedName name="가입기간" localSheetId="2">#REF!</definedName>
    <definedName name="가입기간" localSheetId="0">#REF!</definedName>
    <definedName name="가입기간" localSheetId="1">#REF!</definedName>
    <definedName name="가입기간" localSheetId="3">#REF!</definedName>
    <definedName name="가입기간">#REF!</definedName>
    <definedName name="가입기간1" localSheetId="2">#REF!</definedName>
    <definedName name="가입기간1" localSheetId="0">#REF!</definedName>
    <definedName name="가입기간1" localSheetId="1">#REF!</definedName>
    <definedName name="가입기간1" localSheetId="3">#REF!</definedName>
    <definedName name="가입기간1">#REF!</definedName>
    <definedName name="계좌" localSheetId="2">#REF!</definedName>
    <definedName name="계좌" localSheetId="0">#REF!</definedName>
    <definedName name="계좌" localSheetId="1">#REF!</definedName>
    <definedName name="계좌" localSheetId="3">#REF!</definedName>
    <definedName name="계좌">#REF!</definedName>
    <definedName name="계좌1" localSheetId="2">#REF!</definedName>
    <definedName name="계좌1" localSheetId="0">#REF!</definedName>
    <definedName name="계좌1" localSheetId="1">#REF!</definedName>
    <definedName name="계좌1" localSheetId="3">#REF!</definedName>
    <definedName name="계좌1">#REF!</definedName>
    <definedName name="고객담당자" localSheetId="2">#REF!</definedName>
    <definedName name="고객담당자" localSheetId="0">#REF!</definedName>
    <definedName name="고객담당자" localSheetId="1">#REF!</definedName>
    <definedName name="고객담당자" localSheetId="3">#REF!</definedName>
    <definedName name="고객담당자">#REF!</definedName>
    <definedName name="고객담당자1" localSheetId="2">#REF!</definedName>
    <definedName name="고객담당자1" localSheetId="0">#REF!</definedName>
    <definedName name="고객담당자1" localSheetId="1">#REF!</definedName>
    <definedName name="고객담당자1" localSheetId="3">#REF!</definedName>
    <definedName name="고객담당자1">#REF!</definedName>
    <definedName name="기간기준" localSheetId="2">#REF!</definedName>
    <definedName name="기간기준" localSheetId="0">#REF!</definedName>
    <definedName name="기간기준" localSheetId="1">#REF!</definedName>
    <definedName name="기간기준" localSheetId="3">#REF!</definedName>
    <definedName name="기간기준">#REF!</definedName>
    <definedName name="납부방법">[1]상품계산기!$J$46:$K$47</definedName>
    <definedName name="멤버쉽대분류" localSheetId="2">#REF!</definedName>
    <definedName name="멤버쉽대분류" localSheetId="0">#REF!</definedName>
    <definedName name="멤버쉽대분류" localSheetId="1">#REF!</definedName>
    <definedName name="멤버쉽대분류" localSheetId="3">#REF!</definedName>
    <definedName name="멤버쉽대분류">#REF!</definedName>
    <definedName name="멤버쉽상품" localSheetId="2">#REF!</definedName>
    <definedName name="멤버쉽상품" localSheetId="0">#REF!</definedName>
    <definedName name="멤버쉽상품" localSheetId="1">#REF!</definedName>
    <definedName name="멤버쉽상품" localSheetId="3">#REF!</definedName>
    <definedName name="멤버쉽상품">#REF!</definedName>
    <definedName name="멤버쉽상품1" localSheetId="2">#REF!</definedName>
    <definedName name="멤버쉽상품1" localSheetId="0">#REF!</definedName>
    <definedName name="멤버쉽상품1" localSheetId="1">#REF!</definedName>
    <definedName name="멤버쉽상품1" localSheetId="3">#REF!</definedName>
    <definedName name="멤버쉽상품1">#REF!</definedName>
    <definedName name="멤버쉽상품3" localSheetId="2">#REF!</definedName>
    <definedName name="멤버쉽상품3" localSheetId="0">#REF!</definedName>
    <definedName name="멤버쉽상품3" localSheetId="1">#REF!</definedName>
    <definedName name="멤버쉽상품3" localSheetId="3">#REF!</definedName>
    <definedName name="멤버쉽상품3">#REF!</definedName>
    <definedName name="멤버쉽상품4" localSheetId="2">#REF!</definedName>
    <definedName name="멤버쉽상품4" localSheetId="0">#REF!</definedName>
    <definedName name="멤버쉽상품4" localSheetId="1">#REF!</definedName>
    <definedName name="멤버쉽상품4" localSheetId="3">#REF!</definedName>
    <definedName name="멤버쉽상품4">#REF!</definedName>
    <definedName name="설치기간" localSheetId="2">#REF!</definedName>
    <definedName name="설치기간" localSheetId="0">#REF!</definedName>
    <definedName name="설치기간" localSheetId="1">#REF!</definedName>
    <definedName name="설치기간" localSheetId="3">#REF!</definedName>
    <definedName name="설치기간">#REF!</definedName>
    <definedName name="설치기간1" localSheetId="2">#REF!</definedName>
    <definedName name="설치기간1" localSheetId="0">#REF!</definedName>
    <definedName name="설치기간1" localSheetId="1">#REF!</definedName>
    <definedName name="설치기간1" localSheetId="3">#REF!</definedName>
    <definedName name="설치기간1">#REF!</definedName>
    <definedName name="세척1" localSheetId="2">#REF!</definedName>
    <definedName name="세척1" localSheetId="0">#REF!</definedName>
    <definedName name="세척1" localSheetId="1">#REF!</definedName>
    <definedName name="세척1" localSheetId="3">#REF!</definedName>
    <definedName name="세척1">#REF!</definedName>
    <definedName name="세척2" localSheetId="2">#REF!</definedName>
    <definedName name="세척2" localSheetId="0">#REF!</definedName>
    <definedName name="세척2" localSheetId="1">#REF!</definedName>
    <definedName name="세척2" localSheetId="3">#REF!</definedName>
    <definedName name="세척2">#REF!</definedName>
    <definedName name="세척3" localSheetId="2">#REF!</definedName>
    <definedName name="세척3" localSheetId="0">#REF!</definedName>
    <definedName name="세척3" localSheetId="1">#REF!</definedName>
    <definedName name="세척3" localSheetId="3">#REF!</definedName>
    <definedName name="세척3">#REF!</definedName>
    <definedName name="연락처5">[1]상품계산기!$F$96:$T$107</definedName>
    <definedName name="월간할인율" localSheetId="2">#REF!</definedName>
    <definedName name="월간할인율" localSheetId="0">#REF!</definedName>
    <definedName name="월간할인율" localSheetId="1">#REF!</definedName>
    <definedName name="월간할인율" localSheetId="3">#REF!</definedName>
    <definedName name="월간할인율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" i="5" l="1"/>
  <c r="K28" i="5" s="1"/>
  <c r="E13" i="5" s="1"/>
  <c r="K13" i="5" s="1"/>
  <c r="C7" i="5" s="1"/>
  <c r="K20" i="5"/>
  <c r="B13" i="5"/>
  <c r="K25" i="4" l="1"/>
  <c r="K29" i="4" s="1"/>
  <c r="E13" i="4" s="1"/>
  <c r="K20" i="4"/>
  <c r="B13" i="4"/>
  <c r="K31" i="3"/>
  <c r="E13" i="3" s="1"/>
  <c r="K13" i="3" s="1"/>
  <c r="C7" i="3" s="1"/>
  <c r="K26" i="3"/>
  <c r="K25" i="3"/>
  <c r="K20" i="3"/>
  <c r="B13" i="3"/>
  <c r="K13" i="4" l="1"/>
  <c r="C7" i="4" s="1"/>
  <c r="K26" i="2"/>
  <c r="K25" i="2"/>
  <c r="K31" i="2" s="1"/>
  <c r="E13" i="2" s="1"/>
  <c r="K20" i="2"/>
  <c r="B13" i="2"/>
  <c r="K13" i="2" l="1"/>
  <c r="C7" i="2" s="1"/>
</calcChain>
</file>

<file path=xl/sharedStrings.xml><?xml version="1.0" encoding="utf-8"?>
<sst xmlns="http://schemas.openxmlformats.org/spreadsheetml/2006/main" count="336" uniqueCount="81">
  <si>
    <t>LG 시스템 냉난방기 세척 견적서</t>
    <phoneticPr fontId="4" type="noConversion"/>
  </si>
  <si>
    <t xml:space="preserve">LG 사택 어린이집 貴中 </t>
    <phoneticPr fontId="8" type="noConversion"/>
  </si>
  <si>
    <t>등록번호</t>
    <phoneticPr fontId="4" type="noConversion"/>
  </si>
  <si>
    <t>106-86-40809</t>
    <phoneticPr fontId="4" type="noConversion"/>
  </si>
  <si>
    <t>견적일자</t>
    <phoneticPr fontId="8" type="noConversion"/>
  </si>
  <si>
    <t>상호</t>
    <phoneticPr fontId="4" type="noConversion"/>
  </si>
  <si>
    <t>하이엠솔루텍㈜</t>
    <phoneticPr fontId="4" type="noConversion"/>
  </si>
  <si>
    <t>대표자</t>
    <phoneticPr fontId="4" type="noConversion"/>
  </si>
  <si>
    <t xml:space="preserve">    유  광  열</t>
    <phoneticPr fontId="4" type="noConversion"/>
  </si>
  <si>
    <t>계약조건</t>
    <phoneticPr fontId="8" type="noConversion"/>
  </si>
  <si>
    <t>실내기 필터 세척</t>
    <phoneticPr fontId="8" type="noConversion"/>
  </si>
  <si>
    <t>사업장
주소</t>
    <phoneticPr fontId="4" type="noConversion"/>
  </si>
  <si>
    <t>서울특별시 강서구 마곡중앙5로 18, 10, 11층(메이플레이스빌딩)</t>
    <phoneticPr fontId="4" type="noConversion"/>
  </si>
  <si>
    <t>견적유효일</t>
    <phoneticPr fontId="8" type="noConversion"/>
  </si>
  <si>
    <t>작성일로 부터 30일</t>
    <phoneticPr fontId="8" type="noConversion"/>
  </si>
  <si>
    <t xml:space="preserve">견적금액 </t>
    <phoneticPr fontId="8" type="noConversion"/>
  </si>
  <si>
    <t xml:space="preserve"> </t>
  </si>
  <si>
    <t>업태</t>
    <phoneticPr fontId="4" type="noConversion"/>
  </si>
  <si>
    <t>서비스 외</t>
    <phoneticPr fontId="4" type="noConversion"/>
  </si>
  <si>
    <t>종목</t>
    <phoneticPr fontId="4" type="noConversion"/>
  </si>
  <si>
    <t>전기,전자기기수리, 에어컨세척</t>
    <phoneticPr fontId="4" type="noConversion"/>
  </si>
  <si>
    <t>(VAT별도)</t>
    <phoneticPr fontId="8" type="noConversion"/>
  </si>
  <si>
    <t>전화</t>
    <phoneticPr fontId="4" type="noConversion"/>
  </si>
  <si>
    <t>010-7936-0968</t>
    <phoneticPr fontId="4" type="noConversion"/>
  </si>
  <si>
    <t>팩스</t>
    <phoneticPr fontId="4" type="noConversion"/>
  </si>
  <si>
    <t>042-486-4116</t>
    <phoneticPr fontId="4" type="noConversion"/>
  </si>
  <si>
    <t xml:space="preserve">  아래와 같이 시스템에어컨 유지보수에 대한 상세내역을 제출합니다.</t>
    <phoneticPr fontId="4" type="noConversion"/>
  </si>
  <si>
    <t>VAT별도</t>
    <phoneticPr fontId="8" type="noConversion"/>
  </si>
  <si>
    <t>구분</t>
    <phoneticPr fontId="8" type="noConversion"/>
  </si>
  <si>
    <t>부품 견적액</t>
    <phoneticPr fontId="8" type="noConversion"/>
  </si>
  <si>
    <t>세척견적액</t>
    <phoneticPr fontId="8" type="noConversion"/>
  </si>
  <si>
    <t>절사금액</t>
    <phoneticPr fontId="8" type="noConversion"/>
  </si>
  <si>
    <t>총 견적금액</t>
    <phoneticPr fontId="8" type="noConversion"/>
  </si>
  <si>
    <t>금액</t>
    <phoneticPr fontId="8" type="noConversion"/>
  </si>
  <si>
    <t>Ⅰ. 부품 견적내역</t>
    <phoneticPr fontId="8" type="noConversion"/>
  </si>
  <si>
    <t>NO</t>
    <phoneticPr fontId="8" type="noConversion"/>
  </si>
  <si>
    <t>상세 내역</t>
    <phoneticPr fontId="4" type="noConversion"/>
  </si>
  <si>
    <t>수  량</t>
    <phoneticPr fontId="8" type="noConversion"/>
  </si>
  <si>
    <t>기  준</t>
    <phoneticPr fontId="8" type="noConversion"/>
  </si>
  <si>
    <t>단가</t>
    <phoneticPr fontId="8" type="noConversion"/>
  </si>
  <si>
    <t>총금액</t>
    <phoneticPr fontId="8" type="noConversion"/>
  </si>
  <si>
    <t>비   고</t>
    <phoneticPr fontId="8" type="noConversion"/>
  </si>
  <si>
    <t>합  계</t>
    <phoneticPr fontId="19" type="noConversion"/>
  </si>
  <si>
    <t>Ⅱ. 세척 견적내역</t>
    <phoneticPr fontId="8" type="noConversion"/>
  </si>
  <si>
    <t>NO</t>
    <phoneticPr fontId="8" type="noConversion"/>
  </si>
  <si>
    <t>세척 내역</t>
    <phoneticPr fontId="4" type="noConversion"/>
  </si>
  <si>
    <t>수  량</t>
    <phoneticPr fontId="8" type="noConversion"/>
  </si>
  <si>
    <t>횟 수</t>
    <phoneticPr fontId="8" type="noConversion"/>
  </si>
  <si>
    <t>단가</t>
    <phoneticPr fontId="8" type="noConversion"/>
  </si>
  <si>
    <t>HIM-C4_1/2WAY</t>
    <phoneticPr fontId="19" type="noConversion"/>
  </si>
  <si>
    <t>1회</t>
    <phoneticPr fontId="19" type="noConversion"/>
  </si>
  <si>
    <t>HIM-C4_4WAY</t>
    <phoneticPr fontId="19" type="noConversion"/>
  </si>
  <si>
    <t>합  계</t>
    <phoneticPr fontId="8" type="noConversion"/>
  </si>
  <si>
    <t>특이사항</t>
    <phoneticPr fontId="8" type="noConversion"/>
  </si>
  <si>
    <t xml:space="preserve">
- 시스템에어컨 전용 세척제 및 전용 세척장비 사용
- 작업전 사용 약품의 MSDS 제출</t>
    <phoneticPr fontId="19" type="noConversion"/>
  </si>
  <si>
    <t>보험조건 :</t>
    <phoneticPr fontId="8" type="noConversion"/>
  </si>
  <si>
    <t>해당없음</t>
  </si>
  <si>
    <t>•가입기간 :</t>
  </si>
  <si>
    <t>신규</t>
  </si>
  <si>
    <t>•사용기간 :</t>
  </si>
  <si>
    <t>년차</t>
    <phoneticPr fontId="8" type="noConversion"/>
  </si>
  <si>
    <t>우리은행 :</t>
  </si>
  <si>
    <t xml:space="preserve"> 1005-501-085730</t>
    <phoneticPr fontId="8" type="noConversion"/>
  </si>
  <si>
    <t>하이엠솔루텍㈜</t>
  </si>
  <si>
    <t>•SE :</t>
    <phoneticPr fontId="8" type="noConversion"/>
  </si>
  <si>
    <t>•계산기 :</t>
  </si>
  <si>
    <t>• 분할기간:</t>
  </si>
  <si>
    <t>일시불</t>
    <phoneticPr fontId="8" type="noConversion"/>
  </si>
  <si>
    <t>고객담당자  :</t>
    <phoneticPr fontId="8" type="noConversion"/>
  </si>
  <si>
    <t>김인호</t>
    <phoneticPr fontId="8" type="noConversion"/>
  </si>
  <si>
    <t>연락처 :</t>
    <phoneticPr fontId="8" type="noConversion"/>
  </si>
  <si>
    <t>S.P :</t>
    <phoneticPr fontId="8" type="noConversion"/>
  </si>
  <si>
    <t>010-7936-0968</t>
    <phoneticPr fontId="8" type="noConversion"/>
  </si>
  <si>
    <t>Fax :</t>
    <phoneticPr fontId="8" type="noConversion"/>
  </si>
  <si>
    <t>042-486-4116</t>
    <phoneticPr fontId="8" type="noConversion"/>
  </si>
  <si>
    <t xml:space="preserve">LGC A,B,3동 기숙사 貴中 </t>
    <phoneticPr fontId="8" type="noConversion"/>
  </si>
  <si>
    <t>HIM-C1_1/2WAY</t>
    <phoneticPr fontId="19" type="noConversion"/>
  </si>
  <si>
    <t>HIM-C1_4WAY</t>
    <phoneticPr fontId="19" type="noConversion"/>
  </si>
  <si>
    <t xml:space="preserve">LGES A,B,3동 기숙사 貴中 </t>
    <phoneticPr fontId="8" type="noConversion"/>
  </si>
  <si>
    <t xml:space="preserve">LG 사택 공용부 貴中 </t>
    <phoneticPr fontId="8" type="noConversion"/>
  </si>
  <si>
    <t>HIM-C1_1/2/4WAY 및 스탠드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</si>
</sst>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yyyy&quot;년&quot;\ m&quot;월&quot;\ d&quot;일&quot;;@"/>
    <numFmt numFmtId="177" formatCode="0.0%"/>
  </numFmts>
  <fonts count="2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6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16"/>
      <color indexed="8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2"/>
      <color indexed="8"/>
      <name val="맑은 고딕"/>
      <family val="3"/>
      <charset val="129"/>
      <scheme val="minor"/>
    </font>
    <font>
      <b/>
      <sz val="13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  <font>
      <b/>
      <sz val="13"/>
      <color rgb="FFFF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u/>
      <sz val="9.35"/>
      <color theme="10"/>
      <name val="맑은 고딕"/>
      <family val="3"/>
      <charset val="129"/>
    </font>
    <font>
      <b/>
      <sz val="11"/>
      <name val="맑은 고딕"/>
      <family val="3"/>
      <charset val="129"/>
    </font>
    <font>
      <b/>
      <sz val="9"/>
      <color indexed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>
      <alignment vertical="center"/>
    </xf>
  </cellStyleXfs>
  <cellXfs count="202">
    <xf numFmtId="0" fontId="0" fillId="0" borderId="0" xfId="0">
      <alignment vertical="center"/>
    </xf>
    <xf numFmtId="41" fontId="5" fillId="0" borderId="0" xfId="2" applyFont="1">
      <alignment vertical="center"/>
    </xf>
    <xf numFmtId="0" fontId="6" fillId="2" borderId="4" xfId="1" applyFont="1" applyFill="1" applyBorder="1">
      <alignment vertical="center"/>
    </xf>
    <xf numFmtId="0" fontId="6" fillId="2" borderId="0" xfId="1" applyFont="1" applyFill="1">
      <alignment vertical="center"/>
    </xf>
    <xf numFmtId="0" fontId="6" fillId="2" borderId="5" xfId="1" applyFont="1" applyFill="1" applyBorder="1">
      <alignment vertical="center"/>
    </xf>
    <xf numFmtId="0" fontId="6" fillId="2" borderId="6" xfId="1" applyFont="1" applyFill="1" applyBorder="1">
      <alignment vertical="center"/>
    </xf>
    <xf numFmtId="0" fontId="9" fillId="2" borderId="0" xfId="1" applyFont="1" applyFill="1">
      <alignment vertical="center"/>
    </xf>
    <xf numFmtId="0" fontId="9" fillId="2" borderId="9" xfId="1" applyFont="1" applyFill="1" applyBorder="1" applyAlignment="1">
      <alignment horizontal="center" vertical="center"/>
    </xf>
    <xf numFmtId="0" fontId="11" fillId="2" borderId="0" xfId="1" applyFont="1" applyFill="1">
      <alignment vertical="center"/>
    </xf>
    <xf numFmtId="0" fontId="9" fillId="2" borderId="14" xfId="1" applyFont="1" applyFill="1" applyBorder="1" applyAlignment="1">
      <alignment horizontal="center" vertical="center"/>
    </xf>
    <xf numFmtId="0" fontId="9" fillId="2" borderId="15" xfId="1" applyFont="1" applyFill="1" applyBorder="1" applyAlignment="1">
      <alignment horizontal="center" vertical="center"/>
    </xf>
    <xf numFmtId="0" fontId="9" fillId="2" borderId="21" xfId="1" applyFont="1" applyFill="1" applyBorder="1" applyAlignment="1">
      <alignment horizontal="center" vertical="center"/>
    </xf>
    <xf numFmtId="0" fontId="9" fillId="2" borderId="22" xfId="1" applyFont="1" applyFill="1" applyBorder="1" applyAlignment="1">
      <alignment horizontal="center" vertical="center"/>
    </xf>
    <xf numFmtId="31" fontId="11" fillId="2" borderId="4" xfId="1" applyNumberFormat="1" applyFont="1" applyFill="1" applyBorder="1">
      <alignment vertical="center"/>
    </xf>
    <xf numFmtId="31" fontId="11" fillId="2" borderId="0" xfId="1" applyNumberFormat="1" applyFont="1" applyFill="1">
      <alignment vertical="center"/>
    </xf>
    <xf numFmtId="42" fontId="11" fillId="2" borderId="0" xfId="1" applyNumberFormat="1" applyFont="1" applyFill="1">
      <alignment vertical="center"/>
    </xf>
    <xf numFmtId="41" fontId="11" fillId="2" borderId="0" xfId="1" applyNumberFormat="1" applyFont="1" applyFill="1">
      <alignment vertical="center"/>
    </xf>
    <xf numFmtId="0" fontId="11" fillId="2" borderId="0" xfId="1" applyFont="1" applyFill="1" applyAlignment="1">
      <alignment horizontal="center" vertical="center"/>
    </xf>
    <xf numFmtId="0" fontId="11" fillId="2" borderId="6" xfId="1" applyFont="1" applyFill="1" applyBorder="1" applyAlignment="1">
      <alignment horizontal="center" vertical="center"/>
    </xf>
    <xf numFmtId="31" fontId="9" fillId="2" borderId="4" xfId="1" applyNumberFormat="1" applyFont="1" applyFill="1" applyBorder="1" applyAlignment="1">
      <alignment horizontal="left" vertical="center"/>
    </xf>
    <xf numFmtId="31" fontId="11" fillId="2" borderId="0" xfId="1" applyNumberFormat="1" applyFont="1" applyFill="1" applyAlignment="1">
      <alignment horizontal="left" vertical="center"/>
    </xf>
    <xf numFmtId="31" fontId="10" fillId="3" borderId="26" xfId="1" applyNumberFormat="1" applyFont="1" applyFill="1" applyBorder="1" applyAlignment="1">
      <alignment horizontal="center" vertical="center"/>
    </xf>
    <xf numFmtId="31" fontId="9" fillId="2" borderId="31" xfId="1" applyNumberFormat="1" applyFont="1" applyFill="1" applyBorder="1" applyAlignment="1">
      <alignment horizontal="center" vertical="center"/>
    </xf>
    <xf numFmtId="31" fontId="10" fillId="2" borderId="4" xfId="1" applyNumberFormat="1" applyFont="1" applyFill="1" applyBorder="1" applyAlignment="1">
      <alignment horizontal="left" vertical="center"/>
    </xf>
    <xf numFmtId="0" fontId="9" fillId="3" borderId="37" xfId="1" applyFont="1" applyFill="1" applyBorder="1" applyAlignment="1">
      <alignment horizontal="center" vertical="center"/>
    </xf>
    <xf numFmtId="0" fontId="16" fillId="3" borderId="38" xfId="1" applyFont="1" applyFill="1" applyBorder="1" applyAlignment="1">
      <alignment horizontal="center" vertical="center"/>
    </xf>
    <xf numFmtId="0" fontId="6" fillId="2" borderId="43" xfId="1" applyFont="1" applyFill="1" applyBorder="1" applyAlignment="1">
      <alignment horizontal="center" vertical="center"/>
    </xf>
    <xf numFmtId="0" fontId="6" fillId="2" borderId="47" xfId="2" applyNumberFormat="1" applyFont="1" applyFill="1" applyBorder="1" applyAlignment="1">
      <alignment horizontal="center" vertical="center"/>
    </xf>
    <xf numFmtId="41" fontId="6" fillId="2" borderId="47" xfId="2" applyFont="1" applyFill="1" applyBorder="1" applyAlignment="1">
      <alignment horizontal="center" vertical="center"/>
    </xf>
    <xf numFmtId="0" fontId="5" fillId="0" borderId="0" xfId="1" applyFont="1">
      <alignment vertical="center"/>
    </xf>
    <xf numFmtId="0" fontId="18" fillId="2" borderId="43" xfId="1" applyFont="1" applyFill="1" applyBorder="1" applyAlignment="1">
      <alignment horizontal="center" vertical="center"/>
    </xf>
    <xf numFmtId="0" fontId="18" fillId="2" borderId="47" xfId="2" applyNumberFormat="1" applyFont="1" applyFill="1" applyBorder="1" applyAlignment="1">
      <alignment horizontal="center" vertical="center"/>
    </xf>
    <xf numFmtId="41" fontId="18" fillId="2" borderId="47" xfId="2" applyFont="1" applyFill="1" applyBorder="1" applyAlignment="1">
      <alignment horizontal="center" vertical="center"/>
    </xf>
    <xf numFmtId="41" fontId="6" fillId="2" borderId="49" xfId="2" applyFont="1" applyFill="1" applyBorder="1" applyAlignment="1">
      <alignment horizontal="center" vertical="center"/>
    </xf>
    <xf numFmtId="41" fontId="6" fillId="2" borderId="54" xfId="2" applyFont="1" applyFill="1" applyBorder="1" applyAlignment="1">
      <alignment horizontal="center" vertical="center"/>
    </xf>
    <xf numFmtId="0" fontId="10" fillId="2" borderId="4" xfId="1" applyFont="1" applyFill="1" applyBorder="1">
      <alignment vertical="center"/>
    </xf>
    <xf numFmtId="0" fontId="11" fillId="2" borderId="6" xfId="1" applyFont="1" applyFill="1" applyBorder="1">
      <alignment vertical="center"/>
    </xf>
    <xf numFmtId="0" fontId="6" fillId="2" borderId="56" xfId="1" applyFont="1" applyFill="1" applyBorder="1" applyAlignment="1">
      <alignment horizontal="center" vertical="center"/>
    </xf>
    <xf numFmtId="0" fontId="6" fillId="2" borderId="49" xfId="2" applyNumberFormat="1" applyFont="1" applyFill="1" applyBorder="1" applyAlignment="1">
      <alignment horizontal="center" vertical="center"/>
    </xf>
    <xf numFmtId="0" fontId="6" fillId="2" borderId="57" xfId="2" applyNumberFormat="1" applyFont="1" applyFill="1" applyBorder="1" applyAlignment="1">
      <alignment horizontal="center" vertical="center"/>
    </xf>
    <xf numFmtId="0" fontId="6" fillId="2" borderId="59" xfId="1" applyFont="1" applyFill="1" applyBorder="1" applyAlignment="1">
      <alignment horizontal="center" vertical="center"/>
    </xf>
    <xf numFmtId="0" fontId="6" fillId="2" borderId="15" xfId="2" applyNumberFormat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11" fillId="2" borderId="4" xfId="1" applyFont="1" applyFill="1" applyBorder="1">
      <alignment vertical="center"/>
    </xf>
    <xf numFmtId="41" fontId="0" fillId="0" borderId="0" xfId="2" applyFont="1">
      <alignment vertical="center"/>
    </xf>
    <xf numFmtId="0" fontId="6" fillId="2" borderId="4" xfId="1" applyFont="1" applyFill="1" applyBorder="1" applyAlignment="1">
      <alignment horizontal="left" vertical="center" wrapText="1"/>
    </xf>
    <xf numFmtId="9" fontId="11" fillId="2" borderId="0" xfId="5" applyFont="1" applyFill="1" applyBorder="1" applyAlignment="1">
      <alignment horizontal="right" vertical="center" wrapText="1"/>
    </xf>
    <xf numFmtId="9" fontId="11" fillId="2" borderId="0" xfId="5" applyFont="1" applyFill="1" applyBorder="1" applyAlignment="1">
      <alignment horizontal="center" vertical="center" wrapText="1"/>
    </xf>
    <xf numFmtId="177" fontId="11" fillId="2" borderId="0" xfId="5" applyNumberFormat="1" applyFont="1" applyFill="1" applyBorder="1" applyAlignment="1">
      <alignment horizontal="center" vertical="center" wrapText="1"/>
    </xf>
    <xf numFmtId="9" fontId="11" fillId="2" borderId="6" xfId="5" applyFont="1" applyFill="1" applyBorder="1" applyAlignment="1">
      <alignment horizontal="center" vertical="center" wrapText="1"/>
    </xf>
    <xf numFmtId="0" fontId="6" fillId="2" borderId="60" xfId="1" applyFont="1" applyFill="1" applyBorder="1" applyAlignment="1">
      <alignment horizontal="left" vertical="center" wrapText="1"/>
    </xf>
    <xf numFmtId="0" fontId="6" fillId="2" borderId="0" xfId="1" applyFont="1" applyFill="1" applyAlignment="1">
      <alignment vertical="center" wrapText="1"/>
    </xf>
    <xf numFmtId="0" fontId="6" fillId="2" borderId="0" xfId="1" applyFont="1" applyFill="1" applyAlignment="1">
      <alignment horizontal="center" vertical="center" wrapText="1"/>
    </xf>
    <xf numFmtId="0" fontId="6" fillId="2" borderId="5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3" borderId="62" xfId="1" applyFont="1" applyFill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24" fillId="2" borderId="0" xfId="1" applyFont="1" applyFill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4" fillId="2" borderId="6" xfId="1" applyFont="1" applyFill="1" applyBorder="1" applyAlignment="1">
      <alignment horizontal="center" vertical="center"/>
    </xf>
    <xf numFmtId="0" fontId="11" fillId="2" borderId="60" xfId="1" applyFont="1" applyFill="1" applyBorder="1">
      <alignment vertical="center"/>
    </xf>
    <xf numFmtId="0" fontId="11" fillId="2" borderId="5" xfId="1" applyFont="1" applyFill="1" applyBorder="1">
      <alignment vertical="center"/>
    </xf>
    <xf numFmtId="0" fontId="11" fillId="2" borderId="25" xfId="1" applyFont="1" applyFill="1" applyBorder="1">
      <alignment vertical="center"/>
    </xf>
    <xf numFmtId="0" fontId="10" fillId="2" borderId="18" xfId="1" applyFont="1" applyFill="1" applyBorder="1" applyAlignment="1">
      <alignment horizontal="left" vertical="center"/>
    </xf>
    <xf numFmtId="0" fontId="10" fillId="2" borderId="13" xfId="1" applyFont="1" applyFill="1" applyBorder="1" applyAlignment="1">
      <alignment horizontal="left" vertical="center"/>
    </xf>
    <xf numFmtId="0" fontId="10" fillId="2" borderId="13" xfId="1" applyFont="1" applyFill="1" applyBorder="1" applyAlignment="1">
      <alignment horizontal="center" vertical="center"/>
    </xf>
    <xf numFmtId="0" fontId="9" fillId="2" borderId="14" xfId="1" applyFont="1" applyFill="1" applyBorder="1" applyAlignment="1">
      <alignment horizontal="center" vertical="center" wrapText="1"/>
    </xf>
    <xf numFmtId="0" fontId="9" fillId="2" borderId="15" xfId="1" applyFont="1" applyFill="1" applyBorder="1" applyAlignment="1">
      <alignment horizontal="center" vertical="center" wrapText="1"/>
    </xf>
    <xf numFmtId="0" fontId="9" fillId="2" borderId="16" xfId="1" applyFont="1" applyFill="1" applyBorder="1" applyAlignment="1">
      <alignment horizontal="center" vertical="center" wrapText="1"/>
    </xf>
    <xf numFmtId="0" fontId="9" fillId="2" borderId="17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7" fillId="2" borderId="7" xfId="1" applyFont="1" applyFill="1" applyBorder="1" applyAlignment="1">
      <alignment horizontal="right" vertical="center"/>
    </xf>
    <xf numFmtId="0" fontId="7" fillId="2" borderId="8" xfId="1" applyFont="1" applyFill="1" applyBorder="1" applyAlignment="1">
      <alignment horizontal="right" vertical="center"/>
    </xf>
    <xf numFmtId="0" fontId="9" fillId="2" borderId="10" xfId="1" applyFont="1" applyFill="1" applyBorder="1" applyAlignment="1">
      <alignment horizontal="center" vertical="center"/>
    </xf>
    <xf numFmtId="0" fontId="9" fillId="2" borderId="11" xfId="1" applyFont="1" applyFill="1" applyBorder="1" applyAlignment="1">
      <alignment horizontal="center" vertical="center"/>
    </xf>
    <xf numFmtId="0" fontId="9" fillId="2" borderId="12" xfId="1" applyFont="1" applyFill="1" applyBorder="1" applyAlignment="1">
      <alignment horizontal="center" vertical="center"/>
    </xf>
    <xf numFmtId="0" fontId="10" fillId="2" borderId="7" xfId="1" applyFont="1" applyFill="1" applyBorder="1" applyAlignment="1">
      <alignment horizontal="left" vertical="center"/>
    </xf>
    <xf numFmtId="0" fontId="10" fillId="2" borderId="8" xfId="1" applyFont="1" applyFill="1" applyBorder="1" applyAlignment="1">
      <alignment horizontal="left" vertical="center"/>
    </xf>
    <xf numFmtId="176" fontId="10" fillId="2" borderId="13" xfId="1" applyNumberFormat="1" applyFont="1" applyFill="1" applyBorder="1" applyAlignment="1">
      <alignment horizontal="center" vertical="center"/>
    </xf>
    <xf numFmtId="0" fontId="9" fillId="2" borderId="15" xfId="1" applyFont="1" applyFill="1" applyBorder="1" applyAlignment="1">
      <alignment horizontal="center" vertical="center"/>
    </xf>
    <xf numFmtId="0" fontId="9" fillId="2" borderId="15" xfId="1" applyFont="1" applyFill="1" applyBorder="1" applyAlignment="1">
      <alignment horizontal="left" vertical="center"/>
    </xf>
    <xf numFmtId="0" fontId="9" fillId="2" borderId="16" xfId="1" applyFont="1" applyFill="1" applyBorder="1" applyAlignment="1">
      <alignment horizontal="left" vertical="center"/>
    </xf>
    <xf numFmtId="0" fontId="9" fillId="2" borderId="17" xfId="1" applyFont="1" applyFill="1" applyBorder="1" applyAlignment="1">
      <alignment horizontal="left" vertical="center"/>
    </xf>
    <xf numFmtId="42" fontId="12" fillId="2" borderId="20" xfId="1" applyNumberFormat="1" applyFont="1" applyFill="1" applyBorder="1" applyAlignment="1">
      <alignment horizontal="center" vertical="center"/>
    </xf>
    <xf numFmtId="0" fontId="9" fillId="2" borderId="0" xfId="1" applyFont="1" applyFill="1" applyAlignment="1">
      <alignment horizontal="right"/>
    </xf>
    <xf numFmtId="0" fontId="9" fillId="2" borderId="6" xfId="1" applyFont="1" applyFill="1" applyBorder="1" applyAlignment="1">
      <alignment horizontal="right"/>
    </xf>
    <xf numFmtId="0" fontId="9" fillId="2" borderId="5" xfId="1" applyFont="1" applyFill="1" applyBorder="1" applyAlignment="1">
      <alignment horizontal="right"/>
    </xf>
    <xf numFmtId="0" fontId="9" fillId="2" borderId="25" xfId="1" applyFont="1" applyFill="1" applyBorder="1" applyAlignment="1">
      <alignment horizontal="right"/>
    </xf>
    <xf numFmtId="31" fontId="10" fillId="3" borderId="27" xfId="1" applyNumberFormat="1" applyFont="1" applyFill="1" applyBorder="1" applyAlignment="1">
      <alignment horizontal="center" vertical="center"/>
    </xf>
    <xf numFmtId="31" fontId="13" fillId="3" borderId="27" xfId="1" applyNumberFormat="1" applyFont="1" applyFill="1" applyBorder="1" applyAlignment="1">
      <alignment horizontal="center" vertical="center"/>
    </xf>
    <xf numFmtId="31" fontId="10" fillId="3" borderId="28" xfId="1" applyNumberFormat="1" applyFont="1" applyFill="1" applyBorder="1" applyAlignment="1">
      <alignment horizontal="center" vertical="center"/>
    </xf>
    <xf numFmtId="31" fontId="10" fillId="3" borderId="29" xfId="1" applyNumberFormat="1" applyFont="1" applyFill="1" applyBorder="1" applyAlignment="1">
      <alignment horizontal="center" vertical="center"/>
    </xf>
    <xf numFmtId="31" fontId="10" fillId="3" borderId="30" xfId="1" applyNumberFormat="1" applyFont="1" applyFill="1" applyBorder="1" applyAlignment="1">
      <alignment horizontal="center" vertical="center"/>
    </xf>
    <xf numFmtId="31" fontId="10" fillId="2" borderId="19" xfId="1" applyNumberFormat="1" applyFont="1" applyFill="1" applyBorder="1" applyAlignment="1">
      <alignment horizontal="left" vertical="center" wrapText="1"/>
    </xf>
    <xf numFmtId="31" fontId="10" fillId="2" borderId="20" xfId="1" applyNumberFormat="1" applyFont="1" applyFill="1" applyBorder="1" applyAlignment="1">
      <alignment horizontal="left" vertical="center" wrapText="1"/>
    </xf>
    <xf numFmtId="41" fontId="7" fillId="2" borderId="20" xfId="3" applyNumberFormat="1" applyFont="1" applyFill="1" applyBorder="1" applyAlignment="1">
      <alignment horizontal="center" vertical="center"/>
    </xf>
    <xf numFmtId="41" fontId="7" fillId="2" borderId="8" xfId="3" applyNumberFormat="1" applyFont="1" applyFill="1" applyBorder="1" applyAlignment="1">
      <alignment horizontal="center" vertical="center"/>
    </xf>
    <xf numFmtId="0" fontId="10" fillId="2" borderId="6" xfId="1" applyFont="1" applyFill="1" applyBorder="1" applyAlignment="1">
      <alignment horizontal="left" vertical="center"/>
    </xf>
    <xf numFmtId="31" fontId="10" fillId="2" borderId="7" xfId="1" applyNumberFormat="1" applyFont="1" applyFill="1" applyBorder="1" applyAlignment="1">
      <alignment horizontal="left" vertical="center"/>
    </xf>
    <xf numFmtId="31" fontId="10" fillId="2" borderId="8" xfId="1" applyNumberFormat="1" applyFont="1" applyFill="1" applyBorder="1" applyAlignment="1">
      <alignment horizontal="left" vertical="center"/>
    </xf>
    <xf numFmtId="0" fontId="9" fillId="2" borderId="22" xfId="1" applyFont="1" applyFill="1" applyBorder="1" applyAlignment="1">
      <alignment horizontal="center" vertical="center"/>
    </xf>
    <xf numFmtId="0" fontId="9" fillId="2" borderId="23" xfId="1" applyFont="1" applyFill="1" applyBorder="1" applyAlignment="1">
      <alignment horizontal="center" vertical="center"/>
    </xf>
    <xf numFmtId="0" fontId="9" fillId="2" borderId="24" xfId="1" applyFont="1" applyFill="1" applyBorder="1" applyAlignment="1">
      <alignment horizontal="center" vertical="center"/>
    </xf>
    <xf numFmtId="41" fontId="14" fillId="2" borderId="32" xfId="1" applyNumberFormat="1" applyFont="1" applyFill="1" applyBorder="1" applyAlignment="1">
      <alignment horizontal="center" vertical="center"/>
    </xf>
    <xf numFmtId="31" fontId="14" fillId="2" borderId="32" xfId="1" applyNumberFormat="1" applyFont="1" applyFill="1" applyBorder="1" applyAlignment="1">
      <alignment horizontal="center" vertical="center"/>
    </xf>
    <xf numFmtId="41" fontId="15" fillId="2" borderId="33" xfId="1" applyNumberFormat="1" applyFont="1" applyFill="1" applyBorder="1" applyAlignment="1">
      <alignment horizontal="center" vertical="center" wrapText="1"/>
    </xf>
    <xf numFmtId="41" fontId="15" fillId="2" borderId="34" xfId="1" applyNumberFormat="1" applyFont="1" applyFill="1" applyBorder="1" applyAlignment="1">
      <alignment horizontal="center" vertical="center"/>
    </xf>
    <xf numFmtId="41" fontId="15" fillId="2" borderId="35" xfId="1" applyNumberFormat="1" applyFont="1" applyFill="1" applyBorder="1" applyAlignment="1">
      <alignment horizontal="center" vertical="center"/>
    </xf>
    <xf numFmtId="41" fontId="14" fillId="2" borderId="33" xfId="1" applyNumberFormat="1" applyFont="1" applyFill="1" applyBorder="1" applyAlignment="1">
      <alignment horizontal="center" vertical="center"/>
    </xf>
    <xf numFmtId="41" fontId="14" fillId="2" borderId="34" xfId="1" applyNumberFormat="1" applyFont="1" applyFill="1" applyBorder="1" applyAlignment="1">
      <alignment horizontal="center" vertical="center"/>
    </xf>
    <xf numFmtId="41" fontId="14" fillId="2" borderId="36" xfId="1" applyNumberFormat="1" applyFont="1" applyFill="1" applyBorder="1" applyAlignment="1">
      <alignment horizontal="center" vertical="center"/>
    </xf>
    <xf numFmtId="0" fontId="16" fillId="3" borderId="38" xfId="1" applyFont="1" applyFill="1" applyBorder="1" applyAlignment="1">
      <alignment horizontal="center" vertical="center"/>
    </xf>
    <xf numFmtId="0" fontId="16" fillId="3" borderId="39" xfId="1" applyFont="1" applyFill="1" applyBorder="1" applyAlignment="1">
      <alignment horizontal="center" vertical="center"/>
    </xf>
    <xf numFmtId="0" fontId="16" fillId="3" borderId="40" xfId="1" applyFont="1" applyFill="1" applyBorder="1" applyAlignment="1">
      <alignment horizontal="center" vertical="center"/>
    </xf>
    <xf numFmtId="0" fontId="16" fillId="3" borderId="41" xfId="1" applyFont="1" applyFill="1" applyBorder="1" applyAlignment="1">
      <alignment horizontal="center" vertical="center"/>
    </xf>
    <xf numFmtId="0" fontId="9" fillId="3" borderId="41" xfId="1" applyFont="1" applyFill="1" applyBorder="1" applyAlignment="1">
      <alignment horizontal="center" vertical="center"/>
    </xf>
    <xf numFmtId="0" fontId="16" fillId="3" borderId="42" xfId="1" applyFont="1" applyFill="1" applyBorder="1" applyAlignment="1">
      <alignment horizontal="center" vertical="center"/>
    </xf>
    <xf numFmtId="0" fontId="6" fillId="2" borderId="44" xfId="1" applyFont="1" applyFill="1" applyBorder="1" applyAlignment="1">
      <alignment horizontal="center" vertical="center" shrinkToFit="1"/>
    </xf>
    <xf numFmtId="0" fontId="6" fillId="2" borderId="45" xfId="1" applyFont="1" applyFill="1" applyBorder="1" applyAlignment="1">
      <alignment horizontal="center" vertical="center" shrinkToFit="1"/>
    </xf>
    <xf numFmtId="0" fontId="6" fillId="2" borderId="46" xfId="1" applyFont="1" applyFill="1" applyBorder="1" applyAlignment="1">
      <alignment horizontal="center" vertical="center" shrinkToFit="1"/>
    </xf>
    <xf numFmtId="41" fontId="6" fillId="0" borderId="47" xfId="2" applyFont="1" applyBorder="1" applyAlignment="1">
      <alignment horizontal="center" vertical="center"/>
    </xf>
    <xf numFmtId="41" fontId="6" fillId="0" borderId="48" xfId="2" applyFont="1" applyBorder="1" applyAlignment="1">
      <alignment horizontal="center" vertical="center"/>
    </xf>
    <xf numFmtId="41" fontId="6" fillId="2" borderId="49" xfId="2" applyFont="1" applyFill="1" applyBorder="1" applyAlignment="1">
      <alignment horizontal="center" vertical="center"/>
    </xf>
    <xf numFmtId="41" fontId="6" fillId="2" borderId="47" xfId="2" applyFont="1" applyFill="1" applyBorder="1" applyAlignment="1">
      <alignment horizontal="center" vertical="center"/>
    </xf>
    <xf numFmtId="41" fontId="6" fillId="2" borderId="8" xfId="2" applyFont="1" applyFill="1" applyBorder="1" applyAlignment="1">
      <alignment horizontal="center" vertical="center"/>
    </xf>
    <xf numFmtId="41" fontId="17" fillId="2" borderId="50" xfId="2" applyFont="1" applyFill="1" applyBorder="1" applyAlignment="1">
      <alignment horizontal="center" vertical="center" wrapText="1"/>
    </xf>
    <xf numFmtId="41" fontId="17" fillId="2" borderId="51" xfId="2" applyFont="1" applyFill="1" applyBorder="1" applyAlignment="1">
      <alignment horizontal="center" vertical="center" wrapText="1"/>
    </xf>
    <xf numFmtId="41" fontId="17" fillId="2" borderId="53" xfId="2" applyFont="1" applyFill="1" applyBorder="1" applyAlignment="1">
      <alignment horizontal="center" vertical="center" wrapText="1"/>
    </xf>
    <xf numFmtId="41" fontId="17" fillId="2" borderId="6" xfId="2" applyFont="1" applyFill="1" applyBorder="1" applyAlignment="1">
      <alignment horizontal="center" vertical="center" wrapText="1"/>
    </xf>
    <xf numFmtId="41" fontId="17" fillId="2" borderId="47" xfId="2" applyFont="1" applyFill="1" applyBorder="1" applyAlignment="1">
      <alignment horizontal="center" vertical="center" wrapText="1"/>
    </xf>
    <xf numFmtId="41" fontId="17" fillId="2" borderId="54" xfId="2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 shrinkToFit="1"/>
    </xf>
    <xf numFmtId="0" fontId="6" fillId="2" borderId="13" xfId="1" applyFont="1" applyFill="1" applyBorder="1" applyAlignment="1">
      <alignment horizontal="center" vertical="center" shrinkToFit="1"/>
    </xf>
    <xf numFmtId="0" fontId="6" fillId="2" borderId="52" xfId="1" applyFont="1" applyFill="1" applyBorder="1" applyAlignment="1">
      <alignment horizontal="center" vertical="center" shrinkToFit="1"/>
    </xf>
    <xf numFmtId="41" fontId="6" fillId="0" borderId="16" xfId="2" applyFont="1" applyBorder="1" applyAlignment="1">
      <alignment horizontal="center" vertical="center"/>
    </xf>
    <xf numFmtId="41" fontId="6" fillId="0" borderId="52" xfId="2" applyFont="1" applyBorder="1" applyAlignment="1">
      <alignment horizontal="center" vertical="center"/>
    </xf>
    <xf numFmtId="41" fontId="6" fillId="2" borderId="16" xfId="2" applyFont="1" applyFill="1" applyBorder="1" applyAlignment="1">
      <alignment horizontal="center" vertical="center"/>
    </xf>
    <xf numFmtId="41" fontId="6" fillId="2" borderId="52" xfId="2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 shrinkToFit="1"/>
    </xf>
    <xf numFmtId="0" fontId="6" fillId="2" borderId="18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6" fillId="2" borderId="52" xfId="1" applyFont="1" applyFill="1" applyBorder="1" applyAlignment="1">
      <alignment horizontal="center" vertical="center"/>
    </xf>
    <xf numFmtId="0" fontId="6" fillId="2" borderId="47" xfId="1" applyFont="1" applyFill="1" applyBorder="1" applyAlignment="1">
      <alignment horizontal="center" vertical="center" shrinkToFit="1"/>
    </xf>
    <xf numFmtId="0" fontId="6" fillId="2" borderId="8" xfId="1" applyFont="1" applyFill="1" applyBorder="1" applyAlignment="1">
      <alignment horizontal="center" vertical="center" shrinkToFit="1"/>
    </xf>
    <xf numFmtId="0" fontId="6" fillId="2" borderId="48" xfId="1" applyFont="1" applyFill="1" applyBorder="1" applyAlignment="1">
      <alignment horizontal="center" vertical="center" shrinkToFit="1"/>
    </xf>
    <xf numFmtId="0" fontId="18" fillId="2" borderId="47" xfId="1" applyFont="1" applyFill="1" applyBorder="1" applyAlignment="1">
      <alignment horizontal="center" vertical="center" shrinkToFit="1"/>
    </xf>
    <xf numFmtId="0" fontId="18" fillId="2" borderId="8" xfId="1" applyFont="1" applyFill="1" applyBorder="1" applyAlignment="1">
      <alignment horizontal="center" vertical="center" shrinkToFit="1"/>
    </xf>
    <xf numFmtId="0" fontId="18" fillId="2" borderId="48" xfId="1" applyFont="1" applyFill="1" applyBorder="1" applyAlignment="1">
      <alignment horizontal="center" vertical="center" shrinkToFit="1"/>
    </xf>
    <xf numFmtId="41" fontId="18" fillId="0" borderId="47" xfId="2" applyFont="1" applyBorder="1" applyAlignment="1">
      <alignment horizontal="center" vertical="center"/>
    </xf>
    <xf numFmtId="41" fontId="18" fillId="0" borderId="48" xfId="2" applyFont="1" applyBorder="1" applyAlignment="1">
      <alignment horizontal="center" vertical="center"/>
    </xf>
    <xf numFmtId="41" fontId="18" fillId="2" borderId="49" xfId="2" applyFont="1" applyFill="1" applyBorder="1" applyAlignment="1">
      <alignment horizontal="center" vertical="center"/>
    </xf>
    <xf numFmtId="41" fontId="20" fillId="2" borderId="16" xfId="2" applyFont="1" applyFill="1" applyBorder="1" applyAlignment="1">
      <alignment horizontal="center" vertical="center" wrapText="1"/>
    </xf>
    <xf numFmtId="41" fontId="20" fillId="2" borderId="55" xfId="2" applyFont="1" applyFill="1" applyBorder="1" applyAlignment="1">
      <alignment horizontal="center" vertical="center" wrapText="1"/>
    </xf>
    <xf numFmtId="41" fontId="18" fillId="0" borderId="16" xfId="2" applyFont="1" applyBorder="1" applyAlignment="1">
      <alignment horizontal="right" vertical="center"/>
    </xf>
    <xf numFmtId="41" fontId="18" fillId="0" borderId="52" xfId="2" applyFont="1" applyBorder="1" applyAlignment="1">
      <alignment horizontal="right" vertical="center"/>
    </xf>
    <xf numFmtId="41" fontId="6" fillId="2" borderId="13" xfId="2" applyFont="1" applyFill="1" applyBorder="1" applyAlignment="1">
      <alignment horizontal="center" vertical="center"/>
    </xf>
    <xf numFmtId="0" fontId="6" fillId="2" borderId="57" xfId="1" applyFont="1" applyFill="1" applyBorder="1" applyAlignment="1">
      <alignment horizontal="center" vertical="center" shrinkToFit="1"/>
    </xf>
    <xf numFmtId="0" fontId="6" fillId="0" borderId="16" xfId="1" applyFont="1" applyBorder="1" applyAlignment="1">
      <alignment horizontal="center" vertical="center" shrinkToFit="1"/>
    </xf>
    <xf numFmtId="0" fontId="6" fillId="0" borderId="13" xfId="1" applyFont="1" applyBorder="1" applyAlignment="1">
      <alignment horizontal="center" vertical="center" shrinkToFit="1"/>
    </xf>
    <xf numFmtId="0" fontId="6" fillId="0" borderId="52" xfId="1" applyFont="1" applyBorder="1" applyAlignment="1">
      <alignment horizontal="center" vertical="center" shrinkToFit="1"/>
    </xf>
    <xf numFmtId="41" fontId="18" fillId="0" borderId="44" xfId="2" applyFont="1" applyBorder="1" applyAlignment="1">
      <alignment horizontal="right" vertical="center"/>
    </xf>
    <xf numFmtId="41" fontId="18" fillId="0" borderId="46" xfId="2" applyFont="1" applyBorder="1" applyAlignment="1">
      <alignment horizontal="right" vertical="center"/>
    </xf>
    <xf numFmtId="41" fontId="18" fillId="2" borderId="44" xfId="2" applyFont="1" applyFill="1" applyBorder="1" applyAlignment="1">
      <alignment horizontal="center" vertical="center"/>
    </xf>
    <xf numFmtId="41" fontId="18" fillId="2" borderId="46" xfId="2" applyFont="1" applyFill="1" applyBorder="1" applyAlignment="1">
      <alignment horizontal="center" vertical="center"/>
    </xf>
    <xf numFmtId="41" fontId="6" fillId="2" borderId="44" xfId="2" applyFont="1" applyFill="1" applyBorder="1" applyAlignment="1">
      <alignment horizontal="center" vertical="center"/>
    </xf>
    <xf numFmtId="41" fontId="6" fillId="2" borderId="45" xfId="2" applyFont="1" applyFill="1" applyBorder="1" applyAlignment="1">
      <alignment horizontal="center" vertical="center"/>
    </xf>
    <xf numFmtId="41" fontId="6" fillId="2" borderId="46" xfId="2" applyFont="1" applyFill="1" applyBorder="1" applyAlignment="1">
      <alignment horizontal="center" vertical="center"/>
    </xf>
    <xf numFmtId="41" fontId="6" fillId="0" borderId="53" xfId="2" applyFont="1" applyBorder="1" applyAlignment="1">
      <alignment horizontal="center" vertical="center"/>
    </xf>
    <xf numFmtId="41" fontId="6" fillId="0" borderId="58" xfId="2" applyFont="1" applyBorder="1" applyAlignment="1">
      <alignment horizontal="center" vertical="center"/>
    </xf>
    <xf numFmtId="41" fontId="6" fillId="2" borderId="15" xfId="2" applyFont="1" applyFill="1" applyBorder="1" applyAlignment="1">
      <alignment horizontal="center" vertical="center"/>
    </xf>
    <xf numFmtId="0" fontId="6" fillId="2" borderId="57" xfId="1" applyFont="1" applyFill="1" applyBorder="1" applyAlignment="1">
      <alignment horizontal="center" vertical="center" wrapText="1" shrinkToFit="1"/>
    </xf>
    <xf numFmtId="0" fontId="6" fillId="2" borderId="18" xfId="1" applyFont="1" applyFill="1" applyBorder="1" applyAlignment="1">
      <alignment horizontal="center" vertical="center" shrinkToFit="1"/>
    </xf>
    <xf numFmtId="0" fontId="10" fillId="3" borderId="18" xfId="1" applyFont="1" applyFill="1" applyBorder="1" applyAlignment="1">
      <alignment horizontal="center" vertical="center"/>
    </xf>
    <xf numFmtId="0" fontId="10" fillId="3" borderId="52" xfId="1" applyFont="1" applyFill="1" applyBorder="1" applyAlignment="1">
      <alignment horizontal="center" vertical="center"/>
    </xf>
    <xf numFmtId="0" fontId="16" fillId="0" borderId="14" xfId="1" applyFont="1" applyBorder="1" applyAlignment="1">
      <alignment horizontal="left" vertical="top" wrapText="1"/>
    </xf>
    <xf numFmtId="0" fontId="16" fillId="0" borderId="15" xfId="1" applyFont="1" applyBorder="1" applyAlignment="1">
      <alignment horizontal="left" vertical="top" wrapText="1"/>
    </xf>
    <xf numFmtId="0" fontId="16" fillId="0" borderId="16" xfId="1" applyFont="1" applyBorder="1" applyAlignment="1">
      <alignment horizontal="left" vertical="top" wrapText="1"/>
    </xf>
    <xf numFmtId="0" fontId="16" fillId="0" borderId="17" xfId="1" applyFont="1" applyBorder="1" applyAlignment="1">
      <alignment horizontal="left" vertical="top" wrapText="1"/>
    </xf>
    <xf numFmtId="0" fontId="23" fillId="0" borderId="18" xfId="4" applyFont="1" applyFill="1" applyBorder="1" applyAlignment="1" applyProtection="1">
      <alignment horizontal="left" vertical="center" wrapText="1"/>
    </xf>
    <xf numFmtId="0" fontId="18" fillId="0" borderId="13" xfId="1" applyFont="1" applyBorder="1" applyAlignment="1">
      <alignment horizontal="left" vertical="center" wrapText="1"/>
    </xf>
    <xf numFmtId="0" fontId="18" fillId="0" borderId="55" xfId="1" applyFont="1" applyBorder="1" applyAlignment="1">
      <alignment horizontal="left" vertical="center" wrapText="1"/>
    </xf>
    <xf numFmtId="0" fontId="6" fillId="2" borderId="0" xfId="1" applyFont="1" applyFill="1" applyAlignment="1">
      <alignment horizontal="left" vertical="center" wrapText="1"/>
    </xf>
    <xf numFmtId="0" fontId="11" fillId="2" borderId="0" xfId="1" applyFont="1" applyFill="1" applyAlignment="1">
      <alignment horizontal="right" vertical="center" wrapText="1"/>
    </xf>
    <xf numFmtId="41" fontId="21" fillId="2" borderId="50" xfId="2" applyFont="1" applyFill="1" applyBorder="1" applyAlignment="1">
      <alignment horizontal="center" vertical="center" wrapText="1"/>
    </xf>
    <xf numFmtId="41" fontId="21" fillId="2" borderId="51" xfId="2" applyFont="1" applyFill="1" applyBorder="1" applyAlignment="1">
      <alignment horizontal="center" vertical="center" wrapText="1"/>
    </xf>
    <xf numFmtId="41" fontId="21" fillId="2" borderId="53" xfId="2" applyFont="1" applyFill="1" applyBorder="1" applyAlignment="1">
      <alignment horizontal="center" vertical="center" wrapText="1"/>
    </xf>
    <xf numFmtId="41" fontId="21" fillId="2" borderId="6" xfId="2" applyFont="1" applyFill="1" applyBorder="1" applyAlignment="1">
      <alignment horizontal="center" vertical="center" wrapText="1"/>
    </xf>
    <xf numFmtId="41" fontId="21" fillId="2" borderId="47" xfId="2" applyFont="1" applyFill="1" applyBorder="1" applyAlignment="1">
      <alignment horizontal="center" vertical="center" wrapText="1"/>
    </xf>
    <xf numFmtId="41" fontId="21" fillId="2" borderId="54" xfId="2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6" fillId="4" borderId="0" xfId="1" applyFont="1" applyFill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0" fontId="6" fillId="2" borderId="5" xfId="1" applyFont="1" applyFill="1" applyBorder="1" applyAlignment="1">
      <alignment horizontal="left" vertical="center" wrapText="1"/>
    </xf>
    <xf numFmtId="0" fontId="6" fillId="3" borderId="61" xfId="1" applyFont="1" applyFill="1" applyBorder="1" applyAlignment="1">
      <alignment horizontal="center" vertical="center" wrapText="1"/>
    </xf>
    <xf numFmtId="0" fontId="6" fillId="3" borderId="62" xfId="1" applyFont="1" applyFill="1" applyBorder="1" applyAlignment="1">
      <alignment horizontal="center" vertical="center" wrapText="1"/>
    </xf>
    <xf numFmtId="0" fontId="5" fillId="4" borderId="63" xfId="1" applyFont="1" applyFill="1" applyBorder="1" applyAlignment="1">
      <alignment horizontal="center" vertical="center"/>
    </xf>
    <xf numFmtId="0" fontId="5" fillId="4" borderId="64" xfId="1" applyFont="1" applyFill="1" applyBorder="1" applyAlignment="1">
      <alignment horizontal="center" vertical="center"/>
    </xf>
    <xf numFmtId="0" fontId="5" fillId="4" borderId="65" xfId="1" applyFont="1" applyFill="1" applyBorder="1" applyAlignment="1">
      <alignment horizontal="center" vertical="center"/>
    </xf>
    <xf numFmtId="0" fontId="5" fillId="4" borderId="66" xfId="1" applyFont="1" applyFill="1" applyBorder="1" applyAlignment="1">
      <alignment horizontal="center" vertical="center"/>
    </xf>
  </cellXfs>
  <cellStyles count="6">
    <cellStyle name="백분율 2" xfId="5" xr:uid="{00000000-0005-0000-0000-000000000000}"/>
    <cellStyle name="쉼표 [0] 2" xfId="2" xr:uid="{00000000-0005-0000-0000-000001000000}"/>
    <cellStyle name="통화 [0] 2" xfId="3" xr:uid="{00000000-0005-0000-0000-000002000000}"/>
    <cellStyle name="표준" xfId="0" builtinId="0"/>
    <cellStyle name="표준 2" xfId="1" xr:uid="{00000000-0005-0000-0000-000004000000}"/>
    <cellStyle name="하이퍼링크" xfId="4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320040</xdr:colOff>
      <xdr:row>42</xdr:row>
      <xdr:rowOff>106680</xdr:rowOff>
    </xdr:from>
    <xdr:to>
      <xdr:col>7</xdr:col>
      <xdr:colOff>640080</xdr:colOff>
      <xdr:row>43</xdr:row>
      <xdr:rowOff>266702</xdr:rowOff>
    </xdr:to>
    <xdr:pic>
      <xdr:nvPicPr>
        <xdr:cNvPr id="2" name="그림 6" descr="하이엠솔루텍메인로고.jpg">
          <a:extLst>
            <a:ext uri="{FF2B5EF4-FFF2-40B4-BE49-F238E27FC236}">
              <a16:creationId xmlns:a16="http://schemas.microsoft.com/office/drawing/2014/main" id="{EB620938-CAE6-4934-84FA-11B307790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5943" t="14085" r="48972" b="50301"/>
        <a:stretch>
          <a:fillRect/>
        </a:stretch>
      </xdr:blipFill>
      <xdr:spPr bwMode="auto">
        <a:xfrm>
          <a:off x="4834890" y="15337155"/>
          <a:ext cx="1053465" cy="4076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13</xdr:col>
      <xdr:colOff>198120</xdr:colOff>
      <xdr:row>2</xdr:row>
      <xdr:rowOff>114300</xdr:rowOff>
    </xdr:from>
    <xdr:to>
      <xdr:col>14</xdr:col>
      <xdr:colOff>75565</xdr:colOff>
      <xdr:row>4</xdr:row>
      <xdr:rowOff>144780</xdr:rowOff>
    </xdr:to>
    <xdr:pic>
      <xdr:nvPicPr>
        <xdr:cNvPr id="3" name="그림 10" descr="인감도장(NEW).jpg">
          <a:extLst>
            <a:ext uri="{FF2B5EF4-FFF2-40B4-BE49-F238E27FC236}">
              <a16:creationId xmlns:a16="http://schemas.microsoft.com/office/drawing/2014/main" id="{B799874F-2098-4FCE-A1F5-BB591A251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427845" y="819150"/>
          <a:ext cx="629920" cy="6019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320040</xdr:colOff>
      <xdr:row>41</xdr:row>
      <xdr:rowOff>106680</xdr:rowOff>
    </xdr:from>
    <xdr:to>
      <xdr:col>7</xdr:col>
      <xdr:colOff>640080</xdr:colOff>
      <xdr:row>42</xdr:row>
      <xdr:rowOff>266702</xdr:rowOff>
    </xdr:to>
    <xdr:pic>
      <xdr:nvPicPr>
        <xdr:cNvPr id="2" name="그림 6" descr="하이엠솔루텍메인로고.jpg">
          <a:extLst>
            <a:ext uri="{FF2B5EF4-FFF2-40B4-BE49-F238E27FC236}">
              <a16:creationId xmlns:a16="http://schemas.microsoft.com/office/drawing/2014/main" id="{8E740506-98D0-4512-B3BE-6339B08DB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5943" t="14085" r="48972" b="50301"/>
        <a:stretch>
          <a:fillRect/>
        </a:stretch>
      </xdr:blipFill>
      <xdr:spPr bwMode="auto">
        <a:xfrm>
          <a:off x="4834890" y="15337155"/>
          <a:ext cx="1053465" cy="4076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13</xdr:col>
      <xdr:colOff>198120</xdr:colOff>
      <xdr:row>2</xdr:row>
      <xdr:rowOff>114300</xdr:rowOff>
    </xdr:from>
    <xdr:to>
      <xdr:col>14</xdr:col>
      <xdr:colOff>75565</xdr:colOff>
      <xdr:row>4</xdr:row>
      <xdr:rowOff>144780</xdr:rowOff>
    </xdr:to>
    <xdr:pic>
      <xdr:nvPicPr>
        <xdr:cNvPr id="3" name="그림 10" descr="인감도장(NEW).jpg">
          <a:extLst>
            <a:ext uri="{FF2B5EF4-FFF2-40B4-BE49-F238E27FC236}">
              <a16:creationId xmlns:a16="http://schemas.microsoft.com/office/drawing/2014/main" id="{445FEFC3-C853-4B23-B2AC-698B3D4D4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427845" y="819150"/>
          <a:ext cx="629920" cy="6019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320040</xdr:colOff>
      <xdr:row>44</xdr:row>
      <xdr:rowOff>106680</xdr:rowOff>
    </xdr:from>
    <xdr:to>
      <xdr:col>7</xdr:col>
      <xdr:colOff>640080</xdr:colOff>
      <xdr:row>45</xdr:row>
      <xdr:rowOff>266702</xdr:rowOff>
    </xdr:to>
    <xdr:pic>
      <xdr:nvPicPr>
        <xdr:cNvPr id="2" name="그림 6" descr="하이엠솔루텍메인로고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5943" t="14085" r="48972" b="50301"/>
        <a:stretch>
          <a:fillRect/>
        </a:stretch>
      </xdr:blipFill>
      <xdr:spPr bwMode="auto">
        <a:xfrm>
          <a:off x="4834890" y="15337155"/>
          <a:ext cx="1053465" cy="4076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13</xdr:col>
      <xdr:colOff>198120</xdr:colOff>
      <xdr:row>2</xdr:row>
      <xdr:rowOff>114300</xdr:rowOff>
    </xdr:from>
    <xdr:to>
      <xdr:col>14</xdr:col>
      <xdr:colOff>75565</xdr:colOff>
      <xdr:row>4</xdr:row>
      <xdr:rowOff>144780</xdr:rowOff>
    </xdr:to>
    <xdr:pic>
      <xdr:nvPicPr>
        <xdr:cNvPr id="3" name="그림 10" descr="인감도장(NEW)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427845" y="819150"/>
          <a:ext cx="629920" cy="6019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320040</xdr:colOff>
      <xdr:row>44</xdr:row>
      <xdr:rowOff>106680</xdr:rowOff>
    </xdr:from>
    <xdr:to>
      <xdr:col>7</xdr:col>
      <xdr:colOff>640080</xdr:colOff>
      <xdr:row>45</xdr:row>
      <xdr:rowOff>266702</xdr:rowOff>
    </xdr:to>
    <xdr:pic>
      <xdr:nvPicPr>
        <xdr:cNvPr id="2" name="그림 6" descr="하이엠솔루텍메인로고.jpg">
          <a:extLst>
            <a:ext uri="{FF2B5EF4-FFF2-40B4-BE49-F238E27FC236}">
              <a16:creationId xmlns:a16="http://schemas.microsoft.com/office/drawing/2014/main" id="{22785E71-22F4-4243-A98E-BF1F163F9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5943" t="14085" r="48972" b="50301"/>
        <a:stretch>
          <a:fillRect/>
        </a:stretch>
      </xdr:blipFill>
      <xdr:spPr bwMode="auto">
        <a:xfrm>
          <a:off x="4834890" y="15337155"/>
          <a:ext cx="1053465" cy="4076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13</xdr:col>
      <xdr:colOff>198120</xdr:colOff>
      <xdr:row>2</xdr:row>
      <xdr:rowOff>114300</xdr:rowOff>
    </xdr:from>
    <xdr:to>
      <xdr:col>14</xdr:col>
      <xdr:colOff>75565</xdr:colOff>
      <xdr:row>4</xdr:row>
      <xdr:rowOff>144780</xdr:rowOff>
    </xdr:to>
    <xdr:pic>
      <xdr:nvPicPr>
        <xdr:cNvPr id="3" name="그림 10" descr="인감도장(NEW).jpg">
          <a:extLst>
            <a:ext uri="{FF2B5EF4-FFF2-40B4-BE49-F238E27FC236}">
              <a16:creationId xmlns:a16="http://schemas.microsoft.com/office/drawing/2014/main" id="{A6915132-9561-4EE8-9A6B-1BCF10AFA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427845" y="819150"/>
          <a:ext cx="629920" cy="6019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AE\&#49436;&#48708;&#49828;&#49345;&#54408;\&#49345;&#54408;&#44228;&#49328;&#44592;\2009&#45380;&#44592;&#51456;\090409_2009&#45380;%20&#49345;&#54408;&#44228;&#49328;&#44592;%20V1.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상품계산기"/>
      <sheetName val="1차견적서"/>
      <sheetName val="2차견적서"/>
      <sheetName val="3차견적서"/>
      <sheetName val="맞춤견적서"/>
      <sheetName val="정리내역"/>
      <sheetName val="터파기및재료"/>
      <sheetName val="일위대가(당초)"/>
      <sheetName val="1"/>
    </sheetNames>
    <sheetDataSet>
      <sheetData sheetId="0">
        <row r="46">
          <cell r="J46" t="str">
            <v>일시불</v>
          </cell>
          <cell r="K46">
            <v>1</v>
          </cell>
        </row>
        <row r="47">
          <cell r="J47" t="str">
            <v>분할납부</v>
          </cell>
          <cell r="K47">
            <v>12</v>
          </cell>
        </row>
        <row r="96">
          <cell r="F96" t="str">
            <v>최상수 부장</v>
          </cell>
          <cell r="G96" t="str">
            <v>010-7661-6857</v>
          </cell>
        </row>
        <row r="97">
          <cell r="F97" t="str">
            <v>김성완 과장</v>
          </cell>
          <cell r="G97" t="str">
            <v>019-559-0500</v>
          </cell>
        </row>
        <row r="98">
          <cell r="F98" t="str">
            <v>정유신 대리</v>
          </cell>
          <cell r="G98" t="str">
            <v>019-511-5173</v>
          </cell>
        </row>
        <row r="99">
          <cell r="F99" t="str">
            <v>이상순 과장</v>
          </cell>
          <cell r="G99" t="str">
            <v>010-5760-8029</v>
          </cell>
        </row>
        <row r="100">
          <cell r="F100" t="str">
            <v>류제형 과장</v>
          </cell>
          <cell r="G100" t="str">
            <v>010-5761-2500</v>
          </cell>
        </row>
        <row r="101">
          <cell r="F101" t="str">
            <v>손현주 과장</v>
          </cell>
          <cell r="G101" t="str">
            <v>010-2585-0314</v>
          </cell>
        </row>
        <row r="102">
          <cell r="F102" t="str">
            <v>김수진 과장</v>
          </cell>
          <cell r="G102" t="str">
            <v>018-239-7752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16997-77DD-4901-922F-341C538B10E8}">
  <dimension ref="A1:Y48"/>
  <sheetViews>
    <sheetView tabSelected="1" view="pageBreakPreview" topLeftCell="A4" zoomScale="85" zoomScaleNormal="70" zoomScaleSheetLayoutView="85" workbookViewId="0">
      <selection activeCell="B25" sqref="B25:D25"/>
    </sheetView>
  </sheetViews>
  <sheetFormatPr defaultColWidth="9" defaultRowHeight="16.5" x14ac:dyDescent="0.3"/>
  <cols>
    <col min="1" max="1" width="9.625" style="29" customWidth="1"/>
    <col min="2" max="4" width="10.125" style="29" customWidth="1"/>
    <col min="5" max="8" width="9.625" style="29" customWidth="1"/>
    <col min="9" max="9" width="11.125" style="29" customWidth="1"/>
    <col min="10" max="11" width="9.625" style="29" customWidth="1"/>
    <col min="12" max="13" width="6.125" style="29" customWidth="1"/>
    <col min="14" max="15" width="9.875" style="29" customWidth="1"/>
    <col min="16" max="16" width="10.5" style="1" bestFit="1" customWidth="1"/>
    <col min="17" max="17" width="19.625" style="1" bestFit="1" customWidth="1"/>
    <col min="18" max="18" width="10.625" style="1" bestFit="1" customWidth="1"/>
    <col min="19" max="19" width="12.5" style="1" bestFit="1" customWidth="1"/>
    <col min="20" max="21" width="9.25" style="1" customWidth="1"/>
    <col min="22" max="22" width="9.25" style="29" customWidth="1"/>
    <col min="23" max="24" width="9" style="29"/>
    <col min="25" max="25" width="12.375" style="29" bestFit="1" customWidth="1"/>
    <col min="26" max="16384" width="9" style="29"/>
  </cols>
  <sheetData>
    <row r="1" spans="1:15" ht="39" x14ac:dyDescent="0.3">
      <c r="A1" s="71" t="s">
        <v>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3"/>
    </row>
    <row r="2" spans="1:15" ht="16.5" customHeight="1" thickBot="1" x14ac:dyDescent="0.35">
      <c r="A2" s="2"/>
      <c r="B2" s="3"/>
      <c r="C2" s="3"/>
      <c r="D2" s="3"/>
      <c r="E2" s="3"/>
      <c r="F2" s="3"/>
      <c r="G2" s="3"/>
      <c r="H2" s="4"/>
      <c r="I2" s="4"/>
      <c r="J2" s="4"/>
      <c r="K2" s="4"/>
      <c r="L2" s="4"/>
      <c r="M2" s="4"/>
      <c r="N2" s="3"/>
      <c r="O2" s="5"/>
    </row>
    <row r="3" spans="1:15" ht="22.5" customHeight="1" x14ac:dyDescent="0.3">
      <c r="A3" s="74" t="s">
        <v>78</v>
      </c>
      <c r="B3" s="75"/>
      <c r="C3" s="75"/>
      <c r="D3" s="75"/>
      <c r="E3" s="75"/>
      <c r="F3" s="6"/>
      <c r="G3" s="7" t="s">
        <v>2</v>
      </c>
      <c r="H3" s="76" t="s">
        <v>3</v>
      </c>
      <c r="I3" s="76"/>
      <c r="J3" s="76"/>
      <c r="K3" s="76"/>
      <c r="L3" s="76"/>
      <c r="M3" s="76"/>
      <c r="N3" s="77"/>
      <c r="O3" s="78"/>
    </row>
    <row r="4" spans="1:15" ht="22.5" customHeight="1" x14ac:dyDescent="0.3">
      <c r="A4" s="79" t="s">
        <v>4</v>
      </c>
      <c r="B4" s="80"/>
      <c r="C4" s="81">
        <v>46125</v>
      </c>
      <c r="D4" s="81"/>
      <c r="E4" s="81"/>
      <c r="F4" s="8"/>
      <c r="G4" s="9" t="s">
        <v>5</v>
      </c>
      <c r="H4" s="82" t="s">
        <v>6</v>
      </c>
      <c r="I4" s="82"/>
      <c r="J4" s="82"/>
      <c r="K4" s="10" t="s">
        <v>7</v>
      </c>
      <c r="L4" s="83" t="s">
        <v>8</v>
      </c>
      <c r="M4" s="83"/>
      <c r="N4" s="84"/>
      <c r="O4" s="85"/>
    </row>
    <row r="5" spans="1:15" ht="22.5" customHeight="1" x14ac:dyDescent="0.3">
      <c r="A5" s="64" t="s">
        <v>9</v>
      </c>
      <c r="B5" s="65"/>
      <c r="C5" s="66" t="s">
        <v>10</v>
      </c>
      <c r="D5" s="66"/>
      <c r="E5" s="66"/>
      <c r="F5" s="8"/>
      <c r="G5" s="67" t="s">
        <v>11</v>
      </c>
      <c r="H5" s="68" t="s">
        <v>12</v>
      </c>
      <c r="I5" s="68"/>
      <c r="J5" s="68"/>
      <c r="K5" s="68"/>
      <c r="L5" s="68"/>
      <c r="M5" s="68"/>
      <c r="N5" s="69"/>
      <c r="O5" s="70"/>
    </row>
    <row r="6" spans="1:15" ht="22.5" customHeight="1" x14ac:dyDescent="0.3">
      <c r="A6" s="64" t="s">
        <v>13</v>
      </c>
      <c r="B6" s="65"/>
      <c r="C6" s="66" t="s">
        <v>14</v>
      </c>
      <c r="D6" s="66"/>
      <c r="E6" s="66"/>
      <c r="F6" s="8"/>
      <c r="G6" s="67"/>
      <c r="H6" s="68"/>
      <c r="I6" s="68"/>
      <c r="J6" s="68"/>
      <c r="K6" s="68"/>
      <c r="L6" s="68"/>
      <c r="M6" s="68"/>
      <c r="N6" s="69"/>
      <c r="O6" s="70"/>
    </row>
    <row r="7" spans="1:15" ht="22.5" customHeight="1" x14ac:dyDescent="0.3">
      <c r="A7" s="96" t="s">
        <v>15</v>
      </c>
      <c r="B7" s="97"/>
      <c r="C7" s="98">
        <f>K13</f>
        <v>4320000</v>
      </c>
      <c r="D7" s="98"/>
      <c r="E7" s="98"/>
      <c r="F7" s="100" t="s">
        <v>16</v>
      </c>
      <c r="G7" s="9" t="s">
        <v>17</v>
      </c>
      <c r="H7" s="82" t="s">
        <v>18</v>
      </c>
      <c r="I7" s="82"/>
      <c r="J7" s="82"/>
      <c r="K7" s="10" t="s">
        <v>19</v>
      </c>
      <c r="L7" s="68" t="s">
        <v>20</v>
      </c>
      <c r="M7" s="68"/>
      <c r="N7" s="69"/>
      <c r="O7" s="70"/>
    </row>
    <row r="8" spans="1:15" ht="22.5" customHeight="1" thickBot="1" x14ac:dyDescent="0.35">
      <c r="A8" s="101" t="s">
        <v>21</v>
      </c>
      <c r="B8" s="102"/>
      <c r="C8" s="99"/>
      <c r="D8" s="99"/>
      <c r="E8" s="99"/>
      <c r="F8" s="100"/>
      <c r="G8" s="11" t="s">
        <v>22</v>
      </c>
      <c r="H8" s="103" t="s">
        <v>23</v>
      </c>
      <c r="I8" s="103"/>
      <c r="J8" s="103"/>
      <c r="K8" s="12" t="s">
        <v>24</v>
      </c>
      <c r="L8" s="103" t="s">
        <v>25</v>
      </c>
      <c r="M8" s="103"/>
      <c r="N8" s="104"/>
      <c r="O8" s="105"/>
    </row>
    <row r="9" spans="1:15" ht="19.5" customHeight="1" x14ac:dyDescent="0.3">
      <c r="A9" s="13"/>
      <c r="B9" s="14"/>
      <c r="C9" s="15"/>
      <c r="D9" s="86"/>
      <c r="E9" s="86"/>
      <c r="F9" s="16"/>
      <c r="G9" s="17"/>
      <c r="H9" s="17"/>
      <c r="I9" s="17"/>
      <c r="J9" s="17"/>
      <c r="K9" s="17"/>
      <c r="L9" s="17"/>
      <c r="M9" s="17"/>
      <c r="N9" s="17"/>
      <c r="O9" s="18"/>
    </row>
    <row r="10" spans="1:15" ht="19.5" customHeight="1" x14ac:dyDescent="0.3">
      <c r="A10" s="19" t="s">
        <v>26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17"/>
      <c r="N10" s="87" t="s">
        <v>27</v>
      </c>
      <c r="O10" s="88"/>
    </row>
    <row r="11" spans="1:15" ht="9.75" customHeight="1" thickBot="1" x14ac:dyDescent="0.35">
      <c r="A11" s="19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17"/>
      <c r="N11" s="89"/>
      <c r="O11" s="90"/>
    </row>
    <row r="12" spans="1:15" ht="23.25" customHeight="1" thickBot="1" x14ac:dyDescent="0.35">
      <c r="A12" s="21" t="s">
        <v>28</v>
      </c>
      <c r="B12" s="91" t="s">
        <v>29</v>
      </c>
      <c r="C12" s="91"/>
      <c r="D12" s="91"/>
      <c r="E12" s="91" t="s">
        <v>30</v>
      </c>
      <c r="F12" s="91"/>
      <c r="G12" s="91"/>
      <c r="H12" s="92" t="s">
        <v>31</v>
      </c>
      <c r="I12" s="92"/>
      <c r="J12" s="92"/>
      <c r="K12" s="93" t="s">
        <v>32</v>
      </c>
      <c r="L12" s="94"/>
      <c r="M12" s="94"/>
      <c r="N12" s="94"/>
      <c r="O12" s="95"/>
    </row>
    <row r="13" spans="1:15" ht="38.25" customHeight="1" thickTop="1" thickBot="1" x14ac:dyDescent="0.35">
      <c r="A13" s="22" t="s">
        <v>33</v>
      </c>
      <c r="B13" s="106">
        <f>SUM(K16:M19)</f>
        <v>0</v>
      </c>
      <c r="C13" s="107"/>
      <c r="D13" s="107"/>
      <c r="E13" s="106">
        <f>K29</f>
        <v>4320000</v>
      </c>
      <c r="F13" s="107"/>
      <c r="G13" s="107"/>
      <c r="H13" s="108"/>
      <c r="I13" s="109"/>
      <c r="J13" s="110"/>
      <c r="K13" s="111">
        <f>B13+E13+H13</f>
        <v>4320000</v>
      </c>
      <c r="L13" s="112"/>
      <c r="M13" s="112"/>
      <c r="N13" s="112"/>
      <c r="O13" s="113"/>
    </row>
    <row r="14" spans="1:15" ht="22.5" customHeight="1" x14ac:dyDescent="0.3">
      <c r="A14" s="23" t="s">
        <v>34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17"/>
      <c r="N14" s="17"/>
      <c r="O14" s="18"/>
    </row>
    <row r="15" spans="1:15" ht="22.5" customHeight="1" thickBot="1" x14ac:dyDescent="0.35">
      <c r="A15" s="24" t="s">
        <v>35</v>
      </c>
      <c r="B15" s="114" t="s">
        <v>36</v>
      </c>
      <c r="C15" s="115"/>
      <c r="D15" s="116"/>
      <c r="E15" s="25" t="s">
        <v>37</v>
      </c>
      <c r="F15" s="25" t="s">
        <v>38</v>
      </c>
      <c r="G15" s="117" t="s">
        <v>39</v>
      </c>
      <c r="H15" s="117"/>
      <c r="I15" s="118"/>
      <c r="J15" s="118"/>
      <c r="K15" s="114" t="s">
        <v>40</v>
      </c>
      <c r="L15" s="115"/>
      <c r="M15" s="115"/>
      <c r="N15" s="114" t="s">
        <v>41</v>
      </c>
      <c r="O15" s="119"/>
    </row>
    <row r="16" spans="1:15" ht="22.5" customHeight="1" thickTop="1" x14ac:dyDescent="0.3">
      <c r="A16" s="26"/>
      <c r="B16" s="120"/>
      <c r="C16" s="121"/>
      <c r="D16" s="122"/>
      <c r="E16" s="27"/>
      <c r="F16" s="28"/>
      <c r="G16" s="123"/>
      <c r="H16" s="124"/>
      <c r="I16" s="125"/>
      <c r="J16" s="125"/>
      <c r="K16" s="126"/>
      <c r="L16" s="127"/>
      <c r="M16" s="127"/>
      <c r="N16" s="128"/>
      <c r="O16" s="129"/>
    </row>
    <row r="17" spans="1:25" ht="22.5" customHeight="1" x14ac:dyDescent="0.3">
      <c r="A17" s="26"/>
      <c r="B17" s="134"/>
      <c r="C17" s="135"/>
      <c r="D17" s="136"/>
      <c r="E17" s="27"/>
      <c r="F17" s="28"/>
      <c r="G17" s="137"/>
      <c r="H17" s="138"/>
      <c r="I17" s="139"/>
      <c r="J17" s="140"/>
      <c r="K17" s="126"/>
      <c r="L17" s="127"/>
      <c r="M17" s="127"/>
      <c r="N17" s="130"/>
      <c r="O17" s="131"/>
    </row>
    <row r="18" spans="1:25" ht="22.5" customHeight="1" x14ac:dyDescent="0.3">
      <c r="A18" s="26"/>
      <c r="B18" s="141"/>
      <c r="C18" s="135"/>
      <c r="D18" s="136"/>
      <c r="E18" s="27"/>
      <c r="F18" s="28"/>
      <c r="G18" s="137"/>
      <c r="H18" s="138"/>
      <c r="I18" s="139"/>
      <c r="J18" s="140"/>
      <c r="K18" s="126"/>
      <c r="L18" s="127"/>
      <c r="M18" s="127"/>
      <c r="N18" s="130"/>
      <c r="O18" s="131"/>
    </row>
    <row r="19" spans="1:25" ht="22.5" customHeight="1" x14ac:dyDescent="0.3">
      <c r="A19" s="30"/>
      <c r="B19" s="148"/>
      <c r="C19" s="149"/>
      <c r="D19" s="150"/>
      <c r="E19" s="31"/>
      <c r="F19" s="32"/>
      <c r="G19" s="151"/>
      <c r="H19" s="152"/>
      <c r="I19" s="153"/>
      <c r="J19" s="153"/>
      <c r="K19" s="126"/>
      <c r="L19" s="127"/>
      <c r="M19" s="127"/>
      <c r="N19" s="130"/>
      <c r="O19" s="131"/>
    </row>
    <row r="20" spans="1:25" ht="22.5" customHeight="1" x14ac:dyDescent="0.3">
      <c r="A20" s="142" t="s">
        <v>42</v>
      </c>
      <c r="B20" s="143"/>
      <c r="C20" s="143"/>
      <c r="D20" s="143"/>
      <c r="E20" s="143"/>
      <c r="F20" s="143"/>
      <c r="G20" s="143"/>
      <c r="H20" s="143"/>
      <c r="I20" s="143"/>
      <c r="J20" s="144"/>
      <c r="K20" s="126">
        <f>SUM(K16:M19)</f>
        <v>0</v>
      </c>
      <c r="L20" s="127"/>
      <c r="M20" s="127"/>
      <c r="N20" s="132"/>
      <c r="O20" s="133"/>
    </row>
    <row r="21" spans="1:25" ht="22.5" hidden="1" customHeight="1" x14ac:dyDescent="0.3">
      <c r="A21" s="26">
        <v>5</v>
      </c>
      <c r="B21" s="145" t="s">
        <v>16</v>
      </c>
      <c r="C21" s="146"/>
      <c r="D21" s="147"/>
      <c r="E21" s="28" t="s">
        <v>16</v>
      </c>
      <c r="F21" s="28" t="s">
        <v>16</v>
      </c>
      <c r="G21" s="123"/>
      <c r="H21" s="124"/>
      <c r="I21" s="125"/>
      <c r="J21" s="125"/>
      <c r="K21" s="126"/>
      <c r="L21" s="127"/>
      <c r="M21" s="127"/>
      <c r="N21" s="154"/>
      <c r="O21" s="155"/>
    </row>
    <row r="22" spans="1:25" ht="22.5" hidden="1" customHeight="1" x14ac:dyDescent="0.3">
      <c r="A22" s="26">
        <v>6</v>
      </c>
      <c r="B22" s="145" t="s">
        <v>16</v>
      </c>
      <c r="C22" s="146"/>
      <c r="D22" s="147"/>
      <c r="E22" s="28" t="s">
        <v>16</v>
      </c>
      <c r="F22" s="28" t="s">
        <v>16</v>
      </c>
      <c r="G22" s="123"/>
      <c r="H22" s="124"/>
      <c r="I22" s="125"/>
      <c r="J22" s="125"/>
      <c r="K22" s="126"/>
      <c r="L22" s="127"/>
      <c r="M22" s="127"/>
      <c r="N22" s="33" t="s">
        <v>16</v>
      </c>
      <c r="O22" s="34">
        <v>0</v>
      </c>
    </row>
    <row r="23" spans="1:25" ht="22.5" customHeight="1" x14ac:dyDescent="0.3">
      <c r="A23" s="35" t="s">
        <v>43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36"/>
    </row>
    <row r="24" spans="1:25" ht="22.5" customHeight="1" thickBot="1" x14ac:dyDescent="0.35">
      <c r="A24" s="24" t="s">
        <v>35</v>
      </c>
      <c r="B24" s="114" t="s">
        <v>45</v>
      </c>
      <c r="C24" s="115"/>
      <c r="D24" s="116"/>
      <c r="E24" s="25" t="s">
        <v>37</v>
      </c>
      <c r="F24" s="25" t="s">
        <v>47</v>
      </c>
      <c r="G24" s="117" t="s">
        <v>39</v>
      </c>
      <c r="H24" s="117"/>
      <c r="I24" s="118"/>
      <c r="J24" s="118"/>
      <c r="K24" s="114" t="s">
        <v>40</v>
      </c>
      <c r="L24" s="115"/>
      <c r="M24" s="115"/>
      <c r="N24" s="114" t="s">
        <v>41</v>
      </c>
      <c r="O24" s="119"/>
      <c r="Y24" s="1"/>
    </row>
    <row r="25" spans="1:25" ht="21.75" customHeight="1" thickTop="1" x14ac:dyDescent="0.3">
      <c r="A25" s="37">
        <v>1</v>
      </c>
      <c r="B25" s="160" t="s">
        <v>80</v>
      </c>
      <c r="C25" s="161"/>
      <c r="D25" s="162"/>
      <c r="E25" s="38">
        <v>432</v>
      </c>
      <c r="F25" s="33" t="s">
        <v>50</v>
      </c>
      <c r="G25" s="163">
        <v>10000</v>
      </c>
      <c r="H25" s="164"/>
      <c r="I25" s="165"/>
      <c r="J25" s="166"/>
      <c r="K25" s="167">
        <f>G25*E25</f>
        <v>4320000</v>
      </c>
      <c r="L25" s="168"/>
      <c r="M25" s="169"/>
      <c r="N25" s="186"/>
      <c r="O25" s="187"/>
    </row>
    <row r="26" spans="1:25" ht="21.75" customHeight="1" x14ac:dyDescent="0.3">
      <c r="A26" s="42"/>
      <c r="B26" s="159"/>
      <c r="C26" s="159"/>
      <c r="D26" s="159"/>
      <c r="E26" s="38"/>
      <c r="F26" s="33"/>
      <c r="G26" s="156"/>
      <c r="H26" s="157"/>
      <c r="I26" s="153"/>
      <c r="J26" s="153"/>
      <c r="K26" s="139"/>
      <c r="L26" s="158"/>
      <c r="M26" s="140"/>
      <c r="N26" s="188"/>
      <c r="O26" s="189"/>
    </row>
    <row r="27" spans="1:25" ht="21.75" customHeight="1" x14ac:dyDescent="0.3">
      <c r="A27" s="26"/>
      <c r="B27" s="159"/>
      <c r="C27" s="159"/>
      <c r="D27" s="159"/>
      <c r="E27" s="38"/>
      <c r="F27" s="33"/>
      <c r="G27" s="156"/>
      <c r="H27" s="157"/>
      <c r="I27" s="153"/>
      <c r="J27" s="153"/>
      <c r="K27" s="139"/>
      <c r="L27" s="158"/>
      <c r="M27" s="140"/>
      <c r="N27" s="188"/>
      <c r="O27" s="189"/>
    </row>
    <row r="28" spans="1:25" ht="21.75" customHeight="1" x14ac:dyDescent="0.3">
      <c r="A28" s="26"/>
      <c r="B28" s="159"/>
      <c r="C28" s="159"/>
      <c r="D28" s="159"/>
      <c r="E28" s="41"/>
      <c r="F28" s="33"/>
      <c r="G28" s="156"/>
      <c r="H28" s="157"/>
      <c r="I28" s="139"/>
      <c r="J28" s="140"/>
      <c r="K28" s="139"/>
      <c r="L28" s="158"/>
      <c r="M28" s="140"/>
      <c r="N28" s="188"/>
      <c r="O28" s="189"/>
    </row>
    <row r="29" spans="1:25" ht="21.75" customHeight="1" x14ac:dyDescent="0.3">
      <c r="A29" s="174" t="s">
        <v>52</v>
      </c>
      <c r="B29" s="135"/>
      <c r="C29" s="135"/>
      <c r="D29" s="135"/>
      <c r="E29" s="135"/>
      <c r="F29" s="135"/>
      <c r="G29" s="135"/>
      <c r="H29" s="135"/>
      <c r="I29" s="135"/>
      <c r="J29" s="136"/>
      <c r="K29" s="126">
        <f>SUM(K25:M28)</f>
        <v>4320000</v>
      </c>
      <c r="L29" s="127"/>
      <c r="M29" s="127"/>
      <c r="N29" s="190"/>
      <c r="O29" s="191"/>
    </row>
    <row r="30" spans="1:25" ht="11.25" customHeight="1" x14ac:dyDescent="0.3">
      <c r="A30" s="43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36"/>
    </row>
    <row r="31" spans="1:25" ht="23.25" customHeight="1" x14ac:dyDescent="0.3">
      <c r="A31" s="175" t="s">
        <v>53</v>
      </c>
      <c r="B31" s="176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36"/>
    </row>
    <row r="32" spans="1:25" ht="75.75" customHeight="1" x14ac:dyDescent="0.3">
      <c r="A32" s="177" t="s">
        <v>54</v>
      </c>
      <c r="B32" s="178"/>
      <c r="C32" s="178"/>
      <c r="D32" s="178"/>
      <c r="E32" s="178"/>
      <c r="F32" s="178"/>
      <c r="G32" s="178"/>
      <c r="H32" s="178"/>
      <c r="I32" s="178"/>
      <c r="J32" s="178"/>
      <c r="K32" s="178"/>
      <c r="L32" s="178"/>
      <c r="M32" s="178"/>
      <c r="N32" s="179"/>
      <c r="O32" s="180"/>
      <c r="Q32" s="44"/>
    </row>
    <row r="33" spans="1:15" ht="75.75" customHeight="1" x14ac:dyDescent="0.3">
      <c r="A33" s="177"/>
      <c r="B33" s="178"/>
      <c r="C33" s="178"/>
      <c r="D33" s="178"/>
      <c r="E33" s="178"/>
      <c r="F33" s="178"/>
      <c r="G33" s="178"/>
      <c r="H33" s="178"/>
      <c r="I33" s="178"/>
      <c r="J33" s="178"/>
      <c r="K33" s="178"/>
      <c r="L33" s="178"/>
      <c r="M33" s="178"/>
      <c r="N33" s="179"/>
      <c r="O33" s="180"/>
    </row>
    <row r="34" spans="1:15" ht="75.75" customHeight="1" x14ac:dyDescent="0.3">
      <c r="A34" s="177"/>
      <c r="B34" s="178"/>
      <c r="C34" s="178"/>
      <c r="D34" s="178"/>
      <c r="E34" s="178"/>
      <c r="F34" s="178"/>
      <c r="G34" s="178"/>
      <c r="H34" s="178"/>
      <c r="I34" s="178"/>
      <c r="J34" s="178"/>
      <c r="K34" s="178"/>
      <c r="L34" s="178"/>
      <c r="M34" s="178"/>
      <c r="N34" s="179"/>
      <c r="O34" s="180"/>
    </row>
    <row r="35" spans="1:15" ht="75.75" customHeight="1" x14ac:dyDescent="0.3">
      <c r="A35" s="177"/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s="178"/>
      <c r="N35" s="179"/>
      <c r="O35" s="180"/>
    </row>
    <row r="36" spans="1:15" ht="75.75" customHeight="1" x14ac:dyDescent="0.3">
      <c r="A36" s="177"/>
      <c r="B36" s="178"/>
      <c r="C36" s="178"/>
      <c r="D36" s="178"/>
      <c r="E36" s="178"/>
      <c r="F36" s="178"/>
      <c r="G36" s="178"/>
      <c r="H36" s="178"/>
      <c r="I36" s="178"/>
      <c r="J36" s="178"/>
      <c r="K36" s="178"/>
      <c r="L36" s="178"/>
      <c r="M36" s="178"/>
      <c r="N36" s="179"/>
      <c r="O36" s="180"/>
    </row>
    <row r="37" spans="1:15" ht="24" customHeight="1" x14ac:dyDescent="0.3">
      <c r="A37" s="181"/>
      <c r="B37" s="182"/>
      <c r="C37" s="182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2"/>
      <c r="O37" s="183"/>
    </row>
    <row r="38" spans="1:15" ht="22.5" customHeight="1" x14ac:dyDescent="0.3">
      <c r="A38" s="45" t="s">
        <v>55</v>
      </c>
      <c r="B38" s="184" t="s">
        <v>56</v>
      </c>
      <c r="C38" s="184"/>
      <c r="D38" s="184"/>
      <c r="E38" s="184"/>
      <c r="F38" s="46" t="s">
        <v>57</v>
      </c>
      <c r="G38" s="47" t="s">
        <v>58</v>
      </c>
      <c r="H38" s="46" t="s">
        <v>59</v>
      </c>
      <c r="I38" s="47" t="s">
        <v>60</v>
      </c>
      <c r="J38" s="46"/>
      <c r="K38" s="47"/>
      <c r="L38" s="185"/>
      <c r="M38" s="185"/>
      <c r="N38" s="48"/>
      <c r="O38" s="49"/>
    </row>
    <row r="39" spans="1:15" ht="22.5" customHeight="1" thickBot="1" x14ac:dyDescent="0.35">
      <c r="A39" s="50" t="s">
        <v>61</v>
      </c>
      <c r="B39" s="195" t="s">
        <v>62</v>
      </c>
      <c r="C39" s="195"/>
      <c r="D39" s="195" t="s">
        <v>63</v>
      </c>
      <c r="E39" s="195"/>
      <c r="F39" s="195"/>
      <c r="G39" s="51"/>
      <c r="H39" s="52" t="s">
        <v>64</v>
      </c>
      <c r="I39" s="195"/>
      <c r="J39" s="195"/>
      <c r="K39" s="53" t="s">
        <v>65</v>
      </c>
      <c r="L39" s="195"/>
      <c r="M39" s="195"/>
      <c r="N39" s="54" t="s">
        <v>66</v>
      </c>
      <c r="O39" s="55" t="s">
        <v>67</v>
      </c>
    </row>
    <row r="40" spans="1:15" ht="22.5" customHeight="1" thickBot="1" x14ac:dyDescent="0.35">
      <c r="A40" s="196" t="s">
        <v>68</v>
      </c>
      <c r="B40" s="197"/>
      <c r="C40" s="198" t="s">
        <v>69</v>
      </c>
      <c r="D40" s="199"/>
      <c r="E40" s="56" t="s">
        <v>70</v>
      </c>
      <c r="F40" s="198"/>
      <c r="G40" s="199"/>
      <c r="H40" s="56" t="s">
        <v>71</v>
      </c>
      <c r="I40" s="198" t="s">
        <v>72</v>
      </c>
      <c r="J40" s="199"/>
      <c r="K40" s="56" t="s">
        <v>73</v>
      </c>
      <c r="L40" s="200" t="s">
        <v>74</v>
      </c>
      <c r="M40" s="200"/>
      <c r="N40" s="200"/>
      <c r="O40" s="201"/>
    </row>
    <row r="41" spans="1:15" ht="19.5" customHeight="1" x14ac:dyDescent="0.3">
      <c r="A41" s="43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36"/>
    </row>
    <row r="42" spans="1:15" ht="19.5" customHeight="1" x14ac:dyDescent="0.3">
      <c r="A42" s="43"/>
      <c r="B42" s="8"/>
      <c r="C42" s="8"/>
      <c r="D42" s="8"/>
      <c r="E42" s="192"/>
      <c r="F42" s="192"/>
      <c r="G42" s="193"/>
      <c r="H42" s="193"/>
      <c r="I42" s="193"/>
      <c r="J42" s="193"/>
      <c r="K42" s="193"/>
      <c r="L42" s="193"/>
      <c r="M42" s="193"/>
      <c r="N42" s="193"/>
      <c r="O42" s="57"/>
    </row>
    <row r="43" spans="1:15" ht="19.5" customHeight="1" x14ac:dyDescent="0.3">
      <c r="A43" s="43"/>
      <c r="B43" s="8"/>
      <c r="C43" s="8"/>
      <c r="D43" s="8"/>
      <c r="E43" s="58"/>
      <c r="F43" s="58"/>
      <c r="G43" s="58"/>
      <c r="H43" s="59"/>
      <c r="I43" s="58"/>
      <c r="J43" s="59"/>
      <c r="K43" s="58"/>
      <c r="L43" s="59"/>
      <c r="M43" s="58"/>
      <c r="N43" s="58"/>
      <c r="O43" s="60"/>
    </row>
    <row r="44" spans="1:15" ht="31.5" customHeight="1" thickBot="1" x14ac:dyDescent="0.35">
      <c r="A44" s="61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3"/>
    </row>
    <row r="48" spans="1:15" ht="19.5" customHeight="1" x14ac:dyDescent="0.3">
      <c r="B48" s="194"/>
      <c r="C48" s="194"/>
      <c r="D48" s="194"/>
      <c r="E48" s="194"/>
      <c r="F48" s="194"/>
      <c r="G48" s="194"/>
    </row>
  </sheetData>
  <mergeCells count="108">
    <mergeCell ref="E42:F42"/>
    <mergeCell ref="G42:H42"/>
    <mergeCell ref="I42:J42"/>
    <mergeCell ref="K42:L42"/>
    <mergeCell ref="M42:N42"/>
    <mergeCell ref="B48:G48"/>
    <mergeCell ref="B39:C39"/>
    <mergeCell ref="D39:F39"/>
    <mergeCell ref="I39:J39"/>
    <mergeCell ref="L39:M39"/>
    <mergeCell ref="A40:B40"/>
    <mergeCell ref="C40:D40"/>
    <mergeCell ref="F40:G40"/>
    <mergeCell ref="I40:J40"/>
    <mergeCell ref="L40:O40"/>
    <mergeCell ref="A29:J29"/>
    <mergeCell ref="K29:M29"/>
    <mergeCell ref="A31:B31"/>
    <mergeCell ref="A32:O36"/>
    <mergeCell ref="A37:O37"/>
    <mergeCell ref="B38:E38"/>
    <mergeCell ref="L38:M38"/>
    <mergeCell ref="B27:D27"/>
    <mergeCell ref="G27:H27"/>
    <mergeCell ref="I27:J27"/>
    <mergeCell ref="K27:M27"/>
    <mergeCell ref="B28:D28"/>
    <mergeCell ref="G28:H28"/>
    <mergeCell ref="I28:J28"/>
    <mergeCell ref="K28:M28"/>
    <mergeCell ref="N25:O29"/>
    <mergeCell ref="B26:D26"/>
    <mergeCell ref="G26:H26"/>
    <mergeCell ref="I26:J26"/>
    <mergeCell ref="K26:M26"/>
    <mergeCell ref="B25:D25"/>
    <mergeCell ref="G25:H25"/>
    <mergeCell ref="I25:J25"/>
    <mergeCell ref="K25:M25"/>
    <mergeCell ref="N21:O21"/>
    <mergeCell ref="B22:D22"/>
    <mergeCell ref="G22:H22"/>
    <mergeCell ref="I22:J22"/>
    <mergeCell ref="K22:M22"/>
    <mergeCell ref="B24:D24"/>
    <mergeCell ref="G24:H24"/>
    <mergeCell ref="I24:J24"/>
    <mergeCell ref="K24:M24"/>
    <mergeCell ref="N24:O24"/>
    <mergeCell ref="B21:D21"/>
    <mergeCell ref="G21:H21"/>
    <mergeCell ref="I21:J21"/>
    <mergeCell ref="K21:M21"/>
    <mergeCell ref="G18:H18"/>
    <mergeCell ref="I18:J18"/>
    <mergeCell ref="K18:M18"/>
    <mergeCell ref="B19:D19"/>
    <mergeCell ref="G19:H19"/>
    <mergeCell ref="I19:J19"/>
    <mergeCell ref="K19:M19"/>
    <mergeCell ref="B16:D16"/>
    <mergeCell ref="G16:H16"/>
    <mergeCell ref="I16:J16"/>
    <mergeCell ref="K16:M16"/>
    <mergeCell ref="N16:O20"/>
    <mergeCell ref="B17:D17"/>
    <mergeCell ref="G17:H17"/>
    <mergeCell ref="I17:J17"/>
    <mergeCell ref="K17:M17"/>
    <mergeCell ref="B18:D18"/>
    <mergeCell ref="A20:J20"/>
    <mergeCell ref="K20:M20"/>
    <mergeCell ref="B13:D13"/>
    <mergeCell ref="E13:G13"/>
    <mergeCell ref="H13:J13"/>
    <mergeCell ref="K13:O13"/>
    <mergeCell ref="B15:D15"/>
    <mergeCell ref="G15:H15"/>
    <mergeCell ref="I15:J15"/>
    <mergeCell ref="K15:M15"/>
    <mergeCell ref="N15:O15"/>
    <mergeCell ref="D9:E9"/>
    <mergeCell ref="N10:O11"/>
    <mergeCell ref="B12:D12"/>
    <mergeCell ref="E12:G12"/>
    <mergeCell ref="H12:J12"/>
    <mergeCell ref="K12:O12"/>
    <mergeCell ref="A7:B7"/>
    <mergeCell ref="C7:E8"/>
    <mergeCell ref="F7:F8"/>
    <mergeCell ref="H7:J7"/>
    <mergeCell ref="L7:O7"/>
    <mergeCell ref="A8:B8"/>
    <mergeCell ref="H8:J8"/>
    <mergeCell ref="L8:O8"/>
    <mergeCell ref="A5:B5"/>
    <mergeCell ref="C5:E5"/>
    <mergeCell ref="G5:G6"/>
    <mergeCell ref="H5:O6"/>
    <mergeCell ref="A6:B6"/>
    <mergeCell ref="C6:E6"/>
    <mergeCell ref="A1:O1"/>
    <mergeCell ref="A3:E3"/>
    <mergeCell ref="H3:O3"/>
    <mergeCell ref="A4:B4"/>
    <mergeCell ref="C4:E4"/>
    <mergeCell ref="H4:J4"/>
    <mergeCell ref="L4:O4"/>
  </mergeCells>
  <phoneticPr fontId="3" type="noConversion"/>
  <printOptions horizontalCentered="1" verticalCentered="1"/>
  <pageMargins left="0.23622047244094491" right="0.19685039370078741" top="0.39370078740157483" bottom="0.31496062992125984" header="0.31496062992125984" footer="0.31496062992125984"/>
  <pageSetup paperSize="9" scale="6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C4B90-56F3-4510-B788-99698468BAFD}">
  <dimension ref="A1:Y47"/>
  <sheetViews>
    <sheetView view="pageBreakPreview" topLeftCell="A16" zoomScale="85" zoomScaleNormal="70" zoomScaleSheetLayoutView="85" workbookViewId="0">
      <selection activeCell="A31" sqref="A31:O35"/>
    </sheetView>
  </sheetViews>
  <sheetFormatPr defaultColWidth="9" defaultRowHeight="16.5" x14ac:dyDescent="0.3"/>
  <cols>
    <col min="1" max="1" width="9.625" style="29" customWidth="1"/>
    <col min="2" max="4" width="10.125" style="29" customWidth="1"/>
    <col min="5" max="8" width="9.625" style="29" customWidth="1"/>
    <col min="9" max="9" width="11.125" style="29" customWidth="1"/>
    <col min="10" max="11" width="9.625" style="29" customWidth="1"/>
    <col min="12" max="13" width="6.125" style="29" customWidth="1"/>
    <col min="14" max="15" width="9.875" style="29" customWidth="1"/>
    <col min="16" max="16" width="10.5" style="1" bestFit="1" customWidth="1"/>
    <col min="17" max="17" width="19.625" style="1" bestFit="1" customWidth="1"/>
    <col min="18" max="18" width="10.625" style="1" bestFit="1" customWidth="1"/>
    <col min="19" max="19" width="12.5" style="1" bestFit="1" customWidth="1"/>
    <col min="20" max="21" width="9.25" style="1" customWidth="1"/>
    <col min="22" max="22" width="9.25" style="29" customWidth="1"/>
    <col min="23" max="24" width="9" style="29"/>
    <col min="25" max="25" width="12.375" style="29" bestFit="1" customWidth="1"/>
    <col min="26" max="16384" width="9" style="29"/>
  </cols>
  <sheetData>
    <row r="1" spans="1:15" ht="39" x14ac:dyDescent="0.3">
      <c r="A1" s="71" t="s">
        <v>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3"/>
    </row>
    <row r="2" spans="1:15" ht="16.5" customHeight="1" thickBot="1" x14ac:dyDescent="0.35">
      <c r="A2" s="2"/>
      <c r="B2" s="3"/>
      <c r="C2" s="3"/>
      <c r="D2" s="3"/>
      <c r="E2" s="3"/>
      <c r="F2" s="3"/>
      <c r="G2" s="3"/>
      <c r="H2" s="4"/>
      <c r="I2" s="4"/>
      <c r="J2" s="4"/>
      <c r="K2" s="4"/>
      <c r="L2" s="4"/>
      <c r="M2" s="4"/>
      <c r="N2" s="3"/>
      <c r="O2" s="5"/>
    </row>
    <row r="3" spans="1:15" ht="22.5" customHeight="1" x14ac:dyDescent="0.3">
      <c r="A3" s="74" t="s">
        <v>79</v>
      </c>
      <c r="B3" s="75"/>
      <c r="C3" s="75"/>
      <c r="D3" s="75"/>
      <c r="E3" s="75"/>
      <c r="F3" s="6"/>
      <c r="G3" s="7" t="s">
        <v>2</v>
      </c>
      <c r="H3" s="76" t="s">
        <v>3</v>
      </c>
      <c r="I3" s="76"/>
      <c r="J3" s="76"/>
      <c r="K3" s="76"/>
      <c r="L3" s="76"/>
      <c r="M3" s="76"/>
      <c r="N3" s="77"/>
      <c r="O3" s="78"/>
    </row>
    <row r="4" spans="1:15" ht="22.5" customHeight="1" x14ac:dyDescent="0.3">
      <c r="A4" s="79" t="s">
        <v>4</v>
      </c>
      <c r="B4" s="80"/>
      <c r="C4" s="81">
        <v>46125</v>
      </c>
      <c r="D4" s="81"/>
      <c r="E4" s="81"/>
      <c r="F4" s="8"/>
      <c r="G4" s="9" t="s">
        <v>5</v>
      </c>
      <c r="H4" s="82" t="s">
        <v>6</v>
      </c>
      <c r="I4" s="82"/>
      <c r="J4" s="82"/>
      <c r="K4" s="10" t="s">
        <v>7</v>
      </c>
      <c r="L4" s="83" t="s">
        <v>8</v>
      </c>
      <c r="M4" s="83"/>
      <c r="N4" s="84"/>
      <c r="O4" s="85"/>
    </row>
    <row r="5" spans="1:15" ht="22.5" customHeight="1" x14ac:dyDescent="0.3">
      <c r="A5" s="64" t="s">
        <v>9</v>
      </c>
      <c r="B5" s="65"/>
      <c r="C5" s="66" t="s">
        <v>10</v>
      </c>
      <c r="D5" s="66"/>
      <c r="E5" s="66"/>
      <c r="F5" s="8"/>
      <c r="G5" s="67" t="s">
        <v>11</v>
      </c>
      <c r="H5" s="68" t="s">
        <v>12</v>
      </c>
      <c r="I5" s="68"/>
      <c r="J5" s="68"/>
      <c r="K5" s="68"/>
      <c r="L5" s="68"/>
      <c r="M5" s="68"/>
      <c r="N5" s="69"/>
      <c r="O5" s="70"/>
    </row>
    <row r="6" spans="1:15" ht="22.5" customHeight="1" x14ac:dyDescent="0.3">
      <c r="A6" s="64" t="s">
        <v>13</v>
      </c>
      <c r="B6" s="65"/>
      <c r="C6" s="66" t="s">
        <v>14</v>
      </c>
      <c r="D6" s="66"/>
      <c r="E6" s="66"/>
      <c r="F6" s="8"/>
      <c r="G6" s="67"/>
      <c r="H6" s="68"/>
      <c r="I6" s="68"/>
      <c r="J6" s="68"/>
      <c r="K6" s="68"/>
      <c r="L6" s="68"/>
      <c r="M6" s="68"/>
      <c r="N6" s="69"/>
      <c r="O6" s="70"/>
    </row>
    <row r="7" spans="1:15" ht="22.5" customHeight="1" x14ac:dyDescent="0.3">
      <c r="A7" s="96" t="s">
        <v>15</v>
      </c>
      <c r="B7" s="97"/>
      <c r="C7" s="98">
        <f>K13</f>
        <v>320000</v>
      </c>
      <c r="D7" s="98"/>
      <c r="E7" s="98"/>
      <c r="F7" s="100" t="s">
        <v>16</v>
      </c>
      <c r="G7" s="9" t="s">
        <v>17</v>
      </c>
      <c r="H7" s="82" t="s">
        <v>18</v>
      </c>
      <c r="I7" s="82"/>
      <c r="J7" s="82"/>
      <c r="K7" s="10" t="s">
        <v>19</v>
      </c>
      <c r="L7" s="68" t="s">
        <v>20</v>
      </c>
      <c r="M7" s="68"/>
      <c r="N7" s="69"/>
      <c r="O7" s="70"/>
    </row>
    <row r="8" spans="1:15" ht="22.5" customHeight="1" thickBot="1" x14ac:dyDescent="0.35">
      <c r="A8" s="101" t="s">
        <v>21</v>
      </c>
      <c r="B8" s="102"/>
      <c r="C8" s="99"/>
      <c r="D8" s="99"/>
      <c r="E8" s="99"/>
      <c r="F8" s="100"/>
      <c r="G8" s="11" t="s">
        <v>22</v>
      </c>
      <c r="H8" s="103" t="s">
        <v>23</v>
      </c>
      <c r="I8" s="103"/>
      <c r="J8" s="103"/>
      <c r="K8" s="12" t="s">
        <v>24</v>
      </c>
      <c r="L8" s="103" t="s">
        <v>25</v>
      </c>
      <c r="M8" s="103"/>
      <c r="N8" s="104"/>
      <c r="O8" s="105"/>
    </row>
    <row r="9" spans="1:15" ht="19.5" customHeight="1" x14ac:dyDescent="0.3">
      <c r="A9" s="13"/>
      <c r="B9" s="14"/>
      <c r="C9" s="15"/>
      <c r="D9" s="86"/>
      <c r="E9" s="86"/>
      <c r="F9" s="16"/>
      <c r="G9" s="17"/>
      <c r="H9" s="17"/>
      <c r="I9" s="17"/>
      <c r="J9" s="17"/>
      <c r="K9" s="17"/>
      <c r="L9" s="17"/>
      <c r="M9" s="17"/>
      <c r="N9" s="17"/>
      <c r="O9" s="18"/>
    </row>
    <row r="10" spans="1:15" ht="19.5" customHeight="1" x14ac:dyDescent="0.3">
      <c r="A10" s="19" t="s">
        <v>26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17"/>
      <c r="N10" s="87" t="s">
        <v>27</v>
      </c>
      <c r="O10" s="88"/>
    </row>
    <row r="11" spans="1:15" ht="9.75" customHeight="1" thickBot="1" x14ac:dyDescent="0.35">
      <c r="A11" s="19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17"/>
      <c r="N11" s="89"/>
      <c r="O11" s="90"/>
    </row>
    <row r="12" spans="1:15" ht="23.25" customHeight="1" thickBot="1" x14ac:dyDescent="0.35">
      <c r="A12" s="21" t="s">
        <v>28</v>
      </c>
      <c r="B12" s="91" t="s">
        <v>29</v>
      </c>
      <c r="C12" s="91"/>
      <c r="D12" s="91"/>
      <c r="E12" s="91" t="s">
        <v>30</v>
      </c>
      <c r="F12" s="91"/>
      <c r="G12" s="91"/>
      <c r="H12" s="92" t="s">
        <v>31</v>
      </c>
      <c r="I12" s="92"/>
      <c r="J12" s="92"/>
      <c r="K12" s="93" t="s">
        <v>32</v>
      </c>
      <c r="L12" s="94"/>
      <c r="M12" s="94"/>
      <c r="N12" s="94"/>
      <c r="O12" s="95"/>
    </row>
    <row r="13" spans="1:15" ht="38.25" customHeight="1" thickTop="1" thickBot="1" x14ac:dyDescent="0.35">
      <c r="A13" s="22" t="s">
        <v>33</v>
      </c>
      <c r="B13" s="106">
        <f>SUM(K16:M19)</f>
        <v>0</v>
      </c>
      <c r="C13" s="107"/>
      <c r="D13" s="107"/>
      <c r="E13" s="106">
        <f>K28</f>
        <v>320000</v>
      </c>
      <c r="F13" s="107"/>
      <c r="G13" s="107"/>
      <c r="H13" s="108"/>
      <c r="I13" s="109"/>
      <c r="J13" s="110"/>
      <c r="K13" s="111">
        <f>B13+E13+H13</f>
        <v>320000</v>
      </c>
      <c r="L13" s="112"/>
      <c r="M13" s="112"/>
      <c r="N13" s="112"/>
      <c r="O13" s="113"/>
    </row>
    <row r="14" spans="1:15" ht="22.5" customHeight="1" x14ac:dyDescent="0.3">
      <c r="A14" s="23" t="s">
        <v>34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17"/>
      <c r="N14" s="17"/>
      <c r="O14" s="18"/>
    </row>
    <row r="15" spans="1:15" ht="22.5" customHeight="1" thickBot="1" x14ac:dyDescent="0.35">
      <c r="A15" s="24" t="s">
        <v>35</v>
      </c>
      <c r="B15" s="114" t="s">
        <v>36</v>
      </c>
      <c r="C15" s="115"/>
      <c r="D15" s="116"/>
      <c r="E15" s="25" t="s">
        <v>37</v>
      </c>
      <c r="F15" s="25" t="s">
        <v>38</v>
      </c>
      <c r="G15" s="117" t="s">
        <v>39</v>
      </c>
      <c r="H15" s="117"/>
      <c r="I15" s="118"/>
      <c r="J15" s="118"/>
      <c r="K15" s="114" t="s">
        <v>40</v>
      </c>
      <c r="L15" s="115"/>
      <c r="M15" s="115"/>
      <c r="N15" s="114" t="s">
        <v>41</v>
      </c>
      <c r="O15" s="119"/>
    </row>
    <row r="16" spans="1:15" ht="22.5" customHeight="1" thickTop="1" x14ac:dyDescent="0.3">
      <c r="A16" s="26"/>
      <c r="B16" s="120"/>
      <c r="C16" s="121"/>
      <c r="D16" s="122"/>
      <c r="E16" s="27"/>
      <c r="F16" s="28"/>
      <c r="G16" s="123"/>
      <c r="H16" s="124"/>
      <c r="I16" s="125"/>
      <c r="J16" s="125"/>
      <c r="K16" s="126"/>
      <c r="L16" s="127"/>
      <c r="M16" s="127"/>
      <c r="N16" s="128"/>
      <c r="O16" s="129"/>
    </row>
    <row r="17" spans="1:25" ht="22.5" customHeight="1" x14ac:dyDescent="0.3">
      <c r="A17" s="26"/>
      <c r="B17" s="134"/>
      <c r="C17" s="135"/>
      <c r="D17" s="136"/>
      <c r="E17" s="27"/>
      <c r="F17" s="28"/>
      <c r="G17" s="137"/>
      <c r="H17" s="138"/>
      <c r="I17" s="139"/>
      <c r="J17" s="140"/>
      <c r="K17" s="126"/>
      <c r="L17" s="127"/>
      <c r="M17" s="127"/>
      <c r="N17" s="130"/>
      <c r="O17" s="131"/>
    </row>
    <row r="18" spans="1:25" ht="22.5" customHeight="1" x14ac:dyDescent="0.3">
      <c r="A18" s="26"/>
      <c r="B18" s="141"/>
      <c r="C18" s="135"/>
      <c r="D18" s="136"/>
      <c r="E18" s="27"/>
      <c r="F18" s="28"/>
      <c r="G18" s="137"/>
      <c r="H18" s="138"/>
      <c r="I18" s="139"/>
      <c r="J18" s="140"/>
      <c r="K18" s="126"/>
      <c r="L18" s="127"/>
      <c r="M18" s="127"/>
      <c r="N18" s="130"/>
      <c r="O18" s="131"/>
    </row>
    <row r="19" spans="1:25" ht="22.5" customHeight="1" x14ac:dyDescent="0.3">
      <c r="A19" s="30"/>
      <c r="B19" s="148"/>
      <c r="C19" s="149"/>
      <c r="D19" s="150"/>
      <c r="E19" s="31"/>
      <c r="F19" s="32"/>
      <c r="G19" s="151"/>
      <c r="H19" s="152"/>
      <c r="I19" s="153"/>
      <c r="J19" s="153"/>
      <c r="K19" s="126"/>
      <c r="L19" s="127"/>
      <c r="M19" s="127"/>
      <c r="N19" s="130"/>
      <c r="O19" s="131"/>
    </row>
    <row r="20" spans="1:25" ht="22.5" customHeight="1" x14ac:dyDescent="0.3">
      <c r="A20" s="142" t="s">
        <v>42</v>
      </c>
      <c r="B20" s="143"/>
      <c r="C20" s="143"/>
      <c r="D20" s="143"/>
      <c r="E20" s="143"/>
      <c r="F20" s="143"/>
      <c r="G20" s="143"/>
      <c r="H20" s="143"/>
      <c r="I20" s="143"/>
      <c r="J20" s="144"/>
      <c r="K20" s="126">
        <f>SUM(K16:M19)</f>
        <v>0</v>
      </c>
      <c r="L20" s="127"/>
      <c r="M20" s="127"/>
      <c r="N20" s="132"/>
      <c r="O20" s="133"/>
    </row>
    <row r="21" spans="1:25" ht="22.5" hidden="1" customHeight="1" x14ac:dyDescent="0.3">
      <c r="A21" s="26">
        <v>5</v>
      </c>
      <c r="B21" s="145" t="s">
        <v>16</v>
      </c>
      <c r="C21" s="146"/>
      <c r="D21" s="147"/>
      <c r="E21" s="28" t="s">
        <v>16</v>
      </c>
      <c r="F21" s="28" t="s">
        <v>16</v>
      </c>
      <c r="G21" s="123"/>
      <c r="H21" s="124"/>
      <c r="I21" s="125"/>
      <c r="J21" s="125"/>
      <c r="K21" s="126"/>
      <c r="L21" s="127"/>
      <c r="M21" s="127"/>
      <c r="N21" s="154"/>
      <c r="O21" s="155"/>
    </row>
    <row r="22" spans="1:25" ht="22.5" hidden="1" customHeight="1" x14ac:dyDescent="0.3">
      <c r="A22" s="26">
        <v>6</v>
      </c>
      <c r="B22" s="145" t="s">
        <v>16</v>
      </c>
      <c r="C22" s="146"/>
      <c r="D22" s="147"/>
      <c r="E22" s="28" t="s">
        <v>16</v>
      </c>
      <c r="F22" s="28" t="s">
        <v>16</v>
      </c>
      <c r="G22" s="123"/>
      <c r="H22" s="124"/>
      <c r="I22" s="125"/>
      <c r="J22" s="125"/>
      <c r="K22" s="126"/>
      <c r="L22" s="127"/>
      <c r="M22" s="127"/>
      <c r="N22" s="33" t="s">
        <v>16</v>
      </c>
      <c r="O22" s="34">
        <v>0</v>
      </c>
    </row>
    <row r="23" spans="1:25" ht="22.5" customHeight="1" x14ac:dyDescent="0.3">
      <c r="A23" s="35" t="s">
        <v>43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36"/>
    </row>
    <row r="24" spans="1:25" ht="22.5" customHeight="1" thickBot="1" x14ac:dyDescent="0.35">
      <c r="A24" s="24" t="s">
        <v>35</v>
      </c>
      <c r="B24" s="114" t="s">
        <v>45</v>
      </c>
      <c r="C24" s="115"/>
      <c r="D24" s="116"/>
      <c r="E24" s="25" t="s">
        <v>37</v>
      </c>
      <c r="F24" s="25" t="s">
        <v>47</v>
      </c>
      <c r="G24" s="117" t="s">
        <v>39</v>
      </c>
      <c r="H24" s="117"/>
      <c r="I24" s="118"/>
      <c r="J24" s="118"/>
      <c r="K24" s="114" t="s">
        <v>40</v>
      </c>
      <c r="L24" s="115"/>
      <c r="M24" s="115"/>
      <c r="N24" s="114" t="s">
        <v>41</v>
      </c>
      <c r="O24" s="119"/>
      <c r="Y24" s="1"/>
    </row>
    <row r="25" spans="1:25" ht="21.75" customHeight="1" thickTop="1" x14ac:dyDescent="0.3">
      <c r="A25" s="37">
        <v>1</v>
      </c>
      <c r="B25" s="160" t="s">
        <v>80</v>
      </c>
      <c r="C25" s="161"/>
      <c r="D25" s="162"/>
      <c r="E25" s="38">
        <v>32</v>
      </c>
      <c r="F25" s="33" t="s">
        <v>50</v>
      </c>
      <c r="G25" s="163">
        <v>10000</v>
      </c>
      <c r="H25" s="164"/>
      <c r="I25" s="165"/>
      <c r="J25" s="166"/>
      <c r="K25" s="167">
        <f>G25*E25</f>
        <v>320000</v>
      </c>
      <c r="L25" s="168"/>
      <c r="M25" s="169"/>
      <c r="N25" s="186"/>
      <c r="O25" s="187"/>
    </row>
    <row r="26" spans="1:25" ht="21.75" customHeight="1" x14ac:dyDescent="0.3">
      <c r="A26" s="26"/>
      <c r="B26" s="159"/>
      <c r="C26" s="159"/>
      <c r="D26" s="159"/>
      <c r="E26" s="38"/>
      <c r="F26" s="33"/>
      <c r="G26" s="156"/>
      <c r="H26" s="157"/>
      <c r="I26" s="153"/>
      <c r="J26" s="153"/>
      <c r="K26" s="139"/>
      <c r="L26" s="158"/>
      <c r="M26" s="140"/>
      <c r="N26" s="188"/>
      <c r="O26" s="189"/>
    </row>
    <row r="27" spans="1:25" ht="21.75" customHeight="1" x14ac:dyDescent="0.3">
      <c r="A27" s="26"/>
      <c r="B27" s="159"/>
      <c r="C27" s="159"/>
      <c r="D27" s="159"/>
      <c r="E27" s="41"/>
      <c r="F27" s="33"/>
      <c r="G27" s="156"/>
      <c r="H27" s="157"/>
      <c r="I27" s="139"/>
      <c r="J27" s="140"/>
      <c r="K27" s="139"/>
      <c r="L27" s="158"/>
      <c r="M27" s="140"/>
      <c r="N27" s="188"/>
      <c r="O27" s="189"/>
    </row>
    <row r="28" spans="1:25" ht="21.75" customHeight="1" x14ac:dyDescent="0.3">
      <c r="A28" s="174" t="s">
        <v>52</v>
      </c>
      <c r="B28" s="135"/>
      <c r="C28" s="135"/>
      <c r="D28" s="135"/>
      <c r="E28" s="135"/>
      <c r="F28" s="135"/>
      <c r="G28" s="135"/>
      <c r="H28" s="135"/>
      <c r="I28" s="135"/>
      <c r="J28" s="136"/>
      <c r="K28" s="126">
        <f>SUM(K25:M27)</f>
        <v>320000</v>
      </c>
      <c r="L28" s="127"/>
      <c r="M28" s="127"/>
      <c r="N28" s="190"/>
      <c r="O28" s="191"/>
    </row>
    <row r="29" spans="1:25" ht="11.25" customHeight="1" x14ac:dyDescent="0.3">
      <c r="A29" s="43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36"/>
    </row>
    <row r="30" spans="1:25" ht="23.25" customHeight="1" x14ac:dyDescent="0.3">
      <c r="A30" s="175" t="s">
        <v>53</v>
      </c>
      <c r="B30" s="176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36"/>
    </row>
    <row r="31" spans="1:25" ht="75.75" customHeight="1" x14ac:dyDescent="0.3">
      <c r="A31" s="177" t="s">
        <v>54</v>
      </c>
      <c r="B31" s="178"/>
      <c r="C31" s="178"/>
      <c r="D31" s="178"/>
      <c r="E31" s="178"/>
      <c r="F31" s="178"/>
      <c r="G31" s="178"/>
      <c r="H31" s="178"/>
      <c r="I31" s="178"/>
      <c r="J31" s="178"/>
      <c r="K31" s="178"/>
      <c r="L31" s="178"/>
      <c r="M31" s="178"/>
      <c r="N31" s="179"/>
      <c r="O31" s="180"/>
      <c r="Q31" s="44"/>
    </row>
    <row r="32" spans="1:25" ht="75.75" customHeight="1" x14ac:dyDescent="0.3">
      <c r="A32" s="177"/>
      <c r="B32" s="178"/>
      <c r="C32" s="178"/>
      <c r="D32" s="178"/>
      <c r="E32" s="178"/>
      <c r="F32" s="178"/>
      <c r="G32" s="178"/>
      <c r="H32" s="178"/>
      <c r="I32" s="178"/>
      <c r="J32" s="178"/>
      <c r="K32" s="178"/>
      <c r="L32" s="178"/>
      <c r="M32" s="178"/>
      <c r="N32" s="179"/>
      <c r="O32" s="180"/>
    </row>
    <row r="33" spans="1:15" ht="75.75" customHeight="1" x14ac:dyDescent="0.3">
      <c r="A33" s="177"/>
      <c r="B33" s="178"/>
      <c r="C33" s="178"/>
      <c r="D33" s="178"/>
      <c r="E33" s="178"/>
      <c r="F33" s="178"/>
      <c r="G33" s="178"/>
      <c r="H33" s="178"/>
      <c r="I33" s="178"/>
      <c r="J33" s="178"/>
      <c r="K33" s="178"/>
      <c r="L33" s="178"/>
      <c r="M33" s="178"/>
      <c r="N33" s="179"/>
      <c r="O33" s="180"/>
    </row>
    <row r="34" spans="1:15" ht="75.75" customHeight="1" x14ac:dyDescent="0.3">
      <c r="A34" s="177"/>
      <c r="B34" s="178"/>
      <c r="C34" s="178"/>
      <c r="D34" s="178"/>
      <c r="E34" s="178"/>
      <c r="F34" s="178"/>
      <c r="G34" s="178"/>
      <c r="H34" s="178"/>
      <c r="I34" s="178"/>
      <c r="J34" s="178"/>
      <c r="K34" s="178"/>
      <c r="L34" s="178"/>
      <c r="M34" s="178"/>
      <c r="N34" s="179"/>
      <c r="O34" s="180"/>
    </row>
    <row r="35" spans="1:15" ht="75.75" customHeight="1" x14ac:dyDescent="0.3">
      <c r="A35" s="177"/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s="178"/>
      <c r="N35" s="179"/>
      <c r="O35" s="180"/>
    </row>
    <row r="36" spans="1:15" ht="24" customHeight="1" x14ac:dyDescent="0.3">
      <c r="A36" s="181"/>
      <c r="B36" s="182"/>
      <c r="C36" s="182"/>
      <c r="D36" s="182"/>
      <c r="E36" s="182"/>
      <c r="F36" s="182"/>
      <c r="G36" s="182"/>
      <c r="H36" s="182"/>
      <c r="I36" s="182"/>
      <c r="J36" s="182"/>
      <c r="K36" s="182"/>
      <c r="L36" s="182"/>
      <c r="M36" s="182"/>
      <c r="N36" s="182"/>
      <c r="O36" s="183"/>
    </row>
    <row r="37" spans="1:15" ht="22.5" customHeight="1" x14ac:dyDescent="0.3">
      <c r="A37" s="45" t="s">
        <v>55</v>
      </c>
      <c r="B37" s="184" t="s">
        <v>56</v>
      </c>
      <c r="C37" s="184"/>
      <c r="D37" s="184"/>
      <c r="E37" s="184"/>
      <c r="F37" s="46" t="s">
        <v>57</v>
      </c>
      <c r="G37" s="47" t="s">
        <v>58</v>
      </c>
      <c r="H37" s="46" t="s">
        <v>59</v>
      </c>
      <c r="I37" s="47" t="s">
        <v>60</v>
      </c>
      <c r="J37" s="46"/>
      <c r="K37" s="47"/>
      <c r="L37" s="185"/>
      <c r="M37" s="185"/>
      <c r="N37" s="48"/>
      <c r="O37" s="49"/>
    </row>
    <row r="38" spans="1:15" ht="22.5" customHeight="1" thickBot="1" x14ac:dyDescent="0.35">
      <c r="A38" s="50" t="s">
        <v>61</v>
      </c>
      <c r="B38" s="195" t="s">
        <v>62</v>
      </c>
      <c r="C38" s="195"/>
      <c r="D38" s="195" t="s">
        <v>63</v>
      </c>
      <c r="E38" s="195"/>
      <c r="F38" s="195"/>
      <c r="G38" s="51"/>
      <c r="H38" s="52" t="s">
        <v>64</v>
      </c>
      <c r="I38" s="195"/>
      <c r="J38" s="195"/>
      <c r="K38" s="53" t="s">
        <v>65</v>
      </c>
      <c r="L38" s="195"/>
      <c r="M38" s="195"/>
      <c r="N38" s="54" t="s">
        <v>66</v>
      </c>
      <c r="O38" s="55" t="s">
        <v>67</v>
      </c>
    </row>
    <row r="39" spans="1:15" ht="22.5" customHeight="1" thickBot="1" x14ac:dyDescent="0.35">
      <c r="A39" s="196" t="s">
        <v>68</v>
      </c>
      <c r="B39" s="197"/>
      <c r="C39" s="198" t="s">
        <v>69</v>
      </c>
      <c r="D39" s="199"/>
      <c r="E39" s="56" t="s">
        <v>70</v>
      </c>
      <c r="F39" s="198"/>
      <c r="G39" s="199"/>
      <c r="H39" s="56" t="s">
        <v>71</v>
      </c>
      <c r="I39" s="198" t="s">
        <v>72</v>
      </c>
      <c r="J39" s="199"/>
      <c r="K39" s="56" t="s">
        <v>73</v>
      </c>
      <c r="L39" s="200" t="s">
        <v>74</v>
      </c>
      <c r="M39" s="200"/>
      <c r="N39" s="200"/>
      <c r="O39" s="201"/>
    </row>
    <row r="40" spans="1:15" ht="19.5" customHeight="1" x14ac:dyDescent="0.3">
      <c r="A40" s="43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36"/>
    </row>
    <row r="41" spans="1:15" ht="19.5" customHeight="1" x14ac:dyDescent="0.3">
      <c r="A41" s="43"/>
      <c r="B41" s="8"/>
      <c r="C41" s="8"/>
      <c r="D41" s="8"/>
      <c r="E41" s="192"/>
      <c r="F41" s="192"/>
      <c r="G41" s="193"/>
      <c r="H41" s="193"/>
      <c r="I41" s="193"/>
      <c r="J41" s="193"/>
      <c r="K41" s="193"/>
      <c r="L41" s="193"/>
      <c r="M41" s="193"/>
      <c r="N41" s="193"/>
      <c r="O41" s="57"/>
    </row>
    <row r="42" spans="1:15" ht="19.5" customHeight="1" x14ac:dyDescent="0.3">
      <c r="A42" s="43"/>
      <c r="B42" s="8"/>
      <c r="C42" s="8"/>
      <c r="D42" s="8"/>
      <c r="E42" s="58"/>
      <c r="F42" s="58"/>
      <c r="G42" s="58"/>
      <c r="H42" s="59"/>
      <c r="I42" s="58"/>
      <c r="J42" s="59"/>
      <c r="K42" s="58"/>
      <c r="L42" s="59"/>
      <c r="M42" s="58"/>
      <c r="N42" s="58"/>
      <c r="O42" s="60"/>
    </row>
    <row r="43" spans="1:15" ht="31.5" customHeight="1" thickBot="1" x14ac:dyDescent="0.35">
      <c r="A43" s="61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3"/>
    </row>
    <row r="47" spans="1:15" ht="21" customHeight="1" x14ac:dyDescent="0.3">
      <c r="B47" s="194"/>
      <c r="C47" s="194"/>
      <c r="D47" s="194"/>
      <c r="E47" s="194"/>
      <c r="F47" s="194"/>
      <c r="G47" s="194"/>
    </row>
  </sheetData>
  <mergeCells count="104">
    <mergeCell ref="E41:F41"/>
    <mergeCell ref="G41:H41"/>
    <mergeCell ref="I41:J41"/>
    <mergeCell ref="K41:L41"/>
    <mergeCell ref="M41:N41"/>
    <mergeCell ref="B47:G47"/>
    <mergeCell ref="B38:C38"/>
    <mergeCell ref="D38:F38"/>
    <mergeCell ref="I38:J38"/>
    <mergeCell ref="L38:M38"/>
    <mergeCell ref="A39:B39"/>
    <mergeCell ref="C39:D39"/>
    <mergeCell ref="F39:G39"/>
    <mergeCell ref="I39:J39"/>
    <mergeCell ref="L39:O39"/>
    <mergeCell ref="A28:J28"/>
    <mergeCell ref="K28:M28"/>
    <mergeCell ref="A30:B30"/>
    <mergeCell ref="A31:O35"/>
    <mergeCell ref="A36:O36"/>
    <mergeCell ref="B37:E37"/>
    <mergeCell ref="L37:M37"/>
    <mergeCell ref="B26:D26"/>
    <mergeCell ref="G26:H26"/>
    <mergeCell ref="I26:J26"/>
    <mergeCell ref="K26:M26"/>
    <mergeCell ref="B27:D27"/>
    <mergeCell ref="G27:H27"/>
    <mergeCell ref="I27:J27"/>
    <mergeCell ref="K27:M27"/>
    <mergeCell ref="N25:O28"/>
    <mergeCell ref="B25:D25"/>
    <mergeCell ref="G25:H25"/>
    <mergeCell ref="I25:J25"/>
    <mergeCell ref="K25:M25"/>
    <mergeCell ref="N21:O21"/>
    <mergeCell ref="B22:D22"/>
    <mergeCell ref="G22:H22"/>
    <mergeCell ref="I22:J22"/>
    <mergeCell ref="K22:M22"/>
    <mergeCell ref="B24:D24"/>
    <mergeCell ref="G24:H24"/>
    <mergeCell ref="I24:J24"/>
    <mergeCell ref="K24:M24"/>
    <mergeCell ref="N24:O24"/>
    <mergeCell ref="B21:D21"/>
    <mergeCell ref="G21:H21"/>
    <mergeCell ref="I21:J21"/>
    <mergeCell ref="K21:M21"/>
    <mergeCell ref="G18:H18"/>
    <mergeCell ref="I18:J18"/>
    <mergeCell ref="K18:M18"/>
    <mergeCell ref="B19:D19"/>
    <mergeCell ref="G19:H19"/>
    <mergeCell ref="I19:J19"/>
    <mergeCell ref="K19:M19"/>
    <mergeCell ref="B16:D16"/>
    <mergeCell ref="G16:H16"/>
    <mergeCell ref="I16:J16"/>
    <mergeCell ref="K16:M16"/>
    <mergeCell ref="N16:O20"/>
    <mergeCell ref="B17:D17"/>
    <mergeCell ref="G17:H17"/>
    <mergeCell ref="I17:J17"/>
    <mergeCell ref="K17:M17"/>
    <mergeCell ref="B18:D18"/>
    <mergeCell ref="A20:J20"/>
    <mergeCell ref="K20:M20"/>
    <mergeCell ref="B13:D13"/>
    <mergeCell ref="E13:G13"/>
    <mergeCell ref="H13:J13"/>
    <mergeCell ref="K13:O13"/>
    <mergeCell ref="B15:D15"/>
    <mergeCell ref="G15:H15"/>
    <mergeCell ref="I15:J15"/>
    <mergeCell ref="K15:M15"/>
    <mergeCell ref="N15:O15"/>
    <mergeCell ref="D9:E9"/>
    <mergeCell ref="N10:O11"/>
    <mergeCell ref="B12:D12"/>
    <mergeCell ref="E12:G12"/>
    <mergeCell ref="H12:J12"/>
    <mergeCell ref="K12:O12"/>
    <mergeCell ref="A7:B7"/>
    <mergeCell ref="C7:E8"/>
    <mergeCell ref="F7:F8"/>
    <mergeCell ref="H7:J7"/>
    <mergeCell ref="L7:O7"/>
    <mergeCell ref="A8:B8"/>
    <mergeCell ref="H8:J8"/>
    <mergeCell ref="L8:O8"/>
    <mergeCell ref="A5:B5"/>
    <mergeCell ref="C5:E5"/>
    <mergeCell ref="G5:G6"/>
    <mergeCell ref="H5:O6"/>
    <mergeCell ref="A6:B6"/>
    <mergeCell ref="C6:E6"/>
    <mergeCell ref="A1:O1"/>
    <mergeCell ref="A3:E3"/>
    <mergeCell ref="H3:O3"/>
    <mergeCell ref="A4:B4"/>
    <mergeCell ref="C4:E4"/>
    <mergeCell ref="H4:J4"/>
    <mergeCell ref="L4:O4"/>
  </mergeCells>
  <phoneticPr fontId="3" type="noConversion"/>
  <printOptions horizontalCentered="1" verticalCentered="1"/>
  <pageMargins left="0.23622047244094491" right="0.19685039370078741" top="0.39370078740157483" bottom="0.31496062992125984" header="0.31496062992125984" footer="0.31496062992125984"/>
  <pageSetup paperSize="9" scale="6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0"/>
  <sheetViews>
    <sheetView view="pageBreakPreview" topLeftCell="A4" zoomScale="85" zoomScaleNormal="70" zoomScaleSheetLayoutView="85" workbookViewId="0">
      <selection activeCell="B15" sqref="B15:D15"/>
    </sheetView>
  </sheetViews>
  <sheetFormatPr defaultColWidth="9" defaultRowHeight="16.5" x14ac:dyDescent="0.3"/>
  <cols>
    <col min="1" max="1" width="9.625" style="29" customWidth="1"/>
    <col min="2" max="4" width="10.125" style="29" customWidth="1"/>
    <col min="5" max="8" width="9.625" style="29" customWidth="1"/>
    <col min="9" max="9" width="11.125" style="29" customWidth="1"/>
    <col min="10" max="11" width="9.625" style="29" customWidth="1"/>
    <col min="12" max="13" width="6.125" style="29" customWidth="1"/>
    <col min="14" max="15" width="9.875" style="29" customWidth="1"/>
    <col min="16" max="16" width="10.5" style="1" bestFit="1" customWidth="1"/>
    <col min="17" max="17" width="19.625" style="1" bestFit="1" customWidth="1"/>
    <col min="18" max="18" width="10.625" style="1" bestFit="1" customWidth="1"/>
    <col min="19" max="19" width="12.5" style="1" bestFit="1" customWidth="1"/>
    <col min="20" max="21" width="9.25" style="1" customWidth="1"/>
    <col min="22" max="22" width="9.25" style="29" customWidth="1"/>
    <col min="23" max="24" width="9" style="29"/>
    <col min="25" max="25" width="12.375" style="29" bestFit="1" customWidth="1"/>
    <col min="26" max="16384" width="9" style="29"/>
  </cols>
  <sheetData>
    <row r="1" spans="1:15" ht="39" x14ac:dyDescent="0.3">
      <c r="A1" s="71" t="s">
        <v>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3"/>
    </row>
    <row r="2" spans="1:15" ht="16.5" customHeight="1" thickBot="1" x14ac:dyDescent="0.35">
      <c r="A2" s="2"/>
      <c r="B2" s="3"/>
      <c r="C2" s="3"/>
      <c r="D2" s="3"/>
      <c r="E2" s="3"/>
      <c r="F2" s="3"/>
      <c r="G2" s="3"/>
      <c r="H2" s="4"/>
      <c r="I2" s="4"/>
      <c r="J2" s="4"/>
      <c r="K2" s="4"/>
      <c r="L2" s="4"/>
      <c r="M2" s="4"/>
      <c r="N2" s="3"/>
      <c r="O2" s="5"/>
    </row>
    <row r="3" spans="1:15" ht="22.5" customHeight="1" x14ac:dyDescent="0.3">
      <c r="A3" s="74" t="s">
        <v>1</v>
      </c>
      <c r="B3" s="75"/>
      <c r="C3" s="75"/>
      <c r="D3" s="75"/>
      <c r="E3" s="75"/>
      <c r="F3" s="6"/>
      <c r="G3" s="7" t="s">
        <v>2</v>
      </c>
      <c r="H3" s="76" t="s">
        <v>3</v>
      </c>
      <c r="I3" s="76"/>
      <c r="J3" s="76"/>
      <c r="K3" s="76"/>
      <c r="L3" s="76"/>
      <c r="M3" s="76"/>
      <c r="N3" s="77"/>
      <c r="O3" s="78"/>
    </row>
    <row r="4" spans="1:15" ht="22.5" customHeight="1" x14ac:dyDescent="0.3">
      <c r="A4" s="79" t="s">
        <v>4</v>
      </c>
      <c r="B4" s="80"/>
      <c r="C4" s="81">
        <v>46125</v>
      </c>
      <c r="D4" s="81"/>
      <c r="E4" s="81"/>
      <c r="F4" s="8"/>
      <c r="G4" s="9" t="s">
        <v>5</v>
      </c>
      <c r="H4" s="82" t="s">
        <v>6</v>
      </c>
      <c r="I4" s="82"/>
      <c r="J4" s="82"/>
      <c r="K4" s="10" t="s">
        <v>7</v>
      </c>
      <c r="L4" s="83" t="s">
        <v>8</v>
      </c>
      <c r="M4" s="83"/>
      <c r="N4" s="84"/>
      <c r="O4" s="85"/>
    </row>
    <row r="5" spans="1:15" ht="22.5" customHeight="1" x14ac:dyDescent="0.3">
      <c r="A5" s="64" t="s">
        <v>9</v>
      </c>
      <c r="B5" s="65"/>
      <c r="C5" s="66" t="s">
        <v>10</v>
      </c>
      <c r="D5" s="66"/>
      <c r="E5" s="66"/>
      <c r="F5" s="8"/>
      <c r="G5" s="67" t="s">
        <v>11</v>
      </c>
      <c r="H5" s="68" t="s">
        <v>12</v>
      </c>
      <c r="I5" s="68"/>
      <c r="J5" s="68"/>
      <c r="K5" s="68"/>
      <c r="L5" s="68"/>
      <c r="M5" s="68"/>
      <c r="N5" s="69"/>
      <c r="O5" s="70"/>
    </row>
    <row r="6" spans="1:15" ht="22.5" customHeight="1" x14ac:dyDescent="0.3">
      <c r="A6" s="64" t="s">
        <v>13</v>
      </c>
      <c r="B6" s="65"/>
      <c r="C6" s="66" t="s">
        <v>14</v>
      </c>
      <c r="D6" s="66"/>
      <c r="E6" s="66"/>
      <c r="F6" s="8"/>
      <c r="G6" s="67"/>
      <c r="H6" s="68"/>
      <c r="I6" s="68"/>
      <c r="J6" s="68"/>
      <c r="K6" s="68"/>
      <c r="L6" s="68"/>
      <c r="M6" s="68"/>
      <c r="N6" s="69"/>
      <c r="O6" s="70"/>
    </row>
    <row r="7" spans="1:15" ht="22.5" customHeight="1" x14ac:dyDescent="0.3">
      <c r="A7" s="96" t="s">
        <v>15</v>
      </c>
      <c r="B7" s="97"/>
      <c r="C7" s="98">
        <f>K13</f>
        <v>1990000</v>
      </c>
      <c r="D7" s="98"/>
      <c r="E7" s="98"/>
      <c r="F7" s="100" t="s">
        <v>16</v>
      </c>
      <c r="G7" s="9" t="s">
        <v>17</v>
      </c>
      <c r="H7" s="82" t="s">
        <v>18</v>
      </c>
      <c r="I7" s="82"/>
      <c r="J7" s="82"/>
      <c r="K7" s="10" t="s">
        <v>19</v>
      </c>
      <c r="L7" s="68" t="s">
        <v>20</v>
      </c>
      <c r="M7" s="68"/>
      <c r="N7" s="69"/>
      <c r="O7" s="70"/>
    </row>
    <row r="8" spans="1:15" ht="22.5" customHeight="1" thickBot="1" x14ac:dyDescent="0.35">
      <c r="A8" s="101" t="s">
        <v>21</v>
      </c>
      <c r="B8" s="102"/>
      <c r="C8" s="99"/>
      <c r="D8" s="99"/>
      <c r="E8" s="99"/>
      <c r="F8" s="100"/>
      <c r="G8" s="11" t="s">
        <v>22</v>
      </c>
      <c r="H8" s="103" t="s">
        <v>23</v>
      </c>
      <c r="I8" s="103"/>
      <c r="J8" s="103"/>
      <c r="K8" s="12" t="s">
        <v>24</v>
      </c>
      <c r="L8" s="103" t="s">
        <v>25</v>
      </c>
      <c r="M8" s="103"/>
      <c r="N8" s="104"/>
      <c r="O8" s="105"/>
    </row>
    <row r="9" spans="1:15" ht="19.5" customHeight="1" x14ac:dyDescent="0.3">
      <c r="A9" s="13"/>
      <c r="B9" s="14"/>
      <c r="C9" s="15"/>
      <c r="D9" s="86"/>
      <c r="E9" s="86"/>
      <c r="F9" s="16"/>
      <c r="G9" s="17"/>
      <c r="H9" s="17"/>
      <c r="I9" s="17"/>
      <c r="J9" s="17"/>
      <c r="K9" s="17"/>
      <c r="L9" s="17"/>
      <c r="M9" s="17"/>
      <c r="N9" s="17"/>
      <c r="O9" s="18"/>
    </row>
    <row r="10" spans="1:15" ht="19.5" customHeight="1" x14ac:dyDescent="0.3">
      <c r="A10" s="19" t="s">
        <v>26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17"/>
      <c r="N10" s="87" t="s">
        <v>27</v>
      </c>
      <c r="O10" s="88"/>
    </row>
    <row r="11" spans="1:15" ht="9.75" customHeight="1" thickBot="1" x14ac:dyDescent="0.35">
      <c r="A11" s="19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17"/>
      <c r="N11" s="89"/>
      <c r="O11" s="90"/>
    </row>
    <row r="12" spans="1:15" ht="23.25" customHeight="1" thickBot="1" x14ac:dyDescent="0.35">
      <c r="A12" s="21" t="s">
        <v>28</v>
      </c>
      <c r="B12" s="91" t="s">
        <v>29</v>
      </c>
      <c r="C12" s="91"/>
      <c r="D12" s="91"/>
      <c r="E12" s="91" t="s">
        <v>30</v>
      </c>
      <c r="F12" s="91"/>
      <c r="G12" s="91"/>
      <c r="H12" s="92" t="s">
        <v>31</v>
      </c>
      <c r="I12" s="92"/>
      <c r="J12" s="92"/>
      <c r="K12" s="93" t="s">
        <v>32</v>
      </c>
      <c r="L12" s="94"/>
      <c r="M12" s="94"/>
      <c r="N12" s="94"/>
      <c r="O12" s="95"/>
    </row>
    <row r="13" spans="1:15" ht="38.25" customHeight="1" thickTop="1" thickBot="1" x14ac:dyDescent="0.35">
      <c r="A13" s="22" t="s">
        <v>33</v>
      </c>
      <c r="B13" s="106">
        <f>SUM(K16:M19)</f>
        <v>0</v>
      </c>
      <c r="C13" s="107"/>
      <c r="D13" s="107"/>
      <c r="E13" s="106">
        <f>K31</f>
        <v>1990000</v>
      </c>
      <c r="F13" s="107"/>
      <c r="G13" s="107"/>
      <c r="H13" s="108"/>
      <c r="I13" s="109"/>
      <c r="J13" s="110"/>
      <c r="K13" s="111">
        <f>B13+E13+H13</f>
        <v>1990000</v>
      </c>
      <c r="L13" s="112"/>
      <c r="M13" s="112"/>
      <c r="N13" s="112"/>
      <c r="O13" s="113"/>
    </row>
    <row r="14" spans="1:15" ht="22.5" customHeight="1" x14ac:dyDescent="0.3">
      <c r="A14" s="23" t="s">
        <v>34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17"/>
      <c r="N14" s="17"/>
      <c r="O14" s="18"/>
    </row>
    <row r="15" spans="1:15" ht="22.5" customHeight="1" thickBot="1" x14ac:dyDescent="0.35">
      <c r="A15" s="24" t="s">
        <v>35</v>
      </c>
      <c r="B15" s="114" t="s">
        <v>36</v>
      </c>
      <c r="C15" s="115"/>
      <c r="D15" s="116"/>
      <c r="E15" s="25" t="s">
        <v>37</v>
      </c>
      <c r="F15" s="25" t="s">
        <v>38</v>
      </c>
      <c r="G15" s="117" t="s">
        <v>39</v>
      </c>
      <c r="H15" s="117"/>
      <c r="I15" s="118"/>
      <c r="J15" s="118"/>
      <c r="K15" s="114" t="s">
        <v>40</v>
      </c>
      <c r="L15" s="115"/>
      <c r="M15" s="115"/>
      <c r="N15" s="114" t="s">
        <v>41</v>
      </c>
      <c r="O15" s="119"/>
    </row>
    <row r="16" spans="1:15" ht="22.5" customHeight="1" thickTop="1" x14ac:dyDescent="0.3">
      <c r="A16" s="26"/>
      <c r="B16" s="120"/>
      <c r="C16" s="121"/>
      <c r="D16" s="122"/>
      <c r="E16" s="27"/>
      <c r="F16" s="28"/>
      <c r="G16" s="123"/>
      <c r="H16" s="124"/>
      <c r="I16" s="125"/>
      <c r="J16" s="125"/>
      <c r="K16" s="126"/>
      <c r="L16" s="127"/>
      <c r="M16" s="127"/>
      <c r="N16" s="128"/>
      <c r="O16" s="129"/>
    </row>
    <row r="17" spans="1:25" ht="22.5" customHeight="1" x14ac:dyDescent="0.3">
      <c r="A17" s="26"/>
      <c r="B17" s="134"/>
      <c r="C17" s="135"/>
      <c r="D17" s="136"/>
      <c r="E17" s="27"/>
      <c r="F17" s="28"/>
      <c r="G17" s="137"/>
      <c r="H17" s="138"/>
      <c r="I17" s="139"/>
      <c r="J17" s="140"/>
      <c r="K17" s="126"/>
      <c r="L17" s="127"/>
      <c r="M17" s="127"/>
      <c r="N17" s="130"/>
      <c r="O17" s="131"/>
    </row>
    <row r="18" spans="1:25" ht="22.5" customHeight="1" x14ac:dyDescent="0.3">
      <c r="A18" s="26"/>
      <c r="B18" s="141"/>
      <c r="C18" s="135"/>
      <c r="D18" s="136"/>
      <c r="E18" s="27"/>
      <c r="F18" s="28"/>
      <c r="G18" s="137"/>
      <c r="H18" s="138"/>
      <c r="I18" s="139"/>
      <c r="J18" s="140"/>
      <c r="K18" s="126"/>
      <c r="L18" s="127"/>
      <c r="M18" s="127"/>
      <c r="N18" s="130"/>
      <c r="O18" s="131"/>
    </row>
    <row r="19" spans="1:25" ht="22.5" customHeight="1" x14ac:dyDescent="0.3">
      <c r="A19" s="30"/>
      <c r="B19" s="148"/>
      <c r="C19" s="149"/>
      <c r="D19" s="150"/>
      <c r="E19" s="31"/>
      <c r="F19" s="32"/>
      <c r="G19" s="151"/>
      <c r="H19" s="152"/>
      <c r="I19" s="153"/>
      <c r="J19" s="153"/>
      <c r="K19" s="126"/>
      <c r="L19" s="127"/>
      <c r="M19" s="127"/>
      <c r="N19" s="130"/>
      <c r="O19" s="131"/>
    </row>
    <row r="20" spans="1:25" ht="22.5" customHeight="1" x14ac:dyDescent="0.3">
      <c r="A20" s="142" t="s">
        <v>42</v>
      </c>
      <c r="B20" s="143"/>
      <c r="C20" s="143"/>
      <c r="D20" s="143"/>
      <c r="E20" s="143"/>
      <c r="F20" s="143"/>
      <c r="G20" s="143"/>
      <c r="H20" s="143"/>
      <c r="I20" s="143"/>
      <c r="J20" s="144"/>
      <c r="K20" s="126">
        <f>SUM(K16:M19)</f>
        <v>0</v>
      </c>
      <c r="L20" s="127"/>
      <c r="M20" s="127"/>
      <c r="N20" s="132"/>
      <c r="O20" s="133"/>
    </row>
    <row r="21" spans="1:25" ht="22.5" hidden="1" customHeight="1" x14ac:dyDescent="0.3">
      <c r="A21" s="26">
        <v>5</v>
      </c>
      <c r="B21" s="145" t="s">
        <v>16</v>
      </c>
      <c r="C21" s="146"/>
      <c r="D21" s="147"/>
      <c r="E21" s="28" t="s">
        <v>16</v>
      </c>
      <c r="F21" s="28" t="s">
        <v>16</v>
      </c>
      <c r="G21" s="123"/>
      <c r="H21" s="124"/>
      <c r="I21" s="125"/>
      <c r="J21" s="125"/>
      <c r="K21" s="126"/>
      <c r="L21" s="127"/>
      <c r="M21" s="127"/>
      <c r="N21" s="154"/>
      <c r="O21" s="155"/>
    </row>
    <row r="22" spans="1:25" ht="22.5" hidden="1" customHeight="1" x14ac:dyDescent="0.3">
      <c r="A22" s="26">
        <v>6</v>
      </c>
      <c r="B22" s="145" t="s">
        <v>16</v>
      </c>
      <c r="C22" s="146"/>
      <c r="D22" s="147"/>
      <c r="E22" s="28" t="s">
        <v>16</v>
      </c>
      <c r="F22" s="28" t="s">
        <v>16</v>
      </c>
      <c r="G22" s="123"/>
      <c r="H22" s="124"/>
      <c r="I22" s="125"/>
      <c r="J22" s="125"/>
      <c r="K22" s="126"/>
      <c r="L22" s="127"/>
      <c r="M22" s="127"/>
      <c r="N22" s="33" t="s">
        <v>16</v>
      </c>
      <c r="O22" s="34">
        <v>0</v>
      </c>
    </row>
    <row r="23" spans="1:25" ht="22.5" customHeight="1" x14ac:dyDescent="0.3">
      <c r="A23" s="35" t="s">
        <v>43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36"/>
    </row>
    <row r="24" spans="1:25" ht="22.5" customHeight="1" thickBot="1" x14ac:dyDescent="0.35">
      <c r="A24" s="24" t="s">
        <v>44</v>
      </c>
      <c r="B24" s="114" t="s">
        <v>45</v>
      </c>
      <c r="C24" s="115"/>
      <c r="D24" s="116"/>
      <c r="E24" s="25" t="s">
        <v>46</v>
      </c>
      <c r="F24" s="25" t="s">
        <v>47</v>
      </c>
      <c r="G24" s="117" t="s">
        <v>48</v>
      </c>
      <c r="H24" s="117"/>
      <c r="I24" s="118"/>
      <c r="J24" s="118"/>
      <c r="K24" s="114" t="s">
        <v>40</v>
      </c>
      <c r="L24" s="115"/>
      <c r="M24" s="115"/>
      <c r="N24" s="114" t="s">
        <v>41</v>
      </c>
      <c r="O24" s="119"/>
      <c r="Y24" s="1"/>
    </row>
    <row r="25" spans="1:25" ht="21.75" customHeight="1" thickTop="1" x14ac:dyDescent="0.3">
      <c r="A25" s="37">
        <v>1</v>
      </c>
      <c r="B25" s="160" t="s">
        <v>49</v>
      </c>
      <c r="C25" s="161"/>
      <c r="D25" s="162"/>
      <c r="E25" s="38">
        <v>1</v>
      </c>
      <c r="F25" s="33" t="s">
        <v>50</v>
      </c>
      <c r="G25" s="163">
        <v>90000</v>
      </c>
      <c r="H25" s="164"/>
      <c r="I25" s="165"/>
      <c r="J25" s="166"/>
      <c r="K25" s="167">
        <f>G25*E25</f>
        <v>90000</v>
      </c>
      <c r="L25" s="168"/>
      <c r="M25" s="169"/>
      <c r="N25" s="186"/>
      <c r="O25" s="187"/>
    </row>
    <row r="26" spans="1:25" ht="21.75" customHeight="1" x14ac:dyDescent="0.3">
      <c r="A26" s="26">
        <v>2</v>
      </c>
      <c r="B26" s="159" t="s">
        <v>51</v>
      </c>
      <c r="C26" s="159"/>
      <c r="D26" s="159"/>
      <c r="E26" s="39">
        <v>19</v>
      </c>
      <c r="F26" s="33" t="s">
        <v>50</v>
      </c>
      <c r="G26" s="170">
        <v>100000</v>
      </c>
      <c r="H26" s="171"/>
      <c r="I26" s="172"/>
      <c r="J26" s="172"/>
      <c r="K26" s="139">
        <f>G26*E26</f>
        <v>1900000</v>
      </c>
      <c r="L26" s="158"/>
      <c r="M26" s="140"/>
      <c r="N26" s="188"/>
      <c r="O26" s="189"/>
    </row>
    <row r="27" spans="1:25" ht="21.75" customHeight="1" x14ac:dyDescent="0.3">
      <c r="A27" s="40"/>
      <c r="B27" s="173"/>
      <c r="C27" s="159"/>
      <c r="D27" s="159"/>
      <c r="E27" s="41"/>
      <c r="F27" s="33"/>
      <c r="G27" s="156"/>
      <c r="H27" s="157"/>
      <c r="I27" s="139"/>
      <c r="J27" s="140"/>
      <c r="K27" s="139"/>
      <c r="L27" s="158"/>
      <c r="M27" s="140"/>
      <c r="N27" s="188"/>
      <c r="O27" s="189"/>
    </row>
    <row r="28" spans="1:25" ht="21.75" customHeight="1" x14ac:dyDescent="0.3">
      <c r="A28" s="42"/>
      <c r="B28" s="159"/>
      <c r="C28" s="159"/>
      <c r="D28" s="159"/>
      <c r="E28" s="38"/>
      <c r="F28" s="33"/>
      <c r="G28" s="156"/>
      <c r="H28" s="157"/>
      <c r="I28" s="153"/>
      <c r="J28" s="153"/>
      <c r="K28" s="139"/>
      <c r="L28" s="158"/>
      <c r="M28" s="140"/>
      <c r="N28" s="188"/>
      <c r="O28" s="189"/>
    </row>
    <row r="29" spans="1:25" ht="21.75" customHeight="1" x14ac:dyDescent="0.3">
      <c r="A29" s="26"/>
      <c r="B29" s="159"/>
      <c r="C29" s="159"/>
      <c r="D29" s="159"/>
      <c r="E29" s="38"/>
      <c r="F29" s="33"/>
      <c r="G29" s="156"/>
      <c r="H29" s="157"/>
      <c r="I29" s="153"/>
      <c r="J29" s="153"/>
      <c r="K29" s="139"/>
      <c r="L29" s="158"/>
      <c r="M29" s="140"/>
      <c r="N29" s="188"/>
      <c r="O29" s="189"/>
    </row>
    <row r="30" spans="1:25" ht="21.75" customHeight="1" x14ac:dyDescent="0.3">
      <c r="A30" s="26"/>
      <c r="B30" s="159"/>
      <c r="C30" s="159"/>
      <c r="D30" s="159"/>
      <c r="E30" s="41"/>
      <c r="F30" s="33"/>
      <c r="G30" s="156"/>
      <c r="H30" s="157"/>
      <c r="I30" s="139"/>
      <c r="J30" s="140"/>
      <c r="K30" s="139"/>
      <c r="L30" s="158"/>
      <c r="M30" s="140"/>
      <c r="N30" s="188"/>
      <c r="O30" s="189"/>
    </row>
    <row r="31" spans="1:25" ht="21.75" customHeight="1" x14ac:dyDescent="0.3">
      <c r="A31" s="174" t="s">
        <v>52</v>
      </c>
      <c r="B31" s="135"/>
      <c r="C31" s="135"/>
      <c r="D31" s="135"/>
      <c r="E31" s="135"/>
      <c r="F31" s="135"/>
      <c r="G31" s="135"/>
      <c r="H31" s="135"/>
      <c r="I31" s="135"/>
      <c r="J31" s="136"/>
      <c r="K31" s="126">
        <f>SUM(K25:M30)</f>
        <v>1990000</v>
      </c>
      <c r="L31" s="127"/>
      <c r="M31" s="127"/>
      <c r="N31" s="190"/>
      <c r="O31" s="191"/>
    </row>
    <row r="32" spans="1:25" ht="11.25" customHeight="1" x14ac:dyDescent="0.3">
      <c r="A32" s="43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36"/>
    </row>
    <row r="33" spans="1:17" ht="23.25" customHeight="1" x14ac:dyDescent="0.3">
      <c r="A33" s="175" t="s">
        <v>53</v>
      </c>
      <c r="B33" s="176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36"/>
    </row>
    <row r="34" spans="1:17" ht="75.75" customHeight="1" x14ac:dyDescent="0.3">
      <c r="A34" s="177" t="s">
        <v>54</v>
      </c>
      <c r="B34" s="178"/>
      <c r="C34" s="178"/>
      <c r="D34" s="178"/>
      <c r="E34" s="178"/>
      <c r="F34" s="178"/>
      <c r="G34" s="178"/>
      <c r="H34" s="178"/>
      <c r="I34" s="178"/>
      <c r="J34" s="178"/>
      <c r="K34" s="178"/>
      <c r="L34" s="178"/>
      <c r="M34" s="178"/>
      <c r="N34" s="179"/>
      <c r="O34" s="180"/>
      <c r="Q34" s="44"/>
    </row>
    <row r="35" spans="1:17" ht="75.75" customHeight="1" x14ac:dyDescent="0.3">
      <c r="A35" s="177"/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s="178"/>
      <c r="N35" s="179"/>
      <c r="O35" s="180"/>
    </row>
    <row r="36" spans="1:17" ht="75.75" customHeight="1" x14ac:dyDescent="0.3">
      <c r="A36" s="177"/>
      <c r="B36" s="178"/>
      <c r="C36" s="178"/>
      <c r="D36" s="178"/>
      <c r="E36" s="178"/>
      <c r="F36" s="178"/>
      <c r="G36" s="178"/>
      <c r="H36" s="178"/>
      <c r="I36" s="178"/>
      <c r="J36" s="178"/>
      <c r="K36" s="178"/>
      <c r="L36" s="178"/>
      <c r="M36" s="178"/>
      <c r="N36" s="179"/>
      <c r="O36" s="180"/>
    </row>
    <row r="37" spans="1:17" ht="75.75" customHeight="1" x14ac:dyDescent="0.3">
      <c r="A37" s="177"/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8"/>
      <c r="M37" s="178"/>
      <c r="N37" s="179"/>
      <c r="O37" s="180"/>
    </row>
    <row r="38" spans="1:17" ht="75.75" customHeight="1" x14ac:dyDescent="0.3">
      <c r="A38" s="177"/>
      <c r="B38" s="178"/>
      <c r="C38" s="178"/>
      <c r="D38" s="178"/>
      <c r="E38" s="178"/>
      <c r="F38" s="178"/>
      <c r="G38" s="178"/>
      <c r="H38" s="178"/>
      <c r="I38" s="178"/>
      <c r="J38" s="178"/>
      <c r="K38" s="178"/>
      <c r="L38" s="178"/>
      <c r="M38" s="178"/>
      <c r="N38" s="179"/>
      <c r="O38" s="180"/>
    </row>
    <row r="39" spans="1:17" ht="24" customHeight="1" x14ac:dyDescent="0.3">
      <c r="A39" s="181"/>
      <c r="B39" s="182"/>
      <c r="C39" s="182"/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3"/>
    </row>
    <row r="40" spans="1:17" ht="22.5" customHeight="1" x14ac:dyDescent="0.3">
      <c r="A40" s="45" t="s">
        <v>55</v>
      </c>
      <c r="B40" s="184" t="s">
        <v>56</v>
      </c>
      <c r="C40" s="184"/>
      <c r="D40" s="184"/>
      <c r="E40" s="184"/>
      <c r="F40" s="46" t="s">
        <v>57</v>
      </c>
      <c r="G40" s="47" t="s">
        <v>58</v>
      </c>
      <c r="H40" s="46" t="s">
        <v>59</v>
      </c>
      <c r="I40" s="47" t="s">
        <v>60</v>
      </c>
      <c r="J40" s="46"/>
      <c r="K40" s="47"/>
      <c r="L40" s="185"/>
      <c r="M40" s="185"/>
      <c r="N40" s="48"/>
      <c r="O40" s="49"/>
    </row>
    <row r="41" spans="1:17" ht="22.5" customHeight="1" thickBot="1" x14ac:dyDescent="0.35">
      <c r="A41" s="50" t="s">
        <v>61</v>
      </c>
      <c r="B41" s="195" t="s">
        <v>62</v>
      </c>
      <c r="C41" s="195"/>
      <c r="D41" s="195" t="s">
        <v>63</v>
      </c>
      <c r="E41" s="195"/>
      <c r="F41" s="195"/>
      <c r="G41" s="51"/>
      <c r="H41" s="52" t="s">
        <v>64</v>
      </c>
      <c r="I41" s="195"/>
      <c r="J41" s="195"/>
      <c r="K41" s="53" t="s">
        <v>65</v>
      </c>
      <c r="L41" s="195"/>
      <c r="M41" s="195"/>
      <c r="N41" s="54" t="s">
        <v>66</v>
      </c>
      <c r="O41" s="55" t="s">
        <v>67</v>
      </c>
    </row>
    <row r="42" spans="1:17" ht="22.5" customHeight="1" thickBot="1" x14ac:dyDescent="0.35">
      <c r="A42" s="196" t="s">
        <v>68</v>
      </c>
      <c r="B42" s="197"/>
      <c r="C42" s="198" t="s">
        <v>69</v>
      </c>
      <c r="D42" s="199"/>
      <c r="E42" s="56" t="s">
        <v>70</v>
      </c>
      <c r="F42" s="198"/>
      <c r="G42" s="199"/>
      <c r="H42" s="56" t="s">
        <v>71</v>
      </c>
      <c r="I42" s="198" t="s">
        <v>72</v>
      </c>
      <c r="J42" s="199"/>
      <c r="K42" s="56" t="s">
        <v>73</v>
      </c>
      <c r="L42" s="200" t="s">
        <v>74</v>
      </c>
      <c r="M42" s="200"/>
      <c r="N42" s="200"/>
      <c r="O42" s="201"/>
    </row>
    <row r="43" spans="1:17" ht="19.5" customHeight="1" x14ac:dyDescent="0.3">
      <c r="A43" s="43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36"/>
    </row>
    <row r="44" spans="1:17" ht="19.5" customHeight="1" x14ac:dyDescent="0.3">
      <c r="A44" s="43"/>
      <c r="B44" s="8"/>
      <c r="C44" s="8"/>
      <c r="D44" s="8"/>
      <c r="E44" s="192"/>
      <c r="F44" s="192"/>
      <c r="G44" s="193"/>
      <c r="H44" s="193"/>
      <c r="I44" s="193"/>
      <c r="J44" s="193"/>
      <c r="K44" s="193"/>
      <c r="L44" s="193"/>
      <c r="M44" s="193"/>
      <c r="N44" s="193"/>
      <c r="O44" s="57"/>
    </row>
    <row r="45" spans="1:17" ht="19.5" customHeight="1" x14ac:dyDescent="0.3">
      <c r="A45" s="43"/>
      <c r="B45" s="8"/>
      <c r="C45" s="8"/>
      <c r="D45" s="8"/>
      <c r="E45" s="58"/>
      <c r="F45" s="58"/>
      <c r="G45" s="58"/>
      <c r="H45" s="59"/>
      <c r="I45" s="58"/>
      <c r="J45" s="59"/>
      <c r="K45" s="58"/>
      <c r="L45" s="59"/>
      <c r="M45" s="58"/>
      <c r="N45" s="58"/>
      <c r="O45" s="60"/>
    </row>
    <row r="46" spans="1:17" ht="31.5" customHeight="1" thickBot="1" x14ac:dyDescent="0.35">
      <c r="A46" s="61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3"/>
    </row>
    <row r="50" spans="2:7" ht="16.5" customHeight="1" x14ac:dyDescent="0.3">
      <c r="B50" s="194"/>
      <c r="C50" s="194"/>
      <c r="D50" s="194"/>
      <c r="E50" s="194"/>
      <c r="F50" s="194"/>
      <c r="G50" s="194"/>
    </row>
  </sheetData>
  <mergeCells count="116">
    <mergeCell ref="A5:B5"/>
    <mergeCell ref="C5:E5"/>
    <mergeCell ref="G5:G6"/>
    <mergeCell ref="H5:O6"/>
    <mergeCell ref="A6:B6"/>
    <mergeCell ref="C6:E6"/>
    <mergeCell ref="A1:O1"/>
    <mergeCell ref="A3:E3"/>
    <mergeCell ref="H3:O3"/>
    <mergeCell ref="A4:B4"/>
    <mergeCell ref="C4:E4"/>
    <mergeCell ref="H4:J4"/>
    <mergeCell ref="L4:O4"/>
    <mergeCell ref="D9:E9"/>
    <mergeCell ref="N10:O11"/>
    <mergeCell ref="B12:D12"/>
    <mergeCell ref="E12:G12"/>
    <mergeCell ref="H12:J12"/>
    <mergeCell ref="K12:O12"/>
    <mergeCell ref="A7:B7"/>
    <mergeCell ref="C7:E8"/>
    <mergeCell ref="F7:F8"/>
    <mergeCell ref="H7:J7"/>
    <mergeCell ref="L7:O7"/>
    <mergeCell ref="A8:B8"/>
    <mergeCell ref="H8:J8"/>
    <mergeCell ref="L8:O8"/>
    <mergeCell ref="N16:O20"/>
    <mergeCell ref="B17:D17"/>
    <mergeCell ref="G17:H17"/>
    <mergeCell ref="I17:J17"/>
    <mergeCell ref="K17:M17"/>
    <mergeCell ref="B18:D18"/>
    <mergeCell ref="A20:J20"/>
    <mergeCell ref="K20:M20"/>
    <mergeCell ref="B13:D13"/>
    <mergeCell ref="E13:G13"/>
    <mergeCell ref="H13:J13"/>
    <mergeCell ref="K13:O13"/>
    <mergeCell ref="B15:D15"/>
    <mergeCell ref="G15:H15"/>
    <mergeCell ref="I15:J15"/>
    <mergeCell ref="K15:M15"/>
    <mergeCell ref="N15:O15"/>
    <mergeCell ref="G18:H18"/>
    <mergeCell ref="I18:J18"/>
    <mergeCell ref="K18:M18"/>
    <mergeCell ref="B19:D19"/>
    <mergeCell ref="G19:H19"/>
    <mergeCell ref="I19:J19"/>
    <mergeCell ref="K19:M19"/>
    <mergeCell ref="B16:D16"/>
    <mergeCell ref="G16:H16"/>
    <mergeCell ref="I16:J16"/>
    <mergeCell ref="K16:M16"/>
    <mergeCell ref="G25:H25"/>
    <mergeCell ref="I25:J25"/>
    <mergeCell ref="K25:M25"/>
    <mergeCell ref="B26:D26"/>
    <mergeCell ref="G26:H26"/>
    <mergeCell ref="I26:J26"/>
    <mergeCell ref="K26:M26"/>
    <mergeCell ref="B27:D27"/>
    <mergeCell ref="N21:O21"/>
    <mergeCell ref="B22:D22"/>
    <mergeCell ref="G22:H22"/>
    <mergeCell ref="I22:J22"/>
    <mergeCell ref="K22:M22"/>
    <mergeCell ref="B24:D24"/>
    <mergeCell ref="G24:H24"/>
    <mergeCell ref="I24:J24"/>
    <mergeCell ref="K24:M24"/>
    <mergeCell ref="N24:O24"/>
    <mergeCell ref="B21:D21"/>
    <mergeCell ref="G21:H21"/>
    <mergeCell ref="I21:J21"/>
    <mergeCell ref="K21:M21"/>
    <mergeCell ref="A31:J31"/>
    <mergeCell ref="K31:M31"/>
    <mergeCell ref="A33:B33"/>
    <mergeCell ref="A34:O38"/>
    <mergeCell ref="A39:O39"/>
    <mergeCell ref="B40:E40"/>
    <mergeCell ref="L40:M40"/>
    <mergeCell ref="B29:D29"/>
    <mergeCell ref="G29:H29"/>
    <mergeCell ref="I29:J29"/>
    <mergeCell ref="K29:M29"/>
    <mergeCell ref="B30:D30"/>
    <mergeCell ref="G30:H30"/>
    <mergeCell ref="I30:J30"/>
    <mergeCell ref="K30:M30"/>
    <mergeCell ref="N25:O31"/>
    <mergeCell ref="G27:H27"/>
    <mergeCell ref="I27:J27"/>
    <mergeCell ref="K27:M27"/>
    <mergeCell ref="B28:D28"/>
    <mergeCell ref="G28:H28"/>
    <mergeCell ref="I28:J28"/>
    <mergeCell ref="K28:M28"/>
    <mergeCell ref="B25:D25"/>
    <mergeCell ref="E44:F44"/>
    <mergeCell ref="G44:H44"/>
    <mergeCell ref="I44:J44"/>
    <mergeCell ref="K44:L44"/>
    <mergeCell ref="M44:N44"/>
    <mergeCell ref="B50:G50"/>
    <mergeCell ref="B41:C41"/>
    <mergeCell ref="D41:F41"/>
    <mergeCell ref="I41:J41"/>
    <mergeCell ref="L41:M41"/>
    <mergeCell ref="A42:B42"/>
    <mergeCell ref="C42:D42"/>
    <mergeCell ref="F42:G42"/>
    <mergeCell ref="I42:J42"/>
    <mergeCell ref="L42:O42"/>
  </mergeCells>
  <phoneticPr fontId="3" type="noConversion"/>
  <printOptions horizontalCentered="1" verticalCentered="1"/>
  <pageMargins left="0.23622047244094491" right="0.19685039370078741" top="0.39370078740157483" bottom="0.31496062992125984" header="0.31496062992125984" footer="0.31496062992125984"/>
  <pageSetup paperSize="9" scale="6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6BCD4-408F-4E5D-8854-A88C003A88CC}">
  <dimension ref="A1:Y50"/>
  <sheetViews>
    <sheetView view="pageBreakPreview" topLeftCell="A5" zoomScale="85" zoomScaleNormal="70" zoomScaleSheetLayoutView="85" workbookViewId="0">
      <selection activeCell="C56" sqref="C56"/>
    </sheetView>
  </sheetViews>
  <sheetFormatPr defaultColWidth="9" defaultRowHeight="16.5" x14ac:dyDescent="0.3"/>
  <cols>
    <col min="1" max="1" width="9.625" style="29" customWidth="1"/>
    <col min="2" max="4" width="10.125" style="29" customWidth="1"/>
    <col min="5" max="8" width="9.625" style="29" customWidth="1"/>
    <col min="9" max="9" width="11.125" style="29" customWidth="1"/>
    <col min="10" max="11" width="9.625" style="29" customWidth="1"/>
    <col min="12" max="13" width="6.125" style="29" customWidth="1"/>
    <col min="14" max="15" width="9.875" style="29" customWidth="1"/>
    <col min="16" max="16" width="10.5" style="1" bestFit="1" customWidth="1"/>
    <col min="17" max="17" width="19.625" style="1" bestFit="1" customWidth="1"/>
    <col min="18" max="18" width="10.625" style="1" bestFit="1" customWidth="1"/>
    <col min="19" max="19" width="12.5" style="1" bestFit="1" customWidth="1"/>
    <col min="20" max="21" width="9.25" style="1" customWidth="1"/>
    <col min="22" max="22" width="9.25" style="29" customWidth="1"/>
    <col min="23" max="24" width="9" style="29"/>
    <col min="25" max="25" width="12.375" style="29" bestFit="1" customWidth="1"/>
    <col min="26" max="16384" width="9" style="29"/>
  </cols>
  <sheetData>
    <row r="1" spans="1:15" ht="39" x14ac:dyDescent="0.3">
      <c r="A1" s="71" t="s">
        <v>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3"/>
    </row>
    <row r="2" spans="1:15" ht="16.5" customHeight="1" thickBot="1" x14ac:dyDescent="0.35">
      <c r="A2" s="2"/>
      <c r="B2" s="3"/>
      <c r="C2" s="3"/>
      <c r="D2" s="3"/>
      <c r="E2" s="3"/>
      <c r="F2" s="3"/>
      <c r="G2" s="3"/>
      <c r="H2" s="4"/>
      <c r="I2" s="4"/>
      <c r="J2" s="4"/>
      <c r="K2" s="4"/>
      <c r="L2" s="4"/>
      <c r="M2" s="4"/>
      <c r="N2" s="3"/>
      <c r="O2" s="5"/>
    </row>
    <row r="3" spans="1:15" ht="22.5" customHeight="1" x14ac:dyDescent="0.3">
      <c r="A3" s="74" t="s">
        <v>75</v>
      </c>
      <c r="B3" s="75"/>
      <c r="C3" s="75"/>
      <c r="D3" s="75"/>
      <c r="E3" s="75"/>
      <c r="F3" s="6"/>
      <c r="G3" s="7" t="s">
        <v>2</v>
      </c>
      <c r="H3" s="76" t="s">
        <v>3</v>
      </c>
      <c r="I3" s="76"/>
      <c r="J3" s="76"/>
      <c r="K3" s="76"/>
      <c r="L3" s="76"/>
      <c r="M3" s="76"/>
      <c r="N3" s="77"/>
      <c r="O3" s="78"/>
    </row>
    <row r="4" spans="1:15" ht="22.5" customHeight="1" x14ac:dyDescent="0.3">
      <c r="A4" s="79" t="s">
        <v>4</v>
      </c>
      <c r="B4" s="80"/>
      <c r="C4" s="81">
        <v>46125</v>
      </c>
      <c r="D4" s="81"/>
      <c r="E4" s="81"/>
      <c r="F4" s="8"/>
      <c r="G4" s="9" t="s">
        <v>5</v>
      </c>
      <c r="H4" s="82" t="s">
        <v>6</v>
      </c>
      <c r="I4" s="82"/>
      <c r="J4" s="82"/>
      <c r="K4" s="10" t="s">
        <v>7</v>
      </c>
      <c r="L4" s="83" t="s">
        <v>8</v>
      </c>
      <c r="M4" s="83"/>
      <c r="N4" s="84"/>
      <c r="O4" s="85"/>
    </row>
    <row r="5" spans="1:15" ht="22.5" customHeight="1" x14ac:dyDescent="0.3">
      <c r="A5" s="64" t="s">
        <v>9</v>
      </c>
      <c r="B5" s="65"/>
      <c r="C5" s="66" t="s">
        <v>10</v>
      </c>
      <c r="D5" s="66"/>
      <c r="E5" s="66"/>
      <c r="F5" s="8"/>
      <c r="G5" s="67" t="s">
        <v>11</v>
      </c>
      <c r="H5" s="68" t="s">
        <v>12</v>
      </c>
      <c r="I5" s="68"/>
      <c r="J5" s="68"/>
      <c r="K5" s="68"/>
      <c r="L5" s="68"/>
      <c r="M5" s="68"/>
      <c r="N5" s="69"/>
      <c r="O5" s="70"/>
    </row>
    <row r="6" spans="1:15" ht="22.5" customHeight="1" x14ac:dyDescent="0.3">
      <c r="A6" s="64" t="s">
        <v>13</v>
      </c>
      <c r="B6" s="65"/>
      <c r="C6" s="66" t="s">
        <v>14</v>
      </c>
      <c r="D6" s="66"/>
      <c r="E6" s="66"/>
      <c r="F6" s="8"/>
      <c r="G6" s="67"/>
      <c r="H6" s="68"/>
      <c r="I6" s="68"/>
      <c r="J6" s="68"/>
      <c r="K6" s="68"/>
      <c r="L6" s="68"/>
      <c r="M6" s="68"/>
      <c r="N6" s="69"/>
      <c r="O6" s="70"/>
    </row>
    <row r="7" spans="1:15" ht="22.5" customHeight="1" x14ac:dyDescent="0.3">
      <c r="A7" s="96" t="s">
        <v>15</v>
      </c>
      <c r="B7" s="97"/>
      <c r="C7" s="98">
        <f>K13</f>
        <v>1200000</v>
      </c>
      <c r="D7" s="98"/>
      <c r="E7" s="98"/>
      <c r="F7" s="100" t="s">
        <v>16</v>
      </c>
      <c r="G7" s="9" t="s">
        <v>17</v>
      </c>
      <c r="H7" s="82" t="s">
        <v>18</v>
      </c>
      <c r="I7" s="82"/>
      <c r="J7" s="82"/>
      <c r="K7" s="10" t="s">
        <v>19</v>
      </c>
      <c r="L7" s="68" t="s">
        <v>20</v>
      </c>
      <c r="M7" s="68"/>
      <c r="N7" s="69"/>
      <c r="O7" s="70"/>
    </row>
    <row r="8" spans="1:15" ht="22.5" customHeight="1" thickBot="1" x14ac:dyDescent="0.35">
      <c r="A8" s="101" t="s">
        <v>21</v>
      </c>
      <c r="B8" s="102"/>
      <c r="C8" s="99"/>
      <c r="D8" s="99"/>
      <c r="E8" s="99"/>
      <c r="F8" s="100"/>
      <c r="G8" s="11" t="s">
        <v>22</v>
      </c>
      <c r="H8" s="103" t="s">
        <v>23</v>
      </c>
      <c r="I8" s="103"/>
      <c r="J8" s="103"/>
      <c r="K8" s="12" t="s">
        <v>24</v>
      </c>
      <c r="L8" s="103" t="s">
        <v>25</v>
      </c>
      <c r="M8" s="103"/>
      <c r="N8" s="104"/>
      <c r="O8" s="105"/>
    </row>
    <row r="9" spans="1:15" ht="19.5" customHeight="1" x14ac:dyDescent="0.3">
      <c r="A9" s="13"/>
      <c r="B9" s="14"/>
      <c r="C9" s="15"/>
      <c r="D9" s="86"/>
      <c r="E9" s="86"/>
      <c r="F9" s="16"/>
      <c r="G9" s="17"/>
      <c r="H9" s="17"/>
      <c r="I9" s="17"/>
      <c r="J9" s="17"/>
      <c r="K9" s="17"/>
      <c r="L9" s="17"/>
      <c r="M9" s="17"/>
      <c r="N9" s="17"/>
      <c r="O9" s="18"/>
    </row>
    <row r="10" spans="1:15" ht="19.5" customHeight="1" x14ac:dyDescent="0.3">
      <c r="A10" s="19" t="s">
        <v>26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17"/>
      <c r="N10" s="87" t="s">
        <v>27</v>
      </c>
      <c r="O10" s="88"/>
    </row>
    <row r="11" spans="1:15" ht="9.75" customHeight="1" thickBot="1" x14ac:dyDescent="0.35">
      <c r="A11" s="19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17"/>
      <c r="N11" s="89"/>
      <c r="O11" s="90"/>
    </row>
    <row r="12" spans="1:15" ht="23.25" customHeight="1" thickBot="1" x14ac:dyDescent="0.35">
      <c r="A12" s="21" t="s">
        <v>28</v>
      </c>
      <c r="B12" s="91" t="s">
        <v>29</v>
      </c>
      <c r="C12" s="91"/>
      <c r="D12" s="91"/>
      <c r="E12" s="91" t="s">
        <v>30</v>
      </c>
      <c r="F12" s="91"/>
      <c r="G12" s="91"/>
      <c r="H12" s="92" t="s">
        <v>31</v>
      </c>
      <c r="I12" s="92"/>
      <c r="J12" s="92"/>
      <c r="K12" s="93" t="s">
        <v>32</v>
      </c>
      <c r="L12" s="94"/>
      <c r="M12" s="94"/>
      <c r="N12" s="94"/>
      <c r="O12" s="95"/>
    </row>
    <row r="13" spans="1:15" ht="38.25" customHeight="1" thickTop="1" thickBot="1" x14ac:dyDescent="0.35">
      <c r="A13" s="22" t="s">
        <v>33</v>
      </c>
      <c r="B13" s="106">
        <f>SUM(K16:M19)</f>
        <v>0</v>
      </c>
      <c r="C13" s="107"/>
      <c r="D13" s="107"/>
      <c r="E13" s="106">
        <f>K31</f>
        <v>1200000</v>
      </c>
      <c r="F13" s="107"/>
      <c r="G13" s="107"/>
      <c r="H13" s="108"/>
      <c r="I13" s="109"/>
      <c r="J13" s="110"/>
      <c r="K13" s="111">
        <f>B13+E13+H13</f>
        <v>1200000</v>
      </c>
      <c r="L13" s="112"/>
      <c r="M13" s="112"/>
      <c r="N13" s="112"/>
      <c r="O13" s="113"/>
    </row>
    <row r="14" spans="1:15" ht="22.5" customHeight="1" x14ac:dyDescent="0.3">
      <c r="A14" s="23" t="s">
        <v>34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17"/>
      <c r="N14" s="17"/>
      <c r="O14" s="18"/>
    </row>
    <row r="15" spans="1:15" ht="22.5" customHeight="1" thickBot="1" x14ac:dyDescent="0.35">
      <c r="A15" s="24" t="s">
        <v>35</v>
      </c>
      <c r="B15" s="114" t="s">
        <v>36</v>
      </c>
      <c r="C15" s="115"/>
      <c r="D15" s="116"/>
      <c r="E15" s="25" t="s">
        <v>37</v>
      </c>
      <c r="F15" s="25" t="s">
        <v>38</v>
      </c>
      <c r="G15" s="117" t="s">
        <v>39</v>
      </c>
      <c r="H15" s="117"/>
      <c r="I15" s="118"/>
      <c r="J15" s="118"/>
      <c r="K15" s="114" t="s">
        <v>40</v>
      </c>
      <c r="L15" s="115"/>
      <c r="M15" s="115"/>
      <c r="N15" s="114" t="s">
        <v>41</v>
      </c>
      <c r="O15" s="119"/>
    </row>
    <row r="16" spans="1:15" ht="22.5" customHeight="1" thickTop="1" x14ac:dyDescent="0.3">
      <c r="A16" s="26"/>
      <c r="B16" s="120"/>
      <c r="C16" s="121"/>
      <c r="D16" s="122"/>
      <c r="E16" s="27"/>
      <c r="F16" s="28"/>
      <c r="G16" s="123"/>
      <c r="H16" s="124"/>
      <c r="I16" s="125"/>
      <c r="J16" s="125"/>
      <c r="K16" s="126"/>
      <c r="L16" s="127"/>
      <c r="M16" s="127"/>
      <c r="N16" s="128"/>
      <c r="O16" s="129"/>
    </row>
    <row r="17" spans="1:25" ht="22.5" customHeight="1" x14ac:dyDescent="0.3">
      <c r="A17" s="26"/>
      <c r="B17" s="134"/>
      <c r="C17" s="135"/>
      <c r="D17" s="136"/>
      <c r="E17" s="27"/>
      <c r="F17" s="28"/>
      <c r="G17" s="137"/>
      <c r="H17" s="138"/>
      <c r="I17" s="139"/>
      <c r="J17" s="140"/>
      <c r="K17" s="126"/>
      <c r="L17" s="127"/>
      <c r="M17" s="127"/>
      <c r="N17" s="130"/>
      <c r="O17" s="131"/>
    </row>
    <row r="18" spans="1:25" ht="22.5" customHeight="1" x14ac:dyDescent="0.3">
      <c r="A18" s="26"/>
      <c r="B18" s="141"/>
      <c r="C18" s="135"/>
      <c r="D18" s="136"/>
      <c r="E18" s="27"/>
      <c r="F18" s="28"/>
      <c r="G18" s="137"/>
      <c r="H18" s="138"/>
      <c r="I18" s="139"/>
      <c r="J18" s="140"/>
      <c r="K18" s="126"/>
      <c r="L18" s="127"/>
      <c r="M18" s="127"/>
      <c r="N18" s="130"/>
      <c r="O18" s="131"/>
    </row>
    <row r="19" spans="1:25" ht="22.5" customHeight="1" x14ac:dyDescent="0.3">
      <c r="A19" s="30"/>
      <c r="B19" s="148"/>
      <c r="C19" s="149"/>
      <c r="D19" s="150"/>
      <c r="E19" s="31"/>
      <c r="F19" s="32"/>
      <c r="G19" s="151"/>
      <c r="H19" s="152"/>
      <c r="I19" s="153"/>
      <c r="J19" s="153"/>
      <c r="K19" s="126"/>
      <c r="L19" s="127"/>
      <c r="M19" s="127"/>
      <c r="N19" s="130"/>
      <c r="O19" s="131"/>
    </row>
    <row r="20" spans="1:25" ht="22.5" customHeight="1" x14ac:dyDescent="0.3">
      <c r="A20" s="142" t="s">
        <v>42</v>
      </c>
      <c r="B20" s="143"/>
      <c r="C20" s="143"/>
      <c r="D20" s="143"/>
      <c r="E20" s="143"/>
      <c r="F20" s="143"/>
      <c r="G20" s="143"/>
      <c r="H20" s="143"/>
      <c r="I20" s="143"/>
      <c r="J20" s="144"/>
      <c r="K20" s="126">
        <f>SUM(K16:M19)</f>
        <v>0</v>
      </c>
      <c r="L20" s="127"/>
      <c r="M20" s="127"/>
      <c r="N20" s="132"/>
      <c r="O20" s="133"/>
    </row>
    <row r="21" spans="1:25" ht="22.5" hidden="1" customHeight="1" x14ac:dyDescent="0.3">
      <c r="A21" s="26">
        <v>5</v>
      </c>
      <c r="B21" s="145" t="s">
        <v>16</v>
      </c>
      <c r="C21" s="146"/>
      <c r="D21" s="147"/>
      <c r="E21" s="28" t="s">
        <v>16</v>
      </c>
      <c r="F21" s="28" t="s">
        <v>16</v>
      </c>
      <c r="G21" s="123"/>
      <c r="H21" s="124"/>
      <c r="I21" s="125"/>
      <c r="J21" s="125"/>
      <c r="K21" s="126"/>
      <c r="L21" s="127"/>
      <c r="M21" s="127"/>
      <c r="N21" s="154"/>
      <c r="O21" s="155"/>
    </row>
    <row r="22" spans="1:25" ht="22.5" hidden="1" customHeight="1" x14ac:dyDescent="0.3">
      <c r="A22" s="26">
        <v>6</v>
      </c>
      <c r="B22" s="145" t="s">
        <v>16</v>
      </c>
      <c r="C22" s="146"/>
      <c r="D22" s="147"/>
      <c r="E22" s="28" t="s">
        <v>16</v>
      </c>
      <c r="F22" s="28" t="s">
        <v>16</v>
      </c>
      <c r="G22" s="123"/>
      <c r="H22" s="124"/>
      <c r="I22" s="125"/>
      <c r="J22" s="125"/>
      <c r="K22" s="126"/>
      <c r="L22" s="127"/>
      <c r="M22" s="127"/>
      <c r="N22" s="33" t="s">
        <v>16</v>
      </c>
      <c r="O22" s="34">
        <v>0</v>
      </c>
    </row>
    <row r="23" spans="1:25" ht="22.5" customHeight="1" x14ac:dyDescent="0.3">
      <c r="A23" s="35" t="s">
        <v>43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36"/>
    </row>
    <row r="24" spans="1:25" ht="22.5" customHeight="1" thickBot="1" x14ac:dyDescent="0.35">
      <c r="A24" s="24" t="s">
        <v>35</v>
      </c>
      <c r="B24" s="114" t="s">
        <v>45</v>
      </c>
      <c r="C24" s="115"/>
      <c r="D24" s="116"/>
      <c r="E24" s="25" t="s">
        <v>37</v>
      </c>
      <c r="F24" s="25" t="s">
        <v>47</v>
      </c>
      <c r="G24" s="117" t="s">
        <v>39</v>
      </c>
      <c r="H24" s="117"/>
      <c r="I24" s="118"/>
      <c r="J24" s="118"/>
      <c r="K24" s="114" t="s">
        <v>40</v>
      </c>
      <c r="L24" s="115"/>
      <c r="M24" s="115"/>
      <c r="N24" s="114" t="s">
        <v>41</v>
      </c>
      <c r="O24" s="119"/>
      <c r="Y24" s="1"/>
    </row>
    <row r="25" spans="1:25" ht="21.75" customHeight="1" thickTop="1" x14ac:dyDescent="0.3">
      <c r="A25" s="37">
        <v>1</v>
      </c>
      <c r="B25" s="160" t="s">
        <v>76</v>
      </c>
      <c r="C25" s="161"/>
      <c r="D25" s="162"/>
      <c r="E25" s="38">
        <v>119</v>
      </c>
      <c r="F25" s="33" t="s">
        <v>50</v>
      </c>
      <c r="G25" s="163">
        <v>10000</v>
      </c>
      <c r="H25" s="164"/>
      <c r="I25" s="165"/>
      <c r="J25" s="166"/>
      <c r="K25" s="167">
        <f>G25*E25</f>
        <v>1190000</v>
      </c>
      <c r="L25" s="168"/>
      <c r="M25" s="169"/>
      <c r="N25" s="186"/>
      <c r="O25" s="187"/>
    </row>
    <row r="26" spans="1:25" ht="21.75" customHeight="1" x14ac:dyDescent="0.3">
      <c r="A26" s="26">
        <v>2</v>
      </c>
      <c r="B26" s="159" t="s">
        <v>77</v>
      </c>
      <c r="C26" s="159"/>
      <c r="D26" s="159"/>
      <c r="E26" s="39">
        <v>1</v>
      </c>
      <c r="F26" s="33" t="s">
        <v>50</v>
      </c>
      <c r="G26" s="170">
        <v>10000</v>
      </c>
      <c r="H26" s="171"/>
      <c r="I26" s="172"/>
      <c r="J26" s="172"/>
      <c r="K26" s="139">
        <f>G26*E26</f>
        <v>10000</v>
      </c>
      <c r="L26" s="158"/>
      <c r="M26" s="140"/>
      <c r="N26" s="188"/>
      <c r="O26" s="189"/>
    </row>
    <row r="27" spans="1:25" ht="21.75" customHeight="1" x14ac:dyDescent="0.3">
      <c r="A27" s="40"/>
      <c r="B27" s="173"/>
      <c r="C27" s="159"/>
      <c r="D27" s="159"/>
      <c r="E27" s="41"/>
      <c r="F27" s="33"/>
      <c r="G27" s="156"/>
      <c r="H27" s="157"/>
      <c r="I27" s="139"/>
      <c r="J27" s="140"/>
      <c r="K27" s="139"/>
      <c r="L27" s="158"/>
      <c r="M27" s="140"/>
      <c r="N27" s="188"/>
      <c r="O27" s="189"/>
    </row>
    <row r="28" spans="1:25" ht="21.75" customHeight="1" x14ac:dyDescent="0.3">
      <c r="A28" s="42"/>
      <c r="B28" s="159"/>
      <c r="C28" s="159"/>
      <c r="D28" s="159"/>
      <c r="E28" s="38"/>
      <c r="F28" s="33"/>
      <c r="G28" s="156"/>
      <c r="H28" s="157"/>
      <c r="I28" s="153"/>
      <c r="J28" s="153"/>
      <c r="K28" s="139"/>
      <c r="L28" s="158"/>
      <c r="M28" s="140"/>
      <c r="N28" s="188"/>
      <c r="O28" s="189"/>
    </row>
    <row r="29" spans="1:25" ht="21.75" customHeight="1" x14ac:dyDescent="0.3">
      <c r="A29" s="26"/>
      <c r="B29" s="159"/>
      <c r="C29" s="159"/>
      <c r="D29" s="159"/>
      <c r="E29" s="38"/>
      <c r="F29" s="33"/>
      <c r="G29" s="156"/>
      <c r="H29" s="157"/>
      <c r="I29" s="153"/>
      <c r="J29" s="153"/>
      <c r="K29" s="139"/>
      <c r="L29" s="158"/>
      <c r="M29" s="140"/>
      <c r="N29" s="188"/>
      <c r="O29" s="189"/>
    </row>
    <row r="30" spans="1:25" ht="21.75" customHeight="1" x14ac:dyDescent="0.3">
      <c r="A30" s="26"/>
      <c r="B30" s="159"/>
      <c r="C30" s="159"/>
      <c r="D30" s="159"/>
      <c r="E30" s="41"/>
      <c r="F30" s="33"/>
      <c r="G30" s="156"/>
      <c r="H30" s="157"/>
      <c r="I30" s="139"/>
      <c r="J30" s="140"/>
      <c r="K30" s="139"/>
      <c r="L30" s="158"/>
      <c r="M30" s="140"/>
      <c r="N30" s="188"/>
      <c r="O30" s="189"/>
    </row>
    <row r="31" spans="1:25" ht="21.75" customHeight="1" x14ac:dyDescent="0.3">
      <c r="A31" s="174" t="s">
        <v>52</v>
      </c>
      <c r="B31" s="135"/>
      <c r="C31" s="135"/>
      <c r="D31" s="135"/>
      <c r="E31" s="135"/>
      <c r="F31" s="135"/>
      <c r="G31" s="135"/>
      <c r="H31" s="135"/>
      <c r="I31" s="135"/>
      <c r="J31" s="136"/>
      <c r="K31" s="126">
        <f>SUM(K25:M30)</f>
        <v>1200000</v>
      </c>
      <c r="L31" s="127"/>
      <c r="M31" s="127"/>
      <c r="N31" s="190"/>
      <c r="O31" s="191"/>
    </row>
    <row r="32" spans="1:25" ht="11.25" customHeight="1" x14ac:dyDescent="0.3">
      <c r="A32" s="43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36"/>
    </row>
    <row r="33" spans="1:17" ht="23.25" customHeight="1" x14ac:dyDescent="0.3">
      <c r="A33" s="175" t="s">
        <v>53</v>
      </c>
      <c r="B33" s="176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36"/>
    </row>
    <row r="34" spans="1:17" ht="75.75" customHeight="1" x14ac:dyDescent="0.3">
      <c r="A34" s="177" t="s">
        <v>54</v>
      </c>
      <c r="B34" s="178"/>
      <c r="C34" s="178"/>
      <c r="D34" s="178"/>
      <c r="E34" s="178"/>
      <c r="F34" s="178"/>
      <c r="G34" s="178"/>
      <c r="H34" s="178"/>
      <c r="I34" s="178"/>
      <c r="J34" s="178"/>
      <c r="K34" s="178"/>
      <c r="L34" s="178"/>
      <c r="M34" s="178"/>
      <c r="N34" s="179"/>
      <c r="O34" s="180"/>
      <c r="Q34" s="44"/>
    </row>
    <row r="35" spans="1:17" ht="75.75" customHeight="1" x14ac:dyDescent="0.3">
      <c r="A35" s="177"/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s="178"/>
      <c r="N35" s="179"/>
      <c r="O35" s="180"/>
    </row>
    <row r="36" spans="1:17" ht="75.75" customHeight="1" x14ac:dyDescent="0.3">
      <c r="A36" s="177"/>
      <c r="B36" s="178"/>
      <c r="C36" s="178"/>
      <c r="D36" s="178"/>
      <c r="E36" s="178"/>
      <c r="F36" s="178"/>
      <c r="G36" s="178"/>
      <c r="H36" s="178"/>
      <c r="I36" s="178"/>
      <c r="J36" s="178"/>
      <c r="K36" s="178"/>
      <c r="L36" s="178"/>
      <c r="M36" s="178"/>
      <c r="N36" s="179"/>
      <c r="O36" s="180"/>
    </row>
    <row r="37" spans="1:17" ht="75.75" customHeight="1" x14ac:dyDescent="0.3">
      <c r="A37" s="177"/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8"/>
      <c r="M37" s="178"/>
      <c r="N37" s="179"/>
      <c r="O37" s="180"/>
    </row>
    <row r="38" spans="1:17" ht="75.75" customHeight="1" x14ac:dyDescent="0.3">
      <c r="A38" s="177"/>
      <c r="B38" s="178"/>
      <c r="C38" s="178"/>
      <c r="D38" s="178"/>
      <c r="E38" s="178"/>
      <c r="F38" s="178"/>
      <c r="G38" s="178"/>
      <c r="H38" s="178"/>
      <c r="I38" s="178"/>
      <c r="J38" s="178"/>
      <c r="K38" s="178"/>
      <c r="L38" s="178"/>
      <c r="M38" s="178"/>
      <c r="N38" s="179"/>
      <c r="O38" s="180"/>
    </row>
    <row r="39" spans="1:17" ht="24" customHeight="1" x14ac:dyDescent="0.3">
      <c r="A39" s="181"/>
      <c r="B39" s="182"/>
      <c r="C39" s="182"/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3"/>
    </row>
    <row r="40" spans="1:17" ht="22.5" customHeight="1" x14ac:dyDescent="0.3">
      <c r="A40" s="45" t="s">
        <v>55</v>
      </c>
      <c r="B40" s="184" t="s">
        <v>56</v>
      </c>
      <c r="C40" s="184"/>
      <c r="D40" s="184"/>
      <c r="E40" s="184"/>
      <c r="F40" s="46" t="s">
        <v>57</v>
      </c>
      <c r="G40" s="47" t="s">
        <v>58</v>
      </c>
      <c r="H40" s="46" t="s">
        <v>59</v>
      </c>
      <c r="I40" s="47" t="s">
        <v>60</v>
      </c>
      <c r="J40" s="46"/>
      <c r="K40" s="47"/>
      <c r="L40" s="185"/>
      <c r="M40" s="185"/>
      <c r="N40" s="48"/>
      <c r="O40" s="49"/>
    </row>
    <row r="41" spans="1:17" ht="22.5" customHeight="1" thickBot="1" x14ac:dyDescent="0.35">
      <c r="A41" s="50" t="s">
        <v>61</v>
      </c>
      <c r="B41" s="195" t="s">
        <v>62</v>
      </c>
      <c r="C41" s="195"/>
      <c r="D41" s="195" t="s">
        <v>63</v>
      </c>
      <c r="E41" s="195"/>
      <c r="F41" s="195"/>
      <c r="G41" s="51"/>
      <c r="H41" s="52" t="s">
        <v>64</v>
      </c>
      <c r="I41" s="195"/>
      <c r="J41" s="195"/>
      <c r="K41" s="53" t="s">
        <v>65</v>
      </c>
      <c r="L41" s="195"/>
      <c r="M41" s="195"/>
      <c r="N41" s="54" t="s">
        <v>66</v>
      </c>
      <c r="O41" s="55" t="s">
        <v>67</v>
      </c>
    </row>
    <row r="42" spans="1:17" ht="22.5" customHeight="1" thickBot="1" x14ac:dyDescent="0.35">
      <c r="A42" s="196" t="s">
        <v>68</v>
      </c>
      <c r="B42" s="197"/>
      <c r="C42" s="198" t="s">
        <v>69</v>
      </c>
      <c r="D42" s="199"/>
      <c r="E42" s="56" t="s">
        <v>70</v>
      </c>
      <c r="F42" s="198"/>
      <c r="G42" s="199"/>
      <c r="H42" s="56" t="s">
        <v>71</v>
      </c>
      <c r="I42" s="198" t="s">
        <v>72</v>
      </c>
      <c r="J42" s="199"/>
      <c r="K42" s="56" t="s">
        <v>73</v>
      </c>
      <c r="L42" s="200" t="s">
        <v>74</v>
      </c>
      <c r="M42" s="200"/>
      <c r="N42" s="200"/>
      <c r="O42" s="201"/>
    </row>
    <row r="43" spans="1:17" ht="19.5" customHeight="1" x14ac:dyDescent="0.3">
      <c r="A43" s="43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36"/>
    </row>
    <row r="44" spans="1:17" ht="19.5" customHeight="1" x14ac:dyDescent="0.3">
      <c r="A44" s="43"/>
      <c r="B44" s="8"/>
      <c r="C44" s="8"/>
      <c r="D44" s="8"/>
      <c r="E44" s="192"/>
      <c r="F44" s="192"/>
      <c r="G44" s="193"/>
      <c r="H44" s="193"/>
      <c r="I44" s="193"/>
      <c r="J44" s="193"/>
      <c r="K44" s="193"/>
      <c r="L44" s="193"/>
      <c r="M44" s="193"/>
      <c r="N44" s="193"/>
      <c r="O44" s="57"/>
    </row>
    <row r="45" spans="1:17" ht="19.5" customHeight="1" x14ac:dyDescent="0.3">
      <c r="A45" s="43"/>
      <c r="B45" s="8"/>
      <c r="C45" s="8"/>
      <c r="D45" s="8"/>
      <c r="E45" s="58"/>
      <c r="F45" s="58"/>
      <c r="G45" s="58"/>
      <c r="H45" s="59"/>
      <c r="I45" s="58"/>
      <c r="J45" s="59"/>
      <c r="K45" s="58"/>
      <c r="L45" s="59"/>
      <c r="M45" s="58"/>
      <c r="N45" s="58"/>
      <c r="O45" s="60"/>
    </row>
    <row r="46" spans="1:17" ht="31.5" customHeight="1" thickBot="1" x14ac:dyDescent="0.35">
      <c r="A46" s="61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3"/>
    </row>
    <row r="50" spans="2:7" ht="21.75" customHeight="1" x14ac:dyDescent="0.3">
      <c r="B50" s="194"/>
      <c r="C50" s="194"/>
      <c r="D50" s="194"/>
      <c r="E50" s="194"/>
      <c r="F50" s="194"/>
      <c r="G50" s="194"/>
    </row>
  </sheetData>
  <mergeCells count="116">
    <mergeCell ref="E44:F44"/>
    <mergeCell ref="G44:H44"/>
    <mergeCell ref="I44:J44"/>
    <mergeCell ref="K44:L44"/>
    <mergeCell ref="M44:N44"/>
    <mergeCell ref="B50:G50"/>
    <mergeCell ref="B41:C41"/>
    <mergeCell ref="D41:F41"/>
    <mergeCell ref="I41:J41"/>
    <mergeCell ref="L41:M41"/>
    <mergeCell ref="A42:B42"/>
    <mergeCell ref="C42:D42"/>
    <mergeCell ref="F42:G42"/>
    <mergeCell ref="I42:J42"/>
    <mergeCell ref="L42:O42"/>
    <mergeCell ref="A31:J31"/>
    <mergeCell ref="K31:M31"/>
    <mergeCell ref="A33:B33"/>
    <mergeCell ref="A34:O38"/>
    <mergeCell ref="A39:O39"/>
    <mergeCell ref="B40:E40"/>
    <mergeCell ref="L40:M40"/>
    <mergeCell ref="B29:D29"/>
    <mergeCell ref="G29:H29"/>
    <mergeCell ref="I29:J29"/>
    <mergeCell ref="K29:M29"/>
    <mergeCell ref="B30:D30"/>
    <mergeCell ref="G30:H30"/>
    <mergeCell ref="I30:J30"/>
    <mergeCell ref="K30:M30"/>
    <mergeCell ref="N25:O31"/>
    <mergeCell ref="G27:H27"/>
    <mergeCell ref="I27:J27"/>
    <mergeCell ref="K27:M27"/>
    <mergeCell ref="B28:D28"/>
    <mergeCell ref="G28:H28"/>
    <mergeCell ref="I28:J28"/>
    <mergeCell ref="K28:M28"/>
    <mergeCell ref="B25:D25"/>
    <mergeCell ref="G25:H25"/>
    <mergeCell ref="I25:J25"/>
    <mergeCell ref="K25:M25"/>
    <mergeCell ref="B26:D26"/>
    <mergeCell ref="G26:H26"/>
    <mergeCell ref="I26:J26"/>
    <mergeCell ref="K26:M26"/>
    <mergeCell ref="B27:D27"/>
    <mergeCell ref="N21:O21"/>
    <mergeCell ref="B22:D22"/>
    <mergeCell ref="G22:H22"/>
    <mergeCell ref="I22:J22"/>
    <mergeCell ref="K22:M22"/>
    <mergeCell ref="B24:D24"/>
    <mergeCell ref="G24:H24"/>
    <mergeCell ref="I24:J24"/>
    <mergeCell ref="K24:M24"/>
    <mergeCell ref="N24:O24"/>
    <mergeCell ref="B21:D21"/>
    <mergeCell ref="G21:H21"/>
    <mergeCell ref="I21:J21"/>
    <mergeCell ref="K21:M21"/>
    <mergeCell ref="G18:H18"/>
    <mergeCell ref="I18:J18"/>
    <mergeCell ref="K18:M18"/>
    <mergeCell ref="B19:D19"/>
    <mergeCell ref="G19:H19"/>
    <mergeCell ref="I19:J19"/>
    <mergeCell ref="K19:M19"/>
    <mergeCell ref="B16:D16"/>
    <mergeCell ref="G16:H16"/>
    <mergeCell ref="I16:J16"/>
    <mergeCell ref="K16:M16"/>
    <mergeCell ref="N16:O20"/>
    <mergeCell ref="B17:D17"/>
    <mergeCell ref="G17:H17"/>
    <mergeCell ref="I17:J17"/>
    <mergeCell ref="K17:M17"/>
    <mergeCell ref="B18:D18"/>
    <mergeCell ref="A20:J20"/>
    <mergeCell ref="K20:M20"/>
    <mergeCell ref="B13:D13"/>
    <mergeCell ref="E13:G13"/>
    <mergeCell ref="H13:J13"/>
    <mergeCell ref="K13:O13"/>
    <mergeCell ref="B15:D15"/>
    <mergeCell ref="G15:H15"/>
    <mergeCell ref="I15:J15"/>
    <mergeCell ref="K15:M15"/>
    <mergeCell ref="N15:O15"/>
    <mergeCell ref="D9:E9"/>
    <mergeCell ref="N10:O11"/>
    <mergeCell ref="B12:D12"/>
    <mergeCell ref="E12:G12"/>
    <mergeCell ref="H12:J12"/>
    <mergeCell ref="K12:O12"/>
    <mergeCell ref="A7:B7"/>
    <mergeCell ref="C7:E8"/>
    <mergeCell ref="F7:F8"/>
    <mergeCell ref="H7:J7"/>
    <mergeCell ref="L7:O7"/>
    <mergeCell ref="A8:B8"/>
    <mergeCell ref="H8:J8"/>
    <mergeCell ref="L8:O8"/>
    <mergeCell ref="A5:B5"/>
    <mergeCell ref="C5:E5"/>
    <mergeCell ref="G5:G6"/>
    <mergeCell ref="H5:O6"/>
    <mergeCell ref="A6:B6"/>
    <mergeCell ref="C6:E6"/>
    <mergeCell ref="A1:O1"/>
    <mergeCell ref="A3:E3"/>
    <mergeCell ref="H3:O3"/>
    <mergeCell ref="A4:B4"/>
    <mergeCell ref="C4:E4"/>
    <mergeCell ref="H4:J4"/>
    <mergeCell ref="L4:O4"/>
  </mergeCells>
  <phoneticPr fontId="3" type="noConversion"/>
  <printOptions horizontalCentered="1" verticalCentered="1"/>
  <pageMargins left="0.23622047244094491" right="0.19685039370078741" top="0.39370078740157483" bottom="0.31496062992125984" header="0.31496062992125984" footer="0.31496062992125984"/>
  <pageSetup paperSize="9" scale="6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4</vt:i4>
      </vt:variant>
    </vt:vector>
  </HeadingPairs>
  <TitlesOfParts>
    <vt:vector size="8" baseType="lpstr">
      <vt:lpstr>LGES AB_3동 기숙사</vt:lpstr>
      <vt:lpstr>LGES_ 공용부 기숙 및 사택</vt:lpstr>
      <vt:lpstr>LG 사택 어린이집(오버홀)</vt:lpstr>
      <vt:lpstr>화학_AB_3동 기숙사</vt:lpstr>
      <vt:lpstr>'LG 사택 어린이집(오버홀)'!Print_Area</vt:lpstr>
      <vt:lpstr>'LGES AB_3동 기숙사'!Print_Area</vt:lpstr>
      <vt:lpstr>'LGES_ 공용부 기숙 및 사택'!Print_Area</vt:lpstr>
      <vt:lpstr>'화학_AB_3동 기숙사'!Print_Area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김인호</dc:creator>
  <cp:lastModifiedBy>종근 이</cp:lastModifiedBy>
  <dcterms:created xsi:type="dcterms:W3CDTF">2026-04-14T00:36:24Z</dcterms:created>
  <dcterms:modified xsi:type="dcterms:W3CDTF">2026-04-20T05:57:07Z</dcterms:modified>
</cp:coreProperties>
</file>
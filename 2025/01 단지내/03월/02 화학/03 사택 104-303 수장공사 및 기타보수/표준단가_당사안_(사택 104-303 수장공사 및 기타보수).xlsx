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3 사택 104-303 수장공사 및 기타보수\"/>
    </mc:Choice>
  </mc:AlternateContent>
  <xr:revisionPtr revIDLastSave="0" documentId="13_ncr:1_{BCE97043-C19D-4ACD-BF00-AFE31969091D}" xr6:coauthVersionLast="47" xr6:coauthVersionMax="47" xr10:uidLastSave="{00000000-0000-0000-0000-000000000000}"/>
  <bookViews>
    <workbookView xWindow="14355" yWindow="0" windowWidth="14490" windowHeight="15525" firstSheet="2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N41" i="9"/>
  <c r="H41" i="9"/>
  <c r="F41" i="9"/>
  <c r="V17" i="4"/>
  <c r="V15" i="4"/>
  <c r="Q17" i="4"/>
  <c r="Q16" i="4"/>
  <c r="V16" i="4" s="1"/>
  <c r="Q15" i="4"/>
  <c r="N39" i="9"/>
  <c r="H39" i="9"/>
  <c r="L41" i="9"/>
  <c r="J41" i="9"/>
  <c r="A15" i="4"/>
  <c r="A17" i="4"/>
  <c r="A16" i="4"/>
  <c r="A14" i="4"/>
  <c r="A13" i="4"/>
  <c r="A12" i="4"/>
  <c r="A11" i="4"/>
  <c r="A10" i="4"/>
  <c r="A9" i="4"/>
  <c r="A8" i="4"/>
  <c r="A7" i="4"/>
  <c r="A6" i="4"/>
  <c r="H40" i="9"/>
  <c r="N40" i="9" s="1"/>
  <c r="H38" i="9"/>
  <c r="N38" i="9" s="1"/>
  <c r="U18" i="4"/>
  <c r="S18" i="4"/>
  <c r="Q18" i="4"/>
  <c r="O18" i="4"/>
  <c r="U14" i="4"/>
  <c r="S14" i="4"/>
  <c r="Q14" i="4"/>
  <c r="O14" i="4"/>
  <c r="L36" i="9"/>
  <c r="J36" i="9"/>
  <c r="H35" i="9"/>
  <c r="F35" i="9"/>
  <c r="F36" i="9" s="1"/>
  <c r="H34" i="9"/>
  <c r="N34" i="9" s="1"/>
  <c r="V18" i="4" l="1"/>
  <c r="N35" i="9"/>
  <c r="N36" i="9" s="1"/>
  <c r="V14" i="4"/>
  <c r="H36" i="9"/>
  <c r="D13" i="9"/>
  <c r="J32" i="9" l="1"/>
  <c r="L32" i="9"/>
  <c r="O13" i="4"/>
  <c r="Q13" i="4"/>
  <c r="S13" i="4"/>
  <c r="U13" i="4"/>
  <c r="V13" i="4" l="1"/>
  <c r="F2" i="1" l="1"/>
  <c r="E2" i="1"/>
  <c r="D2" i="1"/>
  <c r="C2" i="1"/>
  <c r="B2" i="1"/>
  <c r="J30" i="9" l="1"/>
  <c r="J24" i="9"/>
  <c r="J14" i="9"/>
  <c r="H31" i="9"/>
  <c r="H32" i="9" s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42" i="9" l="1"/>
  <c r="N5" i="9"/>
  <c r="N7" i="9"/>
  <c r="N9" i="9"/>
  <c r="N11" i="9"/>
  <c r="N6" i="9"/>
  <c r="N8" i="9"/>
  <c r="N10" i="9"/>
  <c r="N12" i="9"/>
  <c r="N31" i="9"/>
  <c r="N32" i="9" s="1"/>
  <c r="N20" i="9"/>
  <c r="N22" i="9"/>
  <c r="N26" i="9"/>
  <c r="N28" i="9"/>
  <c r="N21" i="9"/>
  <c r="N23" i="9"/>
  <c r="N27" i="9"/>
  <c r="N29" i="9"/>
  <c r="H24" i="9"/>
  <c r="H30" i="9"/>
  <c r="L30" i="9"/>
  <c r="F14" i="9"/>
  <c r="F30" i="9"/>
  <c r="L14" i="9"/>
  <c r="L24" i="9"/>
  <c r="F24" i="9"/>
  <c r="F42" i="9" l="1"/>
  <c r="L42" i="9"/>
  <c r="J20" i="4"/>
  <c r="J19" i="4"/>
  <c r="U12" i="4"/>
  <c r="S12" i="4"/>
  <c r="Q12" i="4"/>
  <c r="O12" i="4"/>
  <c r="A21" i="4"/>
  <c r="A5" i="4"/>
  <c r="A2" i="1" s="1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D24" i="9"/>
  <c r="D14" i="9"/>
  <c r="H13" i="9"/>
  <c r="N13" i="9" l="1"/>
  <c r="N14" i="9" s="1"/>
  <c r="N42" i="9" s="1"/>
  <c r="H14" i="9"/>
  <c r="H42" i="9" s="1"/>
  <c r="N30" i="9"/>
  <c r="N24" i="9"/>
  <c r="U21" i="4" l="1"/>
  <c r="S21" i="4"/>
  <c r="Q21" i="4"/>
  <c r="O21" i="4"/>
  <c r="U20" i="4"/>
  <c r="S20" i="4"/>
  <c r="Q20" i="4"/>
  <c r="O20" i="4"/>
  <c r="U19" i="4"/>
  <c r="S19" i="4"/>
  <c r="Q19" i="4"/>
  <c r="O19" i="4"/>
  <c r="V19" i="4" l="1"/>
  <c r="V20" i="4"/>
  <c r="V21" i="4"/>
  <c r="U22" i="4"/>
  <c r="Q22" i="4"/>
  <c r="S22" i="4" l="1"/>
  <c r="V22" i="4" l="1"/>
  <c r="F18" i="5" l="1"/>
  <c r="O2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<sst xmlns="http://schemas.openxmlformats.org/spreadsheetml/2006/main" count="297" uniqueCount="214">
  <si>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</si>
  <si>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</si>
  <si>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</si>
  <si>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</si>
  <si>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</si>
  <si>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</si>
  <si>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</si>
  <si>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</si>
  <si>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</si>
  <si>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</si>
  <si>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</si>
  <si>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</si>
  <si>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</si>
  <si>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</si>
  <si>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</si>
  <si>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</si>
  <si>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</si>
  <si>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</si>
  <si>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</si>
  <si>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</si>
  <si>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</si>
  <si>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</si>
  <si>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</si>
  <si>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</si>
  <si>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</si>
  <si>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</si>
  <si>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</si>
  <si>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</si>
  <si>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</si>
  <si>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</si>
  <si>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</si>
  <si>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</si>
  <si>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</si>
  <si>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</si>
  <si>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</si>
  <si>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</si>
  <si>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</si>
  <si>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</si>
  <si>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</si>
  <si>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</si>
  <si>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</si>
  <si>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</si>
  <si>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</si>
  <si>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</si>
  <si>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</si>
  <si>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</si>
  <si>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</si>
  <si>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</si>
  <si>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</si>
  <si>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</si>
  <si>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</si>
  <si>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</si>
  <si>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</si>
  <si>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</si>
  <si>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</si>
  <si>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</si>
  <si>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</si>
  <si>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</si>
  <si>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</si>
  <si>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</si>
  <si>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</si>
  <si>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</si>
  <si>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</si>
  <si>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</si>
  <si>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</si>
  <si>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</si>
  <si>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</si>
  <si>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</si>
  <si>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</si>
  <si>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</si>
  <si>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</si>
  <si>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</si>
  <si>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</si>
  <si>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</si>
  <si>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</si>
  <si>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</si>
  <si>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</si>
  <si>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</si>
  <si>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</si>
  <si>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</si>
  <si>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</si>
  <si>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</si>
  <si>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</si>
  <si>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</si>
  <si>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</si>
  <si>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</si>
  <si>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</si>
  <si>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</si>
  <si>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</si>
  <si>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</si>
  <si>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</si>
  <si>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</si>
  <si>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</si>
  <si>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</si>
  <si>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</si>
  <si>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</si>
  <si>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</si>
  <si>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</si>
  <si>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</si>
  <si>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</si>
  <si>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</si>
  <si>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</si>
  <si>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</si>
  <si>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</si>
  <si>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</si>
  <si>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</si>
  <si>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</si>
  <si>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</si>
  <si>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</si>
  <si>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</si>
  <si>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</si>
  <si>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</si>
  <si>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</si>
  <si>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</si>
  <si>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</si>
  <si>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</si>
  <si>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</si>
  <si>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</si>
  <si>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</si>
  <si>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</si>
  <si>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</si>
  <si>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</si>
  <si>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</si>
  <si>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</si>
  <si>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</si>
  <si>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</si>
  <si>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</si>
  <si>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</si>
  <si>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</si>
  <si>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</si>
  <si>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</si>
  <si>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</si>
  <si>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</si>
  <si>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</si>
  <si>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</si>
  <si>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</si>
  <si>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</si>
  <si>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</si>
  <si>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</si>
  <si>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</si>
  <si>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</si>
  <si>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</si>
  <si>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</si>
  <si>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</si>
  <si>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</si>
  <si>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</si>
  <si>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</si>
  <si>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</si>
  <si>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</si>
  <si>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</si>
  <si>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</si>
  <si>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</si>
  <si>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</si>
  <si>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</si>
  <si>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</si>
  <si>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</si>
  <si>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</si>
  <si>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</si>
  <si>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</si>
  <si>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</si>
  <si>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</si>
  <si>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</si>
  <si>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</si>
  <si>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</si>
  <si>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</si>
  <si>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</si>
  <si>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30%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</si>
  <si>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</si>
  <si>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</si>
  <si>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</si>
  <si>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</si>
  <si>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</si>
  <si>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</si>
  <si>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</si>
  <si>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</si>
  <si>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</si>
  <si>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</si>
  <si>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</si>
  <si>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</si>
  <si>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</si>
  <si>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</si>
  <si>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</si>
  <si>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</si>
  <si>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</si>
  <si>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</si>
  <si>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</si>
  <si>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</si>
  <si>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2025년  01월  21일</t>
    <phoneticPr fontId="11" type="noConversion"/>
  </si>
  <si>
    <t>5.씽크대 상판교체</t>
    <phoneticPr fontId="5" type="noConversion"/>
  </si>
  <si>
    <t>현장정리 및 보양</t>
    <phoneticPr fontId="5" type="noConversion"/>
  </si>
  <si>
    <t>보통인부</t>
    <phoneticPr fontId="5" type="noConversion"/>
  </si>
  <si>
    <t>인</t>
    <phoneticPr fontId="5" type="noConversion"/>
  </si>
  <si>
    <t>씽크대 상판교체</t>
    <phoneticPr fontId="5" type="noConversion"/>
  </si>
  <si>
    <t>전문업체 견적서 참조</t>
    <phoneticPr fontId="5" type="noConversion"/>
  </si>
  <si>
    <t>set</t>
    <phoneticPr fontId="5" type="noConversion"/>
  </si>
  <si>
    <t>L002</t>
  </si>
  <si>
    <t>보통인부</t>
    <phoneticPr fontId="5" type="noConversion"/>
  </si>
  <si>
    <t>인</t>
    <phoneticPr fontId="5" type="noConversion"/>
  </si>
  <si>
    <t>씽크대 상판교체</t>
    <phoneticPr fontId="5" type="noConversion"/>
  </si>
  <si>
    <t>전문업체 견적서 첨부</t>
    <phoneticPr fontId="5" type="noConversion"/>
  </si>
  <si>
    <t>set</t>
    <phoneticPr fontId="5" type="noConversion"/>
  </si>
  <si>
    <t>씽크대 상판교체, 현장정리 및 보양</t>
    <phoneticPr fontId="5" type="noConversion"/>
  </si>
  <si>
    <t>6.기타작업</t>
    <phoneticPr fontId="5" type="noConversion"/>
  </si>
  <si>
    <t>씽크대 상판교체-아일랜드 식탁 상판 제외</t>
    <phoneticPr fontId="5" type="noConversion"/>
  </si>
  <si>
    <t>방충망 교체 4개소</t>
    <phoneticPr fontId="5" type="noConversion"/>
  </si>
  <si>
    <t>뒤베란다, 주방, 가운데방, 현관입구방, 특별인부, 자재비 포함</t>
    <phoneticPr fontId="5" type="noConversion"/>
  </si>
  <si>
    <t>창문샤시측 벽면(곰팡이제거포함) 걸레받이 교체- 15곳(안방(2곳), 거실(4곳), 가운데방(6곳), 현관입구(3곳)),
주방 벽타일 상부 마감재 몰딩 보수 또는 교체, 씽크대 상판 실리콘 재코킹작업</t>
    <phoneticPr fontId="5" type="noConversion"/>
  </si>
  <si>
    <t>특별인부, 자재비 포함</t>
    <phoneticPr fontId="5" type="noConversion"/>
  </si>
  <si>
    <t>보통인부,</t>
    <phoneticPr fontId="5" type="noConversion"/>
  </si>
  <si>
    <t>L003</t>
  </si>
  <si>
    <t>특별인부</t>
    <phoneticPr fontId="5" type="noConversion"/>
  </si>
  <si>
    <r>
      <t>창문샤시측 벽면(곰팡이제거포함) 걸레받이 교체- 15곳(안방(2곳), 거실(4곳), 가운데방(6곳), 현관입구(3곳)),
주방 벽타일 상부 마감재 몰딩 보수 또는 교체, 씽크대 상판 실리콘 재코킹작업-</t>
    </r>
    <r>
      <rPr>
        <sz val="9"/>
        <color rgb="FFFF0000"/>
        <rFont val="LG스마트체 Regular"/>
        <family val="3"/>
        <charset val="129"/>
      </rPr>
      <t>자재비 포함</t>
    </r>
    <phoneticPr fontId="5" type="noConversion"/>
  </si>
  <si>
    <t xml:space="preserve"> 공사명 : 사택 104-303 수장공사(기타작업 포함)</t>
    <phoneticPr fontId="11" type="noConversion"/>
  </si>
  <si>
    <t>사택 104-303 수장공사(기타작업 포함)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</si>
</sst>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FF0000"/>
      <name val="LG스마트체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38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39" xfId="18" applyFont="1" applyFill="1" applyBorder="1" applyAlignment="1">
      <alignment horizontal="center" vertical="center" shrinkToFit="1"/>
    </xf>
    <xf numFmtId="177" fontId="29" fillId="0" borderId="39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2" xfId="15" quotePrefix="1" applyFont="1" applyBorder="1" applyAlignment="1">
      <alignment horizontal="center" vertical="center"/>
    </xf>
    <xf numFmtId="185" fontId="33" fillId="0" borderId="32" xfId="15" quotePrefix="1" applyNumberFormat="1" applyFont="1" applyBorder="1" applyAlignment="1">
      <alignment horizontal="center" vertical="center"/>
    </xf>
    <xf numFmtId="177" fontId="32" fillId="0" borderId="32" xfId="13" applyFont="1" applyBorder="1" applyAlignment="1">
      <alignment vertical="center"/>
    </xf>
    <xf numFmtId="187" fontId="32" fillId="0" borderId="32" xfId="13" applyNumberFormat="1" applyFont="1" applyBorder="1" applyAlignment="1">
      <alignment horizontal="center" vertical="center"/>
    </xf>
    <xf numFmtId="177" fontId="32" fillId="0" borderId="32" xfId="13" applyFont="1" applyBorder="1" applyAlignment="1">
      <alignment horizontal="center" vertical="center"/>
    </xf>
    <xf numFmtId="188" fontId="32" fillId="0" borderId="32" xfId="13" applyNumberFormat="1" applyFont="1" applyBorder="1" applyAlignment="1">
      <alignment horizontal="center" vertical="center"/>
    </xf>
    <xf numFmtId="185" fontId="32" fillId="5" borderId="32" xfId="13" applyNumberFormat="1" applyFont="1" applyFill="1" applyBorder="1" applyAlignment="1">
      <alignment horizontal="right" vertical="center" wrapText="1"/>
    </xf>
    <xf numFmtId="185" fontId="32" fillId="0" borderId="32" xfId="13" applyNumberFormat="1" applyFont="1" applyBorder="1" applyAlignment="1">
      <alignment horizontal="right" vertical="center" wrapText="1"/>
    </xf>
    <xf numFmtId="188" fontId="32" fillId="10" borderId="32" xfId="13" applyNumberFormat="1" applyFont="1" applyFill="1" applyBorder="1" applyAlignment="1">
      <alignment horizontal="center" vertical="center"/>
    </xf>
    <xf numFmtId="187" fontId="32" fillId="11" borderId="32" xfId="13" applyNumberFormat="1" applyFont="1" applyFill="1" applyBorder="1" applyAlignment="1">
      <alignment horizontal="center" vertical="center"/>
    </xf>
    <xf numFmtId="177" fontId="32" fillId="11" borderId="32" xfId="13" applyFont="1" applyFill="1" applyBorder="1" applyAlignment="1">
      <alignment horizontal="center" vertical="center"/>
    </xf>
    <xf numFmtId="188" fontId="33" fillId="11" borderId="32" xfId="13" applyNumberFormat="1" applyFont="1" applyFill="1" applyBorder="1" applyAlignment="1">
      <alignment horizontal="center" vertical="center"/>
    </xf>
    <xf numFmtId="185" fontId="33" fillId="11" borderId="32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2" xfId="13" applyNumberFormat="1" applyFont="1" applyBorder="1" applyAlignment="1">
      <alignment horizontal="center" vertical="center" wrapText="1"/>
    </xf>
    <xf numFmtId="185" fontId="33" fillId="11" borderId="32" xfId="13" applyNumberFormat="1" applyFont="1" applyFill="1" applyBorder="1" applyAlignment="1">
      <alignment horizontal="center" vertical="center" wrapText="1"/>
    </xf>
    <xf numFmtId="187" fontId="32" fillId="5" borderId="32" xfId="13" applyNumberFormat="1" applyFont="1" applyFill="1" applyBorder="1" applyAlignment="1">
      <alignment horizontal="center" vertical="center"/>
    </xf>
    <xf numFmtId="177" fontId="32" fillId="5" borderId="32" xfId="13" applyFont="1" applyFill="1" applyBorder="1" applyAlignment="1">
      <alignment horizontal="center" vertical="center"/>
    </xf>
    <xf numFmtId="185" fontId="32" fillId="5" borderId="32" xfId="13" applyNumberFormat="1" applyFont="1" applyFill="1" applyBorder="1" applyAlignment="1">
      <alignment horizontal="center" vertical="center" wrapText="1"/>
    </xf>
    <xf numFmtId="187" fontId="33" fillId="11" borderId="32" xfId="13" applyNumberFormat="1" applyFont="1" applyFill="1" applyBorder="1" applyAlignment="1">
      <alignment horizontal="center" vertical="center"/>
    </xf>
    <xf numFmtId="177" fontId="33" fillId="11" borderId="32" xfId="13" applyFont="1" applyFill="1" applyBorder="1" applyAlignment="1">
      <alignment horizontal="center" vertical="center"/>
    </xf>
    <xf numFmtId="188" fontId="32" fillId="5" borderId="32" xfId="13" applyNumberFormat="1" applyFont="1" applyFill="1" applyBorder="1" applyAlignment="1">
      <alignment horizontal="center" vertical="center"/>
    </xf>
    <xf numFmtId="185" fontId="19" fillId="5" borderId="32" xfId="13" applyNumberFormat="1" applyFont="1" applyFill="1" applyBorder="1" applyAlignment="1">
      <alignment horizontal="center" vertical="center" wrapText="1"/>
    </xf>
    <xf numFmtId="188" fontId="32" fillId="11" borderId="32" xfId="13" applyNumberFormat="1" applyFont="1" applyFill="1" applyBorder="1" applyAlignment="1">
      <alignment horizontal="center" vertical="center"/>
    </xf>
    <xf numFmtId="185" fontId="32" fillId="11" borderId="32" xfId="13" applyNumberFormat="1" applyFont="1" applyFill="1" applyBorder="1" applyAlignment="1">
      <alignment horizontal="right" vertical="center" wrapText="1"/>
    </xf>
    <xf numFmtId="187" fontId="33" fillId="12" borderId="32" xfId="13" applyNumberFormat="1" applyFont="1" applyFill="1" applyBorder="1" applyAlignment="1">
      <alignment horizontal="center" vertical="center"/>
    </xf>
    <xf numFmtId="177" fontId="33" fillId="12" borderId="32" xfId="13" applyFont="1" applyFill="1" applyBorder="1" applyAlignment="1">
      <alignment horizontal="center" vertical="center"/>
    </xf>
    <xf numFmtId="188" fontId="33" fillId="12" borderId="32" xfId="13" applyNumberFormat="1" applyFont="1" applyFill="1" applyBorder="1" applyAlignment="1">
      <alignment horizontal="center" vertical="center"/>
    </xf>
    <xf numFmtId="185" fontId="33" fillId="12" borderId="32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3" xfId="13" applyNumberFormat="1" applyFont="1" applyBorder="1" applyAlignme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11" borderId="32" xfId="13" applyNumberFormat="1" applyFont="1" applyFill="1" applyBorder="1" applyAlignment="1">
      <alignment horizontal="center" vertical="center"/>
    </xf>
    <xf numFmtId="0" fontId="24" fillId="11" borderId="37" xfId="13" applyNumberFormat="1" applyFont="1" applyFill="1" applyBorder="1" applyAlignment="1">
      <alignment horizontal="center" vertical="center"/>
    </xf>
    <xf numFmtId="0" fontId="24" fillId="12" borderId="32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0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7" fontId="33" fillId="5" borderId="32" xfId="13" applyNumberFormat="1" applyFont="1" applyFill="1" applyBorder="1" applyAlignment="1">
      <alignment vertical="center"/>
    </xf>
    <xf numFmtId="185" fontId="33" fillId="5" borderId="32" xfId="13" applyNumberFormat="1" applyFont="1" applyFill="1" applyBorder="1" applyAlignment="1">
      <alignment horizontal="right" vertical="center" wrapText="1"/>
    </xf>
    <xf numFmtId="187" fontId="32" fillId="5" borderId="32" xfId="13" applyNumberFormat="1" applyFont="1" applyFill="1" applyBorder="1" applyAlignment="1">
      <alignment vertical="center"/>
    </xf>
    <xf numFmtId="184" fontId="34" fillId="13" borderId="3" xfId="0" applyNumberFormat="1" applyFont="1" applyFill="1" applyBorder="1" applyAlignment="1">
      <alignment horizontal="right" vertical="center" wrapText="1"/>
    </xf>
    <xf numFmtId="187" fontId="32" fillId="5" borderId="32" xfId="13" applyNumberFormat="1" applyFont="1" applyFill="1" applyBorder="1" applyAlignment="1">
      <alignment horizontal="center" vertical="center" wrapText="1"/>
    </xf>
    <xf numFmtId="49" fontId="35" fillId="7" borderId="3" xfId="0" applyNumberFormat="1" applyFont="1" applyFill="1" applyBorder="1" applyAlignment="1">
      <alignment horizontal="center" vertical="center" wrapText="1"/>
    </xf>
    <xf numFmtId="184" fontId="34" fillId="14" borderId="3" xfId="0" applyNumberFormat="1" applyFont="1" applyFill="1" applyBorder="1" applyAlignment="1">
      <alignment horizontal="right" vertical="center" wrapText="1"/>
    </xf>
    <xf numFmtId="0" fontId="19" fillId="6" borderId="3" xfId="0" applyFont="1" applyFill="1" applyBorder="1" applyAlignment="1">
      <alignment horizontal="center" vertical="center"/>
    </xf>
    <xf numFmtId="187" fontId="32" fillId="5" borderId="3" xfId="13" applyNumberFormat="1" applyFont="1" applyFill="1" applyBorder="1" applyAlignment="1">
      <alignment horizontal="center" vertical="center" wrapText="1"/>
    </xf>
    <xf numFmtId="184" fontId="34" fillId="5" borderId="3" xfId="0" applyNumberFormat="1" applyFont="1" applyFill="1" applyBorder="1" applyAlignment="1">
      <alignment horizontal="right" vertical="center" wrapText="1"/>
    </xf>
    <xf numFmtId="186" fontId="19" fillId="0" borderId="3" xfId="0" applyNumberFormat="1" applyFont="1" applyBorder="1">
      <alignment vertical="center"/>
    </xf>
    <xf numFmtId="187" fontId="32" fillId="5" borderId="3" xfId="13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4" xfId="13" applyNumberFormat="1" applyFont="1" applyBorder="1" applyAlignment="1">
      <alignment vertical="center"/>
    </xf>
    <xf numFmtId="186" fontId="33" fillId="0" borderId="35" xfId="13" applyNumberFormat="1" applyFont="1" applyBorder="1" applyAlignment="1">
      <alignment vertical="center"/>
    </xf>
    <xf numFmtId="0" fontId="24" fillId="0" borderId="31" xfId="15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4" fillId="0" borderId="32" xfId="15" quotePrefix="1" applyFont="1" applyBorder="1" applyAlignment="1">
      <alignment horizontal="center" vertical="center"/>
    </xf>
    <xf numFmtId="0" fontId="33" fillId="0" borderId="32" xfId="15" quotePrefix="1" applyFont="1" applyBorder="1" applyAlignment="1">
      <alignment horizontal="center" vertical="center"/>
    </xf>
    <xf numFmtId="0" fontId="33" fillId="0" borderId="33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2" xfId="15" applyFont="1" applyBorder="1" applyAlignment="1">
      <alignment horizontal="center" vertical="center"/>
    </xf>
    <xf numFmtId="0" fontId="33" fillId="0" borderId="34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3" xfId="15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187" fontId="32" fillId="5" borderId="33" xfId="13" applyNumberFormat="1" applyFont="1" applyFill="1" applyBorder="1" applyAlignment="1">
      <alignment vertical="center" wrapText="1"/>
    </xf>
    <xf numFmtId="187" fontId="32" fillId="5" borderId="36" xfId="13" applyNumberFormat="1" applyFont="1" applyFill="1" applyBorder="1" applyAlignment="1">
      <alignment vertical="center" wrapText="1"/>
    </xf>
    <xf numFmtId="185" fontId="19" fillId="0" borderId="33" xfId="13" applyNumberFormat="1" applyFont="1" applyBorder="1" applyAlignment="1">
      <alignment horizontal="center" vertical="center" wrapText="1"/>
    </xf>
    <xf numFmtId="185" fontId="19" fillId="0" borderId="37" xfId="13" applyNumberFormat="1" applyFont="1" applyBorder="1" applyAlignment="1">
      <alignment horizontal="center" vertical="center" wrapText="1"/>
    </xf>
    <xf numFmtId="185" fontId="19" fillId="0" borderId="36" xfId="13" applyNumberFormat="1" applyFont="1" applyBorder="1" applyAlignment="1">
      <alignment horizontal="center" vertical="center" wrapText="1"/>
    </xf>
    <xf numFmtId="0" fontId="24" fillId="0" borderId="33" xfId="13" applyNumberFormat="1" applyFont="1" applyBorder="1" applyAlignment="1">
      <alignment vertical="center"/>
    </xf>
    <xf numFmtId="0" fontId="24" fillId="0" borderId="37" xfId="13" applyNumberFormat="1" applyFont="1" applyBorder="1" applyAlignme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0" borderId="32" xfId="13" applyNumberFormat="1" applyFont="1" applyBorder="1" applyAlignment="1">
      <alignment vertical="center"/>
    </xf>
    <xf numFmtId="0" fontId="24" fillId="10" borderId="33" xfId="13" applyNumberFormat="1" applyFont="1" applyFill="1" applyBorder="1" applyAlignment="1">
      <alignment vertical="center"/>
    </xf>
    <xf numFmtId="0" fontId="24" fillId="10" borderId="37" xfId="13" applyNumberFormat="1" applyFont="1" applyFill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6" fillId="0" borderId="31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38100</xdr:colOff>
      <xdr:row>28</xdr:row>
      <xdr:rowOff>38100</xdr:rowOff>
    </xdr:from>
    <xdr:to>
      <xdr:col>8</xdr:col>
      <xdr:colOff>66675</xdr:colOff>
      <xdr:row>69</xdr:row>
      <xdr:rowOff>200026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E03A232-468A-4AD6-A84D-8BEC29F02FA5}"/>
            </a:ext>
          </a:extLst>
        </xdr:cNvPr>
        <xdr:cNvSpPr/>
      </xdr:nvSpPr>
      <xdr:spPr>
        <a:xfrm>
          <a:off x="38100" y="5905500"/>
          <a:ext cx="5981700" cy="875347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상판교체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114300</xdr:colOff>
      <xdr:row>30</xdr:row>
      <xdr:rowOff>57150</xdr:rowOff>
    </xdr:from>
    <xdr:to>
      <xdr:col>7</xdr:col>
      <xdr:colOff>620217</xdr:colOff>
      <xdr:row>68</xdr:row>
      <xdr:rowOff>200025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DD57331-4B96-499B-8294-C8B85A08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343650"/>
          <a:ext cx="5773242" cy="810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20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79" t="s">
        <v>212</v>
      </c>
      <c r="B7" s="180"/>
      <c r="C7" s="181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79" t="s">
        <v>187</v>
      </c>
      <c r="B9" s="180"/>
      <c r="C9" s="181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77"/>
      <c r="B11" s="178"/>
      <c r="C11" s="178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육백삼십칠만오천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'내역서(표준단가)'!O22</f>
        <v>1729068.8199999998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'내역서(표준단가)'!Q22</f>
        <v>3771405.7850000001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'내역서(표준단가)'!S22+'내역서(표준단가)'!U22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5500474.6050000004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169713.26032500001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133696.33507825001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17313.675392633377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38091.1984285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134262.045946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161163.90592650004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221282.3103048442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875522.73140172765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6375997.336401728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6375000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6"/>
  <sheetViews>
    <sheetView showGridLines="0" zoomScale="90" zoomScaleNormal="90" workbookViewId="0">
      <selection activeCell="J11" sqref="J11"/>
    </sheetView>
  </sheetViews>
  <sheetFormatPr defaultColWidth="9" defaultRowHeight="12.75"/>
  <cols>
    <col min="1" max="1" width="18.75" style="112" customWidth="1"/>
    <col min="2" max="5" width="18.75" style="112" hidden="1" customWidth="1"/>
    <col min="6" max="9" width="18.75" style="82" hidden="1" customWidth="1"/>
    <col min="10" max="10" width="42.875" style="82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4.75" style="82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>
      <c r="A1" s="182"/>
      <c r="B1" s="182"/>
      <c r="C1" s="182"/>
      <c r="D1" s="182"/>
      <c r="E1" s="182"/>
      <c r="F1" s="182"/>
      <c r="G1" s="182"/>
      <c r="H1" s="182"/>
      <c r="I1" s="182"/>
      <c r="N1" s="83"/>
      <c r="O1" s="81" t="s">
        <v>167</v>
      </c>
      <c r="Q1" s="81" t="s">
        <v>167</v>
      </c>
      <c r="S1" s="81" t="s">
        <v>167</v>
      </c>
      <c r="U1" s="81" t="s">
        <v>167</v>
      </c>
    </row>
    <row r="2" spans="1:24" ht="19.899999999999999" customHeight="1" thickBot="1">
      <c r="A2" s="182"/>
      <c r="B2" s="182"/>
      <c r="C2" s="182"/>
      <c r="D2" s="182"/>
      <c r="E2" s="182"/>
      <c r="F2" s="182"/>
      <c r="G2" s="182"/>
      <c r="H2" s="182"/>
      <c r="I2" s="182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>
      <c r="A3" s="86"/>
      <c r="B3" s="87"/>
      <c r="C3" s="87"/>
      <c r="D3" s="87"/>
      <c r="E3" s="87"/>
      <c r="F3" s="87" t="s">
        <v>168</v>
      </c>
      <c r="G3" s="87"/>
      <c r="H3" s="87"/>
      <c r="I3" s="87"/>
      <c r="J3" s="191" t="s">
        <v>169</v>
      </c>
      <c r="K3" s="191"/>
      <c r="L3" s="191" t="s">
        <v>52</v>
      </c>
      <c r="M3" s="191" t="s">
        <v>5</v>
      </c>
      <c r="N3" s="187" t="s">
        <v>170</v>
      </c>
      <c r="O3" s="187"/>
      <c r="P3" s="187" t="s">
        <v>171</v>
      </c>
      <c r="Q3" s="187"/>
      <c r="R3" s="188" t="s">
        <v>172</v>
      </c>
      <c r="S3" s="188"/>
      <c r="T3" s="188" t="s">
        <v>173</v>
      </c>
      <c r="U3" s="188"/>
      <c r="V3" s="189" t="s">
        <v>174</v>
      </c>
      <c r="W3" s="185" t="s">
        <v>175</v>
      </c>
      <c r="X3" s="183" t="s">
        <v>46</v>
      </c>
    </row>
    <row r="4" spans="1:24" ht="19.899999999999999" customHeight="1">
      <c r="A4" s="88" t="s">
        <v>176</v>
      </c>
      <c r="B4" s="162"/>
      <c r="C4" s="162"/>
      <c r="D4" s="162"/>
      <c r="E4" s="162"/>
      <c r="F4" s="89" t="s">
        <v>177</v>
      </c>
      <c r="G4" s="89" t="s">
        <v>178</v>
      </c>
      <c r="H4" s="89" t="s">
        <v>179</v>
      </c>
      <c r="I4" s="89" t="s">
        <v>180</v>
      </c>
      <c r="J4" s="163" t="s">
        <v>181</v>
      </c>
      <c r="K4" s="163" t="s">
        <v>182</v>
      </c>
      <c r="L4" s="192"/>
      <c r="M4" s="192"/>
      <c r="N4" s="90" t="s">
        <v>183</v>
      </c>
      <c r="O4" s="91" t="s">
        <v>184</v>
      </c>
      <c r="P4" s="90" t="s">
        <v>185</v>
      </c>
      <c r="Q4" s="91" t="s">
        <v>184</v>
      </c>
      <c r="R4" s="91" t="s">
        <v>186</v>
      </c>
      <c r="S4" s="91" t="s">
        <v>184</v>
      </c>
      <c r="T4" s="91" t="s">
        <v>186</v>
      </c>
      <c r="U4" s="91" t="s">
        <v>184</v>
      </c>
      <c r="V4" s="190"/>
      <c r="W4" s="186"/>
      <c r="X4" s="184"/>
    </row>
    <row r="5" spans="1:24" s="101" customFormat="1" ht="19.899999999999999" customHeight="1">
      <c r="A5" s="92" t="str">
        <f t="shared" ref="A5:A21" si="0">F5&amp;G5&amp;H5&amp;I5</f>
        <v>D02641</v>
      </c>
      <c r="B5" s="171"/>
      <c r="C5" s="171"/>
      <c r="D5" s="171"/>
      <c r="E5" s="171"/>
      <c r="F5" s="94" t="s">
        <v>127</v>
      </c>
      <c r="G5" s="93"/>
      <c r="H5" s="93"/>
      <c r="I5" s="94"/>
      <c r="J5" s="95" t="s">
        <v>128</v>
      </c>
      <c r="K5" s="95" t="s">
        <v>129</v>
      </c>
      <c r="L5" s="95" t="s">
        <v>130</v>
      </c>
      <c r="M5" s="145">
        <v>186</v>
      </c>
      <c r="N5" s="96"/>
      <c r="O5" s="97">
        <f t="shared" ref="O5:O14" si="1">SUM(N5:N5)*M5*$O$2</f>
        <v>0</v>
      </c>
      <c r="P5" s="146">
        <v>6691</v>
      </c>
      <c r="Q5" s="97">
        <f t="shared" ref="Q5:Q13" si="2">(P5*M5)*$Q$2</f>
        <v>1039179.21</v>
      </c>
      <c r="R5" s="98"/>
      <c r="S5" s="97">
        <f t="shared" ref="S5:S14" si="3">R5*M5*$S$2</f>
        <v>0</v>
      </c>
      <c r="T5" s="98"/>
      <c r="U5" s="97">
        <f t="shared" ref="U5:U14" si="4">T5*M5*$U$2</f>
        <v>0</v>
      </c>
      <c r="V5" s="98">
        <f t="shared" ref="V5:V17" si="5">SUM(O5+Q5)+S5+U5</f>
        <v>1039179.21</v>
      </c>
      <c r="W5" s="99"/>
      <c r="X5" s="100"/>
    </row>
    <row r="6" spans="1:24" s="101" customFormat="1" ht="19.899999999999999" customHeight="1">
      <c r="A6" s="92" t="str">
        <f t="shared" si="0"/>
        <v>D02642</v>
      </c>
      <c r="B6" s="171"/>
      <c r="C6" s="171"/>
      <c r="D6" s="171"/>
      <c r="E6" s="171"/>
      <c r="F6" s="94" t="s">
        <v>131</v>
      </c>
      <c r="G6" s="93"/>
      <c r="H6" s="93"/>
      <c r="I6" s="94"/>
      <c r="J6" s="95" t="s">
        <v>132</v>
      </c>
      <c r="K6" s="95" t="s">
        <v>129</v>
      </c>
      <c r="L6" s="95" t="s">
        <v>130</v>
      </c>
      <c r="M6" s="145">
        <v>66</v>
      </c>
      <c r="N6" s="96"/>
      <c r="O6" s="97">
        <f t="shared" si="1"/>
        <v>0</v>
      </c>
      <c r="P6" s="146">
        <v>8698</v>
      </c>
      <c r="Q6" s="97">
        <f t="shared" si="2"/>
        <v>479346.77999999997</v>
      </c>
      <c r="R6" s="98"/>
      <c r="S6" s="97">
        <f t="shared" si="3"/>
        <v>0</v>
      </c>
      <c r="T6" s="98"/>
      <c r="U6" s="97">
        <f t="shared" si="4"/>
        <v>0</v>
      </c>
      <c r="V6" s="98">
        <f t="shared" si="5"/>
        <v>479346.77999999997</v>
      </c>
      <c r="W6" s="99"/>
      <c r="X6" s="100"/>
    </row>
    <row r="7" spans="1:24" s="101" customFormat="1" ht="19.899999999999999" customHeight="1">
      <c r="A7" s="92" t="str">
        <f t="shared" si="0"/>
        <v>D02873</v>
      </c>
      <c r="B7" s="171"/>
      <c r="C7" s="171"/>
      <c r="D7" s="171"/>
      <c r="E7" s="171"/>
      <c r="F7" s="94" t="s">
        <v>133</v>
      </c>
      <c r="G7" s="93"/>
      <c r="H7" s="93"/>
      <c r="I7" s="94"/>
      <c r="J7" s="95" t="s">
        <v>134</v>
      </c>
      <c r="K7" s="95" t="s">
        <v>135</v>
      </c>
      <c r="L7" s="95" t="s">
        <v>130</v>
      </c>
      <c r="M7" s="145">
        <v>76</v>
      </c>
      <c r="N7" s="96"/>
      <c r="O7" s="97">
        <f t="shared" si="1"/>
        <v>0</v>
      </c>
      <c r="P7" s="146">
        <v>1618</v>
      </c>
      <c r="Q7" s="97">
        <f t="shared" si="2"/>
        <v>102678.28</v>
      </c>
      <c r="R7" s="98"/>
      <c r="S7" s="97">
        <f t="shared" si="3"/>
        <v>0</v>
      </c>
      <c r="T7" s="98"/>
      <c r="U7" s="97">
        <f t="shared" si="4"/>
        <v>0</v>
      </c>
      <c r="V7" s="98">
        <f t="shared" si="5"/>
        <v>102678.28</v>
      </c>
      <c r="W7" s="99"/>
      <c r="X7" s="100"/>
    </row>
    <row r="8" spans="1:24" s="101" customFormat="1" ht="19.899999999999999" customHeight="1">
      <c r="A8" s="92" t="str">
        <f t="shared" si="0"/>
        <v>D02859</v>
      </c>
      <c r="B8" s="171"/>
      <c r="C8" s="171"/>
      <c r="D8" s="171"/>
      <c r="E8" s="171"/>
      <c r="F8" s="94" t="s">
        <v>136</v>
      </c>
      <c r="G8" s="93"/>
      <c r="H8" s="93"/>
      <c r="I8" s="94"/>
      <c r="J8" s="95" t="s">
        <v>137</v>
      </c>
      <c r="K8" s="95" t="s">
        <v>138</v>
      </c>
      <c r="L8" s="95" t="s">
        <v>130</v>
      </c>
      <c r="M8" s="145">
        <v>50</v>
      </c>
      <c r="N8" s="96"/>
      <c r="O8" s="97">
        <f t="shared" si="1"/>
        <v>0</v>
      </c>
      <c r="P8" s="146">
        <v>4855</v>
      </c>
      <c r="Q8" s="97">
        <f t="shared" si="2"/>
        <v>202696.25</v>
      </c>
      <c r="R8" s="98"/>
      <c r="S8" s="97">
        <f t="shared" si="3"/>
        <v>0</v>
      </c>
      <c r="T8" s="98"/>
      <c r="U8" s="97">
        <f t="shared" si="4"/>
        <v>0</v>
      </c>
      <c r="V8" s="98">
        <f t="shared" si="5"/>
        <v>202696.25</v>
      </c>
      <c r="W8" s="99"/>
      <c r="X8" s="100"/>
    </row>
    <row r="9" spans="1:24" s="101" customFormat="1" ht="19.899999999999999" customHeight="1">
      <c r="A9" s="92" t="str">
        <f t="shared" si="0"/>
        <v>D02558</v>
      </c>
      <c r="B9" s="171"/>
      <c r="C9" s="171"/>
      <c r="D9" s="171"/>
      <c r="E9" s="171"/>
      <c r="F9" s="94" t="s">
        <v>139</v>
      </c>
      <c r="G9" s="93"/>
      <c r="H9" s="93"/>
      <c r="I9" s="94"/>
      <c r="J9" s="95" t="s">
        <v>140</v>
      </c>
      <c r="K9" s="95" t="s">
        <v>141</v>
      </c>
      <c r="L9" s="95" t="s">
        <v>130</v>
      </c>
      <c r="M9" s="145">
        <v>50</v>
      </c>
      <c r="N9" s="102"/>
      <c r="O9" s="97">
        <f t="shared" si="1"/>
        <v>0</v>
      </c>
      <c r="P9" s="146">
        <v>4453</v>
      </c>
      <c r="Q9" s="97">
        <f t="shared" si="2"/>
        <v>185912.75</v>
      </c>
      <c r="R9" s="98"/>
      <c r="S9" s="97">
        <f t="shared" si="3"/>
        <v>0</v>
      </c>
      <c r="T9" s="98"/>
      <c r="U9" s="97">
        <f t="shared" si="4"/>
        <v>0</v>
      </c>
      <c r="V9" s="98">
        <f t="shared" si="5"/>
        <v>185912.75</v>
      </c>
      <c r="W9" s="99"/>
      <c r="X9" s="100"/>
    </row>
    <row r="10" spans="1:24" s="101" customFormat="1" ht="19.899999999999999" customHeight="1">
      <c r="A10" s="92" t="str">
        <f t="shared" si="0"/>
        <v>D02825</v>
      </c>
      <c r="B10" s="171"/>
      <c r="C10" s="171"/>
      <c r="D10" s="171"/>
      <c r="E10" s="171"/>
      <c r="F10" s="94" t="s">
        <v>142</v>
      </c>
      <c r="G10" s="93"/>
      <c r="H10" s="93"/>
      <c r="I10" s="94"/>
      <c r="J10" s="95" t="s">
        <v>143</v>
      </c>
      <c r="K10" s="95" t="s">
        <v>144</v>
      </c>
      <c r="L10" s="95" t="s">
        <v>130</v>
      </c>
      <c r="M10" s="145">
        <v>28</v>
      </c>
      <c r="N10" s="146">
        <v>528</v>
      </c>
      <c r="O10" s="97">
        <f t="shared" si="1"/>
        <v>12344.64</v>
      </c>
      <c r="P10" s="146">
        <v>10367</v>
      </c>
      <c r="Q10" s="97">
        <f t="shared" si="2"/>
        <v>242380.46</v>
      </c>
      <c r="R10" s="98"/>
      <c r="S10" s="97">
        <f t="shared" si="3"/>
        <v>0</v>
      </c>
      <c r="T10" s="98"/>
      <c r="U10" s="97">
        <f t="shared" si="4"/>
        <v>0</v>
      </c>
      <c r="V10" s="98">
        <f t="shared" si="5"/>
        <v>254725.09999999998</v>
      </c>
      <c r="W10" s="99"/>
      <c r="X10" s="100"/>
    </row>
    <row r="11" spans="1:24" s="101" customFormat="1" ht="19.899999999999999" customHeight="1">
      <c r="A11" s="92" t="str">
        <f t="shared" si="0"/>
        <v>D02832</v>
      </c>
      <c r="B11" s="171"/>
      <c r="C11" s="171"/>
      <c r="D11" s="171"/>
      <c r="E11" s="171"/>
      <c r="F11" s="94" t="s">
        <v>145</v>
      </c>
      <c r="G11" s="93"/>
      <c r="H11" s="93"/>
      <c r="I11" s="94"/>
      <c r="J11" s="95" t="s">
        <v>146</v>
      </c>
      <c r="K11" s="95" t="s">
        <v>147</v>
      </c>
      <c r="L11" s="95" t="s">
        <v>130</v>
      </c>
      <c r="M11" s="145">
        <v>28</v>
      </c>
      <c r="N11" s="146">
        <v>461</v>
      </c>
      <c r="O11" s="97">
        <f t="shared" si="1"/>
        <v>10778.18</v>
      </c>
      <c r="P11" s="146">
        <v>6146</v>
      </c>
      <c r="Q11" s="97">
        <f t="shared" si="2"/>
        <v>143693.47999999998</v>
      </c>
      <c r="R11" s="98"/>
      <c r="S11" s="97">
        <f t="shared" si="3"/>
        <v>0</v>
      </c>
      <c r="T11" s="98"/>
      <c r="U11" s="97">
        <f t="shared" si="4"/>
        <v>0</v>
      </c>
      <c r="V11" s="98">
        <f t="shared" si="5"/>
        <v>154471.65999999997</v>
      </c>
      <c r="W11" s="99"/>
      <c r="X11" s="100"/>
    </row>
    <row r="12" spans="1:24" s="101" customFormat="1" ht="19.899999999999999" customHeight="1">
      <c r="A12" s="92" t="str">
        <f t="shared" si="0"/>
        <v>M012003400500101</v>
      </c>
      <c r="B12" s="171"/>
      <c r="C12" s="171"/>
      <c r="D12" s="171"/>
      <c r="E12" s="171"/>
      <c r="F12" s="94"/>
      <c r="G12" s="93"/>
      <c r="H12" s="147" t="s">
        <v>154</v>
      </c>
      <c r="I12" s="94"/>
      <c r="J12" s="104" t="s">
        <v>155</v>
      </c>
      <c r="K12" s="104" t="s">
        <v>156</v>
      </c>
      <c r="L12" s="95" t="s">
        <v>130</v>
      </c>
      <c r="M12" s="145">
        <v>50</v>
      </c>
      <c r="N12" s="148">
        <v>15000</v>
      </c>
      <c r="O12" s="97">
        <f t="shared" ref="O12" si="6">SUM(N12:N12)*M12*$O$2</f>
        <v>626250</v>
      </c>
      <c r="P12" s="103"/>
      <c r="Q12" s="97">
        <f t="shared" ref="Q12" si="7">(P12*M12)*$Q$2</f>
        <v>0</v>
      </c>
      <c r="R12" s="98"/>
      <c r="S12" s="97">
        <f t="shared" ref="S12" si="8">R12*M12*$S$2</f>
        <v>0</v>
      </c>
      <c r="T12" s="98"/>
      <c r="U12" s="97">
        <f t="shared" ref="U12" si="9">T12*M12*$U$2</f>
        <v>0</v>
      </c>
      <c r="V12" s="98">
        <f t="shared" ref="V12" si="10">SUM(O12+Q12)+S12+U12</f>
        <v>626250</v>
      </c>
      <c r="W12" s="99"/>
      <c r="X12" s="100"/>
    </row>
    <row r="13" spans="1:24" s="101" customFormat="1" ht="19.899999999999999" customHeight="1">
      <c r="A13" s="92" t="str">
        <f t="shared" si="0"/>
        <v>M010602702400101</v>
      </c>
      <c r="B13" s="171"/>
      <c r="C13" s="171"/>
      <c r="D13" s="171"/>
      <c r="E13" s="171"/>
      <c r="F13" s="94"/>
      <c r="G13" s="93"/>
      <c r="H13" s="147" t="s">
        <v>148</v>
      </c>
      <c r="I13" s="94"/>
      <c r="J13" s="104" t="s">
        <v>149</v>
      </c>
      <c r="K13" s="104" t="s">
        <v>150</v>
      </c>
      <c r="L13" s="104" t="s">
        <v>151</v>
      </c>
      <c r="M13" s="145">
        <v>6</v>
      </c>
      <c r="N13" s="148">
        <v>15000</v>
      </c>
      <c r="O13" s="97">
        <f t="shared" si="1"/>
        <v>75150</v>
      </c>
      <c r="P13" s="103"/>
      <c r="Q13" s="97">
        <f t="shared" si="2"/>
        <v>0</v>
      </c>
      <c r="R13" s="98"/>
      <c r="S13" s="97">
        <f t="shared" si="3"/>
        <v>0</v>
      </c>
      <c r="T13" s="98"/>
      <c r="U13" s="97">
        <f t="shared" si="4"/>
        <v>0</v>
      </c>
      <c r="V13" s="98">
        <f t="shared" si="5"/>
        <v>75150</v>
      </c>
      <c r="W13" s="99"/>
      <c r="X13" s="100"/>
    </row>
    <row r="14" spans="1:24" s="101" customFormat="1" ht="19.899999999999999" customHeight="1">
      <c r="A14" s="92" t="str">
        <f t="shared" si="0"/>
        <v>L002</v>
      </c>
      <c r="B14" s="171"/>
      <c r="C14" s="171"/>
      <c r="D14" s="171"/>
      <c r="E14" s="171"/>
      <c r="F14" s="94"/>
      <c r="G14" s="93"/>
      <c r="H14" s="93"/>
      <c r="I14" s="169" t="s">
        <v>195</v>
      </c>
      <c r="J14" s="95" t="s">
        <v>201</v>
      </c>
      <c r="K14" s="95" t="s">
        <v>196</v>
      </c>
      <c r="L14" s="95" t="s">
        <v>197</v>
      </c>
      <c r="M14" s="145">
        <v>1</v>
      </c>
      <c r="N14" s="96"/>
      <c r="O14" s="97">
        <f t="shared" si="1"/>
        <v>0</v>
      </c>
      <c r="P14" s="173">
        <v>161858</v>
      </c>
      <c r="Q14" s="97">
        <f>M14*P14</f>
        <v>161858</v>
      </c>
      <c r="R14" s="98"/>
      <c r="S14" s="97">
        <f t="shared" si="3"/>
        <v>0</v>
      </c>
      <c r="T14" s="98"/>
      <c r="U14" s="97">
        <f t="shared" si="4"/>
        <v>0</v>
      </c>
      <c r="V14" s="98">
        <f t="shared" si="5"/>
        <v>161858</v>
      </c>
      <c r="W14" s="99"/>
      <c r="X14" s="100"/>
    </row>
    <row r="15" spans="1:24" s="101" customFormat="1" ht="47.25" customHeight="1">
      <c r="A15" s="92" t="str">
        <f t="shared" si="0"/>
        <v>L003</v>
      </c>
      <c r="B15" s="171"/>
      <c r="C15" s="171"/>
      <c r="D15" s="171"/>
      <c r="E15" s="171"/>
      <c r="F15" s="94"/>
      <c r="G15" s="93"/>
      <c r="H15" s="93"/>
      <c r="I15" s="169" t="s">
        <v>209</v>
      </c>
      <c r="J15" s="175" t="s">
        <v>204</v>
      </c>
      <c r="K15" s="172" t="s">
        <v>205</v>
      </c>
      <c r="L15" s="95" t="s">
        <v>197</v>
      </c>
      <c r="M15" s="145">
        <v>1</v>
      </c>
      <c r="N15" s="148"/>
      <c r="O15" s="97"/>
      <c r="P15" s="170">
        <v>208527</v>
      </c>
      <c r="Q15" s="97">
        <f t="shared" ref="Q15:Q17" si="11">M15*P15</f>
        <v>208527</v>
      </c>
      <c r="R15" s="98"/>
      <c r="S15" s="97"/>
      <c r="T15" s="98"/>
      <c r="U15" s="97"/>
      <c r="V15" s="98">
        <f t="shared" si="5"/>
        <v>208527</v>
      </c>
      <c r="W15" s="99"/>
      <c r="X15" s="100"/>
    </row>
    <row r="16" spans="1:24" s="101" customFormat="1" ht="48">
      <c r="A16" s="92" t="str">
        <f t="shared" si="0"/>
        <v>L003</v>
      </c>
      <c r="B16" s="171"/>
      <c r="C16" s="171"/>
      <c r="D16" s="171"/>
      <c r="E16" s="171"/>
      <c r="F16" s="94"/>
      <c r="G16" s="93"/>
      <c r="H16" s="147"/>
      <c r="I16" s="169" t="s">
        <v>209</v>
      </c>
      <c r="J16" s="172" t="s">
        <v>211</v>
      </c>
      <c r="K16" s="95" t="s">
        <v>210</v>
      </c>
      <c r="L16" s="95" t="s">
        <v>197</v>
      </c>
      <c r="M16" s="145">
        <v>2</v>
      </c>
      <c r="N16" s="148"/>
      <c r="O16" s="97"/>
      <c r="P16" s="170">
        <v>208527</v>
      </c>
      <c r="Q16" s="97">
        <f t="shared" si="11"/>
        <v>417054</v>
      </c>
      <c r="R16" s="98"/>
      <c r="S16" s="97"/>
      <c r="T16" s="98"/>
      <c r="U16" s="97"/>
      <c r="V16" s="98">
        <f t="shared" si="5"/>
        <v>417054</v>
      </c>
      <c r="W16" s="99"/>
      <c r="X16" s="100"/>
    </row>
    <row r="17" spans="1:24" s="101" customFormat="1" ht="48">
      <c r="A17" s="92" t="str">
        <f t="shared" si="0"/>
        <v>L002</v>
      </c>
      <c r="B17" s="171"/>
      <c r="C17" s="171"/>
      <c r="D17" s="171"/>
      <c r="E17" s="171"/>
      <c r="F17" s="94"/>
      <c r="G17" s="93"/>
      <c r="H17" s="147"/>
      <c r="I17" s="169" t="s">
        <v>195</v>
      </c>
      <c r="J17" s="172" t="s">
        <v>206</v>
      </c>
      <c r="K17" s="95" t="s">
        <v>196</v>
      </c>
      <c r="L17" s="95" t="s">
        <v>197</v>
      </c>
      <c r="M17" s="145">
        <v>1</v>
      </c>
      <c r="N17" s="148"/>
      <c r="O17" s="97"/>
      <c r="P17" s="167">
        <v>161858</v>
      </c>
      <c r="Q17" s="97">
        <f t="shared" si="11"/>
        <v>161858</v>
      </c>
      <c r="R17" s="98"/>
      <c r="S17" s="97"/>
      <c r="T17" s="98"/>
      <c r="U17" s="97"/>
      <c r="V17" s="98">
        <f t="shared" si="5"/>
        <v>161858</v>
      </c>
      <c r="W17" s="99"/>
      <c r="X17" s="100"/>
    </row>
    <row r="18" spans="1:24" s="101" customFormat="1" ht="19.899999999999999" customHeight="1">
      <c r="A18" s="92"/>
      <c r="B18" s="171"/>
      <c r="C18" s="171"/>
      <c r="D18" s="171"/>
      <c r="E18" s="171"/>
      <c r="F18" s="94"/>
      <c r="G18" s="93"/>
      <c r="H18" s="147"/>
      <c r="I18" s="94"/>
      <c r="J18" s="95" t="s">
        <v>203</v>
      </c>
      <c r="K18" s="95" t="s">
        <v>199</v>
      </c>
      <c r="L18" s="95" t="s">
        <v>200</v>
      </c>
      <c r="M18" s="145">
        <v>1</v>
      </c>
      <c r="N18" s="174">
        <v>731000</v>
      </c>
      <c r="O18" s="97">
        <f>M18*N18</f>
        <v>731000</v>
      </c>
      <c r="P18" s="103"/>
      <c r="Q18" s="97">
        <f t="shared" ref="Q18" si="12">(P18*M18)*$Q$2</f>
        <v>0</v>
      </c>
      <c r="R18" s="98"/>
      <c r="S18" s="97">
        <f t="shared" ref="S18" si="13">R18*M18*$S$2</f>
        <v>0</v>
      </c>
      <c r="T18" s="98"/>
      <c r="U18" s="97">
        <f t="shared" ref="U18" si="14">T18*M18*$U$2</f>
        <v>0</v>
      </c>
      <c r="V18" s="98">
        <f t="shared" ref="V18" si="15">SUM(O18+Q18)+S18+U18</f>
        <v>731000</v>
      </c>
      <c r="W18" s="99"/>
      <c r="X18" s="100"/>
    </row>
    <row r="19" spans="1:24" s="101" customFormat="1" ht="19.899999999999999" customHeight="1">
      <c r="A19" s="92"/>
      <c r="B19" s="171"/>
      <c r="C19" s="171"/>
      <c r="D19" s="171"/>
      <c r="E19" s="171"/>
      <c r="F19" s="94"/>
      <c r="G19" s="93"/>
      <c r="H19" s="93"/>
      <c r="I19" s="94"/>
      <c r="J19" s="95" t="str">
        <f>"시중가_"&amp;K19&amp;")"</f>
        <v>시중가_합지벽지(LG하우시스 휘앙세))</v>
      </c>
      <c r="K19" s="95" t="s">
        <v>152</v>
      </c>
      <c r="L19" s="95" t="s">
        <v>130</v>
      </c>
      <c r="M19" s="145">
        <v>252</v>
      </c>
      <c r="N19" s="96">
        <v>1300</v>
      </c>
      <c r="O19" s="97">
        <f t="shared" ref="O19:O21" si="16">SUM(N19:N19)*M19*$O$2</f>
        <v>273546</v>
      </c>
      <c r="P19" s="103"/>
      <c r="Q19" s="97">
        <f t="shared" ref="Q19:Q21" si="17">(P19*M19)*$Q$2</f>
        <v>0</v>
      </c>
      <c r="R19" s="98"/>
      <c r="S19" s="97">
        <f t="shared" ref="S19:S21" si="18">R19*M19*$S$2</f>
        <v>0</v>
      </c>
      <c r="T19" s="98"/>
      <c r="U19" s="97">
        <f t="shared" ref="U19:U21" si="19">T19*M19*$U$2</f>
        <v>0</v>
      </c>
      <c r="V19" s="98">
        <f t="shared" ref="V19:V21" si="20">SUM(O19+Q19)+S19+U19</f>
        <v>273546</v>
      </c>
      <c r="W19" s="99"/>
      <c r="X19" s="100"/>
    </row>
    <row r="20" spans="1:24" s="101" customFormat="1" ht="19.899999999999999" customHeight="1">
      <c r="A20" s="92"/>
      <c r="B20" s="171"/>
      <c r="C20" s="171"/>
      <c r="D20" s="171"/>
      <c r="E20" s="171"/>
      <c r="F20" s="94"/>
      <c r="G20" s="93"/>
      <c r="H20" s="93"/>
      <c r="I20" s="94"/>
      <c r="J20" s="95" t="str">
        <f>"시중가_"&amp;K20&amp;""</f>
        <v>시중가_청소, 실내건축 일위대가 적용</v>
      </c>
      <c r="K20" s="95" t="s">
        <v>153</v>
      </c>
      <c r="L20" s="95" t="s">
        <v>130</v>
      </c>
      <c r="M20" s="145">
        <v>65</v>
      </c>
      <c r="N20" s="96"/>
      <c r="O20" s="97">
        <f t="shared" si="16"/>
        <v>0</v>
      </c>
      <c r="P20" s="103">
        <v>7853</v>
      </c>
      <c r="Q20" s="97">
        <f t="shared" si="17"/>
        <v>426221.57499999995</v>
      </c>
      <c r="R20" s="98"/>
      <c r="S20" s="97">
        <f t="shared" si="18"/>
        <v>0</v>
      </c>
      <c r="T20" s="98"/>
      <c r="U20" s="97">
        <f t="shared" si="19"/>
        <v>0</v>
      </c>
      <c r="V20" s="98">
        <f t="shared" si="20"/>
        <v>426221.57499999995</v>
      </c>
      <c r="W20" s="99"/>
      <c r="X20" s="100"/>
    </row>
    <row r="21" spans="1:24" s="101" customFormat="1" ht="19.899999999999999" customHeight="1">
      <c r="A21" s="92" t="str">
        <f t="shared" si="0"/>
        <v/>
      </c>
      <c r="B21" s="171"/>
      <c r="C21" s="171"/>
      <c r="D21" s="171"/>
      <c r="E21" s="171"/>
      <c r="F21" s="94"/>
      <c r="G21" s="93"/>
      <c r="H21" s="93"/>
      <c r="I21" s="94"/>
      <c r="J21" s="149"/>
      <c r="K21" s="149"/>
      <c r="L21" s="150"/>
      <c r="M21" s="145"/>
      <c r="N21" s="96"/>
      <c r="O21" s="97">
        <f t="shared" si="16"/>
        <v>0</v>
      </c>
      <c r="P21" s="103"/>
      <c r="Q21" s="97">
        <f t="shared" si="17"/>
        <v>0</v>
      </c>
      <c r="R21" s="98"/>
      <c r="S21" s="97">
        <f t="shared" si="18"/>
        <v>0</v>
      </c>
      <c r="T21" s="98"/>
      <c r="U21" s="97">
        <f t="shared" si="19"/>
        <v>0</v>
      </c>
      <c r="V21" s="98">
        <f t="shared" si="20"/>
        <v>0</v>
      </c>
      <c r="W21" s="105"/>
      <c r="X21" s="100"/>
    </row>
    <row r="22" spans="1:24" s="107" customFormat="1" ht="19.899999999999999" customHeight="1">
      <c r="A22" s="106"/>
      <c r="B22" s="106"/>
      <c r="C22" s="106"/>
      <c r="D22" s="106"/>
      <c r="E22" s="106"/>
      <c r="O22" s="108">
        <f>SUM(O5:O21)</f>
        <v>1729068.8199999998</v>
      </c>
      <c r="P22" s="109"/>
      <c r="Q22" s="108">
        <f>SUM(Q5:Q21)</f>
        <v>3771405.7850000001</v>
      </c>
      <c r="R22" s="109"/>
      <c r="S22" s="108">
        <f>SUM(S5:S21)</f>
        <v>0</v>
      </c>
      <c r="T22" s="109"/>
      <c r="U22" s="108">
        <f>SUM(U5:U21)</f>
        <v>0</v>
      </c>
      <c r="V22" s="110">
        <f>SUM(V5:V21)</f>
        <v>5500474.6050000004</v>
      </c>
      <c r="W22" s="111"/>
    </row>
    <row r="26" spans="1:24">
      <c r="Q26" s="11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42"/>
  <sheetViews>
    <sheetView topLeftCell="A13" zoomScaleNormal="100" workbookViewId="0">
      <selection activeCell="O39" sqref="O39"/>
    </sheetView>
  </sheetViews>
  <sheetFormatPr defaultColWidth="9" defaultRowHeight="14.25"/>
  <cols>
    <col min="1" max="1" width="22.625" style="144" customWidth="1"/>
    <col min="2" max="2" width="27.625" style="144" customWidth="1"/>
    <col min="3" max="3" width="5.75" style="144" customWidth="1"/>
    <col min="4" max="4" width="5.25" style="144" customWidth="1"/>
    <col min="5" max="8" width="20.625" style="144" customWidth="1"/>
    <col min="9" max="12" width="20.625" style="144" hidden="1" customWidth="1"/>
    <col min="13" max="14" width="20.625" style="144" customWidth="1"/>
    <col min="15" max="15" width="32.75" style="144" customWidth="1"/>
    <col min="16" max="16384" width="9" style="114"/>
  </cols>
  <sheetData>
    <row r="1" spans="1:16" ht="27" customHeight="1">
      <c r="A1" s="195" t="s">
        <v>76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6" ht="12.95" customHeight="1">
      <c r="A2" s="197" t="s">
        <v>77</v>
      </c>
      <c r="B2" s="198" t="s">
        <v>78</v>
      </c>
      <c r="C2" s="199" t="s">
        <v>52</v>
      </c>
      <c r="D2" s="199" t="s">
        <v>79</v>
      </c>
      <c r="E2" s="201" t="s">
        <v>80</v>
      </c>
      <c r="F2" s="198"/>
      <c r="G2" s="198" t="s">
        <v>81</v>
      </c>
      <c r="H2" s="198"/>
      <c r="I2" s="202" t="s">
        <v>82</v>
      </c>
      <c r="J2" s="203"/>
      <c r="K2" s="202" t="s">
        <v>83</v>
      </c>
      <c r="L2" s="203"/>
      <c r="M2" s="201" t="s">
        <v>84</v>
      </c>
      <c r="N2" s="198"/>
      <c r="O2" s="204" t="s">
        <v>85</v>
      </c>
    </row>
    <row r="3" spans="1:16" ht="12.95" customHeight="1">
      <c r="A3" s="197"/>
      <c r="B3" s="198"/>
      <c r="C3" s="200"/>
      <c r="D3" s="200"/>
      <c r="E3" s="115" t="s">
        <v>86</v>
      </c>
      <c r="F3" s="115" t="s">
        <v>87</v>
      </c>
      <c r="G3" s="116" t="s">
        <v>86</v>
      </c>
      <c r="H3" s="115" t="s">
        <v>88</v>
      </c>
      <c r="I3" s="115"/>
      <c r="J3" s="115"/>
      <c r="K3" s="116" t="s">
        <v>86</v>
      </c>
      <c r="L3" s="115" t="s">
        <v>88</v>
      </c>
      <c r="M3" s="116" t="s">
        <v>86</v>
      </c>
      <c r="N3" s="115" t="s">
        <v>88</v>
      </c>
      <c r="O3" s="205"/>
    </row>
    <row r="4" spans="1:16" ht="12.95" customHeight="1">
      <c r="A4" s="193" t="s">
        <v>213</v>
      </c>
      <c r="B4" s="194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</row>
    <row r="5" spans="1:16" ht="12.95" customHeight="1">
      <c r="A5" s="211" t="s">
        <v>89</v>
      </c>
      <c r="B5" s="118" t="s">
        <v>90</v>
      </c>
      <c r="C5" s="119" t="s">
        <v>91</v>
      </c>
      <c r="D5" s="120">
        <v>85</v>
      </c>
      <c r="E5" s="121">
        <v>1086</v>
      </c>
      <c r="F5" s="122">
        <f t="shared" ref="F5:F12" si="0">D5*E5</f>
        <v>92310</v>
      </c>
      <c r="G5" s="122">
        <v>5587</v>
      </c>
      <c r="H5" s="121">
        <f t="shared" ref="H5:H13" si="1">D5*G5</f>
        <v>474895</v>
      </c>
      <c r="I5" s="121"/>
      <c r="J5" s="121"/>
      <c r="K5" s="122"/>
      <c r="L5" s="122"/>
      <c r="M5" s="122"/>
      <c r="N5" s="122">
        <f>F5+H5+J5+L5</f>
        <v>567205</v>
      </c>
      <c r="O5" s="208" t="s">
        <v>161</v>
      </c>
    </row>
    <row r="6" spans="1:16" ht="12.95" customHeight="1">
      <c r="A6" s="212"/>
      <c r="B6" s="118" t="s">
        <v>92</v>
      </c>
      <c r="C6" s="119" t="s">
        <v>91</v>
      </c>
      <c r="D6" s="120">
        <v>40</v>
      </c>
      <c r="E6" s="121">
        <v>1086</v>
      </c>
      <c r="F6" s="122">
        <f t="shared" si="0"/>
        <v>43440</v>
      </c>
      <c r="G6" s="122">
        <v>7263</v>
      </c>
      <c r="H6" s="121">
        <f t="shared" si="1"/>
        <v>290520</v>
      </c>
      <c r="I6" s="121"/>
      <c r="J6" s="121"/>
      <c r="K6" s="122"/>
      <c r="L6" s="122"/>
      <c r="M6" s="122"/>
      <c r="N6" s="122">
        <f t="shared" ref="N6:N13" si="2">F6+H6+J6+L6</f>
        <v>333960</v>
      </c>
      <c r="O6" s="209"/>
    </row>
    <row r="7" spans="1:16" ht="12.95" customHeight="1">
      <c r="A7" s="212"/>
      <c r="B7" s="118" t="s">
        <v>93</v>
      </c>
      <c r="C7" s="119" t="s">
        <v>91</v>
      </c>
      <c r="D7" s="120">
        <v>38</v>
      </c>
      <c r="E7" s="121">
        <v>1086</v>
      </c>
      <c r="F7" s="122">
        <f t="shared" si="0"/>
        <v>41268</v>
      </c>
      <c r="G7" s="122">
        <v>5587</v>
      </c>
      <c r="H7" s="121">
        <f t="shared" si="1"/>
        <v>212306</v>
      </c>
      <c r="I7" s="121"/>
      <c r="J7" s="121"/>
      <c r="K7" s="122"/>
      <c r="L7" s="122"/>
      <c r="M7" s="122"/>
      <c r="N7" s="122">
        <f t="shared" si="2"/>
        <v>253574</v>
      </c>
      <c r="O7" s="209"/>
    </row>
    <row r="8" spans="1:16" ht="12.95" customHeight="1">
      <c r="A8" s="212"/>
      <c r="B8" s="118" t="s">
        <v>94</v>
      </c>
      <c r="C8" s="119" t="s">
        <v>91</v>
      </c>
      <c r="D8" s="120">
        <v>10</v>
      </c>
      <c r="E8" s="121">
        <v>1086</v>
      </c>
      <c r="F8" s="122">
        <f t="shared" si="0"/>
        <v>10860</v>
      </c>
      <c r="G8" s="122">
        <v>7263</v>
      </c>
      <c r="H8" s="121">
        <f t="shared" si="1"/>
        <v>72630</v>
      </c>
      <c r="I8" s="121"/>
      <c r="J8" s="121"/>
      <c r="K8" s="122"/>
      <c r="L8" s="122"/>
      <c r="M8" s="122"/>
      <c r="N8" s="122">
        <f t="shared" si="2"/>
        <v>83490</v>
      </c>
      <c r="O8" s="209"/>
    </row>
    <row r="9" spans="1:16" ht="12.95" customHeight="1">
      <c r="A9" s="212"/>
      <c r="B9" s="118" t="s">
        <v>95</v>
      </c>
      <c r="C9" s="119" t="s">
        <v>91</v>
      </c>
      <c r="D9" s="120">
        <v>32</v>
      </c>
      <c r="E9" s="121">
        <v>1086</v>
      </c>
      <c r="F9" s="122">
        <f t="shared" si="0"/>
        <v>34752</v>
      </c>
      <c r="G9" s="122">
        <v>5587</v>
      </c>
      <c r="H9" s="121">
        <f t="shared" si="1"/>
        <v>178784</v>
      </c>
      <c r="I9" s="121"/>
      <c r="J9" s="121"/>
      <c r="K9" s="122"/>
      <c r="L9" s="122"/>
      <c r="M9" s="122"/>
      <c r="N9" s="122">
        <f t="shared" si="2"/>
        <v>213536</v>
      </c>
      <c r="O9" s="209"/>
    </row>
    <row r="10" spans="1:16" ht="12.95" customHeight="1">
      <c r="A10" s="212"/>
      <c r="B10" s="118" t="s">
        <v>96</v>
      </c>
      <c r="C10" s="119" t="s">
        <v>91</v>
      </c>
      <c r="D10" s="120">
        <v>8</v>
      </c>
      <c r="E10" s="121">
        <v>1086</v>
      </c>
      <c r="F10" s="122">
        <f t="shared" si="0"/>
        <v>8688</v>
      </c>
      <c r="G10" s="122">
        <v>7263</v>
      </c>
      <c r="H10" s="121">
        <f t="shared" si="1"/>
        <v>58104</v>
      </c>
      <c r="I10" s="121"/>
      <c r="J10" s="121"/>
      <c r="K10" s="122"/>
      <c r="L10" s="122"/>
      <c r="M10" s="122"/>
      <c r="N10" s="122">
        <f t="shared" si="2"/>
        <v>66792</v>
      </c>
      <c r="O10" s="209"/>
    </row>
    <row r="11" spans="1:16" ht="12.95" customHeight="1">
      <c r="A11" s="212"/>
      <c r="B11" s="118" t="s">
        <v>97</v>
      </c>
      <c r="C11" s="119" t="s">
        <v>91</v>
      </c>
      <c r="D11" s="120">
        <v>31</v>
      </c>
      <c r="E11" s="121">
        <v>1086</v>
      </c>
      <c r="F11" s="122">
        <f t="shared" si="0"/>
        <v>33666</v>
      </c>
      <c r="G11" s="122">
        <v>5587</v>
      </c>
      <c r="H11" s="121">
        <f t="shared" si="1"/>
        <v>173197</v>
      </c>
      <c r="I11" s="121"/>
      <c r="J11" s="121"/>
      <c r="K11" s="122"/>
      <c r="L11" s="122"/>
      <c r="M11" s="122"/>
      <c r="N11" s="122">
        <f t="shared" si="2"/>
        <v>206863</v>
      </c>
      <c r="O11" s="209"/>
    </row>
    <row r="12" spans="1:16" ht="12.95" customHeight="1">
      <c r="A12" s="212"/>
      <c r="B12" s="118" t="s">
        <v>98</v>
      </c>
      <c r="C12" s="119" t="s">
        <v>91</v>
      </c>
      <c r="D12" s="123">
        <v>8</v>
      </c>
      <c r="E12" s="121">
        <v>1086</v>
      </c>
      <c r="F12" s="122">
        <f t="shared" si="0"/>
        <v>8688</v>
      </c>
      <c r="G12" s="122">
        <v>7263</v>
      </c>
      <c r="H12" s="121">
        <f t="shared" si="1"/>
        <v>58104</v>
      </c>
      <c r="I12" s="121"/>
      <c r="J12" s="121"/>
      <c r="K12" s="122"/>
      <c r="L12" s="122"/>
      <c r="M12" s="122"/>
      <c r="N12" s="122">
        <f t="shared" si="2"/>
        <v>66792</v>
      </c>
      <c r="O12" s="209"/>
    </row>
    <row r="13" spans="1:16" ht="12.95" customHeight="1">
      <c r="A13" s="213"/>
      <c r="B13" s="118" t="s">
        <v>166</v>
      </c>
      <c r="C13" s="119" t="s">
        <v>91</v>
      </c>
      <c r="D13" s="123">
        <f>SUM(D5:D12)*30%</f>
        <v>75.599999999999994</v>
      </c>
      <c r="E13" s="121"/>
      <c r="F13" s="122"/>
      <c r="G13" s="122">
        <v>1351</v>
      </c>
      <c r="H13" s="121">
        <f t="shared" si="1"/>
        <v>102135.59999999999</v>
      </c>
      <c r="I13" s="121"/>
      <c r="J13" s="121"/>
      <c r="K13" s="122"/>
      <c r="L13" s="122"/>
      <c r="M13" s="122"/>
      <c r="N13" s="122">
        <f t="shared" si="2"/>
        <v>102135.59999999999</v>
      </c>
      <c r="O13" s="210"/>
    </row>
    <row r="14" spans="1:16" ht="12.95" customHeight="1">
      <c r="A14" s="153" t="s">
        <v>99</v>
      </c>
      <c r="B14" s="124"/>
      <c r="C14" s="125"/>
      <c r="D14" s="126">
        <f>SUM(D5:D12)</f>
        <v>252</v>
      </c>
      <c r="E14" s="127"/>
      <c r="F14" s="127">
        <f>SUM(F5:F13)</f>
        <v>273672</v>
      </c>
      <c r="G14" s="127"/>
      <c r="H14" s="127">
        <f>SUM(H5:H13)</f>
        <v>1620675.6</v>
      </c>
      <c r="I14" s="127"/>
      <c r="J14" s="127">
        <f>SUM(J5:J13)</f>
        <v>0</v>
      </c>
      <c r="K14" s="127"/>
      <c r="L14" s="127">
        <f>SUM(L5:L13)</f>
        <v>0</v>
      </c>
      <c r="M14" s="127"/>
      <c r="N14" s="127">
        <f>SUM(N5:N13)</f>
        <v>1894347.6</v>
      </c>
      <c r="O14" s="127"/>
      <c r="P14" s="128"/>
    </row>
    <row r="15" spans="1:16" ht="12.95" customHeight="1">
      <c r="A15" s="215" t="s">
        <v>100</v>
      </c>
      <c r="B15" s="118" t="s">
        <v>101</v>
      </c>
      <c r="C15" s="119" t="s">
        <v>91</v>
      </c>
      <c r="D15" s="123">
        <v>27</v>
      </c>
      <c r="E15" s="121"/>
      <c r="F15" s="121"/>
      <c r="G15" s="121">
        <v>4054</v>
      </c>
      <c r="H15" s="122">
        <f t="shared" ref="H15:H18" si="3">D15*G15</f>
        <v>109458</v>
      </c>
      <c r="I15" s="121"/>
      <c r="J15" s="121"/>
      <c r="K15" s="121"/>
      <c r="L15" s="122"/>
      <c r="M15" s="121"/>
      <c r="N15" s="122">
        <f t="shared" ref="N15:N23" si="4">F15+H15+J15+L15</f>
        <v>109458</v>
      </c>
      <c r="O15" s="208" t="s">
        <v>162</v>
      </c>
    </row>
    <row r="16" spans="1:16" ht="12.95" customHeight="1">
      <c r="A16" s="216"/>
      <c r="B16" s="118" t="s">
        <v>102</v>
      </c>
      <c r="C16" s="119" t="s">
        <v>91</v>
      </c>
      <c r="D16" s="129">
        <v>9</v>
      </c>
      <c r="E16" s="121"/>
      <c r="F16" s="121"/>
      <c r="G16" s="121">
        <v>4054</v>
      </c>
      <c r="H16" s="122">
        <f t="shared" si="3"/>
        <v>36486</v>
      </c>
      <c r="I16" s="121"/>
      <c r="J16" s="121"/>
      <c r="K16" s="121"/>
      <c r="L16" s="122"/>
      <c r="M16" s="121"/>
      <c r="N16" s="122">
        <f t="shared" si="4"/>
        <v>36486</v>
      </c>
      <c r="O16" s="209"/>
    </row>
    <row r="17" spans="1:15" ht="12.95" customHeight="1">
      <c r="A17" s="216"/>
      <c r="B17" s="118" t="s">
        <v>103</v>
      </c>
      <c r="C17" s="119" t="s">
        <v>91</v>
      </c>
      <c r="D17" s="129">
        <v>7</v>
      </c>
      <c r="E17" s="121"/>
      <c r="F17" s="121"/>
      <c r="G17" s="121">
        <v>4054</v>
      </c>
      <c r="H17" s="122">
        <f t="shared" si="3"/>
        <v>28378</v>
      </c>
      <c r="I17" s="121"/>
      <c r="J17" s="121"/>
      <c r="K17" s="121"/>
      <c r="L17" s="122"/>
      <c r="M17" s="121"/>
      <c r="N17" s="122">
        <f t="shared" si="4"/>
        <v>28378</v>
      </c>
      <c r="O17" s="209"/>
    </row>
    <row r="18" spans="1:15" ht="12.95" customHeight="1">
      <c r="A18" s="216"/>
      <c r="B18" s="118" t="s">
        <v>104</v>
      </c>
      <c r="C18" s="119" t="s">
        <v>91</v>
      </c>
      <c r="D18" s="129">
        <v>7</v>
      </c>
      <c r="E18" s="121"/>
      <c r="F18" s="121"/>
      <c r="G18" s="121">
        <v>4054</v>
      </c>
      <c r="H18" s="122">
        <f t="shared" si="3"/>
        <v>28378</v>
      </c>
      <c r="I18" s="121"/>
      <c r="J18" s="121"/>
      <c r="K18" s="121"/>
      <c r="L18" s="122"/>
      <c r="M18" s="121"/>
      <c r="N18" s="122">
        <f t="shared" si="4"/>
        <v>28378</v>
      </c>
      <c r="O18" s="209"/>
    </row>
    <row r="19" spans="1:15" ht="12.95" customHeight="1">
      <c r="A19" s="216"/>
      <c r="B19" s="118" t="s">
        <v>105</v>
      </c>
      <c r="C19" s="119" t="s">
        <v>106</v>
      </c>
      <c r="D19" s="129">
        <v>6</v>
      </c>
      <c r="E19" s="122">
        <v>12525</v>
      </c>
      <c r="F19" s="122">
        <f>D19*E19</f>
        <v>75150</v>
      </c>
      <c r="G19" s="121"/>
      <c r="H19" s="122"/>
      <c r="I19" s="122"/>
      <c r="J19" s="122"/>
      <c r="K19" s="121"/>
      <c r="L19" s="122"/>
      <c r="M19" s="121"/>
      <c r="N19" s="122">
        <f t="shared" si="4"/>
        <v>75150</v>
      </c>
      <c r="O19" s="209"/>
    </row>
    <row r="20" spans="1:15" ht="12.95" customHeight="1">
      <c r="A20" s="216"/>
      <c r="B20" s="118" t="s">
        <v>107</v>
      </c>
      <c r="C20" s="119" t="s">
        <v>91</v>
      </c>
      <c r="D20" s="123">
        <v>27</v>
      </c>
      <c r="E20" s="122">
        <v>12525</v>
      </c>
      <c r="F20" s="122">
        <f>D20*E20</f>
        <v>338175</v>
      </c>
      <c r="G20" s="121">
        <v>3718</v>
      </c>
      <c r="H20" s="122">
        <f>D20*G20</f>
        <v>100386</v>
      </c>
      <c r="I20" s="122"/>
      <c r="J20" s="122"/>
      <c r="K20" s="121"/>
      <c r="L20" s="122"/>
      <c r="M20" s="121"/>
      <c r="N20" s="122">
        <f t="shared" si="4"/>
        <v>438561</v>
      </c>
      <c r="O20" s="209"/>
    </row>
    <row r="21" spans="1:15" ht="12.95" customHeight="1">
      <c r="A21" s="216"/>
      <c r="B21" s="118" t="s">
        <v>108</v>
      </c>
      <c r="C21" s="119" t="s">
        <v>91</v>
      </c>
      <c r="D21" s="129">
        <v>9</v>
      </c>
      <c r="E21" s="122">
        <v>12525</v>
      </c>
      <c r="F21" s="122">
        <f>D21*E21</f>
        <v>112725</v>
      </c>
      <c r="G21" s="121">
        <v>3718</v>
      </c>
      <c r="H21" s="122">
        <f>D21*G21</f>
        <v>33462</v>
      </c>
      <c r="I21" s="122"/>
      <c r="J21" s="122"/>
      <c r="K21" s="121"/>
      <c r="L21" s="122"/>
      <c r="M21" s="121"/>
      <c r="N21" s="122">
        <f t="shared" si="4"/>
        <v>146187</v>
      </c>
      <c r="O21" s="209"/>
    </row>
    <row r="22" spans="1:15" ht="12.95" customHeight="1">
      <c r="A22" s="216"/>
      <c r="B22" s="118" t="s">
        <v>109</v>
      </c>
      <c r="C22" s="119" t="s">
        <v>91</v>
      </c>
      <c r="D22" s="129">
        <v>7</v>
      </c>
      <c r="E22" s="122">
        <v>12525</v>
      </c>
      <c r="F22" s="122">
        <f>D22*E22</f>
        <v>87675</v>
      </c>
      <c r="G22" s="121">
        <v>3718</v>
      </c>
      <c r="H22" s="122">
        <f>D22*G22</f>
        <v>26026</v>
      </c>
      <c r="I22" s="122"/>
      <c r="J22" s="122"/>
      <c r="K22" s="121"/>
      <c r="L22" s="122"/>
      <c r="M22" s="121"/>
      <c r="N22" s="122">
        <f t="shared" si="4"/>
        <v>113701</v>
      </c>
      <c r="O22" s="209"/>
    </row>
    <row r="23" spans="1:15" ht="12.95" customHeight="1">
      <c r="A23" s="217"/>
      <c r="B23" s="118" t="s">
        <v>110</v>
      </c>
      <c r="C23" s="119" t="s">
        <v>91</v>
      </c>
      <c r="D23" s="129">
        <v>7</v>
      </c>
      <c r="E23" s="122">
        <v>12525</v>
      </c>
      <c r="F23" s="122">
        <f>D23*E23</f>
        <v>87675</v>
      </c>
      <c r="G23" s="121">
        <v>3718</v>
      </c>
      <c r="H23" s="122">
        <f>D23*G23</f>
        <v>26026</v>
      </c>
      <c r="I23" s="122"/>
      <c r="J23" s="122"/>
      <c r="K23" s="121"/>
      <c r="L23" s="122"/>
      <c r="M23" s="121"/>
      <c r="N23" s="122">
        <f t="shared" si="4"/>
        <v>113701</v>
      </c>
      <c r="O23" s="210"/>
    </row>
    <row r="24" spans="1:15" ht="12.95" customHeight="1">
      <c r="A24" s="153" t="s">
        <v>99</v>
      </c>
      <c r="B24" s="124"/>
      <c r="C24" s="130"/>
      <c r="D24" s="130">
        <f>SUM(D20:D23)</f>
        <v>50</v>
      </c>
      <c r="E24" s="127"/>
      <c r="F24" s="127">
        <f>SUM(F15:F23)</f>
        <v>701400</v>
      </c>
      <c r="G24" s="127"/>
      <c r="H24" s="127">
        <f>SUM(H15:H23)</f>
        <v>388600</v>
      </c>
      <c r="I24" s="127"/>
      <c r="J24" s="127">
        <f>SUM(J15:J23)</f>
        <v>0</v>
      </c>
      <c r="K24" s="127"/>
      <c r="L24" s="127">
        <f>SUM(L15:L23)</f>
        <v>0</v>
      </c>
      <c r="M24" s="127"/>
      <c r="N24" s="127">
        <f>SUM(N15:N23)</f>
        <v>1090000</v>
      </c>
      <c r="O24" s="127"/>
    </row>
    <row r="25" spans="1:15" ht="12.95" customHeight="1">
      <c r="A25" s="151" t="s">
        <v>111</v>
      </c>
      <c r="B25" s="131"/>
      <c r="C25" s="132"/>
      <c r="D25" s="133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</row>
    <row r="26" spans="1:15" ht="12.95" customHeight="1">
      <c r="A26" s="214" t="s">
        <v>112</v>
      </c>
      <c r="B26" s="131" t="s">
        <v>113</v>
      </c>
      <c r="C26" s="132" t="s">
        <v>91</v>
      </c>
      <c r="D26" s="133">
        <v>17</v>
      </c>
      <c r="E26" s="121">
        <v>441</v>
      </c>
      <c r="F26" s="121">
        <f>D26*E26</f>
        <v>7497</v>
      </c>
      <c r="G26" s="121">
        <v>8656</v>
      </c>
      <c r="H26" s="121">
        <f t="shared" ref="H26:H29" si="5">D26*G26</f>
        <v>147152</v>
      </c>
      <c r="I26" s="121"/>
      <c r="J26" s="121"/>
      <c r="K26" s="121"/>
      <c r="L26" s="122"/>
      <c r="M26" s="121"/>
      <c r="N26" s="122">
        <f t="shared" ref="N26:N29" si="6">F26+H26+J26+L26</f>
        <v>154649</v>
      </c>
      <c r="O26" s="208"/>
    </row>
    <row r="27" spans="1:15" ht="12.95" customHeight="1">
      <c r="A27" s="214"/>
      <c r="B27" s="131" t="s">
        <v>114</v>
      </c>
      <c r="C27" s="132" t="s">
        <v>91</v>
      </c>
      <c r="D27" s="133">
        <v>17</v>
      </c>
      <c r="E27" s="121">
        <v>385</v>
      </c>
      <c r="F27" s="121">
        <f t="shared" ref="F27" si="7">D27*E27</f>
        <v>6545</v>
      </c>
      <c r="G27" s="121">
        <v>5132</v>
      </c>
      <c r="H27" s="121">
        <f t="shared" si="5"/>
        <v>87244</v>
      </c>
      <c r="I27" s="121"/>
      <c r="J27" s="121"/>
      <c r="K27" s="121"/>
      <c r="L27" s="122"/>
      <c r="M27" s="121"/>
      <c r="N27" s="122">
        <f t="shared" si="6"/>
        <v>93789</v>
      </c>
      <c r="O27" s="209"/>
    </row>
    <row r="28" spans="1:15" ht="12.95" customHeight="1">
      <c r="A28" s="214" t="s">
        <v>115</v>
      </c>
      <c r="B28" s="131" t="s">
        <v>113</v>
      </c>
      <c r="C28" s="132" t="s">
        <v>91</v>
      </c>
      <c r="D28" s="133">
        <v>11</v>
      </c>
      <c r="E28" s="121">
        <v>441</v>
      </c>
      <c r="F28" s="121">
        <f>D28*E28</f>
        <v>4851</v>
      </c>
      <c r="G28" s="121">
        <v>8656</v>
      </c>
      <c r="H28" s="121">
        <f t="shared" si="5"/>
        <v>95216</v>
      </c>
      <c r="I28" s="121"/>
      <c r="J28" s="121"/>
      <c r="K28" s="121"/>
      <c r="L28" s="122"/>
      <c r="M28" s="121"/>
      <c r="N28" s="122">
        <f t="shared" si="6"/>
        <v>100067</v>
      </c>
      <c r="O28" s="209"/>
    </row>
    <row r="29" spans="1:15" ht="12.95" customHeight="1">
      <c r="A29" s="214"/>
      <c r="B29" s="131" t="s">
        <v>114</v>
      </c>
      <c r="C29" s="132" t="s">
        <v>91</v>
      </c>
      <c r="D29" s="133">
        <v>11</v>
      </c>
      <c r="E29" s="121">
        <v>385</v>
      </c>
      <c r="F29" s="121">
        <f t="shared" ref="F29" si="8">D29*E29</f>
        <v>4235</v>
      </c>
      <c r="G29" s="121">
        <v>5132</v>
      </c>
      <c r="H29" s="121">
        <f t="shared" si="5"/>
        <v>56452</v>
      </c>
      <c r="I29" s="121"/>
      <c r="J29" s="121"/>
      <c r="K29" s="121"/>
      <c r="L29" s="122"/>
      <c r="M29" s="121"/>
      <c r="N29" s="122">
        <f t="shared" si="6"/>
        <v>60687</v>
      </c>
      <c r="O29" s="209"/>
    </row>
    <row r="30" spans="1:15" ht="12.95" customHeight="1">
      <c r="A30" s="153" t="s">
        <v>99</v>
      </c>
      <c r="B30" s="134"/>
      <c r="C30" s="135"/>
      <c r="D30" s="126"/>
      <c r="E30" s="127"/>
      <c r="F30" s="127">
        <f>SUM(F25:F29)</f>
        <v>23128</v>
      </c>
      <c r="G30" s="127"/>
      <c r="H30" s="127">
        <f>SUM(H25:H29)</f>
        <v>386064</v>
      </c>
      <c r="I30" s="127"/>
      <c r="J30" s="127">
        <f>SUM(J25:J29)</f>
        <v>0</v>
      </c>
      <c r="K30" s="127"/>
      <c r="L30" s="127">
        <f>SUM(L25:L29)</f>
        <v>0</v>
      </c>
      <c r="M30" s="127"/>
      <c r="N30" s="127">
        <f>SUM(N25:N29)</f>
        <v>409192</v>
      </c>
      <c r="O30" s="127"/>
    </row>
    <row r="31" spans="1:15" ht="12.95" customHeight="1">
      <c r="A31" s="152" t="s">
        <v>116</v>
      </c>
      <c r="B31" s="118" t="s">
        <v>117</v>
      </c>
      <c r="C31" s="119" t="s">
        <v>91</v>
      </c>
      <c r="D31" s="136">
        <v>65</v>
      </c>
      <c r="E31" s="122"/>
      <c r="F31" s="122"/>
      <c r="G31" s="121">
        <v>6557</v>
      </c>
      <c r="H31" s="122">
        <f>D31*G31</f>
        <v>426205</v>
      </c>
      <c r="I31" s="122"/>
      <c r="J31" s="122"/>
      <c r="K31" s="122"/>
      <c r="L31" s="122"/>
      <c r="M31" s="122"/>
      <c r="N31" s="122">
        <f>F31+H31+J31+L31</f>
        <v>426205</v>
      </c>
      <c r="O31" s="137" t="s">
        <v>160</v>
      </c>
    </row>
    <row r="32" spans="1:15" ht="12.95" customHeight="1">
      <c r="A32" s="154" t="s">
        <v>99</v>
      </c>
      <c r="B32" s="124"/>
      <c r="C32" s="125"/>
      <c r="D32" s="138"/>
      <c r="E32" s="139"/>
      <c r="F32" s="139"/>
      <c r="G32" s="139"/>
      <c r="H32" s="127">
        <f>SUM(H31:H31)</f>
        <v>426205</v>
      </c>
      <c r="I32" s="139"/>
      <c r="J32" s="127">
        <f t="shared" ref="J32:N32" si="9">SUM(J31:J31)</f>
        <v>0</v>
      </c>
      <c r="K32" s="127"/>
      <c r="L32" s="127">
        <f t="shared" si="9"/>
        <v>0</v>
      </c>
      <c r="M32" s="127"/>
      <c r="N32" s="127">
        <f t="shared" si="9"/>
        <v>426205</v>
      </c>
      <c r="O32" s="139"/>
    </row>
    <row r="33" spans="1:15" ht="12.95" customHeight="1">
      <c r="A33" s="164" t="s">
        <v>188</v>
      </c>
      <c r="B33" s="131"/>
      <c r="C33" s="132"/>
      <c r="D33" s="136"/>
      <c r="E33" s="121"/>
      <c r="F33" s="121"/>
      <c r="G33" s="121"/>
      <c r="H33" s="165"/>
      <c r="I33" s="121"/>
      <c r="J33" s="165"/>
      <c r="K33" s="165"/>
      <c r="L33" s="165"/>
      <c r="M33" s="165"/>
      <c r="N33" s="165"/>
      <c r="O33" s="121"/>
    </row>
    <row r="34" spans="1:15" ht="12.95" customHeight="1">
      <c r="A34" s="166" t="s">
        <v>189</v>
      </c>
      <c r="B34" s="131" t="s">
        <v>190</v>
      </c>
      <c r="C34" s="132" t="s">
        <v>191</v>
      </c>
      <c r="D34" s="136">
        <v>1</v>
      </c>
      <c r="E34" s="121"/>
      <c r="F34" s="121"/>
      <c r="G34" s="121">
        <v>161858</v>
      </c>
      <c r="H34" s="122">
        <f>D34*G34</f>
        <v>161858</v>
      </c>
      <c r="I34" s="121"/>
      <c r="J34" s="165"/>
      <c r="K34" s="165"/>
      <c r="L34" s="165"/>
      <c r="M34" s="165"/>
      <c r="N34" s="122">
        <f>F34+H34+J34+L34</f>
        <v>161858</v>
      </c>
      <c r="O34" s="121"/>
    </row>
    <row r="35" spans="1:15" ht="12.95" customHeight="1">
      <c r="A35" s="166" t="s">
        <v>192</v>
      </c>
      <c r="B35" s="131" t="s">
        <v>193</v>
      </c>
      <c r="C35" s="132" t="s">
        <v>194</v>
      </c>
      <c r="D35" s="136">
        <v>1</v>
      </c>
      <c r="E35" s="121">
        <v>731000</v>
      </c>
      <c r="F35" s="121">
        <f t="shared" ref="F35" si="10">D35*E35</f>
        <v>731000</v>
      </c>
      <c r="G35" s="121"/>
      <c r="H35" s="122">
        <f>D35*G35</f>
        <v>0</v>
      </c>
      <c r="I35" s="121"/>
      <c r="J35" s="165"/>
      <c r="K35" s="165"/>
      <c r="L35" s="165"/>
      <c r="M35" s="165"/>
      <c r="N35" s="122">
        <f>F35+H35+J35+L35</f>
        <v>731000</v>
      </c>
      <c r="O35" s="121"/>
    </row>
    <row r="36" spans="1:15" ht="12.95" customHeight="1">
      <c r="A36" s="154" t="s">
        <v>99</v>
      </c>
      <c r="B36" s="124"/>
      <c r="C36" s="125"/>
      <c r="D36" s="138"/>
      <c r="E36" s="139"/>
      <c r="F36" s="127">
        <f>SUM(F34:F35)</f>
        <v>731000</v>
      </c>
      <c r="G36" s="127"/>
      <c r="H36" s="127">
        <f>SUM(H34:H35)</f>
        <v>161858</v>
      </c>
      <c r="I36" s="127"/>
      <c r="J36" s="127">
        <f t="shared" ref="J36:L36" si="11">SUM(J35:J35)</f>
        <v>0</v>
      </c>
      <c r="K36" s="127"/>
      <c r="L36" s="127">
        <f t="shared" si="11"/>
        <v>0</v>
      </c>
      <c r="M36" s="127"/>
      <c r="N36" s="127">
        <f>SUM(N34:N35)</f>
        <v>892858</v>
      </c>
      <c r="O36" s="139"/>
    </row>
    <row r="37" spans="1:15" ht="12.95" customHeight="1">
      <c r="A37" s="164" t="s">
        <v>202</v>
      </c>
      <c r="B37" s="131"/>
      <c r="C37" s="132"/>
      <c r="D37" s="136"/>
      <c r="E37" s="121"/>
      <c r="F37" s="121"/>
      <c r="G37" s="121"/>
      <c r="H37" s="165"/>
      <c r="I37" s="121"/>
      <c r="J37" s="165"/>
      <c r="K37" s="165"/>
      <c r="L37" s="165"/>
      <c r="M37" s="165"/>
      <c r="N37" s="165"/>
      <c r="O37" s="121"/>
    </row>
    <row r="38" spans="1:15" ht="26.25" customHeight="1">
      <c r="A38" s="166" t="s">
        <v>204</v>
      </c>
      <c r="B38" s="168" t="s">
        <v>205</v>
      </c>
      <c r="C38" s="132" t="s">
        <v>191</v>
      </c>
      <c r="D38" s="136">
        <v>1</v>
      </c>
      <c r="E38" s="121"/>
      <c r="F38" s="121"/>
      <c r="G38" s="121">
        <v>208527</v>
      </c>
      <c r="H38" s="122">
        <f>D38*G38</f>
        <v>208527</v>
      </c>
      <c r="I38" s="121"/>
      <c r="J38" s="165"/>
      <c r="K38" s="165"/>
      <c r="L38" s="165"/>
      <c r="M38" s="165"/>
      <c r="N38" s="122">
        <f>F38+H38+J38+L38</f>
        <v>208527</v>
      </c>
      <c r="O38" s="121"/>
    </row>
    <row r="39" spans="1:15" ht="84.75" customHeight="1">
      <c r="A39" s="206" t="s">
        <v>206</v>
      </c>
      <c r="B39" s="131" t="s">
        <v>207</v>
      </c>
      <c r="C39" s="132" t="s">
        <v>191</v>
      </c>
      <c r="D39" s="136">
        <v>2</v>
      </c>
      <c r="E39" s="121"/>
      <c r="F39" s="121"/>
      <c r="G39" s="121">
        <v>208527</v>
      </c>
      <c r="H39" s="122">
        <f>D39*G39</f>
        <v>417054</v>
      </c>
      <c r="I39" s="121"/>
      <c r="J39" s="165"/>
      <c r="K39" s="165"/>
      <c r="L39" s="165"/>
      <c r="M39" s="165"/>
      <c r="N39" s="122">
        <f>F39+H39+J39+L39</f>
        <v>417054</v>
      </c>
      <c r="O39" s="121"/>
    </row>
    <row r="40" spans="1:15" ht="12.95" customHeight="1">
      <c r="A40" s="207"/>
      <c r="B40" s="131" t="s">
        <v>208</v>
      </c>
      <c r="C40" s="132" t="s">
        <v>191</v>
      </c>
      <c r="D40" s="136">
        <v>1</v>
      </c>
      <c r="E40" s="121"/>
      <c r="F40" s="121"/>
      <c r="G40" s="121">
        <v>161858</v>
      </c>
      <c r="H40" s="122">
        <f>D40*G40</f>
        <v>161858</v>
      </c>
      <c r="I40" s="121"/>
      <c r="J40" s="165"/>
      <c r="K40" s="165"/>
      <c r="L40" s="165"/>
      <c r="M40" s="165"/>
      <c r="N40" s="122">
        <f>F40+H40+J40+L40</f>
        <v>161858</v>
      </c>
      <c r="O40" s="121"/>
    </row>
    <row r="41" spans="1:15" ht="12.95" customHeight="1">
      <c r="A41" s="154" t="s">
        <v>99</v>
      </c>
      <c r="B41" s="124"/>
      <c r="C41" s="125"/>
      <c r="D41" s="138"/>
      <c r="E41" s="139"/>
      <c r="F41" s="127">
        <f>SUM(F38:F40)</f>
        <v>0</v>
      </c>
      <c r="G41" s="127"/>
      <c r="H41" s="127">
        <f>SUM(H38:H40)</f>
        <v>787439</v>
      </c>
      <c r="I41" s="127"/>
      <c r="J41" s="127" t="e">
        <f>SUM(#REF!)</f>
        <v>#REF!</v>
      </c>
      <c r="K41" s="127"/>
      <c r="L41" s="127" t="e">
        <f>SUM(#REF!)</f>
        <v>#REF!</v>
      </c>
      <c r="M41" s="127"/>
      <c r="N41" s="127">
        <f>SUM(N38:N40)</f>
        <v>787439</v>
      </c>
      <c r="O41" s="139"/>
    </row>
    <row r="42" spans="1:15" ht="12.95" customHeight="1">
      <c r="A42" s="155" t="s">
        <v>118</v>
      </c>
      <c r="B42" s="140"/>
      <c r="C42" s="141"/>
      <c r="D42" s="142"/>
      <c r="E42" s="143"/>
      <c r="F42" s="143">
        <f>F14+F24+F30+F32+F36+F41</f>
        <v>1729200</v>
      </c>
      <c r="G42" s="143"/>
      <c r="H42" s="143">
        <f>H14+H24+H30+H32+H36+H41</f>
        <v>3770841.6</v>
      </c>
      <c r="I42" s="143"/>
      <c r="J42" s="143">
        <f>J14+J24+J30+J32</f>
        <v>0</v>
      </c>
      <c r="K42" s="143"/>
      <c r="L42" s="143">
        <f>L14+L24+L30+L32</f>
        <v>0</v>
      </c>
      <c r="M42" s="143"/>
      <c r="N42" s="143">
        <f>N14+N24+N30+N32+N36+N41</f>
        <v>5500041.5999999996</v>
      </c>
      <c r="O42" s="143"/>
    </row>
  </sheetData>
  <mergeCells count="20">
    <mergeCell ref="A39:A40"/>
    <mergeCell ref="O5:O13"/>
    <mergeCell ref="A5:A13"/>
    <mergeCell ref="O15:O23"/>
    <mergeCell ref="A26:A27"/>
    <mergeCell ref="O26:O29"/>
    <mergeCell ref="A28:A29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7" workbookViewId="0">
      <selection activeCell="O51" sqref="O51"/>
    </sheetView>
  </sheetViews>
  <sheetFormatPr defaultColWidth="9" defaultRowHeight="16.5"/>
  <cols>
    <col min="1" max="4" width="9" style="78"/>
    <col min="5" max="5" width="15.125" style="78" customWidth="1"/>
    <col min="6" max="16384" width="9" style="78"/>
  </cols>
  <sheetData>
    <row r="2" spans="1:16" s="68" customFormat="1">
      <c r="A2" s="218" t="s">
        <v>119</v>
      </c>
      <c r="B2" s="218"/>
      <c r="G2" s="69"/>
      <c r="L2" s="69"/>
      <c r="N2" s="69"/>
      <c r="O2" s="70"/>
      <c r="P2" s="70"/>
    </row>
    <row r="3" spans="1:16" s="68" customFormat="1">
      <c r="A3" s="71" t="s">
        <v>120</v>
      </c>
      <c r="B3" s="72" t="s">
        <v>121</v>
      </c>
      <c r="C3" s="72" t="s">
        <v>122</v>
      </c>
      <c r="D3" s="72" t="s">
        <v>123</v>
      </c>
      <c r="E3" s="73" t="s">
        <v>124</v>
      </c>
      <c r="G3" s="69"/>
      <c r="L3" s="69"/>
      <c r="N3" s="69"/>
      <c r="O3" s="70"/>
      <c r="P3" s="70"/>
    </row>
    <row r="4" spans="1:16" s="68" customFormat="1">
      <c r="A4" s="74">
        <v>999999</v>
      </c>
      <c r="B4" s="75" t="s">
        <v>125</v>
      </c>
      <c r="C4" s="75" t="s">
        <v>126</v>
      </c>
      <c r="D4" s="76">
        <v>1300</v>
      </c>
      <c r="E4" s="77" t="s">
        <v>165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H33" sqref="H33"/>
    </sheetView>
  </sheetViews>
  <sheetFormatPr defaultColWidth="9" defaultRowHeight="16.5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>
      <c r="A1" s="158" t="s">
        <v>48</v>
      </c>
      <c r="B1" s="159" t="s">
        <v>49</v>
      </c>
      <c r="C1" s="159" t="s">
        <v>50</v>
      </c>
      <c r="D1" s="159" t="s">
        <v>51</v>
      </c>
      <c r="E1" s="159" t="s">
        <v>52</v>
      </c>
      <c r="F1" s="159" t="s">
        <v>5</v>
      </c>
      <c r="G1" s="159" t="s">
        <v>53</v>
      </c>
      <c r="H1" s="159" t="s">
        <v>54</v>
      </c>
      <c r="I1" s="159" t="s">
        <v>55</v>
      </c>
      <c r="J1" s="159" t="s">
        <v>56</v>
      </c>
      <c r="K1" s="159" t="s">
        <v>57</v>
      </c>
      <c r="L1" s="159" t="s">
        <v>58</v>
      </c>
      <c r="M1" s="159" t="s">
        <v>59</v>
      </c>
      <c r="N1" s="159" t="s">
        <v>60</v>
      </c>
      <c r="O1" s="159" t="s">
        <v>61</v>
      </c>
      <c r="P1" s="159" t="s">
        <v>62</v>
      </c>
      <c r="Q1" s="159" t="s">
        <v>63</v>
      </c>
      <c r="R1" s="159" t="s">
        <v>64</v>
      </c>
    </row>
    <row r="2" spans="1:18">
      <c r="A2" s="83">
        <v>999999</v>
      </c>
      <c r="B2" s="82" t="s">
        <v>157</v>
      </c>
      <c r="C2" s="83" t="s">
        <v>164</v>
      </c>
      <c r="D2" s="83" t="s">
        <v>163</v>
      </c>
      <c r="E2" s="83" t="s">
        <v>130</v>
      </c>
      <c r="F2" s="156">
        <v>252</v>
      </c>
      <c r="G2" s="157">
        <v>1086</v>
      </c>
      <c r="H2" s="157"/>
      <c r="I2" s="157"/>
      <c r="J2" s="82"/>
      <c r="K2" s="82"/>
      <c r="L2" s="82"/>
      <c r="M2" s="82"/>
      <c r="N2" s="82"/>
      <c r="O2" s="82"/>
      <c r="P2" s="82"/>
      <c r="Q2" s="82"/>
      <c r="R2" s="82"/>
    </row>
    <row r="3" spans="1:18">
      <c r="A3" s="83">
        <v>999999</v>
      </c>
      <c r="B3" s="82" t="s">
        <v>157</v>
      </c>
      <c r="C3" s="83" t="s">
        <v>159</v>
      </c>
      <c r="D3" s="83" t="s">
        <v>158</v>
      </c>
      <c r="E3" s="83" t="s">
        <v>130</v>
      </c>
      <c r="F3" s="156">
        <v>65</v>
      </c>
      <c r="G3" s="157"/>
      <c r="H3" s="157"/>
      <c r="I3" s="157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>
      <c r="A4" s="83">
        <v>999999</v>
      </c>
      <c r="B4" s="82" t="s">
        <v>157</v>
      </c>
      <c r="C4" s="83" t="s">
        <v>198</v>
      </c>
      <c r="D4" s="83" t="s">
        <v>199</v>
      </c>
      <c r="E4" s="83" t="s">
        <v>200</v>
      </c>
      <c r="F4" s="156">
        <v>1</v>
      </c>
      <c r="G4" s="157">
        <v>731000</v>
      </c>
      <c r="H4" s="157"/>
      <c r="I4" s="157"/>
      <c r="J4" s="82"/>
      <c r="K4" s="82"/>
      <c r="L4" s="82"/>
      <c r="M4" s="82"/>
      <c r="N4" s="82"/>
      <c r="O4" s="82"/>
      <c r="P4" s="82"/>
      <c r="Q4" s="82"/>
      <c r="R4" s="82"/>
    </row>
    <row r="5" spans="1:18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C10" sqref="C10"/>
    </sheetView>
  </sheetViews>
  <sheetFormatPr defaultColWidth="9" defaultRowHeight="16.5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>
      <c r="A1" s="158" t="s">
        <v>0</v>
      </c>
      <c r="B1" s="158" t="s">
        <v>1</v>
      </c>
      <c r="C1" s="158" t="s">
        <v>2</v>
      </c>
      <c r="D1" s="158" t="s">
        <v>3</v>
      </c>
      <c r="E1" s="158" t="s">
        <v>4</v>
      </c>
      <c r="F1" s="158" t="s">
        <v>5</v>
      </c>
    </row>
    <row r="2" spans="1:6">
      <c r="A2" s="160" t="str">
        <f>'내역서(표준단가)'!A5</f>
        <v>D02641</v>
      </c>
      <c r="B2" s="161" t="str">
        <f>'내역서(표준단가)'!F5</f>
        <v>D02641</v>
      </c>
      <c r="C2" s="161">
        <f>'내역서(표준단가)'!G5</f>
        <v>0</v>
      </c>
      <c r="D2" s="161">
        <f>'내역서(표준단가)'!H5</f>
        <v>0</v>
      </c>
      <c r="E2" s="161">
        <f>'내역서(표준단가)'!I5</f>
        <v>0</v>
      </c>
      <c r="F2" s="161">
        <f>'내역서(표준단가)'!M5</f>
        <v>186</v>
      </c>
    </row>
    <row r="3" spans="1:6">
      <c r="A3" s="160" t="str">
        <f>'내역서(표준단가)'!A6</f>
        <v>D02642</v>
      </c>
      <c r="B3" s="161" t="str">
        <f>'내역서(표준단가)'!F6</f>
        <v>D02642</v>
      </c>
      <c r="C3" s="161">
        <f>'내역서(표준단가)'!G6</f>
        <v>0</v>
      </c>
      <c r="D3" s="161">
        <f>'내역서(표준단가)'!H6</f>
        <v>0</v>
      </c>
      <c r="E3" s="161">
        <f>'내역서(표준단가)'!I6</f>
        <v>0</v>
      </c>
      <c r="F3" s="161">
        <f>'내역서(표준단가)'!M6</f>
        <v>66</v>
      </c>
    </row>
    <row r="4" spans="1:6">
      <c r="A4" s="160" t="str">
        <f>'내역서(표준단가)'!A7</f>
        <v>D02873</v>
      </c>
      <c r="B4" s="161" t="str">
        <f>'내역서(표준단가)'!F7</f>
        <v>D02873</v>
      </c>
      <c r="C4" s="161">
        <f>'내역서(표준단가)'!G7</f>
        <v>0</v>
      </c>
      <c r="D4" s="161">
        <f>'내역서(표준단가)'!H7</f>
        <v>0</v>
      </c>
      <c r="E4" s="161">
        <f>'내역서(표준단가)'!I7</f>
        <v>0</v>
      </c>
      <c r="F4" s="161">
        <f>'내역서(표준단가)'!M7</f>
        <v>76</v>
      </c>
    </row>
    <row r="5" spans="1:6">
      <c r="A5" s="160" t="str">
        <f>'내역서(표준단가)'!A8</f>
        <v>D02859</v>
      </c>
      <c r="B5" s="161" t="str">
        <f>'내역서(표준단가)'!F8</f>
        <v>D02859</v>
      </c>
      <c r="C5" s="161">
        <f>'내역서(표준단가)'!G8</f>
        <v>0</v>
      </c>
      <c r="D5" s="161">
        <f>'내역서(표준단가)'!H8</f>
        <v>0</v>
      </c>
      <c r="E5" s="161">
        <f>'내역서(표준단가)'!I8</f>
        <v>0</v>
      </c>
      <c r="F5" s="161">
        <f>'내역서(표준단가)'!M8</f>
        <v>50</v>
      </c>
    </row>
    <row r="6" spans="1:6">
      <c r="A6" s="160" t="str">
        <f>'내역서(표준단가)'!A9</f>
        <v>D02558</v>
      </c>
      <c r="B6" s="161" t="str">
        <f>'내역서(표준단가)'!F9</f>
        <v>D02558</v>
      </c>
      <c r="C6" s="161">
        <f>'내역서(표준단가)'!G9</f>
        <v>0</v>
      </c>
      <c r="D6" s="161">
        <f>'내역서(표준단가)'!H9</f>
        <v>0</v>
      </c>
      <c r="E6" s="161">
        <f>'내역서(표준단가)'!I9</f>
        <v>0</v>
      </c>
      <c r="F6" s="161">
        <f>'내역서(표준단가)'!M9</f>
        <v>50</v>
      </c>
    </row>
    <row r="7" spans="1:6">
      <c r="A7" s="160" t="str">
        <f>'내역서(표준단가)'!A10</f>
        <v>D02825</v>
      </c>
      <c r="B7" s="161" t="str">
        <f>'내역서(표준단가)'!F10</f>
        <v>D02825</v>
      </c>
      <c r="C7" s="161">
        <f>'내역서(표준단가)'!G10</f>
        <v>0</v>
      </c>
      <c r="D7" s="161">
        <f>'내역서(표준단가)'!H10</f>
        <v>0</v>
      </c>
      <c r="E7" s="161">
        <f>'내역서(표준단가)'!I10</f>
        <v>0</v>
      </c>
      <c r="F7" s="161">
        <f>'내역서(표준단가)'!M10</f>
        <v>28</v>
      </c>
    </row>
    <row r="8" spans="1:6">
      <c r="A8" s="160" t="str">
        <f>'내역서(표준단가)'!A11</f>
        <v>D02832</v>
      </c>
      <c r="B8" s="161" t="str">
        <f>'내역서(표준단가)'!F11</f>
        <v>D02832</v>
      </c>
      <c r="C8" s="161">
        <f>'내역서(표준단가)'!G11</f>
        <v>0</v>
      </c>
      <c r="D8" s="161">
        <f>'내역서(표준단가)'!H11</f>
        <v>0</v>
      </c>
      <c r="E8" s="161">
        <f>'내역서(표준단가)'!I11</f>
        <v>0</v>
      </c>
      <c r="F8" s="161">
        <f>'내역서(표준단가)'!M11</f>
        <v>28</v>
      </c>
    </row>
    <row r="9" spans="1:6">
      <c r="A9" s="160" t="str">
        <f>'내역서(표준단가)'!A12</f>
        <v>M012003400500101</v>
      </c>
      <c r="B9" s="161">
        <f>'내역서(표준단가)'!F12</f>
        <v>0</v>
      </c>
      <c r="C9" s="161">
        <f>'내역서(표준단가)'!G12</f>
        <v>0</v>
      </c>
      <c r="D9" s="161" t="str">
        <f>'내역서(표준단가)'!H12</f>
        <v>M012003400500101</v>
      </c>
      <c r="E9" s="161">
        <f>'내역서(표준단가)'!I12</f>
        <v>0</v>
      </c>
      <c r="F9" s="161">
        <f>'내역서(표준단가)'!M12</f>
        <v>50</v>
      </c>
    </row>
    <row r="10" spans="1:6">
      <c r="A10" s="160" t="str">
        <f>'내역서(표준단가)'!A13</f>
        <v>M010602702400101</v>
      </c>
      <c r="B10" s="161">
        <f>'내역서(표준단가)'!F13</f>
        <v>0</v>
      </c>
      <c r="C10" s="161">
        <f>'내역서(표준단가)'!G13</f>
        <v>0</v>
      </c>
      <c r="D10" s="161" t="str">
        <f>'내역서(표준단가)'!H13</f>
        <v>M010602702400101</v>
      </c>
      <c r="E10" s="161">
        <f>'내역서(표준단가)'!I13</f>
        <v>0</v>
      </c>
      <c r="F10" s="161">
        <f>'내역서(표준단가)'!M13</f>
        <v>6</v>
      </c>
    </row>
    <row r="11" spans="1:6">
      <c r="A11" s="160" t="str">
        <f>'내역서(표준단가)'!A14</f>
        <v>L002</v>
      </c>
      <c r="B11" s="161">
        <f>'내역서(표준단가)'!F14</f>
        <v>0</v>
      </c>
      <c r="C11" s="161">
        <f>'내역서(표준단가)'!G14</f>
        <v>0</v>
      </c>
      <c r="D11" s="161">
        <f>'내역서(표준단가)'!H14</f>
        <v>0</v>
      </c>
      <c r="E11" s="161" t="str">
        <f>'내역서(표준단가)'!I14</f>
        <v>L002</v>
      </c>
      <c r="F11" s="161">
        <f>'내역서(표준단가)'!M14</f>
        <v>1</v>
      </c>
    </row>
    <row r="12" spans="1:6">
      <c r="A12" s="160" t="str">
        <f>'내역서(표준단가)'!A15</f>
        <v>L003</v>
      </c>
      <c r="B12" s="161">
        <f>'내역서(표준단가)'!F15</f>
        <v>0</v>
      </c>
      <c r="C12" s="161">
        <f>'내역서(표준단가)'!G15</f>
        <v>0</v>
      </c>
      <c r="D12" s="161">
        <f>'내역서(표준단가)'!H15</f>
        <v>0</v>
      </c>
      <c r="E12" s="161" t="str">
        <f>'내역서(표준단가)'!I15</f>
        <v>L003</v>
      </c>
      <c r="F12" s="161">
        <f>'내역서(표준단가)'!M15</f>
        <v>1</v>
      </c>
    </row>
    <row r="13" spans="1:6">
      <c r="A13" s="160" t="str">
        <f>'내역서(표준단가)'!A16</f>
        <v>L003</v>
      </c>
      <c r="B13" s="161">
        <f>'내역서(표준단가)'!F16</f>
        <v>0</v>
      </c>
      <c r="C13" s="161">
        <f>'내역서(표준단가)'!G16</f>
        <v>0</v>
      </c>
      <c r="D13" s="161">
        <f>'내역서(표준단가)'!H16</f>
        <v>0</v>
      </c>
      <c r="E13" s="161" t="str">
        <f>'내역서(표준단가)'!I16</f>
        <v>L003</v>
      </c>
      <c r="F13" s="161">
        <f>'내역서(표준단가)'!M16</f>
        <v>2</v>
      </c>
    </row>
    <row r="14" spans="1:6">
      <c r="A14" s="160" t="str">
        <f>'내역서(표준단가)'!A17</f>
        <v>L002</v>
      </c>
      <c r="B14" s="161">
        <f>'내역서(표준단가)'!F17</f>
        <v>0</v>
      </c>
      <c r="C14" s="161">
        <f>'내역서(표준단가)'!G17</f>
        <v>0</v>
      </c>
      <c r="D14" s="161">
        <f>'내역서(표준단가)'!H17</f>
        <v>0</v>
      </c>
      <c r="E14" s="161" t="str">
        <f>'내역서(표준단가)'!I17</f>
        <v>L002</v>
      </c>
      <c r="F14" s="161">
        <f>'내역서(표준단가)'!M17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2025-02-11T02:22:07Z</dcterms:modified>
</cp:coreProperties>
</file>
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현재_통합_문서"/>
  <xr:revisionPtr revIDLastSave="0" documentId="13_ncr:1_{35FC4C46-DC4C-4789-B805-D70308A066B0}" xr6:coauthVersionLast="47" xr6:coauthVersionMax="47" xr10:uidLastSave="{00000000-0000-0000-0000-000000000000}"/>
  <bookViews>
    <workbookView xWindow="0" yWindow="0" windowWidth="14490" windowHeight="15480" firstSheet="2" activeTab="3" xr2:uid="{00000000-000D-0000-FFFF-FFFF00000000}"/>
  </bookViews>
  <sheets>
    <sheet name="갑지" sheetId="5" r:id="rId1"/>
    <sheet name="내역서(표준단가)" sheetId="4" r:id="rId2"/>
    <sheet name="시중가 근거서류" sheetId="11" r:id="rId3"/>
    <sheet name="Upload" sheetId="6" r:id="rId4"/>
    <sheet name="Upload(표준)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F2" i="1" l="1"/>
  <c r="E2" i="1"/>
  <c r="D2" i="1"/>
  <c r="C2" i="1"/>
  <c r="B2" i="1"/>
  <c r="Q5" i="4"/>
  <c r="O5" i="4"/>
  <c r="K5" i="4"/>
  <c r="A5" i="4"/>
  <c r="A2" i="1" s="1"/>
  <c r="Q6" i="4"/>
  <c r="O6" i="4"/>
  <c r="M6" i="4"/>
  <c r="K6" i="4"/>
  <c r="R6" i="4" l="1"/>
  <c r="R5" i="4"/>
  <c r="Q7" i="4"/>
  <c r="M7" i="4"/>
  <c r="O7" i="4" l="1"/>
  <c r="R7" i="4" l="1"/>
  <c r="F18" i="5" l="1"/>
  <c r="K7" i="4" l="1"/>
  <c r="F17" i="5" l="1"/>
  <c r="F16" i="5"/>
  <c r="F26" i="5" l="1"/>
  <c r="F22" i="5"/>
  <c r="F21" i="5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<sst xmlns="http://schemas.openxmlformats.org/spreadsheetml/2006/main" count="130" uniqueCount="108">
  <si>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</si>
  <si>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</si>
  <si>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</si>
  <si>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</si>
  <si>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</si>
  <si>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</si>
  <si>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</si>
  <si>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</si>
  <si>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</si>
  <si>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</si>
  <si>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</si>
  <si>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</si>
  <si>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</si>
  <si>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</si>
  <si>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</si>
  <si>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</si>
  <si>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</si>
  <si>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</si>
  <si>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</si>
  <si>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</si>
  <si>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</si>
  <si>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</si>
  <si>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</si>
  <si>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</si>
  <si>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</si>
  <si>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</si>
  <si>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</si>
  <si>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</si>
  <si>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</si>
  <si>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</si>
  <si>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</si>
  <si>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</si>
  <si>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</si>
  <si>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</si>
  <si>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</si>
  <si>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</si>
  <si>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</si>
  <si>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등록번호</t>
    <phoneticPr fontId="8" type="noConversion"/>
  </si>
  <si>
    <t>종 목</t>
    <phoneticPr fontId="8" type="noConversion"/>
  </si>
  <si>
    <t>TEL, FAX</t>
    <phoneticPr fontId="8" type="noConversion"/>
  </si>
  <si>
    <t>상 호</t>
    <phoneticPr fontId="8" type="noConversion"/>
  </si>
  <si>
    <t>대표 이사</t>
    <phoneticPr fontId="8" type="noConversion"/>
  </si>
  <si>
    <t>사업장</t>
    <phoneticPr fontId="8" type="noConversion"/>
  </si>
  <si>
    <t>업 태</t>
    <phoneticPr fontId="8" type="noConversion"/>
  </si>
  <si>
    <t>할증기준</t>
    <phoneticPr fontId="6" type="noConversion"/>
  </si>
  <si>
    <t> 노무비*1.01%</t>
    <phoneticPr fontId="14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</si>
  <si>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</si>
  <si>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</si>
  <si>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</si>
  <si>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</si>
  <si>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</si>
  <si>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</si>
  <si>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</si>
  <si>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</si>
  <si>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</si>
  <si>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</si>
  <si>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</si>
  <si>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</si>
  <si>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</si>
  <si>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</si>
  <si>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</si>
  <si>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</si>
  <si>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</si>
  <si>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2" type="noConversion"/>
  </si>
  <si>
    <t> 건강보험료*12.95%</t>
    <phoneticPr fontId="14" type="noConversion"/>
  </si>
  <si>
    <t> 노무비*3.56%</t>
    <phoneticPr fontId="14" type="noConversion"/>
  </si>
  <si>
    <t>314-86-35718</t>
    <phoneticPr fontId="6" type="noConversion"/>
  </si>
  <si>
    <t>㈜일성건축</t>
    <phoneticPr fontId="6" type="noConversion"/>
  </si>
  <si>
    <t>상 석 희</t>
    <phoneticPr fontId="6" type="noConversion"/>
  </si>
  <si>
    <t>대전 서구 도마6길 107 (도마동)</t>
    <phoneticPr fontId="6" type="noConversion"/>
  </si>
  <si>
    <t>건설업</t>
    <phoneticPr fontId="6" type="noConversion"/>
  </si>
  <si>
    <t>실내건축,인테리어공사</t>
    <phoneticPr fontId="6" type="noConversion"/>
  </si>
  <si>
    <t>042)527-0995, 042)527-0996</t>
    <phoneticPr fontId="6" type="noConversion"/>
  </si>
  <si>
    <t>전문업체 견적서 참조</t>
    <phoneticPr fontId="6" type="noConversion"/>
  </si>
  <si>
    <t>set</t>
    <phoneticPr fontId="6" type="noConversion"/>
  </si>
  <si>
    <t>영선, 건축</t>
    <phoneticPr fontId="6" type="noConversion"/>
  </si>
  <si>
    <t>전문업체 견적서 참조</t>
    <phoneticPr fontId="6" type="noConversion"/>
  </si>
  <si>
    <t>set</t>
    <phoneticPr fontId="6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</si>
  <si>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</si>
  <si>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</si>
  <si>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주요내역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</si>
  <si>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</si>
  <si>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</si>
  <si>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</si>
  <si>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</si>
  <si>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합계</t>
    <phoneticPr fontId="8" type="noConversion"/>
  </si>
  <si>
    <t>노무비 할증</t>
    <phoneticPr fontId="6" type="noConversion"/>
  </si>
  <si>
    <t>합계</t>
    <phoneticPr fontId="6" type="noConversion"/>
  </si>
  <si>
    <t>표준단가 D</t>
    <phoneticPr fontId="6" type="noConversion"/>
  </si>
  <si>
    <t>표준품셈 E</t>
    <phoneticPr fontId="6" type="noConversion"/>
  </si>
  <si>
    <t>물가정보 M</t>
    <phoneticPr fontId="6" type="noConversion"/>
  </si>
  <si>
    <t>노임단가 L</t>
    <phoneticPr fontId="6" type="noConversion"/>
  </si>
  <si>
    <t>품목</t>
    <phoneticPr fontId="6" type="noConversion"/>
  </si>
  <si>
    <t>규격</t>
    <phoneticPr fontId="6" type="noConversion"/>
  </si>
  <si>
    <t>품셈/표단</t>
    <phoneticPr fontId="6" type="noConversion"/>
  </si>
  <si>
    <t>금액</t>
  </si>
  <si>
    <t>단가</t>
    <phoneticPr fontId="8" type="noConversion"/>
  </si>
  <si>
    <t>단가</t>
  </si>
  <si>
    <t>8동 씽크대 상하부장 문짝교체</t>
    <phoneticPr fontId="6" type="noConversion"/>
  </si>
  <si>
    <t>L003</t>
  </si>
  <si>
    <t>철거 및 폐기물 처리</t>
    <phoneticPr fontId="6" type="noConversion"/>
  </si>
  <si>
    <t>특별인부</t>
    <phoneticPr fontId="6" type="noConversion"/>
  </si>
  <si>
    <t>인</t>
    <phoneticPr fontId="6" type="noConversion"/>
  </si>
  <si>
    <t> (재료비+노무비)*3.11%</t>
    <phoneticPr fontId="14" type="noConversion"/>
  </si>
  <si>
    <t> 노무비*4.75%</t>
    <phoneticPr fontId="14" type="noConversion"/>
  </si>
  <si>
    <t> 노무비*3.595%</t>
    <phoneticPr fontId="14" type="noConversion"/>
  </si>
  <si>
    <t xml:space="preserve"> 견적일 : 2026년  06월  08일</t>
    <phoneticPr fontId="12" type="noConversion"/>
  </si>
  <si>
    <t xml:space="preserve"> 공사명 : 사택 8-207 씽크대 상하부장 문짝교체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</si>
</sst>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0.0_ "/>
    <numFmt numFmtId="185" formatCode="#,##0_ "/>
    <numFmt numFmtId="186" formatCode="#,##0;\-#,##0;"/>
    <numFmt numFmtId="187" formatCode="0.000"/>
  </numFmts>
  <fonts count="2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/>
      <right style="thin">
        <color rgb="FFDCDBDA"/>
      </right>
      <top style="thin">
        <color rgb="FFDCDBDA"/>
      </top>
      <bottom/>
      <diagonal/>
    </border>
  </borders>
  <cellStyleXfs count="20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5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5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5" fillId="0" borderId="0"/>
    <xf numFmtId="176" fontId="15" fillId="0" borderId="0" applyFont="0" applyFill="0" applyBorder="0" applyAlignment="0" applyProtection="0"/>
    <xf numFmtId="177" fontId="1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39">
    <xf numFmtId="0" fontId="0" fillId="0" borderId="0" xfId="0">
      <alignment vertical="center"/>
    </xf>
    <xf numFmtId="0" fontId="13" fillId="0" borderId="7" xfId="6" applyFont="1" applyBorder="1" applyAlignment="1">
      <alignment horizontal="right" vertical="center"/>
    </xf>
    <xf numFmtId="0" fontId="16" fillId="0" borderId="0" xfId="6" applyFont="1" applyAlignment="1">
      <alignment vertical="center"/>
    </xf>
    <xf numFmtId="0" fontId="17" fillId="0" borderId="0" xfId="3" applyFont="1"/>
    <xf numFmtId="0" fontId="18" fillId="0" borderId="5" xfId="6" applyFont="1" applyBorder="1" applyAlignment="1">
      <alignment horizontal="center" vertical="center"/>
    </xf>
    <xf numFmtId="0" fontId="13" fillId="0" borderId="6" xfId="6" applyFont="1" applyBorder="1" applyAlignment="1">
      <alignment horizontal="right" vertical="center"/>
    </xf>
    <xf numFmtId="0" fontId="13" fillId="5" borderId="25" xfId="6" applyFont="1" applyFill="1" applyBorder="1" applyAlignment="1">
      <alignment horizontal="center" vertical="center"/>
    </xf>
    <xf numFmtId="0" fontId="13" fillId="5" borderId="26" xfId="6" applyFont="1" applyFill="1" applyBorder="1" applyAlignment="1">
      <alignment vertical="center" shrinkToFit="1"/>
    </xf>
    <xf numFmtId="0" fontId="13" fillId="5" borderId="2" xfId="6" applyFont="1" applyFill="1" applyBorder="1" applyAlignment="1">
      <alignment horizontal="center" vertical="center"/>
    </xf>
    <xf numFmtId="0" fontId="13" fillId="5" borderId="27" xfId="6" applyFont="1" applyFill="1" applyBorder="1" applyAlignment="1">
      <alignment vertical="center" shrinkToFit="1"/>
    </xf>
    <xf numFmtId="0" fontId="19" fillId="0" borderId="0" xfId="6" applyFont="1" applyAlignment="1">
      <alignment vertical="center" shrinkToFit="1"/>
    </xf>
    <xf numFmtId="0" fontId="13" fillId="5" borderId="2" xfId="6" applyFont="1" applyFill="1" applyBorder="1" applyAlignment="1">
      <alignment horizontal="center" vertical="center" shrinkToFit="1"/>
    </xf>
    <xf numFmtId="0" fontId="13" fillId="0" borderId="2" xfId="6" applyFont="1" applyBorder="1" applyAlignment="1">
      <alignment horizontal="center" vertical="center"/>
    </xf>
    <xf numFmtId="0" fontId="13" fillId="0" borderId="27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13" fillId="0" borderId="28" xfId="6" applyFont="1" applyBorder="1" applyAlignment="1">
      <alignment horizontal="center" vertical="center" shrinkToFit="1"/>
    </xf>
    <xf numFmtId="0" fontId="13" fillId="0" borderId="29" xfId="6" applyFont="1" applyBorder="1" applyAlignment="1">
      <alignment vertical="center" shrinkToFit="1"/>
    </xf>
    <xf numFmtId="0" fontId="19" fillId="0" borderId="7" xfId="6" applyFont="1" applyBorder="1" applyAlignment="1">
      <alignment vertical="center"/>
    </xf>
    <xf numFmtId="179" fontId="18" fillId="0" borderId="7" xfId="6" applyNumberFormat="1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13" fillId="0" borderId="10" xfId="6" applyFont="1" applyBorder="1" applyAlignment="1">
      <alignment horizontal="center" vertical="center"/>
    </xf>
    <xf numFmtId="0" fontId="20" fillId="0" borderId="11" xfId="6" applyFont="1" applyBorder="1" applyAlignment="1">
      <alignment horizontal="center" vertical="center"/>
    </xf>
    <xf numFmtId="0" fontId="13" fillId="0" borderId="12" xfId="6" applyFont="1" applyBorder="1" applyAlignment="1">
      <alignment vertical="center"/>
    </xf>
    <xf numFmtId="0" fontId="20" fillId="0" borderId="12" xfId="6" applyFont="1" applyBorder="1" applyAlignment="1">
      <alignment vertical="center"/>
    </xf>
    <xf numFmtId="1" fontId="20" fillId="0" borderId="12" xfId="6" applyNumberFormat="1" applyFont="1" applyBorder="1" applyAlignment="1">
      <alignment horizontal="center" vertical="center"/>
    </xf>
    <xf numFmtId="180" fontId="20" fillId="0" borderId="12" xfId="7" applyFont="1" applyBorder="1" applyAlignment="1">
      <alignment horizontal="right" vertical="center"/>
    </xf>
    <xf numFmtId="0" fontId="20" fillId="0" borderId="13" xfId="6" applyFont="1" applyBorder="1" applyAlignment="1">
      <alignment vertical="center"/>
    </xf>
    <xf numFmtId="0" fontId="20" fillId="0" borderId="14" xfId="6" applyFont="1" applyBorder="1" applyAlignment="1">
      <alignment horizontal="center" vertical="center"/>
    </xf>
    <xf numFmtId="0" fontId="20" fillId="0" borderId="15" xfId="6" applyFont="1" applyBorder="1" applyAlignment="1">
      <alignment horizontal="center" vertical="center"/>
    </xf>
    <xf numFmtId="0" fontId="20" fillId="0" borderId="15" xfId="3" applyFont="1" applyBorder="1" applyAlignment="1">
      <alignment horizontal="center" vertical="center"/>
    </xf>
    <xf numFmtId="1" fontId="20" fillId="0" borderId="15" xfId="6" applyNumberFormat="1" applyFont="1" applyBorder="1" applyAlignment="1">
      <alignment horizontal="center" vertical="center"/>
    </xf>
    <xf numFmtId="180" fontId="20" fillId="0" borderId="15" xfId="7" applyFont="1" applyBorder="1" applyAlignment="1">
      <alignment horizontal="right" vertical="center"/>
    </xf>
    <xf numFmtId="0" fontId="20" fillId="0" borderId="16" xfId="6" quotePrefix="1" applyFont="1" applyBorder="1" applyAlignment="1">
      <alignment vertical="center"/>
    </xf>
    <xf numFmtId="0" fontId="20" fillId="0" borderId="16" xfId="6" applyFont="1" applyBorder="1" applyAlignment="1">
      <alignment vertical="center"/>
    </xf>
    <xf numFmtId="0" fontId="13" fillId="8" borderId="15" xfId="6" applyFont="1" applyFill="1" applyBorder="1" applyAlignment="1">
      <alignment vertical="center"/>
    </xf>
    <xf numFmtId="1" fontId="13" fillId="8" borderId="15" xfId="6" applyNumberFormat="1" applyFont="1" applyFill="1" applyBorder="1" applyAlignment="1">
      <alignment horizontal="center" vertical="center"/>
    </xf>
    <xf numFmtId="180" fontId="13" fillId="8" borderId="15" xfId="7" applyFont="1" applyFill="1" applyBorder="1" applyAlignment="1">
      <alignment horizontal="right" vertical="center"/>
    </xf>
    <xf numFmtId="0" fontId="13" fillId="0" borderId="15" xfId="6" applyFont="1" applyBorder="1" applyAlignment="1">
      <alignment vertical="center"/>
    </xf>
    <xf numFmtId="0" fontId="20" fillId="0" borderId="15" xfId="6" applyFont="1" applyBorder="1" applyAlignment="1">
      <alignment vertical="center"/>
    </xf>
    <xf numFmtId="180" fontId="13" fillId="0" borderId="15" xfId="7" applyFont="1" applyFill="1" applyBorder="1" applyAlignment="1">
      <alignment horizontal="right" vertical="center"/>
    </xf>
    <xf numFmtId="0" fontId="20" fillId="0" borderId="15" xfId="8" applyFont="1" applyBorder="1" applyAlignment="1">
      <alignment horizontal="center" vertical="center"/>
    </xf>
    <xf numFmtId="178" fontId="20" fillId="0" borderId="15" xfId="5" applyFont="1" applyFill="1" applyBorder="1" applyAlignment="1">
      <alignment horizontal="right" vertical="center"/>
    </xf>
    <xf numFmtId="0" fontId="20" fillId="5" borderId="16" xfId="6" applyFont="1" applyFill="1" applyBorder="1" applyAlignment="1">
      <alignment vertical="center"/>
    </xf>
    <xf numFmtId="0" fontId="20" fillId="0" borderId="15" xfId="3" applyFont="1" applyBorder="1" applyAlignment="1">
      <alignment horizontal="left" vertical="center"/>
    </xf>
    <xf numFmtId="9" fontId="13" fillId="8" borderId="15" xfId="3" applyNumberFormat="1" applyFont="1" applyFill="1" applyBorder="1" applyAlignment="1">
      <alignment horizontal="right" vertical="center"/>
    </xf>
    <xf numFmtId="1" fontId="13" fillId="8" borderId="15" xfId="9" applyNumberFormat="1" applyFont="1" applyFill="1" applyBorder="1" applyAlignment="1">
      <alignment horizontal="center" vertical="center"/>
    </xf>
    <xf numFmtId="177" fontId="13" fillId="8" borderId="15" xfId="7" applyNumberFormat="1" applyFont="1" applyFill="1" applyBorder="1" applyAlignment="1">
      <alignment horizontal="right" vertical="center"/>
    </xf>
    <xf numFmtId="9" fontId="20" fillId="0" borderId="15" xfId="3" applyNumberFormat="1" applyFont="1" applyBorder="1" applyAlignment="1">
      <alignment horizontal="right" vertical="center"/>
    </xf>
    <xf numFmtId="1" fontId="20" fillId="0" borderId="15" xfId="9" applyNumberFormat="1" applyFont="1" applyFill="1" applyBorder="1" applyAlignment="1">
      <alignment horizontal="center" vertical="center"/>
    </xf>
    <xf numFmtId="177" fontId="13" fillId="0" borderId="15" xfId="7" applyNumberFormat="1" applyFont="1" applyFill="1" applyBorder="1" applyAlignment="1">
      <alignment horizontal="right" vertical="center"/>
    </xf>
    <xf numFmtId="0" fontId="20" fillId="0" borderId="15" xfId="3" applyFont="1" applyBorder="1" applyAlignment="1">
      <alignment vertical="center"/>
    </xf>
    <xf numFmtId="180" fontId="20" fillId="5" borderId="15" xfId="7" applyFont="1" applyFill="1" applyBorder="1" applyAlignment="1">
      <alignment horizontal="right" vertical="center"/>
    </xf>
    <xf numFmtId="180" fontId="13" fillId="8" borderId="0" xfId="3" applyNumberFormat="1" applyFont="1" applyFill="1" applyAlignment="1">
      <alignment vertical="center"/>
    </xf>
    <xf numFmtId="0" fontId="13" fillId="0" borderId="17" xfId="6" applyFont="1" applyBorder="1" applyAlignment="1">
      <alignment horizontal="center" vertical="center" textRotation="255"/>
    </xf>
    <xf numFmtId="0" fontId="13" fillId="0" borderId="18" xfId="6" applyFont="1" applyBorder="1" applyAlignment="1">
      <alignment vertical="top"/>
    </xf>
    <xf numFmtId="0" fontId="20" fillId="0" borderId="19" xfId="6" applyFont="1" applyBorder="1" applyAlignment="1">
      <alignment vertical="center"/>
    </xf>
    <xf numFmtId="0" fontId="20" fillId="0" borderId="19" xfId="6" applyFont="1" applyBorder="1" applyAlignment="1">
      <alignment horizontal="right" vertical="center"/>
    </xf>
    <xf numFmtId="0" fontId="20" fillId="0" borderId="20" xfId="6" applyFont="1" applyBorder="1" applyAlignment="1">
      <alignment vertical="center"/>
    </xf>
    <xf numFmtId="0" fontId="13" fillId="0" borderId="0" xfId="10" applyFont="1"/>
    <xf numFmtId="181" fontId="18" fillId="0" borderId="0" xfId="1" applyNumberFormat="1" applyFont="1" applyAlignment="1">
      <alignment horizontal="center" vertical="center"/>
    </xf>
    <xf numFmtId="0" fontId="17" fillId="0" borderId="0" xfId="0" applyFont="1">
      <alignment vertical="center"/>
    </xf>
    <xf numFmtId="0" fontId="17" fillId="0" borderId="0" xfId="0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82" fontId="21" fillId="3" borderId="0" xfId="2" applyNumberFormat="1" applyFont="1" applyFill="1" applyAlignment="1">
      <alignment horizontal="center" vertical="center"/>
    </xf>
    <xf numFmtId="0" fontId="21" fillId="4" borderId="2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177" fontId="21" fillId="4" borderId="3" xfId="4" applyFont="1" applyFill="1" applyBorder="1" applyAlignment="1">
      <alignment horizontal="center" vertical="center"/>
    </xf>
    <xf numFmtId="178" fontId="21" fillId="4" borderId="3" xfId="5" applyFont="1" applyFill="1" applyBorder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49" fontId="17" fillId="7" borderId="3" xfId="0" applyNumberFormat="1" applyFont="1" applyFill="1" applyBorder="1" applyAlignment="1">
      <alignment horizontal="center" vertical="center" wrapText="1"/>
    </xf>
    <xf numFmtId="49" fontId="17" fillId="5" borderId="3" xfId="0" applyNumberFormat="1" applyFont="1" applyFill="1" applyBorder="1" applyAlignment="1">
      <alignment horizontal="center" vertical="center" wrapText="1"/>
    </xf>
    <xf numFmtId="177" fontId="17" fillId="0" borderId="3" xfId="1" applyFont="1" applyFill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/>
    </xf>
    <xf numFmtId="0" fontId="17" fillId="7" borderId="3" xfId="0" applyFont="1" applyFill="1" applyBorder="1" applyAlignment="1">
      <alignment horizontal="center" vertical="center"/>
    </xf>
    <xf numFmtId="183" fontId="17" fillId="5" borderId="3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49" fontId="17" fillId="2" borderId="1" xfId="0" applyNumberFormat="1" applyFont="1" applyFill="1" applyBorder="1" applyAlignment="1">
      <alignment horizontal="center" vertical="center" wrapText="1"/>
    </xf>
    <xf numFmtId="49" fontId="17" fillId="2" borderId="33" xfId="0" applyNumberFormat="1" applyFont="1" applyFill="1" applyBorder="1" applyAlignment="1">
      <alignment horizontal="center" vertical="center" wrapText="1"/>
    </xf>
    <xf numFmtId="49" fontId="17" fillId="2" borderId="34" xfId="0" applyNumberFormat="1" applyFont="1" applyFill="1" applyBorder="1" applyAlignment="1">
      <alignment horizontal="center" vertical="center" wrapText="1"/>
    </xf>
    <xf numFmtId="184" fontId="17" fillId="0" borderId="0" xfId="0" applyNumberFormat="1" applyFont="1">
      <alignment vertical="center"/>
    </xf>
    <xf numFmtId="181" fontId="17" fillId="7" borderId="1" xfId="1" applyNumberFormat="1" applyFont="1" applyFill="1" applyBorder="1" applyAlignment="1">
      <alignment horizontal="center" vertical="center"/>
    </xf>
    <xf numFmtId="181" fontId="17" fillId="0" borderId="1" xfId="1" applyNumberFormat="1" applyFont="1" applyBorder="1" applyAlignment="1">
      <alignment horizontal="center" vertical="center"/>
    </xf>
    <xf numFmtId="185" fontId="17" fillId="0" borderId="0" xfId="0" applyNumberFormat="1" applyFont="1">
      <alignment vertical="center"/>
    </xf>
    <xf numFmtId="0" fontId="17" fillId="7" borderId="4" xfId="0" applyFont="1" applyFill="1" applyBorder="1" applyAlignment="1">
      <alignment horizontal="center"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center" vertical="center" wrapText="1"/>
    </xf>
    <xf numFmtId="49" fontId="22" fillId="7" borderId="3" xfId="0" applyNumberFormat="1" applyFont="1" applyFill="1" applyBorder="1" applyAlignment="1">
      <alignment horizontal="center" vertical="center" wrapText="1"/>
    </xf>
    <xf numFmtId="0" fontId="18" fillId="0" borderId="0" xfId="19" applyFont="1">
      <alignment vertical="center"/>
    </xf>
    <xf numFmtId="0" fontId="23" fillId="0" borderId="0" xfId="19" applyFont="1">
      <alignment vertical="center"/>
    </xf>
    <xf numFmtId="0" fontId="18" fillId="0" borderId="0" xfId="19" applyFont="1" applyAlignment="1">
      <alignment horizontal="center" vertical="center"/>
    </xf>
    <xf numFmtId="0" fontId="18" fillId="0" borderId="0" xfId="0" applyFont="1">
      <alignment vertical="center"/>
    </xf>
    <xf numFmtId="186" fontId="17" fillId="5" borderId="3" xfId="0" applyNumberFormat="1" applyFont="1" applyFill="1" applyBorder="1" applyAlignment="1">
      <alignment horizontal="right" vertical="center" wrapText="1"/>
    </xf>
    <xf numFmtId="186" fontId="17" fillId="0" borderId="3" xfId="0" applyNumberFormat="1" applyFont="1" applyBorder="1" applyAlignment="1">
      <alignment horizontal="right" vertical="center"/>
    </xf>
    <xf numFmtId="186" fontId="17" fillId="6" borderId="3" xfId="1" applyNumberFormat="1" applyFont="1" applyFill="1" applyBorder="1" applyAlignment="1">
      <alignment horizontal="right" vertical="center" wrapText="1"/>
    </xf>
    <xf numFmtId="186" fontId="17" fillId="0" borderId="3" xfId="1" applyNumberFormat="1" applyFont="1" applyFill="1" applyBorder="1" applyAlignment="1">
      <alignment horizontal="right" vertical="center" wrapText="1"/>
    </xf>
    <xf numFmtId="187" fontId="17" fillId="0" borderId="3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21" fillId="4" borderId="3" xfId="3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9" borderId="24" xfId="0" applyFont="1" applyFill="1" applyBorder="1">
      <alignment vertical="center"/>
    </xf>
    <xf numFmtId="0" fontId="21" fillId="9" borderId="21" xfId="0" applyFont="1" applyFill="1" applyBorder="1">
      <alignment vertical="center"/>
    </xf>
    <xf numFmtId="0" fontId="22" fillId="0" borderId="0" xfId="0" applyFont="1">
      <alignment vertical="center"/>
    </xf>
    <xf numFmtId="0" fontId="20" fillId="10" borderId="0" xfId="0" applyFont="1" applyFill="1">
      <alignment vertical="center"/>
    </xf>
    <xf numFmtId="0" fontId="20" fillId="0" borderId="0" xfId="0" applyFont="1">
      <alignment vertical="center"/>
    </xf>
    <xf numFmtId="0" fontId="21" fillId="5" borderId="0" xfId="0" applyFont="1" applyFill="1">
      <alignment vertical="center"/>
    </xf>
    <xf numFmtId="177" fontId="17" fillId="0" borderId="0" xfId="0" applyNumberFormat="1" applyFont="1">
      <alignment vertical="center"/>
    </xf>
    <xf numFmtId="177" fontId="13" fillId="10" borderId="0" xfId="0" applyNumberFormat="1" applyFont="1" applyFill="1">
      <alignment vertical="center"/>
    </xf>
    <xf numFmtId="177" fontId="13" fillId="0" borderId="0" xfId="0" applyNumberFormat="1" applyFont="1">
      <alignment vertical="center"/>
    </xf>
    <xf numFmtId="186" fontId="24" fillId="5" borderId="3" xfId="0" applyNumberFormat="1" applyFont="1" applyFill="1" applyBorder="1" applyAlignment="1">
      <alignment horizontal="right" vertical="center" wrapText="1"/>
    </xf>
    <xf numFmtId="0" fontId="25" fillId="0" borderId="15" xfId="8" applyFont="1" applyBorder="1" applyAlignment="1">
      <alignment horizontal="center" vertical="center"/>
    </xf>
    <xf numFmtId="0" fontId="26" fillId="0" borderId="15" xfId="6" applyFont="1" applyBorder="1" applyAlignment="1">
      <alignment vertical="center"/>
    </xf>
    <xf numFmtId="0" fontId="25" fillId="0" borderId="15" xfId="6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16" fillId="0" borderId="0" xfId="6" applyFont="1" applyAlignment="1">
      <alignment horizontal="center" vertical="center"/>
    </xf>
    <xf numFmtId="0" fontId="19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13" fillId="0" borderId="6" xfId="6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9" borderId="4" xfId="0" applyFont="1" applyFill="1" applyBorder="1" applyAlignment="1">
      <alignment horizontal="center" vertical="center"/>
    </xf>
    <xf numFmtId="177" fontId="21" fillId="4" borderId="21" xfId="4" applyFont="1" applyFill="1" applyBorder="1" applyAlignment="1">
      <alignment horizontal="center" vertical="center"/>
    </xf>
    <xf numFmtId="178" fontId="21" fillId="4" borderId="21" xfId="5" applyFont="1" applyFill="1" applyBorder="1" applyAlignment="1">
      <alignment horizontal="center" vertical="center"/>
    </xf>
    <xf numFmtId="0" fontId="21" fillId="4" borderId="21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/>
    </xf>
    <xf numFmtId="0" fontId="21" fillId="4" borderId="3" xfId="3" applyFont="1" applyFill="1" applyBorder="1" applyAlignment="1">
      <alignment horizontal="center" vertical="center"/>
    </xf>
    <xf numFmtId="0" fontId="21" fillId="4" borderId="21" xfId="3" applyFont="1" applyFill="1" applyBorder="1" applyAlignment="1">
      <alignment horizontal="center" vertical="center" wrapText="1"/>
    </xf>
  </cellXfs>
  <cellStyles count="20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 5 2" xfId="19" xr:uid="{4F030649-8CC0-4CE1-BD4A-B2012A676EE5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107497</xdr:rowOff>
    </xdr:from>
    <xdr:to>
      <xdr:col>14</xdr:col>
      <xdr:colOff>1433285</xdr:colOff>
      <xdr:row>33</xdr:row>
      <xdr:rowOff>134711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1CF46DE-C745-428A-AC78-2C02A14D6F81}"/>
            </a:ext>
          </a:extLst>
        </xdr:cNvPr>
        <xdr:cNvSpPr/>
      </xdr:nvSpPr>
      <xdr:spPr>
        <a:xfrm>
          <a:off x="0" y="317047"/>
          <a:ext cx="14634935" cy="6732814"/>
        </a:xfrm>
        <a:prstGeom prst="rect">
          <a:avLst/>
        </a:prstGeom>
        <a:solidFill>
          <a:schemeClr val="bg2"/>
        </a:solidFill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&lt;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첨부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_8</a:t>
          </a:r>
          <a:r>
            <a:rPr lang="ko-KR" altLang="en-US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동 씽크대 상하부장 문짝교체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, </a:t>
          </a:r>
          <a:r>
            <a:rPr lang="ko-KR" altLang="en-US" sz="1100" b="1" baseline="0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전문업체 견적서</a:t>
          </a:r>
          <a:r>
            <a:rPr lang="en-US" altLang="ko-KR" sz="1100" b="1">
              <a:solidFill>
                <a:schemeClr val="tx1"/>
              </a:solidFill>
              <a:latin typeface="LG스마트체 Regular" panose="020B0600000101010101" pitchFamily="50" charset="-127"/>
              <a:ea typeface="LG스마트체 Regular" panose="020B0600000101010101" pitchFamily="50" charset="-127"/>
            </a:rPr>
            <a:t>&gt;</a:t>
          </a:r>
        </a:p>
        <a:p>
          <a:pPr algn="l"/>
          <a:endParaRPr lang="en-US" altLang="ko-KR" sz="1100" b="1">
            <a:solidFill>
              <a:schemeClr val="tx1"/>
            </a:solidFill>
            <a:latin typeface="LG스마트체 Regular" panose="020B0600000101010101" pitchFamily="50" charset="-127"/>
            <a:ea typeface="LG스마트체 Regular" panose="020B0600000101010101" pitchFamily="50" charset="-127"/>
          </a:endParaRPr>
        </a:p>
      </xdr:txBody>
    </xdr:sp>
    <xdr:clientData/>
  </xdr:twoCellAnchor>
  <xdr:twoCellAnchor editAs="oneCell">
    <xdr:from>
      <xdr:col>0</xdr:col>
      <xdr:colOff>323850</xdr:colOff>
      <xdr:row>4</xdr:row>
      <xdr:rowOff>28575</xdr:rowOff>
    </xdr:from>
    <xdr:to>
      <xdr:col>4</xdr:col>
      <xdr:colOff>276983</xdr:colOff>
      <xdr:row>36</xdr:row>
      <xdr:rowOff>94189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B7089D8-F74F-4B65-A5BE-9C58C59B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866775"/>
          <a:ext cx="4134608" cy="5856814"/>
        </a:xfrm>
        <a:prstGeom prst="rect">
          <a:avLst/>
        </a:prstGeom>
      </xdr:spPr>
    </xdr:pic>
    <xdr:clientData/>
  </xdr:twoCellAnchor>
  <xdr:twoCellAnchor editAs="oneCell">
    <xdr:from>
      <xdr:col>4</xdr:col>
      <xdr:colOff>866775</xdr:colOff>
      <xdr:row>4</xdr:row>
      <xdr:rowOff>95249</xdr:rowOff>
    </xdr:from>
    <xdr:to>
      <xdr:col>9</xdr:col>
      <xdr:colOff>430125</xdr:colOff>
      <xdr:row>36</xdr:row>
      <xdr:rowOff>85724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2961EF20-7E5B-4F0D-A382-35EC3AF3F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8250" y="933449"/>
          <a:ext cx="4097250" cy="5781675"/>
        </a:xfrm>
        <a:prstGeom prst="rect">
          <a:avLst/>
        </a:prstGeom>
      </xdr:spPr>
    </xdr:pic>
    <xdr:clientData/>
  </xdr:twoCellAnchor>
  <xdr:twoCellAnchor editAs="oneCell">
    <xdr:from>
      <xdr:col>10</xdr:col>
      <xdr:colOff>142875</xdr:colOff>
      <xdr:row>4</xdr:row>
      <xdr:rowOff>57150</xdr:rowOff>
    </xdr:from>
    <xdr:to>
      <xdr:col>14</xdr:col>
      <xdr:colOff>742950</xdr:colOff>
      <xdr:row>36</xdr:row>
      <xdr:rowOff>65859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3F4A91CC-4F56-4F04-A915-1168B8B0B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29800" y="895350"/>
          <a:ext cx="4114800" cy="5799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opLeftCell="A7" zoomScale="85" zoomScaleNormal="85" workbookViewId="0">
      <selection activeCell="E24" sqref="E24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21" t="s">
        <v>6</v>
      </c>
      <c r="B2" s="121"/>
      <c r="C2" s="121"/>
      <c r="D2" s="121"/>
      <c r="E2" s="121"/>
      <c r="F2" s="121"/>
      <c r="G2" s="121"/>
      <c r="H2" s="2"/>
    </row>
    <row r="3" spans="1:9" ht="14.25" x14ac:dyDescent="0.2">
      <c r="A3" s="86"/>
      <c r="B3" s="86"/>
      <c r="C3" s="86"/>
      <c r="D3" s="86"/>
      <c r="E3" s="86"/>
      <c r="F3" s="86"/>
      <c r="G3" s="86"/>
      <c r="H3" s="86"/>
    </row>
    <row r="4" spans="1:9" ht="14.25" x14ac:dyDescent="0.2">
      <c r="A4" s="86"/>
      <c r="B4" s="86"/>
      <c r="C4" s="86"/>
      <c r="D4" s="86"/>
      <c r="E4" s="86"/>
      <c r="H4" s="86"/>
    </row>
    <row r="5" spans="1:9" ht="27" customHeight="1" x14ac:dyDescent="0.2">
      <c r="A5" s="87" t="s">
        <v>63</v>
      </c>
      <c r="B5" s="4"/>
      <c r="C5" s="5"/>
      <c r="D5" s="86"/>
      <c r="E5" s="86"/>
      <c r="F5" s="6" t="s">
        <v>37</v>
      </c>
      <c r="G5" s="7" t="s">
        <v>66</v>
      </c>
      <c r="H5" s="86"/>
    </row>
    <row r="6" spans="1:9" ht="27" customHeight="1" x14ac:dyDescent="0.2">
      <c r="A6" s="86"/>
      <c r="B6" s="86"/>
      <c r="C6" s="86"/>
      <c r="D6" s="86"/>
      <c r="E6" s="86"/>
      <c r="F6" s="8" t="s">
        <v>40</v>
      </c>
      <c r="G6" s="9" t="s">
        <v>67</v>
      </c>
      <c r="H6" s="86"/>
    </row>
    <row r="7" spans="1:9" ht="27" customHeight="1" x14ac:dyDescent="0.2">
      <c r="A7" s="124" t="s">
        <v>107</v>
      </c>
      <c r="B7" s="125"/>
      <c r="C7" s="126"/>
      <c r="D7" s="86"/>
      <c r="E7" s="10"/>
      <c r="F7" s="11" t="s">
        <v>41</v>
      </c>
      <c r="G7" s="9" t="s">
        <v>68</v>
      </c>
      <c r="H7" s="86"/>
    </row>
    <row r="8" spans="1:9" ht="27" customHeight="1" x14ac:dyDescent="0.2">
      <c r="A8" s="86"/>
      <c r="B8" s="86"/>
      <c r="C8" s="86"/>
      <c r="D8" s="86"/>
      <c r="E8" s="86"/>
      <c r="F8" s="8" t="s">
        <v>42</v>
      </c>
      <c r="G8" s="9" t="s">
        <v>69</v>
      </c>
      <c r="H8" s="86"/>
    </row>
    <row r="9" spans="1:9" ht="27" customHeight="1" x14ac:dyDescent="0.2">
      <c r="A9" s="124" t="s">
        <v>106</v>
      </c>
      <c r="B9" s="125"/>
      <c r="C9" s="126"/>
      <c r="D9" s="86"/>
      <c r="E9" s="86"/>
      <c r="F9" s="8" t="s">
        <v>43</v>
      </c>
      <c r="G9" s="9" t="s">
        <v>70</v>
      </c>
      <c r="H9" s="86"/>
    </row>
    <row r="10" spans="1:9" ht="27" customHeight="1" x14ac:dyDescent="0.2">
      <c r="A10" s="86"/>
      <c r="B10" s="86"/>
      <c r="C10" s="86"/>
      <c r="D10" s="86"/>
      <c r="E10" s="86"/>
      <c r="F10" s="12" t="s">
        <v>38</v>
      </c>
      <c r="G10" s="13" t="s">
        <v>71</v>
      </c>
      <c r="H10" s="86"/>
      <c r="I10" s="86"/>
    </row>
    <row r="11" spans="1:9" ht="27" customHeight="1" x14ac:dyDescent="0.2">
      <c r="A11" s="122"/>
      <c r="B11" s="123"/>
      <c r="C11" s="123"/>
      <c r="D11" s="86"/>
      <c r="E11" s="14"/>
      <c r="F11" s="15" t="s">
        <v>39</v>
      </c>
      <c r="G11" s="16" t="s">
        <v>72</v>
      </c>
      <c r="H11" s="14"/>
    </row>
    <row r="12" spans="1:9" ht="18.75" thickBot="1" x14ac:dyDescent="0.25">
      <c r="A12" s="17" t="s">
        <v>7</v>
      </c>
      <c r="B12" s="17" t="str">
        <f>NUMBERSTRING(F31,1)</f>
        <v>일백일십만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 x14ac:dyDescent="0.25">
      <c r="A13" s="86"/>
      <c r="B13" s="86"/>
      <c r="C13" s="86"/>
      <c r="D13" s="86"/>
      <c r="E13" s="86"/>
      <c r="F13" s="86"/>
      <c r="G13" s="86"/>
      <c r="H13" s="19"/>
    </row>
    <row r="14" spans="1:9" ht="33" customHeight="1" thickBot="1" x14ac:dyDescent="0.25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 x14ac:dyDescent="0.2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18</v>
      </c>
      <c r="C16" s="31"/>
      <c r="D16" s="32"/>
      <c r="E16" s="32"/>
      <c r="F16" s="33">
        <f>'내역서(표준단가)'!K7</f>
        <v>800000</v>
      </c>
      <c r="G16" s="34"/>
    </row>
    <row r="17" spans="1:7" ht="33" customHeight="1" x14ac:dyDescent="0.2">
      <c r="A17" s="29"/>
      <c r="B17" s="30" t="s">
        <v>19</v>
      </c>
      <c r="C17" s="31"/>
      <c r="D17" s="32"/>
      <c r="E17" s="32"/>
      <c r="F17" s="33">
        <f>'내역서(표준단가)'!M7</f>
        <v>224490</v>
      </c>
      <c r="G17" s="35"/>
    </row>
    <row r="18" spans="1:7" ht="33" customHeight="1" x14ac:dyDescent="0.2">
      <c r="A18" s="29"/>
      <c r="B18" s="30" t="s">
        <v>20</v>
      </c>
      <c r="C18" s="31"/>
      <c r="D18" s="32"/>
      <c r="E18" s="32"/>
      <c r="F18" s="33">
        <f>'내역서(표준단가)'!O7+'내역서(표준단가)'!Q7</f>
        <v>0</v>
      </c>
      <c r="G18" s="35"/>
    </row>
    <row r="19" spans="1:7" ht="33" customHeight="1" x14ac:dyDescent="0.2">
      <c r="A19" s="29"/>
      <c r="B19" s="36" t="s">
        <v>21</v>
      </c>
      <c r="C19" s="36"/>
      <c r="D19" s="37"/>
      <c r="E19" s="37"/>
      <c r="F19" s="38">
        <f>F16+F17+F18</f>
        <v>1024490</v>
      </c>
      <c r="G19" s="35"/>
    </row>
    <row r="20" spans="1:7" ht="33" customHeight="1" x14ac:dyDescent="0.2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 x14ac:dyDescent="0.2">
      <c r="A21" s="29"/>
      <c r="B21" s="114" t="s">
        <v>23</v>
      </c>
      <c r="C21" s="115" t="s">
        <v>104</v>
      </c>
      <c r="D21" s="116">
        <v>1</v>
      </c>
      <c r="E21" s="116" t="s">
        <v>24</v>
      </c>
      <c r="F21" s="117">
        <f>F17*4.75%</f>
        <v>10663.275</v>
      </c>
      <c r="G21" s="35" t="s">
        <v>25</v>
      </c>
    </row>
    <row r="22" spans="1:7" ht="33" customHeight="1" x14ac:dyDescent="0.2">
      <c r="A22" s="29"/>
      <c r="B22" s="118" t="s">
        <v>26</v>
      </c>
      <c r="C22" s="115" t="s">
        <v>105</v>
      </c>
      <c r="D22" s="119">
        <v>1</v>
      </c>
      <c r="E22" s="119" t="s">
        <v>24</v>
      </c>
      <c r="F22" s="120">
        <f>F17*3.595%</f>
        <v>8070.415500000001</v>
      </c>
      <c r="G22" s="44" t="s">
        <v>27</v>
      </c>
    </row>
    <row r="23" spans="1:7" ht="33" customHeight="1" x14ac:dyDescent="0.2">
      <c r="A23" s="29"/>
      <c r="B23" s="42" t="s">
        <v>28</v>
      </c>
      <c r="C23" s="40" t="s">
        <v>64</v>
      </c>
      <c r="D23" s="30">
        <v>1</v>
      </c>
      <c r="E23" s="30" t="s">
        <v>24</v>
      </c>
      <c r="F23" s="43">
        <f>F22*12.95%</f>
        <v>1045.1188072500001</v>
      </c>
      <c r="G23" s="35" t="s">
        <v>27</v>
      </c>
    </row>
    <row r="24" spans="1:7" ht="33" customHeight="1" x14ac:dyDescent="0.2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2267.3489999999997</v>
      </c>
      <c r="G24" s="35" t="s">
        <v>27</v>
      </c>
    </row>
    <row r="25" spans="1:7" ht="33" customHeight="1" x14ac:dyDescent="0.2">
      <c r="A25" s="29"/>
      <c r="B25" s="42" t="s">
        <v>30</v>
      </c>
      <c r="C25" s="40" t="s">
        <v>65</v>
      </c>
      <c r="D25" s="30">
        <v>1</v>
      </c>
      <c r="E25" s="30" t="s">
        <v>24</v>
      </c>
      <c r="F25" s="43">
        <f>F17*3.56%</f>
        <v>7991.8440000000001</v>
      </c>
      <c r="G25" s="35" t="s">
        <v>27</v>
      </c>
    </row>
    <row r="26" spans="1:7" ht="33" customHeight="1" x14ac:dyDescent="0.2">
      <c r="A26" s="29"/>
      <c r="B26" s="42" t="s">
        <v>31</v>
      </c>
      <c r="C26" s="45" t="s">
        <v>103</v>
      </c>
      <c r="D26" s="30">
        <v>1</v>
      </c>
      <c r="E26" s="30" t="s">
        <v>24</v>
      </c>
      <c r="F26" s="43">
        <f>(F16+F17)*3.11%</f>
        <v>31861.638999999999</v>
      </c>
      <c r="G26" s="35" t="s">
        <v>25</v>
      </c>
    </row>
    <row r="27" spans="1:7" ht="33" customHeight="1" x14ac:dyDescent="0.2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14319.482065362501</v>
      </c>
      <c r="G27" s="35"/>
    </row>
    <row r="28" spans="1:7" ht="33" customHeight="1" x14ac:dyDescent="0.2">
      <c r="A28" s="29"/>
      <c r="B28" s="36" t="s">
        <v>32</v>
      </c>
      <c r="C28" s="46"/>
      <c r="D28" s="47"/>
      <c r="E28" s="37"/>
      <c r="F28" s="48">
        <f>F21+F22+F23+F24+F25+F26+F27</f>
        <v>76219.123372612507</v>
      </c>
      <c r="G28" s="35"/>
    </row>
    <row r="29" spans="1:7" ht="33" customHeight="1" x14ac:dyDescent="0.2">
      <c r="A29" s="29"/>
      <c r="B29" s="40"/>
      <c r="C29" s="49"/>
      <c r="D29" s="50"/>
      <c r="E29" s="32"/>
      <c r="F29" s="51"/>
      <c r="G29" s="35"/>
    </row>
    <row r="30" spans="1:7" ht="33" customHeight="1" x14ac:dyDescent="0.2">
      <c r="A30" s="29"/>
      <c r="B30" s="52"/>
      <c r="C30" s="49"/>
      <c r="D30" s="50"/>
      <c r="E30" s="32"/>
      <c r="F30" s="53">
        <f>F19+F28+F29</f>
        <v>1100709.1233726125</v>
      </c>
      <c r="G30" s="35"/>
    </row>
    <row r="31" spans="1:7" ht="33" customHeight="1" x14ac:dyDescent="0.2">
      <c r="A31" s="29"/>
      <c r="B31" s="36" t="s">
        <v>33</v>
      </c>
      <c r="C31" s="36"/>
      <c r="D31" s="37"/>
      <c r="E31" s="37"/>
      <c r="F31" s="54">
        <f>ROUNDDOWN(F30,-3)</f>
        <v>1100000</v>
      </c>
      <c r="G31" s="35"/>
    </row>
    <row r="32" spans="1:7" ht="33" customHeight="1" thickBot="1" x14ac:dyDescent="0.25">
      <c r="A32" s="55"/>
      <c r="B32" s="56" t="s">
        <v>34</v>
      </c>
      <c r="C32" s="57"/>
      <c r="D32" s="57"/>
      <c r="E32" s="57"/>
      <c r="F32" s="58"/>
      <c r="G32" s="59"/>
    </row>
    <row r="33" spans="2:2" ht="15.75" x14ac:dyDescent="0.25">
      <c r="B33" s="60"/>
    </row>
    <row r="34" spans="2:2" ht="15.75" x14ac:dyDescent="0.25">
      <c r="B34" s="60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1"/>
  <sheetViews>
    <sheetView showGridLines="0" zoomScaleNormal="100" workbookViewId="0">
      <pane ySplit="4" topLeftCell="A5" activePane="bottomLeft" state="frozen"/>
      <selection pane="bottomLeft" activeCell="B3" sqref="B1:E1048576"/>
    </sheetView>
  </sheetViews>
  <sheetFormatPr defaultColWidth="9" defaultRowHeight="38.1" customHeight="1" x14ac:dyDescent="0.3"/>
  <cols>
    <col min="1" max="1" width="11.25" style="109" customWidth="1"/>
    <col min="2" max="5" width="11.25" style="62" customWidth="1"/>
    <col min="6" max="6" width="11.25" style="100" customWidth="1"/>
    <col min="7" max="7" width="30.625" style="100" customWidth="1"/>
    <col min="8" max="8" width="5" style="62" bestFit="1" customWidth="1"/>
    <col min="9" max="9" width="6.5" style="62" bestFit="1" customWidth="1"/>
    <col min="10" max="10" width="10.25" style="62" bestFit="1" customWidth="1"/>
    <col min="11" max="11" width="12.5" style="62" bestFit="1" customWidth="1"/>
    <col min="12" max="12" width="8.25" style="62" customWidth="1"/>
    <col min="13" max="13" width="12.5" style="62" bestFit="1" customWidth="1"/>
    <col min="14" max="14" width="6.375" style="62" customWidth="1"/>
    <col min="15" max="15" width="8.25" style="62" bestFit="1" customWidth="1"/>
    <col min="16" max="16" width="6.375" style="62" customWidth="1"/>
    <col min="17" max="17" width="8.25" style="62" bestFit="1" customWidth="1"/>
    <col min="18" max="18" width="14.5" style="62" bestFit="1" customWidth="1"/>
    <col min="19" max="19" width="10.625" style="63" bestFit="1" customWidth="1"/>
    <col min="20" max="20" width="8.5" style="62" bestFit="1" customWidth="1"/>
    <col min="21" max="16384" width="9" style="62"/>
  </cols>
  <sheetData>
    <row r="1" spans="1:20" ht="19.899999999999999" customHeight="1" x14ac:dyDescent="0.3">
      <c r="A1" s="127"/>
      <c r="B1" s="127"/>
      <c r="C1" s="127"/>
      <c r="D1" s="127"/>
      <c r="E1" s="127"/>
      <c r="J1" s="63"/>
      <c r="K1" s="103" t="s">
        <v>78</v>
      </c>
      <c r="M1" s="103" t="s">
        <v>78</v>
      </c>
      <c r="O1" s="103" t="s">
        <v>78</v>
      </c>
      <c r="Q1" s="103" t="s">
        <v>78</v>
      </c>
    </row>
    <row r="2" spans="1:20" ht="19.899999999999999" customHeight="1" thickBot="1" x14ac:dyDescent="0.35">
      <c r="A2" s="127"/>
      <c r="B2" s="127"/>
      <c r="C2" s="127"/>
      <c r="D2" s="127"/>
      <c r="E2" s="127"/>
      <c r="J2" s="64"/>
      <c r="K2" s="65">
        <v>0.83499999999999996</v>
      </c>
      <c r="M2" s="65">
        <v>0.83499999999999996</v>
      </c>
      <c r="O2" s="65">
        <v>0.83499999999999996</v>
      </c>
      <c r="Q2" s="65">
        <v>0.83499999999999996</v>
      </c>
    </row>
    <row r="3" spans="1:20" ht="19.899999999999999" customHeight="1" x14ac:dyDescent="0.3">
      <c r="A3" s="104"/>
      <c r="B3" s="104" t="s">
        <v>79</v>
      </c>
      <c r="C3" s="105"/>
      <c r="D3" s="105"/>
      <c r="E3" s="105"/>
      <c r="F3" s="138" t="s">
        <v>80</v>
      </c>
      <c r="G3" s="138"/>
      <c r="H3" s="136" t="s">
        <v>50</v>
      </c>
      <c r="I3" s="136" t="s">
        <v>5</v>
      </c>
      <c r="J3" s="132" t="s">
        <v>81</v>
      </c>
      <c r="K3" s="132"/>
      <c r="L3" s="132" t="s">
        <v>82</v>
      </c>
      <c r="M3" s="132"/>
      <c r="N3" s="133" t="s">
        <v>83</v>
      </c>
      <c r="O3" s="133"/>
      <c r="P3" s="133" t="s">
        <v>84</v>
      </c>
      <c r="Q3" s="133"/>
      <c r="R3" s="134" t="s">
        <v>85</v>
      </c>
      <c r="S3" s="130" t="s">
        <v>86</v>
      </c>
      <c r="T3" s="128" t="s">
        <v>44</v>
      </c>
    </row>
    <row r="4" spans="1:20" ht="19.899999999999999" customHeight="1" x14ac:dyDescent="0.3">
      <c r="A4" s="66" t="s">
        <v>87</v>
      </c>
      <c r="B4" s="67" t="s">
        <v>88</v>
      </c>
      <c r="C4" s="67" t="s">
        <v>89</v>
      </c>
      <c r="D4" s="67" t="s">
        <v>90</v>
      </c>
      <c r="E4" s="67" t="s">
        <v>91</v>
      </c>
      <c r="F4" s="101" t="s">
        <v>92</v>
      </c>
      <c r="G4" s="101" t="s">
        <v>93</v>
      </c>
      <c r="H4" s="137"/>
      <c r="I4" s="137"/>
      <c r="J4" s="68" t="s">
        <v>94</v>
      </c>
      <c r="K4" s="69" t="s">
        <v>95</v>
      </c>
      <c r="L4" s="68" t="s">
        <v>96</v>
      </c>
      <c r="M4" s="69" t="s">
        <v>95</v>
      </c>
      <c r="N4" s="69" t="s">
        <v>97</v>
      </c>
      <c r="O4" s="69" t="s">
        <v>95</v>
      </c>
      <c r="P4" s="69" t="s">
        <v>97</v>
      </c>
      <c r="Q4" s="69" t="s">
        <v>95</v>
      </c>
      <c r="R4" s="135"/>
      <c r="S4" s="131"/>
      <c r="T4" s="129"/>
    </row>
    <row r="5" spans="1:20" s="106" customFormat="1" ht="38.1" customHeight="1" x14ac:dyDescent="0.3">
      <c r="A5" s="70" t="str">
        <f t="shared" ref="A5" si="0">B5&amp;C5&amp;D5&amp;E5</f>
        <v>L003</v>
      </c>
      <c r="B5" s="71"/>
      <c r="C5" s="75"/>
      <c r="D5" s="85"/>
      <c r="E5" s="90" t="s">
        <v>99</v>
      </c>
      <c r="F5" s="88" t="s">
        <v>100</v>
      </c>
      <c r="G5" s="89" t="s">
        <v>101</v>
      </c>
      <c r="H5" s="72" t="s">
        <v>102</v>
      </c>
      <c r="I5" s="99">
        <v>1</v>
      </c>
      <c r="J5" s="96"/>
      <c r="K5" s="97">
        <f>I5*J5</f>
        <v>0</v>
      </c>
      <c r="L5" s="113">
        <v>224490</v>
      </c>
      <c r="M5" s="97">
        <f>I5*L5</f>
        <v>224490</v>
      </c>
      <c r="N5" s="98"/>
      <c r="O5" s="97">
        <f t="shared" ref="O5" si="1">N5*I5*$O$2</f>
        <v>0</v>
      </c>
      <c r="P5" s="98"/>
      <c r="Q5" s="97">
        <f t="shared" ref="Q5" si="2">P5*I5*$Q$2</f>
        <v>0</v>
      </c>
      <c r="R5" s="73">
        <f t="shared" ref="R5" si="3">SUM(K5+M5)+O5+Q5</f>
        <v>224490</v>
      </c>
      <c r="S5" s="76"/>
      <c r="T5" s="74"/>
    </row>
    <row r="6" spans="1:20" s="106" customFormat="1" ht="38.1" customHeight="1" x14ac:dyDescent="0.3">
      <c r="A6" s="70"/>
      <c r="B6" s="71"/>
      <c r="C6" s="75"/>
      <c r="D6" s="75"/>
      <c r="E6" s="71"/>
      <c r="F6" s="89" t="s">
        <v>98</v>
      </c>
      <c r="G6" s="89" t="s">
        <v>73</v>
      </c>
      <c r="H6" s="72" t="s">
        <v>74</v>
      </c>
      <c r="I6" s="99">
        <v>1</v>
      </c>
      <c r="J6" s="96">
        <v>800000</v>
      </c>
      <c r="K6" s="97">
        <f>I6*J6</f>
        <v>800000</v>
      </c>
      <c r="L6" s="95"/>
      <c r="M6" s="97">
        <f t="shared" ref="M6" si="4">(L6*I6)*$M$2</f>
        <v>0</v>
      </c>
      <c r="N6" s="98"/>
      <c r="O6" s="97">
        <f t="shared" ref="O6" si="5">N6*I6*$O$2</f>
        <v>0</v>
      </c>
      <c r="P6" s="98"/>
      <c r="Q6" s="97">
        <f t="shared" ref="Q6" si="6">P6*I6*$Q$2</f>
        <v>0</v>
      </c>
      <c r="R6" s="73">
        <f t="shared" ref="R6" si="7">SUM(K6+M6)+O6+Q6</f>
        <v>800000</v>
      </c>
      <c r="S6" s="76"/>
      <c r="T6" s="74"/>
    </row>
    <row r="7" spans="1:20" s="108" customFormat="1" ht="38.1" customHeight="1" x14ac:dyDescent="0.3">
      <c r="A7" s="107"/>
      <c r="F7" s="102"/>
      <c r="G7" s="102"/>
      <c r="K7" s="111">
        <f>SUM(K5:K6)</f>
        <v>800000</v>
      </c>
      <c r="M7" s="111">
        <f>SUM(M5:M6)</f>
        <v>224490</v>
      </c>
      <c r="O7" s="111">
        <f>SUM(O5:O6)</f>
        <v>0</v>
      </c>
      <c r="Q7" s="111">
        <f>SUM(Q5:Q6)</f>
        <v>0</v>
      </c>
      <c r="R7" s="112">
        <f>SUM(R5:R6)</f>
        <v>1024490</v>
      </c>
      <c r="S7" s="77"/>
    </row>
    <row r="11" spans="1:20" ht="38.1" customHeight="1" x14ac:dyDescent="0.3">
      <c r="M11" s="110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6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95F0F-3977-4521-9C1F-2EAEE299BAD6}">
  <sheetPr codeName="Sheet3">
    <pageSetUpPr fitToPage="1"/>
  </sheetPr>
  <dimension ref="G1:P1"/>
  <sheetViews>
    <sheetView zoomScaleNormal="100" zoomScaleSheetLayoutView="85" workbookViewId="0">
      <selection activeCell="F38" sqref="F38"/>
    </sheetView>
  </sheetViews>
  <sheetFormatPr defaultColWidth="9" defaultRowHeight="14.25" x14ac:dyDescent="0.3"/>
  <cols>
    <col min="1" max="1" width="11.5" style="91" bestFit="1" customWidth="1"/>
    <col min="2" max="2" width="17.875" style="91" customWidth="1"/>
    <col min="3" max="3" width="14.625" style="91" customWidth="1"/>
    <col min="4" max="4" width="10.875" style="91" customWidth="1"/>
    <col min="5" max="5" width="12" style="91" customWidth="1"/>
    <col min="6" max="6" width="10.625" style="91" customWidth="1"/>
    <col min="7" max="7" width="13.625" style="92" customWidth="1"/>
    <col min="8" max="8" width="9.625" style="91" customWidth="1"/>
    <col min="9" max="9" width="13.625" style="91" customWidth="1"/>
    <col min="10" max="10" width="12.75" style="91" customWidth="1"/>
    <col min="11" max="11" width="9.25" style="91" customWidth="1"/>
    <col min="12" max="12" width="13.625" style="92" customWidth="1"/>
    <col min="13" max="13" width="9.625" style="91" customWidth="1"/>
    <col min="14" max="14" width="13.625" style="92" customWidth="1"/>
    <col min="15" max="15" width="19.75" style="93" bestFit="1" customWidth="1"/>
    <col min="16" max="16" width="12.25" style="93" bestFit="1" customWidth="1"/>
    <col min="17" max="16384" width="9" style="91"/>
  </cols>
  <sheetData/>
  <phoneticPr fontId="6" type="noConversion"/>
  <pageMargins left="0.23622047244094491" right="0.23622047244094491" top="0.55118110236220474" bottom="0.55118110236220474" header="0.31496062992125984" footer="0.31496062992125984"/>
  <pageSetup paperSize="9" scale="5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R2"/>
  <sheetViews>
    <sheetView tabSelected="1" workbookViewId="0">
      <selection activeCell="E15" sqref="E15"/>
    </sheetView>
  </sheetViews>
  <sheetFormatPr defaultColWidth="9" defaultRowHeight="14.25" x14ac:dyDescent="0.3"/>
  <cols>
    <col min="1" max="1" width="11.125" style="94" customWidth="1"/>
    <col min="2" max="2" width="13.375" style="94" customWidth="1"/>
    <col min="3" max="3" width="38.75" style="94" customWidth="1"/>
    <col min="4" max="4" width="28.75" style="94" customWidth="1"/>
    <col min="5" max="5" width="5" style="94" customWidth="1"/>
    <col min="6" max="6" width="6.25" style="94" customWidth="1"/>
    <col min="7" max="7" width="10" style="94" customWidth="1"/>
    <col min="8" max="8" width="11.875" style="94" customWidth="1"/>
    <col min="9" max="9" width="10" style="94" customWidth="1"/>
    <col min="10" max="10" width="11.875" style="94" customWidth="1"/>
    <col min="11" max="11" width="10" style="94" customWidth="1"/>
    <col min="12" max="12" width="11.875" style="94" customWidth="1"/>
    <col min="13" max="13" width="10" style="94" customWidth="1"/>
    <col min="14" max="14" width="11.875" style="94" customWidth="1"/>
    <col min="15" max="15" width="9.125" style="94" customWidth="1"/>
    <col min="16" max="16" width="11.5" style="94" customWidth="1"/>
    <col min="17" max="17" width="11.75" style="94" customWidth="1"/>
    <col min="18" max="18" width="17.875" style="94" customWidth="1"/>
    <col min="19" max="16384" width="9" style="94"/>
  </cols>
  <sheetData>
    <row r="1" spans="1:18" ht="18" customHeight="1" x14ac:dyDescent="0.3">
      <c r="A1" s="78" t="s">
        <v>46</v>
      </c>
      <c r="B1" s="79" t="s">
        <v>47</v>
      </c>
      <c r="C1" s="80" t="s">
        <v>48</v>
      </c>
      <c r="D1" s="80" t="s">
        <v>49</v>
      </c>
      <c r="E1" s="80" t="s">
        <v>50</v>
      </c>
      <c r="F1" s="80" t="s">
        <v>5</v>
      </c>
      <c r="G1" s="79" t="s">
        <v>51</v>
      </c>
      <c r="H1" s="79" t="s">
        <v>52</v>
      </c>
      <c r="I1" s="79" t="s">
        <v>53</v>
      </c>
      <c r="J1" s="79" t="s">
        <v>54</v>
      </c>
      <c r="K1" s="79" t="s">
        <v>55</v>
      </c>
      <c r="L1" s="79" t="s">
        <v>56</v>
      </c>
      <c r="M1" s="79" t="s">
        <v>57</v>
      </c>
      <c r="N1" s="79" t="s">
        <v>58</v>
      </c>
      <c r="O1" s="79" t="s">
        <v>59</v>
      </c>
      <c r="P1" s="79" t="s">
        <v>60</v>
      </c>
      <c r="Q1" s="79" t="s">
        <v>61</v>
      </c>
      <c r="R1" s="79" t="s">
        <v>62</v>
      </c>
    </row>
    <row r="2" spans="1:18" x14ac:dyDescent="0.3">
      <c r="A2" s="63">
        <v>999999</v>
      </c>
      <c r="B2" s="63" t="s">
        <v>75</v>
      </c>
      <c r="C2" s="63" t="s">
        <v>98</v>
      </c>
      <c r="D2" s="63" t="s">
        <v>76</v>
      </c>
      <c r="E2" s="63" t="s">
        <v>77</v>
      </c>
      <c r="F2" s="81">
        <v>1</v>
      </c>
      <c r="G2" s="84">
        <v>800000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</sheetData>
  <phoneticPr fontId="6" type="noConversion"/>
  <pageMargins left="0.7" right="0.7" top="0.75" bottom="0.75" header="0.3" footer="0.3"/>
  <pageSetup paperSize="9" scale="49" orientation="landscape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G2"/>
  <sheetViews>
    <sheetView showGridLines="0" zoomScaleNormal="100" workbookViewId="0">
      <selection activeCell="F16" sqref="F16"/>
    </sheetView>
  </sheetViews>
  <sheetFormatPr defaultColWidth="9" defaultRowHeight="14.25" x14ac:dyDescent="0.3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94"/>
  </cols>
  <sheetData>
    <row r="1" spans="1:7" ht="18" customHeight="1" x14ac:dyDescent="0.3">
      <c r="A1" s="78" t="s">
        <v>0</v>
      </c>
      <c r="B1" s="78" t="s">
        <v>1</v>
      </c>
      <c r="C1" s="78" t="s">
        <v>2</v>
      </c>
      <c r="D1" s="78" t="s">
        <v>3</v>
      </c>
      <c r="E1" s="78" t="s">
        <v>4</v>
      </c>
      <c r="F1" s="78" t="s">
        <v>5</v>
      </c>
      <c r="G1" s="62"/>
    </row>
    <row r="2" spans="1:7" x14ac:dyDescent="0.3">
      <c r="A2" s="82" t="str">
        <f>'내역서(표준단가)'!A5</f>
        <v>L003</v>
      </c>
      <c r="B2" s="83">
        <f>'내역서(표준단가)'!B5</f>
        <v>0</v>
      </c>
      <c r="C2" s="83">
        <f>'내역서(표준단가)'!C5</f>
        <v>0</v>
      </c>
      <c r="D2" s="83">
        <f>'내역서(표준단가)'!D5</f>
        <v>0</v>
      </c>
      <c r="E2" s="83" t="str">
        <f>'내역서(표준단가)'!E5</f>
        <v>L003</v>
      </c>
      <c r="F2" s="83">
        <f>'내역서(표준단가)'!I5</f>
        <v>1</v>
      </c>
      <c r="G2" s="62"/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</vt:lpstr>
      <vt:lpstr>Upload(표준)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2026-01-20T04:07:03Z</dcterms:created>
  <dcterms:modified xsi:type="dcterms:W3CDTF">2026-06-21T23:13:05Z</dcterms:modified>
</cp:coreProperties>
</file>
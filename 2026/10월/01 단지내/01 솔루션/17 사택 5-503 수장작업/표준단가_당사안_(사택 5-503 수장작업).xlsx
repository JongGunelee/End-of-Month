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현재_통합_문서"/>
  <xr:revisionPtr revIDLastSave="0" documentId="13_ncr:1_{F12EDA02-CF06-4A74-8CE6-619E80F25A21}" xr6:coauthVersionLast="47" xr6:coauthVersionMax="47" xr10:uidLastSave="{00000000-0000-0000-0000-000000000000}"/>
  <bookViews>
    <workbookView xWindow="3120" yWindow="675" windowWidth="14490" windowHeight="15525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18" i="4"/>
  <c r="O18" i="4"/>
  <c r="M18" i="4"/>
  <c r="K18" i="4"/>
  <c r="A18" i="4"/>
  <c r="A15" i="1" s="1"/>
  <c r="Q8" i="4"/>
  <c r="O8" i="4"/>
  <c r="M8" i="4"/>
  <c r="K8" i="4"/>
  <c r="A8" i="4"/>
  <c r="A5" i="1" s="1"/>
  <c r="Q6" i="4"/>
  <c r="O6" i="4"/>
  <c r="M6" i="4"/>
  <c r="K6" i="4"/>
  <c r="A6" i="4"/>
  <c r="A3" i="1" s="1"/>
  <c r="R18" i="4" l="1"/>
  <c r="R6" i="4"/>
  <c r="R8" i="4"/>
  <c r="A13" i="4" l="1"/>
  <c r="A10" i="1" s="1"/>
  <c r="F25" i="9"/>
  <c r="N25" i="9" s="1"/>
  <c r="F20" i="9"/>
  <c r="N20" i="9" s="1"/>
  <c r="K13" i="4"/>
  <c r="O13" i="4"/>
  <c r="Q13" i="4"/>
  <c r="K10" i="4"/>
  <c r="R10" i="4" s="1"/>
  <c r="A10" i="4"/>
  <c r="A7" i="1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K7" i="4"/>
  <c r="M7" i="4"/>
  <c r="O7" i="4"/>
  <c r="Q7" i="4"/>
  <c r="R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M19" i="4" l="1"/>
  <c r="F17" i="5" s="1"/>
  <c r="R9" i="4"/>
  <c r="R12" i="4"/>
  <c r="R15" i="4"/>
  <c r="R16" i="4"/>
  <c r="R11" i="4"/>
  <c r="R14" i="4"/>
  <c r="R17" i="4"/>
  <c r="F22" i="5" l="1"/>
  <c r="F21" i="5"/>
  <c r="Q19" i="4"/>
  <c r="K19" i="4"/>
  <c r="O19" i="4"/>
  <c r="F16" i="5" l="1"/>
  <c r="F26" i="5" s="1"/>
  <c r="F18" i="5"/>
  <c r="R19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<sst xmlns="http://schemas.openxmlformats.org/spreadsheetml/2006/main" count="240" uniqueCount="172">
  <si>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</si>
  <si>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</si>
  <si>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</si>
  <si>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</si>
  <si>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</si>
  <si>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</si>
  <si>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</si>
  <si>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</si>
  <si>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</si>
  <si>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</si>
  <si>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</si>
  <si>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</si>
  <si>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</si>
  <si>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</si>
  <si>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</si>
  <si>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</si>
  <si>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</si>
  <si>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</si>
  <si>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</si>
  <si>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</si>
  <si>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</si>
  <si>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</si>
  <si>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</si>
  <si>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</si>
  <si>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</si>
  <si>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</si>
  <si>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</si>
  <si>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</si>
  <si>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</si>
  <si>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</si>
  <si>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</si>
  <si>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</si>
  <si>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</si>
  <si>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</si>
  <si>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</si>
  <si>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</si>
  <si>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</si>
  <si>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</si>
  <si>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</si>
  <si>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</si>
  <si>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</si>
  <si>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</si>
  <si>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</si>
  <si>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</si>
  <si>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</si>
  <si>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</si>
  <si>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</si>
  <si>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</si>
  <si>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</si>
  <si>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</si>
  <si>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</si>
  <si>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</si>
  <si>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</si>
  <si>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</si>
  <si>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</si>
  <si>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</si>
  <si>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</si>
  <si>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</si>
  <si>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</si>
  <si>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</si>
  <si>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</si>
  <si>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</si>
  <si>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</si>
  <si>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</si>
  <si>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</si>
  <si>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</si>
  <si>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</si>
  <si>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</si>
  <si>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</si>
  <si>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</si>
  <si>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</si>
  <si>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</si>
  <si>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</si>
  <si>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</si>
  <si>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</si>
  <si>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</si>
  <si>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</si>
  <si>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</si>
  <si>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</si>
  <si>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</si>
  <si>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</si>
  <si>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</si>
  <si>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</si>
  <si>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</si>
  <si>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</si>
  <si>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</si>
  <si>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</si>
  <si>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</si>
  <si>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</si>
  <si>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</si>
  <si>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</si>
  <si>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</si>
  <si>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</si>
  <si>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</si>
  <si>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</si>
  <si>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</si>
  <si>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</si>
  <si>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</si>
  <si>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</si>
  <si>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</si>
  <si>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</si>
  <si>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</si>
  <si>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</si>
  <si>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</si>
  <si>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</si>
  <si>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</si>
  <si>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</si>
  <si>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</si>
  <si>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</si>
  <si>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</si>
  <si>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</si>
  <si>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</si>
  <si>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</si>
  <si>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</si>
  <si>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</si>
  <si>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</si>
  <si>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</si>
  <si>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</si>
  <si>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</si>
  <si>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</si>
  <si>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</si>
  <si>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</si>
  <si>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</si>
  <si>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</si>
  <si>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</si>
  <si>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</si>
  <si>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</si>
  <si>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</si>
  <si>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</si>
  <si>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</si>
  <si>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</si>
  <si>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</si>
  <si>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</si>
  <si>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</si>
  <si>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</si>
  <si>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</si>
  <si>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</si>
  <si>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</si>
  <si>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</si>
  <si>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</si>
  <si>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</si>
  <si>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</si>
  <si>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</si>
  <si>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</si>
  <si>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</si>
  <si>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</si>
  <si>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</si>
  <si>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</si>
  <si>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</si>
  <si>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</si>
  <si>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</si>
  <si>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</si>
  <si>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</si>
  <si>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</si>
  <si>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</si>
  <si>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</si>
  <si>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</si>
  <si>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</si>
  <si>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전체면적</t>
    <phoneticPr fontId="5" type="noConversion"/>
  </si>
  <si>
    <t>E00000801011510701</t>
  </si>
  <si>
    <t>R/L</t>
  </si>
  <si>
    <t>합지벽지 1R/L=93㎝(고정)×17.75m=16.51㎡, 소요량183/16.51=11.084R/L</t>
    <phoneticPr fontId="5" type="noConversion"/>
  </si>
  <si>
    <t xml:space="preserve">일당 시공량-벽 46㎡, 적산정보 500p 참조,시공총량120/일당46=2.609, </t>
    <phoneticPr fontId="5" type="noConversion"/>
  </si>
  <si>
    <t>일당 시공량-천장 35㎡ 적산정보 500p 참조, 시공총량63/일당35=1.8</t>
    <phoneticPr fontId="5" type="noConversion"/>
  </si>
  <si>
    <t>일당 시공량-61㎡ 적산정보 500p 참조,시공총량51.6/일당61=0.8459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</si>
  <si>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</si>
  <si>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</si>
  <si>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</si>
  <si>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</si>
  <si>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5-503 수장공사</t>
    <phoneticPr fontId="11" type="noConversion"/>
  </si>
  <si>
    <t xml:space="preserve"> 견적일 : 2026년  07월  30일</t>
    <phoneticPr fontId="5" type="noConversion"/>
  </si>
  <si>
    <t>공사명 : 사택 5-503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</si>
</sst>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##,###,###,##0"/>
    <numFmt numFmtId="187" formatCode="#,##0.000_ "/>
    <numFmt numFmtId="188" formatCode="0.000_ "/>
    <numFmt numFmtId="189" formatCode="#,##0;\-#,##0;"/>
    <numFmt numFmtId="190" formatCode="0.000"/>
    <numFmt numFmtId="191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/>
    </xf>
    <xf numFmtId="191" fontId="21" fillId="10" borderId="31" xfId="13" applyNumberFormat="1" applyFont="1" applyFill="1" applyBorder="1" applyAlignment="1">
      <alignment horizontal="center" vertical="center"/>
    </xf>
    <xf numFmtId="191" fontId="22" fillId="11" borderId="31" xfId="13" applyNumberFormat="1" applyFont="1" applyFill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191" fontId="21" fillId="5" borderId="31" xfId="13" applyNumberFormat="1" applyFont="1" applyFill="1" applyBorder="1" applyAlignment="1">
      <alignment horizontal="center" vertical="center" wrapText="1"/>
    </xf>
    <xf numFmtId="191" fontId="22" fillId="11" borderId="31" xfId="13" applyNumberFormat="1" applyFont="1" applyFill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/>
    </xf>
    <xf numFmtId="191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9" fontId="25" fillId="5" borderId="3" xfId="0" applyNumberFormat="1" applyFont="1" applyFill="1" applyBorder="1" applyAlignment="1">
      <alignment horizontal="right" vertical="center"/>
    </xf>
    <xf numFmtId="189" fontId="25" fillId="5" borderId="3" xfId="1" applyNumberFormat="1" applyFont="1" applyFill="1" applyBorder="1" applyAlignment="1">
      <alignment horizontal="right" vertical="center" wrapText="1"/>
    </xf>
    <xf numFmtId="189" fontId="25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right" vertical="center"/>
    </xf>
    <xf numFmtId="177" fontId="26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>
      <c r="A3" s="114"/>
      <c r="B3" s="114"/>
      <c r="C3" s="114"/>
      <c r="D3" s="114"/>
      <c r="E3" s="114"/>
      <c r="F3" s="114"/>
      <c r="G3" s="114"/>
      <c r="H3" s="114"/>
    </row>
    <row r="4" spans="1:9" ht="14.25">
      <c r="A4" s="114"/>
      <c r="B4" s="114"/>
      <c r="C4" s="114"/>
      <c r="D4" s="114"/>
      <c r="E4" s="114"/>
      <c r="H4" s="114"/>
    </row>
    <row r="5" spans="1:9" ht="27" customHeight="1">
      <c r="A5" s="115" t="s">
        <v>47</v>
      </c>
      <c r="B5" s="4"/>
      <c r="C5" s="5"/>
      <c r="D5" s="114"/>
      <c r="E5" s="114"/>
      <c r="F5" s="6" t="s">
        <v>37</v>
      </c>
      <c r="G5" s="7" t="s">
        <v>50</v>
      </c>
      <c r="H5" s="114"/>
    </row>
    <row r="6" spans="1:9" ht="27" customHeight="1">
      <c r="A6" s="114"/>
      <c r="B6" s="114"/>
      <c r="C6" s="114"/>
      <c r="D6" s="114"/>
      <c r="E6" s="114"/>
      <c r="F6" s="8" t="s">
        <v>40</v>
      </c>
      <c r="G6" s="9" t="s">
        <v>51</v>
      </c>
      <c r="H6" s="114"/>
    </row>
    <row r="7" spans="1:9" ht="27" customHeight="1">
      <c r="A7" s="174" t="s">
        <v>169</v>
      </c>
      <c r="B7" s="175"/>
      <c r="C7" s="176"/>
      <c r="D7" s="114"/>
      <c r="E7" s="10"/>
      <c r="F7" s="11" t="s">
        <v>41</v>
      </c>
      <c r="G7" s="9" t="s">
        <v>52</v>
      </c>
      <c r="H7" s="114"/>
    </row>
    <row r="8" spans="1:9" ht="27" customHeight="1">
      <c r="A8" s="114"/>
      <c r="B8" s="114"/>
      <c r="C8" s="114"/>
      <c r="D8" s="114"/>
      <c r="E8" s="114"/>
      <c r="F8" s="8" t="s">
        <v>42</v>
      </c>
      <c r="G8" s="9" t="s">
        <v>53</v>
      </c>
      <c r="H8" s="114"/>
    </row>
    <row r="9" spans="1:9" ht="27" customHeight="1">
      <c r="A9" s="115" t="s">
        <v>170</v>
      </c>
      <c r="B9" s="151"/>
      <c r="C9" s="152"/>
      <c r="D9" s="114"/>
      <c r="E9" s="114"/>
      <c r="F9" s="8" t="s">
        <v>43</v>
      </c>
      <c r="G9" s="9" t="s">
        <v>54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38</v>
      </c>
      <c r="G10" s="13" t="s">
        <v>55</v>
      </c>
      <c r="H10" s="114"/>
      <c r="I10" s="114"/>
    </row>
    <row r="11" spans="1:9" ht="27" customHeight="1">
      <c r="A11" s="172"/>
      <c r="B11" s="173"/>
      <c r="C11" s="173"/>
      <c r="D11" s="114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오백오만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795893.27599999995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3457495.9510230003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4253389.2270229999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167</v>
      </c>
      <c r="D21" s="166">
        <v>1</v>
      </c>
      <c r="E21" s="166" t="s">
        <v>24</v>
      </c>
      <c r="F21" s="167">
        <f>F17*4.75%</f>
        <v>164231.05767359253</v>
      </c>
      <c r="G21" s="35" t="s">
        <v>25</v>
      </c>
    </row>
    <row r="22" spans="1:7" ht="33" customHeight="1">
      <c r="A22" s="29"/>
      <c r="B22" s="168" t="s">
        <v>26</v>
      </c>
      <c r="C22" s="165" t="s">
        <v>168</v>
      </c>
      <c r="D22" s="169">
        <v>1</v>
      </c>
      <c r="E22" s="169" t="s">
        <v>24</v>
      </c>
      <c r="F22" s="170">
        <f>F17*3.595%</f>
        <v>124296.97943927687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16096.458837386355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34920.709105332302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123086.85585641881</v>
      </c>
      <c r="G25" s="35" t="s">
        <v>27</v>
      </c>
    </row>
    <row r="26" spans="1:7" ht="33" customHeight="1">
      <c r="A26" s="29"/>
      <c r="B26" s="42" t="s">
        <v>31</v>
      </c>
      <c r="C26" s="45" t="s">
        <v>151</v>
      </c>
      <c r="D26" s="30">
        <v>1</v>
      </c>
      <c r="E26" s="30" t="s">
        <v>24</v>
      </c>
      <c r="F26" s="43">
        <f>(F16+F17)*3.11%</f>
        <v>132280.4049604153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202620.42084477111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797532.88671719329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5050922.1137401927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5050000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140" bestFit="1" customWidth="1"/>
    <col min="2" max="2" width="9" style="129" customWidth="1"/>
    <col min="3" max="5" width="12.625" style="129" customWidth="1"/>
    <col min="6" max="7" width="30.625" style="125" customWidth="1"/>
    <col min="8" max="8" width="12.375" style="129" bestFit="1" customWidth="1"/>
    <col min="9" max="9" width="7.625" style="129" bestFit="1" customWidth="1"/>
    <col min="10" max="10" width="10.625" style="129" bestFit="1" customWidth="1"/>
    <col min="11" max="11" width="13.25" style="129" bestFit="1" customWidth="1"/>
    <col min="12" max="12" width="12" style="129" bestFit="1" customWidth="1"/>
    <col min="13" max="13" width="15.625" style="129" bestFit="1" customWidth="1"/>
    <col min="14" max="14" width="9" style="129" customWidth="1"/>
    <col min="15" max="15" width="8.75" style="129" bestFit="1" customWidth="1"/>
    <col min="16" max="16" width="10.5" style="129" customWidth="1"/>
    <col min="17" max="17" width="8.75" style="129" bestFit="1" customWidth="1"/>
    <col min="18" max="18" width="15.625" style="129" bestFit="1" customWidth="1"/>
    <col min="19" max="19" width="15.5" style="62" bestFit="1" customWidth="1"/>
    <col min="20" max="20" width="8.5" style="129" bestFit="1" customWidth="1"/>
    <col min="21" max="16384" width="9" style="129"/>
  </cols>
  <sheetData>
    <row r="1" spans="1:20" ht="19.899999999999999" customHeight="1">
      <c r="A1" s="177"/>
      <c r="B1" s="177"/>
      <c r="C1" s="177"/>
      <c r="D1" s="177"/>
      <c r="E1" s="177"/>
      <c r="J1" s="62"/>
      <c r="K1" s="128" t="s">
        <v>98</v>
      </c>
      <c r="M1" s="128" t="s">
        <v>98</v>
      </c>
      <c r="O1" s="128" t="s">
        <v>98</v>
      </c>
      <c r="Q1" s="128" t="s">
        <v>98</v>
      </c>
    </row>
    <row r="2" spans="1:20" ht="19.899999999999999" customHeight="1" thickBot="1">
      <c r="A2" s="177"/>
      <c r="B2" s="177"/>
      <c r="C2" s="177"/>
      <c r="D2" s="177"/>
      <c r="E2" s="177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0"/>
      <c r="B3" s="131" t="s">
        <v>99</v>
      </c>
      <c r="C3" s="131"/>
      <c r="D3" s="131"/>
      <c r="E3" s="131"/>
      <c r="F3" s="188" t="s">
        <v>100</v>
      </c>
      <c r="G3" s="188"/>
      <c r="H3" s="186" t="s">
        <v>46</v>
      </c>
      <c r="I3" s="186" t="s">
        <v>5</v>
      </c>
      <c r="J3" s="182" t="s">
        <v>101</v>
      </c>
      <c r="K3" s="182"/>
      <c r="L3" s="182" t="s">
        <v>102</v>
      </c>
      <c r="M3" s="182"/>
      <c r="N3" s="183" t="s">
        <v>103</v>
      </c>
      <c r="O3" s="183"/>
      <c r="P3" s="183" t="s">
        <v>104</v>
      </c>
      <c r="Q3" s="183"/>
      <c r="R3" s="184" t="s">
        <v>105</v>
      </c>
      <c r="S3" s="180" t="s">
        <v>106</v>
      </c>
      <c r="T3" s="178" t="s">
        <v>44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26" t="s">
        <v>112</v>
      </c>
      <c r="G4" s="126" t="s">
        <v>113</v>
      </c>
      <c r="H4" s="187"/>
      <c r="I4" s="187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5"/>
      <c r="S4" s="181"/>
      <c r="T4" s="179"/>
    </row>
    <row r="5" spans="1:20" s="132" customFormat="1" ht="38.1" customHeight="1">
      <c r="A5" s="69" t="str">
        <f t="shared" ref="A5" si="0">B5&amp;C5&amp;D5&amp;E5</f>
        <v>M020853710050101</v>
      </c>
      <c r="B5" s="94"/>
      <c r="C5" s="70"/>
      <c r="D5" s="70" t="s">
        <v>156</v>
      </c>
      <c r="E5" s="94"/>
      <c r="F5" s="124" t="s">
        <v>157</v>
      </c>
      <c r="G5" s="124" t="s">
        <v>161</v>
      </c>
      <c r="H5" s="109" t="s">
        <v>160</v>
      </c>
      <c r="I5" s="123">
        <v>11.084</v>
      </c>
      <c r="J5" s="153">
        <v>20900</v>
      </c>
      <c r="K5" s="121">
        <f t="shared" ref="K5" si="1">SUM(J5:J5)*I5*$K$2</f>
        <v>193432.42600000001</v>
      </c>
      <c r="L5" s="156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3">
        <f t="shared" ref="R5" si="5">SUM(K5+M5)+O5+Q5</f>
        <v>193432.42600000001</v>
      </c>
      <c r="S5" s="108"/>
      <c r="T5" s="74"/>
    </row>
    <row r="6" spans="1:20" s="132" customFormat="1" ht="38.1" customHeight="1">
      <c r="A6" s="69" t="str">
        <f t="shared" ref="A6" si="6">B6&amp;C6&amp;D6&amp;E6</f>
        <v>E00000803071260301</v>
      </c>
      <c r="B6" s="94"/>
      <c r="C6" s="70" t="s">
        <v>118</v>
      </c>
      <c r="D6" s="70"/>
      <c r="E6" s="94"/>
      <c r="F6" s="124" t="s">
        <v>120</v>
      </c>
      <c r="G6" s="124" t="s">
        <v>162</v>
      </c>
      <c r="H6" s="71" t="s">
        <v>119</v>
      </c>
      <c r="I6" s="123">
        <v>2.609</v>
      </c>
      <c r="J6" s="154"/>
      <c r="K6" s="121">
        <f t="shared" ref="K6" si="7">SUM(J6:J6)*I6*$K$2</f>
        <v>0</v>
      </c>
      <c r="L6" s="158">
        <v>510462</v>
      </c>
      <c r="M6" s="121">
        <f t="shared" ref="M6" si="8">(L6*I6)*$M$2</f>
        <v>1112049.12393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3">
        <f t="shared" ref="R6" si="11">SUM(K6+M6)+O6+Q6</f>
        <v>1112049.12393</v>
      </c>
      <c r="S6" s="108"/>
      <c r="T6" s="74"/>
    </row>
    <row r="7" spans="1:20" s="132" customFormat="1" ht="38.1" customHeight="1">
      <c r="A7" s="69" t="str">
        <f t="shared" ref="A7:A8" si="12">B7&amp;C7&amp;D7&amp;E7</f>
        <v>E00000803071260301</v>
      </c>
      <c r="B7" s="94"/>
      <c r="C7" s="70" t="s">
        <v>118</v>
      </c>
      <c r="D7" s="70"/>
      <c r="E7" s="94"/>
      <c r="F7" s="124" t="s">
        <v>121</v>
      </c>
      <c r="G7" s="124" t="s">
        <v>163</v>
      </c>
      <c r="H7" s="71" t="s">
        <v>119</v>
      </c>
      <c r="I7" s="123">
        <v>1.8</v>
      </c>
      <c r="J7" s="154"/>
      <c r="K7" s="121">
        <f t="shared" ref="K7:K17" si="13">SUM(J7:J7)*I7*$K$2</f>
        <v>0</v>
      </c>
      <c r="L7" s="158">
        <v>510462</v>
      </c>
      <c r="M7" s="121">
        <f t="shared" ref="M7:M18" si="14">(L7*I7)*$M$2</f>
        <v>767224.38599999994</v>
      </c>
      <c r="N7" s="122"/>
      <c r="O7" s="121">
        <f t="shared" ref="O7:O18" si="15">N7*I7*$O$2</f>
        <v>0</v>
      </c>
      <c r="P7" s="122"/>
      <c r="Q7" s="121">
        <f t="shared" ref="Q7:Q18" si="16">P7*I7*$Q$2</f>
        <v>0</v>
      </c>
      <c r="R7" s="73">
        <f t="shared" ref="R7:R18" si="17">SUM(K7+M7)+O7+Q7</f>
        <v>767224.38599999994</v>
      </c>
      <c r="S7" s="108"/>
      <c r="T7" s="74"/>
    </row>
    <row r="8" spans="1:20" s="132" customFormat="1" ht="38.1" customHeight="1">
      <c r="A8" s="69" t="str">
        <f t="shared" si="12"/>
        <v>M020809012520101</v>
      </c>
      <c r="B8" s="94"/>
      <c r="C8" s="70"/>
      <c r="D8" s="70" t="s">
        <v>152</v>
      </c>
      <c r="E8" s="94"/>
      <c r="F8" s="124" t="s">
        <v>153</v>
      </c>
      <c r="G8" s="124" t="s">
        <v>154</v>
      </c>
      <c r="H8" s="109" t="s">
        <v>155</v>
      </c>
      <c r="I8" s="123">
        <v>51.6</v>
      </c>
      <c r="J8" s="155">
        <v>13000</v>
      </c>
      <c r="K8" s="121">
        <f t="shared" si="13"/>
        <v>560118</v>
      </c>
      <c r="L8" s="156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3">
        <f t="shared" si="17"/>
        <v>560118</v>
      </c>
      <c r="S8" s="108"/>
      <c r="T8" s="74"/>
    </row>
    <row r="9" spans="1:20" s="132" customFormat="1" ht="38.1" customHeight="1">
      <c r="A9" s="69" t="str">
        <f t="shared" ref="A9:A18" si="18">B9&amp;C9&amp;D9&amp;E9</f>
        <v>E00000803071260401</v>
      </c>
      <c r="B9" s="94"/>
      <c r="C9" s="70" t="s">
        <v>122</v>
      </c>
      <c r="D9" s="70"/>
      <c r="E9" s="94"/>
      <c r="F9" s="124" t="s">
        <v>123</v>
      </c>
      <c r="G9" s="124" t="s">
        <v>164</v>
      </c>
      <c r="H9" s="71" t="s">
        <v>119</v>
      </c>
      <c r="I9" s="123">
        <v>0.84589999999999999</v>
      </c>
      <c r="J9" s="154"/>
      <c r="K9" s="121">
        <f t="shared" si="13"/>
        <v>0</v>
      </c>
      <c r="L9" s="158">
        <v>510462</v>
      </c>
      <c r="M9" s="121">
        <f t="shared" si="14"/>
        <v>360552.83784299996</v>
      </c>
      <c r="N9" s="122"/>
      <c r="O9" s="121">
        <f t="shared" si="15"/>
        <v>0</v>
      </c>
      <c r="P9" s="122"/>
      <c r="Q9" s="121">
        <f t="shared" si="16"/>
        <v>0</v>
      </c>
      <c r="R9" s="73">
        <f t="shared" si="17"/>
        <v>360552.83784299996</v>
      </c>
      <c r="S9" s="108"/>
      <c r="T9" s="74"/>
    </row>
    <row r="10" spans="1:20" s="132" customFormat="1" ht="38.1" customHeight="1">
      <c r="A10" s="69" t="str">
        <f t="shared" si="18"/>
        <v>M020412614110102</v>
      </c>
      <c r="B10" s="94"/>
      <c r="C10" s="70"/>
      <c r="D10" s="141" t="s">
        <v>148</v>
      </c>
      <c r="E10" s="94"/>
      <c r="F10" s="142" t="s">
        <v>147</v>
      </c>
      <c r="G10" s="142" t="s">
        <v>142</v>
      </c>
      <c r="H10" s="117" t="s">
        <v>141</v>
      </c>
      <c r="I10" s="123">
        <v>0.5</v>
      </c>
      <c r="J10" s="153">
        <v>65500</v>
      </c>
      <c r="K10" s="121">
        <f t="shared" si="13"/>
        <v>27346.25</v>
      </c>
      <c r="L10" s="120"/>
      <c r="M10" s="121"/>
      <c r="N10" s="122"/>
      <c r="O10" s="121"/>
      <c r="P10" s="122"/>
      <c r="Q10" s="121"/>
      <c r="R10" s="73">
        <f t="shared" si="17"/>
        <v>27346.25</v>
      </c>
      <c r="S10" s="108"/>
      <c r="T10" s="74"/>
    </row>
    <row r="11" spans="1:20" s="132" customFormat="1" ht="38.1" customHeight="1">
      <c r="A11" s="69" t="str">
        <f t="shared" si="18"/>
        <v>E00000803061120402</v>
      </c>
      <c r="B11" s="94"/>
      <c r="C11" s="70" t="s">
        <v>124</v>
      </c>
      <c r="D11" s="70"/>
      <c r="E11" s="94"/>
      <c r="F11" s="124" t="s">
        <v>125</v>
      </c>
      <c r="G11" s="124" t="s">
        <v>126</v>
      </c>
      <c r="H11" s="109" t="s">
        <v>139</v>
      </c>
      <c r="I11" s="123">
        <v>50</v>
      </c>
      <c r="J11" s="156"/>
      <c r="K11" s="121">
        <f t="shared" si="13"/>
        <v>0</v>
      </c>
      <c r="L11" s="159">
        <v>10752</v>
      </c>
      <c r="M11" s="121">
        <f t="shared" si="14"/>
        <v>448896</v>
      </c>
      <c r="N11" s="122"/>
      <c r="O11" s="121">
        <f t="shared" si="15"/>
        <v>0</v>
      </c>
      <c r="P11" s="122"/>
      <c r="Q11" s="121">
        <f t="shared" si="16"/>
        <v>0</v>
      </c>
      <c r="R11" s="73">
        <f t="shared" si="17"/>
        <v>448896</v>
      </c>
      <c r="S11" s="108"/>
      <c r="T11" s="74"/>
    </row>
    <row r="12" spans="1:20" s="132" customFormat="1" ht="38.1" customHeight="1">
      <c r="A12" s="69" t="str">
        <f t="shared" si="18"/>
        <v>E00000803061300201</v>
      </c>
      <c r="B12" s="94"/>
      <c r="C12" s="70" t="s">
        <v>128</v>
      </c>
      <c r="D12" s="70"/>
      <c r="E12" s="94"/>
      <c r="F12" s="124" t="s">
        <v>129</v>
      </c>
      <c r="G12" s="124" t="s">
        <v>130</v>
      </c>
      <c r="H12" s="109" t="s">
        <v>127</v>
      </c>
      <c r="I12" s="123">
        <v>50</v>
      </c>
      <c r="J12" s="156"/>
      <c r="K12" s="121">
        <f t="shared" si="13"/>
        <v>0</v>
      </c>
      <c r="L12" s="158">
        <v>6368</v>
      </c>
      <c r="M12" s="121">
        <f t="shared" si="14"/>
        <v>265864</v>
      </c>
      <c r="N12" s="122"/>
      <c r="O12" s="121">
        <f t="shared" si="15"/>
        <v>0</v>
      </c>
      <c r="P12" s="122"/>
      <c r="Q12" s="121">
        <f t="shared" si="16"/>
        <v>0</v>
      </c>
      <c r="R12" s="73">
        <f t="shared" si="17"/>
        <v>265864</v>
      </c>
      <c r="S12" s="108"/>
      <c r="T12" s="74"/>
    </row>
    <row r="13" spans="1:20" s="132" customFormat="1" ht="38.1" customHeight="1">
      <c r="A13" s="69" t="str">
        <f t="shared" si="18"/>
        <v>M020411810170101</v>
      </c>
      <c r="B13" s="94"/>
      <c r="C13" s="70"/>
      <c r="D13" s="141" t="s">
        <v>143</v>
      </c>
      <c r="E13" s="94"/>
      <c r="F13" s="142" t="s">
        <v>144</v>
      </c>
      <c r="G13" s="142" t="s">
        <v>145</v>
      </c>
      <c r="H13" s="117" t="s">
        <v>141</v>
      </c>
      <c r="I13" s="123">
        <v>0.2</v>
      </c>
      <c r="J13" s="157">
        <v>89800</v>
      </c>
      <c r="K13" s="121">
        <f t="shared" si="13"/>
        <v>14996.599999999999</v>
      </c>
      <c r="L13" s="156"/>
      <c r="M13" s="121"/>
      <c r="N13" s="122"/>
      <c r="O13" s="121">
        <f t="shared" si="15"/>
        <v>0</v>
      </c>
      <c r="P13" s="122"/>
      <c r="Q13" s="121">
        <f t="shared" si="16"/>
        <v>0</v>
      </c>
      <c r="R13" s="73">
        <f t="shared" si="17"/>
        <v>14996.599999999999</v>
      </c>
      <c r="S13" s="108"/>
      <c r="T13" s="74"/>
    </row>
    <row r="14" spans="1:20" s="132" customFormat="1" ht="38.1" customHeight="1">
      <c r="A14" s="69" t="str">
        <f t="shared" si="18"/>
        <v>E00000803061120802</v>
      </c>
      <c r="B14" s="94"/>
      <c r="C14" s="70" t="s">
        <v>131</v>
      </c>
      <c r="D14" s="70"/>
      <c r="E14" s="94"/>
      <c r="F14" s="124" t="s">
        <v>132</v>
      </c>
      <c r="G14" s="124" t="s">
        <v>133</v>
      </c>
      <c r="H14" s="109" t="s">
        <v>127</v>
      </c>
      <c r="I14" s="123">
        <v>14</v>
      </c>
      <c r="J14" s="133"/>
      <c r="K14" s="72">
        <f t="shared" si="13"/>
        <v>0</v>
      </c>
      <c r="L14" s="158">
        <v>2496</v>
      </c>
      <c r="M14" s="72">
        <f t="shared" si="14"/>
        <v>29178.239999999998</v>
      </c>
      <c r="N14" s="73"/>
      <c r="O14" s="72">
        <f t="shared" si="15"/>
        <v>0</v>
      </c>
      <c r="P14" s="73"/>
      <c r="Q14" s="72">
        <f t="shared" si="16"/>
        <v>0</v>
      </c>
      <c r="R14" s="73">
        <f t="shared" si="17"/>
        <v>29178.239999999998</v>
      </c>
      <c r="S14" s="108"/>
      <c r="T14" s="74"/>
    </row>
    <row r="15" spans="1:20" s="132" customFormat="1" ht="38.1" customHeight="1">
      <c r="A15" s="69" t="str">
        <f t="shared" si="18"/>
        <v>E00000803061300701</v>
      </c>
      <c r="B15" s="94"/>
      <c r="C15" s="70" t="s">
        <v>134</v>
      </c>
      <c r="D15" s="70"/>
      <c r="E15" s="94"/>
      <c r="F15" s="124" t="s">
        <v>135</v>
      </c>
      <c r="G15" s="124" t="s">
        <v>130</v>
      </c>
      <c r="H15" s="109" t="s">
        <v>127</v>
      </c>
      <c r="I15" s="123">
        <v>14</v>
      </c>
      <c r="J15" s="110"/>
      <c r="K15" s="72">
        <f t="shared" si="13"/>
        <v>0</v>
      </c>
      <c r="L15" s="158">
        <v>3871</v>
      </c>
      <c r="M15" s="72">
        <f t="shared" si="14"/>
        <v>45251.99</v>
      </c>
      <c r="N15" s="73"/>
      <c r="O15" s="72">
        <f t="shared" si="15"/>
        <v>0</v>
      </c>
      <c r="P15" s="73"/>
      <c r="Q15" s="72">
        <f t="shared" si="16"/>
        <v>0</v>
      </c>
      <c r="R15" s="73">
        <f t="shared" si="17"/>
        <v>45251.99</v>
      </c>
      <c r="S15" s="108"/>
      <c r="T15" s="74"/>
    </row>
    <row r="16" spans="1:20" s="132" customFormat="1" ht="38.1" customHeight="1">
      <c r="A16" s="69" t="str">
        <f t="shared" si="18"/>
        <v>E00000803061120802</v>
      </c>
      <c r="B16" s="94"/>
      <c r="C16" s="70" t="s">
        <v>131</v>
      </c>
      <c r="D16" s="70"/>
      <c r="E16" s="94"/>
      <c r="F16" s="124" t="s">
        <v>136</v>
      </c>
      <c r="G16" s="124" t="s">
        <v>133</v>
      </c>
      <c r="H16" s="109" t="s">
        <v>127</v>
      </c>
      <c r="I16" s="123">
        <v>1.85</v>
      </c>
      <c r="J16" s="133"/>
      <c r="K16" s="72">
        <f t="shared" si="13"/>
        <v>0</v>
      </c>
      <c r="L16" s="158">
        <v>2496</v>
      </c>
      <c r="M16" s="72">
        <f t="shared" si="14"/>
        <v>3855.6959999999999</v>
      </c>
      <c r="N16" s="73"/>
      <c r="O16" s="72">
        <f t="shared" si="15"/>
        <v>0</v>
      </c>
      <c r="P16" s="73"/>
      <c r="Q16" s="72">
        <f t="shared" si="16"/>
        <v>0</v>
      </c>
      <c r="R16" s="73">
        <f t="shared" si="17"/>
        <v>3855.6959999999999</v>
      </c>
      <c r="S16" s="108"/>
      <c r="T16" s="74"/>
    </row>
    <row r="17" spans="1:20" s="132" customFormat="1" ht="38.1" customHeight="1">
      <c r="A17" s="69" t="str">
        <f t="shared" si="18"/>
        <v>E00000803061300401</v>
      </c>
      <c r="B17" s="94"/>
      <c r="C17" s="70" t="s">
        <v>137</v>
      </c>
      <c r="D17" s="70"/>
      <c r="E17" s="94"/>
      <c r="F17" s="124" t="s">
        <v>138</v>
      </c>
      <c r="G17" s="124" t="s">
        <v>130</v>
      </c>
      <c r="H17" s="109" t="s">
        <v>127</v>
      </c>
      <c r="I17" s="123">
        <v>1.85</v>
      </c>
      <c r="J17" s="110"/>
      <c r="K17" s="72">
        <f t="shared" si="13"/>
        <v>0</v>
      </c>
      <c r="L17" s="158">
        <v>5851</v>
      </c>
      <c r="M17" s="72">
        <f t="shared" si="14"/>
        <v>9038.3322499999995</v>
      </c>
      <c r="N17" s="73"/>
      <c r="O17" s="72">
        <f t="shared" si="15"/>
        <v>0</v>
      </c>
      <c r="P17" s="73"/>
      <c r="Q17" s="72">
        <f t="shared" si="16"/>
        <v>0</v>
      </c>
      <c r="R17" s="73">
        <f t="shared" si="17"/>
        <v>9038.3322499999995</v>
      </c>
      <c r="S17" s="108"/>
      <c r="T17" s="74"/>
    </row>
    <row r="18" spans="1:20" s="132" customFormat="1" ht="38.1" customHeight="1">
      <c r="A18" s="69" t="str">
        <f t="shared" si="18"/>
        <v>E00000801011510701</v>
      </c>
      <c r="B18" s="94"/>
      <c r="C18" s="70" t="s">
        <v>159</v>
      </c>
      <c r="D18" s="70"/>
      <c r="E18" s="94"/>
      <c r="F18" s="160" t="s">
        <v>165</v>
      </c>
      <c r="G18" s="71" t="s">
        <v>158</v>
      </c>
      <c r="H18" s="161" t="s">
        <v>166</v>
      </c>
      <c r="I18" s="123">
        <v>97</v>
      </c>
      <c r="J18" s="133"/>
      <c r="K18" s="72">
        <f t="shared" ref="K18" si="19">SUM(J18:J18)*I18*$K$2</f>
        <v>0</v>
      </c>
      <c r="L18" s="158">
        <v>5131</v>
      </c>
      <c r="M18" s="72">
        <f t="shared" si="14"/>
        <v>415585.34499999997</v>
      </c>
      <c r="N18" s="73"/>
      <c r="O18" s="72">
        <f t="shared" si="15"/>
        <v>0</v>
      </c>
      <c r="P18" s="73"/>
      <c r="Q18" s="72">
        <f t="shared" si="16"/>
        <v>0</v>
      </c>
      <c r="R18" s="73">
        <f t="shared" si="17"/>
        <v>415585.34499999997</v>
      </c>
      <c r="S18" s="108"/>
      <c r="T18" s="74"/>
    </row>
    <row r="19" spans="1:20" s="139" customFormat="1" ht="38.1" customHeight="1">
      <c r="A19" s="134"/>
      <c r="B19" s="135"/>
      <c r="C19" s="135"/>
      <c r="D19" s="135"/>
      <c r="E19" s="135"/>
      <c r="F19" s="127"/>
      <c r="G19" s="127"/>
      <c r="H19" s="135"/>
      <c r="I19" s="135"/>
      <c r="J19" s="135"/>
      <c r="K19" s="136">
        <f>SUM(K5:K18)</f>
        <v>795893.27599999995</v>
      </c>
      <c r="L19" s="137"/>
      <c r="M19" s="136">
        <f>SUM(M5:M18)</f>
        <v>3457495.9510230003</v>
      </c>
      <c r="N19" s="137"/>
      <c r="O19" s="136">
        <f>SUM(O5:O18)</f>
        <v>0</v>
      </c>
      <c r="P19" s="137"/>
      <c r="Q19" s="136">
        <f>SUM(Q5:Q18)</f>
        <v>0</v>
      </c>
      <c r="R19" s="138">
        <f>SUM(R5:R18)</f>
        <v>4253389.2270229999</v>
      </c>
      <c r="S19" s="102"/>
      <c r="T19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tabSelected="1" zoomScaleNormal="100" workbookViewId="0">
      <selection activeCell="A4" sqref="A4:B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.75" style="93" bestFit="1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25" style="75" customWidth="1"/>
    <col min="17" max="16384" width="9" style="75"/>
  </cols>
  <sheetData>
    <row r="1" spans="1:15" ht="27" customHeight="1">
      <c r="A1" s="191" t="s">
        <v>57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 ht="15" customHeight="1">
      <c r="A2" s="192" t="s">
        <v>58</v>
      </c>
      <c r="B2" s="193" t="s">
        <v>59</v>
      </c>
      <c r="C2" s="194" t="s">
        <v>46</v>
      </c>
      <c r="D2" s="194" t="s">
        <v>60</v>
      </c>
      <c r="E2" s="196" t="s">
        <v>61</v>
      </c>
      <c r="F2" s="193"/>
      <c r="G2" s="193" t="s">
        <v>62</v>
      </c>
      <c r="H2" s="193"/>
      <c r="I2" s="197" t="s">
        <v>63</v>
      </c>
      <c r="J2" s="198"/>
      <c r="K2" s="197" t="s">
        <v>64</v>
      </c>
      <c r="L2" s="198"/>
      <c r="M2" s="196" t="s">
        <v>65</v>
      </c>
      <c r="N2" s="193"/>
      <c r="O2" s="199" t="s">
        <v>66</v>
      </c>
    </row>
    <row r="3" spans="1:15" ht="15" customHeight="1">
      <c r="A3" s="192"/>
      <c r="B3" s="193"/>
      <c r="C3" s="195"/>
      <c r="D3" s="195"/>
      <c r="E3" s="116" t="s">
        <v>67</v>
      </c>
      <c r="F3" s="116" t="s">
        <v>68</v>
      </c>
      <c r="G3" s="76" t="s">
        <v>67</v>
      </c>
      <c r="H3" s="116" t="s">
        <v>69</v>
      </c>
      <c r="I3" s="116"/>
      <c r="J3" s="116"/>
      <c r="K3" s="76" t="s">
        <v>67</v>
      </c>
      <c r="L3" s="116" t="s">
        <v>69</v>
      </c>
      <c r="M3" s="76" t="s">
        <v>67</v>
      </c>
      <c r="N3" s="116" t="s">
        <v>69</v>
      </c>
      <c r="O3" s="200"/>
    </row>
    <row r="4" spans="1:15" ht="15" customHeight="1">
      <c r="A4" s="189" t="s">
        <v>171</v>
      </c>
      <c r="B4" s="19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5" customHeight="1">
      <c r="A5" s="202" t="s">
        <v>70</v>
      </c>
      <c r="B5" s="78" t="s">
        <v>71</v>
      </c>
      <c r="C5" s="79" t="s">
        <v>72</v>
      </c>
      <c r="D5" s="143">
        <v>38</v>
      </c>
      <c r="E5" s="162">
        <v>1057</v>
      </c>
      <c r="F5" s="80">
        <f t="shared" ref="F5:F12" si="0">D5*E5</f>
        <v>40166</v>
      </c>
      <c r="G5" s="162">
        <v>9266</v>
      </c>
      <c r="H5" s="80">
        <f t="shared" ref="H5:H12" si="1">D5*G5</f>
        <v>352108</v>
      </c>
      <c r="I5" s="80"/>
      <c r="J5" s="80"/>
      <c r="K5" s="80"/>
      <c r="L5" s="80"/>
      <c r="M5" s="80"/>
      <c r="N5" s="80">
        <f>F5+H5+J5+L5</f>
        <v>392274</v>
      </c>
      <c r="O5" s="204" t="s">
        <v>149</v>
      </c>
    </row>
    <row r="6" spans="1:15" ht="15" customHeight="1">
      <c r="A6" s="203"/>
      <c r="B6" s="78" t="s">
        <v>73</v>
      </c>
      <c r="C6" s="79" t="s">
        <v>72</v>
      </c>
      <c r="D6" s="143">
        <v>24</v>
      </c>
      <c r="E6" s="162">
        <v>1057</v>
      </c>
      <c r="F6" s="80">
        <f t="shared" si="0"/>
        <v>25368</v>
      </c>
      <c r="G6" s="162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5"/>
    </row>
    <row r="7" spans="1:15" ht="15" customHeight="1">
      <c r="A7" s="203"/>
      <c r="B7" s="78" t="s">
        <v>74</v>
      </c>
      <c r="C7" s="79" t="s">
        <v>72</v>
      </c>
      <c r="D7" s="143">
        <v>32</v>
      </c>
      <c r="E7" s="162">
        <v>1057</v>
      </c>
      <c r="F7" s="80">
        <f t="shared" si="0"/>
        <v>33824</v>
      </c>
      <c r="G7" s="162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5"/>
    </row>
    <row r="8" spans="1:15" ht="15" customHeight="1">
      <c r="A8" s="203"/>
      <c r="B8" s="78" t="s">
        <v>75</v>
      </c>
      <c r="C8" s="79" t="s">
        <v>72</v>
      </c>
      <c r="D8" s="143">
        <v>16</v>
      </c>
      <c r="E8" s="162">
        <v>1057</v>
      </c>
      <c r="F8" s="80">
        <f t="shared" si="0"/>
        <v>16912</v>
      </c>
      <c r="G8" s="162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205"/>
    </row>
    <row r="9" spans="1:15" ht="15" customHeight="1">
      <c r="A9" s="203"/>
      <c r="B9" s="78" t="s">
        <v>76</v>
      </c>
      <c r="C9" s="79" t="s">
        <v>72</v>
      </c>
      <c r="D9" s="143">
        <v>25</v>
      </c>
      <c r="E9" s="162">
        <v>1057</v>
      </c>
      <c r="F9" s="80">
        <f t="shared" si="0"/>
        <v>26425</v>
      </c>
      <c r="G9" s="162">
        <v>9266</v>
      </c>
      <c r="H9" s="80">
        <f t="shared" si="1"/>
        <v>231650</v>
      </c>
      <c r="I9" s="80"/>
      <c r="J9" s="80"/>
      <c r="K9" s="80"/>
      <c r="L9" s="80"/>
      <c r="M9" s="80"/>
      <c r="N9" s="80">
        <f t="shared" si="2"/>
        <v>258075</v>
      </c>
      <c r="O9" s="205"/>
    </row>
    <row r="10" spans="1:15" ht="15" customHeight="1">
      <c r="A10" s="203"/>
      <c r="B10" s="78" t="s">
        <v>77</v>
      </c>
      <c r="C10" s="79" t="s">
        <v>72</v>
      </c>
      <c r="D10" s="143">
        <v>12</v>
      </c>
      <c r="E10" s="162">
        <v>1057</v>
      </c>
      <c r="F10" s="80">
        <f t="shared" si="0"/>
        <v>12684</v>
      </c>
      <c r="G10" s="162">
        <v>12178</v>
      </c>
      <c r="H10" s="80">
        <f t="shared" si="1"/>
        <v>146136</v>
      </c>
      <c r="I10" s="80"/>
      <c r="J10" s="80"/>
      <c r="K10" s="80"/>
      <c r="L10" s="80"/>
      <c r="M10" s="80"/>
      <c r="N10" s="80">
        <f t="shared" si="2"/>
        <v>158820</v>
      </c>
      <c r="O10" s="205"/>
    </row>
    <row r="11" spans="1:15" ht="15" customHeight="1">
      <c r="A11" s="203"/>
      <c r="B11" s="78" t="s">
        <v>78</v>
      </c>
      <c r="C11" s="79" t="s">
        <v>72</v>
      </c>
      <c r="D11" s="143">
        <v>25</v>
      </c>
      <c r="E11" s="162">
        <v>1057</v>
      </c>
      <c r="F11" s="80">
        <f t="shared" si="0"/>
        <v>26425</v>
      </c>
      <c r="G11" s="162">
        <v>9266</v>
      </c>
      <c r="H11" s="80">
        <f t="shared" si="1"/>
        <v>231650</v>
      </c>
      <c r="I11" s="80"/>
      <c r="J11" s="80"/>
      <c r="K11" s="80"/>
      <c r="L11" s="80"/>
      <c r="M11" s="80"/>
      <c r="N11" s="80">
        <f t="shared" si="2"/>
        <v>258075</v>
      </c>
      <c r="O11" s="205"/>
    </row>
    <row r="12" spans="1:15" ht="15" customHeight="1">
      <c r="A12" s="203"/>
      <c r="B12" s="78" t="s">
        <v>79</v>
      </c>
      <c r="C12" s="79" t="s">
        <v>72</v>
      </c>
      <c r="D12" s="144">
        <v>11</v>
      </c>
      <c r="E12" s="162">
        <v>1057</v>
      </c>
      <c r="F12" s="80">
        <f t="shared" si="0"/>
        <v>11627</v>
      </c>
      <c r="G12" s="162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05"/>
    </row>
    <row r="13" spans="1:15" ht="15" customHeight="1">
      <c r="A13" s="103" t="s">
        <v>80</v>
      </c>
      <c r="B13" s="104"/>
      <c r="C13" s="105"/>
      <c r="D13" s="145">
        <f>SUM(D5:D12)</f>
        <v>183</v>
      </c>
      <c r="E13" s="106"/>
      <c r="F13" s="106">
        <f>SUM(F5:F12)</f>
        <v>193431</v>
      </c>
      <c r="G13" s="106"/>
      <c r="H13" s="106">
        <f>SUM(H5:H12)</f>
        <v>1879134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2072565</v>
      </c>
      <c r="O13" s="106"/>
    </row>
    <row r="14" spans="1:15" ht="15" customHeight="1">
      <c r="A14" s="206" t="s">
        <v>150</v>
      </c>
      <c r="B14" s="78" t="s">
        <v>81</v>
      </c>
      <c r="C14" s="79" t="s">
        <v>72</v>
      </c>
      <c r="D14" s="144">
        <v>26.1</v>
      </c>
      <c r="E14" s="162">
        <v>10855</v>
      </c>
      <c r="F14" s="111">
        <f>D14*E14</f>
        <v>283315.5</v>
      </c>
      <c r="G14" s="162">
        <v>6987</v>
      </c>
      <c r="H14" s="111">
        <f>D14*G14</f>
        <v>182360.7</v>
      </c>
      <c r="I14" s="111"/>
      <c r="J14" s="111"/>
      <c r="K14" s="80"/>
      <c r="L14" s="111"/>
      <c r="M14" s="80"/>
      <c r="N14" s="111">
        <f t="shared" ref="N14:N17" si="3">F14+H14+J14+L14</f>
        <v>465676.2</v>
      </c>
      <c r="O14" s="205"/>
    </row>
    <row r="15" spans="1:15" ht="15" customHeight="1">
      <c r="A15" s="206"/>
      <c r="B15" s="78" t="s">
        <v>82</v>
      </c>
      <c r="C15" s="79" t="s">
        <v>72</v>
      </c>
      <c r="D15" s="146">
        <v>10.9</v>
      </c>
      <c r="E15" s="162">
        <v>10855</v>
      </c>
      <c r="F15" s="111">
        <f>D15*E15</f>
        <v>118319.5</v>
      </c>
      <c r="G15" s="162">
        <v>6987</v>
      </c>
      <c r="H15" s="111">
        <f>D15*G15</f>
        <v>76158.3</v>
      </c>
      <c r="I15" s="111"/>
      <c r="J15" s="111"/>
      <c r="K15" s="80"/>
      <c r="L15" s="111"/>
      <c r="M15" s="80"/>
      <c r="N15" s="111">
        <f t="shared" si="3"/>
        <v>194477.8</v>
      </c>
      <c r="O15" s="205"/>
    </row>
    <row r="16" spans="1:15" ht="15" customHeight="1">
      <c r="A16" s="206"/>
      <c r="B16" s="78" t="s">
        <v>83</v>
      </c>
      <c r="C16" s="79" t="s">
        <v>72</v>
      </c>
      <c r="D16" s="146">
        <v>8.4</v>
      </c>
      <c r="E16" s="162">
        <v>10855</v>
      </c>
      <c r="F16" s="111">
        <f>D16*E16</f>
        <v>91182</v>
      </c>
      <c r="G16" s="162">
        <v>6987</v>
      </c>
      <c r="H16" s="111">
        <f>D16*G16</f>
        <v>58690.8</v>
      </c>
      <c r="I16" s="111"/>
      <c r="J16" s="111"/>
      <c r="K16" s="80"/>
      <c r="L16" s="111"/>
      <c r="M16" s="80"/>
      <c r="N16" s="111">
        <f t="shared" si="3"/>
        <v>149872.79999999999</v>
      </c>
      <c r="O16" s="205"/>
    </row>
    <row r="17" spans="1:15" ht="15" customHeight="1">
      <c r="A17" s="207"/>
      <c r="B17" s="78" t="s">
        <v>84</v>
      </c>
      <c r="C17" s="79" t="s">
        <v>72</v>
      </c>
      <c r="D17" s="146">
        <v>6.1</v>
      </c>
      <c r="E17" s="162">
        <v>10855</v>
      </c>
      <c r="F17" s="111">
        <f>D17*E17</f>
        <v>66215.5</v>
      </c>
      <c r="G17" s="162">
        <v>6987</v>
      </c>
      <c r="H17" s="111">
        <f>D17*G17</f>
        <v>42620.7</v>
      </c>
      <c r="I17" s="111"/>
      <c r="J17" s="111"/>
      <c r="K17" s="80"/>
      <c r="L17" s="111"/>
      <c r="M17" s="80"/>
      <c r="N17" s="111">
        <f t="shared" si="3"/>
        <v>108836.2</v>
      </c>
      <c r="O17" s="208"/>
    </row>
    <row r="18" spans="1:15" ht="15" customHeight="1">
      <c r="A18" s="95" t="s">
        <v>80</v>
      </c>
      <c r="B18" s="81"/>
      <c r="C18" s="84"/>
      <c r="D18" s="145">
        <f>SUM(D14:D17)</f>
        <v>51.5</v>
      </c>
      <c r="E18" s="83"/>
      <c r="F18" s="83">
        <f>SUM(F14:F17)</f>
        <v>559032.5</v>
      </c>
      <c r="G18" s="83"/>
      <c r="H18" s="83">
        <f>SUM(H14:H17)</f>
        <v>359830.5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918863</v>
      </c>
      <c r="O18" s="83"/>
    </row>
    <row r="19" spans="1:15" ht="15" customHeight="1">
      <c r="A19" s="100" t="s">
        <v>85</v>
      </c>
      <c r="B19" s="85"/>
      <c r="C19" s="86"/>
      <c r="D19" s="147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2" t="s">
        <v>146</v>
      </c>
      <c r="B20" s="118" t="s">
        <v>142</v>
      </c>
      <c r="C20" s="118" t="s">
        <v>141</v>
      </c>
      <c r="D20" s="147">
        <v>0.5</v>
      </c>
      <c r="E20" s="162">
        <v>54693</v>
      </c>
      <c r="F20" s="111">
        <f>D20*E20</f>
        <v>27346.5</v>
      </c>
      <c r="G20" s="80"/>
      <c r="H20" s="80"/>
      <c r="I20" s="80"/>
      <c r="J20" s="80"/>
      <c r="K20" s="80"/>
      <c r="L20" s="80"/>
      <c r="M20" s="80"/>
      <c r="N20" s="113">
        <f t="shared" ref="N20:N29" si="4">F20+H20+J20+L20</f>
        <v>27346.5</v>
      </c>
      <c r="O20" s="80"/>
    </row>
    <row r="21" spans="1:15" ht="15" customHeight="1">
      <c r="A21" s="201" t="s">
        <v>86</v>
      </c>
      <c r="B21" s="85" t="s">
        <v>87</v>
      </c>
      <c r="C21" s="86" t="s">
        <v>72</v>
      </c>
      <c r="D21" s="147">
        <v>25</v>
      </c>
      <c r="E21" s="113"/>
      <c r="F21" s="113">
        <f>D21*E21</f>
        <v>0</v>
      </c>
      <c r="G21" s="163">
        <v>8978</v>
      </c>
      <c r="H21" s="113">
        <f t="shared" ref="H21:H27" si="5">D21*G21</f>
        <v>224450</v>
      </c>
      <c r="I21" s="113"/>
      <c r="J21" s="113"/>
      <c r="K21" s="113"/>
      <c r="L21" s="113"/>
      <c r="M21" s="113"/>
      <c r="N21" s="113">
        <f t="shared" si="4"/>
        <v>224450</v>
      </c>
      <c r="O21" s="80"/>
    </row>
    <row r="22" spans="1:15" ht="15" customHeight="1">
      <c r="A22" s="201"/>
      <c r="B22" s="85" t="s">
        <v>88</v>
      </c>
      <c r="C22" s="86" t="s">
        <v>72</v>
      </c>
      <c r="D22" s="147">
        <v>25</v>
      </c>
      <c r="E22" s="113"/>
      <c r="F22" s="113">
        <f t="shared" ref="F22:F29" si="6">D22*E22</f>
        <v>0</v>
      </c>
      <c r="G22" s="163">
        <v>5317</v>
      </c>
      <c r="H22" s="113">
        <f t="shared" si="5"/>
        <v>132925</v>
      </c>
      <c r="I22" s="113"/>
      <c r="J22" s="113"/>
      <c r="K22" s="113"/>
      <c r="L22" s="113"/>
      <c r="M22" s="113"/>
      <c r="N22" s="113">
        <f t="shared" si="4"/>
        <v>132925</v>
      </c>
      <c r="O22" s="80"/>
    </row>
    <row r="23" spans="1:15" ht="15" customHeight="1">
      <c r="A23" s="201" t="s">
        <v>89</v>
      </c>
      <c r="B23" s="85" t="s">
        <v>87</v>
      </c>
      <c r="C23" s="86" t="s">
        <v>72</v>
      </c>
      <c r="D23" s="147">
        <v>25</v>
      </c>
      <c r="E23" s="113"/>
      <c r="F23" s="113">
        <f>D23*E23</f>
        <v>0</v>
      </c>
      <c r="G23" s="163">
        <v>8978</v>
      </c>
      <c r="H23" s="113">
        <f t="shared" si="5"/>
        <v>224450</v>
      </c>
      <c r="I23" s="113"/>
      <c r="J23" s="113"/>
      <c r="K23" s="113"/>
      <c r="L23" s="113"/>
      <c r="M23" s="113"/>
      <c r="N23" s="113">
        <f t="shared" si="4"/>
        <v>224450</v>
      </c>
      <c r="O23" s="80"/>
    </row>
    <row r="24" spans="1:15" ht="15" customHeight="1">
      <c r="A24" s="201"/>
      <c r="B24" s="85" t="s">
        <v>88</v>
      </c>
      <c r="C24" s="86" t="s">
        <v>72</v>
      </c>
      <c r="D24" s="147">
        <v>25</v>
      </c>
      <c r="E24" s="113"/>
      <c r="F24" s="113">
        <f t="shared" ref="F24:F27" si="7">D24*E24</f>
        <v>0</v>
      </c>
      <c r="G24" s="163">
        <v>5317</v>
      </c>
      <c r="H24" s="113">
        <f t="shared" si="5"/>
        <v>132925</v>
      </c>
      <c r="I24" s="113"/>
      <c r="J24" s="113"/>
      <c r="K24" s="113"/>
      <c r="L24" s="113"/>
      <c r="M24" s="113"/>
      <c r="N24" s="113">
        <f t="shared" si="4"/>
        <v>132925</v>
      </c>
      <c r="O24" s="80"/>
    </row>
    <row r="25" spans="1:15" ht="15" customHeight="1">
      <c r="A25" s="119" t="s">
        <v>144</v>
      </c>
      <c r="B25" s="118" t="s">
        <v>145</v>
      </c>
      <c r="C25" s="118" t="s">
        <v>141</v>
      </c>
      <c r="D25" s="147">
        <v>0.2</v>
      </c>
      <c r="E25" s="162">
        <v>74983</v>
      </c>
      <c r="F25" s="113">
        <f t="shared" si="7"/>
        <v>14996.6</v>
      </c>
      <c r="G25" s="80"/>
      <c r="H25" s="80"/>
      <c r="I25" s="80"/>
      <c r="J25" s="80"/>
      <c r="K25" s="80"/>
      <c r="L25" s="80"/>
      <c r="M25" s="80"/>
      <c r="N25" s="113">
        <f t="shared" si="4"/>
        <v>14996.6</v>
      </c>
      <c r="O25" s="80"/>
    </row>
    <row r="26" spans="1:15" ht="15" customHeight="1">
      <c r="A26" s="201" t="s">
        <v>90</v>
      </c>
      <c r="B26" s="85" t="s">
        <v>91</v>
      </c>
      <c r="C26" s="86" t="s">
        <v>72</v>
      </c>
      <c r="D26" s="147">
        <v>14</v>
      </c>
      <c r="E26" s="80"/>
      <c r="F26" s="80">
        <f t="shared" si="6"/>
        <v>0</v>
      </c>
      <c r="G26" s="162">
        <v>2084</v>
      </c>
      <c r="H26" s="80">
        <f t="shared" si="5"/>
        <v>29176</v>
      </c>
      <c r="I26" s="80"/>
      <c r="J26" s="80"/>
      <c r="K26" s="80"/>
      <c r="L26" s="111"/>
      <c r="M26" s="80"/>
      <c r="N26" s="111">
        <f t="shared" si="4"/>
        <v>29176</v>
      </c>
      <c r="O26" s="80"/>
    </row>
    <row r="27" spans="1:15" ht="15" customHeight="1">
      <c r="A27" s="201"/>
      <c r="B27" s="85" t="s">
        <v>92</v>
      </c>
      <c r="C27" s="86" t="s">
        <v>72</v>
      </c>
      <c r="D27" s="147">
        <v>14</v>
      </c>
      <c r="E27" s="80"/>
      <c r="F27" s="80">
        <f t="shared" si="7"/>
        <v>0</v>
      </c>
      <c r="G27" s="162">
        <v>3232</v>
      </c>
      <c r="H27" s="80">
        <f t="shared" si="5"/>
        <v>45248</v>
      </c>
      <c r="I27" s="80"/>
      <c r="J27" s="80"/>
      <c r="K27" s="80"/>
      <c r="L27" s="111"/>
      <c r="M27" s="80"/>
      <c r="N27" s="111">
        <f t="shared" si="4"/>
        <v>45248</v>
      </c>
      <c r="O27" s="80"/>
    </row>
    <row r="28" spans="1:15" ht="15" customHeight="1">
      <c r="A28" s="201" t="s">
        <v>93</v>
      </c>
      <c r="B28" s="85" t="s">
        <v>91</v>
      </c>
      <c r="C28" s="86" t="s">
        <v>72</v>
      </c>
      <c r="D28" s="147">
        <v>2</v>
      </c>
      <c r="E28" s="80"/>
      <c r="F28" s="80">
        <f t="shared" si="6"/>
        <v>0</v>
      </c>
      <c r="G28" s="162">
        <v>2084</v>
      </c>
      <c r="H28" s="80">
        <f>D28*G28</f>
        <v>4168</v>
      </c>
      <c r="I28" s="80"/>
      <c r="J28" s="80"/>
      <c r="K28" s="80"/>
      <c r="L28" s="111"/>
      <c r="M28" s="80"/>
      <c r="N28" s="111">
        <f t="shared" si="4"/>
        <v>4168</v>
      </c>
      <c r="O28" s="80"/>
    </row>
    <row r="29" spans="1:15" ht="15" customHeight="1">
      <c r="A29" s="201"/>
      <c r="B29" s="85" t="s">
        <v>94</v>
      </c>
      <c r="C29" s="86" t="s">
        <v>72</v>
      </c>
      <c r="D29" s="147">
        <v>2</v>
      </c>
      <c r="E29" s="80"/>
      <c r="F29" s="80">
        <f t="shared" si="6"/>
        <v>0</v>
      </c>
      <c r="G29" s="162">
        <v>4886</v>
      </c>
      <c r="H29" s="80">
        <f t="shared" ref="H29" si="8">D29*G29</f>
        <v>9772</v>
      </c>
      <c r="I29" s="80"/>
      <c r="J29" s="80"/>
      <c r="K29" s="80"/>
      <c r="L29" s="111"/>
      <c r="M29" s="80"/>
      <c r="N29" s="111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48"/>
      <c r="E30" s="83"/>
      <c r="F30" s="83">
        <f>SUM(F19:F29)</f>
        <v>42343.1</v>
      </c>
      <c r="G30" s="83"/>
      <c r="H30" s="83">
        <f>SUM(H19:H29)</f>
        <v>803114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845457.1</v>
      </c>
      <c r="O30" s="83"/>
    </row>
    <row r="31" spans="1:15" ht="15" customHeight="1">
      <c r="A31" s="101" t="s">
        <v>95</v>
      </c>
      <c r="B31" s="78" t="s">
        <v>96</v>
      </c>
      <c r="C31" s="79" t="s">
        <v>72</v>
      </c>
      <c r="D31" s="149">
        <v>97</v>
      </c>
      <c r="E31" s="111"/>
      <c r="F31" s="111"/>
      <c r="G31" s="162">
        <v>4284</v>
      </c>
      <c r="H31" s="111">
        <f>D31*G31</f>
        <v>415548</v>
      </c>
      <c r="I31" s="111"/>
      <c r="J31" s="111"/>
      <c r="K31" s="111"/>
      <c r="L31" s="111"/>
      <c r="M31" s="111"/>
      <c r="N31" s="111">
        <f>F31+H31+J31+L31</f>
        <v>415548</v>
      </c>
      <c r="O31" s="89" t="s">
        <v>97</v>
      </c>
    </row>
    <row r="32" spans="1:15" ht="15" customHeight="1">
      <c r="A32" s="96" t="s">
        <v>80</v>
      </c>
      <c r="B32" s="81"/>
      <c r="C32" s="82"/>
      <c r="D32" s="150"/>
      <c r="E32" s="90"/>
      <c r="F32" s="90"/>
      <c r="G32" s="90"/>
      <c r="H32" s="83">
        <f>SUM(H31:H31)</f>
        <v>415548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415548</v>
      </c>
      <c r="O32" s="90"/>
    </row>
    <row r="33" spans="1:15" ht="15" customHeight="1">
      <c r="A33" s="95" t="s">
        <v>140</v>
      </c>
      <c r="B33" s="81"/>
      <c r="C33" s="82"/>
      <c r="D33" s="150"/>
      <c r="E33" s="91"/>
      <c r="F33" s="92">
        <f>F13+F18+F30+F32</f>
        <v>794806.6</v>
      </c>
      <c r="G33" s="92"/>
      <c r="H33" s="92">
        <f>H13+H18+H30+H32</f>
        <v>3457626.5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4252433.0999999996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11.084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2.609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1.8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51.6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0.84589999999999999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50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50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14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14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1.85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1.85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2026-08-03T02:56:53Z</dcterms:modified>
</cp:coreProperties>
</file>
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C8649A4E-7DFE-445C-90C3-68073BD6F43D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O10" i="18" l="1"/>
  <c r="O9" i="18"/>
  <c r="O8" i="18"/>
  <c r="O7" i="18"/>
  <c r="F8" i="1" l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L27" i="18"/>
  <c r="J27" i="18"/>
  <c r="H25" i="18"/>
  <c r="F25" i="18"/>
  <c r="N25" i="18" s="1"/>
  <c r="H24" i="18"/>
  <c r="F24" i="18"/>
  <c r="H23" i="18"/>
  <c r="F23" i="18"/>
  <c r="F22" i="18"/>
  <c r="N22" i="18" s="1"/>
  <c r="F21" i="18"/>
  <c r="N21" i="18" s="1"/>
  <c r="J26" i="18"/>
  <c r="F26" i="18"/>
  <c r="N26" i="18" s="1"/>
  <c r="H20" i="18"/>
  <c r="F20" i="18"/>
  <c r="N20" i="18" s="1"/>
  <c r="H19" i="18"/>
  <c r="F19" i="18"/>
  <c r="H18" i="18"/>
  <c r="F18" i="18"/>
  <c r="F17" i="18"/>
  <c r="N17" i="18" s="1"/>
  <c r="F16" i="18"/>
  <c r="N16" i="18" s="1"/>
  <c r="H15" i="18"/>
  <c r="F15" i="18"/>
  <c r="N15" i="18" s="1"/>
  <c r="H14" i="18"/>
  <c r="F14" i="18"/>
  <c r="H13" i="18"/>
  <c r="F13" i="18"/>
  <c r="N13" i="18" s="1"/>
  <c r="F12" i="18"/>
  <c r="N12" i="18" s="1"/>
  <c r="F11" i="18"/>
  <c r="N11" i="18" s="1"/>
  <c r="H10" i="18"/>
  <c r="F10" i="18"/>
  <c r="N10" i="18" s="1"/>
  <c r="H9" i="18"/>
  <c r="F9" i="18"/>
  <c r="N9" i="18" s="1"/>
  <c r="H8" i="18"/>
  <c r="F8" i="18"/>
  <c r="N8" i="18" s="1"/>
  <c r="F7" i="18"/>
  <c r="N7" i="18" s="1"/>
  <c r="F6" i="18"/>
  <c r="N6" i="18" s="1"/>
  <c r="H5" i="18"/>
  <c r="F5" i="18"/>
  <c r="N5" i="18" s="1"/>
  <c r="U11" i="4"/>
  <c r="O11" i="4"/>
  <c r="A11" i="4"/>
  <c r="U10" i="4"/>
  <c r="S10" i="4"/>
  <c r="Q10" i="4"/>
  <c r="O10" i="4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V5" i="4" s="1"/>
  <c r="A5" i="4"/>
  <c r="H27" i="18" l="1"/>
  <c r="F27" i="18"/>
  <c r="N24" i="18"/>
  <c r="N19" i="18"/>
  <c r="V11" i="4"/>
  <c r="V10" i="4"/>
  <c r="V9" i="4"/>
  <c r="V8" i="4"/>
  <c r="V7" i="4"/>
  <c r="V6" i="4"/>
  <c r="N18" i="18"/>
  <c r="N23" i="18"/>
  <c r="N14" i="18"/>
  <c r="N27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s="1"/>
  <c r="F22" i="5" l="1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<sst xmlns="http://schemas.openxmlformats.org/spreadsheetml/2006/main" count="213" uniqueCount="144">
  <si>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</si>
  <si>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</si>
  <si>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</si>
  <si>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</si>
  <si>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</si>
  <si>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</si>
  <si>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</si>
  <si>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</si>
  <si>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</si>
  <si>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</si>
  <si>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</si>
  <si>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</si>
  <si>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</si>
  <si>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</si>
  <si>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</si>
  <si>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</si>
  <si>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</si>
  <si>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</si>
  <si>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</si>
  <si>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</si>
  <si>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</si>
  <si>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</si>
  <si>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</si>
  <si>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</si>
  <si>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</si>
  <si>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</si>
  <si>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</si>
  <si>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</si>
  <si>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</si>
  <si>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</si>
  <si>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</si>
  <si>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</si>
  <si>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</si>
  <si>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</si>
  <si>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</si>
  <si>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</si>
  <si>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</si>
  <si>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</si>
  <si>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</si>
  <si>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</si>
  <si>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</si>
  <si>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</si>
  <si>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</si>
  <si>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</si>
  <si>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</si>
  <si>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</si>
  <si>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</si>
  <si>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</si>
  <si>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</si>
  <si>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</si>
  <si>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</si>
  <si>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</si>
  <si>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</si>
  <si>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</si>
  <si>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</si>
  <si>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</si>
  <si>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</si>
  <si>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</si>
  <si>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</si>
  <si>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</si>
  <si>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</si>
  <si>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</si>
  <si>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</si>
  <si>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</si>
  <si>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</si>
  <si>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</si>
  <si>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</si>
  <si>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</si>
  <si>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</si>
  <si>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</si>
  <si>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</si>
  <si>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</si>
  <si>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</si>
  <si>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</si>
  <si>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</si>
  <si>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</si>
  <si>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</si>
  <si>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</si>
  <si>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</si>
  <si>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</si>
  <si>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</si>
  <si>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</si>
  <si>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</si>
  <si>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</si>
  <si>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</si>
  <si>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</si>
  <si>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</si>
  <si>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</si>
  <si>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</si>
  <si>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</si>
  <si>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</si>
  <si>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</si>
  <si>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</si>
  <si>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</si>
  <si>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</si>
  <si>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</si>
  <si>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</si>
  <si>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</si>
  <si>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</si>
  <si>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</si>
  <si>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</si>
  <si>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</si>
  <si>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</si>
  <si>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</si>
  <si>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</si>
  <si>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</si>
  <si>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</si>
  <si>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</si>
  <si>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</si>
  <si>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</si>
  <si>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</si>
  <si>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</si>
  <si>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</si>
  <si>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</si>
  <si>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</si>
  <si>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</si>
  <si>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</si>
  <si>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</si>
  <si>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</si>
  <si>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</si>
  <si>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</si>
  <si>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</si>
  <si>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</si>
  <si>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</si>
  <si>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</si>
  <si>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</si>
  <si>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</si>
  <si>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</si>
  <si>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2.거실</t>
    <phoneticPr fontId="12" type="noConversion"/>
  </si>
  <si>
    <t>3.안방</t>
    <phoneticPr fontId="12" type="noConversion"/>
  </si>
  <si>
    <t>5.작은방2</t>
    <phoneticPr fontId="12" type="noConversion"/>
  </si>
  <si>
    <t>4.작은방1</t>
    <phoneticPr fontId="12" type="noConversion"/>
  </si>
  <si>
    <t>6.폐기물 처리</t>
    <phoneticPr fontId="12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</si>
  <si>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</si>
  <si>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</si>
  <si>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102-501 단열작업(거실+안방+작은방1,2- 열반사+이보드)</t>
    <phoneticPr fontId="16" type="noConversion"/>
  </si>
  <si>
    <t xml:space="preserve"> 견적일 : 2026년  01월  15일</t>
    <phoneticPr fontId="16" type="noConversion"/>
  </si>
  <si>
    <t>공사명 : 사택 102-501 단열작업(거실+안방+작은방1,2- 열반사+이보드)</t>
    <phoneticPr fontId="18" type="noConversion"/>
  </si>
  <si>
    <t>(전체면적5.2*h:2.5)-(창호면적 1.5*2.3*2창)= 6.1</t>
    <phoneticPr fontId="10" type="noConversion"/>
  </si>
  <si>
    <t>(전체면적 4.9*h:2.5)=12.25</t>
    <phoneticPr fontId="10" type="noConversion"/>
  </si>
  <si>
    <t>(전체면적 3.9*h:2.5)=9.75</t>
    <phoneticPr fontId="10" type="noConversion"/>
  </si>
  <si>
    <t>(전체면적 3.8*h:2.5)=9.5</t>
    <phoneticPr fontId="10" type="noConversion"/>
  </si>
  <si>
    <t>바탕용(2겹) (시공량 : 76㎡),시공총량76/일당30=2.5333</t>
    <phoneticPr fontId="10" type="noConversion"/>
  </si>
  <si>
    <t>중밀도섬유판(시공량 : 165m), 설치수량 35m, 35/165=0.2121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</si>
</sst>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185" fontId="39" fillId="0" borderId="0" xfId="28" applyNumberFormat="1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60" t="s">
        <v>6</v>
      </c>
      <c r="B2" s="160"/>
      <c r="C2" s="160"/>
      <c r="D2" s="160"/>
      <c r="E2" s="160"/>
      <c r="F2" s="160"/>
      <c r="G2" s="160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66" t="s">
        <v>135</v>
      </c>
      <c r="B7" s="167"/>
      <c r="C7" s="168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63" t="s">
        <v>136</v>
      </c>
      <c r="B9" s="164"/>
      <c r="C9" s="165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61"/>
      <c r="B11" s="162"/>
      <c r="C11" s="162"/>
      <c r="D11" s="5"/>
      <c r="E11" s="17"/>
      <c r="F11" s="18" t="s">
        <v>40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이백칠십오만일천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684741.75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1675548.2785749999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2360290.0285749999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75399.672535874997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59398.186475483752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7692.0651485751459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16923.037613607499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59649.518717269995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133</v>
      </c>
      <c r="D26" s="33">
        <v>1</v>
      </c>
      <c r="E26" s="33" t="s">
        <v>25</v>
      </c>
      <c r="F26" s="46">
        <f>(F16+F17)*3.11%</f>
        <v>73405.019888682495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98400.788947724679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390868.2893272186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2751158.3179022186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2751000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selection activeCell="M20" sqref="M20"/>
    </sheetView>
  </sheetViews>
  <sheetFormatPr defaultColWidth="9" defaultRowHeight="12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>
      <c r="A1" s="169"/>
      <c r="B1" s="169"/>
      <c r="C1" s="169"/>
      <c r="D1" s="169"/>
      <c r="E1" s="169"/>
      <c r="F1" s="169"/>
      <c r="G1" s="169"/>
      <c r="H1" s="169"/>
      <c r="I1" s="169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>
      <c r="A2" s="169"/>
      <c r="B2" s="169"/>
      <c r="C2" s="169"/>
      <c r="D2" s="169"/>
      <c r="E2" s="169"/>
      <c r="F2" s="169"/>
      <c r="G2" s="169"/>
      <c r="H2" s="169"/>
      <c r="I2" s="169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8" t="s">
        <v>86</v>
      </c>
      <c r="K3" s="178"/>
      <c r="L3" s="178" t="s">
        <v>47</v>
      </c>
      <c r="M3" s="178" t="s">
        <v>5</v>
      </c>
      <c r="N3" s="174" t="s">
        <v>87</v>
      </c>
      <c r="O3" s="174"/>
      <c r="P3" s="174" t="s">
        <v>88</v>
      </c>
      <c r="Q3" s="174"/>
      <c r="R3" s="175" t="s">
        <v>89</v>
      </c>
      <c r="S3" s="175"/>
      <c r="T3" s="175" t="s">
        <v>90</v>
      </c>
      <c r="U3" s="175"/>
      <c r="V3" s="176" t="s">
        <v>91</v>
      </c>
      <c r="W3" s="172" t="s">
        <v>92</v>
      </c>
      <c r="X3" s="170" t="s">
        <v>45</v>
      </c>
    </row>
    <row r="4" spans="1:24" ht="19.899999999999999" customHeight="1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9"/>
      <c r="M4" s="179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7"/>
      <c r="W4" s="173"/>
      <c r="X4" s="171"/>
    </row>
    <row r="5" spans="1:24" s="99" customFormat="1" ht="38.1" customHeight="1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105</v>
      </c>
      <c r="K5" s="116" t="s">
        <v>134</v>
      </c>
      <c r="L5" s="117" t="s">
        <v>106</v>
      </c>
      <c r="M5" s="118">
        <v>10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179692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179692</v>
      </c>
      <c r="W5" s="124"/>
      <c r="X5" s="125"/>
    </row>
    <row r="6" spans="1:24" s="99" customFormat="1" ht="38.1" customHeight="1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107</v>
      </c>
      <c r="I6" s="92"/>
      <c r="J6" s="116" t="s">
        <v>108</v>
      </c>
      <c r="K6" s="116" t="s">
        <v>109</v>
      </c>
      <c r="L6" s="117" t="s">
        <v>110</v>
      </c>
      <c r="M6" s="118">
        <v>38</v>
      </c>
      <c r="N6" s="121">
        <v>6400</v>
      </c>
      <c r="O6" s="120">
        <f t="shared" si="1"/>
        <v>203072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203072</v>
      </c>
      <c r="W6" s="124"/>
      <c r="X6" s="125"/>
    </row>
    <row r="7" spans="1:24" s="99" customFormat="1" ht="38.1" customHeight="1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111</v>
      </c>
      <c r="H7" s="115"/>
      <c r="I7" s="114"/>
      <c r="J7" s="116" t="s">
        <v>112</v>
      </c>
      <c r="K7" s="116" t="s">
        <v>142</v>
      </c>
      <c r="L7" s="130" t="s">
        <v>113</v>
      </c>
      <c r="M7" s="118">
        <v>2.5329999999999999</v>
      </c>
      <c r="N7" s="131"/>
      <c r="O7" s="120">
        <f t="shared" si="1"/>
        <v>0</v>
      </c>
      <c r="P7" s="121">
        <v>652621</v>
      </c>
      <c r="Q7" s="120">
        <f t="shared" si="2"/>
        <v>1380329.3091549999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1380329.3091549999</v>
      </c>
      <c r="W7" s="124"/>
      <c r="X7" s="125"/>
    </row>
    <row r="8" spans="1:24" s="99" customFormat="1" ht="38.1" customHeight="1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114</v>
      </c>
      <c r="I8" s="92"/>
      <c r="J8" s="116" t="s">
        <v>115</v>
      </c>
      <c r="K8" s="116" t="s">
        <v>116</v>
      </c>
      <c r="L8" s="117" t="s">
        <v>60</v>
      </c>
      <c r="M8" s="118">
        <v>35</v>
      </c>
      <c r="N8" s="131">
        <v>3510</v>
      </c>
      <c r="O8" s="120">
        <f t="shared" si="1"/>
        <v>102579.75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102579.75</v>
      </c>
      <c r="W8" s="124"/>
      <c r="X8" s="125"/>
    </row>
    <row r="9" spans="1:24" s="99" customFormat="1" ht="38.1" customHeight="1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117</v>
      </c>
      <c r="H9" s="92"/>
      <c r="I9" s="92"/>
      <c r="J9" s="116" t="s">
        <v>118</v>
      </c>
      <c r="K9" s="116" t="s">
        <v>143</v>
      </c>
      <c r="L9" s="117" t="s">
        <v>113</v>
      </c>
      <c r="M9" s="118">
        <v>0.21199999999999999</v>
      </c>
      <c r="N9" s="119"/>
      <c r="O9" s="120">
        <f t="shared" si="1"/>
        <v>0</v>
      </c>
      <c r="P9" s="121">
        <v>652621</v>
      </c>
      <c r="Q9" s="120">
        <f t="shared" si="2"/>
        <v>115526.96941999999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115526.96941999999</v>
      </c>
      <c r="W9" s="124"/>
      <c r="X9" s="125"/>
    </row>
    <row r="10" spans="1:24" s="99" customFormat="1" ht="38.1" customHeight="1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119</v>
      </c>
      <c r="I10" s="92"/>
      <c r="J10" s="116" t="s">
        <v>120</v>
      </c>
      <c r="K10" s="116" t="s">
        <v>121</v>
      </c>
      <c r="L10" s="117" t="s">
        <v>110</v>
      </c>
      <c r="M10" s="118">
        <v>38</v>
      </c>
      <c r="N10" s="121">
        <v>8000</v>
      </c>
      <c r="O10" s="120">
        <f t="shared" si="1"/>
        <v>253840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253840</v>
      </c>
      <c r="W10" s="124"/>
      <c r="X10" s="98"/>
    </row>
    <row r="11" spans="1:24" s="99" customFormat="1" ht="38.1" customHeight="1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122</v>
      </c>
      <c r="I11" s="135"/>
      <c r="J11" s="116" t="s">
        <v>123</v>
      </c>
      <c r="K11" s="116" t="s">
        <v>124</v>
      </c>
      <c r="L11" s="136" t="s">
        <v>59</v>
      </c>
      <c r="M11" s="118">
        <v>1</v>
      </c>
      <c r="N11" s="131">
        <v>150000</v>
      </c>
      <c r="O11" s="120">
        <f t="shared" si="1"/>
        <v>125250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125250</v>
      </c>
      <c r="W11" s="124"/>
      <c r="X11" s="125"/>
    </row>
    <row r="12" spans="1:24" s="101" customFormat="1" ht="19.899999999999999" customHeight="1">
      <c r="A12" s="100"/>
      <c r="B12" s="100"/>
      <c r="C12" s="100"/>
      <c r="D12" s="100"/>
      <c r="E12" s="100"/>
      <c r="O12" s="102">
        <f>SUM(O5:O11)</f>
        <v>684741.75</v>
      </c>
      <c r="P12" s="103"/>
      <c r="Q12" s="102">
        <f>SUM(Q5:Q11)</f>
        <v>1675548.2785749999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2360290.0285749999</v>
      </c>
      <c r="W12" s="105"/>
    </row>
    <row r="15" spans="1:24">
      <c r="M15" s="112"/>
    </row>
    <row r="16" spans="1:24">
      <c r="M16" s="112"/>
    </row>
    <row r="17" spans="13:13">
      <c r="M17" s="112"/>
    </row>
    <row r="18" spans="13:1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27"/>
  <sheetViews>
    <sheetView zoomScaleNormal="100" workbookViewId="0">
      <selection activeCell="R19" sqref="R19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>
      <c r="A1" s="180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5" s="68" customFormat="1" ht="20.100000000000001" customHeight="1">
      <c r="A2" s="181" t="s">
        <v>62</v>
      </c>
      <c r="B2" s="181" t="s">
        <v>63</v>
      </c>
      <c r="C2" s="182" t="s">
        <v>47</v>
      </c>
      <c r="D2" s="182" t="s">
        <v>64</v>
      </c>
      <c r="E2" s="184" t="s">
        <v>65</v>
      </c>
      <c r="F2" s="181"/>
      <c r="G2" s="185" t="s">
        <v>66</v>
      </c>
      <c r="H2" s="186"/>
      <c r="I2" s="187" t="s">
        <v>67</v>
      </c>
      <c r="J2" s="186"/>
      <c r="K2" s="187" t="s">
        <v>68</v>
      </c>
      <c r="L2" s="186"/>
      <c r="M2" s="187" t="s">
        <v>69</v>
      </c>
      <c r="N2" s="188"/>
    </row>
    <row r="3" spans="1:15" s="68" customFormat="1" ht="20.100000000000001" customHeight="1">
      <c r="A3" s="181"/>
      <c r="B3" s="181"/>
      <c r="C3" s="183"/>
      <c r="D3" s="183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>
      <c r="A4" s="157" t="s">
        <v>137</v>
      </c>
      <c r="B4" s="158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6" customFormat="1" ht="20.100000000000001" customHeight="1">
      <c r="A5" s="137" t="s">
        <v>125</v>
      </c>
      <c r="B5" s="138" t="s">
        <v>126</v>
      </c>
      <c r="C5" s="139" t="s">
        <v>127</v>
      </c>
      <c r="D5" s="140">
        <v>10</v>
      </c>
      <c r="E5" s="141"/>
      <c r="F5" s="142">
        <f t="shared" ref="F5:F10" si="0">D5*E5</f>
        <v>0</v>
      </c>
      <c r="G5" s="143">
        <v>17969</v>
      </c>
      <c r="H5" s="141">
        <f>D5*G5</f>
        <v>179690</v>
      </c>
      <c r="I5" s="141"/>
      <c r="J5" s="144"/>
      <c r="K5" s="141"/>
      <c r="L5" s="144"/>
      <c r="M5" s="145"/>
      <c r="N5" s="145">
        <f>F5+H5+J5+L5</f>
        <v>179690</v>
      </c>
    </row>
    <row r="6" spans="1:15" s="146" customFormat="1" ht="20.100000000000001" customHeight="1">
      <c r="A6" s="147" t="s">
        <v>128</v>
      </c>
      <c r="B6" s="111" t="s">
        <v>138</v>
      </c>
      <c r="C6" s="149"/>
      <c r="D6" s="140"/>
      <c r="E6" s="150"/>
      <c r="F6" s="151">
        <f t="shared" si="0"/>
        <v>0</v>
      </c>
      <c r="G6" s="142"/>
      <c r="H6" s="141"/>
      <c r="I6" s="151"/>
      <c r="J6" s="151"/>
      <c r="K6" s="151"/>
      <c r="L6" s="151"/>
      <c r="M6" s="149"/>
      <c r="N6" s="145">
        <f t="shared" ref="N6:N10" si="1">F6+H6+J6+L6</f>
        <v>0</v>
      </c>
    </row>
    <row r="7" spans="1:15" s="146" customFormat="1" ht="20.100000000000001" customHeight="1">
      <c r="A7" s="152" t="s">
        <v>72</v>
      </c>
      <c r="B7" s="148" t="s">
        <v>73</v>
      </c>
      <c r="C7" s="148" t="s">
        <v>74</v>
      </c>
      <c r="D7" s="140">
        <v>6</v>
      </c>
      <c r="E7" s="142">
        <v>5344</v>
      </c>
      <c r="F7" s="142">
        <f t="shared" si="0"/>
        <v>32064</v>
      </c>
      <c r="G7" s="142"/>
      <c r="H7" s="141"/>
      <c r="I7" s="142"/>
      <c r="J7" s="142"/>
      <c r="K7" s="142"/>
      <c r="L7" s="142"/>
      <c r="M7" s="145"/>
      <c r="N7" s="145">
        <f t="shared" si="1"/>
        <v>32064</v>
      </c>
      <c r="O7" s="159">
        <f>D7+D12+D17+D22</f>
        <v>38</v>
      </c>
    </row>
    <row r="8" spans="1:15" s="146" customFormat="1" ht="20.100000000000001" customHeight="1">
      <c r="A8" s="152" t="s">
        <v>75</v>
      </c>
      <c r="B8" s="148" t="s">
        <v>76</v>
      </c>
      <c r="C8" s="148" t="s">
        <v>74</v>
      </c>
      <c r="D8" s="140">
        <v>6</v>
      </c>
      <c r="E8" s="153">
        <v>6680</v>
      </c>
      <c r="F8" s="142">
        <f t="shared" si="0"/>
        <v>40080</v>
      </c>
      <c r="G8" s="142"/>
      <c r="H8" s="141">
        <f t="shared" ref="H8:H10" si="2">D8*G8</f>
        <v>0</v>
      </c>
      <c r="I8" s="142"/>
      <c r="J8" s="142"/>
      <c r="K8" s="142"/>
      <c r="L8" s="142"/>
      <c r="M8" s="145"/>
      <c r="N8" s="145">
        <f t="shared" si="1"/>
        <v>40080</v>
      </c>
      <c r="O8" s="159">
        <f>D8+D13+D18+D23</f>
        <v>38</v>
      </c>
    </row>
    <row r="9" spans="1:15" s="146" customFormat="1" ht="20.100000000000001" customHeight="1">
      <c r="A9" s="152" t="s">
        <v>77</v>
      </c>
      <c r="B9" s="154" t="s">
        <v>78</v>
      </c>
      <c r="C9" s="154" t="s">
        <v>74</v>
      </c>
      <c r="D9" s="140">
        <v>12</v>
      </c>
      <c r="E9" s="142"/>
      <c r="F9" s="142">
        <f t="shared" si="0"/>
        <v>0</v>
      </c>
      <c r="G9" s="142">
        <v>18165</v>
      </c>
      <c r="H9" s="141">
        <f t="shared" si="2"/>
        <v>217980</v>
      </c>
      <c r="I9" s="142"/>
      <c r="J9" s="142"/>
      <c r="K9" s="142"/>
      <c r="L9" s="142"/>
      <c r="M9" s="145"/>
      <c r="N9" s="145">
        <f t="shared" si="1"/>
        <v>217980</v>
      </c>
      <c r="O9" s="159">
        <f>D9+D14+D19+D24</f>
        <v>76</v>
      </c>
    </row>
    <row r="10" spans="1:15" s="146" customFormat="1" ht="20.100000000000001" customHeight="1">
      <c r="A10" s="152" t="s">
        <v>79</v>
      </c>
      <c r="B10" s="148" t="s">
        <v>80</v>
      </c>
      <c r="C10" s="149" t="s">
        <v>81</v>
      </c>
      <c r="D10" s="140">
        <v>10</v>
      </c>
      <c r="E10" s="153">
        <v>2931</v>
      </c>
      <c r="F10" s="142">
        <f t="shared" si="0"/>
        <v>29310</v>
      </c>
      <c r="G10" s="142">
        <v>3302</v>
      </c>
      <c r="H10" s="141">
        <f t="shared" si="2"/>
        <v>33020</v>
      </c>
      <c r="I10" s="142"/>
      <c r="J10" s="142"/>
      <c r="K10" s="142"/>
      <c r="L10" s="142"/>
      <c r="M10" s="145"/>
      <c r="N10" s="145">
        <f t="shared" si="1"/>
        <v>62330</v>
      </c>
      <c r="O10" s="159">
        <f>D10+D15+D20+D25</f>
        <v>35</v>
      </c>
    </row>
    <row r="11" spans="1:15" s="146" customFormat="1" ht="20.100000000000001" customHeight="1">
      <c r="A11" s="147" t="s">
        <v>129</v>
      </c>
      <c r="B11" s="111" t="s">
        <v>139</v>
      </c>
      <c r="C11" s="149"/>
      <c r="D11" s="140"/>
      <c r="E11" s="150"/>
      <c r="F11" s="151">
        <f t="shared" ref="F11:F26" si="3">D11*E11</f>
        <v>0</v>
      </c>
      <c r="G11" s="142"/>
      <c r="H11" s="141"/>
      <c r="I11" s="151"/>
      <c r="J11" s="151"/>
      <c r="K11" s="151"/>
      <c r="L11" s="151"/>
      <c r="M11" s="149"/>
      <c r="N11" s="145">
        <f t="shared" ref="N11:N26" si="4">F11+H11+J11+L11</f>
        <v>0</v>
      </c>
    </row>
    <row r="12" spans="1:15" s="146" customFormat="1" ht="20.100000000000001" customHeight="1">
      <c r="A12" s="152" t="s">
        <v>72</v>
      </c>
      <c r="B12" s="148" t="s">
        <v>73</v>
      </c>
      <c r="C12" s="148" t="s">
        <v>74</v>
      </c>
      <c r="D12" s="140">
        <v>12</v>
      </c>
      <c r="E12" s="142">
        <v>5344</v>
      </c>
      <c r="F12" s="142">
        <f t="shared" si="3"/>
        <v>64128</v>
      </c>
      <c r="G12" s="142"/>
      <c r="H12" s="141"/>
      <c r="I12" s="142"/>
      <c r="J12" s="142"/>
      <c r="K12" s="142"/>
      <c r="L12" s="142"/>
      <c r="M12" s="145"/>
      <c r="N12" s="145">
        <f t="shared" si="4"/>
        <v>64128</v>
      </c>
    </row>
    <row r="13" spans="1:15" s="146" customFormat="1" ht="20.100000000000001" customHeight="1">
      <c r="A13" s="152" t="s">
        <v>75</v>
      </c>
      <c r="B13" s="148" t="s">
        <v>76</v>
      </c>
      <c r="C13" s="148" t="s">
        <v>74</v>
      </c>
      <c r="D13" s="140">
        <v>12</v>
      </c>
      <c r="E13" s="153">
        <v>6680</v>
      </c>
      <c r="F13" s="142">
        <f t="shared" si="3"/>
        <v>80160</v>
      </c>
      <c r="G13" s="142"/>
      <c r="H13" s="141">
        <f t="shared" ref="H13:H15" si="5">D13*G13</f>
        <v>0</v>
      </c>
      <c r="I13" s="142"/>
      <c r="J13" s="142"/>
      <c r="K13" s="142"/>
      <c r="L13" s="142"/>
      <c r="M13" s="145"/>
      <c r="N13" s="145">
        <f t="shared" si="4"/>
        <v>80160</v>
      </c>
    </row>
    <row r="14" spans="1:15" s="146" customFormat="1" ht="20.100000000000001" customHeight="1">
      <c r="A14" s="152" t="s">
        <v>77</v>
      </c>
      <c r="B14" s="154" t="s">
        <v>78</v>
      </c>
      <c r="C14" s="154" t="s">
        <v>74</v>
      </c>
      <c r="D14" s="140">
        <v>24</v>
      </c>
      <c r="E14" s="142"/>
      <c r="F14" s="142">
        <f t="shared" si="3"/>
        <v>0</v>
      </c>
      <c r="G14" s="142">
        <v>18165</v>
      </c>
      <c r="H14" s="141">
        <f t="shared" si="5"/>
        <v>435960</v>
      </c>
      <c r="I14" s="142"/>
      <c r="J14" s="142"/>
      <c r="K14" s="142"/>
      <c r="L14" s="142"/>
      <c r="M14" s="145"/>
      <c r="N14" s="145">
        <f t="shared" si="4"/>
        <v>435960</v>
      </c>
    </row>
    <row r="15" spans="1:15" s="146" customFormat="1" ht="20.100000000000001" customHeight="1">
      <c r="A15" s="152" t="s">
        <v>79</v>
      </c>
      <c r="B15" s="148" t="s">
        <v>80</v>
      </c>
      <c r="C15" s="149" t="s">
        <v>81</v>
      </c>
      <c r="D15" s="140">
        <v>9</v>
      </c>
      <c r="E15" s="153">
        <v>2931</v>
      </c>
      <c r="F15" s="142">
        <f t="shared" si="3"/>
        <v>26379</v>
      </c>
      <c r="G15" s="142">
        <v>3302</v>
      </c>
      <c r="H15" s="141">
        <f t="shared" si="5"/>
        <v>29718</v>
      </c>
      <c r="I15" s="142"/>
      <c r="J15" s="142"/>
      <c r="K15" s="142"/>
      <c r="L15" s="142"/>
      <c r="M15" s="145"/>
      <c r="N15" s="145">
        <f t="shared" si="4"/>
        <v>56097</v>
      </c>
    </row>
    <row r="16" spans="1:15" s="146" customFormat="1" ht="20.100000000000001" customHeight="1">
      <c r="A16" s="147" t="s">
        <v>131</v>
      </c>
      <c r="B16" s="111" t="s">
        <v>140</v>
      </c>
      <c r="C16" s="149"/>
      <c r="D16" s="140"/>
      <c r="E16" s="150"/>
      <c r="F16" s="151">
        <f t="shared" si="3"/>
        <v>0</v>
      </c>
      <c r="G16" s="142"/>
      <c r="H16" s="141"/>
      <c r="I16" s="151"/>
      <c r="J16" s="151"/>
      <c r="K16" s="151"/>
      <c r="L16" s="151"/>
      <c r="M16" s="149"/>
      <c r="N16" s="145">
        <f t="shared" si="4"/>
        <v>0</v>
      </c>
    </row>
    <row r="17" spans="1:14" s="146" customFormat="1" ht="20.100000000000001" customHeight="1">
      <c r="A17" s="152" t="s">
        <v>72</v>
      </c>
      <c r="B17" s="148" t="s">
        <v>73</v>
      </c>
      <c r="C17" s="148" t="s">
        <v>74</v>
      </c>
      <c r="D17" s="140">
        <v>10</v>
      </c>
      <c r="E17" s="142">
        <v>5344</v>
      </c>
      <c r="F17" s="142">
        <f t="shared" si="3"/>
        <v>53440</v>
      </c>
      <c r="G17" s="142"/>
      <c r="H17" s="141"/>
      <c r="I17" s="142"/>
      <c r="J17" s="142"/>
      <c r="K17" s="142"/>
      <c r="L17" s="142"/>
      <c r="M17" s="145"/>
      <c r="N17" s="145">
        <f t="shared" si="4"/>
        <v>53440</v>
      </c>
    </row>
    <row r="18" spans="1:14" s="146" customFormat="1" ht="20.100000000000001" customHeight="1">
      <c r="A18" s="152" t="s">
        <v>75</v>
      </c>
      <c r="B18" s="148" t="s">
        <v>76</v>
      </c>
      <c r="C18" s="148" t="s">
        <v>74</v>
      </c>
      <c r="D18" s="140">
        <v>10</v>
      </c>
      <c r="E18" s="153">
        <v>6680</v>
      </c>
      <c r="F18" s="142">
        <f t="shared" si="3"/>
        <v>66800</v>
      </c>
      <c r="G18" s="142"/>
      <c r="H18" s="141">
        <f t="shared" ref="H18:H20" si="6">D18*G18</f>
        <v>0</v>
      </c>
      <c r="I18" s="142"/>
      <c r="J18" s="142"/>
      <c r="K18" s="142"/>
      <c r="L18" s="142"/>
      <c r="M18" s="145"/>
      <c r="N18" s="145">
        <f t="shared" si="4"/>
        <v>66800</v>
      </c>
    </row>
    <row r="19" spans="1:14" s="146" customFormat="1" ht="20.100000000000001" customHeight="1">
      <c r="A19" s="152" t="s">
        <v>77</v>
      </c>
      <c r="B19" s="154" t="s">
        <v>78</v>
      </c>
      <c r="C19" s="154" t="s">
        <v>74</v>
      </c>
      <c r="D19" s="140">
        <v>20</v>
      </c>
      <c r="E19" s="142"/>
      <c r="F19" s="142">
        <f t="shared" si="3"/>
        <v>0</v>
      </c>
      <c r="G19" s="142">
        <v>18165</v>
      </c>
      <c r="H19" s="141">
        <f t="shared" si="6"/>
        <v>363300</v>
      </c>
      <c r="I19" s="142"/>
      <c r="J19" s="142"/>
      <c r="K19" s="142"/>
      <c r="L19" s="142"/>
      <c r="M19" s="145"/>
      <c r="N19" s="145">
        <f t="shared" si="4"/>
        <v>363300</v>
      </c>
    </row>
    <row r="20" spans="1:14" s="146" customFormat="1" ht="20.100000000000001" customHeight="1">
      <c r="A20" s="152" t="s">
        <v>79</v>
      </c>
      <c r="B20" s="148" t="s">
        <v>80</v>
      </c>
      <c r="C20" s="149" t="s">
        <v>81</v>
      </c>
      <c r="D20" s="140">
        <v>8</v>
      </c>
      <c r="E20" s="153">
        <v>2931</v>
      </c>
      <c r="F20" s="142">
        <f t="shared" si="3"/>
        <v>23448</v>
      </c>
      <c r="G20" s="142">
        <v>3302</v>
      </c>
      <c r="H20" s="141">
        <f t="shared" si="6"/>
        <v>26416</v>
      </c>
      <c r="I20" s="142"/>
      <c r="J20" s="142"/>
      <c r="K20" s="142"/>
      <c r="L20" s="142"/>
      <c r="M20" s="145"/>
      <c r="N20" s="145">
        <f t="shared" si="4"/>
        <v>49864</v>
      </c>
    </row>
    <row r="21" spans="1:14" s="146" customFormat="1" ht="20.100000000000001" customHeight="1">
      <c r="A21" s="147" t="s">
        <v>130</v>
      </c>
      <c r="B21" s="111" t="s">
        <v>141</v>
      </c>
      <c r="C21" s="149"/>
      <c r="D21" s="140"/>
      <c r="E21" s="150"/>
      <c r="F21" s="151">
        <f t="shared" ref="F21:F25" si="7">D21*E21</f>
        <v>0</v>
      </c>
      <c r="G21" s="142"/>
      <c r="H21" s="141"/>
      <c r="I21" s="151"/>
      <c r="J21" s="151"/>
      <c r="K21" s="151"/>
      <c r="L21" s="151"/>
      <c r="M21" s="149"/>
      <c r="N21" s="145">
        <f t="shared" ref="N21:N25" si="8">F21+H21+J21+L21</f>
        <v>0</v>
      </c>
    </row>
    <row r="22" spans="1:14" s="146" customFormat="1" ht="20.100000000000001" customHeight="1">
      <c r="A22" s="152" t="s">
        <v>72</v>
      </c>
      <c r="B22" s="148" t="s">
        <v>73</v>
      </c>
      <c r="C22" s="148" t="s">
        <v>74</v>
      </c>
      <c r="D22" s="140">
        <v>10</v>
      </c>
      <c r="E22" s="142">
        <v>5344</v>
      </c>
      <c r="F22" s="142">
        <f t="shared" si="7"/>
        <v>53440</v>
      </c>
      <c r="G22" s="142"/>
      <c r="H22" s="141"/>
      <c r="I22" s="142"/>
      <c r="J22" s="142"/>
      <c r="K22" s="142"/>
      <c r="L22" s="142"/>
      <c r="M22" s="145"/>
      <c r="N22" s="145">
        <f t="shared" si="8"/>
        <v>53440</v>
      </c>
    </row>
    <row r="23" spans="1:14" s="146" customFormat="1" ht="20.100000000000001" customHeight="1">
      <c r="A23" s="152" t="s">
        <v>75</v>
      </c>
      <c r="B23" s="148" t="s">
        <v>76</v>
      </c>
      <c r="C23" s="148" t="s">
        <v>74</v>
      </c>
      <c r="D23" s="140">
        <v>10</v>
      </c>
      <c r="E23" s="153">
        <v>6680</v>
      </c>
      <c r="F23" s="142">
        <f t="shared" si="7"/>
        <v>66800</v>
      </c>
      <c r="G23" s="142"/>
      <c r="H23" s="141">
        <f t="shared" ref="H23:H25" si="9">D23*G23</f>
        <v>0</v>
      </c>
      <c r="I23" s="142"/>
      <c r="J23" s="142"/>
      <c r="K23" s="142"/>
      <c r="L23" s="142"/>
      <c r="M23" s="145"/>
      <c r="N23" s="145">
        <f t="shared" si="8"/>
        <v>66800</v>
      </c>
    </row>
    <row r="24" spans="1:14" s="146" customFormat="1" ht="20.100000000000001" customHeight="1">
      <c r="A24" s="152" t="s">
        <v>77</v>
      </c>
      <c r="B24" s="154" t="s">
        <v>78</v>
      </c>
      <c r="C24" s="154" t="s">
        <v>74</v>
      </c>
      <c r="D24" s="140">
        <v>20</v>
      </c>
      <c r="E24" s="142"/>
      <c r="F24" s="142">
        <f t="shared" si="7"/>
        <v>0</v>
      </c>
      <c r="G24" s="142">
        <v>18165</v>
      </c>
      <c r="H24" s="141">
        <f t="shared" si="9"/>
        <v>363300</v>
      </c>
      <c r="I24" s="142"/>
      <c r="J24" s="142"/>
      <c r="K24" s="142"/>
      <c r="L24" s="142"/>
      <c r="M24" s="145"/>
      <c r="N24" s="145">
        <f t="shared" si="8"/>
        <v>363300</v>
      </c>
    </row>
    <row r="25" spans="1:14" s="146" customFormat="1" ht="20.100000000000001" customHeight="1">
      <c r="A25" s="152" t="s">
        <v>79</v>
      </c>
      <c r="B25" s="148" t="s">
        <v>80</v>
      </c>
      <c r="C25" s="149" t="s">
        <v>81</v>
      </c>
      <c r="D25" s="140">
        <v>8</v>
      </c>
      <c r="E25" s="153">
        <v>2931</v>
      </c>
      <c r="F25" s="142">
        <f t="shared" si="7"/>
        <v>23448</v>
      </c>
      <c r="G25" s="142">
        <v>3302</v>
      </c>
      <c r="H25" s="141">
        <f t="shared" si="9"/>
        <v>26416</v>
      </c>
      <c r="I25" s="142"/>
      <c r="J25" s="142"/>
      <c r="K25" s="142"/>
      <c r="L25" s="142"/>
      <c r="M25" s="145"/>
      <c r="N25" s="145">
        <f t="shared" si="8"/>
        <v>49864</v>
      </c>
    </row>
    <row r="26" spans="1:14" s="146" customFormat="1" ht="20.100000000000001" customHeight="1">
      <c r="A26" s="147" t="s">
        <v>132</v>
      </c>
      <c r="B26" s="154" t="s">
        <v>82</v>
      </c>
      <c r="C26" s="154" t="s">
        <v>83</v>
      </c>
      <c r="D26" s="155">
        <v>1</v>
      </c>
      <c r="E26" s="142">
        <v>125250</v>
      </c>
      <c r="F26" s="142">
        <f t="shared" si="3"/>
        <v>125250</v>
      </c>
      <c r="G26" s="142"/>
      <c r="H26" s="141"/>
      <c r="I26" s="142"/>
      <c r="J26" s="142">
        <f>D26*I26</f>
        <v>0</v>
      </c>
      <c r="K26" s="142"/>
      <c r="L26" s="142"/>
      <c r="M26" s="145"/>
      <c r="N26" s="145">
        <f t="shared" si="4"/>
        <v>125250</v>
      </c>
    </row>
    <row r="27" spans="1:14" s="68" customFormat="1" ht="20.100000000000001" customHeight="1">
      <c r="A27" s="107" t="s">
        <v>69</v>
      </c>
      <c r="B27" s="74"/>
      <c r="C27" s="75"/>
      <c r="D27" s="76"/>
      <c r="E27" s="77"/>
      <c r="F27" s="78">
        <f>SUM(F5:F26)</f>
        <v>684747</v>
      </c>
      <c r="G27" s="77"/>
      <c r="H27" s="78">
        <f>SUM(H5:H26)</f>
        <v>1675800</v>
      </c>
      <c r="I27" s="77"/>
      <c r="J27" s="78">
        <f>SUM(J5:J26)</f>
        <v>0</v>
      </c>
      <c r="K27" s="77"/>
      <c r="L27" s="78">
        <f>SUM(L5:L26)</f>
        <v>0</v>
      </c>
      <c r="M27" s="79"/>
      <c r="N27" s="78">
        <f>SUM(N5:N26)</f>
        <v>2360547</v>
      </c>
    </row>
  </sheetData>
  <mergeCells count="10"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6">
        <f>'내역서(표준단가)'!M5</f>
        <v>10</v>
      </c>
    </row>
    <row r="3" spans="1:6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6">
        <f>'내역서(표준단가)'!M6</f>
        <v>38</v>
      </c>
    </row>
    <row r="4" spans="1:6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6">
        <f>'내역서(표준단가)'!M7</f>
        <v>2.5329999999999999</v>
      </c>
    </row>
    <row r="5" spans="1:6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6">
        <f>'내역서(표준단가)'!M8</f>
        <v>35</v>
      </c>
    </row>
    <row r="6" spans="1:6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6">
        <f>'내역서(표준단가)'!M9</f>
        <v>0.21199999999999999</v>
      </c>
    </row>
    <row r="7" spans="1:6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6">
        <f>'내역서(표준단가)'!M10</f>
        <v>38</v>
      </c>
    </row>
    <row r="8" spans="1:6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6">
        <f>'내역서(표준단가)'!M11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2026-01-14T23:13:21Z</dcterms:modified>
</cp:coreProperties>
</file>
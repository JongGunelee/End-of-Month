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60129\06 작업폴더\01 기숙사 A동 401-1호외 21세대 친환경 도장\"/>
    </mc:Choice>
  </mc:AlternateContent>
  <xr:revisionPtr revIDLastSave="0" documentId="13_ncr:1_{CE7EEF17-2799-4AD8-B55C-3D32A02E09D7}" xr6:coauthVersionLast="47" xr6:coauthVersionMax="47" xr10:uidLastSave="{00000000-0000-0000-0000-000000000000}"/>
  <bookViews>
    <workbookView xWindow="-60" yWindow="-60" windowWidth="28920" windowHeight="16320" activeTab="1" xr2:uid="{00000000-000D-0000-FFFF-FFFF00000000}"/>
  </bookViews>
  <sheets>
    <sheet name="갑지" sheetId="5" r:id="rId1"/>
    <sheet name="내역서(표준단가)" sheetId="4" r:id="rId2"/>
    <sheet name="상세내역" sheetId="13" r:id="rId3"/>
    <sheet name="Upload" sheetId="1" r:id="rId4"/>
    <sheet name="도면" sheetId="10" r:id="rId5"/>
    <sheet name="참고자료" sheetId="12" r:id="rId6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4" l="1"/>
  <c r="M44" i="4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I30" i="13"/>
  <c r="O30" i="13" s="1"/>
  <c r="G30" i="13"/>
  <c r="I29" i="13"/>
  <c r="G29" i="13"/>
  <c r="O29" i="13" s="1"/>
  <c r="G28" i="13"/>
  <c r="O28" i="13" s="1"/>
  <c r="U10" i="4" l="1"/>
  <c r="S10" i="4"/>
  <c r="Q10" i="4"/>
  <c r="O10" i="4"/>
  <c r="E10" i="4"/>
  <c r="A7" i="1" s="1"/>
  <c r="U9" i="4"/>
  <c r="S9" i="4"/>
  <c r="Q9" i="4"/>
  <c r="O9" i="4"/>
  <c r="E9" i="4"/>
  <c r="A6" i="1" s="1"/>
  <c r="O8" i="4"/>
  <c r="V8" i="4" s="1"/>
  <c r="E8" i="4"/>
  <c r="A5" i="1" s="1"/>
  <c r="U7" i="4"/>
  <c r="S7" i="4"/>
  <c r="Q7" i="4"/>
  <c r="O7" i="4"/>
  <c r="E7" i="4"/>
  <c r="A4" i="1" s="1"/>
  <c r="V7" i="4" l="1"/>
  <c r="V10" i="4"/>
  <c r="V9" i="4"/>
  <c r="G27" i="13" l="1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10" i="13"/>
  <c r="G9" i="13"/>
  <c r="G8" i="13"/>
  <c r="G7" i="13"/>
  <c r="G6" i="13"/>
  <c r="G5" i="13"/>
  <c r="G31" i="13" s="1"/>
  <c r="U6" i="4"/>
  <c r="S6" i="4"/>
  <c r="Q6" i="4"/>
  <c r="O6" i="4"/>
  <c r="E6" i="4"/>
  <c r="A3" i="1" s="1"/>
  <c r="V6" i="4" l="1"/>
  <c r="D31" i="13"/>
  <c r="E31" i="13"/>
  <c r="I27" i="13"/>
  <c r="I26" i="13"/>
  <c r="I25" i="13"/>
  <c r="I24" i="13"/>
  <c r="I23" i="13"/>
  <c r="I22" i="13"/>
  <c r="I21" i="13"/>
  <c r="I20" i="13"/>
  <c r="I19" i="13"/>
  <c r="I18" i="13"/>
  <c r="I17" i="13"/>
  <c r="O17" i="13" s="1"/>
  <c r="I16" i="13"/>
  <c r="I15" i="13"/>
  <c r="O15" i="13"/>
  <c r="I14" i="13"/>
  <c r="I13" i="13"/>
  <c r="O13" i="13" s="1"/>
  <c r="I12" i="13"/>
  <c r="I11" i="13"/>
  <c r="I10" i="13"/>
  <c r="I9" i="13"/>
  <c r="I8" i="13"/>
  <c r="I7" i="13"/>
  <c r="I6" i="13"/>
  <c r="O25" i="13" l="1"/>
  <c r="O11" i="13"/>
  <c r="O23" i="13"/>
  <c r="O20" i="13"/>
  <c r="O19" i="13"/>
  <c r="O21" i="13"/>
  <c r="O12" i="13"/>
  <c r="O14" i="13"/>
  <c r="O16" i="13"/>
  <c r="O18" i="13"/>
  <c r="O10" i="13"/>
  <c r="O7" i="13"/>
  <c r="O9" i="13"/>
  <c r="O6" i="13"/>
  <c r="O8" i="13"/>
  <c r="O27" i="13"/>
  <c r="O22" i="13"/>
  <c r="O24" i="13"/>
  <c r="O26" i="13"/>
  <c r="K31" i="13" l="1"/>
  <c r="I5" i="13"/>
  <c r="I31" i="13" s="1"/>
  <c r="M31" i="13"/>
  <c r="F2" i="1"/>
  <c r="E2" i="1"/>
  <c r="D2" i="1"/>
  <c r="C2" i="1"/>
  <c r="B2" i="1"/>
  <c r="O5" i="13" l="1"/>
  <c r="O31" i="13" s="1"/>
  <c r="U5" i="4"/>
  <c r="S5" i="4"/>
  <c r="Q5" i="4"/>
  <c r="O5" i="4"/>
  <c r="E5" i="4"/>
  <c r="A2" i="1" s="1"/>
  <c r="V5" i="4" l="1"/>
  <c r="V11" i="4" l="1"/>
  <c r="Q11" i="4" l="1"/>
  <c r="F17" i="5" s="1"/>
  <c r="F21" i="5" l="1"/>
  <c r="F22" i="5"/>
  <c r="U11" i="4"/>
  <c r="O11" i="4"/>
  <c r="S11" i="4"/>
  <c r="F16" i="5" l="1"/>
  <c r="F26" i="5" s="1"/>
  <c r="F18" i="5"/>
  <c r="F19" i="5" l="1"/>
  <c r="F24" i="5"/>
  <c r="F25" i="5"/>
  <c r="F23" i="5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<sst xmlns="http://schemas.openxmlformats.org/spreadsheetml/2006/main" count="259" uniqueCount="166">
  <si>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</si>
  <si>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</si>
  <si>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</si>
  <si>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</si>
  <si>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</si>
  <si>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</si>
  <si>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</si>
  <si>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</si>
  <si>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</si>
  <si>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</si>
  <si>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</si>
  <si>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</si>
  <si>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</si>
  <si>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</si>
  <si>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</si>
  <si>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</si>
  <si>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</si>
  <si>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</si>
  <si>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</si>
  <si>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</si>
  <si>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</si>
  <si>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</si>
  <si>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</si>
  <si>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</si>
  <si>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</si>
  <si>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</si>
  <si>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</si>
  <si>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</si>
  <si>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</si>
  <si>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</si>
  <si>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</si>
  <si>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</si>
  <si>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</si>
  <si>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</si>
  <si>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</si>
  <si>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</si>
  <si>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</si>
  <si>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</si>
  <si>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</si>
  <si>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</si>
  <si>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</si>
  <si>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</si>
  <si>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</si>
  <si>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</si>
  <si>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</si>
  <si>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</si>
  <si>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</si>
  <si>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</si>
  <si>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</si>
  <si>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</si>
  <si>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</si>
  <si>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</si>
  <si>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</si>
  <si>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</si>
  <si>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</si>
  <si>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</si>
  <si>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</si>
  <si>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</si>
  <si>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</si>
  <si>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</si>
  <si>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</si>
  <si>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</si>
  <si>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</si>
  <si>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</si>
  <si>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</si>
  <si>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</si>
  <si>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</si>
  <si>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</si>
  <si>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</si>
  <si>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</si>
  <si>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</si>
  <si>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</si>
  <si>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</si>
  <si>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</si>
  <si>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</si>
  <si>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</si>
  <si>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노무비할증</t>
    <phoneticPr fontId="5" type="noConversion"/>
  </si>
  <si>
    <t>(㎡ 당)</t>
    <phoneticPr fontId="5" type="noConversion"/>
  </si>
  <si>
    <t> (재료비+노무비)*3.11%</t>
    <phoneticPr fontId="13" type="noConversion"/>
  </si>
  <si>
    <t>E00000803061300101</t>
  </si>
  <si>
    <t>M020414115290101</t>
    <phoneticPr fontId="5" type="noConversion"/>
  </si>
  <si>
    <t>ℓ</t>
    <phoneticPr fontId="5" type="noConversion"/>
  </si>
  <si>
    <t>도배 내부용, 친환경페인트</t>
    <phoneticPr fontId="5" type="noConversion"/>
  </si>
  <si>
    <t>*도배 위 친환경 도장시, 검토 사항 입니다.</t>
    <phoneticPr fontId="5" type="noConversion"/>
  </si>
  <si>
    <t>1.석고보드와 기존 도배지와의 박리현상 발생 여지 있슴</t>
    <phoneticPr fontId="5" type="noConversion"/>
  </si>
  <si>
    <t>2.오염의 정도, 도배 대비 심함-약 스크러치 발생시, 표시의 정도 심할 수 있슴.</t>
    <phoneticPr fontId="5" type="noConversion"/>
  </si>
  <si>
    <t>실내 벽면 2회칠, 수성페인트 롤러칠</t>
    <phoneticPr fontId="5" type="noConversion"/>
  </si>
  <si>
    <r>
      <t xml:space="preserve">3.벽면, 천정 석고보드 박리 현장 발생시- </t>
    </r>
    <r>
      <rPr>
        <b/>
        <sz val="12"/>
        <color rgb="FFFF0000"/>
        <rFont val="LG스마트체 Regular"/>
        <family val="3"/>
        <charset val="129"/>
      </rPr>
      <t>석고보드 보수후 도배위 도장작업 요구됨-추가 작업비용 발생.</t>
    </r>
    <phoneticPr fontId="5" type="noConversion"/>
  </si>
  <si>
    <t> 노무비*4.75%</t>
    <phoneticPr fontId="13" type="noConversion"/>
  </si>
  <si>
    <t> 노무비*3.595%</t>
    <phoneticPr fontId="13" type="noConversion"/>
  </si>
  <si>
    <r>
      <t xml:space="preserve">새잎새골드(백색), 친환경 고기능성 수성코팅재, 고급 실내거주용, </t>
    </r>
    <r>
      <rPr>
        <sz val="10"/>
        <color rgb="FFFF0000"/>
        <rFont val="Malgun Gothic"/>
        <family val="3"/>
        <charset val="129"/>
      </rPr>
      <t>1ℓ 도색량= 2평(1회칠 기준6.6㎡),  11.52/6.6=1.7454ℓ</t>
    </r>
    <phoneticPr fontId="5" type="noConversion"/>
  </si>
  <si>
    <r>
      <t>29㎡*2회칠=58, (2.4*2.4)*</t>
    </r>
    <r>
      <rPr>
        <sz val="10"/>
        <color rgb="FFFF0000"/>
        <rFont val="돋움"/>
        <family val="3"/>
        <charset val="129"/>
      </rPr>
      <t>2회칠=11.52</t>
    </r>
    <phoneticPr fontId="5" type="noConversion"/>
  </si>
  <si>
    <t xml:space="preserve"> 내   역   서</t>
    <phoneticPr fontId="13" type="noConversion"/>
  </si>
  <si>
    <t>규      격</t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</si>
  <si>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</si>
  <si>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</si>
  <si>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</si>
  <si>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</si>
  <si>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</si>
  <si>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</si>
  <si>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</si>
  <si>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</si>
  <si>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</si>
  <si>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㎡</t>
    <phoneticPr fontId="13" type="noConversion"/>
  </si>
  <si>
    <t>KSM-6010 내부용, 2급, 백색</t>
  </si>
  <si>
    <t>18ℓ</t>
  </si>
  <si>
    <t>석고보드면 바탕만들기(줄퍼티)</t>
    <phoneticPr fontId="5" type="noConversion"/>
  </si>
  <si>
    <t>붓칠,내벽</t>
    <phoneticPr fontId="5" type="noConversion"/>
  </si>
  <si>
    <t>합 계</t>
    <phoneticPr fontId="5" type="noConversion"/>
  </si>
  <si>
    <t>작업요청번호</t>
    <phoneticPr fontId="13" type="noConversion"/>
  </si>
  <si>
    <t xml:space="preserve"> 공사명 : 기숙사 A동 401-1호외 21세대 친환경 부분도장</t>
    <phoneticPr fontId="11" type="noConversion"/>
  </si>
  <si>
    <t>호실 및 품명</t>
    <phoneticPr fontId="13" type="noConversion"/>
  </si>
  <si>
    <t>벽면(3번 면)</t>
    <phoneticPr fontId="13" type="noConversion"/>
  </si>
  <si>
    <t>1.A동 401-1호</t>
    <phoneticPr fontId="5" type="noConversion"/>
  </si>
  <si>
    <t xml:space="preserve">2.A동 702-5호 </t>
    <phoneticPr fontId="5" type="noConversion"/>
  </si>
  <si>
    <t>벽면(2, 3번 면)</t>
    <phoneticPr fontId="13" type="noConversion"/>
  </si>
  <si>
    <t xml:space="preserve">3.A동 403-3호 </t>
    <phoneticPr fontId="5" type="noConversion"/>
  </si>
  <si>
    <t>벽면(2, 5번 면)</t>
    <phoneticPr fontId="13" type="noConversion"/>
  </si>
  <si>
    <t xml:space="preserve">4.A동 403-4호 </t>
    <phoneticPr fontId="5" type="noConversion"/>
  </si>
  <si>
    <t xml:space="preserve">벽면(2, 3번 면), </t>
    <phoneticPr fontId="13" type="noConversion"/>
  </si>
  <si>
    <t xml:space="preserve">5.A동 1002-3호 </t>
    <phoneticPr fontId="5" type="noConversion"/>
  </si>
  <si>
    <t xml:space="preserve">벽면(2, 3, 4, 5번 면), </t>
    <phoneticPr fontId="13" type="noConversion"/>
  </si>
  <si>
    <t xml:space="preserve">벽면(1,2, 3번 면), </t>
    <phoneticPr fontId="13" type="noConversion"/>
  </si>
  <si>
    <t xml:space="preserve">벽면(2, 3, 5번 면), </t>
    <phoneticPr fontId="13" type="noConversion"/>
  </si>
  <si>
    <t xml:space="preserve">벽면(2, 3, 4, 5번 면) </t>
    <phoneticPr fontId="13" type="noConversion"/>
  </si>
  <si>
    <t xml:space="preserve">벽면(3번 면), </t>
    <phoneticPr fontId="13" type="noConversion"/>
  </si>
  <si>
    <t xml:space="preserve">벽면(6번 면), </t>
    <phoneticPr fontId="13" type="noConversion"/>
  </si>
  <si>
    <t>벽면(3번 벽면 단열재 들뜸 재시공)</t>
    <phoneticPr fontId="13" type="noConversion"/>
  </si>
  <si>
    <t xml:space="preserve">벽면(2번 면), </t>
    <phoneticPr fontId="13" type="noConversion"/>
  </si>
  <si>
    <t xml:space="preserve">벽면(2, 3, 4번 면),  </t>
    <phoneticPr fontId="13" type="noConversion"/>
  </si>
  <si>
    <t xml:space="preserve">벽면(2, 6번 면), </t>
    <phoneticPr fontId="13" type="noConversion"/>
  </si>
  <si>
    <t xml:space="preserve">벽면(1, 2, 6번 면), </t>
    <phoneticPr fontId="13" type="noConversion"/>
  </si>
  <si>
    <t xml:space="preserve">6.B동 702-5호 </t>
    <phoneticPr fontId="5" type="noConversion"/>
  </si>
  <si>
    <t xml:space="preserve">7.A동 404-6호 </t>
    <phoneticPr fontId="5" type="noConversion"/>
  </si>
  <si>
    <t xml:space="preserve">8.A동 1002-5호 </t>
    <phoneticPr fontId="5" type="noConversion"/>
  </si>
  <si>
    <t xml:space="preserve">9.A동 604-1호 </t>
    <phoneticPr fontId="5" type="noConversion"/>
  </si>
  <si>
    <t xml:space="preserve">10.A동 803-4호 </t>
    <phoneticPr fontId="5" type="noConversion"/>
  </si>
  <si>
    <t xml:space="preserve">11.A동 601-6호 </t>
    <phoneticPr fontId="5" type="noConversion"/>
  </si>
  <si>
    <t xml:space="preserve">12.A동 802-1호 </t>
    <phoneticPr fontId="5" type="noConversion"/>
  </si>
  <si>
    <t xml:space="preserve">13.A동 802-3호 </t>
    <phoneticPr fontId="5" type="noConversion"/>
  </si>
  <si>
    <t xml:space="preserve">14.A동 204-2호 </t>
    <phoneticPr fontId="5" type="noConversion"/>
  </si>
  <si>
    <t xml:space="preserve">15.A동 804-2호 </t>
    <phoneticPr fontId="5" type="noConversion"/>
  </si>
  <si>
    <t xml:space="preserve">16.A동 604-4호 </t>
    <phoneticPr fontId="5" type="noConversion"/>
  </si>
  <si>
    <t xml:space="preserve">17.A동 604-2호 </t>
    <phoneticPr fontId="5" type="noConversion"/>
  </si>
  <si>
    <t xml:space="preserve">18.A동 601-5호 </t>
    <phoneticPr fontId="5" type="noConversion"/>
  </si>
  <si>
    <t xml:space="preserve">19.A동 602-2호 </t>
    <phoneticPr fontId="5" type="noConversion"/>
  </si>
  <si>
    <t xml:space="preserve">20.B동 603-4호 </t>
    <phoneticPr fontId="5" type="noConversion"/>
  </si>
  <si>
    <t xml:space="preserve">21.B동 604-1호 </t>
    <phoneticPr fontId="5" type="noConversion"/>
  </si>
  <si>
    <t xml:space="preserve">22.B동 601-5호 </t>
    <phoneticPr fontId="5" type="noConversion"/>
  </si>
  <si>
    <t xml:space="preserve">벽면(1, 2, 3, 4번 면), </t>
    <phoneticPr fontId="13" type="noConversion"/>
  </si>
  <si>
    <t>재료비 수량(L)</t>
    <phoneticPr fontId="13" type="noConversion"/>
  </si>
  <si>
    <t>노무비 수량(㎡)</t>
    <phoneticPr fontId="13" type="noConversion"/>
  </si>
  <si>
    <r>
      <t>기숙사 A동 401-1호외 21세대 친환경 부분도장 재료비 산정</t>
    </r>
    <r>
      <rPr>
        <b/>
        <sz val="10"/>
        <color rgb="FF000000"/>
        <rFont val="맑은 고딕"/>
        <family val="3"/>
        <charset val="129"/>
      </rPr>
      <t>⇒</t>
    </r>
    <r>
      <rPr>
        <b/>
        <sz val="10"/>
        <color rgb="FF000000"/>
        <rFont val="LG스마트체 Regular"/>
        <family val="3"/>
        <charset val="129"/>
      </rPr>
      <t>1면 기준(2.4*2.4)*2회칠=11.52, 재료비 1ℓ 도색량= 2평(1회칠 기준6.6㎡),  11.52/6.6=1.7454L   1면 도장 재료 수량(손실포함)=2L</t>
    </r>
    <phoneticPr fontId="5" type="noConversion"/>
  </si>
  <si>
    <t>실내 천정면 2회칠, 수성페인트 롤러칠</t>
    <phoneticPr fontId="5" type="noConversion"/>
  </si>
  <si>
    <r>
      <t xml:space="preserve"> 천정 11㎡*</t>
    </r>
    <r>
      <rPr>
        <sz val="10"/>
        <color rgb="FFFF0000"/>
        <rFont val="돋움"/>
        <family val="3"/>
        <charset val="129"/>
      </rPr>
      <t>천정할증20%</t>
    </r>
    <r>
      <rPr>
        <sz val="10"/>
        <color theme="1"/>
        <rFont val="돋움"/>
        <family val="3"/>
        <charset val="129"/>
      </rPr>
      <t>=13.2, 13.2*2회칠=26.4</t>
    </r>
    <phoneticPr fontId="5" type="noConversion"/>
  </si>
  <si>
    <t>천정면</t>
    <phoneticPr fontId="13" type="noConversion"/>
  </si>
  <si>
    <t>M020412614110102</t>
    <phoneticPr fontId="5" type="noConversion"/>
  </si>
  <si>
    <t>합성수지에멀션페인트</t>
    <phoneticPr fontId="5" type="noConversion"/>
  </si>
  <si>
    <t>E00000803061120402</t>
  </si>
  <si>
    <t>석고보드면 바탕만들기</t>
  </si>
  <si>
    <t>줄퍼티</t>
  </si>
  <si>
    <t>E00000803061300201</t>
  </si>
  <si>
    <t>수성페인트 붓칠</t>
  </si>
  <si>
    <t>1회칠</t>
  </si>
  <si>
    <t>(㎡ 당)</t>
  </si>
  <si>
    <t xml:space="preserve"> 견적일 : 2026년  01월  27일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</si>
</sst>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_);[Red]\(#,##0\)"/>
    <numFmt numFmtId="184" formatCode="#,##0.000_ "/>
    <numFmt numFmtId="185" formatCode="0.000_ "/>
    <numFmt numFmtId="186" formatCode="#,##0;\-#,##0;"/>
    <numFmt numFmtId="187" formatCode="0.000"/>
    <numFmt numFmtId="188" formatCode="#,##0_ "/>
    <numFmt numFmtId="189" formatCode="&quot;₩&quot;#,##0"/>
    <numFmt numFmtId="190" formatCode="0.00_);[Red]\(0.00\)"/>
    <numFmt numFmtId="191" formatCode="0_);[Red]\(0\)"/>
    <numFmt numFmtId="192" formatCode="###,###,###,##0"/>
    <numFmt numFmtId="193" formatCode="#,##0.0_);[Red]\(#,##0.0\)"/>
  </numFmts>
  <fonts count="3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0"/>
      <color indexed="8"/>
      <name val="Malgun Gothic"/>
      <family val="3"/>
      <charset val="129"/>
    </font>
    <font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sz val="10"/>
      <color rgb="FFFF0000"/>
      <name val="Malgun Gothic"/>
      <family val="3"/>
      <charset val="129"/>
    </font>
    <font>
      <sz val="10"/>
      <color rgb="FFFF0000"/>
      <name val="LG스마트체 Regular"/>
      <family val="3"/>
      <charset val="129"/>
    </font>
    <font>
      <b/>
      <sz val="12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FF0000"/>
      <name val="돋움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0"/>
      <color rgb="FF000000"/>
      <name val="맑은 고딕"/>
      <family val="3"/>
      <charset val="129"/>
    </font>
    <font>
      <sz val="9"/>
      <name val="LG스마트체 Regular"/>
      <family val="3"/>
      <charset val="129"/>
    </font>
    <font>
      <sz val="10"/>
      <color rgb="FFFF0000"/>
      <name val="맑은 고딕"/>
      <family val="2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0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7" fillId="0" borderId="0"/>
  </cellStyleXfs>
  <cellXfs count="197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21" fillId="0" borderId="7" xfId="6" applyFont="1" applyBorder="1" applyAlignment="1">
      <alignment vertical="center"/>
    </xf>
    <xf numFmtId="179" fontId="20" fillId="0" borderId="7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22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22" fillId="0" borderId="12" xfId="6" applyFont="1" applyBorder="1" applyAlignment="1">
      <alignment vertical="center"/>
    </xf>
    <xf numFmtId="1" fontId="22" fillId="0" borderId="12" xfId="6" applyNumberFormat="1" applyFont="1" applyBorder="1" applyAlignment="1">
      <alignment horizontal="center" vertical="center"/>
    </xf>
    <xf numFmtId="180" fontId="22" fillId="0" borderId="12" xfId="7" applyFont="1" applyBorder="1" applyAlignment="1">
      <alignment horizontal="right" vertical="center"/>
    </xf>
    <xf numFmtId="0" fontId="22" fillId="0" borderId="13" xfId="6" applyFont="1" applyBorder="1" applyAlignment="1">
      <alignment vertical="center"/>
    </xf>
    <xf numFmtId="0" fontId="22" fillId="0" borderId="14" xfId="6" applyFont="1" applyBorder="1" applyAlignment="1">
      <alignment horizontal="center" vertical="center"/>
    </xf>
    <xf numFmtId="0" fontId="22" fillId="0" borderId="15" xfId="6" applyFont="1" applyBorder="1" applyAlignment="1">
      <alignment horizontal="center" vertical="center"/>
    </xf>
    <xf numFmtId="0" fontId="22" fillId="0" borderId="15" xfId="3" applyFont="1" applyBorder="1" applyAlignment="1">
      <alignment horizontal="center" vertical="center"/>
    </xf>
    <xf numFmtId="1" fontId="22" fillId="0" borderId="15" xfId="6" applyNumberFormat="1" applyFont="1" applyBorder="1" applyAlignment="1">
      <alignment horizontal="center" vertical="center"/>
    </xf>
    <xf numFmtId="180" fontId="22" fillId="0" borderId="15" xfId="7" applyFont="1" applyBorder="1" applyAlignment="1">
      <alignment horizontal="right" vertical="center"/>
    </xf>
    <xf numFmtId="0" fontId="22" fillId="0" borderId="16" xfId="6" quotePrefix="1" applyFont="1" applyBorder="1" applyAlignment="1">
      <alignment vertical="center"/>
    </xf>
    <xf numFmtId="0" fontId="22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22" fillId="0" borderId="15" xfId="8" applyFont="1" applyBorder="1" applyAlignment="1">
      <alignment horizontal="center" vertical="center"/>
    </xf>
    <xf numFmtId="178" fontId="22" fillId="0" borderId="15" xfId="5" applyFont="1" applyFill="1" applyBorder="1" applyAlignment="1">
      <alignment horizontal="right" vertical="center"/>
    </xf>
    <xf numFmtId="0" fontId="22" fillId="5" borderId="16" xfId="6" applyFont="1" applyFill="1" applyBorder="1" applyAlignment="1">
      <alignment vertical="center"/>
    </xf>
    <xf numFmtId="0" fontId="22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22" fillId="0" borderId="15" xfId="3" applyNumberFormat="1" applyFont="1" applyBorder="1" applyAlignment="1">
      <alignment horizontal="right" vertical="center"/>
    </xf>
    <xf numFmtId="1" fontId="22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22" fillId="0" borderId="15" xfId="3" applyFont="1" applyBorder="1" applyAlignment="1">
      <alignment vertical="center"/>
    </xf>
    <xf numFmtId="180" fontId="22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22" fillId="0" borderId="19" xfId="6" applyFont="1" applyBorder="1" applyAlignment="1">
      <alignment vertical="center"/>
    </xf>
    <xf numFmtId="0" fontId="22" fillId="0" borderId="19" xfId="6" applyFont="1" applyBorder="1" applyAlignment="1">
      <alignment horizontal="right" vertical="center"/>
    </xf>
    <xf numFmtId="0" fontId="22" fillId="0" borderId="20" xfId="6" applyFont="1" applyBorder="1" applyAlignment="1">
      <alignment vertical="center"/>
    </xf>
    <xf numFmtId="0" fontId="12" fillId="0" borderId="0" xfId="10" applyFont="1"/>
    <xf numFmtId="181" fontId="20" fillId="0" borderId="0" xfId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2" fontId="23" fillId="3" borderId="0" xfId="2" applyNumberFormat="1" applyFont="1" applyFill="1" applyAlignment="1">
      <alignment horizontal="center" vertical="center"/>
    </xf>
    <xf numFmtId="0" fontId="23" fillId="4" borderId="2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177" fontId="23" fillId="4" borderId="3" xfId="4" applyFont="1" applyFill="1" applyBorder="1" applyAlignment="1">
      <alignment horizontal="center" vertical="center"/>
    </xf>
    <xf numFmtId="178" fontId="23" fillId="4" borderId="3" xfId="5" applyFont="1" applyFill="1" applyBorder="1" applyAlignment="1">
      <alignment horizontal="center" vertical="center"/>
    </xf>
    <xf numFmtId="0" fontId="19" fillId="6" borderId="22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/>
    </xf>
    <xf numFmtId="177" fontId="19" fillId="6" borderId="3" xfId="1" applyFont="1" applyFill="1" applyBorder="1" applyAlignment="1">
      <alignment horizontal="center" vertical="center" wrapText="1"/>
    </xf>
    <xf numFmtId="177" fontId="19" fillId="0" borderId="3" xfId="1" applyFont="1" applyFill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0" fillId="0" borderId="0" xfId="0" applyFont="1">
      <alignment vertical="center"/>
    </xf>
    <xf numFmtId="49" fontId="19" fillId="7" borderId="3" xfId="0" applyNumberFormat="1" applyFont="1" applyFill="1" applyBorder="1" applyAlignment="1">
      <alignment horizontal="center" vertical="center"/>
    </xf>
    <xf numFmtId="49" fontId="19" fillId="2" borderId="1" xfId="0" applyNumberFormat="1" applyFont="1" applyFill="1" applyBorder="1" applyAlignment="1">
      <alignment horizontal="center" vertical="center" wrapText="1"/>
    </xf>
    <xf numFmtId="181" fontId="19" fillId="7" borderId="1" xfId="1" applyNumberFormat="1" applyFont="1" applyFill="1" applyBorder="1" applyAlignment="1">
      <alignment horizontal="center" vertical="center"/>
    </xf>
    <xf numFmtId="181" fontId="19" fillId="0" borderId="1" xfId="1" applyNumberFormat="1" applyFont="1" applyBorder="1" applyAlignment="1">
      <alignment horizontal="center" vertical="center"/>
    </xf>
    <xf numFmtId="185" fontId="19" fillId="0" borderId="1" xfId="1" applyNumberFormat="1" applyFont="1" applyBorder="1" applyAlignment="1">
      <alignment horizontal="center" vertical="center"/>
    </xf>
    <xf numFmtId="184" fontId="19" fillId="0" borderId="3" xfId="1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186" fontId="19" fillId="5" borderId="3" xfId="0" applyNumberFormat="1" applyFont="1" applyFill="1" applyBorder="1" applyAlignment="1">
      <alignment horizontal="right" vertical="center" wrapText="1"/>
    </xf>
    <xf numFmtId="186" fontId="19" fillId="6" borderId="3" xfId="1" applyNumberFormat="1" applyFont="1" applyFill="1" applyBorder="1" applyAlignment="1">
      <alignment horizontal="right" vertical="center" wrapText="1"/>
    </xf>
    <xf numFmtId="186" fontId="19" fillId="0" borderId="3" xfId="1" applyNumberFormat="1" applyFont="1" applyFill="1" applyBorder="1" applyAlignment="1">
      <alignment horizontal="right" vertical="center" wrapText="1"/>
    </xf>
    <xf numFmtId="49" fontId="19" fillId="5" borderId="3" xfId="0" applyNumberFormat="1" applyFont="1" applyFill="1" applyBorder="1" applyAlignment="1">
      <alignment horizontal="center" vertical="center"/>
    </xf>
    <xf numFmtId="187" fontId="19" fillId="5" borderId="3" xfId="1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23" fillId="4" borderId="3" xfId="3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3" fillId="9" borderId="24" xfId="0" applyFont="1" applyFill="1" applyBorder="1">
      <alignment vertical="center"/>
    </xf>
    <xf numFmtId="0" fontId="23" fillId="9" borderId="21" xfId="0" applyFont="1" applyFill="1" applyBorder="1">
      <alignment vertical="center"/>
    </xf>
    <xf numFmtId="0" fontId="24" fillId="0" borderId="0" xfId="0" applyFont="1">
      <alignment vertical="center"/>
    </xf>
    <xf numFmtId="0" fontId="22" fillId="10" borderId="0" xfId="0" applyFont="1" applyFill="1">
      <alignment vertical="center"/>
    </xf>
    <xf numFmtId="177" fontId="12" fillId="10" borderId="0" xfId="0" applyNumberFormat="1" applyFont="1" applyFill="1">
      <alignment vertical="center"/>
    </xf>
    <xf numFmtId="0" fontId="23" fillId="0" borderId="0" xfId="0" applyFont="1">
      <alignment vertical="center"/>
    </xf>
    <xf numFmtId="0" fontId="23" fillId="5" borderId="0" xfId="0" applyFont="1" applyFill="1">
      <alignment vertical="center"/>
    </xf>
    <xf numFmtId="0" fontId="25" fillId="7" borderId="3" xfId="0" applyFont="1" applyFill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49" fontId="25" fillId="5" borderId="3" xfId="0" applyNumberFormat="1" applyFont="1" applyFill="1" applyBorder="1" applyAlignment="1">
      <alignment horizontal="center" vertical="center" wrapText="1"/>
    </xf>
    <xf numFmtId="0" fontId="26" fillId="5" borderId="3" xfId="0" applyFont="1" applyFill="1" applyBorder="1" applyAlignment="1">
      <alignment horizontal="center" vertical="center"/>
    </xf>
    <xf numFmtId="0" fontId="26" fillId="5" borderId="3" xfId="0" applyFont="1" applyFill="1" applyBorder="1" applyAlignment="1">
      <alignment horizontal="center" vertical="center" wrapText="1"/>
    </xf>
    <xf numFmtId="186" fontId="19" fillId="5" borderId="3" xfId="1" applyNumberFormat="1" applyFont="1" applyFill="1" applyBorder="1" applyAlignment="1">
      <alignment horizontal="right" vertical="center"/>
    </xf>
    <xf numFmtId="184" fontId="19" fillId="5" borderId="3" xfId="1" applyNumberFormat="1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 wrapText="1"/>
    </xf>
    <xf numFmtId="183" fontId="29" fillId="5" borderId="3" xfId="0" applyNumberFormat="1" applyFont="1" applyFill="1" applyBorder="1" applyAlignment="1">
      <alignment vertical="center" wrapText="1"/>
    </xf>
    <xf numFmtId="177" fontId="19" fillId="5" borderId="3" xfId="1" applyFont="1" applyFill="1" applyBorder="1" applyAlignment="1">
      <alignment horizontal="center" vertical="center" wrapText="1"/>
    </xf>
    <xf numFmtId="0" fontId="31" fillId="0" borderId="15" xfId="8" applyFont="1" applyBorder="1" applyAlignment="1">
      <alignment horizontal="center" vertical="center"/>
    </xf>
    <xf numFmtId="0" fontId="32" fillId="0" borderId="15" xfId="6" applyFont="1" applyBorder="1" applyAlignment="1">
      <alignment vertical="center"/>
    </xf>
    <xf numFmtId="0" fontId="31" fillId="0" borderId="15" xfId="6" applyFont="1" applyBorder="1" applyAlignment="1">
      <alignment horizontal="center" vertical="center"/>
    </xf>
    <xf numFmtId="178" fontId="32" fillId="0" borderId="15" xfId="5" applyFont="1" applyFill="1" applyBorder="1" applyAlignment="1">
      <alignment horizontal="right" vertical="center"/>
    </xf>
    <xf numFmtId="0" fontId="31" fillId="5" borderId="15" xfId="8" applyFont="1" applyFill="1" applyBorder="1" applyAlignment="1">
      <alignment horizontal="center" vertical="center"/>
    </xf>
    <xf numFmtId="0" fontId="31" fillId="5" borderId="15" xfId="6" applyFont="1" applyFill="1" applyBorder="1" applyAlignment="1">
      <alignment horizontal="center" vertical="center"/>
    </xf>
    <xf numFmtId="178" fontId="32" fillId="5" borderId="15" xfId="5" applyFont="1" applyFill="1" applyBorder="1" applyAlignment="1">
      <alignment horizontal="right" vertical="center"/>
    </xf>
    <xf numFmtId="0" fontId="34" fillId="0" borderId="32" xfId="15" quotePrefix="1" applyFont="1" applyBorder="1" applyAlignment="1">
      <alignment horizontal="center" vertical="center"/>
    </xf>
    <xf numFmtId="183" fontId="34" fillId="0" borderId="32" xfId="15" quotePrefix="1" applyNumberFormat="1" applyFont="1" applyBorder="1" applyAlignment="1">
      <alignment horizontal="center" vertical="center"/>
    </xf>
    <xf numFmtId="0" fontId="23" fillId="11" borderId="32" xfId="13" applyNumberFormat="1" applyFont="1" applyFill="1" applyBorder="1" applyAlignment="1">
      <alignment horizontal="center" vertical="center"/>
    </xf>
    <xf numFmtId="189" fontId="24" fillId="11" borderId="32" xfId="13" applyNumberFormat="1" applyFont="1" applyFill="1" applyBorder="1" applyAlignment="1">
      <alignment horizontal="center" vertical="center"/>
    </xf>
    <xf numFmtId="183" fontId="24" fillId="11" borderId="32" xfId="13" applyNumberFormat="1" applyFont="1" applyFill="1" applyBorder="1" applyAlignment="1">
      <alignment vertical="center" wrapText="1"/>
    </xf>
    <xf numFmtId="183" fontId="34" fillId="11" borderId="32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191" fontId="34" fillId="11" borderId="32" xfId="13" applyNumberFormat="1" applyFont="1" applyFill="1" applyBorder="1" applyAlignment="1">
      <alignment horizontal="center" vertical="center"/>
    </xf>
    <xf numFmtId="183" fontId="34" fillId="11" borderId="32" xfId="13" applyNumberFormat="1" applyFont="1" applyFill="1" applyBorder="1" applyAlignment="1">
      <alignment vertical="center"/>
    </xf>
    <xf numFmtId="0" fontId="24" fillId="7" borderId="3" xfId="0" applyFont="1" applyFill="1" applyBorder="1" applyAlignment="1">
      <alignment horizontal="center" vertical="center"/>
    </xf>
    <xf numFmtId="177" fontId="28" fillId="5" borderId="3" xfId="1" applyFont="1" applyFill="1" applyBorder="1" applyAlignment="1">
      <alignment horizontal="center" vertical="center"/>
    </xf>
    <xf numFmtId="192" fontId="19" fillId="5" borderId="3" xfId="0" applyNumberFormat="1" applyFont="1" applyFill="1" applyBorder="1" applyAlignment="1">
      <alignment horizontal="right" vertical="center" wrapText="1"/>
    </xf>
    <xf numFmtId="177" fontId="37" fillId="5" borderId="3" xfId="1" applyFont="1" applyFill="1" applyBorder="1" applyAlignment="1">
      <alignment vertical="center"/>
    </xf>
    <xf numFmtId="177" fontId="37" fillId="5" borderId="3" xfId="1" applyFont="1" applyFill="1" applyBorder="1" applyAlignment="1">
      <alignment horizontal="right" vertical="center"/>
    </xf>
    <xf numFmtId="49" fontId="19" fillId="5" borderId="3" xfId="0" applyNumberFormat="1" applyFont="1" applyFill="1" applyBorder="1" applyAlignment="1">
      <alignment horizontal="center" vertical="center" wrapText="1"/>
    </xf>
    <xf numFmtId="0" fontId="23" fillId="0" borderId="38" xfId="13" applyNumberFormat="1" applyFont="1" applyBorder="1" applyAlignment="1">
      <alignment horizontal="center" vertical="center"/>
    </xf>
    <xf numFmtId="0" fontId="23" fillId="0" borderId="38" xfId="13" applyNumberFormat="1" applyFont="1" applyBorder="1" applyAlignment="1">
      <alignment vertical="center"/>
    </xf>
    <xf numFmtId="189" fontId="24" fillId="0" borderId="38" xfId="13" applyNumberFormat="1" applyFont="1" applyFill="1" applyBorder="1" applyAlignment="1">
      <alignment vertical="center"/>
    </xf>
    <xf numFmtId="190" fontId="36" fillId="0" borderId="38" xfId="13" applyNumberFormat="1" applyFont="1" applyFill="1" applyBorder="1" applyAlignment="1">
      <alignment horizontal="center" vertical="center"/>
    </xf>
    <xf numFmtId="183" fontId="36" fillId="5" borderId="38" xfId="13" applyNumberFormat="1" applyFont="1" applyFill="1" applyBorder="1" applyAlignment="1">
      <alignment horizontal="right" vertical="center" wrapText="1"/>
    </xf>
    <xf numFmtId="183" fontId="24" fillId="5" borderId="38" xfId="13" applyNumberFormat="1" applyFont="1" applyFill="1" applyBorder="1" applyAlignment="1">
      <alignment horizontal="right" vertical="center" wrapText="1"/>
    </xf>
    <xf numFmtId="183" fontId="19" fillId="0" borderId="38" xfId="13" applyNumberFormat="1" applyFont="1" applyBorder="1" applyAlignment="1">
      <alignment horizontal="center" vertical="center" wrapText="1"/>
    </xf>
    <xf numFmtId="0" fontId="23" fillId="0" borderId="39" xfId="13" applyNumberFormat="1" applyFont="1" applyBorder="1" applyAlignment="1">
      <alignment horizontal="center" vertical="center"/>
    </xf>
    <xf numFmtId="0" fontId="23" fillId="0" borderId="39" xfId="13" applyNumberFormat="1" applyFont="1" applyBorder="1" applyAlignment="1">
      <alignment vertical="center"/>
    </xf>
    <xf numFmtId="189" fontId="24" fillId="0" borderId="39" xfId="13" applyNumberFormat="1" applyFont="1" applyFill="1" applyBorder="1" applyAlignment="1">
      <alignment vertical="center"/>
    </xf>
    <xf numFmtId="190" fontId="36" fillId="0" borderId="39" xfId="13" applyNumberFormat="1" applyFont="1" applyFill="1" applyBorder="1" applyAlignment="1">
      <alignment horizontal="center" vertical="center"/>
    </xf>
    <xf numFmtId="183" fontId="36" fillId="5" borderId="39" xfId="13" applyNumberFormat="1" applyFont="1" applyFill="1" applyBorder="1" applyAlignment="1">
      <alignment horizontal="right" vertical="center" wrapText="1"/>
    </xf>
    <xf numFmtId="183" fontId="24" fillId="5" borderId="39" xfId="13" applyNumberFormat="1" applyFont="1" applyFill="1" applyBorder="1" applyAlignment="1">
      <alignment horizontal="right" vertical="center" wrapText="1"/>
    </xf>
    <xf numFmtId="183" fontId="19" fillId="0" borderId="39" xfId="13" applyNumberFormat="1" applyFont="1" applyBorder="1" applyAlignment="1">
      <alignment horizontal="center" vertical="center" wrapText="1"/>
    </xf>
    <xf numFmtId="49" fontId="24" fillId="5" borderId="39" xfId="0" applyNumberFormat="1" applyFont="1" applyFill="1" applyBorder="1" applyAlignment="1">
      <alignment vertical="center"/>
    </xf>
    <xf numFmtId="49" fontId="24" fillId="5" borderId="39" xfId="0" applyNumberFormat="1" applyFont="1" applyFill="1" applyBorder="1" applyAlignment="1">
      <alignment horizontal="center" vertical="center"/>
    </xf>
    <xf numFmtId="193" fontId="24" fillId="5" borderId="39" xfId="13" applyNumberFormat="1" applyFont="1" applyFill="1" applyBorder="1" applyAlignment="1">
      <alignment horizontal="center" vertical="center" wrapText="1"/>
    </xf>
    <xf numFmtId="183" fontId="24" fillId="0" borderId="39" xfId="13" applyNumberFormat="1" applyFont="1" applyBorder="1" applyAlignment="1">
      <alignment horizontal="right" vertical="center" wrapText="1"/>
    </xf>
    <xf numFmtId="183" fontId="24" fillId="0" borderId="39" xfId="13" applyNumberFormat="1" applyFont="1" applyFill="1" applyBorder="1" applyAlignment="1">
      <alignment horizontal="right" vertical="center" wrapText="1"/>
    </xf>
    <xf numFmtId="189" fontId="24" fillId="5" borderId="39" xfId="13" applyNumberFormat="1" applyFont="1" applyFill="1" applyBorder="1" applyAlignment="1">
      <alignment vertical="center"/>
    </xf>
    <xf numFmtId="177" fontId="24" fillId="5" borderId="39" xfId="13" applyFont="1" applyFill="1" applyBorder="1" applyAlignment="1">
      <alignment horizontal="center" vertical="center"/>
    </xf>
    <xf numFmtId="183" fontId="24" fillId="5" borderId="39" xfId="13" applyNumberFormat="1" applyFont="1" applyFill="1" applyBorder="1" applyAlignment="1">
      <alignment horizontal="center" vertical="center" wrapText="1"/>
    </xf>
    <xf numFmtId="183" fontId="36" fillId="0" borderId="39" xfId="13" applyNumberFormat="1" applyFont="1" applyFill="1" applyBorder="1" applyAlignment="1">
      <alignment horizontal="right" vertical="center" wrapText="1"/>
    </xf>
    <xf numFmtId="189" fontId="24" fillId="5" borderId="40" xfId="13" applyNumberFormat="1" applyFont="1" applyFill="1" applyBorder="1" applyAlignment="1">
      <alignment vertical="center"/>
    </xf>
    <xf numFmtId="177" fontId="24" fillId="5" borderId="40" xfId="13" applyFont="1" applyFill="1" applyBorder="1" applyAlignment="1">
      <alignment horizontal="center" vertical="center"/>
    </xf>
    <xf numFmtId="183" fontId="24" fillId="5" borderId="40" xfId="13" applyNumberFormat="1" applyFont="1" applyFill="1" applyBorder="1" applyAlignment="1">
      <alignment horizontal="center" vertical="center" wrapText="1"/>
    </xf>
    <xf numFmtId="183" fontId="24" fillId="0" borderId="40" xfId="13" applyNumberFormat="1" applyFont="1" applyFill="1" applyBorder="1" applyAlignment="1">
      <alignment horizontal="right" vertical="center" wrapText="1"/>
    </xf>
    <xf numFmtId="183" fontId="36" fillId="0" borderId="40" xfId="13" applyNumberFormat="1" applyFont="1" applyFill="1" applyBorder="1" applyAlignment="1">
      <alignment horizontal="right" vertical="center" wrapText="1"/>
    </xf>
    <xf numFmtId="183" fontId="19" fillId="0" borderId="40" xfId="13" applyNumberFormat="1" applyFont="1" applyBorder="1" applyAlignment="1">
      <alignment horizontal="center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0" fontId="12" fillId="0" borderId="0" xfId="0" applyFont="1" applyAlignment="1">
      <alignment vertical="center" wrapText="1"/>
    </xf>
    <xf numFmtId="0" fontId="23" fillId="0" borderId="39" xfId="13" applyNumberFormat="1" applyFont="1" applyBorder="1" applyAlignment="1">
      <alignment horizontal="center" vertical="center"/>
    </xf>
    <xf numFmtId="0" fontId="23" fillId="0" borderId="40" xfId="13" applyNumberFormat="1" applyFont="1" applyBorder="1" applyAlignment="1">
      <alignment horizontal="center" vertical="center"/>
    </xf>
    <xf numFmtId="0" fontId="23" fillId="0" borderId="32" xfId="15" quotePrefix="1" applyFont="1" applyBorder="1" applyAlignment="1">
      <alignment horizontal="center" vertical="center" wrapText="1"/>
    </xf>
    <xf numFmtId="0" fontId="23" fillId="0" borderId="32" xfId="15" quotePrefix="1" applyFont="1" applyBorder="1" applyAlignment="1">
      <alignment horizontal="center" vertical="center"/>
    </xf>
    <xf numFmtId="0" fontId="34" fillId="0" borderId="32" xfId="15" quotePrefix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4" fillId="0" borderId="33" xfId="15" quotePrefix="1" applyFont="1" applyBorder="1" applyAlignment="1">
      <alignment horizontal="center" vertical="center" wrapText="1"/>
    </xf>
    <xf numFmtId="0" fontId="34" fillId="0" borderId="36" xfId="15" quotePrefix="1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9" borderId="3" xfId="0" applyFont="1" applyFill="1" applyBorder="1" applyAlignment="1">
      <alignment horizontal="center" vertical="center"/>
    </xf>
    <xf numFmtId="177" fontId="23" fillId="4" borderId="21" xfId="4" applyFont="1" applyFill="1" applyBorder="1" applyAlignment="1">
      <alignment horizontal="center" vertical="center"/>
    </xf>
    <xf numFmtId="178" fontId="23" fillId="4" borderId="21" xfId="5" applyFont="1" applyFill="1" applyBorder="1" applyAlignment="1">
      <alignment horizontal="center" vertical="center"/>
    </xf>
    <xf numFmtId="0" fontId="23" fillId="4" borderId="21" xfId="0" applyFont="1" applyFill="1" applyBorder="1" applyAlignment="1">
      <alignment horizontal="center" vertical="center"/>
    </xf>
    <xf numFmtId="0" fontId="23" fillId="4" borderId="3" xfId="0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/>
    </xf>
    <xf numFmtId="0" fontId="23" fillId="4" borderId="3" xfId="3" applyFont="1" applyFill="1" applyBorder="1" applyAlignment="1">
      <alignment horizontal="center" vertical="center"/>
    </xf>
    <xf numFmtId="0" fontId="23" fillId="4" borderId="21" xfId="3" applyFont="1" applyFill="1" applyBorder="1" applyAlignment="1">
      <alignment horizontal="center" vertical="center" wrapText="1"/>
    </xf>
    <xf numFmtId="0" fontId="21" fillId="0" borderId="31" xfId="15" applyFont="1" applyBorder="1" applyAlignment="1">
      <alignment horizontal="center" vertical="center"/>
    </xf>
    <xf numFmtId="183" fontId="19" fillId="0" borderId="39" xfId="13" applyNumberFormat="1" applyFont="1" applyBorder="1" applyAlignment="1">
      <alignment horizontal="center" vertical="center" wrapText="1"/>
    </xf>
    <xf numFmtId="188" fontId="23" fillId="11" borderId="34" xfId="13" applyNumberFormat="1" applyFont="1" applyFill="1" applyBorder="1" applyAlignment="1">
      <alignment vertical="center" wrapText="1"/>
    </xf>
    <xf numFmtId="188" fontId="23" fillId="11" borderId="37" xfId="13" applyNumberFormat="1" applyFont="1" applyFill="1" applyBorder="1" applyAlignment="1">
      <alignment vertical="center" wrapText="1"/>
    </xf>
    <xf numFmtId="188" fontId="23" fillId="11" borderId="35" xfId="13" applyNumberFormat="1" applyFont="1" applyFill="1" applyBorder="1" applyAlignment="1">
      <alignment vertical="center" wrapText="1"/>
    </xf>
    <xf numFmtId="0" fontId="34" fillId="0" borderId="32" xfId="15" applyFont="1" applyBorder="1" applyAlignment="1">
      <alignment horizontal="center" vertical="center"/>
    </xf>
    <xf numFmtId="0" fontId="34" fillId="0" borderId="34" xfId="15" quotePrefix="1" applyFont="1" applyBorder="1" applyAlignment="1">
      <alignment horizontal="center" vertical="center"/>
    </xf>
    <xf numFmtId="0" fontId="34" fillId="0" borderId="35" xfId="15" quotePrefix="1" applyFont="1" applyBorder="1" applyAlignment="1">
      <alignment horizontal="center" vertical="center"/>
    </xf>
    <xf numFmtId="0" fontId="34" fillId="0" borderId="33" xfId="15" applyFont="1" applyBorder="1" applyAlignment="1">
      <alignment horizontal="center" vertical="center"/>
    </xf>
    <xf numFmtId="0" fontId="34" fillId="0" borderId="36" xfId="15" applyFont="1" applyBorder="1" applyAlignment="1">
      <alignment horizontal="center" vertical="center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81" xfId="19" xr:uid="{D42D6AC2-0CD6-4D79-A095-CB5FA603F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40821</xdr:colOff>
      <xdr:row>14</xdr:row>
      <xdr:rowOff>394608</xdr:rowOff>
    </xdr:from>
    <xdr:to>
      <xdr:col>20</xdr:col>
      <xdr:colOff>84366</xdr:colOff>
      <xdr:row>44</xdr:row>
      <xdr:rowOff>217714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398D27-8B57-7DAD-1AD3-7CFEC6CADD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4" t="10394" r="9610" b="4326"/>
        <a:stretch>
          <a:fillRect/>
        </a:stretch>
      </xdr:blipFill>
      <xdr:spPr>
        <a:xfrm>
          <a:off x="11348357" y="6408965"/>
          <a:ext cx="5459188" cy="74022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85725</xdr:colOff>
      <xdr:row>0</xdr:row>
      <xdr:rowOff>76200</xdr:rowOff>
    </xdr:from>
    <xdr:to>
      <xdr:col>24</xdr:col>
      <xdr:colOff>58513</xdr:colOff>
      <xdr:row>31</xdr:row>
      <xdr:rowOff>115660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0B86A3-1F7E-4450-AF9A-F3CD15CC1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4" t="10394" r="9610" b="4326"/>
        <a:stretch>
          <a:fillRect/>
        </a:stretch>
      </xdr:blipFill>
      <xdr:spPr>
        <a:xfrm>
          <a:off x="10620375" y="76200"/>
          <a:ext cx="5459188" cy="74022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5</xdr:row>
      <xdr:rowOff>161926</xdr:rowOff>
    </xdr:from>
    <xdr:to>
      <xdr:col>7</xdr:col>
      <xdr:colOff>310253</xdr:colOff>
      <xdr:row>38</xdr:row>
      <xdr:rowOff>171451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7E528FC-1086-4C58-B21E-FC2FA1E0B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1209676"/>
          <a:ext cx="4520303" cy="5981700"/>
        </a:xfrm>
        <a:prstGeom prst="rect">
          <a:avLst/>
        </a:prstGeom>
      </xdr:spPr>
    </xdr:pic>
    <xdr:clientData/>
  </xdr:twoCellAnchor>
  <xdr:twoCellAnchor editAs="oneCell">
    <xdr:from>
      <xdr:col>7</xdr:col>
      <xdr:colOff>470087</xdr:colOff>
      <xdr:row>6</xdr:row>
      <xdr:rowOff>90768</xdr:rowOff>
    </xdr:from>
    <xdr:to>
      <xdr:col>14</xdr:col>
      <xdr:colOff>49513</xdr:colOff>
      <xdr:row>39</xdr:row>
      <xdr:rowOff>56029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9CC9B73-3907-4739-8779-300C8D844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44" t="10394" r="9610" b="4326"/>
        <a:stretch>
          <a:fillRect/>
        </a:stretch>
      </xdr:blipFill>
      <xdr:spPr>
        <a:xfrm>
          <a:off x="5254999" y="1166533"/>
          <a:ext cx="4364338" cy="5881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380999</xdr:colOff>
      <xdr:row>2</xdr:row>
      <xdr:rowOff>38100</xdr:rowOff>
    </xdr:from>
    <xdr:to>
      <xdr:col>26</xdr:col>
      <xdr:colOff>469140</xdr:colOff>
      <xdr:row>26</xdr:row>
      <xdr:rowOff>104775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ED2F7CAA-803A-4C32-9EA0-5517B8A50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599" y="457200"/>
          <a:ext cx="6260341" cy="50958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561305</xdr:colOff>
      <xdr:row>30</xdr:row>
      <xdr:rowOff>132600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038D9E4-B4E2-4C4F-92C6-44B19B34F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0" y="419100"/>
          <a:ext cx="5361905" cy="60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389131</xdr:colOff>
      <xdr:row>0</xdr:row>
      <xdr:rowOff>185854</xdr:rowOff>
    </xdr:from>
    <xdr:to>
      <xdr:col>8</xdr:col>
      <xdr:colOff>563369</xdr:colOff>
      <xdr:row>26</xdr:row>
      <xdr:rowOff>11624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0C26686-D0A5-7A3C-B8A9-40CF724DB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131" y="185854"/>
          <a:ext cx="5656921" cy="5412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7EA287-36DE-4F08-BF2F-4A9D8EBD104C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14" zoomScale="85" zoomScaleNormal="85" workbookViewId="0">
      <selection activeCell="C29" sqref="C29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61" t="s">
        <v>6</v>
      </c>
      <c r="B2" s="161"/>
      <c r="C2" s="161"/>
      <c r="D2" s="161"/>
      <c r="E2" s="161"/>
      <c r="F2" s="161"/>
      <c r="G2" s="161"/>
      <c r="H2" s="2"/>
    </row>
    <row r="3" spans="1:9" ht="14.25">
      <c r="A3" s="81"/>
      <c r="B3" s="81"/>
      <c r="C3" s="81"/>
      <c r="D3" s="81"/>
      <c r="E3" s="81"/>
      <c r="F3" s="81"/>
      <c r="G3" s="81"/>
      <c r="H3" s="81"/>
    </row>
    <row r="4" spans="1:9" ht="14.25">
      <c r="A4" s="81"/>
      <c r="B4" s="81"/>
      <c r="C4" s="81"/>
      <c r="D4" s="81"/>
      <c r="E4" s="81"/>
      <c r="H4" s="81"/>
    </row>
    <row r="5" spans="1:9" ht="27" customHeight="1">
      <c r="A5" s="82" t="s">
        <v>47</v>
      </c>
      <c r="B5" s="4"/>
      <c r="C5" s="5"/>
      <c r="D5" s="81"/>
      <c r="E5" s="81"/>
      <c r="F5" s="6" t="s">
        <v>37</v>
      </c>
      <c r="G5" s="7" t="s">
        <v>50</v>
      </c>
      <c r="H5" s="81"/>
    </row>
    <row r="6" spans="1:9" ht="27" customHeight="1">
      <c r="A6" s="81"/>
      <c r="B6" s="81"/>
      <c r="C6" s="81"/>
      <c r="D6" s="81"/>
      <c r="E6" s="81"/>
      <c r="F6" s="8" t="s">
        <v>40</v>
      </c>
      <c r="G6" s="9" t="s">
        <v>51</v>
      </c>
      <c r="H6" s="81"/>
    </row>
    <row r="7" spans="1:9" ht="27" customHeight="1">
      <c r="A7" s="164" t="s">
        <v>110</v>
      </c>
      <c r="B7" s="165"/>
      <c r="C7" s="166"/>
      <c r="D7" s="81"/>
      <c r="E7" s="10"/>
      <c r="F7" s="11" t="s">
        <v>41</v>
      </c>
      <c r="G7" s="9" t="s">
        <v>52</v>
      </c>
      <c r="H7" s="81"/>
    </row>
    <row r="8" spans="1:9" ht="27" customHeight="1">
      <c r="A8" s="81"/>
      <c r="B8" s="81"/>
      <c r="C8" s="81"/>
      <c r="D8" s="81"/>
      <c r="E8" s="81"/>
      <c r="F8" s="8" t="s">
        <v>42</v>
      </c>
      <c r="G8" s="9" t="s">
        <v>53</v>
      </c>
      <c r="H8" s="81"/>
    </row>
    <row r="9" spans="1:9" ht="27" customHeight="1">
      <c r="A9" s="164" t="s">
        <v>165</v>
      </c>
      <c r="B9" s="165"/>
      <c r="C9" s="166"/>
      <c r="D9" s="81"/>
      <c r="E9" s="81"/>
      <c r="F9" s="8" t="s">
        <v>43</v>
      </c>
      <c r="G9" s="9" t="s">
        <v>54</v>
      </c>
      <c r="H9" s="81"/>
    </row>
    <row r="10" spans="1:9" ht="27" customHeight="1">
      <c r="A10" s="81"/>
      <c r="B10" s="81"/>
      <c r="C10" s="81"/>
      <c r="D10" s="81"/>
      <c r="E10" s="81"/>
      <c r="F10" s="12" t="s">
        <v>38</v>
      </c>
      <c r="G10" s="13" t="s">
        <v>55</v>
      </c>
      <c r="H10" s="81"/>
      <c r="I10" s="81"/>
    </row>
    <row r="11" spans="1:9" ht="27" customHeight="1">
      <c r="A11" s="162"/>
      <c r="B11" s="163"/>
      <c r="C11" s="163"/>
      <c r="D11" s="81"/>
      <c r="E11" s="14"/>
      <c r="F11" s="15" t="s">
        <v>39</v>
      </c>
      <c r="G11" s="16" t="s">
        <v>56</v>
      </c>
      <c r="H11" s="14"/>
    </row>
    <row r="12" spans="1:9" ht="18.75" thickBot="1">
      <c r="A12" s="17" t="s">
        <v>7</v>
      </c>
      <c r="B12" s="17" t="str">
        <f>NUMBERSTRING(F31,1)</f>
        <v>삼백육십사만구천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1"/>
      <c r="B13" s="81"/>
      <c r="C13" s="81"/>
      <c r="D13" s="81"/>
      <c r="E13" s="81"/>
      <c r="F13" s="81"/>
      <c r="G13" s="81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'내역서(표준단가)'!O11</f>
        <v>1296838.5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'내역서(표준단가)'!Q11</f>
        <v>1888586.9679999999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'내역서(표준단가)'!S11+'내역서(표준단가)'!U11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3185425.4679999999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10" t="s">
        <v>23</v>
      </c>
      <c r="C21" s="111" t="s">
        <v>88</v>
      </c>
      <c r="D21" s="112">
        <v>1</v>
      </c>
      <c r="E21" s="112" t="s">
        <v>24</v>
      </c>
      <c r="F21" s="113">
        <f>F17*4.75%</f>
        <v>89707.880980000002</v>
      </c>
      <c r="G21" s="35" t="s">
        <v>25</v>
      </c>
    </row>
    <row r="22" spans="1:7" ht="33" customHeight="1">
      <c r="A22" s="29"/>
      <c r="B22" s="114" t="s">
        <v>26</v>
      </c>
      <c r="C22" s="111" t="s">
        <v>89</v>
      </c>
      <c r="D22" s="115">
        <v>1</v>
      </c>
      <c r="E22" s="115" t="s">
        <v>24</v>
      </c>
      <c r="F22" s="116">
        <f>F17*3.595%</f>
        <v>67894.701499600007</v>
      </c>
      <c r="G22" s="44" t="s">
        <v>27</v>
      </c>
    </row>
    <row r="23" spans="1:7" ht="33" customHeight="1">
      <c r="A23" s="29"/>
      <c r="B23" s="42" t="s">
        <v>28</v>
      </c>
      <c r="C23" s="40" t="s">
        <v>48</v>
      </c>
      <c r="D23" s="30">
        <v>1</v>
      </c>
      <c r="E23" s="30" t="s">
        <v>24</v>
      </c>
      <c r="F23" s="43">
        <f>F22*12.95%</f>
        <v>8792.3638441982021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19074.728376799998</v>
      </c>
      <c r="G24" s="35" t="s">
        <v>27</v>
      </c>
    </row>
    <row r="25" spans="1:7" ht="33" customHeight="1">
      <c r="A25" s="29"/>
      <c r="B25" s="42" t="s">
        <v>30</v>
      </c>
      <c r="C25" s="40" t="s">
        <v>49</v>
      </c>
      <c r="D25" s="30">
        <v>1</v>
      </c>
      <c r="E25" s="30" t="s">
        <v>24</v>
      </c>
      <c r="F25" s="43">
        <f>F17*3.56%</f>
        <v>67233.696060799994</v>
      </c>
      <c r="G25" s="35" t="s">
        <v>27</v>
      </c>
    </row>
    <row r="26" spans="1:7" ht="33" customHeight="1">
      <c r="A26" s="29"/>
      <c r="B26" s="42" t="s">
        <v>31</v>
      </c>
      <c r="C26" s="45" t="s">
        <v>78</v>
      </c>
      <c r="D26" s="30">
        <v>1</v>
      </c>
      <c r="E26" s="30" t="s">
        <v>24</v>
      </c>
      <c r="F26" s="43">
        <f>(F16+F17)*3.11%</f>
        <v>99066.732054799999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112017.85354080988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463787.95635700808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3649213.4243570082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3649000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E1:X45"/>
  <sheetViews>
    <sheetView showGridLines="0" tabSelected="1" zoomScale="70" zoomScaleNormal="70" workbookViewId="0">
      <pane ySplit="4" topLeftCell="A11" activePane="bottomLeft" state="frozen"/>
      <selection pane="bottomLeft" activeCell="L30" sqref="L30"/>
    </sheetView>
  </sheetViews>
  <sheetFormatPr defaultColWidth="9" defaultRowHeight="38.1" customHeight="1"/>
  <cols>
    <col min="1" max="4" width="0" style="91" hidden="1" customWidth="1"/>
    <col min="5" max="5" width="20.75" style="98" customWidth="1"/>
    <col min="6" max="6" width="13.125" style="91" hidden="1" customWidth="1"/>
    <col min="7" max="9" width="12.625" style="91" hidden="1" customWidth="1"/>
    <col min="10" max="11" width="30.625" style="88" customWidth="1"/>
    <col min="12" max="12" width="22.25" style="91" customWidth="1"/>
    <col min="13" max="13" width="8.25" style="91" customWidth="1"/>
    <col min="14" max="14" width="10.625" style="91" bestFit="1" customWidth="1"/>
    <col min="15" max="15" width="15.625" style="91" customWidth="1"/>
    <col min="16" max="16" width="12" style="91" bestFit="1" customWidth="1"/>
    <col min="17" max="17" width="15.125" style="91" customWidth="1"/>
    <col min="18" max="18" width="9" style="91" customWidth="1"/>
    <col min="19" max="19" width="8.75" style="91" bestFit="1" customWidth="1"/>
    <col min="20" max="20" width="10.5" style="91" customWidth="1"/>
    <col min="21" max="21" width="8.75" style="91" bestFit="1" customWidth="1"/>
    <col min="22" max="22" width="15.625" style="91" bestFit="1" customWidth="1"/>
    <col min="23" max="23" width="13.375" style="62" bestFit="1" customWidth="1"/>
    <col min="24" max="24" width="8.5" style="91" bestFit="1" customWidth="1"/>
    <col min="25" max="25" width="16.375" style="91" customWidth="1"/>
    <col min="26" max="16384" width="9" style="91"/>
  </cols>
  <sheetData>
    <row r="1" spans="5:24" ht="19.899999999999999" customHeight="1">
      <c r="E1" s="173"/>
      <c r="F1" s="173"/>
      <c r="G1" s="173"/>
      <c r="H1" s="173"/>
      <c r="I1" s="173"/>
      <c r="N1" s="62"/>
      <c r="O1" s="90" t="s">
        <v>57</v>
      </c>
      <c r="Q1" s="90" t="s">
        <v>57</v>
      </c>
      <c r="S1" s="90" t="s">
        <v>57</v>
      </c>
      <c r="U1" s="90" t="s">
        <v>57</v>
      </c>
    </row>
    <row r="2" spans="5:24" ht="19.899999999999999" customHeight="1" thickBot="1">
      <c r="E2" s="173"/>
      <c r="F2" s="173"/>
      <c r="G2" s="173"/>
      <c r="H2" s="173"/>
      <c r="I2" s="173"/>
      <c r="N2" s="63"/>
      <c r="O2" s="64">
        <v>0.83499999999999996</v>
      </c>
      <c r="Q2" s="64">
        <v>0.83499999999999996</v>
      </c>
      <c r="S2" s="64">
        <v>0.83499999999999996</v>
      </c>
      <c r="U2" s="64">
        <v>0.83499999999999996</v>
      </c>
    </row>
    <row r="3" spans="5:24" ht="19.899999999999999" customHeight="1">
      <c r="E3" s="92"/>
      <c r="F3" s="93" t="s">
        <v>58</v>
      </c>
      <c r="G3" s="93"/>
      <c r="H3" s="93"/>
      <c r="I3" s="93"/>
      <c r="J3" s="186" t="s">
        <v>59</v>
      </c>
      <c r="K3" s="186"/>
      <c r="L3" s="184" t="s">
        <v>46</v>
      </c>
      <c r="M3" s="184" t="s">
        <v>5</v>
      </c>
      <c r="N3" s="180" t="s">
        <v>60</v>
      </c>
      <c r="O3" s="180"/>
      <c r="P3" s="180" t="s">
        <v>61</v>
      </c>
      <c r="Q3" s="180"/>
      <c r="R3" s="181" t="s">
        <v>62</v>
      </c>
      <c r="S3" s="181"/>
      <c r="T3" s="181" t="s">
        <v>63</v>
      </c>
      <c r="U3" s="181"/>
      <c r="V3" s="182" t="s">
        <v>64</v>
      </c>
      <c r="W3" s="178" t="s">
        <v>76</v>
      </c>
      <c r="X3" s="176" t="s">
        <v>44</v>
      </c>
    </row>
    <row r="4" spans="5:24" ht="19.899999999999999" customHeight="1">
      <c r="E4" s="65" t="s">
        <v>65</v>
      </c>
      <c r="F4" s="66" t="s">
        <v>66</v>
      </c>
      <c r="G4" s="66" t="s">
        <v>67</v>
      </c>
      <c r="H4" s="66" t="s">
        <v>68</v>
      </c>
      <c r="I4" s="66" t="s">
        <v>69</v>
      </c>
      <c r="J4" s="89" t="s">
        <v>70</v>
      </c>
      <c r="K4" s="89" t="s">
        <v>71</v>
      </c>
      <c r="L4" s="185"/>
      <c r="M4" s="185"/>
      <c r="N4" s="67" t="s">
        <v>72</v>
      </c>
      <c r="O4" s="68" t="s">
        <v>73</v>
      </c>
      <c r="P4" s="67" t="s">
        <v>74</v>
      </c>
      <c r="Q4" s="68" t="s">
        <v>73</v>
      </c>
      <c r="R4" s="68" t="s">
        <v>75</v>
      </c>
      <c r="S4" s="68" t="s">
        <v>73</v>
      </c>
      <c r="T4" s="68" t="s">
        <v>75</v>
      </c>
      <c r="U4" s="68" t="s">
        <v>73</v>
      </c>
      <c r="V4" s="183"/>
      <c r="W4" s="179"/>
      <c r="X4" s="177"/>
    </row>
    <row r="5" spans="5:24" s="94" customFormat="1" ht="58.5" customHeight="1">
      <c r="E5" s="69" t="str">
        <f t="shared" ref="E5:E6" si="0">F5&amp;G5&amp;H5&amp;I5</f>
        <v>M020414115290101</v>
      </c>
      <c r="F5" s="75"/>
      <c r="G5" s="70"/>
      <c r="H5" s="99" t="s">
        <v>80</v>
      </c>
      <c r="I5" s="75"/>
      <c r="J5" s="100" t="s">
        <v>82</v>
      </c>
      <c r="K5" s="102" t="s">
        <v>90</v>
      </c>
      <c r="L5" s="100" t="s">
        <v>81</v>
      </c>
      <c r="M5" s="87">
        <v>100</v>
      </c>
      <c r="N5" s="107">
        <v>15400</v>
      </c>
      <c r="O5" s="84">
        <f t="shared" ref="O5:O6" si="1">SUM(N5:N5)*M5*$O$2</f>
        <v>1285900</v>
      </c>
      <c r="P5" s="83"/>
      <c r="Q5" s="84">
        <f t="shared" ref="Q5:Q6" si="2">(P5*M5)*$Q$2</f>
        <v>0</v>
      </c>
      <c r="R5" s="85"/>
      <c r="S5" s="84">
        <f t="shared" ref="S5:S6" si="3">R5*M5*$S$2</f>
        <v>0</v>
      </c>
      <c r="T5" s="85"/>
      <c r="U5" s="84">
        <f t="shared" ref="U5:U6" si="4">T5*M5*$U$2</f>
        <v>0</v>
      </c>
      <c r="V5" s="109">
        <f t="shared" ref="V5:V6" si="5">SUM(O5+Q5)+S5+U5</f>
        <v>1285900</v>
      </c>
      <c r="W5" s="80"/>
      <c r="X5" s="73"/>
    </row>
    <row r="6" spans="5:24" s="94" customFormat="1" ht="38.1" customHeight="1">
      <c r="E6" s="69" t="str">
        <f t="shared" si="0"/>
        <v>E00000803061300101</v>
      </c>
      <c r="F6" s="75"/>
      <c r="G6" s="101" t="s">
        <v>79</v>
      </c>
      <c r="H6" s="70"/>
      <c r="I6" s="75"/>
      <c r="J6" s="104" t="s">
        <v>86</v>
      </c>
      <c r="K6" s="103" t="s">
        <v>91</v>
      </c>
      <c r="L6" s="86" t="s">
        <v>77</v>
      </c>
      <c r="M6" s="87">
        <v>576</v>
      </c>
      <c r="N6" s="105"/>
      <c r="O6" s="71">
        <f t="shared" si="1"/>
        <v>0</v>
      </c>
      <c r="P6" s="108">
        <v>3442</v>
      </c>
      <c r="Q6" s="71">
        <f t="shared" si="2"/>
        <v>1655464.3199999998</v>
      </c>
      <c r="R6" s="72"/>
      <c r="S6" s="71">
        <f t="shared" si="3"/>
        <v>0</v>
      </c>
      <c r="T6" s="72"/>
      <c r="U6" s="71">
        <f t="shared" si="4"/>
        <v>0</v>
      </c>
      <c r="V6" s="109">
        <f t="shared" si="5"/>
        <v>1655464.3199999998</v>
      </c>
      <c r="W6" s="106"/>
      <c r="X6" s="73"/>
    </row>
    <row r="7" spans="5:24" s="94" customFormat="1" ht="38.1" customHeight="1">
      <c r="E7" s="69" t="str">
        <f t="shared" ref="E7:E10" si="6">F7&amp;G7&amp;H7&amp;I7</f>
        <v>E00000803061300101</v>
      </c>
      <c r="F7" s="75"/>
      <c r="G7" s="101" t="s">
        <v>79</v>
      </c>
      <c r="H7" s="70"/>
      <c r="I7" s="75"/>
      <c r="J7" s="104" t="s">
        <v>153</v>
      </c>
      <c r="K7" s="104" t="s">
        <v>154</v>
      </c>
      <c r="L7" s="86" t="s">
        <v>77</v>
      </c>
      <c r="M7" s="87">
        <v>26.4</v>
      </c>
      <c r="N7" s="105"/>
      <c r="O7" s="71">
        <f t="shared" ref="O7:O10" si="7">SUM(N7:N7)*M7*$O$2</f>
        <v>0</v>
      </c>
      <c r="P7" s="108">
        <v>3442</v>
      </c>
      <c r="Q7" s="71">
        <f t="shared" ref="Q7" si="8">(P7*M7)*$Q$2</f>
        <v>75875.447999999989</v>
      </c>
      <c r="R7" s="72"/>
      <c r="S7" s="71">
        <f t="shared" ref="S7" si="9">R7*M7*$S$2</f>
        <v>0</v>
      </c>
      <c r="T7" s="72"/>
      <c r="U7" s="71">
        <f t="shared" ref="U7" si="10">T7*M7*$U$2</f>
        <v>0</v>
      </c>
      <c r="V7" s="109">
        <f t="shared" ref="V7:V10" si="11">SUM(O7+Q7)+S7+U7</f>
        <v>75875.447999999989</v>
      </c>
      <c r="W7" s="106"/>
      <c r="X7" s="73"/>
    </row>
    <row r="8" spans="5:24" s="94" customFormat="1" ht="38.1" customHeight="1">
      <c r="E8" s="69" t="str">
        <f t="shared" si="6"/>
        <v>M020412614110102</v>
      </c>
      <c r="F8" s="75"/>
      <c r="G8" s="70"/>
      <c r="H8" s="126" t="s">
        <v>156</v>
      </c>
      <c r="I8" s="75"/>
      <c r="J8" s="131" t="s">
        <v>157</v>
      </c>
      <c r="K8" s="131" t="s">
        <v>104</v>
      </c>
      <c r="L8" s="86" t="s">
        <v>105</v>
      </c>
      <c r="M8" s="87">
        <v>0.2</v>
      </c>
      <c r="N8" s="127">
        <v>65500</v>
      </c>
      <c r="O8" s="84">
        <f t="shared" si="7"/>
        <v>10938.5</v>
      </c>
      <c r="P8" s="83"/>
      <c r="Q8" s="84"/>
      <c r="R8" s="85"/>
      <c r="S8" s="84"/>
      <c r="T8" s="85"/>
      <c r="U8" s="84"/>
      <c r="V8" s="72">
        <f t="shared" si="11"/>
        <v>10938.5</v>
      </c>
      <c r="W8" s="106"/>
      <c r="X8" s="73"/>
    </row>
    <row r="9" spans="5:24" s="94" customFormat="1" ht="38.1" customHeight="1">
      <c r="E9" s="69" t="str">
        <f t="shared" si="6"/>
        <v>E00000803061120402</v>
      </c>
      <c r="F9" s="75"/>
      <c r="G9" s="70" t="s">
        <v>158</v>
      </c>
      <c r="H9" s="70"/>
      <c r="I9" s="75"/>
      <c r="J9" s="131" t="s">
        <v>159</v>
      </c>
      <c r="K9" s="131" t="s">
        <v>160</v>
      </c>
      <c r="L9" s="86" t="s">
        <v>77</v>
      </c>
      <c r="M9" s="87">
        <v>11</v>
      </c>
      <c r="N9" s="128"/>
      <c r="O9" s="71">
        <f t="shared" si="7"/>
        <v>0</v>
      </c>
      <c r="P9" s="129">
        <v>10752</v>
      </c>
      <c r="Q9" s="71">
        <f t="shared" ref="Q9:Q10" si="12">(P9*M9)*$Q$2</f>
        <v>98757.119999999995</v>
      </c>
      <c r="R9" s="72"/>
      <c r="S9" s="71">
        <f t="shared" ref="S9:S10" si="13">R9*M9*$S$2</f>
        <v>0</v>
      </c>
      <c r="T9" s="72"/>
      <c r="U9" s="71">
        <f t="shared" ref="U9:U10" si="14">T9*M9*$U$2</f>
        <v>0</v>
      </c>
      <c r="V9" s="72">
        <f t="shared" si="11"/>
        <v>98757.119999999995</v>
      </c>
      <c r="W9" s="106"/>
      <c r="X9" s="73"/>
    </row>
    <row r="10" spans="5:24" s="94" customFormat="1" ht="38.1" customHeight="1">
      <c r="E10" s="69" t="str">
        <f t="shared" si="6"/>
        <v>E00000803061300201</v>
      </c>
      <c r="F10" s="75"/>
      <c r="G10" s="70" t="s">
        <v>161</v>
      </c>
      <c r="H10" s="70"/>
      <c r="I10" s="75"/>
      <c r="J10" s="131" t="s">
        <v>162</v>
      </c>
      <c r="K10" s="131" t="s">
        <v>163</v>
      </c>
      <c r="L10" s="86" t="s">
        <v>164</v>
      </c>
      <c r="M10" s="87">
        <v>11</v>
      </c>
      <c r="N10" s="128"/>
      <c r="O10" s="71">
        <f t="shared" si="7"/>
        <v>0</v>
      </c>
      <c r="P10" s="130">
        <v>6368</v>
      </c>
      <c r="Q10" s="71">
        <f t="shared" si="12"/>
        <v>58490.079999999994</v>
      </c>
      <c r="R10" s="72"/>
      <c r="S10" s="71">
        <f t="shared" si="13"/>
        <v>0</v>
      </c>
      <c r="T10" s="72"/>
      <c r="U10" s="71">
        <f t="shared" si="14"/>
        <v>0</v>
      </c>
      <c r="V10" s="72">
        <f t="shared" si="11"/>
        <v>58490.079999999994</v>
      </c>
      <c r="W10" s="106"/>
      <c r="X10" s="73"/>
    </row>
    <row r="11" spans="5:24" ht="38.1" customHeight="1">
      <c r="E11" s="95"/>
      <c r="O11" s="96">
        <f>SUM(O5:O10)</f>
        <v>1296838.5</v>
      </c>
      <c r="P11" s="97"/>
      <c r="Q11" s="96">
        <f>SUM(Q5:Q10)</f>
        <v>1888586.9679999999</v>
      </c>
      <c r="R11" s="97"/>
      <c r="S11" s="96">
        <f>SUM(S5:S10)</f>
        <v>0</v>
      </c>
      <c r="T11" s="97"/>
      <c r="U11" s="96">
        <f>SUM(U5:U10)</f>
        <v>0</v>
      </c>
      <c r="V11" s="96">
        <f>SUM(V5:V10)</f>
        <v>3185425.4679999999</v>
      </c>
    </row>
    <row r="12" spans="5:24" ht="38.1" customHeight="1">
      <c r="F12" s="98"/>
      <c r="J12" s="91"/>
      <c r="K12" s="167" t="s">
        <v>83</v>
      </c>
      <c r="L12" s="167"/>
      <c r="W12" s="91"/>
      <c r="X12" s="62"/>
    </row>
    <row r="13" spans="5:24" ht="38.1" customHeight="1">
      <c r="F13" s="98"/>
      <c r="J13" s="91"/>
      <c r="K13" s="167" t="s">
        <v>84</v>
      </c>
      <c r="L13" s="167"/>
      <c r="W13" s="91"/>
      <c r="X13" s="62"/>
    </row>
    <row r="14" spans="5:24" ht="38.1" customHeight="1">
      <c r="F14" s="98"/>
      <c r="J14" s="91"/>
      <c r="K14" s="167" t="s">
        <v>85</v>
      </c>
      <c r="L14" s="167"/>
      <c r="W14" s="91"/>
      <c r="X14" s="62"/>
    </row>
    <row r="15" spans="5:24" ht="38.1" customHeight="1">
      <c r="F15" s="98"/>
      <c r="J15" s="91"/>
      <c r="K15" s="167" t="s">
        <v>87</v>
      </c>
      <c r="L15" s="167"/>
      <c r="W15" s="91"/>
      <c r="X15" s="62"/>
    </row>
    <row r="16" spans="5:24" ht="20.100000000000001" customHeight="1">
      <c r="F16" s="98"/>
      <c r="J16" s="170" t="s">
        <v>109</v>
      </c>
      <c r="K16" s="171" t="s">
        <v>111</v>
      </c>
      <c r="L16" s="172" t="s">
        <v>93</v>
      </c>
      <c r="M16" s="174" t="s">
        <v>150</v>
      </c>
      <c r="N16" s="174" t="s">
        <v>151</v>
      </c>
      <c r="W16" s="91"/>
      <c r="X16" s="62"/>
    </row>
    <row r="17" spans="6:24" ht="20.100000000000001" customHeight="1">
      <c r="F17" s="98"/>
      <c r="J17" s="170"/>
      <c r="K17" s="171"/>
      <c r="L17" s="172"/>
      <c r="M17" s="175"/>
      <c r="N17" s="175"/>
      <c r="W17" s="91"/>
      <c r="X17" s="62"/>
    </row>
    <row r="18" spans="6:24" ht="20.100000000000001" customHeight="1">
      <c r="F18" s="98"/>
      <c r="J18" s="132">
        <v>21</v>
      </c>
      <c r="K18" s="133" t="s">
        <v>113</v>
      </c>
      <c r="L18" s="134" t="s">
        <v>112</v>
      </c>
      <c r="M18" s="135">
        <v>2</v>
      </c>
      <c r="N18" s="135">
        <v>12</v>
      </c>
      <c r="W18" s="91"/>
      <c r="X18" s="62"/>
    </row>
    <row r="19" spans="6:24" ht="20.100000000000001" customHeight="1">
      <c r="F19" s="98"/>
      <c r="J19" s="139">
        <v>22</v>
      </c>
      <c r="K19" s="140" t="s">
        <v>114</v>
      </c>
      <c r="L19" s="141" t="s">
        <v>115</v>
      </c>
      <c r="M19" s="142">
        <v>4</v>
      </c>
      <c r="N19" s="142">
        <v>24</v>
      </c>
      <c r="W19" s="91"/>
      <c r="X19" s="62"/>
    </row>
    <row r="20" spans="6:24" ht="20.100000000000001" customHeight="1">
      <c r="F20" s="98"/>
      <c r="J20" s="139">
        <v>23</v>
      </c>
      <c r="K20" s="140" t="s">
        <v>116</v>
      </c>
      <c r="L20" s="141" t="s">
        <v>117</v>
      </c>
      <c r="M20" s="142">
        <v>4</v>
      </c>
      <c r="N20" s="142">
        <v>24</v>
      </c>
      <c r="W20" s="91"/>
      <c r="X20" s="62"/>
    </row>
    <row r="21" spans="6:24" ht="20.100000000000001" customHeight="1">
      <c r="F21" s="98"/>
      <c r="J21" s="139">
        <v>24</v>
      </c>
      <c r="K21" s="140" t="s">
        <v>118</v>
      </c>
      <c r="L21" s="141" t="s">
        <v>119</v>
      </c>
      <c r="M21" s="142">
        <v>4</v>
      </c>
      <c r="N21" s="142">
        <v>24</v>
      </c>
      <c r="W21" s="91"/>
      <c r="X21" s="62"/>
    </row>
    <row r="22" spans="6:24" ht="20.100000000000001" customHeight="1">
      <c r="F22" s="98"/>
      <c r="J22" s="139">
        <v>25</v>
      </c>
      <c r="K22" s="140" t="s">
        <v>120</v>
      </c>
      <c r="L22" s="141" t="s">
        <v>121</v>
      </c>
      <c r="M22" s="142">
        <v>8</v>
      </c>
      <c r="N22" s="142">
        <v>48</v>
      </c>
      <c r="W22" s="91"/>
      <c r="X22" s="62"/>
    </row>
    <row r="23" spans="6:24" ht="20.100000000000001" customHeight="1">
      <c r="F23" s="98"/>
      <c r="J23" s="139">
        <v>29</v>
      </c>
      <c r="K23" s="140" t="s">
        <v>132</v>
      </c>
      <c r="L23" s="141" t="s">
        <v>122</v>
      </c>
      <c r="M23" s="142">
        <v>6</v>
      </c>
      <c r="N23" s="142">
        <v>36</v>
      </c>
      <c r="W23" s="91"/>
      <c r="X23" s="62"/>
    </row>
    <row r="24" spans="6:24" ht="20.100000000000001" customHeight="1">
      <c r="F24" s="98"/>
      <c r="J24" s="139">
        <v>30</v>
      </c>
      <c r="K24" s="140" t="s">
        <v>133</v>
      </c>
      <c r="L24" s="141" t="s">
        <v>123</v>
      </c>
      <c r="M24" s="142">
        <v>6</v>
      </c>
      <c r="N24" s="142">
        <v>36</v>
      </c>
      <c r="W24" s="91"/>
      <c r="X24" s="62"/>
    </row>
    <row r="25" spans="6:24" ht="20.100000000000001" customHeight="1">
      <c r="F25" s="98"/>
      <c r="J25" s="139">
        <v>31</v>
      </c>
      <c r="K25" s="140" t="s">
        <v>134</v>
      </c>
      <c r="L25" s="141" t="s">
        <v>124</v>
      </c>
      <c r="M25" s="142">
        <v>8</v>
      </c>
      <c r="N25" s="142">
        <v>48</v>
      </c>
      <c r="W25" s="91"/>
      <c r="X25" s="62"/>
    </row>
    <row r="26" spans="6:24" ht="20.100000000000001" customHeight="1">
      <c r="F26" s="98"/>
      <c r="J26" s="139">
        <v>33</v>
      </c>
      <c r="K26" s="140" t="s">
        <v>135</v>
      </c>
      <c r="L26" s="141" t="s">
        <v>125</v>
      </c>
      <c r="M26" s="142">
        <v>2</v>
      </c>
      <c r="N26" s="142">
        <v>12</v>
      </c>
      <c r="W26" s="91"/>
      <c r="X26" s="62"/>
    </row>
    <row r="27" spans="6:24" ht="20.100000000000001" customHeight="1">
      <c r="F27" s="98"/>
      <c r="J27" s="139">
        <v>34</v>
      </c>
      <c r="K27" s="140" t="s">
        <v>136</v>
      </c>
      <c r="L27" s="141" t="s">
        <v>125</v>
      </c>
      <c r="M27" s="142">
        <v>2</v>
      </c>
      <c r="N27" s="142">
        <v>12</v>
      </c>
      <c r="W27" s="91"/>
      <c r="X27" s="62"/>
    </row>
    <row r="28" spans="6:24" ht="20.100000000000001" customHeight="1">
      <c r="F28" s="98"/>
      <c r="J28" s="139">
        <v>35</v>
      </c>
      <c r="K28" s="140" t="s">
        <v>137</v>
      </c>
      <c r="L28" s="141" t="s">
        <v>119</v>
      </c>
      <c r="M28" s="142">
        <v>4</v>
      </c>
      <c r="N28" s="142">
        <v>24</v>
      </c>
      <c r="W28" s="91"/>
      <c r="X28" s="62"/>
    </row>
    <row r="29" spans="6:24" ht="20.100000000000001" customHeight="1">
      <c r="F29" s="98"/>
      <c r="J29" s="139">
        <v>36</v>
      </c>
      <c r="K29" s="140" t="s">
        <v>138</v>
      </c>
      <c r="L29" s="141" t="s">
        <v>126</v>
      </c>
      <c r="M29" s="142">
        <v>2</v>
      </c>
      <c r="N29" s="142">
        <v>12</v>
      </c>
      <c r="W29" s="91"/>
      <c r="X29" s="62"/>
    </row>
    <row r="30" spans="6:24" ht="20.100000000000001" customHeight="1">
      <c r="F30" s="98"/>
      <c r="J30" s="139">
        <v>37</v>
      </c>
      <c r="K30" s="140" t="s">
        <v>139</v>
      </c>
      <c r="L30" s="141" t="s">
        <v>127</v>
      </c>
      <c r="M30" s="142">
        <v>2</v>
      </c>
      <c r="N30" s="142">
        <v>12</v>
      </c>
      <c r="W30" s="91"/>
      <c r="X30" s="62"/>
    </row>
    <row r="31" spans="6:24" ht="20.100000000000001" customHeight="1">
      <c r="F31" s="98"/>
      <c r="J31" s="139">
        <v>38</v>
      </c>
      <c r="K31" s="140" t="s">
        <v>140</v>
      </c>
      <c r="L31" s="141" t="s">
        <v>112</v>
      </c>
      <c r="M31" s="142">
        <v>2</v>
      </c>
      <c r="N31" s="142">
        <v>12</v>
      </c>
      <c r="W31" s="91"/>
      <c r="X31" s="62"/>
    </row>
    <row r="32" spans="6:24" ht="20.100000000000001" customHeight="1">
      <c r="F32" s="98"/>
      <c r="J32" s="139">
        <v>40</v>
      </c>
      <c r="K32" s="140" t="s">
        <v>141</v>
      </c>
      <c r="L32" s="141" t="s">
        <v>128</v>
      </c>
      <c r="M32" s="142">
        <v>2</v>
      </c>
      <c r="N32" s="142">
        <v>12</v>
      </c>
      <c r="W32" s="91"/>
      <c r="X32" s="62"/>
    </row>
    <row r="33" spans="6:24" ht="20.100000000000001" customHeight="1">
      <c r="F33" s="98"/>
      <c r="J33" s="139">
        <v>41</v>
      </c>
      <c r="K33" s="140" t="s">
        <v>142</v>
      </c>
      <c r="L33" s="141" t="s">
        <v>129</v>
      </c>
      <c r="M33" s="142">
        <v>6</v>
      </c>
      <c r="N33" s="142">
        <v>36</v>
      </c>
      <c r="W33" s="91"/>
      <c r="X33" s="62"/>
    </row>
    <row r="34" spans="6:24" ht="20.100000000000001" customHeight="1">
      <c r="F34" s="98"/>
      <c r="J34" s="139">
        <v>42</v>
      </c>
      <c r="K34" s="140" t="s">
        <v>143</v>
      </c>
      <c r="L34" s="141" t="s">
        <v>130</v>
      </c>
      <c r="M34" s="142">
        <v>4</v>
      </c>
      <c r="N34" s="142">
        <v>24</v>
      </c>
      <c r="W34" s="91"/>
      <c r="X34" s="62"/>
    </row>
    <row r="35" spans="6:24" ht="20.100000000000001" customHeight="1">
      <c r="F35" s="98"/>
      <c r="J35" s="139">
        <v>44</v>
      </c>
      <c r="K35" s="140" t="s">
        <v>144</v>
      </c>
      <c r="L35" s="141" t="s">
        <v>119</v>
      </c>
      <c r="M35" s="142">
        <v>4</v>
      </c>
      <c r="N35" s="142">
        <v>24</v>
      </c>
      <c r="W35" s="91"/>
      <c r="X35" s="62"/>
    </row>
    <row r="36" spans="6:24" ht="20.100000000000001" customHeight="1">
      <c r="F36" s="98"/>
      <c r="J36" s="139">
        <v>46</v>
      </c>
      <c r="K36" s="140" t="s">
        <v>145</v>
      </c>
      <c r="L36" s="141" t="s">
        <v>119</v>
      </c>
      <c r="M36" s="142">
        <v>4</v>
      </c>
      <c r="N36" s="142">
        <v>24</v>
      </c>
      <c r="W36" s="91"/>
      <c r="X36" s="62"/>
    </row>
    <row r="37" spans="6:24" ht="20.100000000000001" customHeight="1">
      <c r="F37" s="98"/>
      <c r="J37" s="139">
        <v>47</v>
      </c>
      <c r="K37" s="140" t="s">
        <v>146</v>
      </c>
      <c r="L37" s="141" t="s">
        <v>131</v>
      </c>
      <c r="M37" s="142">
        <v>6</v>
      </c>
      <c r="N37" s="142">
        <v>36</v>
      </c>
      <c r="W37" s="91"/>
      <c r="X37" s="62"/>
    </row>
    <row r="38" spans="6:24" ht="20.100000000000001" customHeight="1">
      <c r="F38" s="98"/>
      <c r="J38" s="139">
        <v>48</v>
      </c>
      <c r="K38" s="140" t="s">
        <v>147</v>
      </c>
      <c r="L38" s="141" t="s">
        <v>131</v>
      </c>
      <c r="M38" s="142">
        <v>6</v>
      </c>
      <c r="N38" s="142">
        <v>36</v>
      </c>
      <c r="W38" s="91"/>
      <c r="X38" s="62"/>
    </row>
    <row r="39" spans="6:24" ht="20.100000000000001" customHeight="1">
      <c r="F39" s="98"/>
      <c r="J39" s="168">
        <v>49</v>
      </c>
      <c r="K39" s="168" t="s">
        <v>148</v>
      </c>
      <c r="L39" s="141" t="s">
        <v>149</v>
      </c>
      <c r="M39" s="142">
        <v>8</v>
      </c>
      <c r="N39" s="142">
        <v>48</v>
      </c>
      <c r="W39" s="91"/>
      <c r="X39" s="62"/>
    </row>
    <row r="40" spans="6:24" ht="20.100000000000001" customHeight="1">
      <c r="F40" s="98"/>
      <c r="J40" s="168"/>
      <c r="K40" s="168"/>
      <c r="L40" s="141" t="s">
        <v>155</v>
      </c>
      <c r="M40" s="142">
        <v>4</v>
      </c>
      <c r="N40" s="142">
        <v>26.4</v>
      </c>
      <c r="W40" s="91"/>
      <c r="X40" s="62"/>
    </row>
    <row r="41" spans="6:24" ht="20.100000000000001" customHeight="1">
      <c r="F41" s="98"/>
      <c r="J41" s="168"/>
      <c r="K41" s="168"/>
      <c r="L41" s="146" t="s">
        <v>104</v>
      </c>
      <c r="M41" s="147" t="s">
        <v>105</v>
      </c>
      <c r="N41" s="148">
        <v>0.2</v>
      </c>
      <c r="W41" s="91"/>
      <c r="X41" s="62"/>
    </row>
    <row r="42" spans="6:24" ht="20.100000000000001" customHeight="1">
      <c r="F42" s="98"/>
      <c r="J42" s="168"/>
      <c r="K42" s="168"/>
      <c r="L42" s="151" t="s">
        <v>106</v>
      </c>
      <c r="M42" s="152" t="s">
        <v>103</v>
      </c>
      <c r="N42" s="153">
        <v>11</v>
      </c>
      <c r="W42" s="91"/>
      <c r="X42" s="62"/>
    </row>
    <row r="43" spans="6:24" ht="20.100000000000001" customHeight="1">
      <c r="F43" s="98"/>
      <c r="J43" s="169"/>
      <c r="K43" s="169"/>
      <c r="L43" s="155" t="s">
        <v>107</v>
      </c>
      <c r="M43" s="156" t="s">
        <v>103</v>
      </c>
      <c r="N43" s="157">
        <v>11</v>
      </c>
      <c r="W43" s="91"/>
      <c r="X43" s="62"/>
    </row>
    <row r="44" spans="6:24" ht="20.100000000000001" customHeight="1">
      <c r="F44" s="98"/>
      <c r="J44" s="119"/>
      <c r="K44" s="119" t="s">
        <v>108</v>
      </c>
      <c r="L44" s="120"/>
      <c r="M44" s="124">
        <f>SUM(M18:M40)</f>
        <v>100</v>
      </c>
      <c r="N44" s="124">
        <f>SUM(N18:N40)</f>
        <v>602.4</v>
      </c>
      <c r="W44" s="91"/>
      <c r="X44" s="62"/>
    </row>
    <row r="45" spans="6:24" ht="38.1" customHeight="1">
      <c r="F45" s="98"/>
      <c r="J45" s="91"/>
      <c r="L45" s="88"/>
      <c r="W45" s="91"/>
      <c r="X45" s="62"/>
    </row>
  </sheetData>
  <mergeCells count="23">
    <mergeCell ref="E1:I1"/>
    <mergeCell ref="M16:M17"/>
    <mergeCell ref="N16:N17"/>
    <mergeCell ref="X3:X4"/>
    <mergeCell ref="E2:I2"/>
    <mergeCell ref="W3:W4"/>
    <mergeCell ref="P3:Q3"/>
    <mergeCell ref="R3:S3"/>
    <mergeCell ref="T3:U3"/>
    <mergeCell ref="V3:V4"/>
    <mergeCell ref="L3:L4"/>
    <mergeCell ref="M3:M4"/>
    <mergeCell ref="N3:O3"/>
    <mergeCell ref="J3:K3"/>
    <mergeCell ref="K12:L12"/>
    <mergeCell ref="K13:L13"/>
    <mergeCell ref="K14:L14"/>
    <mergeCell ref="J39:J43"/>
    <mergeCell ref="K39:K43"/>
    <mergeCell ref="J16:J17"/>
    <mergeCell ref="K16:K17"/>
    <mergeCell ref="L16:L17"/>
    <mergeCell ref="K15:L15"/>
  </mergeCells>
  <phoneticPr fontId="5" type="noConversion"/>
  <pageMargins left="0.7" right="0.7" top="0.75" bottom="0.75" header="0.3" footer="0.3"/>
  <pageSetup paperSize="9" scale="36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5B19-35E1-4F33-9441-41BFC38FD977}">
  <sheetPr codeName="Sheet3">
    <pageSetUpPr fitToPage="1"/>
  </sheetPr>
  <dimension ref="A1:P31"/>
  <sheetViews>
    <sheetView zoomScale="85" zoomScaleNormal="85" workbookViewId="0">
      <selection activeCell="F34" sqref="F34"/>
    </sheetView>
  </sheetViews>
  <sheetFormatPr defaultRowHeight="16.5"/>
  <cols>
    <col min="1" max="1" width="8.875" style="123" customWidth="1"/>
    <col min="2" max="2" width="16.25" style="123" customWidth="1"/>
    <col min="3" max="3" width="25.25" style="123" customWidth="1"/>
    <col min="4" max="5" width="6.75" style="123" bestFit="1" customWidth="1"/>
    <col min="6" max="9" width="10.625" style="123" customWidth="1"/>
    <col min="10" max="13" width="10.625" style="123" hidden="1" customWidth="1"/>
    <col min="14" max="16" width="10.625" style="123" customWidth="1"/>
  </cols>
  <sheetData>
    <row r="1" spans="1:16" s="74" customFormat="1" ht="27" customHeight="1">
      <c r="A1" s="187" t="s">
        <v>92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</row>
    <row r="2" spans="1:16" s="74" customFormat="1" ht="30.75" customHeight="1">
      <c r="A2" s="189" t="s">
        <v>152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1"/>
    </row>
    <row r="3" spans="1:16" s="74" customFormat="1" ht="18" customHeight="1">
      <c r="A3" s="170" t="s">
        <v>109</v>
      </c>
      <c r="B3" s="171" t="s">
        <v>111</v>
      </c>
      <c r="C3" s="172" t="s">
        <v>93</v>
      </c>
      <c r="D3" s="174" t="s">
        <v>150</v>
      </c>
      <c r="E3" s="174" t="s">
        <v>151</v>
      </c>
      <c r="F3" s="192" t="s">
        <v>94</v>
      </c>
      <c r="G3" s="172"/>
      <c r="H3" s="172" t="s">
        <v>95</v>
      </c>
      <c r="I3" s="172"/>
      <c r="J3" s="193" t="s">
        <v>96</v>
      </c>
      <c r="K3" s="194"/>
      <c r="L3" s="193" t="s">
        <v>97</v>
      </c>
      <c r="M3" s="194"/>
      <c r="N3" s="192" t="s">
        <v>98</v>
      </c>
      <c r="O3" s="172"/>
      <c r="P3" s="195" t="s">
        <v>99</v>
      </c>
    </row>
    <row r="4" spans="1:16" s="74" customFormat="1" ht="18" customHeight="1">
      <c r="A4" s="170"/>
      <c r="B4" s="171"/>
      <c r="C4" s="172"/>
      <c r="D4" s="175"/>
      <c r="E4" s="175"/>
      <c r="F4" s="117" t="s">
        <v>100</v>
      </c>
      <c r="G4" s="117" t="s">
        <v>101</v>
      </c>
      <c r="H4" s="118" t="s">
        <v>100</v>
      </c>
      <c r="I4" s="117" t="s">
        <v>102</v>
      </c>
      <c r="J4" s="117"/>
      <c r="K4" s="117"/>
      <c r="L4" s="118" t="s">
        <v>100</v>
      </c>
      <c r="M4" s="117" t="s">
        <v>102</v>
      </c>
      <c r="N4" s="118" t="s">
        <v>100</v>
      </c>
      <c r="O4" s="117" t="s">
        <v>102</v>
      </c>
      <c r="P4" s="196"/>
    </row>
    <row r="5" spans="1:16" s="74" customFormat="1" ht="18" customHeight="1">
      <c r="A5" s="132">
        <v>21</v>
      </c>
      <c r="B5" s="133" t="s">
        <v>113</v>
      </c>
      <c r="C5" s="134" t="s">
        <v>112</v>
      </c>
      <c r="D5" s="135">
        <v>2</v>
      </c>
      <c r="E5" s="135">
        <v>12</v>
      </c>
      <c r="F5" s="136">
        <v>12859</v>
      </c>
      <c r="G5" s="137">
        <f>D5*F5</f>
        <v>25718</v>
      </c>
      <c r="H5" s="136">
        <v>2874</v>
      </c>
      <c r="I5" s="137">
        <f t="shared" ref="I5" si="0">E5*H5</f>
        <v>34488</v>
      </c>
      <c r="J5" s="137"/>
      <c r="K5" s="137"/>
      <c r="L5" s="137"/>
      <c r="M5" s="137"/>
      <c r="N5" s="137"/>
      <c r="O5" s="137">
        <f>G5+I5+K5+M5</f>
        <v>60206</v>
      </c>
      <c r="P5" s="138"/>
    </row>
    <row r="6" spans="1:16" s="74" customFormat="1" ht="18" customHeight="1">
      <c r="A6" s="139">
        <v>22</v>
      </c>
      <c r="B6" s="140" t="s">
        <v>114</v>
      </c>
      <c r="C6" s="141" t="s">
        <v>115</v>
      </c>
      <c r="D6" s="142">
        <v>4</v>
      </c>
      <c r="E6" s="142">
        <v>24</v>
      </c>
      <c r="F6" s="143">
        <v>12859</v>
      </c>
      <c r="G6" s="144">
        <f t="shared" ref="G6:G27" si="1">D6*F6</f>
        <v>51436</v>
      </c>
      <c r="H6" s="143">
        <v>2874</v>
      </c>
      <c r="I6" s="144">
        <f t="shared" ref="I6:I27" si="2">E6*H6</f>
        <v>68976</v>
      </c>
      <c r="J6" s="144"/>
      <c r="K6" s="144"/>
      <c r="L6" s="144"/>
      <c r="M6" s="144"/>
      <c r="N6" s="144"/>
      <c r="O6" s="144">
        <f t="shared" ref="O6" si="3">G6+I6+K6+M6</f>
        <v>120412</v>
      </c>
      <c r="P6" s="145"/>
    </row>
    <row r="7" spans="1:16" s="74" customFormat="1" ht="18" customHeight="1">
      <c r="A7" s="139">
        <v>23</v>
      </c>
      <c r="B7" s="140" t="s">
        <v>116</v>
      </c>
      <c r="C7" s="141" t="s">
        <v>117</v>
      </c>
      <c r="D7" s="142">
        <v>4</v>
      </c>
      <c r="E7" s="142">
        <v>24</v>
      </c>
      <c r="F7" s="143">
        <v>12859</v>
      </c>
      <c r="G7" s="144">
        <f t="shared" si="1"/>
        <v>51436</v>
      </c>
      <c r="H7" s="143">
        <v>2874</v>
      </c>
      <c r="I7" s="144">
        <f t="shared" si="2"/>
        <v>68976</v>
      </c>
      <c r="J7" s="144"/>
      <c r="K7" s="144"/>
      <c r="L7" s="144"/>
      <c r="M7" s="144"/>
      <c r="N7" s="144"/>
      <c r="O7" s="144">
        <f t="shared" ref="O7:O30" si="4">G7+I7+K7+M7</f>
        <v>120412</v>
      </c>
      <c r="P7" s="145"/>
    </row>
    <row r="8" spans="1:16" s="74" customFormat="1" ht="18" customHeight="1">
      <c r="A8" s="139">
        <v>24</v>
      </c>
      <c r="B8" s="140" t="s">
        <v>118</v>
      </c>
      <c r="C8" s="141" t="s">
        <v>119</v>
      </c>
      <c r="D8" s="142">
        <v>4</v>
      </c>
      <c r="E8" s="142">
        <v>24</v>
      </c>
      <c r="F8" s="143">
        <v>12859</v>
      </c>
      <c r="G8" s="144">
        <f t="shared" si="1"/>
        <v>51436</v>
      </c>
      <c r="H8" s="143">
        <v>2874</v>
      </c>
      <c r="I8" s="144">
        <f t="shared" si="2"/>
        <v>68976</v>
      </c>
      <c r="J8" s="144"/>
      <c r="K8" s="144"/>
      <c r="L8" s="144"/>
      <c r="M8" s="144"/>
      <c r="N8" s="144"/>
      <c r="O8" s="144">
        <f t="shared" si="4"/>
        <v>120412</v>
      </c>
      <c r="P8" s="145"/>
    </row>
    <row r="9" spans="1:16" s="74" customFormat="1" ht="18" customHeight="1">
      <c r="A9" s="139">
        <v>25</v>
      </c>
      <c r="B9" s="140" t="s">
        <v>120</v>
      </c>
      <c r="C9" s="141" t="s">
        <v>121</v>
      </c>
      <c r="D9" s="142">
        <v>8</v>
      </c>
      <c r="E9" s="142">
        <v>48</v>
      </c>
      <c r="F9" s="143">
        <v>12859</v>
      </c>
      <c r="G9" s="144">
        <f t="shared" si="1"/>
        <v>102872</v>
      </c>
      <c r="H9" s="143">
        <v>2874</v>
      </c>
      <c r="I9" s="144">
        <f t="shared" si="2"/>
        <v>137952</v>
      </c>
      <c r="J9" s="144"/>
      <c r="K9" s="144"/>
      <c r="L9" s="144"/>
      <c r="M9" s="144"/>
      <c r="N9" s="144"/>
      <c r="O9" s="144">
        <f t="shared" si="4"/>
        <v>240824</v>
      </c>
      <c r="P9" s="145"/>
    </row>
    <row r="10" spans="1:16" s="74" customFormat="1" ht="18" customHeight="1">
      <c r="A10" s="139">
        <v>29</v>
      </c>
      <c r="B10" s="140" t="s">
        <v>132</v>
      </c>
      <c r="C10" s="141" t="s">
        <v>122</v>
      </c>
      <c r="D10" s="142">
        <v>6</v>
      </c>
      <c r="E10" s="142">
        <v>36</v>
      </c>
      <c r="F10" s="143">
        <v>12859</v>
      </c>
      <c r="G10" s="144">
        <f t="shared" si="1"/>
        <v>77154</v>
      </c>
      <c r="H10" s="143">
        <v>2874</v>
      </c>
      <c r="I10" s="144">
        <f t="shared" si="2"/>
        <v>103464</v>
      </c>
      <c r="J10" s="144"/>
      <c r="K10" s="144"/>
      <c r="L10" s="144"/>
      <c r="M10" s="144"/>
      <c r="N10" s="144"/>
      <c r="O10" s="144">
        <f t="shared" si="4"/>
        <v>180618</v>
      </c>
      <c r="P10" s="145"/>
    </row>
    <row r="11" spans="1:16" s="74" customFormat="1" ht="18" customHeight="1">
      <c r="A11" s="139">
        <v>30</v>
      </c>
      <c r="B11" s="140" t="s">
        <v>133</v>
      </c>
      <c r="C11" s="141" t="s">
        <v>123</v>
      </c>
      <c r="D11" s="142">
        <v>6</v>
      </c>
      <c r="E11" s="142">
        <v>36</v>
      </c>
      <c r="F11" s="143">
        <v>12859</v>
      </c>
      <c r="G11" s="144">
        <f t="shared" si="1"/>
        <v>77154</v>
      </c>
      <c r="H11" s="143">
        <v>2874</v>
      </c>
      <c r="I11" s="144">
        <f t="shared" si="2"/>
        <v>103464</v>
      </c>
      <c r="J11" s="144"/>
      <c r="K11" s="144"/>
      <c r="L11" s="144"/>
      <c r="M11" s="144"/>
      <c r="N11" s="144"/>
      <c r="O11" s="144">
        <f t="shared" si="4"/>
        <v>180618</v>
      </c>
      <c r="P11" s="145"/>
    </row>
    <row r="12" spans="1:16" s="74" customFormat="1" ht="18" customHeight="1">
      <c r="A12" s="139">
        <v>31</v>
      </c>
      <c r="B12" s="140" t="s">
        <v>134</v>
      </c>
      <c r="C12" s="141" t="s">
        <v>124</v>
      </c>
      <c r="D12" s="142">
        <v>8</v>
      </c>
      <c r="E12" s="142">
        <v>48</v>
      </c>
      <c r="F12" s="143">
        <v>12859</v>
      </c>
      <c r="G12" s="144">
        <f t="shared" si="1"/>
        <v>102872</v>
      </c>
      <c r="H12" s="143">
        <v>2874</v>
      </c>
      <c r="I12" s="144">
        <f t="shared" si="2"/>
        <v>137952</v>
      </c>
      <c r="J12" s="144"/>
      <c r="K12" s="144"/>
      <c r="L12" s="144"/>
      <c r="M12" s="144"/>
      <c r="N12" s="144"/>
      <c r="O12" s="144">
        <f t="shared" si="4"/>
        <v>240824</v>
      </c>
      <c r="P12" s="145"/>
    </row>
    <row r="13" spans="1:16" s="74" customFormat="1" ht="18" customHeight="1">
      <c r="A13" s="139">
        <v>33</v>
      </c>
      <c r="B13" s="140" t="s">
        <v>135</v>
      </c>
      <c r="C13" s="141" t="s">
        <v>125</v>
      </c>
      <c r="D13" s="142">
        <v>2</v>
      </c>
      <c r="E13" s="142">
        <v>12</v>
      </c>
      <c r="F13" s="143">
        <v>12859</v>
      </c>
      <c r="G13" s="144">
        <f t="shared" si="1"/>
        <v>25718</v>
      </c>
      <c r="H13" s="143">
        <v>2874</v>
      </c>
      <c r="I13" s="144">
        <f t="shared" si="2"/>
        <v>34488</v>
      </c>
      <c r="J13" s="144"/>
      <c r="K13" s="144"/>
      <c r="L13" s="144"/>
      <c r="M13" s="144"/>
      <c r="N13" s="144"/>
      <c r="O13" s="144">
        <f t="shared" si="4"/>
        <v>60206</v>
      </c>
      <c r="P13" s="145"/>
    </row>
    <row r="14" spans="1:16" s="74" customFormat="1" ht="18" customHeight="1">
      <c r="A14" s="139">
        <v>34</v>
      </c>
      <c r="B14" s="140" t="s">
        <v>136</v>
      </c>
      <c r="C14" s="141" t="s">
        <v>125</v>
      </c>
      <c r="D14" s="142">
        <v>2</v>
      </c>
      <c r="E14" s="142">
        <v>12</v>
      </c>
      <c r="F14" s="143">
        <v>12859</v>
      </c>
      <c r="G14" s="144">
        <f t="shared" si="1"/>
        <v>25718</v>
      </c>
      <c r="H14" s="143">
        <v>2874</v>
      </c>
      <c r="I14" s="144">
        <f t="shared" si="2"/>
        <v>34488</v>
      </c>
      <c r="J14" s="144"/>
      <c r="K14" s="144"/>
      <c r="L14" s="144"/>
      <c r="M14" s="144"/>
      <c r="N14" s="144"/>
      <c r="O14" s="144">
        <f t="shared" si="4"/>
        <v>60206</v>
      </c>
      <c r="P14" s="145"/>
    </row>
    <row r="15" spans="1:16" s="74" customFormat="1" ht="18" customHeight="1">
      <c r="A15" s="139">
        <v>35</v>
      </c>
      <c r="B15" s="140" t="s">
        <v>137</v>
      </c>
      <c r="C15" s="141" t="s">
        <v>119</v>
      </c>
      <c r="D15" s="142">
        <v>4</v>
      </c>
      <c r="E15" s="142">
        <v>24</v>
      </c>
      <c r="F15" s="143">
        <v>12859</v>
      </c>
      <c r="G15" s="144">
        <f t="shared" si="1"/>
        <v>51436</v>
      </c>
      <c r="H15" s="143">
        <v>2874</v>
      </c>
      <c r="I15" s="144">
        <f t="shared" si="2"/>
        <v>68976</v>
      </c>
      <c r="J15" s="144"/>
      <c r="K15" s="144"/>
      <c r="L15" s="144"/>
      <c r="M15" s="144"/>
      <c r="N15" s="144"/>
      <c r="O15" s="144">
        <f t="shared" si="4"/>
        <v>120412</v>
      </c>
      <c r="P15" s="145"/>
    </row>
    <row r="16" spans="1:16" s="74" customFormat="1" ht="18" customHeight="1">
      <c r="A16" s="139">
        <v>36</v>
      </c>
      <c r="B16" s="140" t="s">
        <v>138</v>
      </c>
      <c r="C16" s="141" t="s">
        <v>126</v>
      </c>
      <c r="D16" s="142">
        <v>2</v>
      </c>
      <c r="E16" s="142">
        <v>12</v>
      </c>
      <c r="F16" s="143">
        <v>12859</v>
      </c>
      <c r="G16" s="144">
        <f t="shared" si="1"/>
        <v>25718</v>
      </c>
      <c r="H16" s="143">
        <v>2874</v>
      </c>
      <c r="I16" s="144">
        <f t="shared" si="2"/>
        <v>34488</v>
      </c>
      <c r="J16" s="144"/>
      <c r="K16" s="144"/>
      <c r="L16" s="144"/>
      <c r="M16" s="144"/>
      <c r="N16" s="144"/>
      <c r="O16" s="144">
        <f t="shared" si="4"/>
        <v>60206</v>
      </c>
      <c r="P16" s="145"/>
    </row>
    <row r="17" spans="1:16" s="74" customFormat="1" ht="18" customHeight="1">
      <c r="A17" s="139">
        <v>37</v>
      </c>
      <c r="B17" s="140" t="s">
        <v>139</v>
      </c>
      <c r="C17" s="141" t="s">
        <v>127</v>
      </c>
      <c r="D17" s="142">
        <v>2</v>
      </c>
      <c r="E17" s="142">
        <v>12</v>
      </c>
      <c r="F17" s="143">
        <v>12859</v>
      </c>
      <c r="G17" s="144">
        <f t="shared" si="1"/>
        <v>25718</v>
      </c>
      <c r="H17" s="143">
        <v>2874</v>
      </c>
      <c r="I17" s="144">
        <f t="shared" si="2"/>
        <v>34488</v>
      </c>
      <c r="J17" s="144"/>
      <c r="K17" s="144"/>
      <c r="L17" s="144"/>
      <c r="M17" s="144"/>
      <c r="N17" s="144"/>
      <c r="O17" s="144">
        <f t="shared" si="4"/>
        <v>60206</v>
      </c>
      <c r="P17" s="145"/>
    </row>
    <row r="18" spans="1:16" s="74" customFormat="1" ht="18" customHeight="1">
      <c r="A18" s="139">
        <v>38</v>
      </c>
      <c r="B18" s="140" t="s">
        <v>140</v>
      </c>
      <c r="C18" s="141" t="s">
        <v>112</v>
      </c>
      <c r="D18" s="142">
        <v>2</v>
      </c>
      <c r="E18" s="142">
        <v>12</v>
      </c>
      <c r="F18" s="143">
        <v>12859</v>
      </c>
      <c r="G18" s="144">
        <f t="shared" si="1"/>
        <v>25718</v>
      </c>
      <c r="H18" s="143">
        <v>2874</v>
      </c>
      <c r="I18" s="144">
        <f t="shared" si="2"/>
        <v>34488</v>
      </c>
      <c r="J18" s="144"/>
      <c r="K18" s="144"/>
      <c r="L18" s="144"/>
      <c r="M18" s="144"/>
      <c r="N18" s="144"/>
      <c r="O18" s="144">
        <f t="shared" si="4"/>
        <v>60206</v>
      </c>
      <c r="P18" s="145"/>
    </row>
    <row r="19" spans="1:16" s="74" customFormat="1" ht="18" customHeight="1">
      <c r="A19" s="139">
        <v>40</v>
      </c>
      <c r="B19" s="140" t="s">
        <v>141</v>
      </c>
      <c r="C19" s="141" t="s">
        <v>128</v>
      </c>
      <c r="D19" s="142">
        <v>2</v>
      </c>
      <c r="E19" s="142">
        <v>12</v>
      </c>
      <c r="F19" s="143">
        <v>12859</v>
      </c>
      <c r="G19" s="144">
        <f t="shared" si="1"/>
        <v>25718</v>
      </c>
      <c r="H19" s="143">
        <v>2874</v>
      </c>
      <c r="I19" s="144">
        <f t="shared" si="2"/>
        <v>34488</v>
      </c>
      <c r="J19" s="144"/>
      <c r="K19" s="144"/>
      <c r="L19" s="144"/>
      <c r="M19" s="144"/>
      <c r="N19" s="144"/>
      <c r="O19" s="144">
        <f t="shared" si="4"/>
        <v>60206</v>
      </c>
      <c r="P19" s="145"/>
    </row>
    <row r="20" spans="1:16" s="74" customFormat="1" ht="18" customHeight="1">
      <c r="A20" s="139">
        <v>41</v>
      </c>
      <c r="B20" s="140" t="s">
        <v>142</v>
      </c>
      <c r="C20" s="141" t="s">
        <v>129</v>
      </c>
      <c r="D20" s="142">
        <v>6</v>
      </c>
      <c r="E20" s="142">
        <v>36</v>
      </c>
      <c r="F20" s="143">
        <v>12859</v>
      </c>
      <c r="G20" s="144">
        <f t="shared" si="1"/>
        <v>77154</v>
      </c>
      <c r="H20" s="143">
        <v>2874</v>
      </c>
      <c r="I20" s="144">
        <f t="shared" si="2"/>
        <v>103464</v>
      </c>
      <c r="J20" s="144"/>
      <c r="K20" s="144"/>
      <c r="L20" s="144"/>
      <c r="M20" s="144"/>
      <c r="N20" s="144"/>
      <c r="O20" s="144">
        <f t="shared" si="4"/>
        <v>180618</v>
      </c>
      <c r="P20" s="145"/>
    </row>
    <row r="21" spans="1:16" s="74" customFormat="1" ht="18" customHeight="1">
      <c r="A21" s="139">
        <v>42</v>
      </c>
      <c r="B21" s="140" t="s">
        <v>143</v>
      </c>
      <c r="C21" s="141" t="s">
        <v>130</v>
      </c>
      <c r="D21" s="142">
        <v>4</v>
      </c>
      <c r="E21" s="142">
        <v>24</v>
      </c>
      <c r="F21" s="143">
        <v>12859</v>
      </c>
      <c r="G21" s="144">
        <f t="shared" si="1"/>
        <v>51436</v>
      </c>
      <c r="H21" s="143">
        <v>2874</v>
      </c>
      <c r="I21" s="144">
        <f t="shared" si="2"/>
        <v>68976</v>
      </c>
      <c r="J21" s="144"/>
      <c r="K21" s="144"/>
      <c r="L21" s="144"/>
      <c r="M21" s="144"/>
      <c r="N21" s="144"/>
      <c r="O21" s="144">
        <f t="shared" si="4"/>
        <v>120412</v>
      </c>
      <c r="P21" s="145"/>
    </row>
    <row r="22" spans="1:16" s="74" customFormat="1" ht="18" customHeight="1">
      <c r="A22" s="139">
        <v>44</v>
      </c>
      <c r="B22" s="140" t="s">
        <v>144</v>
      </c>
      <c r="C22" s="141" t="s">
        <v>119</v>
      </c>
      <c r="D22" s="142">
        <v>4</v>
      </c>
      <c r="E22" s="142">
        <v>24</v>
      </c>
      <c r="F22" s="143">
        <v>12859</v>
      </c>
      <c r="G22" s="144">
        <f t="shared" si="1"/>
        <v>51436</v>
      </c>
      <c r="H22" s="143">
        <v>2874</v>
      </c>
      <c r="I22" s="144">
        <f t="shared" si="2"/>
        <v>68976</v>
      </c>
      <c r="J22" s="144"/>
      <c r="K22" s="144"/>
      <c r="L22" s="144"/>
      <c r="M22" s="144"/>
      <c r="N22" s="144"/>
      <c r="O22" s="144">
        <f t="shared" si="4"/>
        <v>120412</v>
      </c>
      <c r="P22" s="145"/>
    </row>
    <row r="23" spans="1:16" s="74" customFormat="1" ht="18" customHeight="1">
      <c r="A23" s="139">
        <v>46</v>
      </c>
      <c r="B23" s="140" t="s">
        <v>145</v>
      </c>
      <c r="C23" s="141" t="s">
        <v>119</v>
      </c>
      <c r="D23" s="142">
        <v>4</v>
      </c>
      <c r="E23" s="142">
        <v>24</v>
      </c>
      <c r="F23" s="143">
        <v>12859</v>
      </c>
      <c r="G23" s="144">
        <f t="shared" si="1"/>
        <v>51436</v>
      </c>
      <c r="H23" s="143">
        <v>2874</v>
      </c>
      <c r="I23" s="144">
        <f t="shared" si="2"/>
        <v>68976</v>
      </c>
      <c r="J23" s="144"/>
      <c r="K23" s="144"/>
      <c r="L23" s="144"/>
      <c r="M23" s="144"/>
      <c r="N23" s="144"/>
      <c r="O23" s="144">
        <f t="shared" si="4"/>
        <v>120412</v>
      </c>
      <c r="P23" s="145"/>
    </row>
    <row r="24" spans="1:16" s="74" customFormat="1" ht="18" customHeight="1">
      <c r="A24" s="139">
        <v>47</v>
      </c>
      <c r="B24" s="140" t="s">
        <v>146</v>
      </c>
      <c r="C24" s="141" t="s">
        <v>131</v>
      </c>
      <c r="D24" s="142">
        <v>6</v>
      </c>
      <c r="E24" s="142">
        <v>36</v>
      </c>
      <c r="F24" s="143">
        <v>12859</v>
      </c>
      <c r="G24" s="144">
        <f t="shared" si="1"/>
        <v>77154</v>
      </c>
      <c r="H24" s="143">
        <v>2874</v>
      </c>
      <c r="I24" s="144">
        <f t="shared" si="2"/>
        <v>103464</v>
      </c>
      <c r="J24" s="144"/>
      <c r="K24" s="144"/>
      <c r="L24" s="144"/>
      <c r="M24" s="144"/>
      <c r="N24" s="144"/>
      <c r="O24" s="144">
        <f t="shared" si="4"/>
        <v>180618</v>
      </c>
      <c r="P24" s="145"/>
    </row>
    <row r="25" spans="1:16" s="74" customFormat="1" ht="18" customHeight="1">
      <c r="A25" s="139">
        <v>48</v>
      </c>
      <c r="B25" s="140" t="s">
        <v>147</v>
      </c>
      <c r="C25" s="141" t="s">
        <v>131</v>
      </c>
      <c r="D25" s="142">
        <v>6</v>
      </c>
      <c r="E25" s="142">
        <v>36</v>
      </c>
      <c r="F25" s="143">
        <v>12859</v>
      </c>
      <c r="G25" s="144">
        <f t="shared" si="1"/>
        <v>77154</v>
      </c>
      <c r="H25" s="143">
        <v>2874</v>
      </c>
      <c r="I25" s="144">
        <f t="shared" si="2"/>
        <v>103464</v>
      </c>
      <c r="J25" s="144"/>
      <c r="K25" s="144"/>
      <c r="L25" s="144"/>
      <c r="M25" s="144"/>
      <c r="N25" s="144"/>
      <c r="O25" s="144">
        <f t="shared" si="4"/>
        <v>180618</v>
      </c>
      <c r="P25" s="145"/>
    </row>
    <row r="26" spans="1:16" s="74" customFormat="1" ht="18" customHeight="1">
      <c r="A26" s="168">
        <v>49</v>
      </c>
      <c r="B26" s="168" t="s">
        <v>148</v>
      </c>
      <c r="C26" s="141" t="s">
        <v>149</v>
      </c>
      <c r="D26" s="142">
        <v>8</v>
      </c>
      <c r="E26" s="142">
        <v>48</v>
      </c>
      <c r="F26" s="143">
        <v>12859</v>
      </c>
      <c r="G26" s="144">
        <f t="shared" si="1"/>
        <v>102872</v>
      </c>
      <c r="H26" s="143">
        <v>2874</v>
      </c>
      <c r="I26" s="144">
        <f t="shared" si="2"/>
        <v>137952</v>
      </c>
      <c r="J26" s="144"/>
      <c r="K26" s="144"/>
      <c r="L26" s="144"/>
      <c r="M26" s="144"/>
      <c r="N26" s="144"/>
      <c r="O26" s="144">
        <f t="shared" si="4"/>
        <v>240824</v>
      </c>
      <c r="P26" s="188"/>
    </row>
    <row r="27" spans="1:16" s="74" customFormat="1" ht="18" customHeight="1">
      <c r="A27" s="168"/>
      <c r="B27" s="168"/>
      <c r="C27" s="141" t="s">
        <v>155</v>
      </c>
      <c r="D27" s="142">
        <v>4</v>
      </c>
      <c r="E27" s="142">
        <v>26.4</v>
      </c>
      <c r="F27" s="143">
        <v>12859</v>
      </c>
      <c r="G27" s="144">
        <f t="shared" si="1"/>
        <v>51436</v>
      </c>
      <c r="H27" s="143">
        <v>2874</v>
      </c>
      <c r="I27" s="144">
        <f t="shared" si="2"/>
        <v>75873.599999999991</v>
      </c>
      <c r="J27" s="144"/>
      <c r="K27" s="144"/>
      <c r="L27" s="144"/>
      <c r="M27" s="144"/>
      <c r="N27" s="144"/>
      <c r="O27" s="144">
        <f t="shared" si="4"/>
        <v>127309.59999999999</v>
      </c>
      <c r="P27" s="188"/>
    </row>
    <row r="28" spans="1:16" s="74" customFormat="1" ht="18" customHeight="1">
      <c r="A28" s="168"/>
      <c r="B28" s="168"/>
      <c r="C28" s="146" t="s">
        <v>104</v>
      </c>
      <c r="D28" s="147" t="s">
        <v>105</v>
      </c>
      <c r="E28" s="148">
        <v>0.2</v>
      </c>
      <c r="F28" s="143">
        <v>54693</v>
      </c>
      <c r="G28" s="149">
        <f>E28*F28</f>
        <v>10938.6</v>
      </c>
      <c r="H28" s="143"/>
      <c r="I28" s="144"/>
      <c r="J28" s="144"/>
      <c r="K28" s="144"/>
      <c r="L28" s="144"/>
      <c r="M28" s="144"/>
      <c r="N28" s="144"/>
      <c r="O28" s="150">
        <f t="shared" si="4"/>
        <v>10938.6</v>
      </c>
      <c r="P28" s="145"/>
    </row>
    <row r="29" spans="1:16" s="74" customFormat="1" ht="18" customHeight="1">
      <c r="A29" s="168"/>
      <c r="B29" s="168"/>
      <c r="C29" s="151" t="s">
        <v>106</v>
      </c>
      <c r="D29" s="152" t="s">
        <v>103</v>
      </c>
      <c r="E29" s="153">
        <v>11</v>
      </c>
      <c r="F29" s="150"/>
      <c r="G29" s="150">
        <f>E29*F29</f>
        <v>0</v>
      </c>
      <c r="H29" s="154">
        <v>8978</v>
      </c>
      <c r="I29" s="150">
        <f t="shared" ref="I29:I30" si="5">E29*H29</f>
        <v>98758</v>
      </c>
      <c r="J29" s="150"/>
      <c r="K29" s="150"/>
      <c r="L29" s="150"/>
      <c r="M29" s="150"/>
      <c r="N29" s="150"/>
      <c r="O29" s="150">
        <f t="shared" si="4"/>
        <v>98758</v>
      </c>
      <c r="P29" s="145"/>
    </row>
    <row r="30" spans="1:16" s="74" customFormat="1" ht="18" customHeight="1">
      <c r="A30" s="169"/>
      <c r="B30" s="169"/>
      <c r="C30" s="155" t="s">
        <v>107</v>
      </c>
      <c r="D30" s="156" t="s">
        <v>103</v>
      </c>
      <c r="E30" s="157">
        <v>11</v>
      </c>
      <c r="F30" s="158"/>
      <c r="G30" s="158">
        <f t="shared" ref="G30" si="6">E30*F30</f>
        <v>0</v>
      </c>
      <c r="H30" s="159">
        <v>5317</v>
      </c>
      <c r="I30" s="158">
        <f t="shared" si="5"/>
        <v>58487</v>
      </c>
      <c r="J30" s="158"/>
      <c r="K30" s="158"/>
      <c r="L30" s="158"/>
      <c r="M30" s="158"/>
      <c r="N30" s="158"/>
      <c r="O30" s="158">
        <f t="shared" si="4"/>
        <v>58487</v>
      </c>
      <c r="P30" s="160"/>
    </row>
    <row r="31" spans="1:16" s="74" customFormat="1" ht="18" customHeight="1">
      <c r="A31" s="119"/>
      <c r="B31" s="119" t="s">
        <v>108</v>
      </c>
      <c r="C31" s="120"/>
      <c r="D31" s="124">
        <f>SUM(D5:D27)</f>
        <v>100</v>
      </c>
      <c r="E31" s="124">
        <f>SUM(E5:E27)</f>
        <v>602.4</v>
      </c>
      <c r="F31" s="121"/>
      <c r="G31" s="125">
        <f>SUM(G5:G30)</f>
        <v>1296838.6000000001</v>
      </c>
      <c r="H31" s="122"/>
      <c r="I31" s="125">
        <f>SUM(I5:I30)</f>
        <v>1888542.6</v>
      </c>
      <c r="J31" s="121"/>
      <c r="K31" s="122" t="e">
        <f>#REF!+#REF!+#REF!+#REF!</f>
        <v>#REF!</v>
      </c>
      <c r="L31" s="121"/>
      <c r="M31" s="122" t="e">
        <f>#REF!+#REF!+#REF!+#REF!</f>
        <v>#REF!</v>
      </c>
      <c r="N31" s="121"/>
      <c r="O31" s="125">
        <f>SUM(O5:O30)</f>
        <v>3185381.2</v>
      </c>
      <c r="P31" s="121"/>
    </row>
  </sheetData>
  <mergeCells count="16">
    <mergeCell ref="A1:P1"/>
    <mergeCell ref="A26:A30"/>
    <mergeCell ref="B26:B30"/>
    <mergeCell ref="P26:P27"/>
    <mergeCell ref="A2:P2"/>
    <mergeCell ref="A3:A4"/>
    <mergeCell ref="C3:C4"/>
    <mergeCell ref="E3:E4"/>
    <mergeCell ref="F3:G3"/>
    <mergeCell ref="H3:I3"/>
    <mergeCell ref="J3:K3"/>
    <mergeCell ref="L3:M3"/>
    <mergeCell ref="N3:O3"/>
    <mergeCell ref="D3:D4"/>
    <mergeCell ref="P3:P4"/>
    <mergeCell ref="B3:B4"/>
  </mergeCells>
  <phoneticPr fontId="5" type="noConversion"/>
  <pageMargins left="0.7" right="0.7" top="0.75" bottom="0.75" header="0.3" footer="0.3"/>
  <pageSetup paperSize="9" scale="83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7"/>
  <sheetViews>
    <sheetView showGridLines="0" zoomScaleNormal="100" workbookViewId="0">
      <selection activeCell="I20" sqref="I20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4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'내역서(표준단가)'!E5</f>
        <v>M020414115290101</v>
      </c>
      <c r="B2" s="78">
        <f>'내역서(표준단가)'!F5</f>
        <v>0</v>
      </c>
      <c r="C2" s="78">
        <f>'내역서(표준단가)'!G5</f>
        <v>0</v>
      </c>
      <c r="D2" s="78" t="str">
        <f>'내역서(표준단가)'!H5</f>
        <v>M020414115290101</v>
      </c>
      <c r="E2" s="78">
        <f>'내역서(표준단가)'!I5</f>
        <v>0</v>
      </c>
      <c r="F2" s="79">
        <f>'내역서(표준단가)'!M5</f>
        <v>100</v>
      </c>
    </row>
    <row r="3" spans="1:6">
      <c r="A3" s="77" t="str">
        <f>'내역서(표준단가)'!E6</f>
        <v>E00000803061300101</v>
      </c>
      <c r="B3" s="78">
        <f>'내역서(표준단가)'!F6</f>
        <v>0</v>
      </c>
      <c r="C3" s="78" t="str">
        <f>'내역서(표준단가)'!G6</f>
        <v>E00000803061300101</v>
      </c>
      <c r="D3" s="78">
        <f>'내역서(표준단가)'!H6</f>
        <v>0</v>
      </c>
      <c r="E3" s="78">
        <f>'내역서(표준단가)'!I6</f>
        <v>0</v>
      </c>
      <c r="F3" s="79">
        <f>'내역서(표준단가)'!M6</f>
        <v>576</v>
      </c>
    </row>
    <row r="4" spans="1:6">
      <c r="A4" s="77" t="str">
        <f>'내역서(표준단가)'!E7</f>
        <v>E00000803061300101</v>
      </c>
      <c r="B4" s="78">
        <f>'내역서(표준단가)'!F7</f>
        <v>0</v>
      </c>
      <c r="C4" s="78" t="str">
        <f>'내역서(표준단가)'!G7</f>
        <v>E00000803061300101</v>
      </c>
      <c r="D4" s="78">
        <f>'내역서(표준단가)'!H7</f>
        <v>0</v>
      </c>
      <c r="E4" s="78">
        <f>'내역서(표준단가)'!I7</f>
        <v>0</v>
      </c>
      <c r="F4" s="79">
        <f>'내역서(표준단가)'!M7</f>
        <v>26.4</v>
      </c>
    </row>
    <row r="5" spans="1:6">
      <c r="A5" s="77" t="str">
        <f>'내역서(표준단가)'!E8</f>
        <v>M020412614110102</v>
      </c>
      <c r="B5" s="78">
        <f>'내역서(표준단가)'!F8</f>
        <v>0</v>
      </c>
      <c r="C5" s="78">
        <f>'내역서(표준단가)'!G8</f>
        <v>0</v>
      </c>
      <c r="D5" s="78" t="str">
        <f>'내역서(표준단가)'!H8</f>
        <v>M020412614110102</v>
      </c>
      <c r="E5" s="78">
        <f>'내역서(표준단가)'!I8</f>
        <v>0</v>
      </c>
      <c r="F5" s="79">
        <f>'내역서(표준단가)'!M8</f>
        <v>0.2</v>
      </c>
    </row>
    <row r="6" spans="1:6">
      <c r="A6" s="77" t="str">
        <f>'내역서(표준단가)'!E9</f>
        <v>E00000803061120402</v>
      </c>
      <c r="B6" s="78">
        <f>'내역서(표준단가)'!F9</f>
        <v>0</v>
      </c>
      <c r="C6" s="78" t="str">
        <f>'내역서(표준단가)'!G9</f>
        <v>E00000803061120402</v>
      </c>
      <c r="D6" s="78">
        <f>'내역서(표준단가)'!H9</f>
        <v>0</v>
      </c>
      <c r="E6" s="78">
        <f>'내역서(표준단가)'!I9</f>
        <v>0</v>
      </c>
      <c r="F6" s="79">
        <f>'내역서(표준단가)'!M9</f>
        <v>11</v>
      </c>
    </row>
    <row r="7" spans="1:6">
      <c r="A7" s="77" t="str">
        <f>'내역서(표준단가)'!E10</f>
        <v>E00000803061300201</v>
      </c>
      <c r="B7" s="78">
        <f>'내역서(표준단가)'!F10</f>
        <v>0</v>
      </c>
      <c r="C7" s="78" t="str">
        <f>'내역서(표준단가)'!G10</f>
        <v>E00000803061300201</v>
      </c>
      <c r="D7" s="78">
        <f>'내역서(표준단가)'!H10</f>
        <v>0</v>
      </c>
      <c r="E7" s="78">
        <f>'내역서(표준단가)'!I10</f>
        <v>0</v>
      </c>
      <c r="F7" s="79">
        <f>'내역서(표준단가)'!M10</f>
        <v>11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CBC07-0BB5-46CB-B98E-979C59182194}">
  <sheetPr codeName="Sheet4"/>
  <dimension ref="A1"/>
  <sheetViews>
    <sheetView topLeftCell="A4" zoomScale="85" zoomScaleNormal="85" workbookViewId="0">
      <selection activeCell="J26" sqref="J26"/>
    </sheetView>
  </sheetViews>
  <sheetFormatPr defaultRowHeight="14.25"/>
  <cols>
    <col min="1" max="16384" width="9" style="74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F0EAD-947A-4509-94E0-ABD58C874BAC}">
  <sheetPr codeName="Sheet5"/>
  <dimension ref="A1"/>
  <sheetViews>
    <sheetView zoomScale="81" zoomScaleNormal="81" workbookViewId="0">
      <selection activeCell="Z40" sqref="Z40"/>
    </sheetView>
  </sheetViews>
  <sheetFormatPr defaultRowHeight="16.5"/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갑지</vt:lpstr>
      <vt:lpstr>내역서(표준단가)</vt:lpstr>
      <vt:lpstr>상세내역</vt:lpstr>
      <vt:lpstr>Upload</vt:lpstr>
      <vt:lpstr>도면</vt:lpstr>
      <vt:lpstr>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2026-01-27T04:29:03Z</cp:lastPrinted>
  <dcterms:created xsi:type="dcterms:W3CDTF">2020-09-15T23:52:51Z</dcterms:created>
  <dcterms:modified xsi:type="dcterms:W3CDTF">2026-01-29T07:02:14Z</dcterms:modified>
</cp:coreProperties>
</file>
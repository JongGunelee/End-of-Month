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6520BA0B-2D37-4DCF-AD4D-A3CE033444D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5" i="4"/>
  <c r="K16" i="4" l="1"/>
  <c r="M15" i="4"/>
  <c r="M14" i="4"/>
  <c r="M13" i="4"/>
  <c r="M12" i="4"/>
  <c r="M11" i="4"/>
  <c r="Q16" i="4" l="1"/>
  <c r="O16" i="4"/>
  <c r="M6" i="4"/>
  <c r="Q10" i="4"/>
  <c r="O10" i="4"/>
  <c r="M10" i="4"/>
  <c r="K10" i="4"/>
  <c r="Q7" i="4"/>
  <c r="O7" i="4"/>
  <c r="M7" i="4"/>
  <c r="K7" i="4"/>
  <c r="Q5" i="4"/>
  <c r="O5" i="4"/>
  <c r="K5" i="4"/>
  <c r="R5" i="4" l="1"/>
  <c r="R7" i="4"/>
  <c r="R10" i="4"/>
  <c r="R16" i="4"/>
  <c r="A16" i="4" l="1"/>
  <c r="A13" i="1" s="1"/>
  <c r="Q15" i="4"/>
  <c r="O15" i="4"/>
  <c r="K15" i="4"/>
  <c r="A15" i="4"/>
  <c r="A12" i="1" s="1"/>
  <c r="Q14" i="4"/>
  <c r="O14" i="4"/>
  <c r="K14" i="4"/>
  <c r="A14" i="4"/>
  <c r="A11" i="1" s="1"/>
  <c r="Q13" i="4"/>
  <c r="O13" i="4"/>
  <c r="K13" i="4"/>
  <c r="A13" i="4"/>
  <c r="A10" i="1" s="1"/>
  <c r="Q12" i="4"/>
  <c r="O12" i="4"/>
  <c r="K12" i="4"/>
  <c r="A12" i="4"/>
  <c r="A9" i="1" s="1"/>
  <c r="Q11" i="4"/>
  <c r="O11" i="4"/>
  <c r="K11" i="4"/>
  <c r="A11" i="4"/>
  <c r="A8" i="1" s="1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A7" i="4"/>
  <c r="A4" i="1" s="1"/>
  <c r="Q6" i="4"/>
  <c r="O6" i="4"/>
  <c r="K6" i="4"/>
  <c r="A6" i="4"/>
  <c r="A3" i="1" s="1"/>
  <c r="R8" i="4" l="1"/>
  <c r="R12" i="4"/>
  <c r="R9" i="4"/>
  <c r="R13" i="4"/>
  <c r="R6" i="4"/>
  <c r="R14" i="4"/>
  <c r="R11" i="4"/>
  <c r="R15" i="4"/>
  <c r="A5" i="4" l="1"/>
  <c r="F2" i="1" l="1"/>
  <c r="E2" i="1"/>
  <c r="D2" i="1"/>
  <c r="C2" i="1"/>
  <c r="B2" i="1"/>
  <c r="A2" i="1"/>
  <c r="Q17" i="4" l="1"/>
  <c r="M17" i="4"/>
  <c r="O17" i="4" l="1"/>
  <c r="R17" i="4" l="1"/>
  <c r="F18" i="5" l="1"/>
  <c r="K17" i="4" l="1"/>
  <c r="F17" i="5" l="1"/>
  <c r="F16" i="5"/>
  <c r="F22" i="5" l="1"/>
  <c r="F21" i="5"/>
  <c r="F26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<sst xmlns="http://schemas.openxmlformats.org/spreadsheetml/2006/main" count="148" uniqueCount="110">
  <si>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</si>
  <si>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</si>
  <si>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</si>
  <si>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</si>
  <si>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</si>
  <si>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</si>
  <si>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</si>
  <si>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</si>
  <si>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</si>
  <si>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</si>
  <si>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</si>
  <si>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</si>
  <si>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</si>
  <si>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</si>
  <si>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</si>
  <si>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</si>
  <si>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</si>
  <si>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</si>
  <si>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</si>
  <si>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</si>
  <si>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</si>
  <si>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</si>
  <si>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</si>
  <si>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</si>
  <si>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</si>
  <si>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</si>
  <si>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</si>
  <si>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</si>
  <si>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</si>
  <si>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</si>
  <si>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</si>
  <si>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</si>
  <si>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</si>
  <si>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</si>
  <si>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</si>
  <si>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</si>
  <si>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</si>
  <si>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</si>
  <si>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</si>
  <si>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</si>
  <si>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</si>
  <si>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</si>
  <si>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</si>
  <si>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</si>
  <si>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</si>
  <si>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</si>
  <si>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</si>
  <si>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</si>
  <si>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</si>
  <si>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</si>
  <si>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</si>
  <si>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</si>
  <si>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</si>
  <si>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</si>
  <si>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</si>
  <si>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</si>
  <si>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</si>
  <si>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</si>
  <si>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L003</t>
  </si>
  <si>
    <t>반자틀</t>
  </si>
  <si>
    <t>목조·칸막이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</si>
  <si>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</si>
  <si>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</si>
  <si>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</si>
  <si>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</si>
  <si>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</si>
  <si>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</si>
  <si>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</si>
  <si>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</si>
  <si>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</si>
  <si>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</si>
  <si>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</si>
  <si>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</si>
  <si>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</si>
  <si>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</si>
  <si>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</si>
  <si>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</si>
  <si>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</si>
  <si>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</si>
  <si>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</si>
  <si>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</si>
  <si>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M020750510130104</t>
  </si>
  <si>
    <t>E00000803066470202</t>
  </si>
  <si>
    <t>M020750510120102</t>
  </si>
  <si>
    <t>에너폴</t>
  </si>
  <si>
    <t>붙박이장 설치 및 부자재 포함</t>
  </si>
  <si>
    <t>STEEL CONCORE PANEL 기준, (소운반비별도), 적용</t>
  </si>
  <si>
    <t>에너폴(태화론 TW-06, 6㎜×1M×50M단면-점착 대체)</t>
  </si>
  <si>
    <t>안방,작은방 붙박이장 철거</t>
  </si>
  <si>
    <t>석고판 설치(나사 고정)</t>
  </si>
  <si>
    <t>특별인부, 시중노임단가</t>
  </si>
  <si>
    <t>900 X 1800X40, 3호(비중0.020)</t>
  </si>
  <si>
    <t>900 X 1800X50, 1호(비중0.030)</t>
  </si>
  <si>
    <t>산업폐기물처리비=내부창호폐기물 적용(1세대)</t>
  </si>
  <si>
    <t xml:space="preserve"> 건축물 구조체별 철거(벽),특별인부</t>
  </si>
  <si>
    <t xml:space="preserve"> 건축물 구조체별 철거(천정),특별인부</t>
  </si>
  <si>
    <t>안방,작은방 철거 부위 마감, 부자재 포함</t>
  </si>
  <si>
    <t>매</t>
  </si>
  <si>
    <t>인</t>
  </si>
  <si>
    <t>(일당)</t>
  </si>
  <si>
    <t> (재료비+노무비)*3.11%</t>
    <phoneticPr fontId="18" type="noConversion"/>
  </si>
  <si>
    <t>바탕용(2겹) (시공량 : 35㎡),시공총량46/일당35=1.314</t>
    <phoneticPr fontId="10" type="noConversion"/>
  </si>
  <si>
    <t>자재 및 폐기물 반입 반출</t>
    <phoneticPr fontId="10" type="noConversion"/>
  </si>
  <si>
    <t>M020750510180104</t>
    <phoneticPr fontId="10" type="noConversion"/>
  </si>
  <si>
    <t>900 X 1800X100, 1호(비중0.030)</t>
    <phoneticPr fontId="10" type="noConversion"/>
  </si>
  <si>
    <t>M020806810430101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</si>
  <si>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</si>
  <si>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</si>
  <si>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7-108 외벽세대 단열작업(안방+작은방,열반사+보드) </t>
    <phoneticPr fontId="16" type="noConversion"/>
  </si>
  <si>
    <t xml:space="preserve"> 견적일 : 2026년  05월  22일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</si>
</sst>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_ 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5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83" fontId="21" fillId="0" borderId="1" xfId="1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49" fontId="25" fillId="11" borderId="3" xfId="31" applyNumberFormat="1" applyFont="1" applyFill="1" applyBorder="1" applyAlignment="1">
      <alignment vertical="center" wrapText="1"/>
    </xf>
    <xf numFmtId="0" fontId="21" fillId="11" borderId="3" xfId="31" applyFont="1" applyFill="1" applyBorder="1">
      <alignment vertical="center"/>
    </xf>
    <xf numFmtId="49" fontId="21" fillId="11" borderId="3" xfId="31" applyNumberFormat="1" applyFont="1" applyFill="1" applyBorder="1" applyAlignment="1">
      <alignment vertical="center" wrapText="1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184" fontId="21" fillId="12" borderId="3" xfId="32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12" borderId="3" xfId="32" applyNumberFormat="1" applyFont="1" applyFill="1" applyBorder="1" applyAlignment="1">
      <alignment horizontal="center" vertical="center"/>
    </xf>
    <xf numFmtId="185" fontId="21" fillId="0" borderId="3" xfId="32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4" fontId="28" fillId="12" borderId="3" xfId="32" applyNumberFormat="1" applyFont="1" applyFill="1" applyBorder="1" applyAlignment="1">
      <alignment horizontal="right" vertical="center"/>
    </xf>
    <xf numFmtId="184" fontId="28" fillId="5" borderId="3" xfId="32" applyNumberFormat="1" applyFont="1" applyFill="1" applyBorder="1" applyAlignment="1">
      <alignment horizontal="right" vertical="center"/>
    </xf>
    <xf numFmtId="184" fontId="28" fillId="12" borderId="3" xfId="32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9BAD32E4-3F21-4C95-971E-A9D429E5DF41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D432CC04-49CE-49AC-B220-08ACAED9684B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22" sqref="N22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47</v>
      </c>
      <c r="B5" s="4"/>
      <c r="C5" s="5"/>
      <c r="D5" s="84"/>
      <c r="E5" s="84"/>
      <c r="F5" s="6" t="s">
        <v>37</v>
      </c>
      <c r="G5" s="7" t="s">
        <v>50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51</v>
      </c>
      <c r="H6" s="84"/>
    </row>
    <row r="7" spans="1:9" ht="27" customHeight="1">
      <c r="A7" s="130" t="s">
        <v>108</v>
      </c>
      <c r="B7" s="131"/>
      <c r="C7" s="132"/>
      <c r="D7" s="84"/>
      <c r="E7" s="10"/>
      <c r="F7" s="11" t="s">
        <v>41</v>
      </c>
      <c r="G7" s="9" t="s">
        <v>52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53</v>
      </c>
      <c r="H8" s="84"/>
    </row>
    <row r="9" spans="1:9" ht="27" customHeight="1">
      <c r="A9" s="127" t="s">
        <v>109</v>
      </c>
      <c r="B9" s="128"/>
      <c r="C9" s="129"/>
      <c r="D9" s="84"/>
      <c r="E9" s="84"/>
      <c r="F9" s="8" t="s">
        <v>43</v>
      </c>
      <c r="G9" s="9" t="s">
        <v>54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55</v>
      </c>
      <c r="H10" s="84"/>
      <c r="I10" s="84"/>
    </row>
    <row r="11" spans="1:9" ht="27" customHeight="1">
      <c r="A11" s="125"/>
      <c r="B11" s="126"/>
      <c r="C11" s="126"/>
      <c r="D11" s="84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사백일십이만구천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'내역서(표준단가)'!K17</f>
        <v>879422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'내역서(표준단가)'!M17</f>
        <v>2633449.8878100002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'내역서(표준단가)'!O17+'내역서(표준단가)'!Q17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3512871.8878100002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7" t="s">
        <v>23</v>
      </c>
      <c r="C21" s="118" t="s">
        <v>106</v>
      </c>
      <c r="D21" s="119">
        <v>1</v>
      </c>
      <c r="E21" s="119" t="s">
        <v>24</v>
      </c>
      <c r="F21" s="120">
        <f>F17*4.75%</f>
        <v>125088.86967097501</v>
      </c>
      <c r="G21" s="35" t="s">
        <v>25</v>
      </c>
    </row>
    <row r="22" spans="1:7" ht="33" customHeight="1">
      <c r="A22" s="29"/>
      <c r="B22" s="121" t="s">
        <v>26</v>
      </c>
      <c r="C22" s="118" t="s">
        <v>107</v>
      </c>
      <c r="D22" s="122">
        <v>1</v>
      </c>
      <c r="E22" s="122" t="s">
        <v>24</v>
      </c>
      <c r="F22" s="123">
        <f>F17*3.595%</f>
        <v>94672.523466769519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12260.091788946653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26597.843866881001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93750.81600603601</v>
      </c>
      <c r="G25" s="35" t="s">
        <v>27</v>
      </c>
    </row>
    <row r="26" spans="1:7" ht="33" customHeight="1">
      <c r="A26" s="29"/>
      <c r="B26" s="42" t="s">
        <v>31</v>
      </c>
      <c r="C26" s="45" t="s">
        <v>100</v>
      </c>
      <c r="D26" s="30">
        <v>1</v>
      </c>
      <c r="E26" s="30" t="s">
        <v>24</v>
      </c>
      <c r="F26" s="43">
        <f>(F16+F17)*3.11%</f>
        <v>109250.31571089101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154753.51741602499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616373.97792652412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4129245.8657365246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4129000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21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112" bestFit="1" customWidth="1"/>
    <col min="2" max="5" width="17.5" style="103" hidden="1" customWidth="1"/>
    <col min="6" max="6" width="40.625" style="99" customWidth="1"/>
    <col min="7" max="7" width="30.625" style="99" customWidth="1"/>
    <col min="8" max="8" width="11.375" style="103" bestFit="1" customWidth="1"/>
    <col min="9" max="9" width="7.125" style="103" bestFit="1" customWidth="1"/>
    <col min="10" max="10" width="10.375" style="103" bestFit="1" customWidth="1"/>
    <col min="11" max="11" width="12.5" style="103" bestFit="1" customWidth="1"/>
    <col min="12" max="12" width="10.125" style="103" bestFit="1" customWidth="1"/>
    <col min="13" max="13" width="14.5" style="103" bestFit="1" customWidth="1"/>
    <col min="14" max="14" width="8.125" style="103" customWidth="1"/>
    <col min="15" max="15" width="8.25" style="103" bestFit="1" customWidth="1"/>
    <col min="16" max="16" width="9" style="103" customWidth="1"/>
    <col min="17" max="17" width="8.25" style="103" bestFit="1" customWidth="1"/>
    <col min="18" max="18" width="14.5" style="103" bestFit="1" customWidth="1"/>
    <col min="19" max="19" width="10.625" style="62" bestFit="1" customWidth="1"/>
    <col min="20" max="20" width="8.5" style="103" bestFit="1" customWidth="1"/>
    <col min="21" max="16384" width="9" style="103"/>
  </cols>
  <sheetData>
    <row r="1" spans="1:20" ht="19.899999999999999" customHeight="1">
      <c r="A1" s="133"/>
      <c r="B1" s="133"/>
      <c r="C1" s="133"/>
      <c r="D1" s="133"/>
      <c r="E1" s="133"/>
      <c r="J1" s="62"/>
      <c r="K1" s="102" t="s">
        <v>61</v>
      </c>
      <c r="M1" s="102" t="s">
        <v>61</v>
      </c>
      <c r="O1" s="102" t="s">
        <v>61</v>
      </c>
      <c r="Q1" s="102" t="s">
        <v>61</v>
      </c>
    </row>
    <row r="2" spans="1:20" ht="19.899999999999999" customHeight="1" thickBot="1">
      <c r="A2" s="133"/>
      <c r="B2" s="133"/>
      <c r="C2" s="133"/>
      <c r="D2" s="133"/>
      <c r="E2" s="133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4"/>
      <c r="B3" s="104" t="s">
        <v>62</v>
      </c>
      <c r="C3" s="105"/>
      <c r="D3" s="105"/>
      <c r="E3" s="105"/>
      <c r="F3" s="144" t="s">
        <v>63</v>
      </c>
      <c r="G3" s="144"/>
      <c r="H3" s="142" t="s">
        <v>46</v>
      </c>
      <c r="I3" s="142" t="s">
        <v>5</v>
      </c>
      <c r="J3" s="138" t="s">
        <v>64</v>
      </c>
      <c r="K3" s="138"/>
      <c r="L3" s="138" t="s">
        <v>65</v>
      </c>
      <c r="M3" s="138"/>
      <c r="N3" s="139" t="s">
        <v>66</v>
      </c>
      <c r="O3" s="139"/>
      <c r="P3" s="139" t="s">
        <v>67</v>
      </c>
      <c r="Q3" s="139"/>
      <c r="R3" s="140" t="s">
        <v>68</v>
      </c>
      <c r="S3" s="136" t="s">
        <v>69</v>
      </c>
      <c r="T3" s="134" t="s">
        <v>44</v>
      </c>
    </row>
    <row r="4" spans="1:20" ht="19.899999999999999" customHeight="1">
      <c r="A4" s="65" t="s">
        <v>70</v>
      </c>
      <c r="B4" s="66" t="s">
        <v>71</v>
      </c>
      <c r="C4" s="66" t="s">
        <v>72</v>
      </c>
      <c r="D4" s="66" t="s">
        <v>73</v>
      </c>
      <c r="E4" s="66" t="s">
        <v>74</v>
      </c>
      <c r="F4" s="100" t="s">
        <v>75</v>
      </c>
      <c r="G4" s="100" t="s">
        <v>76</v>
      </c>
      <c r="H4" s="143"/>
      <c r="I4" s="143"/>
      <c r="J4" s="67" t="s">
        <v>77</v>
      </c>
      <c r="K4" s="68" t="s">
        <v>78</v>
      </c>
      <c r="L4" s="67" t="s">
        <v>79</v>
      </c>
      <c r="M4" s="68" t="s">
        <v>78</v>
      </c>
      <c r="N4" s="68" t="s">
        <v>80</v>
      </c>
      <c r="O4" s="68" t="s">
        <v>78</v>
      </c>
      <c r="P4" s="68" t="s">
        <v>80</v>
      </c>
      <c r="Q4" s="68" t="s">
        <v>78</v>
      </c>
      <c r="R4" s="141"/>
      <c r="S4" s="137"/>
      <c r="T4" s="135"/>
    </row>
    <row r="5" spans="1:20" s="106" customFormat="1" ht="38.1" customHeight="1">
      <c r="A5" s="69" t="str">
        <f t="shared" ref="A5" si="0">B5&amp;C5&amp;D5&amp;E5</f>
        <v>L003</v>
      </c>
      <c r="B5" s="78"/>
      <c r="C5" s="80"/>
      <c r="D5" s="79"/>
      <c r="E5" s="78" t="s">
        <v>58</v>
      </c>
      <c r="F5" s="86" t="s">
        <v>102</v>
      </c>
      <c r="G5" s="86" t="s">
        <v>90</v>
      </c>
      <c r="H5" s="94" t="s">
        <v>98</v>
      </c>
      <c r="I5" s="97">
        <v>1</v>
      </c>
      <c r="J5" s="89"/>
      <c r="K5" s="90">
        <f t="shared" ref="K5" si="1">SUM(J5:J5)*I5*$K$2</f>
        <v>0</v>
      </c>
      <c r="L5" s="114">
        <v>224490</v>
      </c>
      <c r="M5" s="90">
        <f>I5*L5</f>
        <v>224490</v>
      </c>
      <c r="N5" s="91"/>
      <c r="O5" s="90">
        <f t="shared" ref="O5" si="2">N5*I5*$O$2</f>
        <v>0</v>
      </c>
      <c r="P5" s="91"/>
      <c r="Q5" s="90">
        <f t="shared" ref="Q5" si="3">P5*I5*$Q$2</f>
        <v>0</v>
      </c>
      <c r="R5" s="70">
        <f t="shared" ref="R5" si="4">SUM(K5+M5)+O5+Q5</f>
        <v>224490</v>
      </c>
      <c r="S5" s="71"/>
      <c r="T5" s="72"/>
    </row>
    <row r="6" spans="1:20" s="106" customFormat="1" ht="38.1" customHeight="1">
      <c r="A6" s="69" t="str">
        <f t="shared" ref="A6:A16" si="5">B6&amp;C6&amp;D6&amp;E6</f>
        <v>L003</v>
      </c>
      <c r="B6" s="78"/>
      <c r="C6" s="79"/>
      <c r="D6" s="79"/>
      <c r="E6" s="78" t="s">
        <v>58</v>
      </c>
      <c r="F6" s="86" t="s">
        <v>88</v>
      </c>
      <c r="H6" s="94" t="s">
        <v>98</v>
      </c>
      <c r="I6" s="97">
        <v>1.5</v>
      </c>
      <c r="J6" s="89"/>
      <c r="K6" s="90">
        <f t="shared" ref="K6:K16" si="6">SUM(J6:J6)*I6*$K$2</f>
        <v>0</v>
      </c>
      <c r="L6" s="114">
        <v>224490</v>
      </c>
      <c r="M6" s="90">
        <f>I6*L6</f>
        <v>336735</v>
      </c>
      <c r="N6" s="91"/>
      <c r="O6" s="90">
        <f t="shared" ref="O6:O16" si="7">N6*I6*$O$2</f>
        <v>0</v>
      </c>
      <c r="P6" s="91"/>
      <c r="Q6" s="90">
        <f t="shared" ref="Q6:Q16" si="8">P6*I6*$Q$2</f>
        <v>0</v>
      </c>
      <c r="R6" s="70">
        <f t="shared" ref="R6:R16" si="9">SUM(K6+M6)+O6+Q6</f>
        <v>336735</v>
      </c>
      <c r="S6" s="71"/>
      <c r="T6" s="72"/>
    </row>
    <row r="7" spans="1:20" s="106" customFormat="1" ht="38.1" customHeight="1">
      <c r="A7" s="69" t="str">
        <f t="shared" si="5"/>
        <v>M020750510120102</v>
      </c>
      <c r="B7" s="78"/>
      <c r="C7" s="79"/>
      <c r="D7" s="80" t="s">
        <v>83</v>
      </c>
      <c r="E7" s="79"/>
      <c r="F7" s="86" t="s">
        <v>87</v>
      </c>
      <c r="G7" s="86" t="s">
        <v>91</v>
      </c>
      <c r="H7" s="94" t="s">
        <v>97</v>
      </c>
      <c r="I7" s="97">
        <v>23</v>
      </c>
      <c r="J7" s="115">
        <v>6400</v>
      </c>
      <c r="K7" s="90">
        <f t="shared" si="6"/>
        <v>122912</v>
      </c>
      <c r="L7" s="92"/>
      <c r="M7" s="90">
        <f t="shared" ref="M7:M10" si="10">(L7*I7)*$M$2</f>
        <v>0</v>
      </c>
      <c r="N7" s="91"/>
      <c r="O7" s="90">
        <f t="shared" si="7"/>
        <v>0</v>
      </c>
      <c r="P7" s="91"/>
      <c r="Q7" s="90">
        <f t="shared" si="8"/>
        <v>0</v>
      </c>
      <c r="R7" s="70">
        <f t="shared" si="9"/>
        <v>122912</v>
      </c>
      <c r="S7" s="71"/>
      <c r="T7" s="72"/>
    </row>
    <row r="8" spans="1:20" s="106" customFormat="1" ht="38.1" customHeight="1">
      <c r="A8" s="69" t="str">
        <f t="shared" si="5"/>
        <v>M020750510130104</v>
      </c>
      <c r="B8" s="78"/>
      <c r="C8" s="80"/>
      <c r="D8" s="80" t="s">
        <v>81</v>
      </c>
      <c r="E8" s="80"/>
      <c r="F8" s="86" t="s">
        <v>84</v>
      </c>
      <c r="G8" s="86" t="s">
        <v>92</v>
      </c>
      <c r="H8" s="94" t="s">
        <v>97</v>
      </c>
      <c r="I8" s="97">
        <v>2</v>
      </c>
      <c r="J8" s="114">
        <v>12000</v>
      </c>
      <c r="K8" s="90">
        <f t="shared" si="6"/>
        <v>20040</v>
      </c>
      <c r="L8" s="92"/>
      <c r="M8" s="90">
        <f t="shared" si="10"/>
        <v>0</v>
      </c>
      <c r="N8" s="91"/>
      <c r="O8" s="90">
        <f t="shared" si="7"/>
        <v>0</v>
      </c>
      <c r="P8" s="91"/>
      <c r="Q8" s="90">
        <f t="shared" si="8"/>
        <v>0</v>
      </c>
      <c r="R8" s="70">
        <f t="shared" si="9"/>
        <v>20040</v>
      </c>
      <c r="S8" s="71"/>
      <c r="T8" s="72"/>
    </row>
    <row r="9" spans="1:20" s="106" customFormat="1" ht="38.1" customHeight="1">
      <c r="A9" s="69" t="str">
        <f t="shared" si="5"/>
        <v>M020750510180104</v>
      </c>
      <c r="B9" s="78"/>
      <c r="C9" s="80"/>
      <c r="D9" s="80" t="s">
        <v>103</v>
      </c>
      <c r="E9" s="80"/>
      <c r="F9" s="86" t="s">
        <v>84</v>
      </c>
      <c r="G9" s="86" t="s">
        <v>104</v>
      </c>
      <c r="H9" s="94" t="s">
        <v>97</v>
      </c>
      <c r="I9" s="97">
        <v>31</v>
      </c>
      <c r="J9" s="114">
        <v>24000</v>
      </c>
      <c r="K9" s="90">
        <f t="shared" si="6"/>
        <v>621240</v>
      </c>
      <c r="L9" s="92"/>
      <c r="M9" s="90">
        <f t="shared" si="10"/>
        <v>0</v>
      </c>
      <c r="N9" s="91"/>
      <c r="O9" s="90">
        <f t="shared" si="7"/>
        <v>0</v>
      </c>
      <c r="P9" s="91"/>
      <c r="Q9" s="90">
        <f t="shared" si="8"/>
        <v>0</v>
      </c>
      <c r="R9" s="70">
        <f t="shared" si="9"/>
        <v>621240</v>
      </c>
      <c r="S9" s="71"/>
      <c r="T9" s="72"/>
    </row>
    <row r="10" spans="1:20" s="106" customFormat="1" ht="38.1" customHeight="1">
      <c r="A10" s="69" t="str">
        <f t="shared" si="5"/>
        <v>E00000803066470202</v>
      </c>
      <c r="B10" s="87"/>
      <c r="C10" s="80" t="s">
        <v>82</v>
      </c>
      <c r="D10" s="80"/>
      <c r="E10" s="87"/>
      <c r="F10" s="86" t="s">
        <v>89</v>
      </c>
      <c r="G10" s="86" t="s">
        <v>101</v>
      </c>
      <c r="H10" s="95" t="s">
        <v>99</v>
      </c>
      <c r="I10" s="97">
        <v>1.3140000000000001</v>
      </c>
      <c r="J10" s="93"/>
      <c r="K10" s="90">
        <f t="shared" si="6"/>
        <v>0</v>
      </c>
      <c r="L10" s="114">
        <v>681499</v>
      </c>
      <c r="M10" s="90">
        <f t="shared" si="10"/>
        <v>747733.88780999999</v>
      </c>
      <c r="N10" s="91"/>
      <c r="O10" s="90">
        <f t="shared" si="7"/>
        <v>0</v>
      </c>
      <c r="P10" s="91"/>
      <c r="Q10" s="90">
        <f t="shared" si="8"/>
        <v>0</v>
      </c>
      <c r="R10" s="70">
        <f t="shared" si="9"/>
        <v>747733.88780999999</v>
      </c>
      <c r="S10" s="71"/>
      <c r="T10" s="72"/>
    </row>
    <row r="11" spans="1:20" s="106" customFormat="1" ht="38.1" customHeight="1">
      <c r="A11" s="69" t="str">
        <f t="shared" si="5"/>
        <v>L003</v>
      </c>
      <c r="B11" s="78"/>
      <c r="C11" s="79"/>
      <c r="D11" s="80"/>
      <c r="E11" s="78" t="s">
        <v>58</v>
      </c>
      <c r="F11" s="86" t="s">
        <v>95</v>
      </c>
      <c r="G11" s="86" t="s">
        <v>59</v>
      </c>
      <c r="H11" s="96" t="s">
        <v>98</v>
      </c>
      <c r="I11" s="97">
        <v>1.5</v>
      </c>
      <c r="J11" s="89"/>
      <c r="K11" s="90">
        <f t="shared" si="6"/>
        <v>0</v>
      </c>
      <c r="L11" s="114">
        <v>224490</v>
      </c>
      <c r="M11" s="90">
        <f>I11*L11</f>
        <v>336735</v>
      </c>
      <c r="N11" s="91"/>
      <c r="O11" s="90">
        <f t="shared" si="7"/>
        <v>0</v>
      </c>
      <c r="P11" s="91"/>
      <c r="Q11" s="90">
        <f t="shared" si="8"/>
        <v>0</v>
      </c>
      <c r="R11" s="70">
        <f t="shared" si="9"/>
        <v>336735</v>
      </c>
      <c r="S11" s="71"/>
      <c r="T11" s="72"/>
    </row>
    <row r="12" spans="1:20" s="106" customFormat="1" ht="38.1" customHeight="1">
      <c r="A12" s="69" t="str">
        <f t="shared" si="5"/>
        <v>L003</v>
      </c>
      <c r="B12" s="78"/>
      <c r="C12" s="79"/>
      <c r="D12" s="80"/>
      <c r="E12" s="78" t="s">
        <v>58</v>
      </c>
      <c r="F12" s="86" t="s">
        <v>94</v>
      </c>
      <c r="G12" s="86" t="s">
        <v>60</v>
      </c>
      <c r="H12" s="96" t="s">
        <v>98</v>
      </c>
      <c r="I12" s="97">
        <v>1</v>
      </c>
      <c r="J12" s="89"/>
      <c r="K12" s="90">
        <f t="shared" si="6"/>
        <v>0</v>
      </c>
      <c r="L12" s="114">
        <v>224490</v>
      </c>
      <c r="M12" s="90">
        <f t="shared" ref="M12:M15" si="11">I12*L12</f>
        <v>224490</v>
      </c>
      <c r="N12" s="91"/>
      <c r="O12" s="90">
        <f t="shared" si="7"/>
        <v>0</v>
      </c>
      <c r="P12" s="91"/>
      <c r="Q12" s="90">
        <f t="shared" si="8"/>
        <v>0</v>
      </c>
      <c r="R12" s="70">
        <f t="shared" si="9"/>
        <v>224490</v>
      </c>
      <c r="S12" s="71"/>
      <c r="T12" s="72"/>
    </row>
    <row r="13" spans="1:20" s="106" customFormat="1" ht="38.1" customHeight="1">
      <c r="A13" s="69" t="str">
        <f t="shared" si="5"/>
        <v>L003</v>
      </c>
      <c r="B13" s="78"/>
      <c r="C13" s="79"/>
      <c r="D13" s="79"/>
      <c r="E13" s="78" t="s">
        <v>58</v>
      </c>
      <c r="F13" s="86" t="s">
        <v>96</v>
      </c>
      <c r="G13" s="86" t="s">
        <v>90</v>
      </c>
      <c r="H13" s="96" t="s">
        <v>98</v>
      </c>
      <c r="I13" s="97">
        <v>1.4</v>
      </c>
      <c r="J13" s="89"/>
      <c r="K13" s="90">
        <f t="shared" si="6"/>
        <v>0</v>
      </c>
      <c r="L13" s="114">
        <v>224490</v>
      </c>
      <c r="M13" s="90">
        <f t="shared" si="11"/>
        <v>314286</v>
      </c>
      <c r="N13" s="91"/>
      <c r="O13" s="90">
        <f t="shared" si="7"/>
        <v>0</v>
      </c>
      <c r="P13" s="91"/>
      <c r="Q13" s="90">
        <f t="shared" si="8"/>
        <v>0</v>
      </c>
      <c r="R13" s="70">
        <f t="shared" si="9"/>
        <v>314286</v>
      </c>
      <c r="S13" s="71"/>
      <c r="T13" s="72"/>
    </row>
    <row r="14" spans="1:20" s="106" customFormat="1" ht="38.1" customHeight="1">
      <c r="A14" s="69" t="str">
        <f t="shared" si="5"/>
        <v>L003</v>
      </c>
      <c r="B14" s="78"/>
      <c r="C14" s="79"/>
      <c r="D14" s="79"/>
      <c r="E14" s="78" t="s">
        <v>58</v>
      </c>
      <c r="F14" s="86" t="s">
        <v>85</v>
      </c>
      <c r="G14" s="86" t="s">
        <v>90</v>
      </c>
      <c r="H14" s="96" t="s">
        <v>98</v>
      </c>
      <c r="I14" s="97">
        <v>1</v>
      </c>
      <c r="J14" s="89"/>
      <c r="K14" s="90">
        <f t="shared" si="6"/>
        <v>0</v>
      </c>
      <c r="L14" s="114">
        <v>224490</v>
      </c>
      <c r="M14" s="90">
        <f t="shared" si="11"/>
        <v>224490</v>
      </c>
      <c r="N14" s="91"/>
      <c r="O14" s="90">
        <f t="shared" si="7"/>
        <v>0</v>
      </c>
      <c r="P14" s="91"/>
      <c r="Q14" s="90">
        <f t="shared" si="8"/>
        <v>0</v>
      </c>
      <c r="R14" s="70">
        <f t="shared" si="9"/>
        <v>224490</v>
      </c>
      <c r="S14" s="71"/>
      <c r="T14" s="72"/>
    </row>
    <row r="15" spans="1:20" s="106" customFormat="1" ht="38.1" customHeight="1">
      <c r="A15" s="69" t="str">
        <f t="shared" si="5"/>
        <v>L003</v>
      </c>
      <c r="B15" s="78"/>
      <c r="C15" s="79"/>
      <c r="D15" s="79"/>
      <c r="E15" s="78" t="s">
        <v>58</v>
      </c>
      <c r="F15" s="86" t="s">
        <v>85</v>
      </c>
      <c r="G15" s="86" t="s">
        <v>90</v>
      </c>
      <c r="H15" s="96" t="s">
        <v>98</v>
      </c>
      <c r="I15" s="97">
        <v>1</v>
      </c>
      <c r="J15" s="89"/>
      <c r="K15" s="90">
        <f t="shared" si="6"/>
        <v>0</v>
      </c>
      <c r="L15" s="114">
        <v>224490</v>
      </c>
      <c r="M15" s="90">
        <f t="shared" si="11"/>
        <v>224490</v>
      </c>
      <c r="N15" s="91"/>
      <c r="O15" s="90">
        <f t="shared" si="7"/>
        <v>0</v>
      </c>
      <c r="P15" s="91"/>
      <c r="Q15" s="90">
        <f t="shared" si="8"/>
        <v>0</v>
      </c>
      <c r="R15" s="70">
        <f t="shared" si="9"/>
        <v>224490</v>
      </c>
      <c r="S15" s="71"/>
      <c r="T15" s="72"/>
    </row>
    <row r="16" spans="1:20" s="106" customFormat="1" ht="38.1" customHeight="1">
      <c r="A16" s="69" t="str">
        <f t="shared" si="5"/>
        <v>M020806810430101</v>
      </c>
      <c r="B16" s="81"/>
      <c r="C16" s="82"/>
      <c r="D16" s="80" t="s">
        <v>105</v>
      </c>
      <c r="E16" s="83"/>
      <c r="F16" s="86" t="s">
        <v>93</v>
      </c>
      <c r="G16" s="86" t="s">
        <v>86</v>
      </c>
      <c r="H16" s="96" t="s">
        <v>57</v>
      </c>
      <c r="I16" s="98">
        <v>0.92</v>
      </c>
      <c r="J16" s="116">
        <v>150000</v>
      </c>
      <c r="K16" s="90">
        <f t="shared" si="6"/>
        <v>115230</v>
      </c>
      <c r="L16" s="92"/>
      <c r="M16" s="90"/>
      <c r="N16" s="91"/>
      <c r="O16" s="90">
        <f t="shared" si="7"/>
        <v>0</v>
      </c>
      <c r="P16" s="93"/>
      <c r="Q16" s="90">
        <f t="shared" si="8"/>
        <v>0</v>
      </c>
      <c r="R16" s="70">
        <f t="shared" si="9"/>
        <v>115230</v>
      </c>
      <c r="S16" s="71"/>
      <c r="T16" s="72"/>
    </row>
    <row r="17" spans="1:19" s="108" customFormat="1" ht="38.1" customHeight="1">
      <c r="A17" s="107"/>
      <c r="F17" s="101"/>
      <c r="G17" s="101"/>
      <c r="K17" s="109">
        <f>SUM(K5:K16)</f>
        <v>879422</v>
      </c>
      <c r="L17" s="110"/>
      <c r="M17" s="109">
        <f>SUM(M5:M16)</f>
        <v>2633449.8878100002</v>
      </c>
      <c r="N17" s="110"/>
      <c r="O17" s="109">
        <f>SUM(O5:O16)</f>
        <v>0</v>
      </c>
      <c r="P17" s="110"/>
      <c r="Q17" s="109">
        <f>SUM(Q5:Q16)</f>
        <v>0</v>
      </c>
      <c r="R17" s="111">
        <f>SUM(R5:R16)</f>
        <v>3512871.8878100002</v>
      </c>
      <c r="S17" s="73"/>
    </row>
    <row r="21" spans="1:19" ht="38.1" customHeight="1">
      <c r="M21" s="11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3"/>
  <sheetViews>
    <sheetView showGridLines="0" zoomScaleNormal="100" workbookViewId="0">
      <selection activeCell="D34" sqref="D3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8"/>
  </cols>
  <sheetData>
    <row r="1" spans="1:6" ht="18" customHeight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</row>
    <row r="2" spans="1:6">
      <c r="A2" s="75" t="str">
        <f>'내역서(표준단가)'!A5</f>
        <v>L003</v>
      </c>
      <c r="B2" s="76">
        <f>'내역서(표준단가)'!B5</f>
        <v>0</v>
      </c>
      <c r="C2" s="76">
        <f>'내역서(표준단가)'!C5</f>
        <v>0</v>
      </c>
      <c r="D2" s="76">
        <f>'내역서(표준단가)'!D5</f>
        <v>0</v>
      </c>
      <c r="E2" s="76" t="str">
        <f>'내역서(표준단가)'!E5</f>
        <v>L003</v>
      </c>
      <c r="F2" s="77">
        <f>'내역서(표준단가)'!I5</f>
        <v>1</v>
      </c>
    </row>
    <row r="3" spans="1:6">
      <c r="A3" s="75" t="str">
        <f>'내역서(표준단가)'!A6</f>
        <v>L003</v>
      </c>
      <c r="B3" s="76">
        <f>'내역서(표준단가)'!B6</f>
        <v>0</v>
      </c>
      <c r="C3" s="76">
        <f>'내역서(표준단가)'!C6</f>
        <v>0</v>
      </c>
      <c r="D3" s="76">
        <f>'내역서(표준단가)'!D6</f>
        <v>0</v>
      </c>
      <c r="E3" s="76" t="str">
        <f>'내역서(표준단가)'!E6</f>
        <v>L003</v>
      </c>
      <c r="F3" s="77">
        <f>'내역서(표준단가)'!I6</f>
        <v>1.5</v>
      </c>
    </row>
    <row r="4" spans="1:6">
      <c r="A4" s="75" t="str">
        <f>'내역서(표준단가)'!A7</f>
        <v>M020750510120102</v>
      </c>
      <c r="B4" s="76">
        <f>'내역서(표준단가)'!B7</f>
        <v>0</v>
      </c>
      <c r="C4" s="76">
        <f>'내역서(표준단가)'!C7</f>
        <v>0</v>
      </c>
      <c r="D4" s="76" t="str">
        <f>'내역서(표준단가)'!D7</f>
        <v>M020750510120102</v>
      </c>
      <c r="E4" s="76">
        <f>'내역서(표준단가)'!E7</f>
        <v>0</v>
      </c>
      <c r="F4" s="77">
        <f>'내역서(표준단가)'!I7</f>
        <v>23</v>
      </c>
    </row>
    <row r="5" spans="1:6">
      <c r="A5" s="75" t="str">
        <f>'내역서(표준단가)'!A8</f>
        <v>M020750510130104</v>
      </c>
      <c r="B5" s="76">
        <f>'내역서(표준단가)'!B8</f>
        <v>0</v>
      </c>
      <c r="C5" s="76">
        <f>'내역서(표준단가)'!C8</f>
        <v>0</v>
      </c>
      <c r="D5" s="76" t="str">
        <f>'내역서(표준단가)'!D8</f>
        <v>M020750510130104</v>
      </c>
      <c r="E5" s="76">
        <f>'내역서(표준단가)'!E8</f>
        <v>0</v>
      </c>
      <c r="F5" s="77">
        <f>'내역서(표준단가)'!I8</f>
        <v>2</v>
      </c>
    </row>
    <row r="6" spans="1:6">
      <c r="A6" s="75" t="str">
        <f>'내역서(표준단가)'!A9</f>
        <v>M020750510180104</v>
      </c>
      <c r="B6" s="76">
        <f>'내역서(표준단가)'!B9</f>
        <v>0</v>
      </c>
      <c r="C6" s="76">
        <f>'내역서(표준단가)'!C9</f>
        <v>0</v>
      </c>
      <c r="D6" s="76" t="str">
        <f>'내역서(표준단가)'!D9</f>
        <v>M020750510180104</v>
      </c>
      <c r="E6" s="76">
        <f>'내역서(표준단가)'!E9</f>
        <v>0</v>
      </c>
      <c r="F6" s="77">
        <f>'내역서(표준단가)'!I9</f>
        <v>31</v>
      </c>
    </row>
    <row r="7" spans="1:6">
      <c r="A7" s="75" t="str">
        <f>'내역서(표준단가)'!A10</f>
        <v>E00000803066470202</v>
      </c>
      <c r="B7" s="76">
        <f>'내역서(표준단가)'!B10</f>
        <v>0</v>
      </c>
      <c r="C7" s="76" t="str">
        <f>'내역서(표준단가)'!C10</f>
        <v>E00000803066470202</v>
      </c>
      <c r="D7" s="76">
        <f>'내역서(표준단가)'!D10</f>
        <v>0</v>
      </c>
      <c r="E7" s="76">
        <f>'내역서(표준단가)'!E10</f>
        <v>0</v>
      </c>
      <c r="F7" s="77">
        <f>'내역서(표준단가)'!I10</f>
        <v>1.3140000000000001</v>
      </c>
    </row>
    <row r="8" spans="1:6">
      <c r="A8" s="75" t="str">
        <f>'내역서(표준단가)'!A11</f>
        <v>L003</v>
      </c>
      <c r="B8" s="76">
        <f>'내역서(표준단가)'!B11</f>
        <v>0</v>
      </c>
      <c r="C8" s="76">
        <f>'내역서(표준단가)'!C11</f>
        <v>0</v>
      </c>
      <c r="D8" s="76">
        <f>'내역서(표준단가)'!D11</f>
        <v>0</v>
      </c>
      <c r="E8" s="76" t="str">
        <f>'내역서(표준단가)'!E11</f>
        <v>L003</v>
      </c>
      <c r="F8" s="77">
        <f>'내역서(표준단가)'!I11</f>
        <v>1.5</v>
      </c>
    </row>
    <row r="9" spans="1:6">
      <c r="A9" s="75" t="str">
        <f>'내역서(표준단가)'!A12</f>
        <v>L003</v>
      </c>
      <c r="B9" s="76">
        <f>'내역서(표준단가)'!B12</f>
        <v>0</v>
      </c>
      <c r="C9" s="76">
        <f>'내역서(표준단가)'!C12</f>
        <v>0</v>
      </c>
      <c r="D9" s="76">
        <f>'내역서(표준단가)'!D12</f>
        <v>0</v>
      </c>
      <c r="E9" s="76" t="str">
        <f>'내역서(표준단가)'!E12</f>
        <v>L003</v>
      </c>
      <c r="F9" s="77">
        <f>'내역서(표준단가)'!I12</f>
        <v>1</v>
      </c>
    </row>
    <row r="10" spans="1:6">
      <c r="A10" s="75" t="str">
        <f>'내역서(표준단가)'!A13</f>
        <v>L003</v>
      </c>
      <c r="B10" s="76">
        <f>'내역서(표준단가)'!B13</f>
        <v>0</v>
      </c>
      <c r="C10" s="76">
        <f>'내역서(표준단가)'!C13</f>
        <v>0</v>
      </c>
      <c r="D10" s="76">
        <f>'내역서(표준단가)'!D13</f>
        <v>0</v>
      </c>
      <c r="E10" s="76" t="str">
        <f>'내역서(표준단가)'!E13</f>
        <v>L003</v>
      </c>
      <c r="F10" s="77">
        <f>'내역서(표준단가)'!I13</f>
        <v>1.4</v>
      </c>
    </row>
    <row r="11" spans="1:6">
      <c r="A11" s="75" t="str">
        <f>'내역서(표준단가)'!A14</f>
        <v>L003</v>
      </c>
      <c r="B11" s="76">
        <f>'내역서(표준단가)'!B14</f>
        <v>0</v>
      </c>
      <c r="C11" s="76">
        <f>'내역서(표준단가)'!C14</f>
        <v>0</v>
      </c>
      <c r="D11" s="76">
        <f>'내역서(표준단가)'!D14</f>
        <v>0</v>
      </c>
      <c r="E11" s="76" t="str">
        <f>'내역서(표준단가)'!E14</f>
        <v>L003</v>
      </c>
      <c r="F11" s="77">
        <f>'내역서(표준단가)'!I14</f>
        <v>1</v>
      </c>
    </row>
    <row r="12" spans="1:6">
      <c r="A12" s="75" t="str">
        <f>'내역서(표준단가)'!A15</f>
        <v>L003</v>
      </c>
      <c r="B12" s="76">
        <f>'내역서(표준단가)'!B15</f>
        <v>0</v>
      </c>
      <c r="C12" s="76">
        <f>'내역서(표준단가)'!C15</f>
        <v>0</v>
      </c>
      <c r="D12" s="76">
        <f>'내역서(표준단가)'!D15</f>
        <v>0</v>
      </c>
      <c r="E12" s="76" t="str">
        <f>'내역서(표준단가)'!E15</f>
        <v>L003</v>
      </c>
      <c r="F12" s="77">
        <f>'내역서(표준단가)'!I15</f>
        <v>1</v>
      </c>
    </row>
    <row r="13" spans="1:6">
      <c r="A13" s="75" t="str">
        <f>'내역서(표준단가)'!A16</f>
        <v>M020806810430101</v>
      </c>
      <c r="B13" s="76">
        <f>'내역서(표준단가)'!B16</f>
        <v>0</v>
      </c>
      <c r="C13" s="76">
        <f>'내역서(표준단가)'!C16</f>
        <v>0</v>
      </c>
      <c r="D13" s="76" t="str">
        <f>'내역서(표준단가)'!D16</f>
        <v>M020806810430101</v>
      </c>
      <c r="E13" s="76">
        <f>'내역서(표준단가)'!E16</f>
        <v>0</v>
      </c>
      <c r="F13" s="77">
        <f>'내역서(표준단가)'!I16</f>
        <v>0.92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2026-01-20T04:06:59Z</dcterms:created>
  <dcterms:modified xsi:type="dcterms:W3CDTF">2026-05-26T01:38:21Z</dcterms:modified>
</cp:coreProperties>
</file>
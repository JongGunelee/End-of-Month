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6 작업폴더\02 기숙사 AB동 지하 주차장 유인휀 교체\01 자료\"/>
    </mc:Choice>
  </mc:AlternateContent>
  <xr:revisionPtr revIDLastSave="0" documentId="13_ncr:1_{46E09175-E808-49AA-A704-03BB46A3532A}" xr6:coauthVersionLast="47" xr6:coauthVersionMax="47" xr10:uidLastSave="{00000000-0000-0000-0000-000000000000}"/>
  <bookViews>
    <workbookView xWindow="-60" yWindow="-60" windowWidth="28920" windowHeight="16320" tabRatio="805" xr2:uid="{00000000-000D-0000-FFFF-FFFF00000000}"/>
  </bookViews>
  <sheets>
    <sheet name="PR당사안" sheetId="13" r:id="rId1"/>
    <sheet name="내역서(표준단가)" sheetId="4" r:id="rId2"/>
    <sheet name="Upload(시중가)-별도입력" sheetId="7" r:id="rId3"/>
    <sheet name="Upload" sheetId="1" r:id="rId4"/>
    <sheet name="할증기준" sheetId="9" r:id="rId5"/>
    <sheet name="공사수립계획서" sheetId="10" r:id="rId6"/>
    <sheet name="산출서" sheetId="11" r:id="rId7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3" l="1"/>
  <c r="J21" i="13"/>
  <c r="J19" i="13"/>
  <c r="J18" i="13"/>
  <c r="J29" i="13"/>
  <c r="E18" i="4"/>
  <c r="A15" i="1" s="1"/>
  <c r="O18" i="4"/>
  <c r="E7" i="4"/>
  <c r="A4" i="1" s="1"/>
  <c r="E8" i="4"/>
  <c r="A5" i="1" s="1"/>
  <c r="E9" i="4"/>
  <c r="A6" i="1" s="1"/>
  <c r="E10" i="4"/>
  <c r="A7" i="1" s="1"/>
  <c r="E11" i="4"/>
  <c r="E12" i="4"/>
  <c r="A9" i="1" s="1"/>
  <c r="E13" i="4"/>
  <c r="A10" i="1" s="1"/>
  <c r="E14" i="4"/>
  <c r="A11" i="1" s="1"/>
  <c r="E15" i="4"/>
  <c r="A12" i="1" s="1"/>
  <c r="E16" i="4"/>
  <c r="A13" i="1" s="1"/>
  <c r="E17" i="4"/>
  <c r="A14" i="1" s="1"/>
  <c r="M6" i="4"/>
  <c r="D6" i="11" s="1"/>
  <c r="A6" i="11"/>
  <c r="B6" i="11"/>
  <c r="C6" i="11"/>
  <c r="A7" i="11"/>
  <c r="B7" i="11"/>
  <c r="C7" i="11"/>
  <c r="A8" i="11"/>
  <c r="B8" i="11"/>
  <c r="C8" i="11"/>
  <c r="A9" i="11"/>
  <c r="B9" i="11"/>
  <c r="C9" i="11"/>
  <c r="A10" i="11"/>
  <c r="B10" i="11"/>
  <c r="C10" i="11"/>
  <c r="A11" i="11"/>
  <c r="B11" i="11"/>
  <c r="C11" i="11"/>
  <c r="A12" i="11"/>
  <c r="B12" i="11"/>
  <c r="C12" i="11"/>
  <c r="A13" i="11"/>
  <c r="B13" i="11"/>
  <c r="C13" i="11"/>
  <c r="A14" i="11"/>
  <c r="B14" i="11"/>
  <c r="C14" i="11"/>
  <c r="A15" i="11"/>
  <c r="B15" i="11"/>
  <c r="C15" i="11"/>
  <c r="A16" i="11"/>
  <c r="B16" i="11"/>
  <c r="C16" i="11"/>
  <c r="A17" i="11"/>
  <c r="B17" i="11"/>
  <c r="C17" i="11"/>
  <c r="A18" i="11"/>
  <c r="B18" i="11"/>
  <c r="C18" i="11"/>
  <c r="A19" i="11"/>
  <c r="B19" i="11"/>
  <c r="C19" i="11"/>
  <c r="D19" i="11"/>
  <c r="A20" i="11"/>
  <c r="B20" i="11"/>
  <c r="C20" i="11"/>
  <c r="D20" i="11"/>
  <c r="A21" i="11"/>
  <c r="B21" i="11"/>
  <c r="C21" i="11"/>
  <c r="D21" i="11"/>
  <c r="A22" i="11"/>
  <c r="B22" i="11"/>
  <c r="C22" i="11"/>
  <c r="D22" i="11"/>
  <c r="A23" i="11"/>
  <c r="B23" i="11"/>
  <c r="C23" i="11"/>
  <c r="D23" i="11"/>
  <c r="A24" i="11"/>
  <c r="B24" i="11"/>
  <c r="C24" i="11"/>
  <c r="D24" i="11"/>
  <c r="A25" i="11"/>
  <c r="B25" i="11"/>
  <c r="C25" i="11"/>
  <c r="D25" i="1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A8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Q6" i="4"/>
  <c r="O6" i="4"/>
  <c r="M16" i="4"/>
  <c r="D16" i="11" s="1"/>
  <c r="M15" i="4"/>
  <c r="D15" i="11" s="1"/>
  <c r="J22" i="13" l="1"/>
  <c r="J24" i="13"/>
  <c r="J23" i="13"/>
  <c r="J26" i="13"/>
  <c r="J25" i="13"/>
  <c r="J27" i="13" s="1"/>
  <c r="O15" i="4"/>
  <c r="S18" i="4"/>
  <c r="Q18" i="4"/>
  <c r="U18" i="4"/>
  <c r="V18" i="4" s="1"/>
  <c r="S6" i="4"/>
  <c r="F3" i="1"/>
  <c r="Q15" i="4"/>
  <c r="F12" i="1"/>
  <c r="U16" i="4"/>
  <c r="F13" i="1"/>
  <c r="O16" i="4"/>
  <c r="F15" i="1"/>
  <c r="S16" i="4"/>
  <c r="S15" i="4"/>
  <c r="U15" i="4"/>
  <c r="D18" i="11"/>
  <c r="Q16" i="4"/>
  <c r="M12" i="4"/>
  <c r="M11" i="4"/>
  <c r="M10" i="4"/>
  <c r="M9" i="4"/>
  <c r="J28" i="13" l="1"/>
  <c r="J20" i="13" s="1"/>
  <c r="J30" i="13" s="1"/>
  <c r="V15" i="4"/>
  <c r="V16" i="4"/>
  <c r="F9" i="1"/>
  <c r="Q12" i="4"/>
  <c r="D12" i="11"/>
  <c r="S12" i="4"/>
  <c r="O12" i="4"/>
  <c r="U12" i="4"/>
  <c r="U17" i="4"/>
  <c r="O17" i="4"/>
  <c r="Q17" i="4"/>
  <c r="F14" i="1"/>
  <c r="D17" i="11"/>
  <c r="S17" i="4"/>
  <c r="U9" i="4"/>
  <c r="O9" i="4"/>
  <c r="F6" i="1"/>
  <c r="Q9" i="4"/>
  <c r="S9" i="4"/>
  <c r="D9" i="11"/>
  <c r="S10" i="4"/>
  <c r="D10" i="11"/>
  <c r="O10" i="4"/>
  <c r="U10" i="4"/>
  <c r="F7" i="1"/>
  <c r="Q10" i="4"/>
  <c r="S11" i="4"/>
  <c r="F8" i="1"/>
  <c r="O11" i="4"/>
  <c r="D11" i="11"/>
  <c r="U11" i="4"/>
  <c r="Q11" i="4"/>
  <c r="M8" i="4"/>
  <c r="M7" i="4"/>
  <c r="M32" i="13" l="1"/>
  <c r="B15" i="13" s="1"/>
  <c r="V9" i="4"/>
  <c r="V10" i="4"/>
  <c r="V12" i="4"/>
  <c r="V11" i="4"/>
  <c r="Q7" i="4"/>
  <c r="U7" i="4"/>
  <c r="F4" i="1"/>
  <c r="D7" i="11"/>
  <c r="S7" i="4"/>
  <c r="O7" i="4"/>
  <c r="V17" i="4"/>
  <c r="U8" i="4"/>
  <c r="O8" i="4"/>
  <c r="D8" i="11"/>
  <c r="F5" i="1"/>
  <c r="Q8" i="4"/>
  <c r="S8" i="4"/>
  <c r="A2" i="1"/>
  <c r="M13" i="4"/>
  <c r="M14" i="4"/>
  <c r="U6" i="4"/>
  <c r="V7" i="4" l="1"/>
  <c r="D14" i="11"/>
  <c r="Q14" i="4"/>
  <c r="U14" i="4"/>
  <c r="S14" i="4"/>
  <c r="F11" i="1"/>
  <c r="O14" i="4"/>
  <c r="V8" i="4"/>
  <c r="Q13" i="4"/>
  <c r="U13" i="4"/>
  <c r="S13" i="4"/>
  <c r="D13" i="11"/>
  <c r="O13" i="4"/>
  <c r="F10" i="1"/>
  <c r="V6" i="4"/>
  <c r="E6" i="4"/>
  <c r="A3" i="1" s="1"/>
  <c r="U22" i="4" l="1"/>
  <c r="Q22" i="4"/>
  <c r="V13" i="4"/>
  <c r="S22" i="4"/>
  <c r="O22" i="4"/>
  <c r="V14" i="4"/>
  <c r="A3" i="11"/>
  <c r="D5" i="11"/>
  <c r="C5" i="11"/>
  <c r="B5" i="11"/>
  <c r="A5" i="11"/>
  <c r="V22" i="4" l="1"/>
  <c r="E19" i="4"/>
  <c r="A16" i="1" s="1"/>
  <c r="E20" i="4"/>
  <c r="A17" i="1" s="1"/>
  <c r="A25" i="1"/>
  <c r="B25" i="1"/>
  <c r="C25" i="1"/>
  <c r="D25" i="1"/>
  <c r="E25" i="1"/>
  <c r="F25" i="1"/>
  <c r="A26" i="1"/>
  <c r="B26" i="1"/>
  <c r="C26" i="1"/>
  <c r="D26" i="1"/>
  <c r="E26" i="1"/>
  <c r="F26" i="1"/>
  <c r="E4" i="10" l="1"/>
  <c r="C5" i="10" l="1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H4" i="7"/>
  <c r="J4" i="7"/>
  <c r="L4" i="7"/>
  <c r="H5" i="7"/>
  <c r="J5" i="7"/>
  <c r="L5" i="7"/>
  <c r="H6" i="7"/>
  <c r="J6" i="7"/>
  <c r="L6" i="7"/>
  <c r="H7" i="7"/>
  <c r="J7" i="7"/>
  <c r="L7" i="7"/>
  <c r="H8" i="7"/>
  <c r="J8" i="7"/>
  <c r="L8" i="7"/>
  <c r="H9" i="7"/>
  <c r="J9" i="7"/>
  <c r="L9" i="7"/>
  <c r="H10" i="7"/>
  <c r="J10" i="7"/>
  <c r="L10" i="7"/>
  <c r="H11" i="7"/>
  <c r="J11" i="7"/>
  <c r="L11" i="7"/>
  <c r="H12" i="7"/>
  <c r="J12" i="7"/>
  <c r="L12" i="7"/>
  <c r="H13" i="7"/>
  <c r="J13" i="7"/>
  <c r="L13" i="7"/>
  <c r="H14" i="7"/>
  <c r="J14" i="7"/>
  <c r="L14" i="7"/>
  <c r="H15" i="7"/>
  <c r="J15" i="7"/>
  <c r="L15" i="7"/>
  <c r="H16" i="7"/>
  <c r="J16" i="7"/>
  <c r="L16" i="7"/>
  <c r="A26" i="11" l="1"/>
  <c r="B26" i="11"/>
  <c r="C26" i="11"/>
  <c r="D26" i="11"/>
  <c r="A27" i="11"/>
  <c r="B27" i="11"/>
  <c r="C27" i="11"/>
  <c r="D27" i="11"/>
  <c r="A28" i="11"/>
  <c r="B28" i="11"/>
  <c r="C28" i="11"/>
  <c r="D28" i="11"/>
  <c r="A29" i="11"/>
  <c r="B29" i="11"/>
  <c r="C29" i="11"/>
  <c r="D29" i="11"/>
  <c r="A30" i="11"/>
  <c r="B30" i="11"/>
  <c r="C30" i="11"/>
  <c r="D30" i="11"/>
  <c r="A31" i="11"/>
  <c r="B31" i="11"/>
  <c r="C31" i="11"/>
  <c r="D31" i="11"/>
  <c r="A32" i="11"/>
  <c r="B32" i="11"/>
  <c r="C32" i="11"/>
  <c r="D32" i="11"/>
  <c r="A33" i="11"/>
  <c r="B33" i="11"/>
  <c r="C33" i="11"/>
  <c r="D33" i="11"/>
  <c r="A34" i="11"/>
  <c r="B34" i="11"/>
  <c r="C34" i="11"/>
  <c r="D34" i="11"/>
  <c r="A35" i="11"/>
  <c r="B35" i="11"/>
  <c r="C35" i="11"/>
  <c r="D35" i="11"/>
  <c r="A36" i="11"/>
  <c r="B36" i="11"/>
  <c r="C36" i="11"/>
  <c r="D36" i="11"/>
  <c r="A37" i="11"/>
  <c r="B37" i="11"/>
  <c r="C37" i="11"/>
  <c r="D37" i="11"/>
  <c r="A38" i="11"/>
  <c r="B38" i="11"/>
  <c r="C38" i="11"/>
  <c r="D38" i="11"/>
  <c r="A39" i="11"/>
  <c r="B39" i="11"/>
  <c r="C39" i="11"/>
  <c r="D39" i="11"/>
  <c r="A40" i="11"/>
  <c r="B40" i="11"/>
  <c r="C40" i="11"/>
  <c r="D40" i="11"/>
  <c r="A41" i="11"/>
  <c r="B41" i="11"/>
  <c r="C41" i="11"/>
  <c r="D41" i="11"/>
  <c r="A42" i="11"/>
  <c r="B42" i="11"/>
  <c r="C42" i="11"/>
  <c r="D42" i="11"/>
  <c r="A43" i="11"/>
  <c r="B43" i="11"/>
  <c r="C43" i="11"/>
  <c r="D43" i="11"/>
  <c r="A44" i="11"/>
  <c r="B44" i="11"/>
  <c r="C44" i="11"/>
  <c r="D44" i="11"/>
  <c r="A45" i="11"/>
  <c r="B45" i="11"/>
  <c r="C45" i="11"/>
  <c r="D45" i="11"/>
  <c r="A46" i="11"/>
  <c r="B46" i="11"/>
  <c r="C46" i="11"/>
  <c r="D46" i="11"/>
  <c r="A47" i="11"/>
  <c r="B47" i="11"/>
  <c r="C47" i="11"/>
  <c r="D47" i="11"/>
  <c r="A48" i="11"/>
  <c r="B48" i="11"/>
  <c r="C48" i="11"/>
  <c r="D48" i="11"/>
  <c r="A49" i="11"/>
  <c r="B49" i="11"/>
  <c r="C49" i="11"/>
  <c r="D49" i="11"/>
  <c r="A50" i="11"/>
  <c r="B50" i="11"/>
  <c r="C50" i="11"/>
  <c r="D50" i="11"/>
  <c r="A51" i="11"/>
  <c r="B51" i="11"/>
  <c r="C51" i="11"/>
  <c r="D51" i="11"/>
  <c r="A52" i="11"/>
  <c r="B52" i="11"/>
  <c r="C52" i="11"/>
  <c r="D52" i="11"/>
  <c r="A53" i="11"/>
  <c r="B53" i="11"/>
  <c r="C53" i="11"/>
  <c r="D53" i="11"/>
  <c r="A54" i="11"/>
  <c r="B54" i="11"/>
  <c r="C54" i="11"/>
  <c r="D54" i="11"/>
  <c r="A55" i="11"/>
  <c r="B55" i="11"/>
  <c r="C55" i="11"/>
  <c r="D55" i="11"/>
  <c r="A56" i="11"/>
  <c r="B56" i="11"/>
  <c r="C56" i="11"/>
  <c r="D56" i="11"/>
  <c r="A57" i="11"/>
  <c r="B57" i="11"/>
  <c r="C57" i="11"/>
  <c r="D57" i="11"/>
  <c r="A58" i="11"/>
  <c r="B58" i="11"/>
  <c r="C58" i="11"/>
  <c r="D58" i="11"/>
  <c r="A59" i="11"/>
  <c r="B59" i="11"/>
  <c r="C59" i="11"/>
  <c r="D59" i="11"/>
  <c r="A60" i="11"/>
  <c r="B60" i="11"/>
  <c r="C60" i="11"/>
  <c r="D60" i="11"/>
  <c r="A61" i="11"/>
  <c r="B61" i="11"/>
  <c r="C61" i="11"/>
  <c r="D61" i="11"/>
  <c r="A62" i="11"/>
  <c r="B62" i="11"/>
  <c r="C62" i="11"/>
  <c r="D62" i="11"/>
  <c r="A63" i="11"/>
  <c r="B63" i="11"/>
  <c r="C63" i="11"/>
  <c r="D63" i="11"/>
  <c r="A64" i="11"/>
  <c r="B64" i="11"/>
  <c r="C64" i="11"/>
  <c r="D64" i="11"/>
  <c r="A65" i="11"/>
  <c r="B65" i="11"/>
  <c r="C65" i="11"/>
  <c r="D65" i="11"/>
  <c r="A66" i="11"/>
  <c r="B66" i="11"/>
  <c r="C66" i="11"/>
  <c r="D66" i="11"/>
  <c r="A67" i="11"/>
  <c r="B67" i="11"/>
  <c r="C67" i="11"/>
  <c r="D67" i="11"/>
  <c r="A68" i="11"/>
  <c r="B68" i="11"/>
  <c r="C68" i="11"/>
  <c r="D68" i="11"/>
  <c r="A69" i="11"/>
  <c r="B69" i="11"/>
  <c r="C69" i="11"/>
  <c r="D69" i="11"/>
  <c r="A70" i="11"/>
  <c r="B70" i="11"/>
  <c r="C70" i="11"/>
  <c r="D70" i="11"/>
  <c r="A71" i="11"/>
  <c r="B71" i="11"/>
  <c r="C71" i="11"/>
  <c r="D71" i="11"/>
  <c r="A72" i="11"/>
  <c r="B72" i="11"/>
  <c r="C72" i="11"/>
  <c r="D72" i="11"/>
  <c r="A73" i="11"/>
  <c r="B73" i="11"/>
  <c r="C73" i="11"/>
  <c r="D73" i="11"/>
  <c r="A74" i="11"/>
  <c r="B74" i="11"/>
  <c r="C74" i="11"/>
  <c r="D74" i="1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A99" i="1"/>
  <c r="B99" i="1"/>
  <c r="C99" i="1"/>
  <c r="D99" i="1"/>
  <c r="E99" i="1"/>
  <c r="F99" i="1"/>
  <c r="A100" i="1"/>
  <c r="B100" i="1"/>
  <c r="C100" i="1"/>
  <c r="D100" i="1"/>
  <c r="E100" i="1"/>
  <c r="F100" i="1"/>
  <c r="A101" i="1"/>
  <c r="B101" i="1"/>
  <c r="C101" i="1"/>
  <c r="D101" i="1"/>
  <c r="E101" i="1"/>
  <c r="F101" i="1"/>
  <c r="A102" i="1"/>
  <c r="B102" i="1"/>
  <c r="C102" i="1"/>
  <c r="D102" i="1"/>
  <c r="E102" i="1"/>
  <c r="F102" i="1"/>
  <c r="A103" i="1"/>
  <c r="B103" i="1"/>
  <c r="C103" i="1"/>
  <c r="D103" i="1"/>
  <c r="E103" i="1"/>
  <c r="F103" i="1"/>
  <c r="A104" i="1"/>
  <c r="B104" i="1"/>
  <c r="C104" i="1"/>
  <c r="D104" i="1"/>
  <c r="E104" i="1"/>
  <c r="F104" i="1"/>
  <c r="A105" i="1"/>
  <c r="B105" i="1"/>
  <c r="C105" i="1"/>
  <c r="D105" i="1"/>
  <c r="E105" i="1"/>
  <c r="F105" i="1"/>
  <c r="A106" i="1"/>
  <c r="B106" i="1"/>
  <c r="C106" i="1"/>
  <c r="D106" i="1"/>
  <c r="E106" i="1"/>
  <c r="F106" i="1"/>
  <c r="A107" i="1"/>
  <c r="B107" i="1"/>
  <c r="C107" i="1"/>
  <c r="D107" i="1"/>
  <c r="E107" i="1"/>
  <c r="F107" i="1"/>
  <c r="A108" i="1"/>
  <c r="B108" i="1"/>
  <c r="C108" i="1"/>
  <c r="D108" i="1"/>
  <c r="E108" i="1"/>
  <c r="F108" i="1"/>
  <c r="A109" i="1"/>
  <c r="B109" i="1"/>
  <c r="C109" i="1"/>
  <c r="D109" i="1"/>
  <c r="E109" i="1"/>
  <c r="F109" i="1"/>
  <c r="A110" i="1"/>
  <c r="B110" i="1"/>
  <c r="C110" i="1"/>
  <c r="D110" i="1"/>
  <c r="E110" i="1"/>
  <c r="F110" i="1"/>
  <c r="A111" i="1"/>
  <c r="B111" i="1"/>
  <c r="C111" i="1"/>
  <c r="D111" i="1"/>
  <c r="E111" i="1"/>
  <c r="F111" i="1"/>
  <c r="A112" i="1"/>
  <c r="B112" i="1"/>
  <c r="C112" i="1"/>
  <c r="D112" i="1"/>
  <c r="E112" i="1"/>
  <c r="F112" i="1"/>
  <c r="A113" i="1"/>
  <c r="B113" i="1"/>
  <c r="C113" i="1"/>
  <c r="D113" i="1"/>
  <c r="E113" i="1"/>
  <c r="F113" i="1"/>
  <c r="A114" i="1"/>
  <c r="B114" i="1"/>
  <c r="C114" i="1"/>
  <c r="D114" i="1"/>
  <c r="E114" i="1"/>
  <c r="F114" i="1"/>
  <c r="A115" i="1"/>
  <c r="B115" i="1"/>
  <c r="C115" i="1"/>
  <c r="D115" i="1"/>
  <c r="E115" i="1"/>
  <c r="F115" i="1"/>
  <c r="A116" i="1"/>
  <c r="B116" i="1"/>
  <c r="C116" i="1"/>
  <c r="D116" i="1"/>
  <c r="E116" i="1"/>
  <c r="F116" i="1"/>
  <c r="A117" i="1"/>
  <c r="B117" i="1"/>
  <c r="C117" i="1"/>
  <c r="D117" i="1"/>
  <c r="E117" i="1"/>
  <c r="F117" i="1"/>
  <c r="A118" i="1"/>
  <c r="B118" i="1"/>
  <c r="C118" i="1"/>
  <c r="D118" i="1"/>
  <c r="E118" i="1"/>
  <c r="F118" i="1"/>
  <c r="A119" i="1"/>
  <c r="B119" i="1"/>
  <c r="C119" i="1"/>
  <c r="D119" i="1"/>
  <c r="E119" i="1"/>
  <c r="F119" i="1"/>
  <c r="A120" i="1"/>
  <c r="B120" i="1"/>
  <c r="C120" i="1"/>
  <c r="D120" i="1"/>
  <c r="E120" i="1"/>
  <c r="F120" i="1"/>
  <c r="A121" i="1"/>
  <c r="B121" i="1"/>
  <c r="C121" i="1"/>
  <c r="D121" i="1"/>
  <c r="E121" i="1"/>
  <c r="F121" i="1"/>
  <c r="A122" i="1"/>
  <c r="B122" i="1"/>
  <c r="C122" i="1"/>
  <c r="D122" i="1"/>
  <c r="E122" i="1"/>
  <c r="F122" i="1"/>
  <c r="A123" i="1"/>
  <c r="B123" i="1"/>
  <c r="C123" i="1"/>
  <c r="D123" i="1"/>
  <c r="E123" i="1"/>
  <c r="F123" i="1"/>
  <c r="A124" i="1"/>
  <c r="B124" i="1"/>
  <c r="C124" i="1"/>
  <c r="D124" i="1"/>
  <c r="E124" i="1"/>
  <c r="F124" i="1"/>
  <c r="A125" i="1"/>
  <c r="B125" i="1"/>
  <c r="C125" i="1"/>
  <c r="D125" i="1"/>
  <c r="E125" i="1"/>
  <c r="F125" i="1"/>
  <c r="A126" i="1"/>
  <c r="B126" i="1"/>
  <c r="C126" i="1"/>
  <c r="D126" i="1"/>
  <c r="E126" i="1"/>
  <c r="F126" i="1"/>
  <c r="A127" i="1"/>
  <c r="B127" i="1"/>
  <c r="C127" i="1"/>
  <c r="D127" i="1"/>
  <c r="E127" i="1"/>
  <c r="F127" i="1"/>
  <c r="A128" i="1"/>
  <c r="B128" i="1"/>
  <c r="C128" i="1"/>
  <c r="D128" i="1"/>
  <c r="E128" i="1"/>
  <c r="F128" i="1"/>
  <c r="A129" i="1"/>
  <c r="B129" i="1"/>
  <c r="C129" i="1"/>
  <c r="D129" i="1"/>
  <c r="E129" i="1"/>
  <c r="F129" i="1"/>
  <c r="A130" i="1"/>
  <c r="B130" i="1"/>
  <c r="C130" i="1"/>
  <c r="D130" i="1"/>
  <c r="E130" i="1"/>
  <c r="F130" i="1"/>
  <c r="A131" i="1"/>
  <c r="B131" i="1"/>
  <c r="C131" i="1"/>
  <c r="D131" i="1"/>
  <c r="E131" i="1"/>
  <c r="F131" i="1"/>
  <c r="A132" i="1"/>
  <c r="B132" i="1"/>
  <c r="C132" i="1"/>
  <c r="D132" i="1"/>
  <c r="E132" i="1"/>
  <c r="F132" i="1"/>
  <c r="A133" i="1"/>
  <c r="B133" i="1"/>
  <c r="C133" i="1"/>
  <c r="D133" i="1"/>
  <c r="E133" i="1"/>
  <c r="F133" i="1"/>
  <c r="A134" i="1"/>
  <c r="B134" i="1"/>
  <c r="C134" i="1"/>
  <c r="D134" i="1"/>
  <c r="E134" i="1"/>
  <c r="F134" i="1"/>
  <c r="A135" i="1"/>
  <c r="B135" i="1"/>
  <c r="C135" i="1"/>
  <c r="D135" i="1"/>
  <c r="E135" i="1"/>
  <c r="F135" i="1"/>
  <c r="A136" i="1"/>
  <c r="B136" i="1"/>
  <c r="C136" i="1"/>
  <c r="D136" i="1"/>
  <c r="E136" i="1"/>
  <c r="F136" i="1"/>
  <c r="A137" i="1"/>
  <c r="B137" i="1"/>
  <c r="C137" i="1"/>
  <c r="D137" i="1"/>
  <c r="E137" i="1"/>
  <c r="F137" i="1"/>
  <c r="A138" i="1"/>
  <c r="B138" i="1"/>
  <c r="C138" i="1"/>
  <c r="D138" i="1"/>
  <c r="E138" i="1"/>
  <c r="F138" i="1"/>
  <c r="A139" i="1"/>
  <c r="B139" i="1"/>
  <c r="C139" i="1"/>
  <c r="D139" i="1"/>
  <c r="E139" i="1"/>
  <c r="F139" i="1"/>
  <c r="A140" i="1"/>
  <c r="B140" i="1"/>
  <c r="C140" i="1"/>
  <c r="D140" i="1"/>
  <c r="E140" i="1"/>
  <c r="F140" i="1"/>
  <c r="A141" i="1"/>
  <c r="B141" i="1"/>
  <c r="C141" i="1"/>
  <c r="D141" i="1"/>
  <c r="E141" i="1"/>
  <c r="F141" i="1"/>
  <c r="A142" i="1"/>
  <c r="B142" i="1"/>
  <c r="C142" i="1"/>
  <c r="D142" i="1"/>
  <c r="E142" i="1"/>
  <c r="F142" i="1"/>
  <c r="A143" i="1"/>
  <c r="B143" i="1"/>
  <c r="C143" i="1"/>
  <c r="D143" i="1"/>
  <c r="E143" i="1"/>
  <c r="F143" i="1"/>
  <c r="A144" i="1"/>
  <c r="B144" i="1"/>
  <c r="C144" i="1"/>
  <c r="D144" i="1"/>
  <c r="E144" i="1"/>
  <c r="F144" i="1"/>
  <c r="A145" i="1"/>
  <c r="B145" i="1"/>
  <c r="C145" i="1"/>
  <c r="D145" i="1"/>
  <c r="E145" i="1"/>
  <c r="F145" i="1"/>
  <c r="A146" i="1"/>
  <c r="B146" i="1"/>
  <c r="C146" i="1"/>
  <c r="D146" i="1"/>
  <c r="E146" i="1"/>
  <c r="F146" i="1"/>
  <c r="A147" i="1"/>
  <c r="B147" i="1"/>
  <c r="C147" i="1"/>
  <c r="D147" i="1"/>
  <c r="E147" i="1"/>
  <c r="F147" i="1"/>
  <c r="A148" i="1"/>
  <c r="B148" i="1"/>
  <c r="C148" i="1"/>
  <c r="D148" i="1"/>
  <c r="E148" i="1"/>
  <c r="F148" i="1"/>
  <c r="A149" i="1"/>
  <c r="B149" i="1"/>
  <c r="C149" i="1"/>
  <c r="D149" i="1"/>
  <c r="E149" i="1"/>
  <c r="F149" i="1"/>
  <c r="A150" i="1"/>
  <c r="B150" i="1"/>
  <c r="C150" i="1"/>
  <c r="D150" i="1"/>
  <c r="E150" i="1"/>
  <c r="F150" i="1"/>
  <c r="A151" i="1"/>
  <c r="B151" i="1"/>
  <c r="C151" i="1"/>
  <c r="D151" i="1"/>
  <c r="E151" i="1"/>
  <c r="F151" i="1"/>
  <c r="A152" i="1"/>
  <c r="B152" i="1"/>
  <c r="C152" i="1"/>
  <c r="D152" i="1"/>
  <c r="E152" i="1"/>
  <c r="F152" i="1"/>
  <c r="A153" i="1"/>
  <c r="B153" i="1"/>
  <c r="C153" i="1"/>
  <c r="D153" i="1"/>
  <c r="E153" i="1"/>
  <c r="F153" i="1"/>
  <c r="A154" i="1"/>
  <c r="B154" i="1"/>
  <c r="C154" i="1"/>
  <c r="D154" i="1"/>
  <c r="E154" i="1"/>
  <c r="F154" i="1"/>
  <c r="A155" i="1"/>
  <c r="B155" i="1"/>
  <c r="C155" i="1"/>
  <c r="D155" i="1"/>
  <c r="E155" i="1"/>
  <c r="F155" i="1"/>
  <c r="A156" i="1"/>
  <c r="B156" i="1"/>
  <c r="C156" i="1"/>
  <c r="D156" i="1"/>
  <c r="E156" i="1"/>
  <c r="F156" i="1"/>
  <c r="A157" i="1"/>
  <c r="B157" i="1"/>
  <c r="C157" i="1"/>
  <c r="D157" i="1"/>
  <c r="E157" i="1"/>
  <c r="F157" i="1"/>
  <c r="A158" i="1"/>
  <c r="B158" i="1"/>
  <c r="C158" i="1"/>
  <c r="D158" i="1"/>
  <c r="E158" i="1"/>
  <c r="F158" i="1"/>
  <c r="A159" i="1"/>
  <c r="B159" i="1"/>
  <c r="C159" i="1"/>
  <c r="D159" i="1"/>
  <c r="E159" i="1"/>
  <c r="F159" i="1"/>
  <c r="A160" i="1"/>
  <c r="B160" i="1"/>
  <c r="C160" i="1"/>
  <c r="D160" i="1"/>
  <c r="E160" i="1"/>
  <c r="F160" i="1"/>
  <c r="A161" i="1"/>
  <c r="B161" i="1"/>
  <c r="C161" i="1"/>
  <c r="D161" i="1"/>
  <c r="E161" i="1"/>
  <c r="F161" i="1"/>
  <c r="A162" i="1"/>
  <c r="B162" i="1"/>
  <c r="C162" i="1"/>
  <c r="D162" i="1"/>
  <c r="E162" i="1"/>
  <c r="F162" i="1"/>
  <c r="A163" i="1"/>
  <c r="B163" i="1"/>
  <c r="C163" i="1"/>
  <c r="D163" i="1"/>
  <c r="E163" i="1"/>
  <c r="F163" i="1"/>
  <c r="A164" i="1"/>
  <c r="B164" i="1"/>
  <c r="C164" i="1"/>
  <c r="D164" i="1"/>
  <c r="E164" i="1"/>
  <c r="F164" i="1"/>
  <c r="A165" i="1"/>
  <c r="B165" i="1"/>
  <c r="C165" i="1"/>
  <c r="D165" i="1"/>
  <c r="E165" i="1"/>
  <c r="F165" i="1"/>
  <c r="A166" i="1"/>
  <c r="B166" i="1"/>
  <c r="C166" i="1"/>
  <c r="D166" i="1"/>
  <c r="E166" i="1"/>
  <c r="F166" i="1"/>
  <c r="A167" i="1"/>
  <c r="B167" i="1"/>
  <c r="C167" i="1"/>
  <c r="D167" i="1"/>
  <c r="E167" i="1"/>
  <c r="F167" i="1"/>
  <c r="A168" i="1"/>
  <c r="B168" i="1"/>
  <c r="C168" i="1"/>
  <c r="D168" i="1"/>
  <c r="E168" i="1"/>
  <c r="F168" i="1"/>
  <c r="A169" i="1"/>
  <c r="B169" i="1"/>
  <c r="C169" i="1"/>
  <c r="D169" i="1"/>
  <c r="E169" i="1"/>
  <c r="F169" i="1"/>
  <c r="A170" i="1"/>
  <c r="B170" i="1"/>
  <c r="C170" i="1"/>
  <c r="D170" i="1"/>
  <c r="E170" i="1"/>
  <c r="F170" i="1"/>
  <c r="A171" i="1"/>
  <c r="B171" i="1"/>
  <c r="C171" i="1"/>
  <c r="D171" i="1"/>
  <c r="E171" i="1"/>
  <c r="F171" i="1"/>
  <c r="A172" i="1"/>
  <c r="B172" i="1"/>
  <c r="C172" i="1"/>
  <c r="D172" i="1"/>
  <c r="E172" i="1"/>
  <c r="F172" i="1"/>
  <c r="A173" i="1"/>
  <c r="B173" i="1"/>
  <c r="C173" i="1"/>
  <c r="D173" i="1"/>
  <c r="E173" i="1"/>
  <c r="F173" i="1"/>
  <c r="A174" i="1"/>
  <c r="B174" i="1"/>
  <c r="C174" i="1"/>
  <c r="D174" i="1"/>
  <c r="E174" i="1"/>
  <c r="F174" i="1"/>
  <c r="A175" i="1"/>
  <c r="B175" i="1"/>
  <c r="C175" i="1"/>
  <c r="D175" i="1"/>
  <c r="E175" i="1"/>
  <c r="F175" i="1"/>
  <c r="A176" i="1"/>
  <c r="B176" i="1"/>
  <c r="C176" i="1"/>
  <c r="D176" i="1"/>
  <c r="E176" i="1"/>
  <c r="F176" i="1"/>
  <c r="A177" i="1"/>
  <c r="B177" i="1"/>
  <c r="C177" i="1"/>
  <c r="D177" i="1"/>
  <c r="E177" i="1"/>
  <c r="F177" i="1"/>
  <c r="A178" i="1"/>
  <c r="B178" i="1"/>
  <c r="C178" i="1"/>
  <c r="D178" i="1"/>
  <c r="E178" i="1"/>
  <c r="F178" i="1"/>
  <c r="A179" i="1"/>
  <c r="B179" i="1"/>
  <c r="C179" i="1"/>
  <c r="D179" i="1"/>
  <c r="E179" i="1"/>
  <c r="F179" i="1"/>
  <c r="A180" i="1"/>
  <c r="B180" i="1"/>
  <c r="C180" i="1"/>
  <c r="D180" i="1"/>
  <c r="E180" i="1"/>
  <c r="F180" i="1"/>
  <c r="A181" i="1"/>
  <c r="B181" i="1"/>
  <c r="C181" i="1"/>
  <c r="D181" i="1"/>
  <c r="E181" i="1"/>
  <c r="F181" i="1"/>
  <c r="A182" i="1"/>
  <c r="B182" i="1"/>
  <c r="C182" i="1"/>
  <c r="D182" i="1"/>
  <c r="E182" i="1"/>
  <c r="F182" i="1"/>
  <c r="A183" i="1"/>
  <c r="B183" i="1"/>
  <c r="C183" i="1"/>
  <c r="D183" i="1"/>
  <c r="E183" i="1"/>
  <c r="F183" i="1"/>
  <c r="A184" i="1"/>
  <c r="B184" i="1"/>
  <c r="C184" i="1"/>
  <c r="D184" i="1"/>
  <c r="E184" i="1"/>
  <c r="F184" i="1"/>
  <c r="A185" i="1"/>
  <c r="B185" i="1"/>
  <c r="C185" i="1"/>
  <c r="D185" i="1"/>
  <c r="E185" i="1"/>
  <c r="F185" i="1"/>
  <c r="A186" i="1"/>
  <c r="B186" i="1"/>
  <c r="C186" i="1"/>
  <c r="D186" i="1"/>
  <c r="E186" i="1"/>
  <c r="F186" i="1"/>
  <c r="A187" i="1"/>
  <c r="B187" i="1"/>
  <c r="C187" i="1"/>
  <c r="D187" i="1"/>
  <c r="E187" i="1"/>
  <c r="F187" i="1"/>
  <c r="A188" i="1"/>
  <c r="B188" i="1"/>
  <c r="C188" i="1"/>
  <c r="D188" i="1"/>
  <c r="E188" i="1"/>
  <c r="F188" i="1"/>
  <c r="A189" i="1"/>
  <c r="B189" i="1"/>
  <c r="C189" i="1"/>
  <c r="D189" i="1"/>
  <c r="E189" i="1"/>
  <c r="F189" i="1"/>
  <c r="A190" i="1"/>
  <c r="B190" i="1"/>
  <c r="C190" i="1"/>
  <c r="D190" i="1"/>
  <c r="E190" i="1"/>
  <c r="F190" i="1"/>
  <c r="A191" i="1"/>
  <c r="B191" i="1"/>
  <c r="C191" i="1"/>
  <c r="D191" i="1"/>
  <c r="E191" i="1"/>
  <c r="F191" i="1"/>
  <c r="A192" i="1"/>
  <c r="B192" i="1"/>
  <c r="C192" i="1"/>
  <c r="D192" i="1"/>
  <c r="E192" i="1"/>
  <c r="F192" i="1"/>
  <c r="A193" i="1"/>
  <c r="B193" i="1"/>
  <c r="C193" i="1"/>
  <c r="D193" i="1"/>
  <c r="E193" i="1"/>
  <c r="F193" i="1"/>
  <c r="A194" i="1"/>
  <c r="B194" i="1"/>
  <c r="C194" i="1"/>
  <c r="D194" i="1"/>
  <c r="E194" i="1"/>
  <c r="F194" i="1"/>
  <c r="A195" i="1"/>
  <c r="B195" i="1"/>
  <c r="C195" i="1"/>
  <c r="D195" i="1"/>
  <c r="E195" i="1"/>
  <c r="F195" i="1"/>
  <c r="A196" i="1"/>
  <c r="B196" i="1"/>
  <c r="C196" i="1"/>
  <c r="D196" i="1"/>
  <c r="E196" i="1"/>
  <c r="F196" i="1"/>
  <c r="A197" i="1"/>
  <c r="B197" i="1"/>
  <c r="C197" i="1"/>
  <c r="D197" i="1"/>
  <c r="E197" i="1"/>
  <c r="F197" i="1"/>
  <c r="A198" i="1"/>
  <c r="B198" i="1"/>
  <c r="C198" i="1"/>
  <c r="D198" i="1"/>
  <c r="E198" i="1"/>
  <c r="F198" i="1"/>
  <c r="A199" i="1"/>
  <c r="B199" i="1"/>
  <c r="C199" i="1"/>
  <c r="D199" i="1"/>
  <c r="E199" i="1"/>
  <c r="F199" i="1"/>
  <c r="A200" i="1"/>
  <c r="B200" i="1"/>
  <c r="C200" i="1"/>
  <c r="D200" i="1"/>
  <c r="E200" i="1"/>
  <c r="F200" i="1"/>
  <c r="A201" i="1"/>
  <c r="B201" i="1"/>
  <c r="C201" i="1"/>
  <c r="D201" i="1"/>
  <c r="E201" i="1"/>
  <c r="F201" i="1"/>
  <c r="A202" i="1"/>
  <c r="B202" i="1"/>
  <c r="C202" i="1"/>
  <c r="D202" i="1"/>
  <c r="E202" i="1"/>
  <c r="F202" i="1"/>
  <c r="A203" i="1"/>
  <c r="B203" i="1"/>
  <c r="C203" i="1"/>
  <c r="D203" i="1"/>
  <c r="E203" i="1"/>
  <c r="F203" i="1"/>
  <c r="A204" i="1"/>
  <c r="B204" i="1"/>
  <c r="C204" i="1"/>
  <c r="D204" i="1"/>
  <c r="E204" i="1"/>
  <c r="F204" i="1"/>
  <c r="A205" i="1"/>
  <c r="B205" i="1"/>
  <c r="C205" i="1"/>
  <c r="D205" i="1"/>
  <c r="E205" i="1"/>
  <c r="F205" i="1"/>
  <c r="A206" i="1"/>
  <c r="B206" i="1"/>
  <c r="C206" i="1"/>
  <c r="D206" i="1"/>
  <c r="E206" i="1"/>
  <c r="F206" i="1"/>
  <c r="A207" i="1"/>
  <c r="B207" i="1"/>
  <c r="C207" i="1"/>
  <c r="D207" i="1"/>
  <c r="E207" i="1"/>
  <c r="F207" i="1"/>
  <c r="A208" i="1"/>
  <c r="B208" i="1"/>
  <c r="C208" i="1"/>
  <c r="D208" i="1"/>
  <c r="E208" i="1"/>
  <c r="F208" i="1"/>
  <c r="A209" i="1"/>
  <c r="B209" i="1"/>
  <c r="C209" i="1"/>
  <c r="D209" i="1"/>
  <c r="E209" i="1"/>
  <c r="F209" i="1"/>
  <c r="A210" i="1"/>
  <c r="B210" i="1"/>
  <c r="C210" i="1"/>
  <c r="D210" i="1"/>
  <c r="E210" i="1"/>
  <c r="F210" i="1"/>
  <c r="A211" i="1"/>
  <c r="B211" i="1"/>
  <c r="C211" i="1"/>
  <c r="D211" i="1"/>
  <c r="E211" i="1"/>
  <c r="F211" i="1"/>
  <c r="A212" i="1"/>
  <c r="B212" i="1"/>
  <c r="C212" i="1"/>
  <c r="D212" i="1"/>
  <c r="E212" i="1"/>
  <c r="F212" i="1"/>
  <c r="A213" i="1"/>
  <c r="B213" i="1"/>
  <c r="C213" i="1"/>
  <c r="D213" i="1"/>
  <c r="E213" i="1"/>
  <c r="F213" i="1"/>
  <c r="A214" i="1"/>
  <c r="B214" i="1"/>
  <c r="C214" i="1"/>
  <c r="D214" i="1"/>
  <c r="E214" i="1"/>
  <c r="F214" i="1"/>
  <c r="A215" i="1"/>
  <c r="B215" i="1"/>
  <c r="C215" i="1"/>
  <c r="D215" i="1"/>
  <c r="E215" i="1"/>
  <c r="F215" i="1"/>
  <c r="A216" i="1"/>
  <c r="B216" i="1"/>
  <c r="C216" i="1"/>
  <c r="D216" i="1"/>
  <c r="E216" i="1"/>
  <c r="F216" i="1"/>
  <c r="A217" i="1"/>
  <c r="B217" i="1"/>
  <c r="C217" i="1"/>
  <c r="D217" i="1"/>
  <c r="E217" i="1"/>
  <c r="F217" i="1"/>
  <c r="A218" i="1"/>
  <c r="B218" i="1"/>
  <c r="C218" i="1"/>
  <c r="D218" i="1"/>
  <c r="E218" i="1"/>
  <c r="F218" i="1"/>
  <c r="A219" i="1"/>
  <c r="B219" i="1"/>
  <c r="C219" i="1"/>
  <c r="D219" i="1"/>
  <c r="E219" i="1"/>
  <c r="F219" i="1"/>
  <c r="A220" i="1"/>
  <c r="B220" i="1"/>
  <c r="C220" i="1"/>
  <c r="D220" i="1"/>
  <c r="E220" i="1"/>
  <c r="F220" i="1"/>
  <c r="A221" i="1"/>
  <c r="B221" i="1"/>
  <c r="C221" i="1"/>
  <c r="D221" i="1"/>
  <c r="E221" i="1"/>
  <c r="F221" i="1"/>
  <c r="A222" i="1"/>
  <c r="B222" i="1"/>
  <c r="C222" i="1"/>
  <c r="D222" i="1"/>
  <c r="E222" i="1"/>
  <c r="F222" i="1"/>
  <c r="A223" i="1"/>
  <c r="B223" i="1"/>
  <c r="C223" i="1"/>
  <c r="D223" i="1"/>
  <c r="E223" i="1"/>
  <c r="F223" i="1"/>
  <c r="A224" i="1"/>
  <c r="B224" i="1"/>
  <c r="C224" i="1"/>
  <c r="D224" i="1"/>
  <c r="E224" i="1"/>
  <c r="F224" i="1"/>
  <c r="A225" i="1"/>
  <c r="B225" i="1"/>
  <c r="C225" i="1"/>
  <c r="D225" i="1"/>
  <c r="E225" i="1"/>
  <c r="F225" i="1"/>
  <c r="A226" i="1"/>
  <c r="B226" i="1"/>
  <c r="C226" i="1"/>
  <c r="D226" i="1"/>
  <c r="E226" i="1"/>
  <c r="F226" i="1"/>
  <c r="A227" i="1"/>
  <c r="B227" i="1"/>
  <c r="C227" i="1"/>
  <c r="D227" i="1"/>
  <c r="E227" i="1"/>
  <c r="F227" i="1"/>
  <c r="A228" i="1"/>
  <c r="B228" i="1"/>
  <c r="C228" i="1"/>
  <c r="D228" i="1"/>
  <c r="E228" i="1"/>
  <c r="F228" i="1"/>
  <c r="A229" i="1"/>
  <c r="B229" i="1"/>
  <c r="C229" i="1"/>
  <c r="D229" i="1"/>
  <c r="E229" i="1"/>
  <c r="F229" i="1"/>
  <c r="A230" i="1"/>
  <c r="B230" i="1"/>
  <c r="C230" i="1"/>
  <c r="D230" i="1"/>
  <c r="E230" i="1"/>
  <c r="F230" i="1"/>
  <c r="A231" i="1"/>
  <c r="B231" i="1"/>
  <c r="C231" i="1"/>
  <c r="D231" i="1"/>
  <c r="E231" i="1"/>
  <c r="F231" i="1"/>
  <c r="A232" i="1"/>
  <c r="B232" i="1"/>
  <c r="C232" i="1"/>
  <c r="D232" i="1"/>
  <c r="E232" i="1"/>
  <c r="F232" i="1"/>
  <c r="A233" i="1"/>
  <c r="B233" i="1"/>
  <c r="C233" i="1"/>
  <c r="D233" i="1"/>
  <c r="E233" i="1"/>
  <c r="F233" i="1"/>
  <c r="A234" i="1"/>
  <c r="B234" i="1"/>
  <c r="C234" i="1"/>
  <c r="D234" i="1"/>
  <c r="E234" i="1"/>
  <c r="F234" i="1"/>
  <c r="A235" i="1"/>
  <c r="B235" i="1"/>
  <c r="C235" i="1"/>
  <c r="D235" i="1"/>
  <c r="E235" i="1"/>
  <c r="F235" i="1"/>
  <c r="A236" i="1"/>
  <c r="B236" i="1"/>
  <c r="C236" i="1"/>
  <c r="D236" i="1"/>
  <c r="E236" i="1"/>
  <c r="F236" i="1"/>
  <c r="A237" i="1"/>
  <c r="B237" i="1"/>
  <c r="C237" i="1"/>
  <c r="D237" i="1"/>
  <c r="E237" i="1"/>
  <c r="F237" i="1"/>
  <c r="A238" i="1"/>
  <c r="B238" i="1"/>
  <c r="C238" i="1"/>
  <c r="D238" i="1"/>
  <c r="E238" i="1"/>
  <c r="F238" i="1"/>
  <c r="A239" i="1"/>
  <c r="B239" i="1"/>
  <c r="C239" i="1"/>
  <c r="D239" i="1"/>
  <c r="E239" i="1"/>
  <c r="F239" i="1"/>
  <c r="A240" i="1"/>
  <c r="B240" i="1"/>
  <c r="C240" i="1"/>
  <c r="D240" i="1"/>
  <c r="E240" i="1"/>
  <c r="F240" i="1"/>
  <c r="A241" i="1"/>
  <c r="B241" i="1"/>
  <c r="C241" i="1"/>
  <c r="D241" i="1"/>
  <c r="E241" i="1"/>
  <c r="F241" i="1"/>
  <c r="A242" i="1"/>
  <c r="B242" i="1"/>
  <c r="C242" i="1"/>
  <c r="D242" i="1"/>
  <c r="E242" i="1"/>
  <c r="F242" i="1"/>
  <c r="A243" i="1"/>
  <c r="B243" i="1"/>
  <c r="C243" i="1"/>
  <c r="D243" i="1"/>
  <c r="E243" i="1"/>
  <c r="F243" i="1"/>
  <c r="A244" i="1"/>
  <c r="B244" i="1"/>
  <c r="C244" i="1"/>
  <c r="D244" i="1"/>
  <c r="E244" i="1"/>
  <c r="F244" i="1"/>
  <c r="A245" i="1"/>
  <c r="B245" i="1"/>
  <c r="C245" i="1"/>
  <c r="D245" i="1"/>
  <c r="E245" i="1"/>
  <c r="F245" i="1"/>
  <c r="A246" i="1"/>
  <c r="B246" i="1"/>
  <c r="C246" i="1"/>
  <c r="D246" i="1"/>
  <c r="E246" i="1"/>
  <c r="F246" i="1"/>
  <c r="A247" i="1"/>
  <c r="B247" i="1"/>
  <c r="C247" i="1"/>
  <c r="D247" i="1"/>
  <c r="E247" i="1"/>
  <c r="F247" i="1"/>
  <c r="A248" i="1"/>
  <c r="B248" i="1"/>
  <c r="C248" i="1"/>
  <c r="D248" i="1"/>
  <c r="E248" i="1"/>
  <c r="F248" i="1"/>
  <c r="A249" i="1"/>
  <c r="B249" i="1"/>
  <c r="C249" i="1"/>
  <c r="D249" i="1"/>
  <c r="E249" i="1"/>
  <c r="F249" i="1"/>
  <c r="A250" i="1"/>
  <c r="B250" i="1"/>
  <c r="C250" i="1"/>
  <c r="D250" i="1"/>
  <c r="E250" i="1"/>
  <c r="F250" i="1"/>
  <c r="A251" i="1"/>
  <c r="B251" i="1"/>
  <c r="C251" i="1"/>
  <c r="D251" i="1"/>
  <c r="E251" i="1"/>
  <c r="F251" i="1"/>
  <c r="A252" i="1"/>
  <c r="B252" i="1"/>
  <c r="C252" i="1"/>
  <c r="D252" i="1"/>
  <c r="E252" i="1"/>
  <c r="F252" i="1"/>
  <c r="A253" i="1"/>
  <c r="B253" i="1"/>
  <c r="C253" i="1"/>
  <c r="D253" i="1"/>
  <c r="E253" i="1"/>
  <c r="F253" i="1"/>
  <c r="A254" i="1"/>
  <c r="B254" i="1"/>
  <c r="C254" i="1"/>
  <c r="D254" i="1"/>
  <c r="E254" i="1"/>
  <c r="F254" i="1"/>
  <c r="A255" i="1"/>
  <c r="B255" i="1"/>
  <c r="C255" i="1"/>
  <c r="D255" i="1"/>
  <c r="E255" i="1"/>
  <c r="F255" i="1"/>
  <c r="A256" i="1"/>
  <c r="B256" i="1"/>
  <c r="C256" i="1"/>
  <c r="D256" i="1"/>
  <c r="E256" i="1"/>
  <c r="F256" i="1"/>
  <c r="A257" i="1"/>
  <c r="B257" i="1"/>
  <c r="C257" i="1"/>
  <c r="D257" i="1"/>
  <c r="E257" i="1"/>
  <c r="F257" i="1"/>
  <c r="A258" i="1"/>
  <c r="B258" i="1"/>
  <c r="C258" i="1"/>
  <c r="D258" i="1"/>
  <c r="E258" i="1"/>
  <c r="F258" i="1"/>
  <c r="A259" i="1"/>
  <c r="B259" i="1"/>
  <c r="C259" i="1"/>
  <c r="D259" i="1"/>
  <c r="E259" i="1"/>
  <c r="F259" i="1"/>
  <c r="A260" i="1"/>
  <c r="B260" i="1"/>
  <c r="C260" i="1"/>
  <c r="D260" i="1"/>
  <c r="E260" i="1"/>
  <c r="F260" i="1"/>
  <c r="A261" i="1"/>
  <c r="B261" i="1"/>
  <c r="C261" i="1"/>
  <c r="D261" i="1"/>
  <c r="E261" i="1"/>
  <c r="F261" i="1"/>
  <c r="A262" i="1"/>
  <c r="B262" i="1"/>
  <c r="C262" i="1"/>
  <c r="D262" i="1"/>
  <c r="E262" i="1"/>
  <c r="F262" i="1"/>
  <c r="A263" i="1"/>
  <c r="B263" i="1"/>
  <c r="C263" i="1"/>
  <c r="D263" i="1"/>
  <c r="E263" i="1"/>
  <c r="F263" i="1"/>
  <c r="A264" i="1"/>
  <c r="B264" i="1"/>
  <c r="C264" i="1"/>
  <c r="D264" i="1"/>
  <c r="E264" i="1"/>
  <c r="F264" i="1"/>
  <c r="A265" i="1"/>
  <c r="B265" i="1"/>
  <c r="C265" i="1"/>
  <c r="D265" i="1"/>
  <c r="E265" i="1"/>
  <c r="F265" i="1"/>
  <c r="A266" i="1"/>
  <c r="B266" i="1"/>
  <c r="C266" i="1"/>
  <c r="D266" i="1"/>
  <c r="E266" i="1"/>
  <c r="F266" i="1"/>
  <c r="A267" i="1"/>
  <c r="B267" i="1"/>
  <c r="C267" i="1"/>
  <c r="D267" i="1"/>
  <c r="E267" i="1"/>
  <c r="F267" i="1"/>
  <c r="A268" i="1"/>
  <c r="B268" i="1"/>
  <c r="C268" i="1"/>
  <c r="D268" i="1"/>
  <c r="E268" i="1"/>
  <c r="F268" i="1"/>
  <c r="A269" i="1"/>
  <c r="B269" i="1"/>
  <c r="C269" i="1"/>
  <c r="D269" i="1"/>
  <c r="E269" i="1"/>
  <c r="F269" i="1"/>
  <c r="A270" i="1"/>
  <c r="B270" i="1"/>
  <c r="C270" i="1"/>
  <c r="D270" i="1"/>
  <c r="E270" i="1"/>
  <c r="F270" i="1"/>
  <c r="A271" i="1"/>
  <c r="B271" i="1"/>
  <c r="C271" i="1"/>
  <c r="D271" i="1"/>
  <c r="E271" i="1"/>
  <c r="F271" i="1"/>
  <c r="A272" i="1"/>
  <c r="B272" i="1"/>
  <c r="C272" i="1"/>
  <c r="D272" i="1"/>
  <c r="E272" i="1"/>
  <c r="F272" i="1"/>
  <c r="A273" i="1"/>
  <c r="B273" i="1"/>
  <c r="C273" i="1"/>
  <c r="D273" i="1"/>
  <c r="E273" i="1"/>
  <c r="F273" i="1"/>
  <c r="A274" i="1"/>
  <c r="B274" i="1"/>
  <c r="C274" i="1"/>
  <c r="D274" i="1"/>
  <c r="E274" i="1"/>
  <c r="F274" i="1"/>
  <c r="A275" i="1"/>
  <c r="B275" i="1"/>
  <c r="C275" i="1"/>
  <c r="D275" i="1"/>
  <c r="E275" i="1"/>
  <c r="F275" i="1"/>
  <c r="A276" i="1"/>
  <c r="B276" i="1"/>
  <c r="C276" i="1"/>
  <c r="D276" i="1"/>
  <c r="E276" i="1"/>
  <c r="F276" i="1"/>
  <c r="A277" i="1"/>
  <c r="B277" i="1"/>
  <c r="C277" i="1"/>
  <c r="D277" i="1"/>
  <c r="E277" i="1"/>
  <c r="F277" i="1"/>
  <c r="A278" i="1"/>
  <c r="B278" i="1"/>
  <c r="C278" i="1"/>
  <c r="D278" i="1"/>
  <c r="E278" i="1"/>
  <c r="F278" i="1"/>
  <c r="A279" i="1"/>
  <c r="B279" i="1"/>
  <c r="C279" i="1"/>
  <c r="D279" i="1"/>
  <c r="E279" i="1"/>
  <c r="F279" i="1"/>
  <c r="A280" i="1"/>
  <c r="B280" i="1"/>
  <c r="C280" i="1"/>
  <c r="D280" i="1"/>
  <c r="E280" i="1"/>
  <c r="F280" i="1"/>
  <c r="A281" i="1"/>
  <c r="B281" i="1"/>
  <c r="C281" i="1"/>
  <c r="D281" i="1"/>
  <c r="E281" i="1"/>
  <c r="F281" i="1"/>
  <c r="A282" i="1"/>
  <c r="B282" i="1"/>
  <c r="C282" i="1"/>
  <c r="D282" i="1"/>
  <c r="E282" i="1"/>
  <c r="F282" i="1"/>
  <c r="A283" i="1"/>
  <c r="B283" i="1"/>
  <c r="C283" i="1"/>
  <c r="D283" i="1"/>
  <c r="E283" i="1"/>
  <c r="F283" i="1"/>
  <c r="A284" i="1"/>
  <c r="B284" i="1"/>
  <c r="C284" i="1"/>
  <c r="D284" i="1"/>
  <c r="E284" i="1"/>
  <c r="F284" i="1"/>
  <c r="A285" i="1"/>
  <c r="B285" i="1"/>
  <c r="C285" i="1"/>
  <c r="D285" i="1"/>
  <c r="E285" i="1"/>
  <c r="F285" i="1"/>
  <c r="A286" i="1"/>
  <c r="B286" i="1"/>
  <c r="C286" i="1"/>
  <c r="D286" i="1"/>
  <c r="E286" i="1"/>
  <c r="F286" i="1"/>
  <c r="A287" i="1"/>
  <c r="B287" i="1"/>
  <c r="C287" i="1"/>
  <c r="D287" i="1"/>
  <c r="E287" i="1"/>
  <c r="F287" i="1"/>
  <c r="A288" i="1"/>
  <c r="B288" i="1"/>
  <c r="C288" i="1"/>
  <c r="D288" i="1"/>
  <c r="E288" i="1"/>
  <c r="F288" i="1"/>
  <c r="A289" i="1"/>
  <c r="B289" i="1"/>
  <c r="C289" i="1"/>
  <c r="D289" i="1"/>
  <c r="E289" i="1"/>
  <c r="F289" i="1"/>
  <c r="A290" i="1"/>
  <c r="B290" i="1"/>
  <c r="C290" i="1"/>
  <c r="D290" i="1"/>
  <c r="E290" i="1"/>
  <c r="F290" i="1"/>
  <c r="A291" i="1"/>
  <c r="B291" i="1"/>
  <c r="C291" i="1"/>
  <c r="D291" i="1"/>
  <c r="E291" i="1"/>
  <c r="F291" i="1"/>
  <c r="A292" i="1"/>
  <c r="B292" i="1"/>
  <c r="C292" i="1"/>
  <c r="D292" i="1"/>
  <c r="E292" i="1"/>
  <c r="F292" i="1"/>
  <c r="A293" i="1"/>
  <c r="B293" i="1"/>
  <c r="C293" i="1"/>
  <c r="D293" i="1"/>
  <c r="E293" i="1"/>
  <c r="F293" i="1"/>
  <c r="A294" i="1"/>
  <c r="B294" i="1"/>
  <c r="C294" i="1"/>
  <c r="D294" i="1"/>
  <c r="E294" i="1"/>
  <c r="F294" i="1"/>
  <c r="A295" i="1"/>
  <c r="B295" i="1"/>
  <c r="C295" i="1"/>
  <c r="D295" i="1"/>
  <c r="E295" i="1"/>
  <c r="F295" i="1"/>
  <c r="A296" i="1"/>
  <c r="B296" i="1"/>
  <c r="C296" i="1"/>
  <c r="D296" i="1"/>
  <c r="E296" i="1"/>
  <c r="F296" i="1"/>
  <c r="A297" i="1"/>
  <c r="B297" i="1"/>
  <c r="C297" i="1"/>
  <c r="D297" i="1"/>
  <c r="E297" i="1"/>
  <c r="F297" i="1"/>
  <c r="A298" i="1"/>
  <c r="B298" i="1"/>
  <c r="C298" i="1"/>
  <c r="D298" i="1"/>
  <c r="E298" i="1"/>
  <c r="F298" i="1"/>
  <c r="A299" i="1"/>
  <c r="B299" i="1"/>
  <c r="C299" i="1"/>
  <c r="D299" i="1"/>
  <c r="E299" i="1"/>
  <c r="F299" i="1"/>
  <c r="A300" i="1"/>
  <c r="B300" i="1"/>
  <c r="C300" i="1"/>
  <c r="D300" i="1"/>
  <c r="E300" i="1"/>
  <c r="F300" i="1"/>
  <c r="A301" i="1"/>
  <c r="B301" i="1"/>
  <c r="C301" i="1"/>
  <c r="D301" i="1"/>
  <c r="E301" i="1"/>
  <c r="F301" i="1"/>
  <c r="A302" i="1"/>
  <c r="B302" i="1"/>
  <c r="C302" i="1"/>
  <c r="D302" i="1"/>
  <c r="E302" i="1"/>
  <c r="F302" i="1"/>
  <c r="A303" i="1"/>
  <c r="B303" i="1"/>
  <c r="C303" i="1"/>
  <c r="D303" i="1"/>
  <c r="E303" i="1"/>
  <c r="F303" i="1"/>
  <c r="A304" i="1"/>
  <c r="B304" i="1"/>
  <c r="C304" i="1"/>
  <c r="D304" i="1"/>
  <c r="E304" i="1"/>
  <c r="F304" i="1"/>
  <c r="A305" i="1"/>
  <c r="B305" i="1"/>
  <c r="C305" i="1"/>
  <c r="D305" i="1"/>
  <c r="E305" i="1"/>
  <c r="F305" i="1"/>
  <c r="A306" i="1"/>
  <c r="B306" i="1"/>
  <c r="C306" i="1"/>
  <c r="D306" i="1"/>
  <c r="E306" i="1"/>
  <c r="F306" i="1"/>
  <c r="A307" i="1"/>
  <c r="B307" i="1"/>
  <c r="C307" i="1"/>
  <c r="D307" i="1"/>
  <c r="E307" i="1"/>
  <c r="F307" i="1"/>
  <c r="A308" i="1"/>
  <c r="B308" i="1"/>
  <c r="C308" i="1"/>
  <c r="D308" i="1"/>
  <c r="E308" i="1"/>
  <c r="F308" i="1"/>
  <c r="A309" i="1"/>
  <c r="B309" i="1"/>
  <c r="C309" i="1"/>
  <c r="D309" i="1"/>
  <c r="E309" i="1"/>
  <c r="F309" i="1"/>
  <c r="A310" i="1"/>
  <c r="B310" i="1"/>
  <c r="C310" i="1"/>
  <c r="D310" i="1"/>
  <c r="E310" i="1"/>
  <c r="F310" i="1"/>
  <c r="A311" i="1"/>
  <c r="B311" i="1"/>
  <c r="C311" i="1"/>
  <c r="D311" i="1"/>
  <c r="E311" i="1"/>
  <c r="F311" i="1"/>
  <c r="A312" i="1"/>
  <c r="B312" i="1"/>
  <c r="C312" i="1"/>
  <c r="D312" i="1"/>
  <c r="E312" i="1"/>
  <c r="F312" i="1"/>
  <c r="A313" i="1"/>
  <c r="B313" i="1"/>
  <c r="C313" i="1"/>
  <c r="D313" i="1"/>
  <c r="E313" i="1"/>
  <c r="F313" i="1"/>
  <c r="A314" i="1"/>
  <c r="B314" i="1"/>
  <c r="C314" i="1"/>
  <c r="D314" i="1"/>
  <c r="E314" i="1"/>
  <c r="F314" i="1"/>
  <c r="A315" i="1"/>
  <c r="B315" i="1"/>
  <c r="C315" i="1"/>
  <c r="D315" i="1"/>
  <c r="E315" i="1"/>
  <c r="F315" i="1"/>
  <c r="A316" i="1"/>
  <c r="B316" i="1"/>
  <c r="C316" i="1"/>
  <c r="D316" i="1"/>
  <c r="E316" i="1"/>
  <c r="F316" i="1"/>
  <c r="A317" i="1"/>
  <c r="B317" i="1"/>
  <c r="C317" i="1"/>
  <c r="D317" i="1"/>
  <c r="E317" i="1"/>
  <c r="F317" i="1"/>
  <c r="A318" i="1"/>
  <c r="B318" i="1"/>
  <c r="C318" i="1"/>
  <c r="D318" i="1"/>
  <c r="E318" i="1"/>
  <c r="F318" i="1"/>
  <c r="A319" i="1" l="1"/>
  <c r="B319" i="1"/>
  <c r="C319" i="1"/>
  <c r="D319" i="1"/>
  <c r="E319" i="1"/>
  <c r="F319" i="1"/>
  <c r="A320" i="1"/>
  <c r="B320" i="1"/>
  <c r="C320" i="1"/>
  <c r="D320" i="1"/>
  <c r="E320" i="1"/>
  <c r="F320" i="1"/>
  <c r="A321" i="1"/>
  <c r="B321" i="1"/>
  <c r="C321" i="1"/>
  <c r="D321" i="1"/>
  <c r="E321" i="1"/>
  <c r="F321" i="1"/>
  <c r="A322" i="1"/>
  <c r="B322" i="1"/>
  <c r="C322" i="1"/>
  <c r="D322" i="1"/>
  <c r="E322" i="1"/>
  <c r="F322" i="1"/>
  <c r="A323" i="1"/>
  <c r="B323" i="1"/>
  <c r="C323" i="1"/>
  <c r="D323" i="1"/>
  <c r="E323" i="1"/>
  <c r="F323" i="1"/>
  <c r="A324" i="1"/>
  <c r="B324" i="1"/>
  <c r="C324" i="1"/>
  <c r="D324" i="1"/>
  <c r="E324" i="1"/>
  <c r="F324" i="1"/>
  <c r="A325" i="1"/>
  <c r="B325" i="1"/>
  <c r="C325" i="1"/>
  <c r="D325" i="1"/>
  <c r="E325" i="1"/>
  <c r="F325" i="1"/>
  <c r="A326" i="1"/>
  <c r="B326" i="1"/>
  <c r="C326" i="1"/>
  <c r="D326" i="1"/>
  <c r="E326" i="1"/>
  <c r="F326" i="1"/>
  <c r="A327" i="1"/>
  <c r="B327" i="1"/>
  <c r="C327" i="1"/>
  <c r="D327" i="1"/>
  <c r="E327" i="1"/>
  <c r="F327" i="1"/>
  <c r="A328" i="1"/>
  <c r="B328" i="1"/>
  <c r="C328" i="1"/>
  <c r="D328" i="1"/>
  <c r="E328" i="1"/>
  <c r="F328" i="1"/>
  <c r="A329" i="1"/>
  <c r="B329" i="1"/>
  <c r="C329" i="1"/>
  <c r="D329" i="1"/>
  <c r="E329" i="1"/>
  <c r="F329" i="1"/>
  <c r="A330" i="1"/>
  <c r="B330" i="1"/>
  <c r="C330" i="1"/>
  <c r="D330" i="1"/>
  <c r="E330" i="1"/>
  <c r="F330" i="1"/>
  <c r="A331" i="1"/>
  <c r="B331" i="1"/>
  <c r="C331" i="1"/>
  <c r="D331" i="1"/>
  <c r="E331" i="1"/>
  <c r="F331" i="1"/>
  <c r="A332" i="1"/>
  <c r="B332" i="1"/>
  <c r="C332" i="1"/>
  <c r="D332" i="1"/>
  <c r="E332" i="1"/>
  <c r="F332" i="1"/>
  <c r="A333" i="1"/>
  <c r="B333" i="1"/>
  <c r="C333" i="1"/>
  <c r="D333" i="1"/>
  <c r="E333" i="1"/>
  <c r="F333" i="1"/>
  <c r="A334" i="1"/>
  <c r="B334" i="1"/>
  <c r="C334" i="1"/>
  <c r="D334" i="1"/>
  <c r="E334" i="1"/>
  <c r="F334" i="1"/>
  <c r="A335" i="1"/>
  <c r="B335" i="1"/>
  <c r="C335" i="1"/>
  <c r="D335" i="1"/>
  <c r="E335" i="1"/>
  <c r="F335" i="1"/>
  <c r="A336" i="1"/>
  <c r="B336" i="1"/>
  <c r="C336" i="1"/>
  <c r="D336" i="1"/>
  <c r="E336" i="1"/>
  <c r="F336" i="1"/>
  <c r="A337" i="1"/>
  <c r="B337" i="1"/>
  <c r="C337" i="1"/>
  <c r="D337" i="1"/>
  <c r="E337" i="1"/>
  <c r="F337" i="1"/>
  <c r="A338" i="1"/>
  <c r="B338" i="1"/>
  <c r="C338" i="1"/>
  <c r="D338" i="1"/>
  <c r="E338" i="1"/>
  <c r="F338" i="1"/>
  <c r="A339" i="1"/>
  <c r="B339" i="1"/>
  <c r="C339" i="1"/>
  <c r="D339" i="1"/>
  <c r="E339" i="1"/>
  <c r="F339" i="1"/>
  <c r="A340" i="1"/>
  <c r="B340" i="1"/>
  <c r="C340" i="1"/>
  <c r="D340" i="1"/>
  <c r="E340" i="1"/>
  <c r="F340" i="1"/>
  <c r="A341" i="1"/>
  <c r="B341" i="1"/>
  <c r="C341" i="1"/>
  <c r="D341" i="1"/>
  <c r="E341" i="1"/>
  <c r="F341" i="1"/>
  <c r="A342" i="1"/>
  <c r="B342" i="1"/>
  <c r="C342" i="1"/>
  <c r="D342" i="1"/>
  <c r="E342" i="1"/>
  <c r="F342" i="1"/>
  <c r="A343" i="1"/>
  <c r="B343" i="1"/>
  <c r="C343" i="1"/>
  <c r="D343" i="1"/>
  <c r="E343" i="1"/>
  <c r="F343" i="1"/>
  <c r="A344" i="1"/>
  <c r="B344" i="1"/>
  <c r="C344" i="1"/>
  <c r="D344" i="1"/>
  <c r="E344" i="1"/>
  <c r="F344" i="1"/>
  <c r="A345" i="1"/>
  <c r="B345" i="1"/>
  <c r="C345" i="1"/>
  <c r="D345" i="1"/>
  <c r="E345" i="1"/>
  <c r="F345" i="1"/>
  <c r="A346" i="1"/>
  <c r="B346" i="1"/>
  <c r="C346" i="1"/>
  <c r="D346" i="1"/>
  <c r="E346" i="1"/>
  <c r="F346" i="1"/>
  <c r="A347" i="1"/>
  <c r="B347" i="1"/>
  <c r="C347" i="1"/>
  <c r="D347" i="1"/>
  <c r="E347" i="1"/>
  <c r="F347" i="1"/>
  <c r="A348" i="1"/>
  <c r="B348" i="1"/>
  <c r="C348" i="1"/>
  <c r="D348" i="1"/>
  <c r="E348" i="1"/>
  <c r="F348" i="1"/>
  <c r="A349" i="1"/>
  <c r="B349" i="1"/>
  <c r="C349" i="1"/>
  <c r="D349" i="1"/>
  <c r="E349" i="1"/>
  <c r="F349" i="1"/>
  <c r="A350" i="1"/>
  <c r="B350" i="1"/>
  <c r="C350" i="1"/>
  <c r="D350" i="1"/>
  <c r="E350" i="1"/>
  <c r="F350" i="1"/>
  <c r="A351" i="1"/>
  <c r="B351" i="1"/>
  <c r="C351" i="1"/>
  <c r="D351" i="1"/>
  <c r="E351" i="1"/>
  <c r="F351" i="1"/>
  <c r="A352" i="1"/>
  <c r="B352" i="1"/>
  <c r="C352" i="1"/>
  <c r="D352" i="1"/>
  <c r="E352" i="1"/>
  <c r="F352" i="1"/>
  <c r="A353" i="1"/>
  <c r="B353" i="1"/>
  <c r="C353" i="1"/>
  <c r="D353" i="1"/>
  <c r="E353" i="1"/>
  <c r="F353" i="1"/>
  <c r="A354" i="1"/>
  <c r="B354" i="1"/>
  <c r="C354" i="1"/>
  <c r="D354" i="1"/>
  <c r="E354" i="1"/>
  <c r="F354" i="1"/>
  <c r="A355" i="1"/>
  <c r="B355" i="1"/>
  <c r="C355" i="1"/>
  <c r="D355" i="1"/>
  <c r="E355" i="1"/>
  <c r="F355" i="1"/>
  <c r="A356" i="1"/>
  <c r="B356" i="1"/>
  <c r="C356" i="1"/>
  <c r="D356" i="1"/>
  <c r="E356" i="1"/>
  <c r="F356" i="1"/>
  <c r="A357" i="1"/>
  <c r="B357" i="1"/>
  <c r="C357" i="1"/>
  <c r="D357" i="1"/>
  <c r="E357" i="1"/>
  <c r="F357" i="1"/>
  <c r="A358" i="1"/>
  <c r="B358" i="1"/>
  <c r="C358" i="1"/>
  <c r="D358" i="1"/>
  <c r="E358" i="1"/>
  <c r="F358" i="1"/>
  <c r="A359" i="1"/>
  <c r="B359" i="1"/>
  <c r="C359" i="1"/>
  <c r="D359" i="1"/>
  <c r="E359" i="1"/>
  <c r="F359" i="1"/>
  <c r="A360" i="1"/>
  <c r="B360" i="1"/>
  <c r="C360" i="1"/>
  <c r="D360" i="1"/>
  <c r="E360" i="1"/>
  <c r="F360" i="1"/>
  <c r="A361" i="1"/>
  <c r="B361" i="1"/>
  <c r="C361" i="1"/>
  <c r="D361" i="1"/>
  <c r="E361" i="1"/>
  <c r="F361" i="1"/>
  <c r="A362" i="1"/>
  <c r="B362" i="1"/>
  <c r="C362" i="1"/>
  <c r="D362" i="1"/>
  <c r="E362" i="1"/>
  <c r="F362" i="1"/>
  <c r="A363" i="1"/>
  <c r="B363" i="1"/>
  <c r="C363" i="1"/>
  <c r="D363" i="1"/>
  <c r="E363" i="1"/>
  <c r="F363" i="1"/>
  <c r="A364" i="1"/>
  <c r="B364" i="1"/>
  <c r="C364" i="1"/>
  <c r="D364" i="1"/>
  <c r="E364" i="1"/>
  <c r="F364" i="1"/>
  <c r="A365" i="1"/>
  <c r="B365" i="1"/>
  <c r="C365" i="1"/>
  <c r="D365" i="1"/>
  <c r="E365" i="1"/>
  <c r="F365" i="1"/>
  <c r="A366" i="1"/>
  <c r="B366" i="1"/>
  <c r="C366" i="1"/>
  <c r="D366" i="1"/>
  <c r="E366" i="1"/>
  <c r="F366" i="1"/>
  <c r="A367" i="1"/>
  <c r="B367" i="1"/>
  <c r="C367" i="1"/>
  <c r="D367" i="1"/>
  <c r="E367" i="1"/>
  <c r="F367" i="1"/>
  <c r="A368" i="1"/>
  <c r="B368" i="1"/>
  <c r="C368" i="1"/>
  <c r="D368" i="1"/>
  <c r="E368" i="1"/>
  <c r="F368" i="1"/>
  <c r="A369" i="1"/>
  <c r="B369" i="1"/>
  <c r="C369" i="1"/>
  <c r="D369" i="1"/>
  <c r="E369" i="1"/>
  <c r="F369" i="1"/>
  <c r="A370" i="1"/>
  <c r="B370" i="1"/>
  <c r="C370" i="1"/>
  <c r="D370" i="1"/>
  <c r="E370" i="1"/>
  <c r="F370" i="1"/>
  <c r="A371" i="1"/>
  <c r="B371" i="1"/>
  <c r="C371" i="1"/>
  <c r="D371" i="1"/>
  <c r="E371" i="1"/>
  <c r="F371" i="1"/>
  <c r="A372" i="1"/>
  <c r="B372" i="1"/>
  <c r="C372" i="1"/>
  <c r="D372" i="1"/>
  <c r="E372" i="1"/>
  <c r="F372" i="1"/>
  <c r="A373" i="1"/>
  <c r="B373" i="1"/>
  <c r="C373" i="1"/>
  <c r="D373" i="1"/>
  <c r="E373" i="1"/>
  <c r="F373" i="1"/>
  <c r="A374" i="1"/>
  <c r="B374" i="1"/>
  <c r="C374" i="1"/>
  <c r="D374" i="1"/>
  <c r="E374" i="1"/>
  <c r="F374" i="1"/>
  <c r="A375" i="1"/>
  <c r="B375" i="1"/>
  <c r="C375" i="1"/>
  <c r="D375" i="1"/>
  <c r="E375" i="1"/>
  <c r="F375" i="1"/>
  <c r="A376" i="1"/>
  <c r="B376" i="1"/>
  <c r="C376" i="1"/>
  <c r="D376" i="1"/>
  <c r="E376" i="1"/>
  <c r="F376" i="1"/>
  <c r="A377" i="1"/>
  <c r="B377" i="1"/>
  <c r="C377" i="1"/>
  <c r="D377" i="1"/>
  <c r="E377" i="1"/>
  <c r="F377" i="1"/>
  <c r="A378" i="1"/>
  <c r="B378" i="1"/>
  <c r="C378" i="1"/>
  <c r="D378" i="1"/>
  <c r="E378" i="1"/>
  <c r="F378" i="1"/>
  <c r="A379" i="1"/>
  <c r="B379" i="1"/>
  <c r="C379" i="1"/>
  <c r="D379" i="1"/>
  <c r="E379" i="1"/>
  <c r="F379" i="1"/>
  <c r="A380" i="1"/>
  <c r="B380" i="1"/>
  <c r="C380" i="1"/>
  <c r="D380" i="1"/>
  <c r="E380" i="1"/>
  <c r="F380" i="1"/>
  <c r="A381" i="1"/>
  <c r="B381" i="1"/>
  <c r="C381" i="1"/>
  <c r="D381" i="1"/>
  <c r="E381" i="1"/>
  <c r="F381" i="1"/>
  <c r="A382" i="1"/>
  <c r="B382" i="1"/>
  <c r="C382" i="1"/>
  <c r="D382" i="1"/>
  <c r="E382" i="1"/>
  <c r="F382" i="1"/>
  <c r="A383" i="1"/>
  <c r="B383" i="1"/>
  <c r="C383" i="1"/>
  <c r="D383" i="1"/>
  <c r="E383" i="1"/>
  <c r="F383" i="1"/>
  <c r="A384" i="1"/>
  <c r="B384" i="1"/>
  <c r="C384" i="1"/>
  <c r="D384" i="1"/>
  <c r="E384" i="1"/>
  <c r="F384" i="1"/>
  <c r="A385" i="1"/>
  <c r="B385" i="1"/>
  <c r="C385" i="1"/>
  <c r="D385" i="1"/>
  <c r="E385" i="1"/>
  <c r="F385" i="1"/>
  <c r="A386" i="1"/>
  <c r="B386" i="1"/>
  <c r="C386" i="1"/>
  <c r="D386" i="1"/>
  <c r="E386" i="1"/>
  <c r="F386" i="1"/>
  <c r="A387" i="1"/>
  <c r="B387" i="1"/>
  <c r="C387" i="1"/>
  <c r="D387" i="1"/>
  <c r="E387" i="1"/>
  <c r="F387" i="1"/>
  <c r="A388" i="1"/>
  <c r="B388" i="1"/>
  <c r="C388" i="1"/>
  <c r="D388" i="1"/>
  <c r="E388" i="1"/>
  <c r="F388" i="1"/>
  <c r="A389" i="1"/>
  <c r="B389" i="1"/>
  <c r="C389" i="1"/>
  <c r="D389" i="1"/>
  <c r="E389" i="1"/>
  <c r="F389" i="1"/>
  <c r="A390" i="1"/>
  <c r="B390" i="1"/>
  <c r="C390" i="1"/>
  <c r="D390" i="1"/>
  <c r="E390" i="1"/>
  <c r="F390" i="1"/>
  <c r="A391" i="1"/>
  <c r="B391" i="1"/>
  <c r="C391" i="1"/>
  <c r="D391" i="1"/>
  <c r="E391" i="1"/>
  <c r="F391" i="1"/>
  <c r="A392" i="1"/>
  <c r="B392" i="1"/>
  <c r="C392" i="1"/>
  <c r="D392" i="1"/>
  <c r="E392" i="1"/>
  <c r="F392" i="1"/>
  <c r="A393" i="1"/>
  <c r="B393" i="1"/>
  <c r="C393" i="1"/>
  <c r="D393" i="1"/>
  <c r="E393" i="1"/>
  <c r="F393" i="1"/>
  <c r="A394" i="1"/>
  <c r="B394" i="1"/>
  <c r="C394" i="1"/>
  <c r="D394" i="1"/>
  <c r="E394" i="1"/>
  <c r="F394" i="1"/>
  <c r="A395" i="1"/>
  <c r="B395" i="1"/>
  <c r="C395" i="1"/>
  <c r="D395" i="1"/>
  <c r="E395" i="1"/>
  <c r="F395" i="1"/>
  <c r="A396" i="1"/>
  <c r="B396" i="1"/>
  <c r="C396" i="1"/>
  <c r="D396" i="1"/>
  <c r="E396" i="1"/>
  <c r="F396" i="1"/>
  <c r="A397" i="1"/>
  <c r="B397" i="1"/>
  <c r="C397" i="1"/>
  <c r="D397" i="1"/>
  <c r="E397" i="1"/>
  <c r="F397" i="1"/>
  <c r="A398" i="1"/>
  <c r="B398" i="1"/>
  <c r="C398" i="1"/>
  <c r="D398" i="1"/>
  <c r="E398" i="1"/>
  <c r="F398" i="1"/>
  <c r="A399" i="1"/>
  <c r="B399" i="1"/>
  <c r="C399" i="1"/>
  <c r="D399" i="1"/>
  <c r="E399" i="1"/>
  <c r="F399" i="1"/>
  <c r="A400" i="1"/>
  <c r="B400" i="1"/>
  <c r="C400" i="1"/>
  <c r="D400" i="1"/>
  <c r="E400" i="1"/>
  <c r="F400" i="1"/>
  <c r="A401" i="1"/>
  <c r="B401" i="1"/>
  <c r="C401" i="1"/>
  <c r="D401" i="1"/>
  <c r="E401" i="1"/>
  <c r="F401" i="1"/>
  <c r="A402" i="1"/>
  <c r="B402" i="1"/>
  <c r="C402" i="1"/>
  <c r="D402" i="1"/>
  <c r="E402" i="1"/>
  <c r="F402" i="1"/>
  <c r="A403" i="1"/>
  <c r="B403" i="1"/>
  <c r="C403" i="1"/>
  <c r="D403" i="1"/>
  <c r="E403" i="1"/>
  <c r="F403" i="1"/>
  <c r="A404" i="1"/>
  <c r="B404" i="1"/>
  <c r="C404" i="1"/>
  <c r="D404" i="1"/>
  <c r="E404" i="1"/>
  <c r="F404" i="1"/>
  <c r="A405" i="1"/>
  <c r="B405" i="1"/>
  <c r="C405" i="1"/>
  <c r="D405" i="1"/>
  <c r="E405" i="1"/>
  <c r="F405" i="1"/>
  <c r="A406" i="1"/>
  <c r="B406" i="1"/>
  <c r="C406" i="1"/>
  <c r="D406" i="1"/>
  <c r="E406" i="1"/>
  <c r="F406" i="1"/>
  <c r="A407" i="1"/>
  <c r="B407" i="1"/>
  <c r="C407" i="1"/>
  <c r="D407" i="1"/>
  <c r="E407" i="1"/>
  <c r="F407" i="1"/>
  <c r="A408" i="1"/>
  <c r="B408" i="1"/>
  <c r="C408" i="1"/>
  <c r="D408" i="1"/>
  <c r="E408" i="1"/>
  <c r="F408" i="1"/>
  <c r="A409" i="1"/>
  <c r="B409" i="1"/>
  <c r="C409" i="1"/>
  <c r="D409" i="1"/>
  <c r="E409" i="1"/>
  <c r="F409" i="1"/>
  <c r="A410" i="1"/>
  <c r="B410" i="1"/>
  <c r="C410" i="1"/>
  <c r="D410" i="1"/>
  <c r="E410" i="1"/>
  <c r="F410" i="1"/>
  <c r="A411" i="1"/>
  <c r="B411" i="1"/>
  <c r="C411" i="1"/>
  <c r="D411" i="1"/>
  <c r="E411" i="1"/>
  <c r="F411" i="1"/>
  <c r="A412" i="1"/>
  <c r="B412" i="1"/>
  <c r="C412" i="1"/>
  <c r="D412" i="1"/>
  <c r="E412" i="1"/>
  <c r="F412" i="1"/>
  <c r="A413" i="1"/>
  <c r="B413" i="1"/>
  <c r="C413" i="1"/>
  <c r="D413" i="1"/>
  <c r="E413" i="1"/>
  <c r="F413" i="1"/>
  <c r="A414" i="1"/>
  <c r="B414" i="1"/>
  <c r="C414" i="1"/>
  <c r="D414" i="1"/>
  <c r="E414" i="1"/>
  <c r="F414" i="1"/>
  <c r="A415" i="1"/>
  <c r="B415" i="1"/>
  <c r="C415" i="1"/>
  <c r="D415" i="1"/>
  <c r="E415" i="1"/>
  <c r="F415" i="1"/>
  <c r="A416" i="1"/>
  <c r="B416" i="1"/>
  <c r="C416" i="1"/>
  <c r="D416" i="1"/>
  <c r="E416" i="1"/>
  <c r="F416" i="1"/>
  <c r="A417" i="1"/>
  <c r="B417" i="1"/>
  <c r="C417" i="1"/>
  <c r="D417" i="1"/>
  <c r="E417" i="1"/>
  <c r="F417" i="1"/>
  <c r="A418" i="1"/>
  <c r="B418" i="1"/>
  <c r="C418" i="1"/>
  <c r="D418" i="1"/>
  <c r="E418" i="1"/>
  <c r="F418" i="1"/>
  <c r="A419" i="1"/>
  <c r="B419" i="1"/>
  <c r="C419" i="1"/>
  <c r="D419" i="1"/>
  <c r="E419" i="1"/>
  <c r="F419" i="1"/>
  <c r="A420" i="1"/>
  <c r="B420" i="1"/>
  <c r="C420" i="1"/>
  <c r="D420" i="1"/>
  <c r="E420" i="1"/>
  <c r="F420" i="1"/>
  <c r="A421" i="1"/>
  <c r="B421" i="1"/>
  <c r="C421" i="1"/>
  <c r="D421" i="1"/>
  <c r="E421" i="1"/>
  <c r="F421" i="1"/>
  <c r="A422" i="1"/>
  <c r="B422" i="1"/>
  <c r="C422" i="1"/>
  <c r="D422" i="1"/>
  <c r="E422" i="1"/>
  <c r="F422" i="1"/>
  <c r="A423" i="1"/>
  <c r="B423" i="1"/>
  <c r="C423" i="1"/>
  <c r="D423" i="1"/>
  <c r="E423" i="1"/>
  <c r="F423" i="1"/>
  <c r="A424" i="1"/>
  <c r="B424" i="1"/>
  <c r="C424" i="1"/>
  <c r="D424" i="1"/>
  <c r="E424" i="1"/>
  <c r="F424" i="1"/>
  <c r="A425" i="1"/>
  <c r="B425" i="1"/>
  <c r="C425" i="1"/>
  <c r="D425" i="1"/>
  <c r="E425" i="1"/>
  <c r="F425" i="1"/>
  <c r="A426" i="1"/>
  <c r="B426" i="1"/>
  <c r="C426" i="1"/>
  <c r="D426" i="1"/>
  <c r="E426" i="1"/>
  <c r="F426" i="1"/>
  <c r="A427" i="1"/>
  <c r="B427" i="1"/>
  <c r="C427" i="1"/>
  <c r="D427" i="1"/>
  <c r="E427" i="1"/>
  <c r="F427" i="1"/>
  <c r="A428" i="1"/>
  <c r="B428" i="1"/>
  <c r="C428" i="1"/>
  <c r="D428" i="1"/>
  <c r="E428" i="1"/>
  <c r="F428" i="1"/>
  <c r="A429" i="1"/>
  <c r="B429" i="1"/>
  <c r="C429" i="1"/>
  <c r="D429" i="1"/>
  <c r="E429" i="1"/>
  <c r="F429" i="1"/>
  <c r="A430" i="1"/>
  <c r="B430" i="1"/>
  <c r="C430" i="1"/>
  <c r="D430" i="1"/>
  <c r="E430" i="1"/>
  <c r="F430" i="1"/>
  <c r="A431" i="1"/>
  <c r="B431" i="1"/>
  <c r="C431" i="1"/>
  <c r="D431" i="1"/>
  <c r="E431" i="1"/>
  <c r="F431" i="1"/>
  <c r="A432" i="1"/>
  <c r="B432" i="1"/>
  <c r="C432" i="1"/>
  <c r="D432" i="1"/>
  <c r="E432" i="1"/>
  <c r="F432" i="1"/>
  <c r="A433" i="1"/>
  <c r="B433" i="1"/>
  <c r="C433" i="1"/>
  <c r="D433" i="1"/>
  <c r="E433" i="1"/>
  <c r="F433" i="1"/>
  <c r="A434" i="1"/>
  <c r="B434" i="1"/>
  <c r="C434" i="1"/>
  <c r="D434" i="1"/>
  <c r="E434" i="1"/>
  <c r="F434" i="1"/>
  <c r="A435" i="1"/>
  <c r="B435" i="1"/>
  <c r="C435" i="1"/>
  <c r="D435" i="1"/>
  <c r="E435" i="1"/>
  <c r="F435" i="1"/>
  <c r="A436" i="1"/>
  <c r="B436" i="1"/>
  <c r="C436" i="1"/>
  <c r="D436" i="1"/>
  <c r="E436" i="1"/>
  <c r="F436" i="1"/>
  <c r="A437" i="1"/>
  <c r="B437" i="1"/>
  <c r="C437" i="1"/>
  <c r="D437" i="1"/>
  <c r="E437" i="1"/>
  <c r="F437" i="1"/>
  <c r="A438" i="1"/>
  <c r="B438" i="1"/>
  <c r="C438" i="1"/>
  <c r="D438" i="1"/>
  <c r="E438" i="1"/>
  <c r="F438" i="1"/>
  <c r="A439" i="1"/>
  <c r="B439" i="1"/>
  <c r="C439" i="1"/>
  <c r="D439" i="1"/>
  <c r="E439" i="1"/>
  <c r="F439" i="1"/>
  <c r="A440" i="1"/>
  <c r="B440" i="1"/>
  <c r="C440" i="1"/>
  <c r="D440" i="1"/>
  <c r="E440" i="1"/>
  <c r="F440" i="1"/>
  <c r="A441" i="1"/>
  <c r="B441" i="1"/>
  <c r="C441" i="1"/>
  <c r="D441" i="1"/>
  <c r="E441" i="1"/>
  <c r="F441" i="1"/>
  <c r="A442" i="1"/>
  <c r="B442" i="1"/>
  <c r="C442" i="1"/>
  <c r="D442" i="1"/>
  <c r="E442" i="1"/>
  <c r="F442" i="1"/>
  <c r="A443" i="1"/>
  <c r="B443" i="1"/>
  <c r="C443" i="1"/>
  <c r="D443" i="1"/>
  <c r="E443" i="1"/>
  <c r="F443" i="1"/>
  <c r="A444" i="1"/>
  <c r="B444" i="1"/>
  <c r="C444" i="1"/>
  <c r="D444" i="1"/>
  <c r="E444" i="1"/>
  <c r="F444" i="1"/>
  <c r="A445" i="1"/>
  <c r="B445" i="1"/>
  <c r="C445" i="1"/>
  <c r="D445" i="1"/>
  <c r="E445" i="1"/>
  <c r="F445" i="1"/>
  <c r="A446" i="1"/>
  <c r="B446" i="1"/>
  <c r="C446" i="1"/>
  <c r="D446" i="1"/>
  <c r="E446" i="1"/>
  <c r="F446" i="1"/>
  <c r="A447" i="1"/>
  <c r="B447" i="1"/>
  <c r="C447" i="1"/>
  <c r="D447" i="1"/>
  <c r="E447" i="1"/>
  <c r="F447" i="1"/>
  <c r="A448" i="1"/>
  <c r="B448" i="1"/>
  <c r="C448" i="1"/>
  <c r="D448" i="1"/>
  <c r="E448" i="1"/>
  <c r="F448" i="1"/>
  <c r="A449" i="1"/>
  <c r="B449" i="1"/>
  <c r="C449" i="1"/>
  <c r="D449" i="1"/>
  <c r="E449" i="1"/>
  <c r="F449" i="1"/>
  <c r="A450" i="1"/>
  <c r="B450" i="1"/>
  <c r="C450" i="1"/>
  <c r="D450" i="1"/>
  <c r="E450" i="1"/>
  <c r="F450" i="1"/>
  <c r="A451" i="1"/>
  <c r="B451" i="1"/>
  <c r="C451" i="1"/>
  <c r="D451" i="1"/>
  <c r="E451" i="1"/>
  <c r="F451" i="1"/>
  <c r="A452" i="1"/>
  <c r="B452" i="1"/>
  <c r="C452" i="1"/>
  <c r="D452" i="1"/>
  <c r="E452" i="1"/>
  <c r="F452" i="1"/>
  <c r="A453" i="1"/>
  <c r="B453" i="1"/>
  <c r="C453" i="1"/>
  <c r="D453" i="1"/>
  <c r="E453" i="1"/>
  <c r="F453" i="1"/>
  <c r="A454" i="1"/>
  <c r="B454" i="1"/>
  <c r="C454" i="1"/>
  <c r="D454" i="1"/>
  <c r="E454" i="1"/>
  <c r="F454" i="1"/>
  <c r="A455" i="1"/>
  <c r="B455" i="1"/>
  <c r="C455" i="1"/>
  <c r="D455" i="1"/>
  <c r="E455" i="1"/>
  <c r="F455" i="1"/>
  <c r="A456" i="1"/>
  <c r="B456" i="1"/>
  <c r="C456" i="1"/>
  <c r="D456" i="1"/>
  <c r="E456" i="1"/>
  <c r="F456" i="1"/>
  <c r="A457" i="1"/>
  <c r="B457" i="1"/>
  <c r="C457" i="1"/>
  <c r="D457" i="1"/>
  <c r="E457" i="1"/>
  <c r="F457" i="1"/>
  <c r="A458" i="1"/>
  <c r="B458" i="1"/>
  <c r="C458" i="1"/>
  <c r="D458" i="1"/>
  <c r="E458" i="1"/>
  <c r="F458" i="1"/>
  <c r="A459" i="1"/>
  <c r="B459" i="1"/>
  <c r="C459" i="1"/>
  <c r="D459" i="1"/>
  <c r="E459" i="1"/>
  <c r="F459" i="1"/>
  <c r="A460" i="1"/>
  <c r="B460" i="1"/>
  <c r="C460" i="1"/>
  <c r="D460" i="1"/>
  <c r="E460" i="1"/>
  <c r="F460" i="1"/>
  <c r="A461" i="1"/>
  <c r="B461" i="1"/>
  <c r="C461" i="1"/>
  <c r="D461" i="1"/>
  <c r="E461" i="1"/>
  <c r="F461" i="1"/>
  <c r="A462" i="1"/>
  <c r="B462" i="1"/>
  <c r="C462" i="1"/>
  <c r="D462" i="1"/>
  <c r="E462" i="1"/>
  <c r="F462" i="1"/>
  <c r="A463" i="1"/>
  <c r="B463" i="1"/>
  <c r="C463" i="1"/>
  <c r="D463" i="1"/>
  <c r="E463" i="1"/>
  <c r="F463" i="1"/>
  <c r="A464" i="1"/>
  <c r="B464" i="1"/>
  <c r="C464" i="1"/>
  <c r="D464" i="1"/>
  <c r="E464" i="1"/>
  <c r="F464" i="1"/>
  <c r="A465" i="1"/>
  <c r="B465" i="1"/>
  <c r="C465" i="1"/>
  <c r="D465" i="1"/>
  <c r="E465" i="1"/>
  <c r="F465" i="1"/>
  <c r="A466" i="1"/>
  <c r="B466" i="1"/>
  <c r="C466" i="1"/>
  <c r="D466" i="1"/>
  <c r="E466" i="1"/>
  <c r="F466" i="1"/>
  <c r="A467" i="1"/>
  <c r="B467" i="1"/>
  <c r="C467" i="1"/>
  <c r="D467" i="1"/>
  <c r="E467" i="1"/>
  <c r="F467" i="1"/>
  <c r="A468" i="1"/>
  <c r="B468" i="1"/>
  <c r="C468" i="1"/>
  <c r="D468" i="1"/>
  <c r="E468" i="1"/>
  <c r="F468" i="1"/>
  <c r="A469" i="1"/>
  <c r="B469" i="1"/>
  <c r="C469" i="1"/>
  <c r="D469" i="1"/>
  <c r="E469" i="1"/>
  <c r="F469" i="1"/>
  <c r="A470" i="1"/>
  <c r="B470" i="1"/>
  <c r="C470" i="1"/>
  <c r="D470" i="1"/>
  <c r="E470" i="1"/>
  <c r="F470" i="1"/>
  <c r="A471" i="1"/>
  <c r="B471" i="1"/>
  <c r="C471" i="1"/>
  <c r="D471" i="1"/>
  <c r="E471" i="1"/>
  <c r="F471" i="1"/>
  <c r="A472" i="1"/>
  <c r="B472" i="1"/>
  <c r="C472" i="1"/>
  <c r="D472" i="1"/>
  <c r="E472" i="1"/>
  <c r="F472" i="1"/>
  <c r="A473" i="1"/>
  <c r="B473" i="1"/>
  <c r="C473" i="1"/>
  <c r="D473" i="1"/>
  <c r="E473" i="1"/>
  <c r="F473" i="1"/>
  <c r="A474" i="1"/>
  <c r="B474" i="1"/>
  <c r="C474" i="1"/>
  <c r="D474" i="1"/>
  <c r="E474" i="1"/>
  <c r="F474" i="1"/>
  <c r="A475" i="1"/>
  <c r="B475" i="1"/>
  <c r="C475" i="1"/>
  <c r="D475" i="1"/>
  <c r="E475" i="1"/>
  <c r="F475" i="1"/>
  <c r="A476" i="1"/>
  <c r="B476" i="1"/>
  <c r="C476" i="1"/>
  <c r="D476" i="1"/>
  <c r="E476" i="1"/>
  <c r="F476" i="1"/>
  <c r="A477" i="1"/>
  <c r="B477" i="1"/>
  <c r="C477" i="1"/>
  <c r="D477" i="1"/>
  <c r="E477" i="1"/>
  <c r="F477" i="1"/>
  <c r="A478" i="1"/>
  <c r="B478" i="1"/>
  <c r="C478" i="1"/>
  <c r="D478" i="1"/>
  <c r="E478" i="1"/>
  <c r="F478" i="1"/>
  <c r="A479" i="1"/>
  <c r="B479" i="1"/>
  <c r="C479" i="1"/>
  <c r="D479" i="1"/>
  <c r="E479" i="1"/>
  <c r="F479" i="1"/>
  <c r="A480" i="1"/>
  <c r="B480" i="1"/>
  <c r="C480" i="1"/>
  <c r="D480" i="1"/>
  <c r="E480" i="1"/>
  <c r="F480" i="1"/>
  <c r="A481" i="1"/>
  <c r="B481" i="1"/>
  <c r="C481" i="1"/>
  <c r="D481" i="1"/>
  <c r="E481" i="1"/>
  <c r="F481" i="1"/>
  <c r="E21" i="4" l="1"/>
  <c r="A18" i="1" s="1"/>
  <c r="L2" i="7" l="1"/>
  <c r="D107" i="11" l="1"/>
  <c r="D315" i="11"/>
  <c r="D320" i="11"/>
  <c r="D297" i="11"/>
  <c r="D326" i="11"/>
  <c r="D101" i="11"/>
  <c r="D304" i="11"/>
  <c r="D341" i="11"/>
  <c r="D345" i="11"/>
  <c r="D342" i="11"/>
  <c r="D306" i="11"/>
  <c r="D79" i="11"/>
  <c r="D346" i="11"/>
  <c r="D91" i="11"/>
  <c r="D323" i="11"/>
  <c r="D347" i="11"/>
  <c r="D94" i="11"/>
  <c r="D329" i="11"/>
  <c r="D344" i="11"/>
  <c r="D324" i="11"/>
  <c r="D76" i="11"/>
  <c r="D308" i="11"/>
  <c r="D103" i="11"/>
  <c r="D113" i="11"/>
  <c r="D88" i="11"/>
  <c r="D312" i="11"/>
  <c r="D350" i="11"/>
  <c r="D303" i="11"/>
  <c r="D287" i="11"/>
  <c r="D339" i="11"/>
  <c r="D309" i="11"/>
  <c r="D99" i="11"/>
  <c r="D351" i="11"/>
  <c r="D93" i="11"/>
  <c r="D311" i="11"/>
  <c r="D340" i="11"/>
  <c r="D286" i="11"/>
  <c r="D330" i="11"/>
  <c r="D332" i="11"/>
  <c r="D95" i="11"/>
  <c r="D292" i="11"/>
  <c r="D288" i="11"/>
  <c r="D328" i="11"/>
  <c r="D98" i="11"/>
  <c r="D85" i="11"/>
  <c r="D291" i="11"/>
  <c r="D322" i="11"/>
  <c r="D83" i="11"/>
  <c r="D317" i="11"/>
  <c r="D89" i="11"/>
  <c r="D310" i="11"/>
  <c r="D336" i="11"/>
  <c r="D78" i="11"/>
  <c r="D75" i="11"/>
  <c r="D349" i="11"/>
  <c r="D97" i="11"/>
  <c r="D301" i="11"/>
  <c r="D333" i="11"/>
  <c r="D343" i="11"/>
  <c r="D348" i="11"/>
  <c r="D307" i="11"/>
  <c r="D296" i="11"/>
  <c r="D90" i="11"/>
  <c r="D321" i="11"/>
  <c r="D295" i="11"/>
  <c r="D104" i="11"/>
  <c r="D318" i="11"/>
  <c r="D100" i="11"/>
  <c r="D92" i="11"/>
  <c r="D106" i="11"/>
  <c r="D319" i="11"/>
  <c r="F350" i="11"/>
  <c r="D77" i="11"/>
  <c r="D283" i="11"/>
  <c r="D82" i="11"/>
  <c r="D86" i="11"/>
  <c r="D80" i="11"/>
  <c r="D102" i="11"/>
  <c r="D325" i="11"/>
  <c r="D96" i="11"/>
  <c r="D293" i="11"/>
  <c r="D335" i="11"/>
  <c r="D314" i="11"/>
  <c r="D290" i="11"/>
  <c r="D316" i="11"/>
  <c r="D331" i="11"/>
  <c r="D300" i="11"/>
  <c r="D110" i="11"/>
  <c r="D105" i="11"/>
  <c r="D111" i="11"/>
  <c r="F351" i="11"/>
  <c r="D334" i="11"/>
  <c r="D299" i="11"/>
  <c r="D302" i="11"/>
  <c r="D294" i="11"/>
  <c r="D284" i="11"/>
  <c r="D108" i="11"/>
  <c r="D338" i="11"/>
  <c r="D285" i="11"/>
  <c r="D112" i="11"/>
  <c r="D84" i="11"/>
  <c r="D109" i="11"/>
  <c r="D298" i="11"/>
  <c r="D289" i="11"/>
  <c r="D313" i="11"/>
  <c r="D327" i="11"/>
  <c r="D305" i="11"/>
  <c r="D337" i="11"/>
  <c r="D87" i="11"/>
  <c r="D81" i="11"/>
  <c r="D282" i="11"/>
  <c r="B482" i="1" l="1"/>
  <c r="C482" i="1"/>
  <c r="D482" i="1"/>
  <c r="E482" i="1"/>
  <c r="F482" i="1"/>
  <c r="B483" i="1"/>
  <c r="C483" i="1"/>
  <c r="D483" i="1"/>
  <c r="E483" i="1"/>
  <c r="F483" i="1"/>
  <c r="B484" i="1"/>
  <c r="C484" i="1"/>
  <c r="D484" i="1"/>
  <c r="E484" i="1"/>
  <c r="F484" i="1"/>
  <c r="A485" i="1" l="1"/>
  <c r="B485" i="1"/>
  <c r="C485" i="1"/>
  <c r="D485" i="1"/>
  <c r="E485" i="1"/>
  <c r="F485" i="1"/>
  <c r="A486" i="1"/>
  <c r="B486" i="1"/>
  <c r="C486" i="1"/>
  <c r="D486" i="1"/>
  <c r="E486" i="1"/>
  <c r="F486" i="1"/>
  <c r="A487" i="1"/>
  <c r="B487" i="1"/>
  <c r="C487" i="1"/>
  <c r="D487" i="1"/>
  <c r="E487" i="1"/>
  <c r="F487" i="1"/>
  <c r="F2" i="1" l="1"/>
  <c r="E2" i="1"/>
  <c r="D2" i="1"/>
  <c r="C2" i="1"/>
  <c r="B2" i="1"/>
  <c r="A27" i="1" l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484" i="1" l="1"/>
  <c r="A483" i="1"/>
  <c r="A4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<sst xmlns="http://schemas.openxmlformats.org/spreadsheetml/2006/main" count="253" uniqueCount="219">
  <si>
    <t>구분</t>
  </si>
  <si>
    <t>표준단가</t>
  </si>
  <si>
    <t>표준품셈</t>
  </si>
  <si>
    <t>물가정보</t>
  </si>
  <si>
    <t>노임단가</t>
  </si>
  <si>
    <t>수량</t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</si>
  <si>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</si>
  <si>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</si>
  <si>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</si>
  <si>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</si>
  <si>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</si>
  <si>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</si>
  <si>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</si>
  <si>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</si>
  <si>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</si>
  <si>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</si>
  <si>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</si>
  <si>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</si>
  <si>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</si>
  <si>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</si>
  <si>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</si>
  <si>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</si>
  <si>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</si>
  <si>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식</t>
    <phoneticPr fontId="26" type="noConversion"/>
  </si>
  <si>
    <r>
      <rPr>
        <b/>
        <sz val="10"/>
        <rFont val="LG스마트체 Regular"/>
        <family val="3"/>
        <charset val="129"/>
      </rPr>
      <t>단위</t>
    </r>
  </si>
  <si>
    <r>
      <rPr>
        <b/>
        <sz val="10"/>
        <rFont val="LG스마트체 Regular"/>
        <family val="3"/>
        <charset val="129"/>
      </rPr>
      <t>수량</t>
    </r>
  </si>
  <si>
    <r>
      <rPr>
        <b/>
        <sz val="10"/>
        <rFont val="LG스마트체 Regular"/>
        <family val="3"/>
        <charset val="129"/>
      </rPr>
      <t>기계경비</t>
    </r>
  </si>
  <si>
    <r>
      <rPr>
        <b/>
        <sz val="10"/>
        <rFont val="LG스마트체 Regular"/>
        <family val="3"/>
        <charset val="129"/>
      </rPr>
      <t>금액</t>
    </r>
  </si>
  <si>
    <r>
      <rPr>
        <b/>
        <sz val="10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</si>
  <si>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</si>
  <si>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rFont val="LG스마트체 Regular"/>
        <family val="3"/>
        <charset val="129"/>
      </rPr>
      <t>노무비</t>
    </r>
    <phoneticPr fontId="18" type="noConversion"/>
  </si>
  <si>
    <r>
      <rPr>
        <b/>
        <sz val="10"/>
        <rFont val="LG스마트체 Regular"/>
        <family val="3"/>
        <charset val="129"/>
      </rPr>
      <t>기타경비</t>
    </r>
    <r>
      <rPr>
        <b/>
        <sz val="10"/>
        <rFont val="Arial"/>
        <family val="2"/>
      </rPr>
      <t>(</t>
    </r>
    <r>
      <rPr>
        <b/>
        <sz val="10"/>
        <rFont val="LG스마트체 Regular"/>
        <family val="3"/>
        <charset val="129"/>
      </rPr>
      <t>부자재비</t>
    </r>
    <r>
      <rPr>
        <b/>
        <sz val="10"/>
        <rFont val="Arial"/>
        <family val="2"/>
      </rPr>
      <t>)</t>
    </r>
  </si>
  <si>
    <r>
      <rPr>
        <b/>
        <sz val="10"/>
        <rFont val="LG스마트체 Regular"/>
        <family val="3"/>
        <charset val="129"/>
      </rPr>
      <t>규격</t>
    </r>
    <phoneticPr fontId="16" type="noConversion"/>
  </si>
  <si>
    <t>■ atG 할증기준</t>
    <phoneticPr fontId="16" type="noConversion"/>
  </si>
  <si>
    <t>★ 작성방법</t>
    <phoneticPr fontId="16" type="noConversion"/>
  </si>
  <si>
    <t>① 내역서(엑셀) 내 품목코드, 수량 입력시 upload자료 내 자동반영됨</t>
    <phoneticPr fontId="16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</si>
  <si>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</si>
  <si>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</si>
  <si>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▶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표준</t>
    </r>
    <r>
      <rPr>
        <b/>
        <sz val="10"/>
        <color theme="0"/>
        <rFont val="Arial"/>
        <family val="2"/>
      </rPr>
      <t xml:space="preserve"> Code(</t>
    </r>
    <r>
      <rPr>
        <b/>
        <sz val="10"/>
        <color theme="0"/>
        <rFont val="LG스마트체 Regular"/>
        <family val="3"/>
        <charset val="129"/>
      </rPr>
      <t>표준단가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품셈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물정</t>
    </r>
    <r>
      <rPr>
        <b/>
        <sz val="10"/>
        <color theme="0"/>
        <rFont val="Arial"/>
        <family val="2"/>
      </rPr>
      <t>/</t>
    </r>
    <r>
      <rPr>
        <b/>
        <sz val="10"/>
        <color theme="0"/>
        <rFont val="LG스마트체 Regular"/>
        <family val="3"/>
        <charset val="129"/>
      </rPr>
      <t>노임</t>
    </r>
    <r>
      <rPr>
        <b/>
        <sz val="10"/>
        <color theme="0"/>
        <rFont val="Arial"/>
        <family val="2"/>
      </rPr>
      <t xml:space="preserve">) </t>
    </r>
    <r>
      <rPr>
        <b/>
        <sz val="10"/>
        <color theme="0"/>
        <rFont val="LG스마트체 Regular"/>
        <family val="3"/>
        <charset val="129"/>
      </rPr>
      <t>순서별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입력</t>
    </r>
    <r>
      <rPr>
        <b/>
        <sz val="10"/>
        <color theme="0"/>
        <rFont val="Arial"/>
        <family val="2"/>
      </rPr>
      <t xml:space="preserve">(Upload </t>
    </r>
    <r>
      <rPr>
        <b/>
        <sz val="10"/>
        <color theme="0"/>
        <rFont val="LG스마트체 Regular"/>
        <family val="3"/>
        <charset val="129"/>
      </rPr>
      <t>자동반영</t>
    </r>
    <r>
      <rPr>
        <b/>
        <sz val="10"/>
        <color theme="0"/>
        <rFont val="Arial"/>
        <family val="2"/>
      </rPr>
      <t>)</t>
    </r>
    <phoneticPr fontId="16" type="noConversion"/>
  </si>
  <si>
    <r>
      <rPr>
        <b/>
        <sz val="10"/>
        <rFont val="LG스마트체 Regular"/>
        <family val="3"/>
        <charset val="129"/>
      </rPr>
      <t>재료비</t>
    </r>
    <phoneticPr fontId="1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</si>
  <si>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8" type="noConversion"/>
  </si>
  <si>
    <r>
      <rPr>
        <b/>
        <sz val="10"/>
        <color theme="0"/>
        <rFont val="LG스마트체 Regular"/>
        <family val="3"/>
        <charset val="129"/>
      </rPr>
      <t>노무비</t>
    </r>
    <r>
      <rPr>
        <b/>
        <sz val="10"/>
        <color theme="0"/>
        <rFont val="Arial"/>
        <family val="2"/>
      </rPr>
      <t xml:space="preserve"> </t>
    </r>
    <r>
      <rPr>
        <b/>
        <sz val="10"/>
        <color theme="0"/>
        <rFont val="LG스마트체 Regular"/>
        <family val="3"/>
        <charset val="129"/>
      </rPr>
      <t>할증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</si>
  <si>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16" type="noConversion"/>
  </si>
  <si>
    <r>
      <rPr>
        <b/>
        <sz val="10"/>
        <rFont val="LG스마트체 Regular"/>
        <family val="3"/>
        <charset val="129"/>
      </rPr>
      <t>품목</t>
    </r>
    <phoneticPr fontId="16" type="noConversion"/>
  </si>
  <si>
    <r>
      <rPr>
        <b/>
        <sz val="10"/>
        <rFont val="LG스마트체 Regular"/>
        <family val="3"/>
        <charset val="129"/>
      </rPr>
      <t>단가</t>
    </r>
    <phoneticPr fontId="18" type="noConversion"/>
  </si>
  <si>
    <t>③ 시중가/할증은 atG 화면 내 별도입력(본 탭 내에는 표준 Code만 입력)</t>
    <phoneticPr fontId="16" type="noConversion"/>
  </si>
  <si>
    <t>주식회사수안이엔지</t>
  </si>
  <si>
    <t>주요내역</t>
    <phoneticPr fontId="16" type="noConversion"/>
  </si>
  <si>
    <t>공사수립계획서</t>
  </si>
  <si>
    <t>업 체 명</t>
  </si>
  <si>
    <t xml:space="preserve">일 시 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</si>
  <si>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</si>
  <si>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</si>
  <si>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</si>
  <si>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</si>
  <si>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</si>
  <si>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수안이엔지</t>
  </si>
  <si>
    <t>성명 :  김    용    도</t>
  </si>
  <si>
    <t>(인감/서명)</t>
  </si>
  <si>
    <t xml:space="preserve">성명 : </t>
  </si>
  <si>
    <t>서명</t>
  </si>
  <si>
    <t>할증기준</t>
    <phoneticPr fontId="16" type="noConversion"/>
  </si>
  <si>
    <t>S&amp;I</t>
    <phoneticPr fontId="16" type="noConversion"/>
  </si>
  <si>
    <r>
      <rPr>
        <b/>
        <sz val="10"/>
        <color theme="1"/>
        <rFont val="LG스마트체 Regular"/>
        <family val="3"/>
        <charset val="129"/>
      </rPr>
      <t>표준단가</t>
    </r>
    <r>
      <rPr>
        <b/>
        <sz val="10"/>
        <color theme="1"/>
        <rFont val="Arial"/>
        <family val="2"/>
      </rPr>
      <t xml:space="preserve"> D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</si>
  <si>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표준품셈</t>
    </r>
    <r>
      <rPr>
        <b/>
        <sz val="10"/>
        <color theme="1"/>
        <rFont val="Arial"/>
        <family val="2"/>
      </rPr>
      <t xml:space="preserve"> E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</si>
  <si>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물가정보</t>
    </r>
    <r>
      <rPr>
        <b/>
        <sz val="10"/>
        <color theme="1"/>
        <rFont val="Arial"/>
        <family val="2"/>
      </rPr>
      <t xml:space="preserve"> M</t>
    </r>
    <phoneticPr fontId="16" type="noConversion"/>
  </si>
  <si>
    <r>
      <rPr>
        <b/>
        <sz val="10"/>
        <color theme="1"/>
        <rFont val="LG스마트체 Regular"/>
        <family val="3"/>
        <charset val="129"/>
      </rPr>
      <t>노임단가</t>
    </r>
    <r>
      <rPr>
        <b/>
        <sz val="10"/>
        <color theme="1"/>
        <rFont val="Arial"/>
        <family val="2"/>
      </rPr>
      <t xml:space="preserve"> L</t>
    </r>
    <phoneticPr fontId="16" type="noConversion"/>
  </si>
  <si>
    <r>
      <rPr>
        <b/>
        <sz val="10"/>
        <rFont val="LG스마트체 Regular"/>
        <family val="3"/>
        <charset val="129"/>
      </rPr>
      <t>품셈</t>
    </r>
    <r>
      <rPr>
        <b/>
        <sz val="10"/>
        <rFont val="Arial"/>
        <family val="2"/>
      </rPr>
      <t>/</t>
    </r>
    <r>
      <rPr>
        <b/>
        <sz val="10"/>
        <rFont val="LG스마트체 Regular"/>
        <family val="3"/>
        <charset val="129"/>
      </rPr>
      <t>표단</t>
    </r>
    <phoneticPr fontId="16" type="noConversion"/>
  </si>
  <si>
    <t>■ 주요 사용물질 : 산소 0kg, 알곤 20kg, 질소 0kg, 냉매(R-22) 0kg 등</t>
    <phoneticPr fontId="16" type="noConversion"/>
  </si>
  <si>
    <t>주요 물량 산출서</t>
    <phoneticPr fontId="26" type="noConversion"/>
  </si>
  <si>
    <t>품명</t>
    <phoneticPr fontId="232" type="noConversion"/>
  </si>
  <si>
    <t>규격</t>
    <phoneticPr fontId="232" type="noConversion"/>
  </si>
  <si>
    <t>단위</t>
    <phoneticPr fontId="232" type="noConversion"/>
  </si>
  <si>
    <t>수량</t>
    <phoneticPr fontId="116" type="noConversion"/>
  </si>
  <si>
    <t>산출근거</t>
    <phoneticPr fontId="232" type="noConversion"/>
  </si>
  <si>
    <t>내역도면번호</t>
    <phoneticPr fontId="232" type="noConversion"/>
  </si>
  <si>
    <t>비고</t>
    <phoneticPr fontId="232" type="noConversion"/>
  </si>
  <si>
    <t>■ 위험작업 유무 :  유(고소,화기,신호수)</t>
    <phoneticPr fontId="16" type="noConversion"/>
  </si>
  <si>
    <t xml:space="preserve"> -. 작업전 작업내용 숙지 및 작업 순서 확인. </t>
  </si>
  <si>
    <t xml:space="preserve"> -. 개인 안전보호구 착용 철저 </t>
  </si>
  <si>
    <t xml:space="preserve"> -. 고소작업시 안전밸트 착용 및 안전고리 채결 철저, 천장내 작업시 상부 생명줄 설치 및 필요시 발판설치 </t>
  </si>
  <si>
    <t xml:space="preserve"> -. 사다리 사용시 사다리보조자 포함 2인1조 작업 진행 및 상하 동시작업 금지 </t>
  </si>
  <si>
    <t xml:space="preserve"> -. 작업에 사용되는 공도구 사전점검 실시 및 절단,회전공구 사용 시 손베임장갑 착용 철저 </t>
  </si>
  <si>
    <t xml:space="preserve"> -. 중량물 취급시 중량물 취급계획에 맞추어 작업 진행, 작업전 충분한 스트레칭 실시, 25KG이상 중량물 </t>
  </si>
  <si>
    <t xml:space="preserve"> 취급시 2인1조 작업 진행 </t>
  </si>
  <si>
    <t xml:space="preserve"> -. 화기작업시 소화기 비치 및 화기감시자 상주, 작업구영 인화성물질 제거 및 필요시 불티비산 방지 보양 실시 </t>
  </si>
  <si>
    <t xml:space="preserve">  - 안전관찰자 배치 </t>
  </si>
  <si>
    <t>■ 인원투입계획 : 총   명(주말 :   명)</t>
    <phoneticPr fontId="16" type="noConversion"/>
  </si>
  <si>
    <t xml:space="preserve">■시중가 입력시 (5가지중 1가지 첨부)_유사한 코드가 있으면 대체 적용하며,  불가피 한경우만 시중가 사용함_불가피 할경우 아래 5가지 중 1개 첨부
1. 업체 비교견적서 첨부 최소 2개사 (자재 거래처(자재상)_공사업체 는 제외해당)
2. 기실적 단가 
3. 세금계산서 및 거래명세서 첨부
4. 단독취급 MAKER 자재의 경우 1개사 견적서 처리 가능함(대리점 포함, 사코_감압변 등 독자 메이커만 취급 하는 경우에 해당함)
5. 물가자료 책자 정보 증빙 첨부 (물가자료 책자 스캔 후 표시 증빙 첨부)
6. 기타사항 (협의후)
</t>
  </si>
  <si>
    <t>안전관리비</t>
    <phoneticPr fontId="26" type="noConversion"/>
  </si>
  <si>
    <t>노인장기요양 보험료</t>
    <phoneticPr fontId="26" type="noConversion"/>
  </si>
  <si>
    <t>인</t>
  </si>
  <si>
    <t>L002</t>
  </si>
  <si>
    <t>보통인부</t>
  </si>
  <si>
    <t>개</t>
  </si>
  <si>
    <t>사다리보조자</t>
    <phoneticPr fontId="16" type="noConversion"/>
  </si>
  <si>
    <t>=1</t>
  </si>
  <si>
    <t>=2</t>
  </si>
  <si>
    <t xml:space="preserve"> -. 주변정리</t>
    <phoneticPr fontId="16" type="noConversion"/>
  </si>
  <si>
    <t>M020251411610101</t>
  </si>
  <si>
    <r>
      <rPr>
        <sz val="10"/>
        <color rgb="FF000000"/>
        <rFont val="맑은 고딕"/>
        <family val="2"/>
        <charset val="129"/>
      </rPr>
      <t>프리미엄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그린실</t>
    </r>
    <r>
      <rPr>
        <sz val="10"/>
        <color rgb="FF000000"/>
        <rFont val="Arial"/>
        <family val="2"/>
      </rPr>
      <t xml:space="preserve"> 808</t>
    </r>
    <phoneticPr fontId="16" type="noConversion"/>
  </si>
  <si>
    <t>1액형 실리콘, 다목적 건축실링용, 유리글레이징, 친환경 인증</t>
    <phoneticPr fontId="16" type="noConversion"/>
  </si>
  <si>
    <t>270㎖</t>
    <phoneticPr fontId="16" type="noConversion"/>
  </si>
  <si>
    <t>E00000803051260301</t>
  </si>
  <si>
    <t>코킹</t>
  </si>
  <si>
    <t>(10m 당)</t>
  </si>
  <si>
    <t>=3</t>
  </si>
  <si>
    <t>EA</t>
  </si>
  <si>
    <t>유인팬</t>
    <phoneticPr fontId="16" type="noConversion"/>
  </si>
  <si>
    <t>지하주차장 유인팬 교체</t>
    <phoneticPr fontId="16" type="noConversion"/>
  </si>
  <si>
    <t>유인팬(LONG FAN)</t>
  </si>
  <si>
    <t>유인팬(LONG FAN)</t>
    <phoneticPr fontId="16" type="noConversion"/>
  </si>
  <si>
    <t>2700CMH*140W</t>
  </si>
  <si>
    <t>2700CMH*140W</t>
    <phoneticPr fontId="16" type="noConversion"/>
  </si>
  <si>
    <t>EA</t>
    <phoneticPr fontId="16" type="noConversion"/>
  </si>
  <si>
    <t>E00000806004020402</t>
  </si>
  <si>
    <t>무덕트 배기팬 설치</t>
  </si>
  <si>
    <t>풍량 2,400㎥/h이하</t>
  </si>
  <si>
    <t>(대당)</t>
  </si>
  <si>
    <r>
      <rPr>
        <sz val="10"/>
        <color rgb="FF000000"/>
        <rFont val="맑은 고딕"/>
        <family val="3"/>
        <charset val="129"/>
      </rPr>
      <t>무덕트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배기팬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설치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6" type="noConversion"/>
  </si>
  <si>
    <t>H01</t>
    <phoneticPr fontId="16" type="noConversion"/>
  </si>
  <si>
    <t>M010332810030101</t>
  </si>
  <si>
    <t>전산볼트</t>
  </si>
  <si>
    <t>M10(도금) (길이 1m)</t>
  </si>
  <si>
    <t>M01525GR10400101</t>
  </si>
  <si>
    <t>셋트앙카</t>
  </si>
  <si>
    <t>ø9㎜×6㎝</t>
  </si>
  <si>
    <t>E00000808374071205</t>
  </si>
  <si>
    <t>부대공사(앙카볼트 설치 등) - 앙카볼트설치</t>
  </si>
  <si>
    <t>ø13㎜ 이하</t>
  </si>
  <si>
    <t>(개당)</t>
  </si>
  <si>
    <r>
      <rPr>
        <sz val="10"/>
        <color rgb="FF000000"/>
        <rFont val="맑은 고딕"/>
        <family val="3"/>
        <charset val="129"/>
      </rPr>
      <t>부대공사</t>
    </r>
    <r>
      <rPr>
        <sz val="10"/>
        <color rgb="FF000000"/>
        <rFont val="Arial"/>
        <family val="2"/>
      </rPr>
      <t>(</t>
    </r>
    <r>
      <rPr>
        <sz val="10"/>
        <color rgb="FF000000"/>
        <rFont val="맑은 고딕"/>
        <family val="3"/>
        <charset val="129"/>
      </rPr>
      <t>앙카볼트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설치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등</t>
    </r>
    <r>
      <rPr>
        <sz val="10"/>
        <color rgb="FF000000"/>
        <rFont val="Arial"/>
        <family val="2"/>
      </rPr>
      <t xml:space="preserve">) - </t>
    </r>
    <r>
      <rPr>
        <sz val="10"/>
        <color rgb="FF000000"/>
        <rFont val="맑은 고딕"/>
        <family val="3"/>
        <charset val="129"/>
      </rPr>
      <t>앙카볼트설치</t>
    </r>
    <r>
      <rPr>
        <sz val="10"/>
        <color indexed="8"/>
        <rFont val="Arial"/>
        <family val="2"/>
      </rPr>
      <t xml:space="preserve"> (</t>
    </r>
    <r>
      <rPr>
        <sz val="10"/>
        <color rgb="FF000000"/>
        <rFont val="맑은 고딕"/>
        <family val="2"/>
        <charset val="129"/>
      </rPr>
      <t>철거)</t>
    </r>
    <phoneticPr fontId="16" type="noConversion"/>
  </si>
  <si>
    <t>화물차</t>
    <phoneticPr fontId="16" type="noConversion"/>
  </si>
  <si>
    <t>5TON</t>
    <phoneticPr fontId="16" type="noConversion"/>
  </si>
  <si>
    <t>HR</t>
    <phoneticPr fontId="16" type="noConversion"/>
  </si>
  <si>
    <t>E00000805033430105</t>
  </si>
  <si>
    <t>지게차</t>
  </si>
  <si>
    <t>7.55ton</t>
    <phoneticPr fontId="16" type="noConversion"/>
  </si>
  <si>
    <t>(시간당)</t>
  </si>
  <si>
    <t>신호수</t>
    <phoneticPr fontId="16" type="noConversion"/>
  </si>
  <si>
    <t>화물차</t>
  </si>
  <si>
    <t>5TON</t>
  </si>
  <si>
    <t>HR</t>
  </si>
  <si>
    <t xml:space="preserve"> -. 기 설치된 유인팬 및 전산볼트 철거</t>
    <phoneticPr fontId="16" type="noConversion"/>
  </si>
  <si>
    <t xml:space="preserve"> -. 화물차 사용, 신호수 배치</t>
    <phoneticPr fontId="16" type="noConversion"/>
  </si>
  <si>
    <t xml:space="preserve"> -. 앙카 설치 후 전산볼트 설치</t>
    <phoneticPr fontId="16" type="noConversion"/>
  </si>
  <si>
    <t xml:space="preserve"> -. 유인팬 교체 설치</t>
    <phoneticPr fontId="16" type="noConversion"/>
  </si>
  <si>
    <t xml:space="preserve"> -. 사다리 작업 시 사다리 보조자 투입</t>
    <phoneticPr fontId="16" type="noConversion"/>
  </si>
  <si>
    <t xml:space="preserve"> -. 전산볼트 커팅시 화기작업, 화기감시자 배치</t>
    <phoneticPr fontId="16" type="noConversion"/>
  </si>
  <si>
    <t>=20</t>
  </si>
  <si>
    <t>=2*4*20</t>
  </si>
  <si>
    <t>=4*20</t>
  </si>
  <si>
    <t>=8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</si>
  <si>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</si>
  <si>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</si>
  <si>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</si>
  <si>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</si>
  <si>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</si>
  <si>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</si>
  <si>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</si>
  <si>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</si>
  <si>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</si>
  <si>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</si>
  <si>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</si>
  <si>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</si>
  <si>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</si>
  <si>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16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</si>
  <si>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</si>
  <si>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</si>
  <si>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</si>
  <si>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</si>
  <si>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</si>
  <si>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18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</si>
  <si>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</si>
  <si>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</si>
  <si>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</si>
  <si>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</si>
  <si>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</si>
  <si>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</si>
  <si>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</si>
  <si>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</si>
  <si>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</si>
  <si>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57" type="noConversion"/>
  </si>
  <si>
    <t>구          분</t>
    <phoneticPr fontId="57" type="noConversion"/>
  </si>
  <si>
    <t>수량</t>
    <phoneticPr fontId="57" type="noConversion"/>
  </si>
  <si>
    <t>단위</t>
    <phoneticPr fontId="57" type="noConversion"/>
  </si>
  <si>
    <t>금    액</t>
    <phoneticPr fontId="57" type="noConversion"/>
  </si>
  <si>
    <t>비    고</t>
    <phoneticPr fontId="57" type="noConversion"/>
  </si>
  <si>
    <t>재료비</t>
    <phoneticPr fontId="18" type="noConversion"/>
  </si>
  <si>
    <t>노무비</t>
    <phoneticPr fontId="18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</si>
  <si>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</si>
  <si>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</si>
  <si>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18" type="noConversion"/>
  </si>
  <si>
    <t>%</t>
    <phoneticPr fontId="26" type="noConversion"/>
  </si>
  <si>
    <t>(재료비+노무비)*3.11%</t>
    <phoneticPr fontId="16" type="noConversion"/>
  </si>
  <si>
    <t>산재 보험료</t>
  </si>
  <si>
    <t>%</t>
  </si>
  <si>
    <t>노무비*3.56%</t>
    <phoneticPr fontId="16" type="noConversion"/>
  </si>
  <si>
    <t>고용보험료</t>
  </si>
  <si>
    <t>노무비*1.01%</t>
  </si>
  <si>
    <t>국민건강 보험료</t>
  </si>
  <si>
    <t>노무비*3.545%</t>
    <phoneticPr fontId="18" type="noConversion"/>
  </si>
  <si>
    <t>국민연금 보험료</t>
  </si>
  <si>
    <t>노무비*4.5%</t>
  </si>
  <si>
    <t>건강보험료*12.95%</t>
    <phoneticPr fontId="18" type="noConversion"/>
  </si>
  <si>
    <t>하도급대금지급보증증권</t>
    <phoneticPr fontId="26" type="noConversion"/>
  </si>
  <si>
    <t>1천만원 이상 공사시 적용</t>
    <phoneticPr fontId="18" type="noConversion"/>
  </si>
  <si>
    <t>폐기물처리 부담금</t>
    <phoneticPr fontId="26" type="noConversion"/>
  </si>
  <si>
    <t>식</t>
    <phoneticPr fontId="16" type="noConversion"/>
  </si>
  <si>
    <t>폐기물발생 시 적용 (kg당 34원)</t>
    <phoneticPr fontId="18" type="noConversion"/>
  </si>
  <si>
    <t>일반관리비</t>
    <phoneticPr fontId="18" type="noConversion"/>
  </si>
  <si>
    <t>%</t>
    <phoneticPr fontId="18" type="noConversion"/>
  </si>
  <si>
    <t>(재료비 + 노무비 + 경비)*5%</t>
    <phoneticPr fontId="18" type="noConversion"/>
  </si>
  <si>
    <t>이      윤</t>
    <phoneticPr fontId="26" type="noConversion"/>
  </si>
  <si>
    <t>(재료비+노무비+경비+일반관리비)*7.5%</t>
    <phoneticPr fontId="18" type="noConversion"/>
  </si>
  <si>
    <t>공사금액</t>
    <phoneticPr fontId="26" type="noConversion"/>
  </si>
  <si>
    <t>*유첨 : 견적서 내역서 1부      ─ 끝 ─</t>
    <phoneticPr fontId="26" type="noConversion"/>
  </si>
  <si>
    <t>기숙사 AB동 지하 주차장 유인휀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</si>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</sst>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0">
    <numFmt numFmtId="24" formatCode="\$#,##0_);[Red]\(\$#,##0\)"/>
    <numFmt numFmtId="25" formatCode="\$#,##0.00_);\(\$#,##0.00\)"/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m&quot;/&quot;d;@"/>
    <numFmt numFmtId="182" formatCode="#,##0_);[Red]\(#,##0\)"/>
    <numFmt numFmtId="183" formatCode="_ &quot;kr&quot;\ * #,##0.00_ ;_ &quot;kr&quot;\ * \-#,##0.00_ ;_ &quot;kr&quot;\ * &quot;-&quot;??_ ;_ @_ "/>
    <numFmt numFmtId="184" formatCode="&quot;₩&quot;#,##0.00;&quot;₩&quot;&quot;₩&quot;&quot;₩&quot;&quot;₩&quot;&quot;₩&quot;&quot;₩&quot;\-#,##0.00"/>
    <numFmt numFmtId="185" formatCode="&quot;도급대비&quot;0.00%"/>
    <numFmt numFmtId="186" formatCode="#,##0.00;[Red]&quot;-&quot;#,##0.00"/>
    <numFmt numFmtId="187" formatCode="#,##0\ "/>
    <numFmt numFmtId="188" formatCode="&quot; '&quot;yy&quot;年&quot;\ m&quot;月&quot;\ d&quot;日&quot;"/>
    <numFmt numFmtId="189" formatCode="#,##0\ \ "/>
    <numFmt numFmtId="190" formatCode=";;&quot;－ &quot;"/>
    <numFmt numFmtId="191" formatCode=";;"/>
    <numFmt numFmtId="192" formatCode="#,##0.0"/>
    <numFmt numFmtId="193" formatCode="#,##0&quot;%&quot;"/>
    <numFmt numFmtId="194" formatCode="#,##0.0&quot;%&quot;"/>
    <numFmt numFmtId="195" formatCode="&quot;&quot;#&quot;月   &quot;#&quot;週&quot;"/>
    <numFmt numFmtId="196" formatCode="&quot;   &quot;#,##0"/>
    <numFmt numFmtId="197" formatCode="&quot;          &quot;#,##0"/>
    <numFmt numFmtId="198" formatCode="#,##0&quot;(億원)&quot;"/>
    <numFmt numFmtId="199" formatCode="#,##0&quot;(件)&quot;"/>
    <numFmt numFmtId="200" formatCode="yyyy&quot;年&quot;mm&quot;月&quot;dd&quot;日&quot;"/>
    <numFmt numFmtId="201" formatCode="&quot; &quot;#,##0"/>
    <numFmt numFmtId="202" formatCode="#,##0&quot; &quot;"/>
    <numFmt numFmtId="203" formatCode="#,##0.0&quot; &quot;"/>
    <numFmt numFmtId="204" formatCode="&quot; &quot;#,##0.0"/>
    <numFmt numFmtId="205" formatCode="0.0"/>
    <numFmt numFmtId="206" formatCode="\ #,##0&quot;%&quot;"/>
    <numFmt numFmtId="207" formatCode="\ #,##0"/>
    <numFmt numFmtId="208" formatCode="\ \ #,##0"/>
    <numFmt numFmtId="209" formatCode="\ #,##0.0"/>
    <numFmt numFmtId="210" formatCode="\ #,##0&quot; &quot;"/>
    <numFmt numFmtId="211" formatCode="#,##0&quot;  &quot;\ \ "/>
    <numFmt numFmtId="212" formatCode="#,##0.000"/>
    <numFmt numFmtId="213" formatCode="&quot;₩&quot;&quot;₩&quot;\$#,##0_);&quot;₩&quot;&quot;₩&quot;\(&quot;₩&quot;&quot;₩&quot;\$#,##0&quot;₩&quot;&quot;₩&quot;\)"/>
    <numFmt numFmtId="214" formatCode="0.000E+00"/>
    <numFmt numFmtId="215" formatCode="\(#,##0.0000\)"/>
    <numFmt numFmtId="216" formatCode="0.000%"/>
    <numFmt numFmtId="217" formatCode="0.0000%"/>
    <numFmt numFmtId="218" formatCode="_ * #,##0.00_ ;_ * \-#,##0.00_ ;_ * &quot;-&quot;??_ ;_ @_ "/>
    <numFmt numFmtId="219" formatCode="#,##0_ ;[Red]&quot;△&quot;#,##0\ "/>
    <numFmt numFmtId="220" formatCode="#000"/>
    <numFmt numFmtId="221" formatCode="#."/>
    <numFmt numFmtId="222" formatCode="_-* #,##0.0_-;&quot;₩&quot;\!\-* #,##0.0_-;_-* &quot;-&quot;_-;_-@_-"/>
    <numFmt numFmtId="223" formatCode="_(&quot;$&quot;* #,##0_);_(&quot;$&quot;* \(#,##0\);_(&quot;$&quot;* &quot;-&quot;_);_(@_)"/>
    <numFmt numFmtId="224" formatCode="0.000"/>
    <numFmt numFmtId="225" formatCode="[&lt;=9999999]###\-####;\(0###\)\ ###\-####"/>
    <numFmt numFmtId="226" formatCode="0%\ "/>
    <numFmt numFmtId="227" formatCode="&quot;$&quot;#,##0.00_);\(&quot;$&quot;#,##0.00\)"/>
    <numFmt numFmtId="228" formatCode="_ &quot;₩&quot;* #,##0_ ;_ &quot;₩&quot;* \-#,##0_ ;_ &quot;₩&quot;* &quot;-&quot;_ ;_ @_ "/>
    <numFmt numFmtId="229" formatCode="_ &quot;₩&quot;* #,##0.00_ ;_ &quot;₩&quot;* \-#,##0.00_ ;_ &quot;₩&quot;* &quot;-&quot;??_ ;_ @_ "/>
    <numFmt numFmtId="230" formatCode="#00&quot;-&quot;0000"/>
    <numFmt numFmtId="231" formatCode="#,##0.0###&quot;A㎥/h/대&quot;;\-#,##0.0#####&quot;A㎥/h/대&quot;"/>
    <numFmt numFmtId="232" formatCode="##00"/>
    <numFmt numFmtId="233" formatCode="_-* #,##0.0000_-;\-* #,##0.0000_-;_-* &quot;-&quot;????_-;_-@_-"/>
    <numFmt numFmtId="234" formatCode="#,##0.0#&quot;CMH/대&quot;;\-#,##0.0#&quot;CMH/대&quot;"/>
    <numFmt numFmtId="235" formatCode="#,##0.0#&quot;CMM/대&quot;;\-#,##0.0#&quot;CMM/대&quot;"/>
    <numFmt numFmtId="236" formatCode="_ * #,##0.0000000_ ;_ * \-#,##0.0000000_ ;_ * &quot;-&quot;_ ;_ @_ "/>
    <numFmt numFmtId="237" formatCode="\$&quot;_x000c_ _x0001_-)_x0008__x0004__x0000__x0000__x0005__x0002_&quot;;[Red]\(\$#,##0\)"/>
    <numFmt numFmtId="238" formatCode="0.000&quot;  &quot;"/>
    <numFmt numFmtId="239" formatCode="#,##0;\(#,##0\)"/>
    <numFmt numFmtId="240" formatCode=";;;"/>
    <numFmt numFmtId="241" formatCode="&quot;$&quot;#,##0_);[Red]\(&quot;$&quot;#,##0\)"/>
    <numFmt numFmtId="242" formatCode="\(&quot;₩&quot;###,##0\)"/>
    <numFmt numFmtId="243" formatCode="_ * #,##0.00_ ;_ * \-#,##0.00_ ;_ * &quot;-&quot;_ ;_ @_ "/>
    <numFmt numFmtId="244" formatCode="0.00000000"/>
    <numFmt numFmtId="245" formatCode="&quot;₩&quot;#,##0.00;[Red]&quot;₩&quot;&quot;₩&quot;\-#,##0.00"/>
    <numFmt numFmtId="246" formatCode="\$#,##0\ ;\(\$#,##0\)"/>
    <numFmt numFmtId="247" formatCode="\(&quot;$&quot;#,##0\);\(&quot;$&quot;#,##0\)"/>
    <numFmt numFmtId="248" formatCode="#&quot;(홍보)&quot;"/>
    <numFmt numFmtId="249" formatCode="&quot;RM&quot;#,##0.00_);\(&quot;RM&quot;#,##0.00\)"/>
    <numFmt numFmtId="250" formatCode="#,##0.0\ ;\(#,##0.0\);&quot;-&quot;\ "/>
    <numFmt numFmtId="251" formatCode="#,##0;&quot;₩&quot;\-#,##0&quot;MM&quot;"/>
    <numFmt numFmtId="252" formatCode="_-* #,##0\ _k_r_-;\-* #,##0\ _k_r_-;_-* &quot;-&quot;\ _k_r_-;_-@_-"/>
    <numFmt numFmtId="253" formatCode="000&quot;-&quot;0000"/>
    <numFmt numFmtId="254" formatCode="00##"/>
    <numFmt numFmtId="255" formatCode="_-[$€-2]* #,##0.00_-;&quot;₩&quot;\!\-[$€-2]* #,##0.00_-;_-[$€-2]* &quot;-&quot;??_-"/>
    <numFmt numFmtId="256" formatCode="_-[$€-2]* #,##0.00_-;\-[$€-2]* #,##0.00_-;_-[$€-2]* &quot;-&quot;??_-"/>
    <numFmt numFmtId="257" formatCode="#,##0.0\ "/>
    <numFmt numFmtId="258" formatCode="_ * #,##0.000_ ;_ * \-#,##0.000_ ;_ * &quot;-&quot;_ ;_ @_ "/>
    <numFmt numFmtId="259" formatCode="#,##0;[Red]&quot;-&quot;#,##0"/>
    <numFmt numFmtId="260" formatCode="#,##0&quot;kcal/h&quot;;\-#,##0&quot;kcal/h&quot;"/>
    <numFmt numFmtId="261" formatCode="#,##0.0###&quot;kg/h&quot;;\-#,##0.0#####&quot;kg/h&quot;"/>
    <numFmt numFmtId="262" formatCode="#,##0.0###&quot;kg/h/대&quot;;\-#,##0.0#####&quot;kg/h/대&quot;"/>
    <numFmt numFmtId="263" formatCode="#,##0.0###&quot;kg/대&quot;;\-#,##0.0#####&quot;kg/대&quot;"/>
    <numFmt numFmtId="264" formatCode="#,##0.0#&quot;kW/대&quot;;\-#,##0.0#&quot;kW/대&quot;"/>
    <numFmt numFmtId="265" formatCode="#,##0.0##&quot;m&quot;;\-#,##0.0##&quot;m&quot;"/>
    <numFmt numFmtId="266" formatCode="General&quot;m&quot;"/>
    <numFmt numFmtId="267" formatCode="#,##0.0###&quot;㎥/대&quot;;\-#,##0.0#####&quot;㎥/대&quot;"/>
    <numFmt numFmtId="268" formatCode="_-* #,##0.00\ &quot;Kc&quot;_-;\-* #,##0.00\ &quot;Kc&quot;_-;_-* &quot;-&quot;??\ &quot;Kc&quot;_-;_-@_-"/>
    <numFmt numFmtId="269" formatCode="General_)"/>
    <numFmt numFmtId="270" formatCode="_ &quot;₩&quot;* #,##0.00_ ;_ &quot;₩&quot;* &quot;₩&quot;&quot;₩&quot;&quot;₩&quot;&quot;₩&quot;&quot;₩&quot;&quot;₩&quot;&quot;₩&quot;&quot;₩&quot;\-#,##0.00_ ;_ &quot;₩&quot;* &quot;-&quot;??_ ;_ @_ "/>
    <numFmt numFmtId="271" formatCode="#,##0.00&quot;?_);\(#,##0.00&quot;&quot;?&quot;\)"/>
    <numFmt numFmtId="272" formatCode="#,##0\ .0"/>
    <numFmt numFmtId="273" formatCode="_ * #,##0.0000_ ;_ * \-#,##0.0000_ ;_ * &quot;-&quot;_ ;_ @_ "/>
    <numFmt numFmtId="274" formatCode="0.0_)"/>
    <numFmt numFmtId="275" formatCode="#,##0.0###&quot;Ton&quot;;\-#,##0.0#####&quot;Ton&quot;"/>
    <numFmt numFmtId="276" formatCode="General&quot;ton/㎥&quot;"/>
    <numFmt numFmtId="277" formatCode="#,##0.0###&quot;Ton/set&quot;;\-#,##0.0#####&quot;Ton/대&quot;"/>
    <numFmt numFmtId="278" formatCode="#,##0.0###&quot;Ton/대&quot;;\-#,##0.0#####&quot;Ton/대&quot;"/>
    <numFmt numFmtId="279" formatCode="#,##0.0###&quot;TPH/대&quot;;\-#,##0.0#####&quot;TPH/대&quot;"/>
    <numFmt numFmtId="280" formatCode="#,##0\ &quot;DM&quot;;[Red]\-#,##0\ &quot;DM&quot;"/>
    <numFmt numFmtId="281" formatCode="#,##0.00\ &quot;DM&quot;;[Red]\-#,##0.00\ &quot;DM&quot;"/>
    <numFmt numFmtId="282" formatCode="&quot;₩&quot;#,##0.00;&quot;₩&quot;\-#,##0.00"/>
    <numFmt numFmtId="283" formatCode="&quot;₩&quot;#,##0;&quot;₩&quot;&quot;₩&quot;\!\-#,##0"/>
    <numFmt numFmtId="284" formatCode="yy&quot;년&quot;m&quot;월&quot;d&quot;일&quot;"/>
    <numFmt numFmtId="285" formatCode="&quot;₩&quot;#,##0;&quot;₩&quot;&quot;₩&quot;&quot;₩&quot;&quot;₩&quot;\-#,##0"/>
    <numFmt numFmtId="286" formatCode="mm&quot;월&quot;\ dd&quot;일&quot;"/>
    <numFmt numFmtId="287" formatCode="0_);[Red]\(0\)"/>
    <numFmt numFmtId="288" formatCode="#,##0;[Red]&quot;△&quot;#,##0"/>
    <numFmt numFmtId="289" formatCode="0.000000000"/>
    <numFmt numFmtId="290" formatCode="0.0000000"/>
    <numFmt numFmtId="291" formatCode="m/dd"/>
    <numFmt numFmtId="292" formatCode="_-* #,##0.00\ _F_B_-;\-* #,##0.00\ _F_B_-;_-* &quot;-&quot;??\ _F_B_-;_-@_-"/>
    <numFmt numFmtId="293" formatCode="&quot;₩&quot;#,##0.00;[Red]&quot;₩&quot;\-#,##0.00"/>
    <numFmt numFmtId="294" formatCode="[Red]#,##0"/>
    <numFmt numFmtId="295" formatCode="#,##0_ "/>
    <numFmt numFmtId="296" formatCode="_(\$#,##0_);[Red]\(\$#,##0\)"/>
    <numFmt numFmtId="297" formatCode="mmm&quot;-&quot;yy"/>
    <numFmt numFmtId="298" formatCode="&quot;₩&quot;#,##0;&quot;₩&quot;\-&quot;₩&quot;#,##0"/>
    <numFmt numFmtId="299" formatCode="_-* #,##0.0_-;\-* #,##0.0_-;_-* &quot;-&quot;_-;_-@_-"/>
    <numFmt numFmtId="300" formatCode="_ &quot;₩&quot;* #,##0.00_ ;_ &quot;₩&quot;* &quot;₩&quot;&quot;₩&quot;\-#,##0.00_ ;_ &quot;₩&quot;* &quot;-&quot;??_ ;_ @_ "/>
    <numFmt numFmtId="301" formatCode="_(&quot;$&quot;* #,##0.00_);_(&quot;$&quot;* \(#,##0.00\);_(&quot;$&quot;* &quot;-&quot;??_);_(@_)"/>
    <numFmt numFmtId="302" formatCode="_-* #,##0.00_-;&quot;₩&quot;&quot;₩&quot;&quot;₩&quot;&quot;₩&quot;\-* #,##0.00_-;_-* &quot;-&quot;??_-;_-@_-"/>
    <numFmt numFmtId="303" formatCode="_-* #,##0_-;&quot;₩&quot;&quot;₩&quot;&quot;₩&quot;&quot;₩&quot;\-* #,##0_-;_-* &quot;-&quot;_-;_-@_-"/>
    <numFmt numFmtId="304" formatCode="&quot;,&quot;###0"/>
    <numFmt numFmtId="305" formatCode="&quot;~&quot;#0"/>
    <numFmt numFmtId="306" formatCode="[&lt;=999999]&quot;,&quot;##\-####;\(0###\)\ ##\-####"/>
    <numFmt numFmtId="307" formatCode="[&lt;=9999999]&quot;,&quot;###\-####;\(0###\)\ ###\-####"/>
    <numFmt numFmtId="308" formatCode="#,##0.0000"/>
    <numFmt numFmtId="309" formatCode="0.0000_);[Red]\(0.0000\)"/>
    <numFmt numFmtId="310" formatCode="&quot;₩&quot;#,##0;[Red]&quot;₩&quot;&quot;₩&quot;&quot;₩&quot;&quot;₩&quot;\-#,##0"/>
    <numFmt numFmtId="311" formatCode="[&lt;=999999]##\-####;\(0###\)\ ##\-####"/>
    <numFmt numFmtId="312" formatCode="[&lt;=99999999]####\-####;\(0###\)\ ####\-####"/>
    <numFmt numFmtId="313" formatCode="_ * #\!\,##0_ ;_ * &quot;₩&quot;\!\-#\!\,##0_ ;_ * &quot;-&quot;_ ;_ @_ "/>
    <numFmt numFmtId="314" formatCode="&quot;₩&quot;#,##0.00;[Red]&quot;₩&quot;\-&quot;₩&quot;#,##0.00"/>
    <numFmt numFmtId="315" formatCode="&quot;₩&quot;#,##0.00;&quot;₩&quot;\-&quot;₩&quot;#,##0.00"/>
    <numFmt numFmtId="316" formatCode="_-* #,##0_-;&quot;₩&quot;\-* #,##0_-;_-* &quot;-&quot;_-;_-@_-"/>
    <numFmt numFmtId="317" formatCode="0.0000000000"/>
    <numFmt numFmtId="318" formatCode="#,##0.00_ "/>
    <numFmt numFmtId="319" formatCode="0.000\ &quot;KW&quot;"/>
    <numFmt numFmtId="320" formatCode="#,##0;[Red]#,##0"/>
    <numFmt numFmtId="321" formatCode="#,##0.0_);\(#,##0.0\)"/>
    <numFmt numFmtId="322" formatCode="00000000"/>
    <numFmt numFmtId="323" formatCode="0.0\ &quot;KW&quot;"/>
    <numFmt numFmtId="324" formatCode="#,##0\ ;[Red]&quot;-&quot;#,##0\ "/>
    <numFmt numFmtId="325" formatCode="* #,##0\ ;[Red]* &quot;-&quot;#,##0\ "/>
    <numFmt numFmtId="326" formatCode="_-* #,##0.000_-;\-* #,##0.000_-;_-* &quot;-&quot;_-;_-@_-"/>
    <numFmt numFmtId="327" formatCode="#,##0.####;[Red]&quot;-&quot;#,##0.####"/>
    <numFmt numFmtId="328" formatCode="_-* #,##0.00_-;&quot;₩&quot;&quot;₩&quot;\-* #,##0.00_-;_-* &quot;-&quot;??_-;_-@_-"/>
    <numFmt numFmtId="329" formatCode="&quot;₩&quot;#,##0;[Red]&quot;₩&quot;\-#,##0"/>
    <numFmt numFmtId="330" formatCode="#,##0_);[Red]&quot;₩&quot;\!\-#,##0"/>
    <numFmt numFmtId="331" formatCode="_-&quot;₩&quot;* #,##0.00_-;&quot;₩&quot;&quot;₩&quot;\-&quot;₩&quot;* #,##0.00_-;_-&quot;₩&quot;* &quot;-&quot;??_-;_-@_-"/>
    <numFmt numFmtId="332" formatCode="&quot;₩&quot;#,##0.00;&quot;₩&quot;&quot;₩&quot;&quot;₩&quot;&quot;₩&quot;\-#,##0.00"/>
    <numFmt numFmtId="333" formatCode="&quot;공사명:&quot;\ @"/>
  </numFmts>
  <fonts count="256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0"/>
      <color indexed="8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Arial"/>
      <family val="2"/>
    </font>
    <font>
      <sz val="9"/>
      <color theme="1"/>
      <name val="Segoe UI"/>
      <family val="2"/>
      <charset val="1"/>
    </font>
    <font>
      <b/>
      <sz val="16"/>
      <color indexed="8"/>
      <name val="Arial"/>
      <family val="2"/>
    </font>
    <font>
      <sz val="10"/>
      <color indexed="8"/>
      <name val="굴림체"/>
      <family val="3"/>
      <charset val="129"/>
    </font>
    <font>
      <sz val="20"/>
      <name val="굴림"/>
      <family val="3"/>
      <charset val="129"/>
    </font>
    <font>
      <b/>
      <sz val="9"/>
      <name val="굴림"/>
      <family val="3"/>
      <charset val="129"/>
    </font>
    <font>
      <sz val="10"/>
      <color theme="1"/>
      <name val="굴림체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8"/>
      <name val="굴림"/>
      <family val="3"/>
      <charset val="129"/>
    </font>
    <font>
      <sz val="10"/>
      <name val="돋움"/>
      <family val="2"/>
      <charset val="129"/>
    </font>
    <font>
      <sz val="10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indexed="8"/>
      <name val="Arial"/>
      <family val="3"/>
      <charset val="129"/>
    </font>
    <font>
      <b/>
      <sz val="12"/>
      <color indexed="8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7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3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/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9319">
    <xf numFmtId="0" fontId="0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0" borderId="0"/>
    <xf numFmtId="176" fontId="14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0" fontId="14" fillId="0" borderId="0">
      <alignment vertical="center"/>
    </xf>
    <xf numFmtId="9" fontId="20" fillId="0" borderId="0" applyFont="0" applyFill="0" applyBorder="0" applyAlignment="0" applyProtection="0"/>
    <xf numFmtId="0" fontId="19" fillId="0" borderId="0"/>
    <xf numFmtId="176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44" fillId="0" borderId="0"/>
    <xf numFmtId="178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183" fontId="54" fillId="0" borderId="0" applyFont="0" applyFill="0" applyBorder="0" applyAlignment="0" applyProtection="0"/>
    <xf numFmtId="0" fontId="23" fillId="0" borderId="0"/>
    <xf numFmtId="184" fontId="54" fillId="0" borderId="0" applyFont="0" applyFill="0" applyBorder="0" applyAlignment="0" applyProtection="0"/>
    <xf numFmtId="0" fontId="55" fillId="0" borderId="0"/>
    <xf numFmtId="0" fontId="56" fillId="0" borderId="0"/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8" fillId="0" borderId="0">
      <protection locked="0"/>
    </xf>
    <xf numFmtId="0" fontId="57" fillId="0" borderId="0">
      <protection locked="0"/>
    </xf>
    <xf numFmtId="0" fontId="57" fillId="0" borderId="0">
      <protection locked="0"/>
    </xf>
    <xf numFmtId="0" fontId="58" fillId="0" borderId="0">
      <protection locked="0"/>
    </xf>
    <xf numFmtId="0" fontId="59" fillId="0" borderId="40">
      <alignment horizontal="center"/>
    </xf>
    <xf numFmtId="0" fontId="60" fillId="0" borderId="0"/>
    <xf numFmtId="185" fontId="61" fillId="0" borderId="41" applyBorder="0">
      <alignment horizontal="center"/>
    </xf>
    <xf numFmtId="10" fontId="61" fillId="0" borderId="41" applyBorder="0">
      <alignment horizontal="center"/>
    </xf>
    <xf numFmtId="0" fontId="61" fillId="0" borderId="0"/>
    <xf numFmtId="0" fontId="56" fillId="0" borderId="29">
      <alignment horizontal="centerContinuous" vertical="center"/>
    </xf>
    <xf numFmtId="3" fontId="54" fillId="0" borderId="42"/>
    <xf numFmtId="3" fontId="62" fillId="0" borderId="0" applyFont="0" applyFill="0" applyBorder="0" applyAlignment="0" applyProtection="0">
      <alignment vertical="center"/>
    </xf>
    <xf numFmtId="186" fontId="44" fillId="0" borderId="0" applyFont="0" applyFill="0" applyBorder="0" applyAlignment="0" applyProtection="0"/>
    <xf numFmtId="187" fontId="57" fillId="0" borderId="0" applyFont="0" applyFill="0" applyBorder="0" applyAlignment="0" applyProtection="0"/>
    <xf numFmtId="188" fontId="44" fillId="0" borderId="42" applyFont="0" applyFill="0" applyBorder="0" applyAlignment="0" applyProtection="0">
      <alignment vertical="center"/>
    </xf>
    <xf numFmtId="189" fontId="57" fillId="0" borderId="0" applyFont="0" applyFill="0" applyBorder="0" applyAlignment="0" applyProtection="0"/>
    <xf numFmtId="190" fontId="44" fillId="0" borderId="0" applyFont="0" applyFill="0" applyBorder="0" applyAlignment="0" applyProtection="0"/>
    <xf numFmtId="191" fontId="44" fillId="0" borderId="0" applyFont="0" applyFill="0" applyBorder="0" applyAlignment="0" applyProtection="0"/>
    <xf numFmtId="190" fontId="44" fillId="0" borderId="0" applyFont="0" applyFill="0" applyBorder="0" applyAlignment="0" applyProtection="0"/>
    <xf numFmtId="192" fontId="44" fillId="0" borderId="0" applyFont="0" applyFill="0" applyBorder="0" applyAlignment="0" applyProtection="0"/>
    <xf numFmtId="193" fontId="44" fillId="0" borderId="0" applyFont="0" applyFill="0" applyBorder="0" applyAlignment="0" applyProtection="0"/>
    <xf numFmtId="194" fontId="44" fillId="0" borderId="0" applyFont="0" applyFill="0" applyBorder="0" applyAlignment="0" applyProtection="0"/>
    <xf numFmtId="195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97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200" fontId="4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192" fontId="57" fillId="0" borderId="0">
      <alignment vertical="center"/>
    </xf>
    <xf numFmtId="201" fontId="44" fillId="0" borderId="0" applyFont="0" applyFill="0" applyBorder="0" applyAlignment="0" applyProtection="0"/>
    <xf numFmtId="202" fontId="44" fillId="0" borderId="42" applyFont="0" applyFill="0" applyBorder="0" applyAlignment="0" applyProtection="0">
      <alignment vertical="center"/>
    </xf>
    <xf numFmtId="203" fontId="44" fillId="0" borderId="0" applyFont="0" applyFill="0" applyBorder="0" applyAlignment="0" applyProtection="0"/>
    <xf numFmtId="204" fontId="44" fillId="0" borderId="0" applyFont="0" applyFill="0" applyBorder="0" applyAlignment="0" applyProtection="0"/>
    <xf numFmtId="205" fontId="44" fillId="0" borderId="0" applyFont="0" applyFill="0" applyBorder="0" applyAlignment="0" applyProtection="0"/>
    <xf numFmtId="206" fontId="44" fillId="0" borderId="0" applyFont="0" applyFill="0" applyBorder="0" applyAlignment="0" applyProtection="0"/>
    <xf numFmtId="207" fontId="44" fillId="0" borderId="0" applyFont="0" applyFill="0" applyBorder="0" applyAlignment="0" applyProtection="0"/>
    <xf numFmtId="208" fontId="44" fillId="0" borderId="0" applyFont="0" applyFill="0" applyBorder="0" applyAlignment="0" applyProtection="0"/>
    <xf numFmtId="209" fontId="44" fillId="0" borderId="0" applyFont="0" applyFill="0" applyBorder="0" applyAlignment="0" applyProtection="0"/>
    <xf numFmtId="210" fontId="44" fillId="0" borderId="0" applyFont="0" applyFill="0" applyBorder="0" applyAlignment="0" applyProtection="0"/>
    <xf numFmtId="189" fontId="44" fillId="0" borderId="0" applyFont="0" applyFill="0" applyBorder="0" applyAlignment="0" applyProtection="0"/>
    <xf numFmtId="211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4" fontId="57" fillId="0" borderId="0">
      <alignment vertical="center"/>
    </xf>
    <xf numFmtId="212" fontId="57" fillId="0" borderId="0">
      <alignment vertical="center"/>
    </xf>
    <xf numFmtId="3" fontId="54" fillId="0" borderId="42"/>
    <xf numFmtId="24" fontId="59" fillId="0" borderId="0" applyFont="0" applyFill="0" applyBorder="0" applyAlignment="0" applyProtection="0"/>
    <xf numFmtId="213" fontId="42" fillId="0" borderId="0" applyNumberFormat="0" applyFont="0" applyFill="0" applyBorder="0" applyAlignment="0" applyProtection="0"/>
    <xf numFmtId="213" fontId="42" fillId="0" borderId="0" applyNumberFormat="0" applyFont="0" applyFill="0" applyBorder="0" applyAlignment="0" applyProtection="0"/>
    <xf numFmtId="214" fontId="44" fillId="0" borderId="0" applyNumberFormat="0" applyFont="0" applyFill="0" applyBorder="0" applyAlignment="0" applyProtection="0"/>
    <xf numFmtId="0" fontId="44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0" fontId="64" fillId="0" borderId="0">
      <alignment vertical="center"/>
    </xf>
    <xf numFmtId="215" fontId="65" fillId="0" borderId="42" applyFill="0" applyBorder="0" applyProtection="0">
      <alignment horizontal="right" vertical="center"/>
    </xf>
    <xf numFmtId="0" fontId="63" fillId="0" borderId="0">
      <alignment vertical="center"/>
    </xf>
    <xf numFmtId="0" fontId="26" fillId="0" borderId="43" applyNumberFormat="0" applyFont="0" applyFill="0" applyAlignment="0">
      <alignment horizontal="center" vertical="center"/>
    </xf>
    <xf numFmtId="0" fontId="44" fillId="0" borderId="0"/>
    <xf numFmtId="0" fontId="66" fillId="0" borderId="0" applyFont="0" applyFill="0" applyBorder="0" applyAlignment="0" applyProtection="0"/>
    <xf numFmtId="0" fontId="55" fillId="0" borderId="0"/>
    <xf numFmtId="0" fontId="57" fillId="0" borderId="0"/>
    <xf numFmtId="0" fontId="67" fillId="0" borderId="0"/>
    <xf numFmtId="0" fontId="57" fillId="0" borderId="0"/>
    <xf numFmtId="0" fontId="57" fillId="0" borderId="0"/>
    <xf numFmtId="0" fontId="23" fillId="0" borderId="0" applyFont="0" applyFill="0" applyBorder="0" applyAlignment="0" applyProtection="0"/>
    <xf numFmtId="179" fontId="68" fillId="0" borderId="0" applyFont="0" applyFill="0" applyBorder="0" applyAlignment="0" applyProtection="0"/>
    <xf numFmtId="216" fontId="44" fillId="0" borderId="0" applyFont="0" applyFill="0" applyBorder="0" applyAlignment="0" applyProtection="0"/>
    <xf numFmtId="179" fontId="68" fillId="0" borderId="0" applyFont="0" applyFill="0" applyBorder="0" applyAlignment="0" applyProtection="0"/>
    <xf numFmtId="216" fontId="44" fillId="0" borderId="0" applyFont="0" applyFill="0" applyBorder="0" applyAlignment="0" applyProtection="0"/>
    <xf numFmtId="217" fontId="44" fillId="0" borderId="0" applyFont="0" applyFill="0" applyBorder="0" applyAlignment="0" applyProtection="0"/>
    <xf numFmtId="218" fontId="68" fillId="0" borderId="0" applyFont="0" applyFill="0" applyBorder="0" applyAlignment="0" applyProtection="0"/>
    <xf numFmtId="217" fontId="44" fillId="0" borderId="0" applyFont="0" applyFill="0" applyBorder="0" applyAlignment="0" applyProtection="0"/>
    <xf numFmtId="218" fontId="68" fillId="0" borderId="0" applyFont="0" applyFill="0" applyBorder="0" applyAlignment="0" applyProtection="0"/>
    <xf numFmtId="179" fontId="69" fillId="0" borderId="0" applyFont="0" applyFill="0" applyBorder="0" applyAlignment="0" applyProtection="0"/>
    <xf numFmtId="9" fontId="70" fillId="0" borderId="0" applyFont="0" applyFill="0" applyBorder="0" applyAlignment="0" applyProtection="0"/>
    <xf numFmtId="0" fontId="70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44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0" fontId="71" fillId="0" borderId="0"/>
    <xf numFmtId="0" fontId="23" fillId="0" borderId="0"/>
    <xf numFmtId="0" fontId="23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71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59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 applyNumberFormat="0" applyFill="0" applyBorder="0" applyAlignment="0" applyProtection="0"/>
    <xf numFmtId="0" fontId="59" fillId="0" borderId="0"/>
    <xf numFmtId="0" fontId="59" fillId="0" borderId="0"/>
    <xf numFmtId="0" fontId="60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71" fillId="0" borderId="0"/>
    <xf numFmtId="0" fontId="71" fillId="0" borderId="0"/>
    <xf numFmtId="0" fontId="71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/>
    <xf numFmtId="0" fontId="59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61" fillId="0" borderId="0"/>
    <xf numFmtId="0" fontId="23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71" fillId="0" borderId="0"/>
    <xf numFmtId="0" fontId="44" fillId="0" borderId="0"/>
    <xf numFmtId="0" fontId="23" fillId="0" borderId="0"/>
    <xf numFmtId="0" fontId="44" fillId="0" borderId="0"/>
    <xf numFmtId="0" fontId="59" fillId="0" borderId="0"/>
    <xf numFmtId="0" fontId="44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61" fillId="0" borderId="0"/>
    <xf numFmtId="0" fontId="61" fillId="0" borderId="0"/>
    <xf numFmtId="0" fontId="61" fillId="0" borderId="0"/>
    <xf numFmtId="0" fontId="71" fillId="0" borderId="0"/>
    <xf numFmtId="0" fontId="23" fillId="0" borderId="0"/>
    <xf numFmtId="0" fontId="71" fillId="0" borderId="0"/>
    <xf numFmtId="0" fontId="61" fillId="0" borderId="0"/>
    <xf numFmtId="0" fontId="61" fillId="0" borderId="0"/>
    <xf numFmtId="0" fontId="71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59" fillId="0" borderId="0"/>
    <xf numFmtId="0" fontId="23" fillId="0" borderId="0"/>
    <xf numFmtId="0" fontId="60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71" fillId="0" borderId="0"/>
    <xf numFmtId="0" fontId="61" fillId="0" borderId="0" applyFont="0" applyFill="0" applyBorder="0" applyAlignment="0" applyProtection="0"/>
    <xf numFmtId="0" fontId="44" fillId="0" borderId="0"/>
    <xf numFmtId="0" fontId="23" fillId="0" borderId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61" fillId="0" borderId="0"/>
    <xf numFmtId="0" fontId="71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71" fillId="0" borderId="0"/>
    <xf numFmtId="0" fontId="71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61" fillId="0" borderId="0"/>
    <xf numFmtId="0" fontId="71" fillId="0" borderId="0"/>
    <xf numFmtId="0" fontId="61" fillId="0" borderId="0"/>
    <xf numFmtId="0" fontId="71" fillId="0" borderId="0"/>
    <xf numFmtId="0" fontId="61" fillId="0" borderId="0"/>
    <xf numFmtId="0" fontId="7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71" fillId="0" borderId="0"/>
    <xf numFmtId="0" fontId="59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44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71" fillId="0" borderId="0"/>
    <xf numFmtId="0" fontId="23" fillId="0" borderId="0" applyNumberFormat="0" applyFill="0" applyBorder="0" applyAlignment="0" applyProtection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71" fillId="0" borderId="0"/>
    <xf numFmtId="0" fontId="61" fillId="0" borderId="0"/>
    <xf numFmtId="0" fontId="71" fillId="0" borderId="0"/>
    <xf numFmtId="0" fontId="71" fillId="0" borderId="0"/>
    <xf numFmtId="0" fontId="71" fillId="0" borderId="0"/>
    <xf numFmtId="0" fontId="61" fillId="0" borderId="0"/>
    <xf numFmtId="0" fontId="23" fillId="0" borderId="0"/>
    <xf numFmtId="0" fontId="23" fillId="0" borderId="0"/>
    <xf numFmtId="0" fontId="59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1" fillId="0" borderId="0"/>
    <xf numFmtId="0" fontId="23" fillId="0" borderId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23" fillId="0" borderId="0" applyNumberFormat="0" applyFill="0" applyBorder="0" applyAlignment="0" applyProtection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60" fillId="0" borderId="0"/>
    <xf numFmtId="0" fontId="23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/>
    <xf numFmtId="0" fontId="6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1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71" fillId="0" borderId="0"/>
    <xf numFmtId="0" fontId="71" fillId="0" borderId="0"/>
    <xf numFmtId="0" fontId="23" fillId="0" borderId="0" applyNumberFormat="0" applyFill="0" applyBorder="0" applyAlignment="0" applyProtection="0"/>
    <xf numFmtId="0" fontId="23" fillId="0" borderId="0"/>
    <xf numFmtId="0" fontId="61" fillId="0" borderId="0"/>
    <xf numFmtId="0" fontId="59" fillId="0" borderId="0"/>
    <xf numFmtId="0" fontId="23" fillId="0" borderId="0"/>
    <xf numFmtId="0" fontId="61" fillId="0" borderId="0"/>
    <xf numFmtId="0" fontId="23" fillId="0" borderId="0"/>
    <xf numFmtId="0" fontId="59" fillId="0" borderId="0"/>
    <xf numFmtId="0" fontId="60" fillId="0" borderId="0"/>
    <xf numFmtId="0" fontId="59" fillId="0" borderId="0"/>
    <xf numFmtId="0" fontId="23" fillId="0" borderId="0"/>
    <xf numFmtId="0" fontId="23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23" fillId="0" borderId="0"/>
    <xf numFmtId="0" fontId="59" fillId="0" borderId="0"/>
    <xf numFmtId="0" fontId="60" fillId="0" borderId="0"/>
    <xf numFmtId="0" fontId="23" fillId="0" borderId="0"/>
    <xf numFmtId="0" fontId="23" fillId="0" borderId="0"/>
    <xf numFmtId="0" fontId="5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9" fillId="0" borderId="0"/>
    <xf numFmtId="0" fontId="61" fillId="0" borderId="0"/>
    <xf numFmtId="0" fontId="59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1" fillId="0" borderId="0"/>
    <xf numFmtId="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71" fillId="0" borderId="0"/>
    <xf numFmtId="0" fontId="71" fillId="0" borderId="0"/>
    <xf numFmtId="0" fontId="23" fillId="0" borderId="0"/>
    <xf numFmtId="0" fontId="23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71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61" fillId="0" borderId="0" applyFont="0" applyFill="0" applyBorder="0" applyAlignment="0" applyProtection="0"/>
    <xf numFmtId="0" fontId="61" fillId="0" borderId="0"/>
    <xf numFmtId="0" fontId="59" fillId="0" borderId="0"/>
    <xf numFmtId="0" fontId="59" fillId="0" borderId="0"/>
    <xf numFmtId="0" fontId="23" fillId="0" borderId="0"/>
    <xf numFmtId="0" fontId="23" fillId="0" borderId="0" applyNumberFormat="0" applyFill="0" applyBorder="0" applyAlignment="0" applyProtection="0"/>
    <xf numFmtId="0" fontId="71" fillId="0" borderId="0"/>
    <xf numFmtId="0" fontId="61" fillId="0" borderId="0"/>
    <xf numFmtId="0" fontId="59" fillId="0" borderId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58" fillId="0" borderId="0">
      <protection locked="0"/>
    </xf>
    <xf numFmtId="0" fontId="58" fillId="0" borderId="0">
      <protection locked="0"/>
    </xf>
    <xf numFmtId="0" fontId="72" fillId="0" borderId="0">
      <protection locked="0"/>
    </xf>
    <xf numFmtId="217" fontId="44" fillId="0" borderId="0" applyFont="0" applyFill="0" applyBorder="0" applyAlignment="0" applyProtection="0"/>
    <xf numFmtId="216" fontId="4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3" fillId="0" borderId="0"/>
    <xf numFmtId="0" fontId="44" fillId="0" borderId="0" applyFont="0" applyFill="0" applyBorder="0" applyProtection="0">
      <alignment vertical="center"/>
    </xf>
    <xf numFmtId="0" fontId="44" fillId="0" borderId="0">
      <alignment vertical="center"/>
    </xf>
    <xf numFmtId="219" fontId="74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58" fillId="0" borderId="0">
      <protection locked="0"/>
    </xf>
    <xf numFmtId="220" fontId="44" fillId="0" borderId="0">
      <protection locked="0"/>
    </xf>
    <xf numFmtId="0" fontId="58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69" fillId="0" borderId="0"/>
    <xf numFmtId="221" fontId="72" fillId="0" borderId="0">
      <protection locked="0"/>
    </xf>
    <xf numFmtId="218" fontId="69" fillId="0" borderId="0" applyFont="0" applyFill="0" applyBorder="0" applyAlignment="0" applyProtection="0"/>
    <xf numFmtId="179" fontId="69" fillId="0" borderId="0" applyFont="0" applyFill="0" applyBorder="0" applyAlignment="0" applyProtection="0"/>
    <xf numFmtId="0" fontId="23" fillId="0" borderId="0"/>
    <xf numFmtId="0" fontId="24" fillId="0" borderId="42">
      <alignment vertical="center"/>
    </xf>
    <xf numFmtId="9" fontId="56" fillId="0" borderId="0">
      <alignment vertical="center"/>
    </xf>
    <xf numFmtId="0" fontId="44" fillId="0" borderId="0"/>
    <xf numFmtId="0" fontId="76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86" fontId="77" fillId="0" borderId="44" applyFill="0" applyProtection="0">
      <alignment horizontal="center"/>
    </xf>
    <xf numFmtId="3" fontId="54" fillId="0" borderId="42"/>
    <xf numFmtId="0" fontId="56" fillId="0" borderId="0">
      <alignment vertical="center"/>
    </xf>
    <xf numFmtId="3" fontId="54" fillId="0" borderId="42"/>
    <xf numFmtId="10" fontId="56" fillId="0" borderId="0">
      <alignment vertical="center"/>
    </xf>
    <xf numFmtId="0" fontId="56" fillId="0" borderId="0">
      <alignment vertical="center"/>
    </xf>
    <xf numFmtId="222" fontId="44" fillId="0" borderId="0">
      <alignment vertical="center"/>
    </xf>
    <xf numFmtId="0" fontId="24" fillId="0" borderId="42">
      <alignment vertical="center"/>
    </xf>
    <xf numFmtId="0" fontId="57" fillId="0" borderId="0">
      <alignment vertical="center"/>
    </xf>
    <xf numFmtId="0" fontId="44" fillId="0" borderId="0"/>
    <xf numFmtId="0" fontId="78" fillId="0" borderId="45"/>
    <xf numFmtId="3" fontId="79" fillId="0" borderId="14">
      <alignment horizontal="right" vertical="center"/>
    </xf>
    <xf numFmtId="223" fontId="23" fillId="0" borderId="0" applyFont="0" applyFill="0" applyBorder="0" applyAlignment="0" applyProtection="0"/>
    <xf numFmtId="3" fontId="79" fillId="0" borderId="14">
      <alignment horizontal="right"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3" fontId="79" fillId="0" borderId="14">
      <alignment horizontal="right" vertical="center"/>
    </xf>
    <xf numFmtId="0" fontId="63" fillId="0" borderId="0"/>
    <xf numFmtId="0" fontId="63" fillId="0" borderId="0"/>
    <xf numFmtId="0" fontId="63" fillId="0" borderId="0"/>
    <xf numFmtId="3" fontId="79" fillId="0" borderId="14">
      <alignment horizontal="right" vertical="center"/>
    </xf>
    <xf numFmtId="3" fontId="79" fillId="0" borderId="14">
      <alignment horizontal="right" vertical="center"/>
    </xf>
    <xf numFmtId="176" fontId="57" fillId="0" borderId="0">
      <alignment horizontal="center" vertical="center"/>
    </xf>
    <xf numFmtId="176" fontId="57" fillId="0" borderId="0">
      <alignment horizontal="center" vertical="center"/>
    </xf>
    <xf numFmtId="224" fontId="80" fillId="0" borderId="0">
      <alignment horizontal="center" vertical="center"/>
    </xf>
    <xf numFmtId="3" fontId="79" fillId="0" borderId="14">
      <alignment horizontal="right" vertical="center"/>
    </xf>
    <xf numFmtId="3" fontId="79" fillId="0" borderId="14">
      <alignment horizontal="right" vertical="center"/>
    </xf>
    <xf numFmtId="0" fontId="63" fillId="0" borderId="0"/>
    <xf numFmtId="0" fontId="63" fillId="0" borderId="0"/>
    <xf numFmtId="3" fontId="79" fillId="0" borderId="14">
      <alignment horizontal="right" vertical="center"/>
    </xf>
    <xf numFmtId="0" fontId="63" fillId="0" borderId="0"/>
    <xf numFmtId="3" fontId="79" fillId="0" borderId="14">
      <alignment horizontal="right" vertical="center"/>
    </xf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221" fontId="82" fillId="0" borderId="0">
      <protection locked="0"/>
    </xf>
    <xf numFmtId="9" fontId="83" fillId="0" borderId="0" applyFont="0" applyFill="0" applyBorder="0" applyAlignment="0" applyProtection="0"/>
    <xf numFmtId="10" fontId="84" fillId="0" borderId="0" applyFont="0" applyFill="0" applyBorder="0" applyAlignment="0" applyProtection="0"/>
    <xf numFmtId="2" fontId="79" fillId="0" borderId="14">
      <alignment horizontal="right" vertical="center"/>
    </xf>
    <xf numFmtId="0" fontId="57" fillId="0" borderId="0"/>
    <xf numFmtId="0" fontId="57" fillId="0" borderId="2">
      <alignment horizontal="center"/>
    </xf>
    <xf numFmtId="2" fontId="79" fillId="0" borderId="14">
      <alignment horizontal="right" vertical="center"/>
    </xf>
    <xf numFmtId="0" fontId="76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5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76" fillId="44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85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76" fillId="40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85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86" fillId="17" borderId="0" applyNumberFormat="0" applyBorder="0" applyAlignment="0" applyProtection="0">
      <alignment vertical="center"/>
    </xf>
    <xf numFmtId="0" fontId="76" fillId="43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86" fillId="21" borderId="0" applyNumberFormat="0" applyBorder="0" applyAlignment="0" applyProtection="0">
      <alignment vertical="center"/>
    </xf>
    <xf numFmtId="0" fontId="76" fillId="4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86" fillId="25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86" fillId="29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86" fillId="33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86" fillId="37" borderId="0" applyNumberFormat="0" applyBorder="0" applyAlignment="0" applyProtection="0">
      <alignment vertical="center"/>
    </xf>
    <xf numFmtId="0" fontId="23" fillId="0" borderId="0"/>
    <xf numFmtId="0" fontId="58" fillId="0" borderId="0">
      <protection locked="0"/>
    </xf>
    <xf numFmtId="0" fontId="72" fillId="0" borderId="0">
      <protection locked="0"/>
    </xf>
    <xf numFmtId="225" fontId="61" fillId="0" borderId="0">
      <alignment vertical="center"/>
    </xf>
    <xf numFmtId="0" fontId="76" fillId="49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85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51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5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86" fillId="18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86" fillId="2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86" fillId="2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86" fillId="3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86" fillId="34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0" fontId="86" fillId="38" borderId="0" applyNumberFormat="0" applyBorder="0" applyAlignment="0" applyProtection="0">
      <alignment vertical="center"/>
    </xf>
    <xf numFmtId="9" fontId="57" fillId="0" borderId="0">
      <protection locked="0"/>
    </xf>
    <xf numFmtId="0" fontId="87" fillId="54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8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7" fillId="51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8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7" fillId="49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7" fillId="48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8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7" fillId="55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7" fillId="52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9" fillId="35" borderId="0" applyNumberFormat="0" applyBorder="0" applyAlignment="0" applyProtection="0">
      <alignment vertical="center"/>
    </xf>
    <xf numFmtId="0" fontId="87" fillId="57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89" fillId="39" borderId="0" applyNumberFormat="0" applyBorder="0" applyAlignment="0" applyProtection="0">
      <alignment vertical="center"/>
    </xf>
    <xf numFmtId="0" fontId="23" fillId="0" borderId="0"/>
    <xf numFmtId="0" fontId="90" fillId="0" borderId="46">
      <alignment horizontal="center" vertical="center"/>
    </xf>
    <xf numFmtId="226" fontId="44" fillId="0" borderId="0" applyFont="0" applyFill="0" applyBorder="0" applyAlignment="0" applyProtection="0"/>
    <xf numFmtId="0" fontId="72" fillId="0" borderId="0">
      <protection locked="0"/>
    </xf>
    <xf numFmtId="0" fontId="91" fillId="0" borderId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88" fillId="58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88" fillId="59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88" fillId="60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88" fillId="56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88" fillId="54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88" fillId="6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27" fontId="63" fillId="62" borderId="47">
      <alignment horizontal="center" vertical="center"/>
    </xf>
    <xf numFmtId="221" fontId="72" fillId="0" borderId="0">
      <protection locked="0"/>
    </xf>
    <xf numFmtId="0" fontId="72" fillId="0" borderId="0">
      <protection locked="0"/>
    </xf>
    <xf numFmtId="0" fontId="44" fillId="0" borderId="0">
      <protection locked="0"/>
    </xf>
    <xf numFmtId="221" fontId="82" fillId="0" borderId="0">
      <protection locked="0"/>
    </xf>
    <xf numFmtId="0" fontId="93" fillId="0" borderId="0" applyFont="0" applyFill="0" applyBorder="0" applyAlignment="0" applyProtection="0"/>
    <xf numFmtId="228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28" fontId="83" fillId="0" borderId="0" applyFont="0" applyFill="0" applyBorder="0" applyAlignment="0" applyProtection="0"/>
    <xf numFmtId="0" fontId="19" fillId="0" borderId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44" fillId="0" borderId="0">
      <protection locked="0"/>
    </xf>
    <xf numFmtId="0" fontId="84" fillId="0" borderId="0" applyFont="0" applyFill="0" applyBorder="0" applyAlignment="0" applyProtection="0"/>
    <xf numFmtId="229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29" fontId="83" fillId="0" borderId="0" applyFont="0" applyFill="0" applyBorder="0" applyAlignment="0" applyProtection="0"/>
    <xf numFmtId="0" fontId="19" fillId="0" borderId="0"/>
    <xf numFmtId="229" fontId="83" fillId="0" borderId="0" applyFont="0" applyFill="0" applyBorder="0" applyAlignment="0" applyProtection="0"/>
    <xf numFmtId="0" fontId="9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58" fillId="0" borderId="0">
      <protection locked="0"/>
    </xf>
    <xf numFmtId="221" fontId="72" fillId="0" borderId="0">
      <protection locked="0"/>
    </xf>
    <xf numFmtId="0" fontId="92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30" fontId="44" fillId="0" borderId="0">
      <protection locked="0"/>
    </xf>
    <xf numFmtId="0" fontId="59" fillId="0" borderId="0"/>
    <xf numFmtId="231" fontId="65" fillId="0" borderId="42" applyFont="0" applyFill="0" applyBorder="0">
      <alignment horizontal="right" vertical="center"/>
    </xf>
    <xf numFmtId="0" fontId="19" fillId="0" borderId="0"/>
    <xf numFmtId="0" fontId="19" fillId="0" borderId="0"/>
    <xf numFmtId="221" fontId="82" fillId="0" borderId="0">
      <protection locked="0"/>
    </xf>
    <xf numFmtId="0" fontId="58" fillId="0" borderId="0">
      <protection locked="0"/>
    </xf>
    <xf numFmtId="0" fontId="72" fillId="0" borderId="0">
      <protection locked="0"/>
    </xf>
    <xf numFmtId="221" fontId="82" fillId="0" borderId="0">
      <protection locked="0"/>
    </xf>
    <xf numFmtId="0" fontId="93" fillId="0" borderId="0" applyFont="0" applyFill="0" applyBorder="0" applyAlignment="0" applyProtection="0"/>
    <xf numFmtId="179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79" fontId="83" fillId="0" borderId="0" applyFont="0" applyFill="0" applyBorder="0" applyAlignment="0" applyProtection="0"/>
    <xf numFmtId="0" fontId="19" fillId="0" borderId="0"/>
    <xf numFmtId="179" fontId="8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218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218" fontId="83" fillId="0" borderId="0" applyFont="0" applyFill="0" applyBorder="0" applyAlignment="0" applyProtection="0"/>
    <xf numFmtId="0" fontId="19" fillId="0" borderId="0"/>
    <xf numFmtId="218" fontId="83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8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37" fontId="84" fillId="0" borderId="0" applyFont="0" applyFill="0" applyBorder="0" applyAlignment="0" applyProtection="0"/>
    <xf numFmtId="4" fontId="72" fillId="0" borderId="0">
      <protection locked="0"/>
    </xf>
    <xf numFmtId="232" fontId="44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4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99" fillId="43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0" fillId="0" borderId="0" applyNumberFormat="0" applyFill="0" applyBorder="0" applyAlignment="0" applyProtection="0"/>
    <xf numFmtId="0" fontId="19" fillId="0" borderId="0"/>
    <xf numFmtId="0" fontId="72" fillId="0" borderId="0">
      <protection locked="0"/>
    </xf>
    <xf numFmtId="221" fontId="72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101" fillId="0" borderId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221" fontId="82" fillId="0" borderId="0">
      <protection locked="0"/>
    </xf>
    <xf numFmtId="0" fontId="84" fillId="0" borderId="0"/>
    <xf numFmtId="0" fontId="83" fillId="0" borderId="0"/>
    <xf numFmtId="0" fontId="102" fillId="0" borderId="0"/>
    <xf numFmtId="0" fontId="103" fillId="0" borderId="0"/>
    <xf numFmtId="0" fontId="104" fillId="0" borderId="0"/>
    <xf numFmtId="0" fontId="105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0" fontId="84" fillId="0" borderId="0"/>
    <xf numFmtId="0" fontId="83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0" fontId="106" fillId="0" borderId="0"/>
    <xf numFmtId="0" fontId="107" fillId="0" borderId="0"/>
    <xf numFmtId="0" fontId="97" fillId="0" borderId="0"/>
    <xf numFmtId="0" fontId="105" fillId="0" borderId="0"/>
    <xf numFmtId="49" fontId="84" fillId="0" borderId="0" applyBorder="0"/>
    <xf numFmtId="0" fontId="96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97" fillId="0" borderId="0"/>
    <xf numFmtId="0" fontId="107" fillId="0" borderId="0"/>
    <xf numFmtId="0" fontId="106" fillId="0" borderId="0"/>
    <xf numFmtId="0" fontId="107" fillId="0" borderId="0"/>
    <xf numFmtId="0" fontId="97" fillId="0" borderId="0"/>
    <xf numFmtId="0" fontId="83" fillId="0" borderId="0"/>
    <xf numFmtId="0" fontId="102" fillId="0" borderId="0"/>
    <xf numFmtId="0" fontId="96" fillId="0" borderId="0"/>
    <xf numFmtId="0" fontId="23" fillId="0" borderId="0"/>
    <xf numFmtId="0" fontId="19" fillId="0" borderId="0"/>
    <xf numFmtId="0" fontId="44" fillId="0" borderId="0" applyFill="0" applyBorder="0" applyAlignment="0"/>
    <xf numFmtId="233" fontId="44" fillId="0" borderId="0" applyFill="0" applyBorder="0" applyAlignment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8" fillId="49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10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0" fillId="63" borderId="4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1" fillId="0" borderId="0" applyNumberFormat="0" applyFill="0" applyBorder="0" applyAlignment="0" applyProtection="0">
      <alignment vertical="top"/>
      <protection locked="0"/>
    </xf>
    <xf numFmtId="234" fontId="112" fillId="0" borderId="42" applyFont="0" applyFill="0" applyBorder="0">
      <alignment horizontal="right" vertical="center"/>
    </xf>
    <xf numFmtId="235" fontId="65" fillId="0" borderId="42" applyFill="0" applyBorder="0" applyProtection="0">
      <alignment horizontal="right" vertical="center"/>
    </xf>
    <xf numFmtId="0" fontId="72" fillId="0" borderId="50">
      <protection locked="0"/>
    </xf>
    <xf numFmtId="0" fontId="58" fillId="0" borderId="50">
      <protection locked="0"/>
    </xf>
    <xf numFmtId="221" fontId="72" fillId="0" borderId="0">
      <protection locked="0"/>
    </xf>
    <xf numFmtId="0" fontId="19" fillId="0" borderId="0"/>
    <xf numFmtId="0" fontId="19" fillId="0" borderId="0"/>
    <xf numFmtId="176" fontId="91" fillId="0" borderId="0" applyFont="0" applyFill="0" applyBorder="0" applyAlignment="0" applyProtection="0"/>
    <xf numFmtId="176" fontId="91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0" fontId="23" fillId="0" borderId="0" applyFill="0" applyBorder="0" applyAlignment="0" applyProtection="0"/>
    <xf numFmtId="4" fontId="72" fillId="0" borderId="0">
      <protection locked="0"/>
    </xf>
    <xf numFmtId="4" fontId="72" fillId="0" borderId="0">
      <protection locked="0"/>
    </xf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6" fontId="57" fillId="0" borderId="0" applyFont="0" applyFill="0" applyBorder="0" applyAlignment="0" applyProtection="0"/>
    <xf numFmtId="237" fontId="44" fillId="0" borderId="0"/>
    <xf numFmtId="238" fontId="57" fillId="0" borderId="0"/>
    <xf numFmtId="239" fontId="60" fillId="0" borderId="0"/>
    <xf numFmtId="177" fontId="23" fillId="0" borderId="0" applyFont="0" applyFill="0" applyBorder="0" applyAlignment="0" applyProtection="0"/>
    <xf numFmtId="240" fontId="113" fillId="0" borderId="0">
      <protection locked="0"/>
    </xf>
    <xf numFmtId="3" fontId="114" fillId="0" borderId="0" applyFont="0" applyFill="0" applyBorder="0" applyAlignment="0" applyProtection="0"/>
    <xf numFmtId="192" fontId="56" fillId="0" borderId="0" applyFill="0" applyBorder="0" applyAlignment="0" applyProtection="0"/>
    <xf numFmtId="192" fontId="56" fillId="0" borderId="0" applyFill="0" applyBorder="0" applyAlignment="0" applyProtection="0"/>
    <xf numFmtId="192" fontId="56" fillId="0" borderId="0" applyFill="0" applyBorder="0" applyAlignment="0" applyProtection="0"/>
    <xf numFmtId="40" fontId="59" fillId="0" borderId="0" applyFont="0" applyFill="0" applyBorder="0" applyAlignment="0" applyProtection="0"/>
    <xf numFmtId="0" fontId="115" fillId="0" borderId="0" applyNumberFormat="0" applyAlignment="0">
      <alignment horizontal="left"/>
    </xf>
    <xf numFmtId="0" fontId="61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0" fontId="91" fillId="0" borderId="0" applyFont="0" applyFill="0" applyBorder="0" applyAlignment="0" applyProtection="0"/>
    <xf numFmtId="241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19" fillId="0" borderId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5" fontId="23" fillId="0" borderId="0" applyFill="0" applyBorder="0" applyAlignment="0" applyProtection="0"/>
    <xf numFmtId="242" fontId="113" fillId="0" borderId="0">
      <protection locked="0"/>
    </xf>
    <xf numFmtId="242" fontId="113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3" fontId="44" fillId="0" borderId="0">
      <protection locked="0"/>
    </xf>
    <xf numFmtId="244" fontId="116" fillId="0" borderId="42" applyFill="0" applyBorder="0" applyAlignment="0"/>
    <xf numFmtId="0" fontId="19" fillId="0" borderId="0"/>
    <xf numFmtId="245" fontId="113" fillId="0" borderId="0">
      <protection locked="0"/>
    </xf>
    <xf numFmtId="221" fontId="58" fillId="0" borderId="0">
      <protection locked="0"/>
    </xf>
    <xf numFmtId="246" fontId="114" fillId="0" borderId="0" applyFont="0" applyFill="0" applyBorder="0" applyAlignment="0" applyProtection="0"/>
    <xf numFmtId="247" fontId="44" fillId="0" borderId="0"/>
    <xf numFmtId="248" fontId="57" fillId="0" borderId="0"/>
    <xf numFmtId="249" fontId="54" fillId="0" borderId="0"/>
    <xf numFmtId="0" fontId="72" fillId="0" borderId="0">
      <protection locked="0"/>
    </xf>
    <xf numFmtId="186" fontId="44" fillId="0" borderId="0">
      <protection locked="0"/>
    </xf>
    <xf numFmtId="0" fontId="19" fillId="0" borderId="0"/>
    <xf numFmtId="0" fontId="19" fillId="0" borderId="0"/>
    <xf numFmtId="38" fontId="59" fillId="0" borderId="0" applyFont="0" applyFill="0" applyBorder="0" applyAlignment="0" applyProtection="0"/>
    <xf numFmtId="40" fontId="59" fillId="0" borderId="0" applyFont="0" applyFill="0" applyBorder="0" applyAlignment="0" applyProtection="0"/>
    <xf numFmtId="250" fontId="44" fillId="0" borderId="0"/>
    <xf numFmtId="251" fontId="57" fillId="0" borderId="0"/>
    <xf numFmtId="252" fontId="44" fillId="0" borderId="0"/>
    <xf numFmtId="0" fontId="19" fillId="0" borderId="0"/>
    <xf numFmtId="0" fontId="58" fillId="0" borderId="0">
      <protection locked="0"/>
    </xf>
    <xf numFmtId="0" fontId="58" fillId="0" borderId="0">
      <protection locked="0"/>
    </xf>
    <xf numFmtId="253" fontId="44" fillId="0" borderId="0">
      <protection locked="0"/>
    </xf>
    <xf numFmtId="254" fontId="44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7" fillId="0" borderId="0" applyNumberFormat="0" applyAlignment="0">
      <alignment horizontal="left"/>
    </xf>
    <xf numFmtId="0" fontId="19" fillId="0" borderId="0"/>
    <xf numFmtId="255" fontId="118" fillId="0" borderId="0" applyFont="0" applyFill="0" applyBorder="0" applyAlignment="0" applyProtection="0"/>
    <xf numFmtId="256" fontId="4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19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0" fontId="72" fillId="0" borderId="0">
      <protection locked="0"/>
    </xf>
    <xf numFmtId="0" fontId="120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120" fillId="0" borderId="0">
      <protection locked="0"/>
    </xf>
    <xf numFmtId="257" fontId="113" fillId="0" borderId="0">
      <protection locked="0"/>
    </xf>
    <xf numFmtId="258" fontId="44" fillId="0" borderId="0">
      <protection locked="0"/>
    </xf>
    <xf numFmtId="0" fontId="72" fillId="0" borderId="0">
      <protection locked="0"/>
    </xf>
    <xf numFmtId="0" fontId="121" fillId="0" borderId="0" applyNumberFormat="0" applyFill="0" applyBorder="0" applyAlignment="0" applyProtection="0">
      <alignment vertical="top"/>
      <protection locked="0"/>
    </xf>
    <xf numFmtId="0" fontId="122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23" fillId="45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8" fontId="124" fillId="64" borderId="0" applyNumberFormat="0" applyBorder="0" applyAlignment="0" applyProtection="0"/>
    <xf numFmtId="38" fontId="124" fillId="65" borderId="0" applyNumberFormat="0" applyBorder="0" applyAlignment="0" applyProtection="0"/>
    <xf numFmtId="3" fontId="56" fillId="0" borderId="51">
      <alignment horizontal="right" vertical="center"/>
    </xf>
    <xf numFmtId="4" fontId="56" fillId="0" borderId="51">
      <alignment horizontal="right" vertical="center"/>
    </xf>
    <xf numFmtId="0" fontId="19" fillId="0" borderId="0"/>
    <xf numFmtId="0" fontId="125" fillId="0" borderId="0">
      <alignment horizontal="left"/>
    </xf>
    <xf numFmtId="0" fontId="126" fillId="0" borderId="0">
      <alignment horizontal="left"/>
    </xf>
    <xf numFmtId="0" fontId="19" fillId="0" borderId="0"/>
    <xf numFmtId="0" fontId="19" fillId="0" borderId="0"/>
    <xf numFmtId="0" fontId="19" fillId="0" borderId="0"/>
    <xf numFmtId="0" fontId="127" fillId="0" borderId="52" applyNumberFormat="0" applyAlignment="0" applyProtection="0">
      <alignment horizontal="left" vertical="center"/>
    </xf>
    <xf numFmtId="0" fontId="19" fillId="0" borderId="0"/>
    <xf numFmtId="0" fontId="19" fillId="0" borderId="0"/>
    <xf numFmtId="0" fontId="19" fillId="0" borderId="0"/>
    <xf numFmtId="0" fontId="127" fillId="0" borderId="30">
      <alignment horizontal="lef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221" fontId="58" fillId="0" borderId="0">
      <protection locked="0"/>
    </xf>
    <xf numFmtId="0" fontId="128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0">
      <protection locked="0"/>
    </xf>
    <xf numFmtId="221" fontId="58" fillId="0" borderId="0">
      <protection locked="0"/>
    </xf>
    <xf numFmtId="0" fontId="129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0" fillId="0" borderId="53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0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5" fillId="0" borderId="0">
      <protection locked="0"/>
    </xf>
    <xf numFmtId="259" fontId="44" fillId="0" borderId="0">
      <protection locked="0"/>
    </xf>
    <xf numFmtId="0" fontId="75" fillId="0" borderId="0">
      <protection locked="0"/>
    </xf>
    <xf numFmtId="259" fontId="44" fillId="0" borderId="0">
      <protection locked="0"/>
    </xf>
    <xf numFmtId="0" fontId="19" fillId="0" borderId="0"/>
    <xf numFmtId="0" fontId="131" fillId="0" borderId="0" applyNumberFormat="0" applyFill="0" applyBorder="0" applyAlignment="0" applyProtection="0"/>
    <xf numFmtId="0" fontId="132" fillId="0" borderId="54" applyNumberFormat="0" applyFill="0" applyAlignment="0" applyProtection="0"/>
    <xf numFmtId="0" fontId="133" fillId="0" borderId="0" applyNumberFormat="0" applyFill="0" applyBorder="0" applyAlignment="0" applyProtection="0">
      <alignment vertical="top"/>
      <protection locked="0"/>
    </xf>
    <xf numFmtId="0" fontId="134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10" fontId="124" fillId="66" borderId="42" applyNumberFormat="0" applyBorder="0" applyAlignment="0" applyProtection="0"/>
    <xf numFmtId="10" fontId="124" fillId="65" borderId="42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35" fillId="48" borderId="48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57" fillId="0" borderId="42">
      <alignment horizontal="center"/>
    </xf>
    <xf numFmtId="260" fontId="63" fillId="0" borderId="45" applyFont="0" applyFill="0" applyBorder="0">
      <alignment horizontal="right" vertical="center"/>
    </xf>
    <xf numFmtId="261" fontId="65" fillId="0" borderId="42" applyFill="0" applyBorder="0" applyProtection="0">
      <alignment horizontal="right" vertical="center"/>
    </xf>
    <xf numFmtId="262" fontId="65" fillId="0" borderId="42" applyFont="0" applyFill="0" applyBorder="0">
      <alignment horizontal="right" vertical="center"/>
    </xf>
    <xf numFmtId="0" fontId="65" fillId="0" borderId="42" applyFill="0" applyBorder="0" applyProtection="0">
      <alignment horizontal="right" vertical="center"/>
    </xf>
    <xf numFmtId="263" fontId="63" fillId="0" borderId="42" applyFill="0" applyBorder="0" applyProtection="0">
      <alignment horizontal="right" vertical="center"/>
    </xf>
    <xf numFmtId="264" fontId="112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6" fillId="0" borderId="55" applyNumberFormat="0" applyFill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65" fontId="63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266" fontId="137" fillId="0" borderId="0" applyFill="0" applyBorder="0" applyProtection="0">
      <alignment vertical="center"/>
    </xf>
    <xf numFmtId="0" fontId="137" fillId="0" borderId="0" applyFill="0" applyBorder="0" applyProtection="0">
      <alignment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0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59" fontId="44" fillId="0" borderId="45" applyFill="0">
      <alignment horizontal="right" vertical="center"/>
    </xf>
    <xf numFmtId="266" fontId="137" fillId="0" borderId="0" applyFill="0" applyBorder="0" applyProtection="0">
      <alignment vertical="center"/>
    </xf>
    <xf numFmtId="267" fontId="65" fillId="0" borderId="42" applyFont="0" applyFill="0" applyBorder="0">
      <alignment horizontal="right" vertical="center"/>
    </xf>
    <xf numFmtId="268" fontId="23" fillId="0" borderId="0" applyFont="0" applyFill="0" applyBorder="0" applyAlignment="0" applyProtection="0"/>
    <xf numFmtId="269" fontId="138" fillId="0" borderId="0">
      <alignment horizontal="left"/>
    </xf>
    <xf numFmtId="0" fontId="139" fillId="0" borderId="0"/>
    <xf numFmtId="0" fontId="140" fillId="0" borderId="0"/>
    <xf numFmtId="0" fontId="139" fillId="0" borderId="0"/>
    <xf numFmtId="0" fontId="140" fillId="0" borderId="0"/>
    <xf numFmtId="0" fontId="141" fillId="0" borderId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3" fillId="0" borderId="0" applyFont="0" applyFill="0" applyBorder="0">
      <alignment vertical="center"/>
    </xf>
    <xf numFmtId="0" fontId="19" fillId="0" borderId="0"/>
    <xf numFmtId="0" fontId="142" fillId="0" borderId="56"/>
    <xf numFmtId="0" fontId="142" fillId="0" borderId="56"/>
    <xf numFmtId="0" fontId="143" fillId="0" borderId="56"/>
    <xf numFmtId="0" fontId="143" fillId="0" borderId="56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3" fillId="0" borderId="42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4" fillId="51" borderId="0" applyNumberFormat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" fontId="54" fillId="0" borderId="0" applyNumberFormat="0" applyFont="0" applyFill="0" applyBorder="0" applyAlignment="0">
      <alignment vertical="center"/>
    </xf>
    <xf numFmtId="37" fontId="145" fillId="0" borderId="0"/>
    <xf numFmtId="0" fontId="54" fillId="0" borderId="57" applyNumberFormat="0" applyFont="0" applyBorder="0" applyProtection="0">
      <alignment horizontal="center" vertical="center"/>
    </xf>
    <xf numFmtId="0" fontId="23" fillId="0" borderId="0" applyNumberFormat="0" applyFill="0" applyBorder="0" applyAlignment="0" applyProtection="0"/>
    <xf numFmtId="0" fontId="139" fillId="0" borderId="0"/>
    <xf numFmtId="0" fontId="140" fillId="0" borderId="0"/>
    <xf numFmtId="0" fontId="140" fillId="0" borderId="0"/>
    <xf numFmtId="0" fontId="19" fillId="0" borderId="0"/>
    <xf numFmtId="270" fontId="24" fillId="0" borderId="0"/>
    <xf numFmtId="258" fontId="44" fillId="0" borderId="0"/>
    <xf numFmtId="271" fontId="57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19" fillId="0" borderId="0"/>
    <xf numFmtId="0" fontId="140" fillId="0" borderId="0"/>
    <xf numFmtId="0" fontId="57" fillId="0" borderId="0"/>
    <xf numFmtId="0" fontId="23" fillId="0" borderId="0" applyNumberFormat="0" applyFill="0" applyBorder="0" applyAlignment="0" applyProtection="0"/>
    <xf numFmtId="0" fontId="23" fillId="0" borderId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44" borderId="5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6" fillId="49" borderId="59" applyNumberForma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0" fontId="23" fillId="0" borderId="0" applyFont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10" fontId="23" fillId="0" borderId="0" applyFill="0" applyBorder="0" applyAlignment="0" applyProtection="0"/>
    <xf numFmtId="272" fontId="113" fillId="0" borderId="0">
      <protection locked="0"/>
    </xf>
    <xf numFmtId="272" fontId="113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273" fontId="44" fillId="0" borderId="0">
      <protection locked="0"/>
    </xf>
    <xf numFmtId="0" fontId="72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0" fontId="148" fillId="0" borderId="0" applyNumberFormat="0" applyFill="0" applyBorder="0" applyAlignment="0" applyProtection="0">
      <alignment horizontal="left"/>
    </xf>
    <xf numFmtId="0" fontId="19" fillId="0" borderId="0"/>
    <xf numFmtId="0" fontId="19" fillId="0" borderId="0"/>
    <xf numFmtId="0" fontId="59" fillId="0" borderId="0"/>
    <xf numFmtId="0" fontId="149" fillId="0" borderId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3" fillId="0" borderId="0"/>
    <xf numFmtId="40" fontId="150" fillId="0" borderId="0" applyBorder="0">
      <alignment horizontal="right"/>
    </xf>
    <xf numFmtId="274" fontId="151" fillId="0" borderId="0">
      <alignment horizont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2" fillId="0" borderId="0" applyFill="0" applyBorder="0" applyProtection="0">
      <alignment horizontal="centerContinuous" vertical="center"/>
    </xf>
    <xf numFmtId="0" fontId="63" fillId="65" borderId="0" applyFill="0" applyBorder="0" applyProtection="0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53" fillId="64" borderId="0">
      <alignment horizontal="centerContinuous"/>
    </xf>
    <xf numFmtId="0" fontId="19" fillId="0" borderId="0"/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49" fontId="154" fillId="0" borderId="0" applyFill="0" applyBorder="0" applyProtection="0">
      <alignment horizontal="centerContinuous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9" fontId="154" fillId="0" borderId="0" applyFill="0" applyBorder="0" applyProtection="0">
      <alignment horizontal="centerContinuous" vertical="center"/>
    </xf>
    <xf numFmtId="275" fontId="63" fillId="0" borderId="45" applyFill="0" applyBorder="0">
      <alignment horizontal="right" vertical="center"/>
    </xf>
    <xf numFmtId="276" fontId="57" fillId="0" borderId="0" applyFill="0" applyBorder="0" applyProtection="0"/>
    <xf numFmtId="277" fontId="57" fillId="0" borderId="42" applyFont="0" applyFill="0" applyBorder="0" applyProtection="0">
      <alignment horizontal="right" vertical="center"/>
    </xf>
    <xf numFmtId="278" fontId="57" fillId="0" borderId="42" applyFont="0" applyFill="0" applyBorder="0">
      <alignment horizontal="right" vertical="center"/>
    </xf>
    <xf numFmtId="0" fontId="65" fillId="0" borderId="42" applyFont="0" applyFill="0" applyBorder="0">
      <alignment horizontal="right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2" fillId="0" borderId="60">
      <protection locked="0"/>
    </xf>
    <xf numFmtId="259" fontId="44" fillId="0" borderId="6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79" fontId="65" fillId="0" borderId="42" applyFont="0" applyFill="0" applyBorder="0">
      <alignment horizontal="right" vertical="center"/>
    </xf>
    <xf numFmtId="0" fontId="25" fillId="0" borderId="2">
      <alignment horizontal="left"/>
    </xf>
    <xf numFmtId="37" fontId="124" fillId="67" borderId="0" applyNumberFormat="0" applyBorder="0" applyAlignment="0" applyProtection="0"/>
    <xf numFmtId="37" fontId="124" fillId="0" borderId="0"/>
    <xf numFmtId="3" fontId="155" fillId="0" borderId="54" applyProtection="0"/>
    <xf numFmtId="280" fontId="59" fillId="0" borderId="0" applyFont="0" applyFill="0" applyBorder="0" applyAlignment="0" applyProtection="0"/>
    <xf numFmtId="281" fontId="5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56" fillId="0" borderId="0" applyNumberFormat="0" applyFill="0" applyBorder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3" fontId="157" fillId="0" borderId="37"/>
    <xf numFmtId="0" fontId="158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282" fontId="44" fillId="0" borderId="0" applyFont="0" applyFill="0" applyBorder="0" applyAlignment="0" applyProtection="0">
      <alignment horizontal="right"/>
    </xf>
    <xf numFmtId="0" fontId="87" fillId="58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7" fillId="5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7" fillId="60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7" fillId="56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7" fillId="54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7" fillId="61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283" fontId="63" fillId="0" borderId="61">
      <alignment horizontal="right" vertical="center"/>
    </xf>
    <xf numFmtId="284" fontId="57" fillId="0" borderId="0"/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1" fillId="49" borderId="4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0" fontId="162" fillId="13" borderId="18" applyNumberFormat="0" applyAlignment="0" applyProtection="0">
      <alignment vertical="center"/>
    </xf>
    <xf numFmtId="285" fontId="57" fillId="0" borderId="0">
      <protection locked="0"/>
    </xf>
    <xf numFmtId="0" fontId="44" fillId="0" borderId="0">
      <protection locked="0"/>
    </xf>
    <xf numFmtId="0" fontId="57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75" fillId="0" borderId="0">
      <protection locked="0"/>
    </xf>
    <xf numFmtId="0" fontId="163" fillId="0" borderId="0"/>
    <xf numFmtId="0" fontId="56" fillId="0" borderId="0" applyNumberFormat="0" applyFont="0" applyAlignment="0">
      <alignment horizontal="center" vertical="center"/>
    </xf>
    <xf numFmtId="37" fontId="54" fillId="0" borderId="62">
      <alignment horizontal="center" vertical="center"/>
    </xf>
    <xf numFmtId="37" fontId="54" fillId="0" borderId="14" applyAlignment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6" fontId="57" fillId="0" borderId="0"/>
    <xf numFmtId="287" fontId="44" fillId="0" borderId="0" applyNumberFormat="0" applyFill="0" applyBorder="0" applyAlignment="0">
      <alignment horizontal="left"/>
    </xf>
    <xf numFmtId="37" fontId="65" fillId="0" borderId="42" applyFont="0" applyFill="0" applyBorder="0">
      <alignment vertical="center"/>
    </xf>
    <xf numFmtId="38" fontId="118" fillId="0" borderId="0"/>
    <xf numFmtId="176" fontId="52" fillId="0" borderId="3">
      <alignment horizontal="center" vertical="center"/>
    </xf>
    <xf numFmtId="176" fontId="52" fillId="0" borderId="3">
      <alignment horizontal="center" vertical="center"/>
    </xf>
    <xf numFmtId="288" fontId="61" fillId="0" borderId="63" applyFont="0" applyFill="0" applyBorder="0" applyAlignment="0">
      <alignment horizontal="left" vertical="center"/>
    </xf>
    <xf numFmtId="0" fontId="164" fillId="43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165" fillId="10" borderId="0" applyNumberFormat="0" applyBorder="0" applyAlignment="0" applyProtection="0">
      <alignment vertical="center"/>
    </xf>
    <xf numFmtId="0" fontId="72" fillId="0" borderId="0">
      <protection locked="0"/>
    </xf>
    <xf numFmtId="0" fontId="72" fillId="0" borderId="0">
      <protection locked="0"/>
    </xf>
    <xf numFmtId="3" fontId="59" fillId="0" borderId="64">
      <alignment horizontal="center"/>
    </xf>
    <xf numFmtId="0" fontId="57" fillId="68" borderId="0">
      <alignment horizontal="left"/>
    </xf>
    <xf numFmtId="0" fontId="72" fillId="0" borderId="0">
      <protection locked="0"/>
    </xf>
    <xf numFmtId="0" fontId="72" fillId="0" borderId="0">
      <protection locked="0"/>
    </xf>
    <xf numFmtId="0" fontId="61" fillId="0" borderId="0"/>
    <xf numFmtId="0" fontId="166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61" fillId="0" borderId="51">
      <alignment vertical="center"/>
    </xf>
    <xf numFmtId="0" fontId="57" fillId="0" borderId="0"/>
    <xf numFmtId="0" fontId="44" fillId="44" borderId="58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76" fillId="15" borderId="22" applyNumberFormat="0" applyFont="0" applyAlignment="0" applyProtection="0">
      <alignment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9" fontId="65" fillId="0" borderId="42" applyFont="0" applyFill="0" applyBorder="0">
      <alignment horizontal="right" vertical="center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74" fillId="0" borderId="0" applyNumberFormat="0" applyFont="0" applyFill="0" applyBorder="0" applyProtection="0">
      <alignment horizontal="distributed" vertical="center" justifyLastLine="1"/>
    </xf>
    <xf numFmtId="0" fontId="72" fillId="0" borderId="0">
      <protection locked="0"/>
    </xf>
    <xf numFmtId="0" fontId="82" fillId="0" borderId="0">
      <protection locked="0"/>
    </xf>
    <xf numFmtId="0" fontId="57" fillId="0" borderId="0" applyFont="0" applyFill="0" applyBorder="0" applyProtection="0">
      <alignment horizontal="center" vertical="center"/>
    </xf>
    <xf numFmtId="0" fontId="57" fillId="0" borderId="0" applyFont="0" applyFill="0" applyBorder="0" applyProtection="0">
      <alignment horizontal="center" vertical="center"/>
    </xf>
    <xf numFmtId="9" fontId="118" fillId="65" borderId="0" applyFill="0" applyBorder="0" applyProtection="0">
      <alignment horizontal="right"/>
    </xf>
    <xf numFmtId="9" fontId="51" fillId="0" borderId="0" applyFont="0" applyFill="0" applyBorder="0" applyAlignment="0" applyProtection="0"/>
    <xf numFmtId="10" fontId="118" fillId="0" borderId="0" applyFill="0" applyBorder="0" applyProtection="0">
      <alignment horizontal="right"/>
    </xf>
    <xf numFmtId="9" fontId="20" fillId="0" borderId="0" applyFont="0" applyFill="0" applyBorder="0" applyAlignment="0" applyProtection="0"/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16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244" fontId="44" fillId="0" borderId="46" applyFont="0" applyFill="0" applyBorder="0" applyAlignment="0" applyProtection="0">
      <alignment vertical="center"/>
    </xf>
    <xf numFmtId="289" fontId="44" fillId="69" borderId="65" applyFont="0" applyFill="0" applyBorder="0" applyAlignment="0" applyProtection="0">
      <alignment vertical="center"/>
    </xf>
    <xf numFmtId="290" fontId="44" fillId="0" borderId="0" applyFont="0" applyFill="0" applyBorder="0" applyAlignment="0" applyProtection="0"/>
    <xf numFmtId="291" fontId="44" fillId="0" borderId="3"/>
    <xf numFmtId="292" fontId="44" fillId="0" borderId="3"/>
    <xf numFmtId="0" fontId="44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168" fillId="0" borderId="0"/>
    <xf numFmtId="0" fontId="169" fillId="5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3" fontId="56" fillId="0" borderId="66">
      <alignment vertical="center"/>
    </xf>
    <xf numFmtId="293" fontId="44" fillId="0" borderId="67" applyFont="0" applyFill="0" applyAlignment="0" applyProtection="0">
      <alignment horizontal="center" vertical="center"/>
    </xf>
    <xf numFmtId="0" fontId="171" fillId="0" borderId="0"/>
    <xf numFmtId="294" fontId="163" fillId="0" borderId="43" applyBorder="0"/>
    <xf numFmtId="0" fontId="86" fillId="0" borderId="0">
      <alignment vertical="center"/>
    </xf>
    <xf numFmtId="0" fontId="172" fillId="0" borderId="0"/>
    <xf numFmtId="0" fontId="90" fillId="0" borderId="0" applyNumberFormat="0" applyFont="0" applyFill="0" applyBorder="0" applyProtection="0">
      <alignment horizontal="centerContinuous" vertical="center"/>
    </xf>
    <xf numFmtId="0" fontId="74" fillId="0" borderId="0" applyNumberFormat="0" applyFont="0" applyFill="0" applyBorder="0" applyProtection="0">
      <alignment horizontal="centerContinuous" vertical="center"/>
    </xf>
    <xf numFmtId="38" fontId="24" fillId="0" borderId="0">
      <alignment vertical="center" wrapText="1"/>
    </xf>
    <xf numFmtId="295" fontId="173" fillId="0" borderId="3">
      <alignment vertical="center"/>
    </xf>
    <xf numFmtId="3" fontId="74" fillId="0" borderId="42"/>
    <xf numFmtId="0" fontId="74" fillId="0" borderId="42"/>
    <xf numFmtId="3" fontId="74" fillId="0" borderId="68"/>
    <xf numFmtId="3" fontId="74" fillId="0" borderId="28"/>
    <xf numFmtId="0" fontId="174" fillId="0" borderId="42"/>
    <xf numFmtId="0" fontId="175" fillId="0" borderId="0">
      <alignment horizontal="center"/>
    </xf>
    <xf numFmtId="0" fontId="176" fillId="0" borderId="69">
      <alignment horizont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63" borderId="49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0" fillId="14" borderId="21" applyNumberFormat="0" applyAlignment="0" applyProtection="0">
      <alignment vertical="center"/>
    </xf>
    <xf numFmtId="0" fontId="181" fillId="0" borderId="0">
      <alignment vertical="center"/>
    </xf>
    <xf numFmtId="240" fontId="182" fillId="0" borderId="63" applyFont="0" applyAlignment="0" applyProtection="0">
      <alignment vertical="center"/>
    </xf>
    <xf numFmtId="0" fontId="182" fillId="0" borderId="63" applyFont="0" applyAlignment="0" applyProtection="0">
      <alignment vertical="center"/>
    </xf>
    <xf numFmtId="0" fontId="183" fillId="0" borderId="42" applyFont="0" applyFill="0" applyBorder="0" applyAlignment="0" applyProtection="0">
      <alignment horizontal="centerContinuous" vertical="center"/>
    </xf>
    <xf numFmtId="3" fontId="57" fillId="0" borderId="0" applyFont="0" applyFill="0" applyBorder="0" applyAlignment="0" applyProtection="0"/>
    <xf numFmtId="259" fontId="184" fillId="0" borderId="0">
      <alignment vertical="center"/>
    </xf>
    <xf numFmtId="0" fontId="44" fillId="0" borderId="0">
      <alignment vertical="center"/>
    </xf>
    <xf numFmtId="0" fontId="184" fillId="0" borderId="0">
      <alignment vertical="center"/>
    </xf>
    <xf numFmtId="205" fontId="90" fillId="0" borderId="0" applyFont="0" applyFill="0" applyBorder="0" applyAlignment="0" applyProtection="0">
      <alignment horizontal="centerContinuous" vertical="center"/>
    </xf>
    <xf numFmtId="224" fontId="90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29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9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118" fillId="0" borderId="0" applyFont="0" applyFill="0" applyBorder="0" applyAlignment="0" applyProtection="0"/>
    <xf numFmtId="176" fontId="118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97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99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63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99" fontId="44" fillId="0" borderId="0" applyFont="0" applyFill="0" applyBorder="0" applyAlignment="0" applyProtection="0"/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185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99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6" fontId="167" fillId="0" borderId="0" applyFont="0" applyFill="0" applyBorder="0" applyAlignment="0" applyProtection="0">
      <alignment vertical="center"/>
    </xf>
    <xf numFmtId="179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76" fillId="0" borderId="0" applyFont="0" applyFill="0" applyBorder="0" applyAlignment="0" applyProtection="0">
      <alignment vertical="center"/>
    </xf>
    <xf numFmtId="176" fontId="76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9" fontId="20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44" fillId="0" borderId="0" applyFont="0" applyFill="0" applyBorder="0" applyAlignment="0" applyProtection="0"/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167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177" fontId="44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186" fillId="0" borderId="0"/>
    <xf numFmtId="0" fontId="186" fillId="0" borderId="0"/>
    <xf numFmtId="0" fontId="186" fillId="0" borderId="0"/>
    <xf numFmtId="0" fontId="186" fillId="0" borderId="0"/>
    <xf numFmtId="0" fontId="61" fillId="0" borderId="0"/>
    <xf numFmtId="0" fontId="23" fillId="0" borderId="0"/>
    <xf numFmtId="0" fontId="186" fillId="0" borderId="0"/>
    <xf numFmtId="0" fontId="57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86" fillId="0" borderId="0"/>
    <xf numFmtId="0" fontId="113" fillId="0" borderId="0" applyFont="0" applyFill="0" applyBorder="0" applyAlignment="0" applyProtection="0"/>
    <xf numFmtId="0" fontId="44" fillId="0" borderId="0"/>
    <xf numFmtId="177" fontId="118" fillId="0" borderId="0" applyFont="0" applyFill="0" applyBorder="0" applyAlignment="0" applyProtection="0"/>
    <xf numFmtId="177" fontId="118" fillId="0" borderId="0" applyFont="0" applyFill="0" applyBorder="0" applyAlignment="0" applyProtection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63" fillId="0" borderId="0" applyFont="0" applyFill="0" applyBorder="0" applyAlignment="0" applyProtection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7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9" fillId="0" borderId="0" applyFont="0" applyFill="0" applyBorder="0" applyAlignment="0" applyProtection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301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0" fontId="23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3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216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23" fillId="0" borderId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7" fillId="0" borderId="0"/>
    <xf numFmtId="0" fontId="23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23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23" fillId="0" borderId="0" applyNumberForma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23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60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302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299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297" fontId="54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30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113" fillId="0" borderId="0" applyFont="0" applyFill="0" applyBorder="0" applyAlignment="0" applyProtection="0"/>
    <xf numFmtId="0" fontId="44" fillId="0" borderId="0"/>
    <xf numFmtId="0" fontId="54" fillId="0" borderId="0" applyFont="0" applyFill="0" applyBorder="0" applyAlignment="0" applyProtection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45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9" fontId="44" fillId="0" borderId="0" applyFont="0" applyFill="0" applyBorder="0" applyAlignment="0" applyProtection="0"/>
    <xf numFmtId="0" fontId="44" fillId="0" borderId="0"/>
    <xf numFmtId="0" fontId="44" fillId="0" borderId="0" applyFont="0" applyFill="0" applyBorder="0" applyAlignment="0" applyProtection="0"/>
    <xf numFmtId="0" fontId="44" fillId="0" borderId="0"/>
    <xf numFmtId="298" fontId="54" fillId="0" borderId="0" applyFont="0" applyFill="0" applyBorder="0" applyAlignment="0" applyProtection="0"/>
    <xf numFmtId="0" fontId="44" fillId="0" borderId="0"/>
    <xf numFmtId="0" fontId="187" fillId="0" borderId="30" applyFill="0" applyBorder="0">
      <alignment horizontal="left" vertical="center"/>
    </xf>
    <xf numFmtId="0" fontId="66" fillId="0" borderId="45"/>
    <xf numFmtId="304" fontId="61" fillId="0" borderId="0">
      <alignment horizontal="left" vertical="center"/>
    </xf>
    <xf numFmtId="0" fontId="188" fillId="0" borderId="55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0" fontId="189" fillId="0" borderId="20" applyNumberFormat="0" applyFill="0" applyAlignment="0" applyProtection="0">
      <alignment vertical="center"/>
    </xf>
    <xf numFmtId="305" fontId="61" fillId="0" borderId="0">
      <alignment horizontal="left" vertical="center"/>
    </xf>
    <xf numFmtId="306" fontId="61" fillId="0" borderId="0">
      <alignment horizontal="left" vertical="center"/>
    </xf>
    <xf numFmtId="307" fontId="61" fillId="0" borderId="0">
      <alignment horizontal="left" vertical="center"/>
    </xf>
    <xf numFmtId="0" fontId="190" fillId="0" borderId="0" applyNumberFormat="0" applyFill="0" applyBorder="0" applyAlignment="0" applyProtection="0">
      <alignment vertical="top"/>
      <protection locked="0"/>
    </xf>
    <xf numFmtId="0" fontId="191" fillId="0" borderId="70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0" fontId="192" fillId="0" borderId="23" applyNumberFormat="0" applyFill="0" applyAlignment="0" applyProtection="0">
      <alignment vertical="center"/>
    </xf>
    <xf numFmtId="308" fontId="65" fillId="67" borderId="42">
      <alignment horizontal="right" vertical="center"/>
    </xf>
    <xf numFmtId="309" fontId="44" fillId="0" borderId="0" applyFont="0" applyFill="0" applyBorder="0" applyAlignment="0" applyProtection="0"/>
    <xf numFmtId="0" fontId="193" fillId="0" borderId="0" applyFont="0" applyFill="0" applyBorder="0" applyAlignment="0" applyProtection="0"/>
    <xf numFmtId="0" fontId="193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194" fillId="0" borderId="0">
      <alignment vertical="center"/>
    </xf>
    <xf numFmtId="0" fontId="195" fillId="0" borderId="0">
      <alignment horizontal="center" vertical="center"/>
    </xf>
    <xf numFmtId="3" fontId="44" fillId="0" borderId="42"/>
    <xf numFmtId="0" fontId="26" fillId="0" borderId="42" applyNumberFormat="0" applyAlignment="0">
      <alignment horizontal="center" vertical="center"/>
    </xf>
    <xf numFmtId="0" fontId="90" fillId="0" borderId="0" applyNumberFormat="0" applyFont="0" applyFill="0" applyBorder="0" applyProtection="0">
      <alignment vertical="center"/>
    </xf>
    <xf numFmtId="0" fontId="71" fillId="0" borderId="0"/>
    <xf numFmtId="0" fontId="196" fillId="48" borderId="4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0" fontId="197" fillId="12" borderId="18" applyNumberFormat="0" applyAlignment="0" applyProtection="0">
      <alignment vertical="center"/>
    </xf>
    <xf numFmtId="4" fontId="72" fillId="0" borderId="0">
      <protection locked="0"/>
    </xf>
    <xf numFmtId="0" fontId="163" fillId="0" borderId="0"/>
    <xf numFmtId="4" fontId="72" fillId="0" borderId="0">
      <protection locked="0"/>
    </xf>
    <xf numFmtId="4" fontId="72" fillId="0" borderId="0">
      <protection locked="0"/>
    </xf>
    <xf numFmtId="310" fontId="57" fillId="0" borderId="0">
      <protection locked="0"/>
    </xf>
    <xf numFmtId="0" fontId="44" fillId="0" borderId="0">
      <protection locked="0"/>
    </xf>
    <xf numFmtId="3" fontId="198" fillId="0" borderId="0" applyFont="0" applyFill="0" applyBorder="0" applyAlignment="0" applyProtection="0"/>
    <xf numFmtId="311" fontId="61" fillId="0" borderId="37">
      <alignment vertical="center"/>
    </xf>
    <xf numFmtId="225" fontId="61" fillId="0" borderId="37">
      <alignment vertical="center"/>
    </xf>
    <xf numFmtId="312" fontId="61" fillId="0" borderId="37">
      <alignment vertical="center"/>
    </xf>
    <xf numFmtId="0" fontId="54" fillId="0" borderId="0" applyNumberFormat="0" applyFont="0" applyBorder="0" applyAlignment="0"/>
    <xf numFmtId="1" fontId="54" fillId="65" borderId="0" applyNumberFormat="0" applyFont="0" applyFill="0" applyBorder="0" applyAlignment="0">
      <alignment vertical="center"/>
    </xf>
    <xf numFmtId="1" fontId="54" fillId="0" borderId="0" applyBorder="0">
      <alignment vertical="center"/>
    </xf>
    <xf numFmtId="1" fontId="199" fillId="65" borderId="0" applyNumberFormat="0" applyBorder="0" applyAlignment="0">
      <alignment vertical="center"/>
    </xf>
    <xf numFmtId="0" fontId="200" fillId="0" borderId="71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201" fillId="0" borderId="15" applyNumberFormat="0" applyFill="0" applyAlignment="0" applyProtection="0">
      <alignment vertical="center"/>
    </xf>
    <xf numFmtId="0" fontId="57" fillId="0" borderId="0">
      <alignment vertical="center"/>
    </xf>
    <xf numFmtId="0" fontId="202" fillId="0" borderId="0">
      <alignment horizontal="centerContinuous" vertical="center"/>
    </xf>
    <xf numFmtId="0" fontId="203" fillId="0" borderId="72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4" fillId="0" borderId="16" applyNumberFormat="0" applyFill="0" applyAlignment="0" applyProtection="0">
      <alignment vertical="center"/>
    </xf>
    <xf numFmtId="0" fontId="205" fillId="0" borderId="53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6" fillId="0" borderId="17" applyNumberFormat="0" applyFill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8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57" fillId="0" borderId="42">
      <alignment horizontal="distributed" vertical="center"/>
    </xf>
    <xf numFmtId="0" fontId="57" fillId="0" borderId="42">
      <alignment horizontal="distributed" vertical="center" justifyLastLine="1"/>
    </xf>
    <xf numFmtId="0" fontId="57" fillId="0" borderId="43">
      <alignment horizontal="distributed" vertical="top"/>
    </xf>
    <xf numFmtId="0" fontId="57" fillId="0" borderId="43">
      <alignment horizontal="distributed" vertical="top" justifyLastLine="1"/>
    </xf>
    <xf numFmtId="0" fontId="57" fillId="0" borderId="73">
      <alignment horizontal="distributed"/>
    </xf>
    <xf numFmtId="0" fontId="57" fillId="0" borderId="73">
      <alignment horizontal="distributed" justifyLastLine="1"/>
    </xf>
    <xf numFmtId="313" fontId="209" fillId="0" borderId="0">
      <alignment vertical="center"/>
    </xf>
    <xf numFmtId="179" fontId="209" fillId="0" borderId="0">
      <alignment vertical="center"/>
    </xf>
    <xf numFmtId="0" fontId="210" fillId="45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211" fillId="9" borderId="0" applyNumberFormat="0" applyBorder="0" applyAlignment="0" applyProtection="0">
      <alignment vertical="center"/>
    </xf>
    <xf numFmtId="0" fontId="57" fillId="0" borderId="0" applyNumberFormat="0" applyFont="0" applyFill="0" applyBorder="0" applyProtection="0">
      <alignment vertical="center"/>
    </xf>
    <xf numFmtId="0" fontId="57" fillId="0" borderId="0"/>
    <xf numFmtId="1" fontId="212" fillId="65" borderId="0" applyNumberFormat="0" applyFont="0" applyFill="0" applyBorder="0" applyAlignment="0">
      <alignment vertical="center"/>
    </xf>
    <xf numFmtId="176" fontId="44" fillId="0" borderId="0" applyFont="0" applyFill="0" applyBorder="0" applyAlignment="0" applyProtection="0">
      <alignment vertical="center"/>
    </xf>
    <xf numFmtId="0" fontId="213" fillId="49" borderId="5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214" fillId="13" borderId="19" applyNumberFormat="0" applyAlignment="0" applyProtection="0">
      <alignment vertical="center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259" fontId="215" fillId="0" borderId="0" applyFont="0" applyFill="0" applyBorder="0" applyAlignment="0" applyProtection="0">
      <alignment vertical="center"/>
    </xf>
    <xf numFmtId="0" fontId="82" fillId="0" borderId="0">
      <protection locked="0"/>
    </xf>
    <xf numFmtId="0" fontId="57" fillId="0" borderId="0" applyFont="0" applyFill="0" applyBorder="0" applyProtection="0">
      <alignment vertical="center"/>
    </xf>
    <xf numFmtId="38" fontId="74" fillId="0" borderId="0" applyFont="0" applyFill="0" applyBorder="0" applyProtection="0">
      <alignment vertical="center"/>
    </xf>
    <xf numFmtId="0" fontId="82" fillId="0" borderId="0">
      <protection locked="0"/>
    </xf>
    <xf numFmtId="176" fontId="44" fillId="0" borderId="0" applyFont="0" applyFill="0" applyBorder="0" applyAlignment="0" applyProtection="0"/>
    <xf numFmtId="259" fontId="57" fillId="0" borderId="0" applyFont="0" applyFill="0" applyBorder="0" applyAlignment="0" applyProtection="0"/>
    <xf numFmtId="176" fontId="44" fillId="0" borderId="0" applyFont="0" applyFill="0" applyBorder="0" applyAlignment="0" applyProtection="0"/>
    <xf numFmtId="176" fontId="182" fillId="0" borderId="10">
      <alignment horizontal="center" vertical="center"/>
    </xf>
    <xf numFmtId="176" fontId="182" fillId="0" borderId="10">
      <alignment horizontal="center" vertical="center"/>
    </xf>
    <xf numFmtId="179" fontId="57" fillId="0" borderId="0" applyFont="0" applyFill="0" applyBorder="0" applyAlignment="0" applyProtection="0"/>
    <xf numFmtId="314" fontId="44" fillId="0" borderId="0" applyFont="0" applyFill="0" applyBorder="0" applyAlignment="0" applyProtection="0"/>
    <xf numFmtId="315" fontId="44" fillId="0" borderId="0" applyFont="0" applyFill="0" applyBorder="0" applyAlignment="0" applyProtection="0"/>
    <xf numFmtId="316" fontId="44" fillId="0" borderId="66" applyFont="0" applyFill="0" applyBorder="0" applyAlignment="0" applyProtection="0">
      <alignment vertical="center"/>
    </xf>
    <xf numFmtId="317" fontId="44" fillId="0" borderId="46" applyFont="0" applyFill="0" applyBorder="0" applyAlignment="0" applyProtection="0">
      <alignment vertical="center"/>
    </xf>
    <xf numFmtId="318" fontId="118" fillId="65" borderId="0" applyFill="0" applyBorder="0" applyProtection="0">
      <alignment horizontal="right"/>
    </xf>
    <xf numFmtId="0" fontId="118" fillId="65" borderId="0" applyFill="0" applyBorder="0" applyProtection="0">
      <alignment horizontal="right"/>
    </xf>
    <xf numFmtId="0" fontId="44" fillId="65" borderId="0" applyFill="0" applyBorder="0" applyProtection="0">
      <alignment horizontal="right"/>
    </xf>
    <xf numFmtId="9" fontId="90" fillId="0" borderId="0"/>
    <xf numFmtId="243" fontId="118" fillId="0" borderId="0" applyFont="0" applyFill="0" applyBorder="0" applyAlignment="0" applyProtection="0"/>
    <xf numFmtId="38" fontId="74" fillId="0" borderId="0" applyFont="0" applyFill="0" applyBorder="0" applyAlignment="0" applyProtection="0">
      <alignment vertical="center"/>
    </xf>
    <xf numFmtId="295" fontId="74" fillId="0" borderId="0" applyFont="0" applyFill="0" applyBorder="0" applyAlignment="0" applyProtection="0">
      <alignment vertical="center"/>
    </xf>
    <xf numFmtId="38" fontId="74" fillId="0" borderId="0" applyFill="0" applyBorder="0" applyAlignment="0" applyProtection="0">
      <alignment vertical="center"/>
    </xf>
    <xf numFmtId="319" fontId="44" fillId="64" borderId="42" applyFont="0" applyFill="0" applyBorder="0" applyAlignment="0" applyProtection="0"/>
    <xf numFmtId="320" fontId="44" fillId="0" borderId="3" applyFont="0" applyFill="0" applyBorder="0" applyAlignment="0" applyProtection="0"/>
    <xf numFmtId="321" fontId="44" fillId="0" borderId="74" applyFont="0" applyFill="0" applyBorder="0" applyAlignment="0" applyProtection="0"/>
    <xf numFmtId="322" fontId="44" fillId="0" borderId="46" applyFont="0" applyFill="0" applyBorder="0" applyAlignment="0" applyProtection="0"/>
    <xf numFmtId="323" fontId="44" fillId="0" borderId="3"/>
    <xf numFmtId="324" fontId="61" fillId="0" borderId="0" applyFont="0" applyFill="0" applyBorder="0" applyAlignment="0" applyProtection="0">
      <alignment textRotation="255"/>
    </xf>
    <xf numFmtId="325" fontId="61" fillId="0" borderId="0" applyFont="0" applyFill="0" applyBorder="0" applyAlignment="0" applyProtection="0">
      <alignment textRotation="255"/>
    </xf>
    <xf numFmtId="326" fontId="113" fillId="0" borderId="42">
      <alignment vertical="center"/>
    </xf>
    <xf numFmtId="327" fontId="61" fillId="0" borderId="0" applyFont="0" applyFill="0" applyBorder="0" applyAlignment="0" applyProtection="0">
      <alignment textRotation="255"/>
    </xf>
    <xf numFmtId="313" fontId="54" fillId="0" borderId="29" applyFont="0" applyFill="0" applyBorder="0" applyAlignment="0" applyProtection="0">
      <alignment vertical="center"/>
    </xf>
    <xf numFmtId="0" fontId="63" fillId="0" borderId="0"/>
    <xf numFmtId="0" fontId="61" fillId="0" borderId="0" applyFont="0" applyFill="0" applyBorder="0" applyAlignment="0" applyProtection="0"/>
    <xf numFmtId="218" fontId="44" fillId="0" borderId="0" applyFont="0" applyFill="0" applyBorder="0" applyAlignment="0" applyProtection="0"/>
    <xf numFmtId="3" fontId="57" fillId="0" borderId="37"/>
    <xf numFmtId="0" fontId="216" fillId="0" borderId="0">
      <alignment horizontal="centerContinuous" vertical="center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178" fontId="44" fillId="0" borderId="0" applyFont="0" applyFill="0" applyBorder="0" applyAlignment="0" applyProtection="0">
      <alignment vertical="center"/>
    </xf>
    <xf numFmtId="178" fontId="44" fillId="0" borderId="0" applyFont="0" applyFill="0" applyBorder="0" applyAlignment="0" applyProtection="0"/>
    <xf numFmtId="196" fontId="44" fillId="0" borderId="0" applyFont="0" applyFill="0" applyBorder="0" applyAlignment="0" applyProtection="0"/>
    <xf numFmtId="178" fontId="44" fillId="0" borderId="0" applyFont="0" applyFill="0" applyBorder="0" applyAlignment="0" applyProtection="0">
      <alignment vertical="center"/>
    </xf>
    <xf numFmtId="198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98" fontId="44" fillId="0" borderId="0" applyFont="0" applyFill="0" applyBorder="0" applyAlignment="0" applyProtection="0"/>
    <xf numFmtId="178" fontId="17" fillId="0" borderId="0" applyFont="0" applyFill="0" applyBorder="0" applyAlignment="0" applyProtection="0">
      <alignment vertical="center"/>
    </xf>
    <xf numFmtId="328" fontId="57" fillId="0" borderId="0">
      <protection locked="0"/>
    </xf>
    <xf numFmtId="0" fontId="57" fillId="0" borderId="0">
      <protection locked="0"/>
    </xf>
    <xf numFmtId="0" fontId="44" fillId="0" borderId="0">
      <protection locked="0"/>
    </xf>
    <xf numFmtId="228" fontId="57" fillId="0" borderId="0" applyFont="0" applyFill="0" applyBorder="0" applyAlignment="0" applyProtection="0"/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82" fillId="0" borderId="0">
      <protection locked="0"/>
    </xf>
    <xf numFmtId="0" fontId="54" fillId="0" borderId="73">
      <alignment horizontal="distributed"/>
    </xf>
    <xf numFmtId="0" fontId="54" fillId="0" borderId="73">
      <alignment horizontal="distributed" justifyLastLine="1"/>
    </xf>
    <xf numFmtId="0" fontId="54" fillId="0" borderId="75">
      <alignment horizontal="distributed" vertical="center"/>
    </xf>
    <xf numFmtId="0" fontId="54" fillId="0" borderId="75">
      <alignment horizontal="distributed" vertical="center" justifyLastLine="1"/>
    </xf>
    <xf numFmtId="0" fontId="54" fillId="0" borderId="76">
      <alignment horizontal="distributed" vertical="top"/>
    </xf>
    <xf numFmtId="0" fontId="54" fillId="0" borderId="76">
      <alignment horizontal="distributed" vertical="top" justifyLastLine="1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44" fillId="0" borderId="0"/>
    <xf numFmtId="0" fontId="44" fillId="0" borderId="0"/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2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7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219" fillId="0" borderId="0">
      <alignment vertical="center"/>
    </xf>
    <xf numFmtId="0" fontId="86" fillId="0" borderId="0">
      <alignment vertical="center"/>
    </xf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7" fillId="0" borderId="0">
      <alignment vertical="center"/>
    </xf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118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4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6" fillId="0" borderId="0">
      <alignment vertical="center"/>
    </xf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>
      <alignment vertical="center"/>
    </xf>
    <xf numFmtId="0" fontId="76" fillId="0" borderId="0">
      <alignment vertical="center"/>
    </xf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6" fillId="0" borderId="0">
      <alignment vertical="center"/>
    </xf>
    <xf numFmtId="0" fontId="63" fillId="0" borderId="0"/>
    <xf numFmtId="0" fontId="76" fillId="0" borderId="0">
      <alignment vertical="center"/>
    </xf>
    <xf numFmtId="0" fontId="19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3" fillId="0" borderId="0"/>
    <xf numFmtId="0" fontId="6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/>
    <xf numFmtId="0" fontId="44" fillId="0" borderId="0"/>
    <xf numFmtId="0" fontId="86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4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3" fillId="0" borderId="0">
      <alignment vertical="center"/>
    </xf>
    <xf numFmtId="0" fontId="13" fillId="0" borderId="0">
      <alignment vertical="center"/>
    </xf>
    <xf numFmtId="0" fontId="44" fillId="0" borderId="0"/>
    <xf numFmtId="0" fontId="13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63" fillId="0" borderId="0" applyNumberFormat="0" applyFont="0" applyFill="0" applyBorder="0" applyProtection="0">
      <alignment vertical="center"/>
    </xf>
    <xf numFmtId="0" fontId="19" fillId="0" borderId="0"/>
    <xf numFmtId="0" fontId="57" fillId="0" borderId="3">
      <alignment vertical="center" wrapText="1"/>
    </xf>
    <xf numFmtId="0" fontId="90" fillId="0" borderId="46">
      <alignment horizontal="center"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20" fillId="0" borderId="0" applyNumberFormat="0" applyFill="0" applyBorder="0" applyAlignment="0" applyProtection="0">
      <alignment vertical="top"/>
      <protection locked="0"/>
    </xf>
    <xf numFmtId="329" fontId="221" fillId="0" borderId="46"/>
    <xf numFmtId="0" fontId="72" fillId="0" borderId="50">
      <protection locked="0"/>
    </xf>
    <xf numFmtId="0" fontId="72" fillId="0" borderId="50">
      <protection locked="0"/>
    </xf>
    <xf numFmtId="330" fontId="57" fillId="0" borderId="0">
      <protection locked="0"/>
    </xf>
    <xf numFmtId="3" fontId="118" fillId="0" borderId="77">
      <alignment vertical="center"/>
    </xf>
    <xf numFmtId="0" fontId="19" fillId="0" borderId="0"/>
    <xf numFmtId="331" fontId="57" fillId="0" borderId="0">
      <protection locked="0"/>
    </xf>
    <xf numFmtId="0" fontId="57" fillId="0" borderId="0">
      <protection locked="0"/>
    </xf>
    <xf numFmtId="0" fontId="44" fillId="0" borderId="0">
      <protection locked="0"/>
    </xf>
    <xf numFmtId="332" fontId="57" fillId="0" borderId="0">
      <protection locked="0"/>
    </xf>
    <xf numFmtId="0" fontId="57" fillId="0" borderId="0">
      <protection locked="0"/>
    </xf>
    <xf numFmtId="38" fontId="61" fillId="0" borderId="0" applyNumberFormat="0" applyFont="0" applyFill="0" applyBorder="0" applyAlignment="0" applyProtection="0">
      <protection locked="0"/>
    </xf>
    <xf numFmtId="179" fontId="57" fillId="0" borderId="78"/>
    <xf numFmtId="176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25" fillId="0" borderId="0"/>
    <xf numFmtId="176" fontId="225" fillId="0" borderId="0" applyFont="0" applyFill="0" applyBorder="0" applyAlignment="0" applyProtection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76" fontId="1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6" fontId="227" fillId="0" borderId="0" applyFont="0" applyFill="0" applyBorder="0" applyAlignment="0" applyProtection="0">
      <alignment vertical="center"/>
    </xf>
    <xf numFmtId="0" fontId="23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8" fontId="44" fillId="0" borderId="0" applyFont="0" applyFill="0" applyBorder="0" applyAlignment="0" applyProtection="0"/>
    <xf numFmtId="176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6" fontId="4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374">
    <xf numFmtId="0" fontId="0" fillId="0" borderId="0" xfId="0">
      <alignment vertical="center"/>
    </xf>
    <xf numFmtId="49" fontId="15" fillId="2" borderId="1" xfId="0" applyNumberFormat="1" applyFont="1" applyFill="1" applyBorder="1" applyAlignment="1">
      <alignment horizontal="center" vertical="center" wrapText="1"/>
    </xf>
    <xf numFmtId="9" fontId="21" fillId="3" borderId="0" xfId="2" applyFont="1" applyFill="1" applyAlignment="1">
      <alignment horizontal="center" vertical="center"/>
    </xf>
    <xf numFmtId="176" fontId="22" fillId="6" borderId="3" xfId="1" applyFont="1" applyFill="1" applyBorder="1" applyAlignment="1">
      <alignment horizontal="center" vertical="center" wrapTex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176" fontId="21" fillId="4" borderId="3" xfId="4" applyFont="1" applyFill="1" applyBorder="1" applyAlignment="1">
      <alignment horizontal="center" vertical="center"/>
    </xf>
    <xf numFmtId="179" fontId="21" fillId="4" borderId="3" xfId="5" applyFont="1" applyFill="1" applyBorder="1" applyAlignment="1">
      <alignment horizontal="center" vertical="center"/>
    </xf>
    <xf numFmtId="176" fontId="22" fillId="0" borderId="3" xfId="1" applyFont="1" applyFill="1" applyBorder="1" applyAlignment="1">
      <alignment horizontal="center" vertical="center" wrapText="1"/>
    </xf>
    <xf numFmtId="0" fontId="36" fillId="0" borderId="0" xfId="0" applyFont="1">
      <alignment vertical="center"/>
    </xf>
    <xf numFmtId="180" fontId="27" fillId="0" borderId="0" xfId="1" applyNumberFormat="1" applyFont="1" applyAlignment="1">
      <alignment horizontal="center" vertical="center"/>
    </xf>
    <xf numFmtId="49" fontId="37" fillId="2" borderId="0" xfId="0" applyNumberFormat="1" applyFont="1" applyFill="1" applyAlignment="1">
      <alignment horizontal="center" vertical="center" wrapText="1"/>
    </xf>
    <xf numFmtId="0" fontId="23" fillId="0" borderId="11" xfId="3" applyFont="1" applyBorder="1" applyAlignment="1">
      <alignment horizontal="center" vertical="center"/>
    </xf>
    <xf numFmtId="176" fontId="23" fillId="0" borderId="11" xfId="1" applyFont="1" applyFill="1" applyBorder="1" applyAlignment="1">
      <alignment horizontal="center" vertical="center"/>
    </xf>
    <xf numFmtId="176" fontId="22" fillId="0" borderId="11" xfId="1" applyFont="1" applyFill="1" applyBorder="1" applyAlignment="1">
      <alignment horizontal="center" vertical="center" wrapText="1"/>
    </xf>
    <xf numFmtId="180" fontId="27" fillId="7" borderId="1" xfId="1" applyNumberFormat="1" applyFont="1" applyFill="1" applyBorder="1" applyAlignment="1">
      <alignment horizontal="center" vertical="center"/>
    </xf>
    <xf numFmtId="180" fontId="27" fillId="0" borderId="1" xfId="1" applyNumberFormat="1" applyFont="1" applyBorder="1" applyAlignment="1">
      <alignment horizontal="center" vertical="center"/>
    </xf>
    <xf numFmtId="176" fontId="32" fillId="0" borderId="0" xfId="0" applyNumberFormat="1" applyFont="1">
      <alignment vertical="center"/>
    </xf>
    <xf numFmtId="0" fontId="32" fillId="0" borderId="0" xfId="0" applyFont="1">
      <alignment vertical="center"/>
    </xf>
    <xf numFmtId="0" fontId="32" fillId="6" borderId="0" xfId="0" applyFont="1" applyFill="1">
      <alignment vertical="center"/>
    </xf>
    <xf numFmtId="0" fontId="35" fillId="8" borderId="7" xfId="0" applyFont="1" applyFill="1" applyBorder="1">
      <alignment vertical="center"/>
    </xf>
    <xf numFmtId="0" fontId="32" fillId="6" borderId="9" xfId="0" applyFont="1" applyFill="1" applyBorder="1" applyAlignment="1">
      <alignment horizontal="center" vertical="center"/>
    </xf>
    <xf numFmtId="0" fontId="30" fillId="7" borderId="11" xfId="0" applyFont="1" applyFill="1" applyBorder="1" applyAlignment="1">
      <alignment horizontal="center" vertical="center"/>
    </xf>
    <xf numFmtId="0" fontId="35" fillId="8" borderId="13" xfId="0" applyFont="1" applyFill="1" applyBorder="1">
      <alignment vertical="center"/>
    </xf>
    <xf numFmtId="0" fontId="31" fillId="6" borderId="9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27" fillId="0" borderId="0" xfId="1" applyNumberFormat="1" applyFont="1" applyAlignment="1">
      <alignment horizontal="center" vertical="center"/>
    </xf>
    <xf numFmtId="0" fontId="45" fillId="0" borderId="0" xfId="11" applyFont="1" applyAlignment="1">
      <alignment vertical="center" shrinkToFit="1"/>
    </xf>
    <xf numFmtId="0" fontId="49" fillId="0" borderId="0" xfId="11" applyFont="1" applyAlignment="1">
      <alignment vertical="center" shrinkToFit="1"/>
    </xf>
    <xf numFmtId="0" fontId="50" fillId="0" borderId="24" xfId="11" applyFont="1" applyBorder="1" applyAlignment="1">
      <alignment horizontal="center" vertical="center" shrinkToFit="1"/>
    </xf>
    <xf numFmtId="0" fontId="50" fillId="0" borderId="25" xfId="11" applyFont="1" applyBorder="1" applyAlignment="1">
      <alignment horizontal="center" vertical="center" shrinkToFit="1"/>
    </xf>
    <xf numFmtId="182" fontId="50" fillId="0" borderId="25" xfId="11" applyNumberFormat="1" applyFont="1" applyBorder="1" applyAlignment="1">
      <alignment horizontal="center" vertical="center" shrinkToFit="1"/>
    </xf>
    <xf numFmtId="181" fontId="51" fillId="0" borderId="0" xfId="11" applyNumberFormat="1" applyFont="1" applyAlignment="1">
      <alignment horizontal="center" vertical="center" shrinkToFit="1"/>
    </xf>
    <xf numFmtId="0" fontId="50" fillId="0" borderId="28" xfId="11" applyFont="1" applyBorder="1" applyAlignment="1">
      <alignment horizontal="center" vertical="center" shrinkToFit="1"/>
    </xf>
    <xf numFmtId="0" fontId="51" fillId="0" borderId="0" xfId="11" applyFont="1" applyAlignment="1">
      <alignment horizontal="center" vertical="center" shrinkToFit="1"/>
    </xf>
    <xf numFmtId="0" fontId="50" fillId="0" borderId="30" xfId="11" applyFont="1" applyBorder="1" applyAlignment="1">
      <alignment vertical="center" shrinkToFit="1"/>
    </xf>
    <xf numFmtId="0" fontId="45" fillId="0" borderId="0" xfId="11" applyFont="1" applyAlignment="1">
      <alignment horizontal="left" vertical="center" shrinkToFit="1"/>
    </xf>
    <xf numFmtId="182" fontId="45" fillId="0" borderId="0" xfId="11" applyNumberFormat="1" applyFont="1" applyAlignment="1">
      <alignment horizontal="right" vertical="center" shrinkToFit="1"/>
    </xf>
    <xf numFmtId="9" fontId="30" fillId="0" borderId="4" xfId="2" applyFont="1" applyBorder="1" applyAlignment="1">
      <alignment horizontal="center" vertical="center"/>
    </xf>
    <xf numFmtId="0" fontId="30" fillId="0" borderId="10" xfId="0" applyFont="1" applyBorder="1">
      <alignment vertical="center"/>
    </xf>
    <xf numFmtId="0" fontId="30" fillId="0" borderId="12" xfId="0" applyFont="1" applyBorder="1">
      <alignment vertical="center"/>
    </xf>
    <xf numFmtId="0" fontId="30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3" fillId="0" borderId="11" xfId="3" applyFont="1" applyBorder="1" applyAlignment="1">
      <alignment vertical="center" wrapText="1" shrinkToFit="1"/>
    </xf>
    <xf numFmtId="176" fontId="224" fillId="6" borderId="3" xfId="1" applyFont="1" applyFill="1" applyBorder="1" applyAlignment="1">
      <alignment horizontal="center" vertical="center" wrapText="1"/>
    </xf>
    <xf numFmtId="1" fontId="23" fillId="6" borderId="3" xfId="1" applyNumberFormat="1" applyFont="1" applyFill="1" applyBorder="1" applyAlignment="1">
      <alignment horizontal="center" vertical="center"/>
    </xf>
    <xf numFmtId="0" fontId="23" fillId="0" borderId="3" xfId="3" applyFont="1" applyBorder="1" applyAlignment="1">
      <alignment horizontal="center" vertical="center" wrapText="1" shrinkToFit="1"/>
    </xf>
    <xf numFmtId="176" fontId="23" fillId="0" borderId="3" xfId="1" applyFont="1" applyFill="1" applyBorder="1" applyAlignment="1">
      <alignment horizontal="center" vertical="center"/>
    </xf>
    <xf numFmtId="177" fontId="34" fillId="0" borderId="0" xfId="0" applyNumberFormat="1" applyFont="1">
      <alignment vertical="center"/>
    </xf>
    <xf numFmtId="177" fontId="30" fillId="0" borderId="0" xfId="0" applyNumberFormat="1" applyFont="1">
      <alignment vertical="center"/>
    </xf>
    <xf numFmtId="1" fontId="30" fillId="0" borderId="0" xfId="1" applyNumberFormat="1" applyFont="1">
      <alignment vertical="center"/>
    </xf>
    <xf numFmtId="1" fontId="23" fillId="6" borderId="11" xfId="1" applyNumberFormat="1" applyFont="1" applyFill="1" applyBorder="1" applyAlignment="1">
      <alignment horizontal="center" vertical="center"/>
    </xf>
    <xf numFmtId="1" fontId="30" fillId="0" borderId="0" xfId="0" applyNumberFormat="1" applyFont="1">
      <alignment vertical="center"/>
    </xf>
    <xf numFmtId="0" fontId="30" fillId="7" borderId="81" xfId="0" applyFont="1" applyFill="1" applyBorder="1" applyAlignment="1">
      <alignment horizontal="center" vertical="center"/>
    </xf>
    <xf numFmtId="176" fontId="23" fillId="0" borderId="81" xfId="1" applyFont="1" applyFill="1" applyBorder="1" applyAlignment="1">
      <alignment horizontal="center" vertical="center"/>
    </xf>
    <xf numFmtId="9" fontId="30" fillId="0" borderId="82" xfId="2" applyFont="1" applyBorder="1" applyAlignment="1">
      <alignment horizontal="center" vertical="center"/>
    </xf>
    <xf numFmtId="0" fontId="30" fillId="0" borderId="83" xfId="0" applyFont="1" applyBorder="1">
      <alignment vertical="center"/>
    </xf>
    <xf numFmtId="49" fontId="15" fillId="2" borderId="84" xfId="0" applyNumberFormat="1" applyFont="1" applyFill="1" applyBorder="1" applyAlignment="1">
      <alignment horizontal="center" vertical="center" wrapText="1"/>
    </xf>
    <xf numFmtId="49" fontId="15" fillId="2" borderId="85" xfId="0" applyNumberFormat="1" applyFont="1" applyFill="1" applyBorder="1" applyAlignment="1">
      <alignment horizontal="center" vertical="center" wrapText="1"/>
    </xf>
    <xf numFmtId="0" fontId="42" fillId="0" borderId="3" xfId="3" applyFont="1" applyBorder="1" applyAlignment="1">
      <alignment horizontal="center" vertical="center" wrapText="1" shrinkToFit="1"/>
    </xf>
    <xf numFmtId="49" fontId="223" fillId="0" borderId="3" xfId="0" applyNumberFormat="1" applyFont="1" applyBorder="1" applyAlignment="1">
      <alignment horizontal="center" vertical="center" wrapText="1"/>
    </xf>
    <xf numFmtId="176" fontId="0" fillId="0" borderId="0" xfId="1" applyFont="1">
      <alignment vertical="center"/>
    </xf>
    <xf numFmtId="49" fontId="223" fillId="70" borderId="3" xfId="0" applyNumberFormat="1" applyFont="1" applyFill="1" applyBorder="1" applyAlignment="1">
      <alignment horizontal="center" vertical="center" wrapText="1"/>
    </xf>
    <xf numFmtId="176" fontId="229" fillId="0" borderId="0" xfId="18689" applyFont="1">
      <alignment vertical="center"/>
    </xf>
    <xf numFmtId="0" fontId="230" fillId="0" borderId="0" xfId="18690">
      <alignment vertical="center"/>
    </xf>
    <xf numFmtId="0" fontId="51" fillId="0" borderId="0" xfId="18690" applyFont="1">
      <alignment vertical="center"/>
    </xf>
    <xf numFmtId="0" fontId="45" fillId="0" borderId="42" xfId="18689" applyNumberFormat="1" applyFont="1" applyFill="1" applyBorder="1" applyAlignment="1">
      <alignment horizontal="left" vertical="center"/>
    </xf>
    <xf numFmtId="0" fontId="234" fillId="0" borderId="0" xfId="18690" applyFont="1">
      <alignment vertical="center"/>
    </xf>
    <xf numFmtId="0" fontId="23" fillId="0" borderId="81" xfId="3" applyFont="1" applyBorder="1" applyAlignment="1">
      <alignment horizontal="center" vertical="center" wrapText="1" shrinkToFit="1"/>
    </xf>
    <xf numFmtId="2" fontId="22" fillId="6" borderId="3" xfId="1" applyNumberFormat="1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76" fontId="30" fillId="0" borderId="0" xfId="0" applyNumberFormat="1" applyFont="1">
      <alignment vertical="center"/>
    </xf>
    <xf numFmtId="176" fontId="45" fillId="5" borderId="37" xfId="13" quotePrefix="1" applyFont="1" applyFill="1" applyBorder="1" applyAlignment="1">
      <alignment horizontal="left" vertical="center" shrinkToFit="1"/>
    </xf>
    <xf numFmtId="176" fontId="45" fillId="5" borderId="0" xfId="13" quotePrefix="1" applyFont="1" applyFill="1" applyBorder="1" applyAlignment="1">
      <alignment horizontal="left" vertical="center" shrinkToFit="1"/>
    </xf>
    <xf numFmtId="176" fontId="45" fillId="5" borderId="38" xfId="13" quotePrefix="1" applyFont="1" applyFill="1" applyBorder="1" applyAlignment="1">
      <alignment horizontal="left" vertical="center" shrinkToFit="1"/>
    </xf>
    <xf numFmtId="0" fontId="22" fillId="0" borderId="3" xfId="0" applyFont="1" applyBorder="1" applyAlignment="1">
      <alignment horizontal="center" vertical="center" wrapText="1"/>
    </xf>
    <xf numFmtId="0" fontId="45" fillId="0" borderId="42" xfId="18689" quotePrefix="1" applyNumberFormat="1" applyFont="1" applyFill="1" applyBorder="1" applyAlignment="1">
      <alignment horizontal="left" vertical="center"/>
    </xf>
    <xf numFmtId="0" fontId="223" fillId="0" borderId="81" xfId="0" applyFont="1" applyBorder="1" applyAlignment="1">
      <alignment horizontal="center" vertical="center" wrapText="1"/>
    </xf>
    <xf numFmtId="0" fontId="223" fillId="0" borderId="3" xfId="0" applyFont="1" applyBorder="1" applyAlignment="1">
      <alignment horizontal="center" vertical="center" wrapText="1"/>
    </xf>
    <xf numFmtId="2" fontId="22" fillId="6" borderId="81" xfId="1" applyNumberFormat="1" applyFont="1" applyFill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/>
    </xf>
    <xf numFmtId="176" fontId="30" fillId="0" borderId="3" xfId="1" applyFont="1" applyBorder="1">
      <alignment vertical="center"/>
    </xf>
    <xf numFmtId="0" fontId="30" fillId="0" borderId="3" xfId="0" applyFont="1" applyBorder="1">
      <alignment vertical="center"/>
    </xf>
    <xf numFmtId="176" fontId="22" fillId="6" borderId="11" xfId="1" applyFont="1" applyFill="1" applyBorder="1" applyAlignment="1">
      <alignment horizontal="center" vertical="center" wrapText="1"/>
    </xf>
    <xf numFmtId="9" fontId="30" fillId="0" borderId="11" xfId="2" applyFont="1" applyBorder="1" applyAlignment="1">
      <alignment horizontal="center" vertical="center"/>
    </xf>
    <xf numFmtId="176" fontId="30" fillId="0" borderId="3" xfId="0" applyNumberFormat="1" applyFont="1" applyBorder="1">
      <alignment vertical="center"/>
    </xf>
    <xf numFmtId="0" fontId="236" fillId="0" borderId="81" xfId="3" applyFont="1" applyBorder="1" applyAlignment="1">
      <alignment horizontal="center" vertical="center" wrapText="1" shrinkToFit="1"/>
    </xf>
    <xf numFmtId="0" fontId="32" fillId="6" borderId="97" xfId="0" applyFont="1" applyFill="1" applyBorder="1" applyAlignment="1">
      <alignment horizontal="center" vertical="center"/>
    </xf>
    <xf numFmtId="0" fontId="229" fillId="0" borderId="0" xfId="18689" applyNumberFormat="1" applyFont="1">
      <alignment vertical="center"/>
    </xf>
    <xf numFmtId="0" fontId="231" fillId="4" borderId="42" xfId="18689" applyNumberFormat="1" applyFont="1" applyFill="1" applyBorder="1" applyAlignment="1">
      <alignment horizontal="center" vertical="center"/>
    </xf>
    <xf numFmtId="0" fontId="45" fillId="0" borderId="42" xfId="18689" applyNumberFormat="1" applyFont="1" applyFill="1" applyBorder="1" applyAlignment="1">
      <alignment horizontal="center" vertical="center"/>
    </xf>
    <xf numFmtId="0" fontId="233" fillId="0" borderId="0" xfId="18689" applyNumberFormat="1" applyFont="1" applyAlignment="1">
      <alignment horizontal="center" vertical="center"/>
    </xf>
    <xf numFmtId="0" fontId="234" fillId="0" borderId="0" xfId="18689" applyNumberFormat="1" applyFont="1" applyAlignment="1">
      <alignment horizontal="center" vertical="center"/>
    </xf>
    <xf numFmtId="176" fontId="23" fillId="0" borderId="3" xfId="1" applyFont="1" applyFill="1" applyBorder="1" applyAlignment="1">
      <alignment horizontal="right" vertical="center"/>
    </xf>
    <xf numFmtId="9" fontId="22" fillId="0" borderId="3" xfId="2" applyFont="1" applyBorder="1" applyAlignment="1">
      <alignment horizontal="center" vertical="center"/>
    </xf>
    <xf numFmtId="0" fontId="231" fillId="4" borderId="42" xfId="18690" applyFont="1" applyFill="1" applyBorder="1" applyAlignment="1">
      <alignment horizontal="center" vertical="center"/>
    </xf>
    <xf numFmtId="0" fontId="45" fillId="71" borderId="42" xfId="18690" quotePrefix="1" applyFont="1" applyFill="1" applyBorder="1" applyAlignment="1">
      <alignment vertical="center" wrapText="1"/>
    </xf>
    <xf numFmtId="0" fontId="45" fillId="5" borderId="42" xfId="18690" quotePrefix="1" applyFont="1" applyFill="1" applyBorder="1" applyAlignment="1">
      <alignment vertical="center" wrapText="1"/>
    </xf>
    <xf numFmtId="0" fontId="45" fillId="5" borderId="42" xfId="18690" quotePrefix="1" applyFont="1" applyFill="1" applyBorder="1" applyAlignment="1">
      <alignment horizontal="center" vertical="center" wrapText="1"/>
    </xf>
    <xf numFmtId="0" fontId="45" fillId="0" borderId="42" xfId="18690" applyFont="1" applyBorder="1">
      <alignment vertical="center"/>
    </xf>
    <xf numFmtId="0" fontId="45" fillId="0" borderId="42" xfId="18690" quotePrefix="1" applyFont="1" applyBorder="1" applyAlignment="1">
      <alignment horizontal="center" vertical="center" wrapText="1"/>
    </xf>
    <xf numFmtId="0" fontId="45" fillId="0" borderId="42" xfId="18690" quotePrefix="1" applyFont="1" applyBorder="1" applyAlignment="1">
      <alignment vertical="center" wrapText="1"/>
    </xf>
    <xf numFmtId="0" fontId="49" fillId="0" borderId="42" xfId="18690" quotePrefix="1" applyFont="1" applyBorder="1" applyAlignment="1">
      <alignment horizontal="center" vertical="center"/>
    </xf>
    <xf numFmtId="0" fontId="45" fillId="0" borderId="42" xfId="18690" applyFont="1" applyBorder="1" applyAlignment="1">
      <alignment horizontal="center" vertical="center" wrapText="1"/>
    </xf>
    <xf numFmtId="0" fontId="45" fillId="0" borderId="42" xfId="18690" applyFont="1" applyBorder="1" applyAlignment="1">
      <alignment vertical="center" wrapText="1"/>
    </xf>
    <xf numFmtId="0" fontId="45" fillId="65" borderId="42" xfId="18690" applyFont="1" applyFill="1" applyBorder="1" applyAlignment="1">
      <alignment horizontal="center" vertical="center" wrapText="1"/>
    </xf>
    <xf numFmtId="0" fontId="45" fillId="0" borderId="43" xfId="18690" quotePrefix="1" applyFont="1" applyBorder="1" applyAlignment="1">
      <alignment vertical="center" wrapText="1"/>
    </xf>
    <xf numFmtId="0" fontId="233" fillId="0" borderId="0" xfId="18690" applyFont="1">
      <alignment vertical="center"/>
    </xf>
    <xf numFmtId="0" fontId="233" fillId="0" borderId="0" xfId="18690" applyFont="1" applyAlignment="1">
      <alignment horizontal="center" vertical="center"/>
    </xf>
    <xf numFmtId="0" fontId="233" fillId="0" borderId="0" xfId="18690" applyFont="1" applyAlignment="1">
      <alignment horizontal="left" vertical="center"/>
    </xf>
    <xf numFmtId="0" fontId="234" fillId="0" borderId="0" xfId="18690" applyFont="1" applyAlignment="1">
      <alignment horizontal="center" vertical="center"/>
    </xf>
    <xf numFmtId="0" fontId="234" fillId="0" borderId="0" xfId="18690" applyFont="1" applyAlignment="1">
      <alignment horizontal="left" vertical="center"/>
    </xf>
    <xf numFmtId="0" fontId="238" fillId="0" borderId="3" xfId="0" applyFont="1" applyBorder="1" applyAlignment="1">
      <alignment horizontal="center" vertical="center" wrapText="1"/>
    </xf>
    <xf numFmtId="0" fontId="240" fillId="0" borderId="3" xfId="0" applyFont="1" applyBorder="1" applyAlignment="1">
      <alignment horizontal="center" vertical="center" wrapText="1"/>
    </xf>
    <xf numFmtId="205" fontId="22" fillId="6" borderId="3" xfId="1" applyNumberFormat="1" applyFont="1" applyFill="1" applyBorder="1" applyAlignment="1">
      <alignment horizontal="center" vertical="center" wrapText="1"/>
    </xf>
    <xf numFmtId="49" fontId="237" fillId="0" borderId="81" xfId="3" applyNumberFormat="1" applyFont="1" applyBorder="1" applyAlignment="1">
      <alignment horizontal="center" vertical="center" wrapText="1" shrinkToFit="1"/>
    </xf>
    <xf numFmtId="9" fontId="30" fillId="0" borderId="3" xfId="0" applyNumberFormat="1" applyFont="1" applyBorder="1" applyAlignment="1">
      <alignment horizontal="center" vertical="center"/>
    </xf>
    <xf numFmtId="176" fontId="241" fillId="72" borderId="80" xfId="0" applyNumberFormat="1" applyFont="1" applyFill="1" applyBorder="1">
      <alignment vertical="center"/>
    </xf>
    <xf numFmtId="176" fontId="241" fillId="0" borderId="0" xfId="0" applyNumberFormat="1" applyFont="1" applyFill="1">
      <alignment vertical="center"/>
    </xf>
    <xf numFmtId="0" fontId="243" fillId="0" borderId="0" xfId="14459" applyFont="1">
      <alignment vertical="center"/>
    </xf>
    <xf numFmtId="0" fontId="242" fillId="0" borderId="99" xfId="19313" applyFont="1" applyBorder="1" applyAlignment="1">
      <alignment horizontal="center" vertical="center"/>
    </xf>
    <xf numFmtId="0" fontId="242" fillId="0" borderId="0" xfId="19313" applyFont="1" applyAlignment="1">
      <alignment horizontal="center" vertical="center"/>
    </xf>
    <xf numFmtId="0" fontId="242" fillId="0" borderId="38" xfId="19313" applyFont="1" applyBorder="1" applyAlignment="1">
      <alignment horizontal="center" vertical="center"/>
    </xf>
    <xf numFmtId="0" fontId="245" fillId="0" borderId="99" xfId="19313" applyFont="1" applyBorder="1" applyAlignment="1">
      <alignment horizontal="left" vertical="center"/>
    </xf>
    <xf numFmtId="0" fontId="246" fillId="0" borderId="0" xfId="19313" applyFont="1" applyAlignment="1">
      <alignment vertical="center"/>
    </xf>
    <xf numFmtId="0" fontId="246" fillId="0" borderId="0" xfId="19313" applyFont="1" applyAlignment="1">
      <alignment horizontal="left" vertical="center" textRotation="1"/>
    </xf>
    <xf numFmtId="0" fontId="247" fillId="0" borderId="0" xfId="19313" applyFont="1" applyAlignment="1">
      <alignment horizontal="centerContinuous" vertical="center"/>
    </xf>
    <xf numFmtId="0" fontId="247" fillId="0" borderId="38" xfId="19313" applyFont="1" applyBorder="1" applyAlignment="1">
      <alignment vertical="center"/>
    </xf>
    <xf numFmtId="0" fontId="248" fillId="0" borderId="99" xfId="19313" applyFont="1" applyBorder="1" applyAlignment="1">
      <alignment horizontal="left" vertical="center" indent="2"/>
    </xf>
    <xf numFmtId="0" fontId="243" fillId="0" borderId="100" xfId="19313" applyFont="1" applyBorder="1" applyAlignment="1">
      <alignment vertical="center"/>
    </xf>
    <xf numFmtId="0" fontId="243" fillId="0" borderId="0" xfId="19313" applyFont="1" applyAlignment="1">
      <alignment vertical="center"/>
    </xf>
    <xf numFmtId="0" fontId="247" fillId="0" borderId="38" xfId="19313" applyFont="1" applyBorder="1" applyAlignment="1">
      <alignment horizontal="right" vertical="center"/>
    </xf>
    <xf numFmtId="0" fontId="248" fillId="0" borderId="99" xfId="19313" applyFont="1" applyBorder="1" applyAlignment="1">
      <alignment vertical="center"/>
    </xf>
    <xf numFmtId="0" fontId="248" fillId="0" borderId="0" xfId="19313" applyFont="1" applyAlignment="1">
      <alignment vertical="center"/>
    </xf>
    <xf numFmtId="0" fontId="247" fillId="0" borderId="0" xfId="19313" applyFont="1" applyAlignment="1">
      <alignment horizontal="right" vertical="center"/>
    </xf>
    <xf numFmtId="0" fontId="248" fillId="0" borderId="38" xfId="19313" applyFont="1" applyBorder="1" applyAlignment="1">
      <alignment vertical="center"/>
    </xf>
    <xf numFmtId="0" fontId="243" fillId="0" borderId="102" xfId="19313" applyFont="1" applyBorder="1" applyAlignment="1">
      <alignment horizontal="center" vertical="center"/>
    </xf>
    <xf numFmtId="0" fontId="243" fillId="0" borderId="103" xfId="19313" applyFont="1" applyBorder="1" applyAlignment="1">
      <alignment horizontal="center" vertical="center"/>
    </xf>
    <xf numFmtId="0" fontId="243" fillId="0" borderId="7" xfId="19313" applyFont="1" applyBorder="1" applyAlignment="1">
      <alignment horizontal="center" vertical="center"/>
    </xf>
    <xf numFmtId="0" fontId="243" fillId="0" borderId="8" xfId="19313" applyFont="1" applyBorder="1" applyAlignment="1">
      <alignment horizontal="center" vertical="center"/>
    </xf>
    <xf numFmtId="0" fontId="243" fillId="0" borderId="3" xfId="19313" applyFont="1" applyBorder="1" applyAlignment="1">
      <alignment horizontal="center" vertical="center"/>
    </xf>
    <xf numFmtId="0" fontId="250" fillId="0" borderId="10" xfId="19313" applyFont="1" applyBorder="1" applyAlignment="1">
      <alignment horizontal="center" vertical="center"/>
    </xf>
    <xf numFmtId="0" fontId="243" fillId="0" borderId="11" xfId="19313" applyFont="1" applyBorder="1" applyAlignment="1">
      <alignment horizontal="center" vertical="center"/>
    </xf>
    <xf numFmtId="0" fontId="243" fillId="0" borderId="12" xfId="19313" applyFont="1" applyBorder="1" applyAlignment="1">
      <alignment horizontal="center" vertical="center"/>
    </xf>
    <xf numFmtId="0" fontId="243" fillId="0" borderId="99" xfId="19313" applyFont="1" applyBorder="1" applyAlignment="1">
      <alignment horizontal="center" vertical="center"/>
    </xf>
    <xf numFmtId="0" fontId="243" fillId="0" borderId="0" xfId="19313" applyFont="1" applyAlignment="1">
      <alignment horizontal="center" vertical="center"/>
    </xf>
    <xf numFmtId="0" fontId="243" fillId="0" borderId="0" xfId="19313" applyFont="1" applyAlignment="1">
      <alignment horizontal="left" vertical="center" indent="1"/>
    </xf>
    <xf numFmtId="0" fontId="247" fillId="0" borderId="0" xfId="19313" applyFont="1" applyAlignment="1">
      <alignment vertical="center"/>
    </xf>
    <xf numFmtId="0" fontId="243" fillId="0" borderId="99" xfId="19313" applyFont="1" applyBorder="1" applyAlignment="1">
      <alignment vertical="center"/>
    </xf>
    <xf numFmtId="0" fontId="243" fillId="0" borderId="38" xfId="19313" applyFont="1" applyBorder="1" applyAlignment="1">
      <alignment vertical="center"/>
    </xf>
    <xf numFmtId="0" fontId="248" fillId="0" borderId="99" xfId="19313" applyFont="1" applyBorder="1" applyAlignment="1">
      <alignment horizontal="left" vertical="center" indent="1"/>
    </xf>
    <xf numFmtId="0" fontId="252" fillId="0" borderId="0" xfId="19313" applyFont="1" applyAlignment="1">
      <alignment vertical="center"/>
    </xf>
    <xf numFmtId="0" fontId="252" fillId="74" borderId="61" xfId="19313" applyFont="1" applyFill="1" applyBorder="1" applyAlignment="1">
      <alignment horizontal="center" vertical="center"/>
    </xf>
    <xf numFmtId="0" fontId="252" fillId="74" borderId="112" xfId="19313" applyFont="1" applyFill="1" applyBorder="1" applyAlignment="1">
      <alignment horizontal="center" vertical="center"/>
    </xf>
    <xf numFmtId="3" fontId="252" fillId="74" borderId="112" xfId="19313" applyNumberFormat="1" applyFont="1" applyFill="1" applyBorder="1" applyAlignment="1">
      <alignment horizontal="center" vertical="center"/>
    </xf>
    <xf numFmtId="0" fontId="243" fillId="0" borderId="36" xfId="19313" applyFont="1" applyBorder="1" applyAlignment="1">
      <alignment horizontal="center" vertical="center"/>
    </xf>
    <xf numFmtId="0" fontId="243" fillId="0" borderId="32" xfId="19313" applyFont="1" applyBorder="1" applyAlignment="1">
      <alignment horizontal="center" vertical="center"/>
    </xf>
    <xf numFmtId="0" fontId="243" fillId="0" borderId="29" xfId="19315" applyFont="1" applyBorder="1" applyAlignment="1">
      <alignment horizontal="center" vertical="center"/>
    </xf>
    <xf numFmtId="176" fontId="243" fillId="0" borderId="0" xfId="14459" applyNumberFormat="1" applyFont="1">
      <alignment vertical="center"/>
    </xf>
    <xf numFmtId="0" fontId="243" fillId="0" borderId="63" xfId="19315" applyFont="1" applyBorder="1" applyAlignment="1">
      <alignment horizontal="left" vertical="center" wrapText="1" indent="1"/>
    </xf>
    <xf numFmtId="0" fontId="247" fillId="0" borderId="123" xfId="19315" applyFont="1" applyBorder="1" applyAlignment="1">
      <alignment horizontal="center" vertical="center"/>
    </xf>
    <xf numFmtId="224" fontId="247" fillId="0" borderId="123" xfId="19315" applyNumberFormat="1" applyFont="1" applyBorder="1" applyAlignment="1">
      <alignment horizontal="center" vertical="center"/>
    </xf>
    <xf numFmtId="177" fontId="243" fillId="0" borderId="0" xfId="14459" applyNumberFormat="1" applyFont="1">
      <alignment vertical="center"/>
    </xf>
    <xf numFmtId="2" fontId="247" fillId="0" borderId="125" xfId="19315" applyNumberFormat="1" applyFont="1" applyBorder="1" applyAlignment="1">
      <alignment horizontal="center" vertical="center"/>
    </xf>
    <xf numFmtId="0" fontId="247" fillId="0" borderId="37" xfId="19315" applyFont="1" applyBorder="1" applyAlignment="1">
      <alignment horizontal="center" vertical="center"/>
    </xf>
    <xf numFmtId="0" fontId="243" fillId="0" borderId="39" xfId="19313" applyFont="1" applyBorder="1" applyAlignment="1">
      <alignment horizontal="center" vertical="center"/>
    </xf>
    <xf numFmtId="0" fontId="243" fillId="0" borderId="43" xfId="19315" applyFont="1" applyBorder="1" applyAlignment="1">
      <alignment horizontal="left" vertical="center" wrapText="1" indent="1"/>
    </xf>
    <xf numFmtId="1" fontId="247" fillId="0" borderId="129" xfId="19315" applyNumberFormat="1" applyFont="1" applyBorder="1" applyAlignment="1">
      <alignment horizontal="center" vertical="center"/>
    </xf>
    <xf numFmtId="0" fontId="247" fillId="0" borderId="129" xfId="19315" applyFont="1" applyBorder="1" applyAlignment="1">
      <alignment horizontal="center" vertical="center"/>
    </xf>
    <xf numFmtId="0" fontId="247" fillId="0" borderId="133" xfId="19315" applyFont="1" applyBorder="1" applyAlignment="1">
      <alignment horizontal="center" vertical="center"/>
    </xf>
    <xf numFmtId="176" fontId="243" fillId="0" borderId="0" xfId="19316" applyFont="1">
      <alignment vertical="center"/>
    </xf>
    <xf numFmtId="176" fontId="255" fillId="75" borderId="52" xfId="19313" applyNumberFormat="1" applyFont="1" applyFill="1" applyBorder="1" applyAlignment="1">
      <alignment horizontal="right" vertical="center"/>
    </xf>
    <xf numFmtId="0" fontId="255" fillId="75" borderId="52" xfId="19313" applyFont="1" applyFill="1" applyBorder="1" applyAlignment="1">
      <alignment horizontal="right" vertical="center"/>
    </xf>
    <xf numFmtId="176" fontId="255" fillId="75" borderId="135" xfId="19316" applyFont="1" applyFill="1" applyBorder="1" applyAlignment="1">
      <alignment horizontal="right" vertical="center"/>
    </xf>
    <xf numFmtId="179" fontId="243" fillId="0" borderId="0" xfId="12377" applyFont="1" applyAlignment="1">
      <alignment vertical="center"/>
    </xf>
    <xf numFmtId="49" fontId="247" fillId="0" borderId="99" xfId="19313" applyNumberFormat="1" applyFont="1" applyBorder="1" applyAlignment="1">
      <alignment horizontal="left" vertical="center" indent="1"/>
    </xf>
    <xf numFmtId="49" fontId="243" fillId="0" borderId="0" xfId="19313" applyNumberFormat="1" applyFont="1" applyAlignment="1">
      <alignment vertical="center"/>
    </xf>
    <xf numFmtId="49" fontId="243" fillId="0" borderId="38" xfId="19313" applyNumberFormat="1" applyFont="1" applyBorder="1" applyAlignment="1">
      <alignment vertical="center"/>
    </xf>
    <xf numFmtId="49" fontId="243" fillId="0" borderId="99" xfId="19313" applyNumberFormat="1" applyFont="1" applyBorder="1" applyAlignment="1">
      <alignment vertical="center"/>
    </xf>
    <xf numFmtId="0" fontId="248" fillId="0" borderId="0" xfId="19315" applyFont="1" applyAlignment="1">
      <alignment horizontal="left" vertical="center"/>
    </xf>
    <xf numFmtId="0" fontId="248" fillId="0" borderId="38" xfId="19315" applyFont="1" applyBorder="1" applyAlignment="1">
      <alignment horizontal="left" vertical="center"/>
    </xf>
    <xf numFmtId="49" fontId="243" fillId="0" borderId="137" xfId="19313" applyNumberFormat="1" applyFont="1" applyBorder="1" applyAlignment="1">
      <alignment vertical="center"/>
    </xf>
    <xf numFmtId="49" fontId="243" fillId="0" borderId="56" xfId="19313" applyNumberFormat="1" applyFont="1" applyBorder="1" applyAlignment="1">
      <alignment vertical="center"/>
    </xf>
    <xf numFmtId="49" fontId="243" fillId="0" borderId="138" xfId="19313" applyNumberFormat="1" applyFont="1" applyBorder="1" applyAlignment="1">
      <alignment vertical="center"/>
    </xf>
    <xf numFmtId="0" fontId="248" fillId="0" borderId="100" xfId="19313" applyFont="1" applyFill="1" applyBorder="1" applyAlignment="1">
      <alignment vertical="center"/>
    </xf>
    <xf numFmtId="0" fontId="243" fillId="0" borderId="100" xfId="19313" applyFont="1" applyFill="1" applyBorder="1" applyAlignment="1">
      <alignment vertical="center"/>
    </xf>
    <xf numFmtId="0" fontId="243" fillId="0" borderId="101" xfId="19313" applyFont="1" applyFill="1" applyBorder="1" applyAlignment="1">
      <alignment horizontal="right" vertical="center"/>
    </xf>
    <xf numFmtId="0" fontId="243" fillId="0" borderId="102" xfId="19313" applyFont="1" applyFill="1" applyBorder="1" applyAlignment="1">
      <alignment horizontal="center" vertical="center"/>
    </xf>
    <xf numFmtId="0" fontId="243" fillId="0" borderId="115" xfId="19315" applyFont="1" applyFill="1" applyBorder="1" applyAlignment="1">
      <alignment horizontal="center" vertical="center"/>
    </xf>
    <xf numFmtId="0" fontId="243" fillId="0" borderId="117" xfId="19315" applyFont="1" applyFill="1" applyBorder="1" applyAlignment="1">
      <alignment horizontal="center" vertical="center"/>
    </xf>
    <xf numFmtId="0" fontId="243" fillId="0" borderId="73" xfId="19315" applyFont="1" applyFill="1" applyBorder="1" applyAlignment="1">
      <alignment horizontal="center" vertical="center"/>
    </xf>
    <xf numFmtId="0" fontId="247" fillId="0" borderId="119" xfId="19315" applyFont="1" applyFill="1" applyBorder="1" applyAlignment="1">
      <alignment horizontal="center" vertical="center"/>
    </xf>
    <xf numFmtId="0" fontId="247" fillId="0" borderId="129" xfId="19315" applyFont="1" applyBorder="1" applyAlignment="1">
      <alignment horizontal="left" vertical="center" wrapText="1" indent="1"/>
    </xf>
    <xf numFmtId="0" fontId="247" fillId="0" borderId="130" xfId="19315" applyFont="1" applyBorder="1" applyAlignment="1">
      <alignment horizontal="left" vertical="center" wrapText="1" indent="1"/>
    </xf>
    <xf numFmtId="0" fontId="247" fillId="0" borderId="131" xfId="19315" applyFont="1" applyBorder="1" applyAlignment="1">
      <alignment horizontal="left" vertical="center" wrapText="1" indent="1"/>
    </xf>
    <xf numFmtId="176" fontId="243" fillId="0" borderId="129" xfId="19316" applyFont="1" applyFill="1" applyBorder="1" applyAlignment="1">
      <alignment horizontal="right" vertical="center"/>
    </xf>
    <xf numFmtId="176" fontId="243" fillId="0" borderId="130" xfId="19316" applyFont="1" applyFill="1" applyBorder="1" applyAlignment="1">
      <alignment horizontal="right" vertical="center"/>
    </xf>
    <xf numFmtId="176" fontId="243" fillId="0" borderId="131" xfId="19316" applyFont="1" applyFill="1" applyBorder="1" applyAlignment="1">
      <alignment horizontal="right" vertical="center"/>
    </xf>
    <xf numFmtId="176" fontId="243" fillId="0" borderId="129" xfId="19317" applyFont="1" applyFill="1" applyBorder="1" applyAlignment="1">
      <alignment horizontal="left" vertical="center"/>
    </xf>
    <xf numFmtId="176" fontId="243" fillId="0" borderId="132" xfId="19317" applyFont="1" applyFill="1" applyBorder="1" applyAlignment="1">
      <alignment horizontal="left" vertical="center"/>
    </xf>
    <xf numFmtId="0" fontId="255" fillId="75" borderId="134" xfId="19313" applyFont="1" applyFill="1" applyBorder="1" applyAlignment="1">
      <alignment horizontal="center" vertical="center"/>
    </xf>
    <xf numFmtId="0" fontId="255" fillId="75" borderId="52" xfId="19313" applyFont="1" applyFill="1" applyBorder="1" applyAlignment="1">
      <alignment horizontal="center" vertical="center"/>
    </xf>
    <xf numFmtId="0" fontId="255" fillId="75" borderId="135" xfId="19313" applyFont="1" applyFill="1" applyBorder="1" applyAlignment="1">
      <alignment horizontal="center" vertical="center"/>
    </xf>
    <xf numFmtId="9" fontId="255" fillId="75" borderId="136" xfId="2" applyFont="1" applyFill="1" applyBorder="1" applyAlignment="1">
      <alignment horizontal="center" vertical="center"/>
    </xf>
    <xf numFmtId="9" fontId="255" fillId="75" borderId="114" xfId="2" applyFont="1" applyFill="1" applyBorder="1" applyAlignment="1">
      <alignment horizontal="center" vertical="center"/>
    </xf>
    <xf numFmtId="176" fontId="243" fillId="0" borderId="29" xfId="19316" applyFont="1" applyFill="1" applyBorder="1" applyAlignment="1">
      <alignment horizontal="right" vertical="center"/>
    </xf>
    <xf numFmtId="176" fontId="243" fillId="0" borderId="30" xfId="19316" applyFont="1" applyFill="1" applyBorder="1" applyAlignment="1">
      <alignment horizontal="right" vertical="center"/>
    </xf>
    <xf numFmtId="176" fontId="243" fillId="0" borderId="118" xfId="19316" applyFont="1" applyFill="1" applyBorder="1" applyAlignment="1">
      <alignment horizontal="right" vertical="center"/>
    </xf>
    <xf numFmtId="176" fontId="243" fillId="0" borderId="29" xfId="19317" applyFont="1" applyFill="1" applyBorder="1" applyAlignment="1">
      <alignment horizontal="left" vertical="center"/>
    </xf>
    <xf numFmtId="176" fontId="243" fillId="0" borderId="31" xfId="19317" applyFont="1" applyFill="1" applyBorder="1" applyAlignment="1">
      <alignment horizontal="left" vertical="center"/>
    </xf>
    <xf numFmtId="176" fontId="254" fillId="0" borderId="129" xfId="19317" applyFont="1" applyBorder="1" applyAlignment="1">
      <alignment horizontal="left" vertical="center"/>
    </xf>
    <xf numFmtId="176" fontId="254" fillId="0" borderId="132" xfId="19317" applyFont="1" applyBorder="1" applyAlignment="1">
      <alignment horizontal="left" vertical="center"/>
    </xf>
    <xf numFmtId="0" fontId="247" fillId="0" borderId="125" xfId="19315" applyFont="1" applyBorder="1" applyAlignment="1">
      <alignment horizontal="left" vertical="center" wrapText="1" indent="1"/>
    </xf>
    <xf numFmtId="0" fontId="247" fillId="0" borderId="126" xfId="19315" applyFont="1" applyBorder="1" applyAlignment="1">
      <alignment horizontal="left" vertical="center" wrapText="1" indent="1"/>
    </xf>
    <xf numFmtId="0" fontId="247" fillId="0" borderId="127" xfId="19315" applyFont="1" applyBorder="1" applyAlignment="1">
      <alignment horizontal="left" vertical="center" wrapText="1" indent="1"/>
    </xf>
    <xf numFmtId="176" fontId="243" fillId="0" borderId="125" xfId="19316" applyFont="1" applyFill="1" applyBorder="1" applyAlignment="1">
      <alignment horizontal="right" vertical="center"/>
    </xf>
    <xf numFmtId="176" fontId="243" fillId="0" borderId="126" xfId="19316" applyFont="1" applyFill="1" applyBorder="1" applyAlignment="1">
      <alignment horizontal="right" vertical="center"/>
    </xf>
    <xf numFmtId="176" fontId="243" fillId="0" borderId="127" xfId="19316" applyFont="1" applyFill="1" applyBorder="1" applyAlignment="1">
      <alignment horizontal="right" vertical="center"/>
    </xf>
    <xf numFmtId="176" fontId="243" fillId="0" borderId="123" xfId="19317" applyFont="1" applyFill="1" applyBorder="1" applyAlignment="1">
      <alignment horizontal="left" vertical="center"/>
    </xf>
    <xf numFmtId="176" fontId="243" fillId="0" borderId="106" xfId="19317" applyFont="1" applyFill="1" applyBorder="1" applyAlignment="1">
      <alignment horizontal="left" vertical="center"/>
    </xf>
    <xf numFmtId="176" fontId="243" fillId="0" borderId="125" xfId="19317" applyFont="1" applyFill="1" applyBorder="1" applyAlignment="1">
      <alignment horizontal="left" vertical="center"/>
    </xf>
    <xf numFmtId="176" fontId="243" fillId="0" borderId="128" xfId="19317" applyFont="1" applyFill="1" applyBorder="1" applyAlignment="1">
      <alignment horizontal="left" vertical="center"/>
    </xf>
    <xf numFmtId="0" fontId="247" fillId="0" borderId="123" xfId="19315" applyFont="1" applyBorder="1" applyAlignment="1">
      <alignment horizontal="left" vertical="center" wrapText="1" indent="1"/>
    </xf>
    <xf numFmtId="0" fontId="247" fillId="0" borderId="5" xfId="19315" applyFont="1" applyBorder="1" applyAlignment="1">
      <alignment horizontal="left" vertical="center" wrapText="1" indent="1"/>
    </xf>
    <xf numFmtId="0" fontId="247" fillId="0" borderId="124" xfId="19315" applyFont="1" applyBorder="1" applyAlignment="1">
      <alignment horizontal="left" vertical="center" wrapText="1" indent="1"/>
    </xf>
    <xf numFmtId="176" fontId="243" fillId="0" borderId="123" xfId="19316" applyFont="1" applyFill="1" applyBorder="1" applyAlignment="1">
      <alignment horizontal="right" vertical="center"/>
    </xf>
    <xf numFmtId="176" fontId="243" fillId="0" borderId="5" xfId="19316" applyFont="1" applyFill="1" applyBorder="1" applyAlignment="1">
      <alignment horizontal="right" vertical="center"/>
    </xf>
    <xf numFmtId="176" fontId="243" fillId="0" borderId="124" xfId="19316" applyFont="1" applyFill="1" applyBorder="1" applyAlignment="1">
      <alignment horizontal="right" vertical="center"/>
    </xf>
    <xf numFmtId="0" fontId="247" fillId="0" borderId="119" xfId="19315" applyFont="1" applyFill="1" applyBorder="1" applyAlignment="1">
      <alignment horizontal="left" vertical="center" wrapText="1" indent="1"/>
    </xf>
    <xf numFmtId="0" fontId="247" fillId="0" borderId="120" xfId="19315" applyFont="1" applyFill="1" applyBorder="1" applyAlignment="1">
      <alignment horizontal="left" vertical="center" wrapText="1" indent="1"/>
    </xf>
    <xf numFmtId="0" fontId="247" fillId="0" borderId="121" xfId="19315" applyFont="1" applyFill="1" applyBorder="1" applyAlignment="1">
      <alignment horizontal="left" vertical="center" wrapText="1" indent="1"/>
    </xf>
    <xf numFmtId="176" fontId="243" fillId="0" borderId="119" xfId="19316" applyFont="1" applyFill="1" applyBorder="1" applyAlignment="1">
      <alignment horizontal="right" vertical="center"/>
    </xf>
    <xf numFmtId="176" fontId="243" fillId="0" borderId="120" xfId="19316" applyFont="1" applyFill="1" applyBorder="1" applyAlignment="1">
      <alignment horizontal="right" vertical="center"/>
    </xf>
    <xf numFmtId="176" fontId="243" fillId="0" borderId="121" xfId="19316" applyFont="1" applyFill="1" applyBorder="1" applyAlignment="1">
      <alignment horizontal="right" vertical="center"/>
    </xf>
    <xf numFmtId="176" fontId="243" fillId="0" borderId="119" xfId="19317" applyFont="1" applyBorder="1" applyAlignment="1">
      <alignment horizontal="left" vertical="center"/>
    </xf>
    <xf numFmtId="176" fontId="243" fillId="0" borderId="122" xfId="19317" applyFont="1" applyBorder="1" applyAlignment="1">
      <alignment horizontal="left" vertical="center"/>
    </xf>
    <xf numFmtId="0" fontId="243" fillId="0" borderId="33" xfId="19315" applyFont="1" applyFill="1" applyBorder="1" applyAlignment="1">
      <alignment horizontal="center" vertical="center" wrapText="1"/>
    </xf>
    <xf numFmtId="0" fontId="243" fillId="0" borderId="34" xfId="19315" applyFont="1" applyFill="1" applyBorder="1" applyAlignment="1">
      <alignment horizontal="center" vertical="center" wrapText="1"/>
    </xf>
    <xf numFmtId="0" fontId="243" fillId="0" borderId="44" xfId="19315" applyFont="1" applyFill="1" applyBorder="1" applyAlignment="1">
      <alignment horizontal="center" vertical="center" wrapText="1"/>
    </xf>
    <xf numFmtId="176" fontId="243" fillId="0" borderId="33" xfId="19316" applyFont="1" applyFill="1" applyBorder="1" applyAlignment="1">
      <alignment horizontal="right" vertical="center"/>
    </xf>
    <xf numFmtId="176" fontId="243" fillId="0" borderId="34" xfId="19316" applyFont="1" applyFill="1" applyBorder="1" applyAlignment="1">
      <alignment horizontal="right" vertical="center"/>
    </xf>
    <xf numFmtId="176" fontId="243" fillId="0" borderId="44" xfId="19316" applyFont="1" applyFill="1" applyBorder="1" applyAlignment="1">
      <alignment horizontal="right" vertical="center"/>
    </xf>
    <xf numFmtId="176" fontId="243" fillId="0" borderId="33" xfId="19317" applyFont="1" applyBorder="1" applyAlignment="1">
      <alignment horizontal="left" vertical="center"/>
    </xf>
    <xf numFmtId="176" fontId="243" fillId="0" borderId="35" xfId="19317" applyFont="1" applyBorder="1" applyAlignment="1">
      <alignment horizontal="left" vertical="center"/>
    </xf>
    <xf numFmtId="0" fontId="243" fillId="0" borderId="33" xfId="19315" applyFont="1" applyBorder="1" applyAlignment="1">
      <alignment horizontal="center" vertical="center" wrapText="1"/>
    </xf>
    <xf numFmtId="0" fontId="243" fillId="0" borderId="34" xfId="19315" applyFont="1" applyBorder="1" applyAlignment="1">
      <alignment horizontal="center" vertical="center" wrapText="1"/>
    </xf>
    <xf numFmtId="0" fontId="243" fillId="0" borderId="44" xfId="19315" applyFont="1" applyBorder="1" applyAlignment="1">
      <alignment horizontal="center" vertical="center" wrapText="1"/>
    </xf>
    <xf numFmtId="176" fontId="243" fillId="0" borderId="29" xfId="19316" applyFont="1" applyBorder="1" applyAlignment="1">
      <alignment horizontal="center" vertical="center"/>
    </xf>
    <xf numFmtId="176" fontId="243" fillId="0" borderId="30" xfId="19316" applyFont="1" applyBorder="1" applyAlignment="1">
      <alignment horizontal="center" vertical="center"/>
    </xf>
    <xf numFmtId="176" fontId="243" fillId="0" borderId="118" xfId="19316" applyFont="1" applyBorder="1" applyAlignment="1">
      <alignment horizontal="center" vertical="center"/>
    </xf>
    <xf numFmtId="176" fontId="243" fillId="0" borderId="29" xfId="19317" applyFont="1" applyBorder="1" applyAlignment="1">
      <alignment horizontal="left" vertical="center"/>
    </xf>
    <xf numFmtId="176" fontId="243" fillId="0" borderId="31" xfId="19317" applyFont="1" applyBorder="1" applyAlignment="1">
      <alignment horizontal="left" vertical="center"/>
    </xf>
    <xf numFmtId="0" fontId="253" fillId="73" borderId="0" xfId="19314" applyFont="1" applyFill="1" applyAlignment="1">
      <alignment horizontal="left" vertical="center"/>
    </xf>
    <xf numFmtId="0" fontId="253" fillId="73" borderId="38" xfId="19314" applyFont="1" applyFill="1" applyBorder="1" applyAlignment="1">
      <alignment horizontal="left" vertical="center"/>
    </xf>
    <xf numFmtId="0" fontId="243" fillId="0" borderId="0" xfId="19313" applyFont="1" applyAlignment="1">
      <alignment horizontal="right" vertical="center"/>
    </xf>
    <xf numFmtId="0" fontId="243" fillId="0" borderId="38" xfId="19313" applyFont="1" applyBorder="1" applyAlignment="1">
      <alignment horizontal="right" vertical="center"/>
    </xf>
    <xf numFmtId="0" fontId="243" fillId="0" borderId="115" xfId="19315" applyFont="1" applyFill="1" applyBorder="1" applyAlignment="1">
      <alignment horizontal="center" vertical="center" wrapText="1"/>
    </xf>
    <xf numFmtId="0" fontId="243" fillId="0" borderId="102" xfId="19315" applyFont="1" applyFill="1" applyBorder="1" applyAlignment="1">
      <alignment horizontal="center" vertical="center" wrapText="1"/>
    </xf>
    <xf numFmtId="0" fontId="243" fillId="0" borderId="116" xfId="19315" applyFont="1" applyFill="1" applyBorder="1" applyAlignment="1">
      <alignment horizontal="center" vertical="center" wrapText="1"/>
    </xf>
    <xf numFmtId="176" fontId="243" fillId="0" borderId="117" xfId="19316" applyFont="1" applyFill="1" applyBorder="1" applyAlignment="1">
      <alignment horizontal="right" vertical="center"/>
    </xf>
    <xf numFmtId="176" fontId="243" fillId="0" borderId="115" xfId="19315" applyNumberFormat="1" applyFont="1" applyBorder="1" applyAlignment="1">
      <alignment horizontal="left" vertical="center"/>
    </xf>
    <xf numFmtId="176" fontId="243" fillId="0" borderId="103" xfId="19315" applyNumberFormat="1" applyFont="1" applyBorder="1" applyAlignment="1">
      <alignment horizontal="left" vertical="center"/>
    </xf>
    <xf numFmtId="0" fontId="252" fillId="74" borderId="112" xfId="19313" applyFont="1" applyFill="1" applyBorder="1" applyAlignment="1">
      <alignment horizontal="center" vertical="center"/>
    </xf>
    <xf numFmtId="0" fontId="252" fillId="74" borderId="52" xfId="19313" applyFont="1" applyFill="1" applyBorder="1" applyAlignment="1">
      <alignment horizontal="center" vertical="center"/>
    </xf>
    <xf numFmtId="0" fontId="252" fillId="74" borderId="113" xfId="19313" applyFont="1" applyFill="1" applyBorder="1" applyAlignment="1">
      <alignment horizontal="center" vertical="center"/>
    </xf>
    <xf numFmtId="3" fontId="252" fillId="74" borderId="112" xfId="19313" applyNumberFormat="1" applyFont="1" applyFill="1" applyBorder="1" applyAlignment="1">
      <alignment horizontal="center" vertical="center"/>
    </xf>
    <xf numFmtId="3" fontId="252" fillId="74" borderId="52" xfId="19313" applyNumberFormat="1" applyFont="1" applyFill="1" applyBorder="1" applyAlignment="1">
      <alignment horizontal="center" vertical="center"/>
    </xf>
    <xf numFmtId="3" fontId="252" fillId="74" borderId="113" xfId="19313" applyNumberFormat="1" applyFont="1" applyFill="1" applyBorder="1" applyAlignment="1">
      <alignment horizontal="center" vertical="center"/>
    </xf>
    <xf numFmtId="0" fontId="252" fillId="74" borderId="114" xfId="19313" applyFont="1" applyFill="1" applyBorder="1" applyAlignment="1">
      <alignment horizontal="center" vertical="center"/>
    </xf>
    <xf numFmtId="333" fontId="251" fillId="73" borderId="0" xfId="19313" applyNumberFormat="1" applyFont="1" applyFill="1" applyAlignment="1">
      <alignment horizontal="left" vertical="center"/>
    </xf>
    <xf numFmtId="0" fontId="242" fillId="0" borderId="57" xfId="19313" applyFont="1" applyBorder="1" applyAlignment="1">
      <alignment horizontal="center" vertical="center"/>
    </xf>
    <xf numFmtId="0" fontId="242" fillId="0" borderId="80" xfId="19313" applyFont="1" applyBorder="1" applyAlignment="1">
      <alignment horizontal="center" vertical="center"/>
    </xf>
    <xf numFmtId="0" fontId="242" fillId="0" borderId="98" xfId="19313" applyFont="1" applyBorder="1" applyAlignment="1">
      <alignment horizontal="center" vertical="center"/>
    </xf>
    <xf numFmtId="0" fontId="244" fillId="0" borderId="99" xfId="19313" applyFont="1" applyBorder="1" applyAlignment="1" applyProtection="1">
      <alignment horizontal="center" vertical="center"/>
      <protection locked="0"/>
    </xf>
    <xf numFmtId="0" fontId="244" fillId="0" borderId="0" xfId="19313" applyFont="1" applyAlignment="1" applyProtection="1">
      <alignment horizontal="center" vertical="center"/>
      <protection locked="0"/>
    </xf>
    <xf numFmtId="0" fontId="244" fillId="0" borderId="38" xfId="19313" applyFont="1" applyBorder="1" applyAlignment="1" applyProtection="1">
      <alignment horizontal="center" vertical="center"/>
      <protection locked="0"/>
    </xf>
    <xf numFmtId="0" fontId="243" fillId="65" borderId="101" xfId="19313" applyFont="1" applyFill="1" applyBorder="1" applyAlignment="1">
      <alignment horizontal="center" vertical="center"/>
    </xf>
    <xf numFmtId="0" fontId="243" fillId="65" borderId="102" xfId="19313" applyFont="1" applyFill="1" applyBorder="1" applyAlignment="1">
      <alignment horizontal="center" vertical="center"/>
    </xf>
    <xf numFmtId="0" fontId="243" fillId="65" borderId="103" xfId="19313" applyFont="1" applyFill="1" applyBorder="1" applyAlignment="1">
      <alignment horizontal="center" vertical="center"/>
    </xf>
    <xf numFmtId="0" fontId="243" fillId="0" borderId="104" xfId="19313" applyFont="1" applyBorder="1" applyAlignment="1">
      <alignment horizontal="center" vertical="center" wrapText="1"/>
    </xf>
    <xf numFmtId="0" fontId="243" fillId="0" borderId="107" xfId="19313" applyFont="1" applyBorder="1" applyAlignment="1">
      <alignment horizontal="center" vertical="center"/>
    </xf>
    <xf numFmtId="0" fontId="243" fillId="0" borderId="111" xfId="19313" applyFont="1" applyBorder="1" applyAlignment="1">
      <alignment horizontal="center" vertical="center"/>
    </xf>
    <xf numFmtId="0" fontId="243" fillId="0" borderId="105" xfId="19313" applyFont="1" applyBorder="1" applyAlignment="1">
      <alignment horizontal="center" vertical="center"/>
    </xf>
    <xf numFmtId="0" fontId="243" fillId="0" borderId="5" xfId="19313" applyFont="1" applyBorder="1" applyAlignment="1">
      <alignment horizontal="center" vertical="center"/>
    </xf>
    <xf numFmtId="0" fontId="243" fillId="0" borderId="106" xfId="19313" applyFont="1" applyBorder="1" applyAlignment="1">
      <alignment horizontal="center" vertical="center"/>
    </xf>
    <xf numFmtId="0" fontId="249" fillId="0" borderId="105" xfId="19313" applyFont="1" applyBorder="1" applyAlignment="1">
      <alignment horizontal="center" vertical="center"/>
    </xf>
    <xf numFmtId="0" fontId="248" fillId="0" borderId="5" xfId="19313" applyFont="1" applyBorder="1" applyAlignment="1">
      <alignment horizontal="center" vertical="center"/>
    </xf>
    <xf numFmtId="0" fontId="248" fillId="0" borderId="6" xfId="19313" applyFont="1" applyBorder="1" applyAlignment="1">
      <alignment horizontal="center" vertical="center"/>
    </xf>
    <xf numFmtId="0" fontId="249" fillId="0" borderId="4" xfId="19313" applyFont="1" applyBorder="1" applyAlignment="1">
      <alignment horizontal="center" vertical="center"/>
    </xf>
    <xf numFmtId="0" fontId="248" fillId="0" borderId="106" xfId="19313" applyFont="1" applyBorder="1" applyAlignment="1">
      <alignment horizontal="center" vertical="center"/>
    </xf>
    <xf numFmtId="0" fontId="243" fillId="0" borderId="105" xfId="19313" applyFont="1" applyBorder="1" applyAlignment="1">
      <alignment horizontal="left" vertical="center" indent="1"/>
    </xf>
    <xf numFmtId="0" fontId="243" fillId="0" borderId="5" xfId="19313" applyFont="1" applyBorder="1" applyAlignment="1">
      <alignment horizontal="left" vertical="center" indent="1"/>
    </xf>
    <xf numFmtId="0" fontId="243" fillId="0" borderId="106" xfId="19313" applyFont="1" applyBorder="1" applyAlignment="1">
      <alignment horizontal="left" vertical="center" indent="1"/>
    </xf>
    <xf numFmtId="0" fontId="243" fillId="0" borderId="4" xfId="19313" applyFont="1" applyBorder="1" applyAlignment="1">
      <alignment horizontal="center" vertical="center"/>
    </xf>
    <xf numFmtId="0" fontId="243" fillId="0" borderId="108" xfId="19313" applyFont="1" applyBorder="1" applyAlignment="1">
      <alignment horizontal="center" vertical="center"/>
    </xf>
    <xf numFmtId="0" fontId="243" fillId="0" borderId="109" xfId="19313" applyFont="1" applyBorder="1" applyAlignment="1">
      <alignment horizontal="center" vertical="center"/>
    </xf>
    <xf numFmtId="0" fontId="243" fillId="0" borderId="110" xfId="19313" applyFont="1" applyBorder="1" applyAlignment="1">
      <alignment horizontal="center" vertical="center"/>
    </xf>
    <xf numFmtId="0" fontId="243" fillId="0" borderId="108" xfId="19313" applyFont="1" applyBorder="1" applyAlignment="1">
      <alignment horizontal="left" vertical="center" indent="1"/>
    </xf>
    <xf numFmtId="0" fontId="243" fillId="0" borderId="109" xfId="19313" applyFont="1" applyBorder="1" applyAlignment="1">
      <alignment horizontal="left" vertical="center" indent="1"/>
    </xf>
    <xf numFmtId="0" fontId="243" fillId="0" borderId="110" xfId="19313" applyFont="1" applyBorder="1" applyAlignment="1">
      <alignment horizontal="left" vertical="center" indent="1"/>
    </xf>
    <xf numFmtId="0" fontId="226" fillId="0" borderId="0" xfId="0" applyFont="1" applyAlignment="1">
      <alignment horizontal="center" vertical="center"/>
    </xf>
    <xf numFmtId="0" fontId="222" fillId="0" borderId="8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8" borderId="79" xfId="0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/>
    </xf>
    <xf numFmtId="176" fontId="21" fillId="4" borderId="7" xfId="4" applyFont="1" applyFill="1" applyBorder="1" applyAlignment="1">
      <alignment horizontal="center" vertical="center"/>
    </xf>
    <xf numFmtId="179" fontId="21" fillId="4" borderId="7" xfId="5" applyFont="1" applyFill="1" applyBorder="1" applyAlignment="1">
      <alignment horizontal="center" vertical="center"/>
    </xf>
    <xf numFmtId="0" fontId="31" fillId="4" borderId="7" xfId="0" applyFont="1" applyFill="1" applyBorder="1" applyAlignment="1">
      <alignment horizontal="center" vertical="center"/>
    </xf>
    <xf numFmtId="0" fontId="31" fillId="4" borderId="3" xfId="0" applyFont="1" applyFill="1" applyBorder="1" applyAlignment="1">
      <alignment horizontal="center" vertical="center"/>
    </xf>
    <xf numFmtId="0" fontId="21" fillId="4" borderId="7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1" fontId="21" fillId="4" borderId="7" xfId="1" applyNumberFormat="1" applyFont="1" applyFill="1" applyBorder="1" applyAlignment="1">
      <alignment horizontal="center" vertical="center"/>
    </xf>
    <xf numFmtId="1" fontId="21" fillId="4" borderId="3" xfId="1" applyNumberFormat="1" applyFont="1" applyFill="1" applyBorder="1" applyAlignment="1">
      <alignment horizontal="center" vertical="center"/>
    </xf>
    <xf numFmtId="0" fontId="28" fillId="4" borderId="7" xfId="3" applyFont="1" applyFill="1" applyBorder="1" applyAlignment="1">
      <alignment horizontal="center" vertical="center" wrapText="1"/>
    </xf>
    <xf numFmtId="0" fontId="21" fillId="4" borderId="7" xfId="3" applyFont="1" applyFill="1" applyBorder="1" applyAlignment="1">
      <alignment horizontal="center" vertical="center" wrapText="1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176" fontId="45" fillId="5" borderId="37" xfId="13" quotePrefix="1" applyFont="1" applyFill="1" applyBorder="1" applyAlignment="1">
      <alignment horizontal="left" vertical="center" shrinkToFit="1"/>
    </xf>
    <xf numFmtId="176" fontId="45" fillId="5" borderId="0" xfId="13" quotePrefix="1" applyFont="1" applyFill="1" applyBorder="1" applyAlignment="1">
      <alignment horizontal="left" vertical="center" shrinkToFit="1"/>
    </xf>
    <xf numFmtId="176" fontId="45" fillId="5" borderId="38" xfId="13" quotePrefix="1" applyFont="1" applyFill="1" applyBorder="1" applyAlignment="1">
      <alignment horizontal="left" vertical="center" shrinkToFit="1"/>
    </xf>
    <xf numFmtId="0" fontId="46" fillId="0" borderId="0" xfId="11" applyFont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178" fontId="48" fillId="0" borderId="0" xfId="12" applyFont="1" applyBorder="1" applyAlignment="1">
      <alignment horizontal="center" vertical="center" shrinkToFit="1"/>
    </xf>
    <xf numFmtId="31" fontId="50" fillId="0" borderId="26" xfId="11" applyNumberFormat="1" applyFont="1" applyBorder="1" applyAlignment="1">
      <alignment horizontal="center" vertical="center" shrinkToFit="1"/>
    </xf>
    <xf numFmtId="31" fontId="50" fillId="0" borderId="27" xfId="11" applyNumberFormat="1" applyFont="1" applyBorder="1" applyAlignment="1">
      <alignment horizontal="center" vertical="center" shrinkToFit="1"/>
    </xf>
    <xf numFmtId="0" fontId="50" fillId="0" borderId="29" xfId="11" applyFont="1" applyBorder="1" applyAlignment="1">
      <alignment horizontal="left" vertical="center" indent="1" shrinkToFit="1"/>
    </xf>
    <xf numFmtId="0" fontId="50" fillId="0" borderId="30" xfId="11" applyFont="1" applyBorder="1" applyAlignment="1">
      <alignment horizontal="left" vertical="center" indent="1" shrinkToFit="1"/>
    </xf>
    <xf numFmtId="0" fontId="50" fillId="0" borderId="31" xfId="11" applyFont="1" applyBorder="1" applyAlignment="1">
      <alignment horizontal="left" vertical="center" indent="1" shrinkToFit="1"/>
    </xf>
    <xf numFmtId="0" fontId="50" fillId="0" borderId="32" xfId="11" applyFont="1" applyBorder="1" applyAlignment="1">
      <alignment horizontal="center" vertical="center" shrinkToFit="1"/>
    </xf>
    <xf numFmtId="0" fontId="50" fillId="0" borderId="36" xfId="11" applyFont="1" applyBorder="1" applyAlignment="1">
      <alignment horizontal="center" vertical="center" shrinkToFit="1"/>
    </xf>
    <xf numFmtId="0" fontId="50" fillId="0" borderId="39" xfId="11" applyFont="1" applyBorder="1" applyAlignment="1">
      <alignment horizontal="center" vertical="center" shrinkToFit="1"/>
    </xf>
    <xf numFmtId="0" fontId="52" fillId="5" borderId="33" xfId="11" applyFont="1" applyFill="1" applyBorder="1" applyAlignment="1">
      <alignment horizontal="left" vertical="center" shrinkToFit="1"/>
    </xf>
    <xf numFmtId="0" fontId="52" fillId="5" borderId="34" xfId="11" applyFont="1" applyFill="1" applyBorder="1" applyAlignment="1">
      <alignment horizontal="left" vertical="center" shrinkToFit="1"/>
    </xf>
    <xf numFmtId="0" fontId="52" fillId="5" borderId="35" xfId="11" applyFont="1" applyFill="1" applyBorder="1" applyAlignment="1">
      <alignment horizontal="left" vertical="center" shrinkToFit="1"/>
    </xf>
    <xf numFmtId="0" fontId="52" fillId="5" borderId="37" xfId="11" applyFont="1" applyFill="1" applyBorder="1" applyAlignment="1">
      <alignment horizontal="left" vertical="center" shrinkToFit="1"/>
    </xf>
    <xf numFmtId="0" fontId="52" fillId="5" borderId="0" xfId="11" applyFont="1" applyFill="1" applyAlignment="1">
      <alignment horizontal="left" vertical="center" shrinkToFit="1"/>
    </xf>
    <xf numFmtId="0" fontId="52" fillId="5" borderId="38" xfId="11" applyFont="1" applyFill="1" applyBorder="1" applyAlignment="1">
      <alignment horizontal="left" vertical="center" shrinkToFit="1"/>
    </xf>
    <xf numFmtId="176" fontId="45" fillId="5" borderId="0" xfId="13" applyFont="1" applyFill="1" applyBorder="1" applyAlignment="1">
      <alignment horizontal="left" vertical="center" shrinkToFit="1"/>
    </xf>
    <xf numFmtId="176" fontId="45" fillId="5" borderId="38" xfId="13" applyFont="1" applyFill="1" applyBorder="1" applyAlignment="1">
      <alignment horizontal="left" vertical="center" shrinkToFit="1"/>
    </xf>
    <xf numFmtId="0" fontId="52" fillId="5" borderId="37" xfId="14" applyFont="1" applyFill="1" applyBorder="1" applyAlignment="1">
      <alignment horizontal="left" vertical="center" shrinkToFit="1"/>
    </xf>
    <xf numFmtId="0" fontId="53" fillId="5" borderId="0" xfId="14" applyFont="1" applyFill="1" applyAlignment="1">
      <alignment horizontal="left" vertical="center" shrinkToFit="1"/>
    </xf>
    <xf numFmtId="0" fontId="53" fillId="5" borderId="38" xfId="14" applyFont="1" applyFill="1" applyBorder="1" applyAlignment="1">
      <alignment horizontal="left" vertical="center" shrinkToFit="1"/>
    </xf>
    <xf numFmtId="0" fontId="50" fillId="0" borderId="30" xfId="11" applyFont="1" applyBorder="1" applyAlignment="1">
      <alignment horizontal="center" vertical="center" shrinkToFit="1"/>
    </xf>
    <xf numFmtId="0" fontId="50" fillId="0" borderId="31" xfId="11" applyFont="1" applyBorder="1" applyAlignment="1">
      <alignment horizontal="center" vertical="center" shrinkToFit="1"/>
    </xf>
    <xf numFmtId="176" fontId="235" fillId="5" borderId="37" xfId="13" quotePrefix="1" applyFont="1" applyFill="1" applyBorder="1" applyAlignment="1">
      <alignment horizontal="left" vertical="center" shrinkToFit="1"/>
    </xf>
    <xf numFmtId="176" fontId="235" fillId="5" borderId="0" xfId="13" quotePrefix="1" applyFont="1" applyFill="1" applyBorder="1" applyAlignment="1">
      <alignment horizontal="left" vertical="center" shrinkToFit="1"/>
    </xf>
    <xf numFmtId="176" fontId="235" fillId="5" borderId="38" xfId="13" quotePrefix="1" applyFont="1" applyFill="1" applyBorder="1" applyAlignment="1">
      <alignment horizontal="left" vertical="center" shrinkToFit="1"/>
    </xf>
    <xf numFmtId="0" fontId="52" fillId="5" borderId="0" xfId="14" applyFont="1" applyFill="1" applyAlignment="1">
      <alignment horizontal="left" vertical="center" shrinkToFit="1"/>
    </xf>
    <xf numFmtId="0" fontId="52" fillId="5" borderId="38" xfId="14" applyFont="1" applyFill="1" applyBorder="1" applyAlignment="1">
      <alignment horizontal="left" vertical="center" shrinkToFit="1"/>
    </xf>
    <xf numFmtId="0" fontId="50" fillId="5" borderId="37" xfId="11" applyFont="1" applyFill="1" applyBorder="1" applyAlignment="1">
      <alignment horizontal="left" vertical="center" shrinkToFit="1"/>
    </xf>
    <xf numFmtId="0" fontId="50" fillId="5" borderId="0" xfId="11" applyFont="1" applyFill="1" applyAlignment="1">
      <alignment horizontal="left" vertical="center" shrinkToFit="1"/>
    </xf>
    <xf numFmtId="0" fontId="50" fillId="5" borderId="38" xfId="11" applyFont="1" applyFill="1" applyBorder="1" applyAlignment="1">
      <alignment horizontal="left" vertical="center" shrinkToFit="1"/>
    </xf>
    <xf numFmtId="176" fontId="45" fillId="5" borderId="37" xfId="13" quotePrefix="1" applyFont="1" applyFill="1" applyBorder="1" applyAlignment="1">
      <alignment horizontal="center" vertical="center" shrinkToFit="1"/>
    </xf>
    <xf numFmtId="176" fontId="45" fillId="5" borderId="0" xfId="13" quotePrefix="1" applyFont="1" applyFill="1" applyBorder="1" applyAlignment="1">
      <alignment horizontal="center" vertical="center" shrinkToFit="1"/>
    </xf>
    <xf numFmtId="176" fontId="45" fillId="5" borderId="38" xfId="13" quotePrefix="1" applyFont="1" applyFill="1" applyBorder="1" applyAlignment="1">
      <alignment horizontal="center" vertical="center" shrinkToFit="1"/>
    </xf>
    <xf numFmtId="0" fontId="228" fillId="0" borderId="0" xfId="18689" applyNumberFormat="1" applyFont="1" applyAlignment="1">
      <alignment horizontal="center" vertical="center"/>
    </xf>
    <xf numFmtId="0" fontId="231" fillId="0" borderId="42" xfId="18690" applyFont="1" applyBorder="1" applyAlignment="1">
      <alignment horizontal="left" vertical="center"/>
    </xf>
  </cellXfs>
  <cellStyles count="19319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67 2" xfId="18459" xr:uid="{00000000-0005-0000-0000-00001D250000}"/>
    <cellStyle name="백분율 2 67 2 2" xfId="18593" xr:uid="{00000000-0005-0000-0000-00001E250000}"/>
    <cellStyle name="백분율 2 67 2 2 2" xfId="19188" xr:uid="{00000000-0005-0000-0000-00001F250000}"/>
    <cellStyle name="백분율 2 67 2 2 3" xfId="18893" xr:uid="{00000000-0005-0000-0000-000020250000}"/>
    <cellStyle name="백분율 2 67 2 3" xfId="18526" xr:uid="{00000000-0005-0000-0000-000021250000}"/>
    <cellStyle name="백분율 2 67 2 3 2" xfId="19121" xr:uid="{00000000-0005-0000-0000-000022250000}"/>
    <cellStyle name="백분율 2 67 2 3 3" xfId="18826" xr:uid="{00000000-0005-0000-0000-000023250000}"/>
    <cellStyle name="백분율 2 67 2 4" xfId="18660" xr:uid="{00000000-0005-0000-0000-000024250000}"/>
    <cellStyle name="백분율 2 67 2 4 2" xfId="19255" xr:uid="{00000000-0005-0000-0000-000025250000}"/>
    <cellStyle name="백분율 2 67 2 4 3" xfId="18960" xr:uid="{00000000-0005-0000-0000-000026250000}"/>
    <cellStyle name="백분율 2 67 2 5" xfId="19054" xr:uid="{00000000-0005-0000-0000-000027250000}"/>
    <cellStyle name="백분율 2 67 2 6" xfId="18759" xr:uid="{00000000-0005-0000-0000-000028250000}"/>
    <cellStyle name="백분율 2 67 3" xfId="18560" xr:uid="{00000000-0005-0000-0000-000029250000}"/>
    <cellStyle name="백분율 2 67 3 2" xfId="19155" xr:uid="{00000000-0005-0000-0000-00002A250000}"/>
    <cellStyle name="백분율 2 67 3 3" xfId="18860" xr:uid="{00000000-0005-0000-0000-00002B250000}"/>
    <cellStyle name="백분율 2 67 4" xfId="18493" xr:uid="{00000000-0005-0000-0000-00002C250000}"/>
    <cellStyle name="백분율 2 67 4 2" xfId="19088" xr:uid="{00000000-0005-0000-0000-00002D250000}"/>
    <cellStyle name="백분율 2 67 4 3" xfId="18793" xr:uid="{00000000-0005-0000-0000-00002E250000}"/>
    <cellStyle name="백분율 2 67 5" xfId="18627" xr:uid="{00000000-0005-0000-0000-00002F250000}"/>
    <cellStyle name="백분율 2 67 5 2" xfId="19222" xr:uid="{00000000-0005-0000-0000-000030250000}"/>
    <cellStyle name="백분율 2 67 5 3" xfId="18927" xr:uid="{00000000-0005-0000-0000-000031250000}"/>
    <cellStyle name="백분율 2 67 6" xfId="18702" xr:uid="{00000000-0005-0000-0000-000032250000}"/>
    <cellStyle name="백분율 2 67 6 2" xfId="18997" xr:uid="{00000000-0005-0000-0000-000033250000}"/>
    <cellStyle name="백분율 2 67 7" xfId="19021" xr:uid="{00000000-0005-0000-0000-000034250000}"/>
    <cellStyle name="백분율 2 67 8" xfId="19292" xr:uid="{00000000-0005-0000-0000-000035250000}"/>
    <cellStyle name="백분율 2 67 9" xfId="18726" xr:uid="{00000000-0005-0000-0000-000036250000}"/>
    <cellStyle name="백분율 2 7" xfId="9514" xr:uid="{00000000-0005-0000-0000-000037250000}"/>
    <cellStyle name="백분율 2 7 2" xfId="9515" xr:uid="{00000000-0005-0000-0000-000038250000}"/>
    <cellStyle name="백분율 2 7 2 2" xfId="9516" xr:uid="{00000000-0005-0000-0000-000039250000}"/>
    <cellStyle name="백분율 2 7 2 3" xfId="9517" xr:uid="{00000000-0005-0000-0000-00003A250000}"/>
    <cellStyle name="백분율 2 7 2 4" xfId="9518" xr:uid="{00000000-0005-0000-0000-00003B250000}"/>
    <cellStyle name="백분율 2 7 2 5" xfId="9519" xr:uid="{00000000-0005-0000-0000-00003C250000}"/>
    <cellStyle name="백분율 2 7 3" xfId="9520" xr:uid="{00000000-0005-0000-0000-00003D250000}"/>
    <cellStyle name="백분율 2 7 4" xfId="9521" xr:uid="{00000000-0005-0000-0000-00003E250000}"/>
    <cellStyle name="백분율 2 7 5" xfId="9522" xr:uid="{00000000-0005-0000-0000-00003F250000}"/>
    <cellStyle name="백분율 2 8" xfId="9523" xr:uid="{00000000-0005-0000-0000-000040250000}"/>
    <cellStyle name="백분율 2 8 2" xfId="9524" xr:uid="{00000000-0005-0000-0000-000041250000}"/>
    <cellStyle name="백분율 2 8 2 2" xfId="9525" xr:uid="{00000000-0005-0000-0000-000042250000}"/>
    <cellStyle name="백분율 2 8 2 3" xfId="9526" xr:uid="{00000000-0005-0000-0000-000043250000}"/>
    <cellStyle name="백분율 2 8 2 4" xfId="9527" xr:uid="{00000000-0005-0000-0000-000044250000}"/>
    <cellStyle name="백분율 2 8 2 5" xfId="9528" xr:uid="{00000000-0005-0000-0000-000045250000}"/>
    <cellStyle name="백분율 2 8 3" xfId="9529" xr:uid="{00000000-0005-0000-0000-000046250000}"/>
    <cellStyle name="백분율 2 8 4" xfId="9530" xr:uid="{00000000-0005-0000-0000-000047250000}"/>
    <cellStyle name="백분율 2 8 5" xfId="9531" xr:uid="{00000000-0005-0000-0000-000048250000}"/>
    <cellStyle name="백분율 2 9" xfId="9532" xr:uid="{00000000-0005-0000-0000-000049250000}"/>
    <cellStyle name="백분율 2 9 2" xfId="9533" xr:uid="{00000000-0005-0000-0000-00004A250000}"/>
    <cellStyle name="백분율 2 9 2 2" xfId="9534" xr:uid="{00000000-0005-0000-0000-00004B250000}"/>
    <cellStyle name="백분율 2 9 2 3" xfId="9535" xr:uid="{00000000-0005-0000-0000-00004C250000}"/>
    <cellStyle name="백분율 2 9 2 4" xfId="9536" xr:uid="{00000000-0005-0000-0000-00004D250000}"/>
    <cellStyle name="백분율 2 9 2 5" xfId="9537" xr:uid="{00000000-0005-0000-0000-00004E250000}"/>
    <cellStyle name="백분율 2 9 3" xfId="9538" xr:uid="{00000000-0005-0000-0000-00004F250000}"/>
    <cellStyle name="백분율 2 9 4" xfId="9539" xr:uid="{00000000-0005-0000-0000-000050250000}"/>
    <cellStyle name="백분율 2 9 5" xfId="9540" xr:uid="{00000000-0005-0000-0000-000051250000}"/>
    <cellStyle name="백분율 3" xfId="9541" xr:uid="{00000000-0005-0000-0000-000052250000}"/>
    <cellStyle name="백분율 3 10" xfId="9542" xr:uid="{00000000-0005-0000-0000-000053250000}"/>
    <cellStyle name="백분율 3 11" xfId="9543" xr:uid="{00000000-0005-0000-0000-000054250000}"/>
    <cellStyle name="백분율 3 12" xfId="9544" xr:uid="{00000000-0005-0000-0000-000055250000}"/>
    <cellStyle name="백분율 3 13" xfId="9545" xr:uid="{00000000-0005-0000-0000-000056250000}"/>
    <cellStyle name="백분율 3 14" xfId="9546" xr:uid="{00000000-0005-0000-0000-000057250000}"/>
    <cellStyle name="백분율 3 15" xfId="9547" xr:uid="{00000000-0005-0000-0000-000058250000}"/>
    <cellStyle name="백분율 3 16" xfId="9548" xr:uid="{00000000-0005-0000-0000-000059250000}"/>
    <cellStyle name="백분율 3 17" xfId="9549" xr:uid="{00000000-0005-0000-0000-00005A250000}"/>
    <cellStyle name="백분율 3 18" xfId="9550" xr:uid="{00000000-0005-0000-0000-00005B250000}"/>
    <cellStyle name="백분율 3 19" xfId="9551" xr:uid="{00000000-0005-0000-0000-00005C250000}"/>
    <cellStyle name="백분율 3 2" xfId="9552" xr:uid="{00000000-0005-0000-0000-00005D250000}"/>
    <cellStyle name="백분율 3 20" xfId="9553" xr:uid="{00000000-0005-0000-0000-00005E250000}"/>
    <cellStyle name="백분율 3 21" xfId="9554" xr:uid="{00000000-0005-0000-0000-00005F250000}"/>
    <cellStyle name="백분율 3 22" xfId="9555" xr:uid="{00000000-0005-0000-0000-000060250000}"/>
    <cellStyle name="백분율 3 23" xfId="9556" xr:uid="{00000000-0005-0000-0000-000061250000}"/>
    <cellStyle name="백분율 3 24" xfId="9557" xr:uid="{00000000-0005-0000-0000-000062250000}"/>
    <cellStyle name="백분율 3 24 2" xfId="9558" xr:uid="{00000000-0005-0000-0000-000063250000}"/>
    <cellStyle name="백분율 3 25" xfId="9559" xr:uid="{00000000-0005-0000-0000-000064250000}"/>
    <cellStyle name="백분율 3 26" xfId="9560" xr:uid="{00000000-0005-0000-0000-000065250000}"/>
    <cellStyle name="백분율 3 27" xfId="9561" xr:uid="{00000000-0005-0000-0000-000066250000}"/>
    <cellStyle name="백분율 3 28" xfId="9562" xr:uid="{00000000-0005-0000-0000-000067250000}"/>
    <cellStyle name="백분율 3 29" xfId="9563" xr:uid="{00000000-0005-0000-0000-000068250000}"/>
    <cellStyle name="백분율 3 3" xfId="9564" xr:uid="{00000000-0005-0000-0000-000069250000}"/>
    <cellStyle name="백분율 3 30" xfId="9565" xr:uid="{00000000-0005-0000-0000-00006A250000}"/>
    <cellStyle name="백분율 3 31" xfId="9566" xr:uid="{00000000-0005-0000-0000-00006B250000}"/>
    <cellStyle name="백분율 3 32" xfId="9567" xr:uid="{00000000-0005-0000-0000-00006C250000}"/>
    <cellStyle name="백분율 3 33" xfId="9568" xr:uid="{00000000-0005-0000-0000-00006D250000}"/>
    <cellStyle name="백분율 3 34" xfId="9569" xr:uid="{00000000-0005-0000-0000-00006E250000}"/>
    <cellStyle name="백분율 3 35" xfId="9570" xr:uid="{00000000-0005-0000-0000-00006F250000}"/>
    <cellStyle name="백분율 3 36" xfId="9571" xr:uid="{00000000-0005-0000-0000-000070250000}"/>
    <cellStyle name="백분율 3 37" xfId="9572" xr:uid="{00000000-0005-0000-0000-000071250000}"/>
    <cellStyle name="백분율 3 38" xfId="9573" xr:uid="{00000000-0005-0000-0000-000072250000}"/>
    <cellStyle name="백분율 3 39" xfId="9574" xr:uid="{00000000-0005-0000-0000-000073250000}"/>
    <cellStyle name="백분율 3 4" xfId="9575" xr:uid="{00000000-0005-0000-0000-000074250000}"/>
    <cellStyle name="백분율 3 40" xfId="9576" xr:uid="{00000000-0005-0000-0000-000075250000}"/>
    <cellStyle name="백분율 3 41" xfId="9577" xr:uid="{00000000-0005-0000-0000-000076250000}"/>
    <cellStyle name="백분율 3 42" xfId="9578" xr:uid="{00000000-0005-0000-0000-000077250000}"/>
    <cellStyle name="백분율 3 43" xfId="9579" xr:uid="{00000000-0005-0000-0000-000078250000}"/>
    <cellStyle name="백분율 3 44" xfId="9580" xr:uid="{00000000-0005-0000-0000-000079250000}"/>
    <cellStyle name="백분율 3 45" xfId="9581" xr:uid="{00000000-0005-0000-0000-00007A250000}"/>
    <cellStyle name="백분율 3 46" xfId="9582" xr:uid="{00000000-0005-0000-0000-00007B250000}"/>
    <cellStyle name="백분율 3 47" xfId="9583" xr:uid="{00000000-0005-0000-0000-00007C250000}"/>
    <cellStyle name="백분율 3 48" xfId="9584" xr:uid="{00000000-0005-0000-0000-00007D250000}"/>
    <cellStyle name="백분율 3 5" xfId="9585" xr:uid="{00000000-0005-0000-0000-00007E250000}"/>
    <cellStyle name="백분율 3 6" xfId="9586" xr:uid="{00000000-0005-0000-0000-00007F250000}"/>
    <cellStyle name="백분율 3 7" xfId="9587" xr:uid="{00000000-0005-0000-0000-000080250000}"/>
    <cellStyle name="백분율 3 8" xfId="9588" xr:uid="{00000000-0005-0000-0000-000081250000}"/>
    <cellStyle name="백분율 3 9" xfId="9589" xr:uid="{00000000-0005-0000-0000-000082250000}"/>
    <cellStyle name="백분율 4" xfId="9590" xr:uid="{00000000-0005-0000-0000-000083250000}"/>
    <cellStyle name="백분율 5" xfId="9591" xr:uid="{00000000-0005-0000-0000-000084250000}"/>
    <cellStyle name="백분율 5 10" xfId="9592" xr:uid="{00000000-0005-0000-0000-000085250000}"/>
    <cellStyle name="백분율 5 11" xfId="9593" xr:uid="{00000000-0005-0000-0000-000086250000}"/>
    <cellStyle name="백분율 5 12" xfId="9594" xr:uid="{00000000-0005-0000-0000-000087250000}"/>
    <cellStyle name="백분율 5 13" xfId="9595" xr:uid="{00000000-0005-0000-0000-000088250000}"/>
    <cellStyle name="백분율 5 14" xfId="9596" xr:uid="{00000000-0005-0000-0000-000089250000}"/>
    <cellStyle name="백분율 5 15" xfId="9597" xr:uid="{00000000-0005-0000-0000-00008A250000}"/>
    <cellStyle name="백분율 5 16" xfId="9598" xr:uid="{00000000-0005-0000-0000-00008B250000}"/>
    <cellStyle name="백분율 5 17" xfId="9599" xr:uid="{00000000-0005-0000-0000-00008C250000}"/>
    <cellStyle name="백분율 5 18" xfId="9600" xr:uid="{00000000-0005-0000-0000-00008D250000}"/>
    <cellStyle name="백분율 5 19" xfId="9601" xr:uid="{00000000-0005-0000-0000-00008E250000}"/>
    <cellStyle name="백분율 5 2" xfId="9602" xr:uid="{00000000-0005-0000-0000-00008F250000}"/>
    <cellStyle name="백분율 5 20" xfId="9603" xr:uid="{00000000-0005-0000-0000-000090250000}"/>
    <cellStyle name="백분율 5 21" xfId="9604" xr:uid="{00000000-0005-0000-0000-000091250000}"/>
    <cellStyle name="백분율 5 22" xfId="9605" xr:uid="{00000000-0005-0000-0000-000092250000}"/>
    <cellStyle name="백분율 5 23" xfId="9606" xr:uid="{00000000-0005-0000-0000-000093250000}"/>
    <cellStyle name="백분율 5 24" xfId="9607" xr:uid="{00000000-0005-0000-0000-000094250000}"/>
    <cellStyle name="백분율 5 25" xfId="9608" xr:uid="{00000000-0005-0000-0000-000095250000}"/>
    <cellStyle name="백분율 5 3" xfId="9609" xr:uid="{00000000-0005-0000-0000-000096250000}"/>
    <cellStyle name="백분율 5 4" xfId="9610" xr:uid="{00000000-0005-0000-0000-000097250000}"/>
    <cellStyle name="백분율 5 5" xfId="9611" xr:uid="{00000000-0005-0000-0000-000098250000}"/>
    <cellStyle name="백분율 5 6" xfId="9612" xr:uid="{00000000-0005-0000-0000-000099250000}"/>
    <cellStyle name="백분율 5 7" xfId="9613" xr:uid="{00000000-0005-0000-0000-00009A250000}"/>
    <cellStyle name="백분율 5 8" xfId="9614" xr:uid="{00000000-0005-0000-0000-00009B250000}"/>
    <cellStyle name="백분율 5 9" xfId="9615" xr:uid="{00000000-0005-0000-0000-00009C250000}"/>
    <cellStyle name="백분율 6" xfId="9616" xr:uid="{00000000-0005-0000-0000-00009D250000}"/>
    <cellStyle name="백분율 6 10" xfId="9617" xr:uid="{00000000-0005-0000-0000-00009E250000}"/>
    <cellStyle name="백분율 6 11" xfId="9618" xr:uid="{00000000-0005-0000-0000-00009F250000}"/>
    <cellStyle name="백분율 6 12" xfId="9619" xr:uid="{00000000-0005-0000-0000-0000A0250000}"/>
    <cellStyle name="백분율 6 13" xfId="9620" xr:uid="{00000000-0005-0000-0000-0000A1250000}"/>
    <cellStyle name="백분율 6 14" xfId="9621" xr:uid="{00000000-0005-0000-0000-0000A2250000}"/>
    <cellStyle name="백분율 6 15" xfId="9622" xr:uid="{00000000-0005-0000-0000-0000A3250000}"/>
    <cellStyle name="백분율 6 16" xfId="9623" xr:uid="{00000000-0005-0000-0000-0000A4250000}"/>
    <cellStyle name="백분율 6 17" xfId="9624" xr:uid="{00000000-0005-0000-0000-0000A5250000}"/>
    <cellStyle name="백분율 6 18" xfId="9625" xr:uid="{00000000-0005-0000-0000-0000A6250000}"/>
    <cellStyle name="백분율 6 19" xfId="9626" xr:uid="{00000000-0005-0000-0000-0000A7250000}"/>
    <cellStyle name="백분율 6 2" xfId="9627" xr:uid="{00000000-0005-0000-0000-0000A8250000}"/>
    <cellStyle name="백분율 6 20" xfId="9628" xr:uid="{00000000-0005-0000-0000-0000A9250000}"/>
    <cellStyle name="백분율 6 21" xfId="9629" xr:uid="{00000000-0005-0000-0000-0000AA250000}"/>
    <cellStyle name="백분율 6 22" xfId="9630" xr:uid="{00000000-0005-0000-0000-0000AB250000}"/>
    <cellStyle name="백분율 6 23" xfId="9631" xr:uid="{00000000-0005-0000-0000-0000AC250000}"/>
    <cellStyle name="백분율 6 24" xfId="9632" xr:uid="{00000000-0005-0000-0000-0000AD250000}"/>
    <cellStyle name="백분율 6 25" xfId="9633" xr:uid="{00000000-0005-0000-0000-0000AE250000}"/>
    <cellStyle name="백분율 6 3" xfId="9634" xr:uid="{00000000-0005-0000-0000-0000AF250000}"/>
    <cellStyle name="백분율 6 4" xfId="9635" xr:uid="{00000000-0005-0000-0000-0000B0250000}"/>
    <cellStyle name="백분율 6 5" xfId="9636" xr:uid="{00000000-0005-0000-0000-0000B1250000}"/>
    <cellStyle name="백분율 6 6" xfId="9637" xr:uid="{00000000-0005-0000-0000-0000B2250000}"/>
    <cellStyle name="백분율 6 7" xfId="9638" xr:uid="{00000000-0005-0000-0000-0000B3250000}"/>
    <cellStyle name="백분율 6 8" xfId="9639" xr:uid="{00000000-0005-0000-0000-0000B4250000}"/>
    <cellStyle name="백분율 6 9" xfId="9640" xr:uid="{00000000-0005-0000-0000-0000B5250000}"/>
    <cellStyle name="백분율 7" xfId="9641" xr:uid="{00000000-0005-0000-0000-0000B6250000}"/>
    <cellStyle name="백분율 8 10" xfId="9642" xr:uid="{00000000-0005-0000-0000-0000B7250000}"/>
    <cellStyle name="백분율 8 11" xfId="9643" xr:uid="{00000000-0005-0000-0000-0000B8250000}"/>
    <cellStyle name="백분율 8 12" xfId="9644" xr:uid="{00000000-0005-0000-0000-0000B9250000}"/>
    <cellStyle name="백분율 8 13" xfId="9645" xr:uid="{00000000-0005-0000-0000-0000BA250000}"/>
    <cellStyle name="백분율 8 14" xfId="9646" xr:uid="{00000000-0005-0000-0000-0000BB250000}"/>
    <cellStyle name="백분율 8 15" xfId="9647" xr:uid="{00000000-0005-0000-0000-0000BC250000}"/>
    <cellStyle name="백분율 8 16" xfId="9648" xr:uid="{00000000-0005-0000-0000-0000BD250000}"/>
    <cellStyle name="백분율 8 17" xfId="9649" xr:uid="{00000000-0005-0000-0000-0000BE250000}"/>
    <cellStyle name="백분율 8 18" xfId="9650" xr:uid="{00000000-0005-0000-0000-0000BF250000}"/>
    <cellStyle name="백분율 8 19" xfId="9651" xr:uid="{00000000-0005-0000-0000-0000C0250000}"/>
    <cellStyle name="백분율 8 2" xfId="9652" xr:uid="{00000000-0005-0000-0000-0000C1250000}"/>
    <cellStyle name="백분율 8 20" xfId="9653" xr:uid="{00000000-0005-0000-0000-0000C2250000}"/>
    <cellStyle name="백분율 8 21" xfId="9654" xr:uid="{00000000-0005-0000-0000-0000C3250000}"/>
    <cellStyle name="백분율 8 22" xfId="9655" xr:uid="{00000000-0005-0000-0000-0000C4250000}"/>
    <cellStyle name="백분율 8 3" xfId="9656" xr:uid="{00000000-0005-0000-0000-0000C5250000}"/>
    <cellStyle name="백분율 8 4" xfId="9657" xr:uid="{00000000-0005-0000-0000-0000C6250000}"/>
    <cellStyle name="백분율 8 5" xfId="9658" xr:uid="{00000000-0005-0000-0000-0000C7250000}"/>
    <cellStyle name="백분율 8 6" xfId="9659" xr:uid="{00000000-0005-0000-0000-0000C8250000}"/>
    <cellStyle name="백분율 8 7" xfId="9660" xr:uid="{00000000-0005-0000-0000-0000C9250000}"/>
    <cellStyle name="백분율 8 8" xfId="9661" xr:uid="{00000000-0005-0000-0000-0000CA250000}"/>
    <cellStyle name="백분율 8 9" xfId="9662" xr:uid="{00000000-0005-0000-0000-0000CB250000}"/>
    <cellStyle name="백분율(2no%)" xfId="9663" xr:uid="{00000000-0005-0000-0000-0000CC250000}"/>
    <cellStyle name="백분율(3no%)" xfId="9664" xr:uid="{00000000-0005-0000-0000-0000CD250000}"/>
    <cellStyle name="백분율(no%)" xfId="9665" xr:uid="{00000000-0005-0000-0000-0000CE250000}"/>
    <cellStyle name="백분율(손익)" xfId="9666" xr:uid="{00000000-0005-0000-0000-0000CF250000}"/>
    <cellStyle name="백분율(수주)" xfId="9667" xr:uid="{00000000-0005-0000-0000-0000D0250000}"/>
    <cellStyle name="백분율［△1］" xfId="9668" xr:uid="{00000000-0005-0000-0000-0000D1250000}"/>
    <cellStyle name="백분율［△2］" xfId="9669" xr:uid="{00000000-0005-0000-0000-0000D2250000}"/>
    <cellStyle name="벭?_Q1 PRODUCT ACTUAL_4월 (2)" xfId="9670" xr:uid="{00000000-0005-0000-0000-0000D3250000}"/>
    <cellStyle name="보통 2" xfId="9671" xr:uid="{00000000-0005-0000-0000-0000D4250000}"/>
    <cellStyle name="보통 2 2" xfId="9672" xr:uid="{00000000-0005-0000-0000-0000D5250000}"/>
    <cellStyle name="보통 2 3" xfId="9673" xr:uid="{00000000-0005-0000-0000-0000D6250000}"/>
    <cellStyle name="보통 2 4" xfId="9674" xr:uid="{00000000-0005-0000-0000-0000D7250000}"/>
    <cellStyle name="보통 2 5" xfId="9675" xr:uid="{00000000-0005-0000-0000-0000D8250000}"/>
    <cellStyle name="보통 2 6" xfId="9676" xr:uid="{00000000-0005-0000-0000-0000D9250000}"/>
    <cellStyle name="보통 3 2" xfId="9677" xr:uid="{00000000-0005-0000-0000-0000DA250000}"/>
    <cellStyle name="보통 3 3" xfId="9678" xr:uid="{00000000-0005-0000-0000-0000DB250000}"/>
    <cellStyle name="보통 3 4" xfId="9679" xr:uid="{00000000-0005-0000-0000-0000DC250000}"/>
    <cellStyle name="보통 3 5" xfId="9680" xr:uid="{00000000-0005-0000-0000-0000DD250000}"/>
    <cellStyle name="보통 3 6" xfId="9681" xr:uid="{00000000-0005-0000-0000-0000DE250000}"/>
    <cellStyle name="보통 4 2" xfId="9682" xr:uid="{00000000-0005-0000-0000-0000DF250000}"/>
    <cellStyle name="보통 4 3" xfId="9683" xr:uid="{00000000-0005-0000-0000-0000E0250000}"/>
    <cellStyle name="보통 4 4" xfId="9684" xr:uid="{00000000-0005-0000-0000-0000E1250000}"/>
    <cellStyle name="보통 4 5" xfId="9685" xr:uid="{00000000-0005-0000-0000-0000E2250000}"/>
    <cellStyle name="보통 4 6" xfId="9686" xr:uid="{00000000-0005-0000-0000-0000E3250000}"/>
    <cellStyle name="보통 5 2" xfId="9687" xr:uid="{00000000-0005-0000-0000-0000E4250000}"/>
    <cellStyle name="보통 5 3" xfId="9688" xr:uid="{00000000-0005-0000-0000-0000E5250000}"/>
    <cellStyle name="보통 5 4" xfId="9689" xr:uid="{00000000-0005-0000-0000-0000E6250000}"/>
    <cellStyle name="보통 5 5" xfId="9690" xr:uid="{00000000-0005-0000-0000-0000E7250000}"/>
    <cellStyle name="보통 5 6" xfId="9691" xr:uid="{00000000-0005-0000-0000-0000E8250000}"/>
    <cellStyle name="본문체" xfId="9692" xr:uid="{00000000-0005-0000-0000-0000E9250000}"/>
    <cellStyle name="분수" xfId="9693" xr:uid="{00000000-0005-0000-0000-0000EA250000}"/>
    <cellStyle name="뷭?" xfId="9694" xr:uid="{00000000-0005-0000-0000-0000EB250000}"/>
    <cellStyle name="빨강" xfId="9695" xr:uid="{00000000-0005-0000-0000-0000EC250000}"/>
    <cellStyle name="常规 2" xfId="9696" xr:uid="{00000000-0005-0000-0000-0000ED250000}"/>
    <cellStyle name="常规_~1376331" xfId="9697" xr:uid="{00000000-0005-0000-0000-0000EE250000}"/>
    <cellStyle name="선택영역" xfId="9698" xr:uid="{00000000-0005-0000-0000-0000EF250000}"/>
    <cellStyle name="선택영역의 가운데로" xfId="9699" xr:uid="{00000000-0005-0000-0000-0000F0250000}"/>
    <cellStyle name="설계서" xfId="9700" xr:uid="{00000000-0005-0000-0000-0000F1250000}"/>
    <cellStyle name="설계서 2" xfId="9701" xr:uid="{00000000-0005-0000-0000-0000F2250000}"/>
    <cellStyle name="설계서-내용" xfId="9702" xr:uid="{00000000-0005-0000-0000-0000F3250000}"/>
    <cellStyle name="설계서-내용-소수점" xfId="9703" xr:uid="{00000000-0005-0000-0000-0000F4250000}"/>
    <cellStyle name="설계서-내용-우" xfId="9704" xr:uid="{00000000-0005-0000-0000-0000F5250000}"/>
    <cellStyle name="설계서-내용-좌" xfId="9705" xr:uid="{00000000-0005-0000-0000-0000F6250000}"/>
    <cellStyle name="설계서-소제목" xfId="9706" xr:uid="{00000000-0005-0000-0000-0000F7250000}"/>
    <cellStyle name="설계서-타이틀" xfId="9707" xr:uid="{00000000-0005-0000-0000-0000F8250000}"/>
    <cellStyle name="설계서-항목" xfId="9708" xr:uid="{00000000-0005-0000-0000-0000F9250000}"/>
    <cellStyle name="설명 텍스트 2" xfId="9709" xr:uid="{00000000-0005-0000-0000-0000FA250000}"/>
    <cellStyle name="설명 텍스트 2 2" xfId="9710" xr:uid="{00000000-0005-0000-0000-0000FB250000}"/>
    <cellStyle name="설명 텍스트 2 3" xfId="9711" xr:uid="{00000000-0005-0000-0000-0000FC250000}"/>
    <cellStyle name="설명 텍스트 2 4" xfId="9712" xr:uid="{00000000-0005-0000-0000-0000FD250000}"/>
    <cellStyle name="설명 텍스트 2 5" xfId="9713" xr:uid="{00000000-0005-0000-0000-0000FE250000}"/>
    <cellStyle name="설명 텍스트 2 6" xfId="9714" xr:uid="{00000000-0005-0000-0000-0000FF250000}"/>
    <cellStyle name="설명 텍스트 3 2" xfId="9715" xr:uid="{00000000-0005-0000-0000-000000260000}"/>
    <cellStyle name="설명 텍스트 3 3" xfId="9716" xr:uid="{00000000-0005-0000-0000-000001260000}"/>
    <cellStyle name="설명 텍스트 3 4" xfId="9717" xr:uid="{00000000-0005-0000-0000-000002260000}"/>
    <cellStyle name="설명 텍스트 3 5" xfId="9718" xr:uid="{00000000-0005-0000-0000-000003260000}"/>
    <cellStyle name="설명 텍스트 3 6" xfId="9719" xr:uid="{00000000-0005-0000-0000-000004260000}"/>
    <cellStyle name="설명 텍스트 4 2" xfId="9720" xr:uid="{00000000-0005-0000-0000-000005260000}"/>
    <cellStyle name="설명 텍스트 4 3" xfId="9721" xr:uid="{00000000-0005-0000-0000-000006260000}"/>
    <cellStyle name="설명 텍스트 4 4" xfId="9722" xr:uid="{00000000-0005-0000-0000-000007260000}"/>
    <cellStyle name="설명 텍스트 4 5" xfId="9723" xr:uid="{00000000-0005-0000-0000-000008260000}"/>
    <cellStyle name="설명 텍스트 4 6" xfId="9724" xr:uid="{00000000-0005-0000-0000-000009260000}"/>
    <cellStyle name="설명 텍스트 5 2" xfId="9725" xr:uid="{00000000-0005-0000-0000-00000A260000}"/>
    <cellStyle name="설명 텍스트 5 3" xfId="9726" xr:uid="{00000000-0005-0000-0000-00000B260000}"/>
    <cellStyle name="설명 텍스트 5 4" xfId="9727" xr:uid="{00000000-0005-0000-0000-00000C260000}"/>
    <cellStyle name="설명 텍스트 5 5" xfId="9728" xr:uid="{00000000-0005-0000-0000-00000D260000}"/>
    <cellStyle name="설명 텍스트 5 6" xfId="9729" xr:uid="{00000000-0005-0000-0000-00000E260000}"/>
    <cellStyle name="셀 확인 2" xfId="9730" xr:uid="{00000000-0005-0000-0000-00000F260000}"/>
    <cellStyle name="셀 확인 2 2" xfId="9731" xr:uid="{00000000-0005-0000-0000-000010260000}"/>
    <cellStyle name="셀 확인 2 3" xfId="9732" xr:uid="{00000000-0005-0000-0000-000011260000}"/>
    <cellStyle name="셀 확인 2 4" xfId="9733" xr:uid="{00000000-0005-0000-0000-000012260000}"/>
    <cellStyle name="셀 확인 2 5" xfId="9734" xr:uid="{00000000-0005-0000-0000-000013260000}"/>
    <cellStyle name="셀 확인 2 6" xfId="9735" xr:uid="{00000000-0005-0000-0000-000014260000}"/>
    <cellStyle name="셀 확인 3 2" xfId="9736" xr:uid="{00000000-0005-0000-0000-000015260000}"/>
    <cellStyle name="셀 확인 3 3" xfId="9737" xr:uid="{00000000-0005-0000-0000-000016260000}"/>
    <cellStyle name="셀 확인 3 4" xfId="9738" xr:uid="{00000000-0005-0000-0000-000017260000}"/>
    <cellStyle name="셀 확인 3 5" xfId="9739" xr:uid="{00000000-0005-0000-0000-000018260000}"/>
    <cellStyle name="셀 확인 3 6" xfId="9740" xr:uid="{00000000-0005-0000-0000-000019260000}"/>
    <cellStyle name="셀 확인 4 2" xfId="9741" xr:uid="{00000000-0005-0000-0000-00001A260000}"/>
    <cellStyle name="셀 확인 4 3" xfId="9742" xr:uid="{00000000-0005-0000-0000-00001B260000}"/>
    <cellStyle name="셀 확인 4 4" xfId="9743" xr:uid="{00000000-0005-0000-0000-00001C260000}"/>
    <cellStyle name="셀 확인 4 5" xfId="9744" xr:uid="{00000000-0005-0000-0000-00001D260000}"/>
    <cellStyle name="셀 확인 4 6" xfId="9745" xr:uid="{00000000-0005-0000-0000-00001E260000}"/>
    <cellStyle name="셀 확인 5 2" xfId="9746" xr:uid="{00000000-0005-0000-0000-00001F260000}"/>
    <cellStyle name="셀 확인 5 3" xfId="9747" xr:uid="{00000000-0005-0000-0000-000020260000}"/>
    <cellStyle name="셀 확인 5 4" xfId="9748" xr:uid="{00000000-0005-0000-0000-000021260000}"/>
    <cellStyle name="셀 확인 5 5" xfId="9749" xr:uid="{00000000-0005-0000-0000-000022260000}"/>
    <cellStyle name="셀 확인 5 6" xfId="9750" xr:uid="{00000000-0005-0000-0000-000023260000}"/>
    <cellStyle name="수량" xfId="9751" xr:uid="{00000000-0005-0000-0000-000024260000}"/>
    <cellStyle name="숨기기" xfId="9752" xr:uid="{00000000-0005-0000-0000-000025260000}"/>
    <cellStyle name="숨기기 2" xfId="9753" xr:uid="{00000000-0005-0000-0000-000026260000}"/>
    <cellStyle name="숫자" xfId="9754" xr:uid="{00000000-0005-0000-0000-000027260000}"/>
    <cellStyle name="숫자 2" xfId="9755" xr:uid="{00000000-0005-0000-0000-000028260000}"/>
    <cellStyle name="숫자(R)" xfId="9756" xr:uid="{00000000-0005-0000-0000-000029260000}"/>
    <cellStyle name="숫자(R) 2" xfId="9757" xr:uid="{00000000-0005-0000-0000-00002A260000}"/>
    <cellStyle name="숫자(R) 3" xfId="9758" xr:uid="{00000000-0005-0000-0000-00002B260000}"/>
    <cellStyle name="숫자1" xfId="9759" xr:uid="{00000000-0005-0000-0000-00002C260000}"/>
    <cellStyle name="숫자3" xfId="9760" xr:uid="{00000000-0005-0000-0000-00002D260000}"/>
    <cellStyle name="쉼표 [0]" xfId="1" builtinId="6"/>
    <cellStyle name="쉼표 [0] 10" xfId="9761" xr:uid="{00000000-0005-0000-0000-00002F260000}"/>
    <cellStyle name="쉼표 [0] 10 10" xfId="18727" xr:uid="{00000000-0005-0000-0000-000030260000}"/>
    <cellStyle name="쉼표 [0] 10 2" xfId="9762" xr:uid="{00000000-0005-0000-0000-000031260000}"/>
    <cellStyle name="쉼표 [0] 10 2 2" xfId="18461" xr:uid="{00000000-0005-0000-0000-000032260000}"/>
    <cellStyle name="쉼표 [0] 10 2 2 2" xfId="18595" xr:uid="{00000000-0005-0000-0000-000033260000}"/>
    <cellStyle name="쉼표 [0] 10 2 2 2 2" xfId="19190" xr:uid="{00000000-0005-0000-0000-000034260000}"/>
    <cellStyle name="쉼표 [0] 10 2 2 2 3" xfId="18895" xr:uid="{00000000-0005-0000-0000-000035260000}"/>
    <cellStyle name="쉼표 [0] 10 2 2 3" xfId="18528" xr:uid="{00000000-0005-0000-0000-000036260000}"/>
    <cellStyle name="쉼표 [0] 10 2 2 3 2" xfId="19123" xr:uid="{00000000-0005-0000-0000-000037260000}"/>
    <cellStyle name="쉼표 [0] 10 2 2 3 3" xfId="18828" xr:uid="{00000000-0005-0000-0000-000038260000}"/>
    <cellStyle name="쉼표 [0] 10 2 2 4" xfId="18662" xr:uid="{00000000-0005-0000-0000-000039260000}"/>
    <cellStyle name="쉼표 [0] 10 2 2 4 2" xfId="19257" xr:uid="{00000000-0005-0000-0000-00003A260000}"/>
    <cellStyle name="쉼표 [0] 10 2 2 4 3" xfId="18962" xr:uid="{00000000-0005-0000-0000-00003B260000}"/>
    <cellStyle name="쉼표 [0] 10 2 2 5" xfId="19056" xr:uid="{00000000-0005-0000-0000-00003C260000}"/>
    <cellStyle name="쉼표 [0] 10 2 2 6" xfId="18761" xr:uid="{00000000-0005-0000-0000-00003D260000}"/>
    <cellStyle name="쉼표 [0] 10 2 3" xfId="18562" xr:uid="{00000000-0005-0000-0000-00003E260000}"/>
    <cellStyle name="쉼표 [0] 10 2 3 2" xfId="19157" xr:uid="{00000000-0005-0000-0000-00003F260000}"/>
    <cellStyle name="쉼표 [0] 10 2 3 3" xfId="18862" xr:uid="{00000000-0005-0000-0000-000040260000}"/>
    <cellStyle name="쉼표 [0] 10 2 4" xfId="18495" xr:uid="{00000000-0005-0000-0000-000041260000}"/>
    <cellStyle name="쉼표 [0] 10 2 4 2" xfId="19090" xr:uid="{00000000-0005-0000-0000-000042260000}"/>
    <cellStyle name="쉼표 [0] 10 2 4 3" xfId="18795" xr:uid="{00000000-0005-0000-0000-000043260000}"/>
    <cellStyle name="쉼표 [0] 10 2 5" xfId="18629" xr:uid="{00000000-0005-0000-0000-000044260000}"/>
    <cellStyle name="쉼표 [0] 10 2 5 2" xfId="19224" xr:uid="{00000000-0005-0000-0000-000045260000}"/>
    <cellStyle name="쉼표 [0] 10 2 5 3" xfId="18929" xr:uid="{00000000-0005-0000-0000-000046260000}"/>
    <cellStyle name="쉼표 [0] 10 2 6" xfId="18704" xr:uid="{00000000-0005-0000-0000-000047260000}"/>
    <cellStyle name="쉼표 [0] 10 2 6 2" xfId="18999" xr:uid="{00000000-0005-0000-0000-000048260000}"/>
    <cellStyle name="쉼표 [0] 10 2 7" xfId="19023" xr:uid="{00000000-0005-0000-0000-000049260000}"/>
    <cellStyle name="쉼표 [0] 10 2 8" xfId="19294" xr:uid="{00000000-0005-0000-0000-00004A260000}"/>
    <cellStyle name="쉼표 [0] 10 2 9" xfId="18728" xr:uid="{00000000-0005-0000-0000-00004B260000}"/>
    <cellStyle name="쉼표 [0] 10 3" xfId="18460" xr:uid="{00000000-0005-0000-0000-00004C260000}"/>
    <cellStyle name="쉼표 [0] 10 3 2" xfId="18594" xr:uid="{00000000-0005-0000-0000-00004D260000}"/>
    <cellStyle name="쉼표 [0] 10 3 2 2" xfId="19189" xr:uid="{00000000-0005-0000-0000-00004E260000}"/>
    <cellStyle name="쉼표 [0] 10 3 2 3" xfId="18894" xr:uid="{00000000-0005-0000-0000-00004F260000}"/>
    <cellStyle name="쉼표 [0] 10 3 3" xfId="18527" xr:uid="{00000000-0005-0000-0000-000050260000}"/>
    <cellStyle name="쉼표 [0] 10 3 3 2" xfId="19122" xr:uid="{00000000-0005-0000-0000-000051260000}"/>
    <cellStyle name="쉼표 [0] 10 3 3 3" xfId="18827" xr:uid="{00000000-0005-0000-0000-000052260000}"/>
    <cellStyle name="쉼표 [0] 10 3 4" xfId="18661" xr:uid="{00000000-0005-0000-0000-000053260000}"/>
    <cellStyle name="쉼표 [0] 10 3 4 2" xfId="19256" xr:uid="{00000000-0005-0000-0000-000054260000}"/>
    <cellStyle name="쉼표 [0] 10 3 4 3" xfId="18961" xr:uid="{00000000-0005-0000-0000-000055260000}"/>
    <cellStyle name="쉼표 [0] 10 3 5" xfId="19055" xr:uid="{00000000-0005-0000-0000-000056260000}"/>
    <cellStyle name="쉼표 [0] 10 3 6" xfId="18760" xr:uid="{00000000-0005-0000-0000-000057260000}"/>
    <cellStyle name="쉼표 [0] 10 4" xfId="18561" xr:uid="{00000000-0005-0000-0000-000058260000}"/>
    <cellStyle name="쉼표 [0] 10 4 2" xfId="19156" xr:uid="{00000000-0005-0000-0000-000059260000}"/>
    <cellStyle name="쉼표 [0] 10 4 3" xfId="18861" xr:uid="{00000000-0005-0000-0000-00005A260000}"/>
    <cellStyle name="쉼표 [0] 10 5" xfId="18494" xr:uid="{00000000-0005-0000-0000-00005B260000}"/>
    <cellStyle name="쉼표 [0] 10 5 2" xfId="19089" xr:uid="{00000000-0005-0000-0000-00005C260000}"/>
    <cellStyle name="쉼표 [0] 10 5 3" xfId="18794" xr:uid="{00000000-0005-0000-0000-00005D260000}"/>
    <cellStyle name="쉼표 [0] 10 6" xfId="18628" xr:uid="{00000000-0005-0000-0000-00005E260000}"/>
    <cellStyle name="쉼표 [0] 10 6 2" xfId="19223" xr:uid="{00000000-0005-0000-0000-00005F260000}"/>
    <cellStyle name="쉼표 [0] 10 6 3" xfId="18928" xr:uid="{00000000-0005-0000-0000-000060260000}"/>
    <cellStyle name="쉼표 [0] 10 7" xfId="18703" xr:uid="{00000000-0005-0000-0000-000061260000}"/>
    <cellStyle name="쉼표 [0] 10 7 2" xfId="18998" xr:uid="{00000000-0005-0000-0000-000062260000}"/>
    <cellStyle name="쉼표 [0] 10 8" xfId="19022" xr:uid="{00000000-0005-0000-0000-000063260000}"/>
    <cellStyle name="쉼표 [0] 10 9" xfId="19293" xr:uid="{00000000-0005-0000-0000-000064260000}"/>
    <cellStyle name="쉼표 [0] 11" xfId="9763" xr:uid="{00000000-0005-0000-0000-000065260000}"/>
    <cellStyle name="쉼표 [0] 11 10" xfId="18729" xr:uid="{00000000-0005-0000-0000-000066260000}"/>
    <cellStyle name="쉼표 [0] 11 2" xfId="9764" xr:uid="{00000000-0005-0000-0000-000067260000}"/>
    <cellStyle name="쉼표 [0] 11 2 2" xfId="18463" xr:uid="{00000000-0005-0000-0000-000068260000}"/>
    <cellStyle name="쉼표 [0] 11 2 2 2" xfId="18597" xr:uid="{00000000-0005-0000-0000-000069260000}"/>
    <cellStyle name="쉼표 [0] 11 2 2 2 2" xfId="19192" xr:uid="{00000000-0005-0000-0000-00006A260000}"/>
    <cellStyle name="쉼표 [0] 11 2 2 2 3" xfId="18897" xr:uid="{00000000-0005-0000-0000-00006B260000}"/>
    <cellStyle name="쉼표 [0] 11 2 2 3" xfId="18530" xr:uid="{00000000-0005-0000-0000-00006C260000}"/>
    <cellStyle name="쉼표 [0] 11 2 2 3 2" xfId="19125" xr:uid="{00000000-0005-0000-0000-00006D260000}"/>
    <cellStyle name="쉼표 [0] 11 2 2 3 3" xfId="18830" xr:uid="{00000000-0005-0000-0000-00006E260000}"/>
    <cellStyle name="쉼표 [0] 11 2 2 4" xfId="18664" xr:uid="{00000000-0005-0000-0000-00006F260000}"/>
    <cellStyle name="쉼표 [0] 11 2 2 4 2" xfId="19259" xr:uid="{00000000-0005-0000-0000-000070260000}"/>
    <cellStyle name="쉼표 [0] 11 2 2 4 3" xfId="18964" xr:uid="{00000000-0005-0000-0000-000071260000}"/>
    <cellStyle name="쉼표 [0] 11 2 2 5" xfId="19058" xr:uid="{00000000-0005-0000-0000-000072260000}"/>
    <cellStyle name="쉼표 [0] 11 2 2 6" xfId="18763" xr:uid="{00000000-0005-0000-0000-000073260000}"/>
    <cellStyle name="쉼표 [0] 11 2 3" xfId="18564" xr:uid="{00000000-0005-0000-0000-000074260000}"/>
    <cellStyle name="쉼표 [0] 11 2 3 2" xfId="19159" xr:uid="{00000000-0005-0000-0000-000075260000}"/>
    <cellStyle name="쉼표 [0] 11 2 3 3" xfId="18864" xr:uid="{00000000-0005-0000-0000-000076260000}"/>
    <cellStyle name="쉼표 [0] 11 2 4" xfId="18497" xr:uid="{00000000-0005-0000-0000-000077260000}"/>
    <cellStyle name="쉼표 [0] 11 2 4 2" xfId="19092" xr:uid="{00000000-0005-0000-0000-000078260000}"/>
    <cellStyle name="쉼표 [0] 11 2 4 3" xfId="18797" xr:uid="{00000000-0005-0000-0000-000079260000}"/>
    <cellStyle name="쉼표 [0] 11 2 5" xfId="18631" xr:uid="{00000000-0005-0000-0000-00007A260000}"/>
    <cellStyle name="쉼표 [0] 11 2 5 2" xfId="19226" xr:uid="{00000000-0005-0000-0000-00007B260000}"/>
    <cellStyle name="쉼표 [0] 11 2 5 3" xfId="18931" xr:uid="{00000000-0005-0000-0000-00007C260000}"/>
    <cellStyle name="쉼표 [0] 11 2 6" xfId="18706" xr:uid="{00000000-0005-0000-0000-00007D260000}"/>
    <cellStyle name="쉼표 [0] 11 2 6 2" xfId="19001" xr:uid="{00000000-0005-0000-0000-00007E260000}"/>
    <cellStyle name="쉼표 [0] 11 2 7" xfId="19025" xr:uid="{00000000-0005-0000-0000-00007F260000}"/>
    <cellStyle name="쉼표 [0] 11 2 8" xfId="19296" xr:uid="{00000000-0005-0000-0000-000080260000}"/>
    <cellStyle name="쉼표 [0] 11 2 9" xfId="18730" xr:uid="{00000000-0005-0000-0000-000081260000}"/>
    <cellStyle name="쉼표 [0] 11 3" xfId="18462" xr:uid="{00000000-0005-0000-0000-000082260000}"/>
    <cellStyle name="쉼표 [0] 11 3 2" xfId="18596" xr:uid="{00000000-0005-0000-0000-000083260000}"/>
    <cellStyle name="쉼표 [0] 11 3 2 2" xfId="19191" xr:uid="{00000000-0005-0000-0000-000084260000}"/>
    <cellStyle name="쉼표 [0] 11 3 2 3" xfId="18896" xr:uid="{00000000-0005-0000-0000-000085260000}"/>
    <cellStyle name="쉼표 [0] 11 3 3" xfId="18529" xr:uid="{00000000-0005-0000-0000-000086260000}"/>
    <cellStyle name="쉼표 [0] 11 3 3 2" xfId="19124" xr:uid="{00000000-0005-0000-0000-000087260000}"/>
    <cellStyle name="쉼표 [0] 11 3 3 3" xfId="18829" xr:uid="{00000000-0005-0000-0000-000088260000}"/>
    <cellStyle name="쉼표 [0] 11 3 4" xfId="18663" xr:uid="{00000000-0005-0000-0000-000089260000}"/>
    <cellStyle name="쉼표 [0] 11 3 4 2" xfId="19258" xr:uid="{00000000-0005-0000-0000-00008A260000}"/>
    <cellStyle name="쉼표 [0] 11 3 4 3" xfId="18963" xr:uid="{00000000-0005-0000-0000-00008B260000}"/>
    <cellStyle name="쉼표 [0] 11 3 5" xfId="19057" xr:uid="{00000000-0005-0000-0000-00008C260000}"/>
    <cellStyle name="쉼표 [0] 11 3 6" xfId="18762" xr:uid="{00000000-0005-0000-0000-00008D260000}"/>
    <cellStyle name="쉼표 [0] 11 4" xfId="18563" xr:uid="{00000000-0005-0000-0000-00008E260000}"/>
    <cellStyle name="쉼표 [0] 11 4 2" xfId="19158" xr:uid="{00000000-0005-0000-0000-00008F260000}"/>
    <cellStyle name="쉼표 [0] 11 4 3" xfId="18863" xr:uid="{00000000-0005-0000-0000-000090260000}"/>
    <cellStyle name="쉼표 [0] 11 5" xfId="18496" xr:uid="{00000000-0005-0000-0000-000091260000}"/>
    <cellStyle name="쉼표 [0] 11 5 2" xfId="19091" xr:uid="{00000000-0005-0000-0000-000092260000}"/>
    <cellStyle name="쉼표 [0] 11 5 3" xfId="18796" xr:uid="{00000000-0005-0000-0000-000093260000}"/>
    <cellStyle name="쉼표 [0] 11 6" xfId="18630" xr:uid="{00000000-0005-0000-0000-000094260000}"/>
    <cellStyle name="쉼표 [0] 11 6 2" xfId="19225" xr:uid="{00000000-0005-0000-0000-000095260000}"/>
    <cellStyle name="쉼표 [0] 11 6 3" xfId="18930" xr:uid="{00000000-0005-0000-0000-000096260000}"/>
    <cellStyle name="쉼표 [0] 11 7" xfId="18705" xr:uid="{00000000-0005-0000-0000-000097260000}"/>
    <cellStyle name="쉼표 [0] 11 7 2" xfId="19000" xr:uid="{00000000-0005-0000-0000-000098260000}"/>
    <cellStyle name="쉼표 [0] 11 8" xfId="19024" xr:uid="{00000000-0005-0000-0000-000099260000}"/>
    <cellStyle name="쉼표 [0] 11 9" xfId="19295" xr:uid="{00000000-0005-0000-0000-00009A260000}"/>
    <cellStyle name="쉼표 [0] 12" xfId="9765" xr:uid="{00000000-0005-0000-0000-00009B260000}"/>
    <cellStyle name="쉼표 [0] 12 10" xfId="9766" xr:uid="{00000000-0005-0000-0000-00009C260000}"/>
    <cellStyle name="쉼표 [0] 12 10 2" xfId="9767" xr:uid="{00000000-0005-0000-0000-00009D260000}"/>
    <cellStyle name="쉼표 [0] 12 11" xfId="9768" xr:uid="{00000000-0005-0000-0000-00009E260000}"/>
    <cellStyle name="쉼표 [0] 12 11 2" xfId="9769" xr:uid="{00000000-0005-0000-0000-00009F260000}"/>
    <cellStyle name="쉼표 [0] 12 12" xfId="9770" xr:uid="{00000000-0005-0000-0000-0000A0260000}"/>
    <cellStyle name="쉼표 [0] 12 12 2" xfId="9771" xr:uid="{00000000-0005-0000-0000-0000A1260000}"/>
    <cellStyle name="쉼표 [0] 12 13" xfId="9772" xr:uid="{00000000-0005-0000-0000-0000A2260000}"/>
    <cellStyle name="쉼표 [0] 12 13 2" xfId="9773" xr:uid="{00000000-0005-0000-0000-0000A3260000}"/>
    <cellStyle name="쉼표 [0] 12 14" xfId="9774" xr:uid="{00000000-0005-0000-0000-0000A4260000}"/>
    <cellStyle name="쉼표 [0] 12 14 2" xfId="9775" xr:uid="{00000000-0005-0000-0000-0000A5260000}"/>
    <cellStyle name="쉼표 [0] 12 15" xfId="9776" xr:uid="{00000000-0005-0000-0000-0000A6260000}"/>
    <cellStyle name="쉼표 [0] 12 15 2" xfId="9777" xr:uid="{00000000-0005-0000-0000-0000A7260000}"/>
    <cellStyle name="쉼표 [0] 12 16" xfId="9778" xr:uid="{00000000-0005-0000-0000-0000A8260000}"/>
    <cellStyle name="쉼표 [0] 12 16 2" xfId="9779" xr:uid="{00000000-0005-0000-0000-0000A9260000}"/>
    <cellStyle name="쉼표 [0] 12 17" xfId="9780" xr:uid="{00000000-0005-0000-0000-0000AA260000}"/>
    <cellStyle name="쉼표 [0] 12 17 2" xfId="9781" xr:uid="{00000000-0005-0000-0000-0000AB260000}"/>
    <cellStyle name="쉼표 [0] 12 18" xfId="9782" xr:uid="{00000000-0005-0000-0000-0000AC260000}"/>
    <cellStyle name="쉼표 [0] 12 18 2" xfId="9783" xr:uid="{00000000-0005-0000-0000-0000AD260000}"/>
    <cellStyle name="쉼표 [0] 12 19" xfId="9784" xr:uid="{00000000-0005-0000-0000-0000AE260000}"/>
    <cellStyle name="쉼표 [0] 12 19 2" xfId="9785" xr:uid="{00000000-0005-0000-0000-0000AF260000}"/>
    <cellStyle name="쉼표 [0] 12 2" xfId="9786" xr:uid="{00000000-0005-0000-0000-0000B0260000}"/>
    <cellStyle name="쉼표 [0] 12 2 2" xfId="9787" xr:uid="{00000000-0005-0000-0000-0000B1260000}"/>
    <cellStyle name="쉼표 [0] 12 20" xfId="9788" xr:uid="{00000000-0005-0000-0000-0000B2260000}"/>
    <cellStyle name="쉼표 [0] 12 20 2" xfId="9789" xr:uid="{00000000-0005-0000-0000-0000B3260000}"/>
    <cellStyle name="쉼표 [0] 12 21" xfId="9790" xr:uid="{00000000-0005-0000-0000-0000B4260000}"/>
    <cellStyle name="쉼표 [0] 12 21 2" xfId="9791" xr:uid="{00000000-0005-0000-0000-0000B5260000}"/>
    <cellStyle name="쉼표 [0] 12 22" xfId="9792" xr:uid="{00000000-0005-0000-0000-0000B6260000}"/>
    <cellStyle name="쉼표 [0] 12 22 2" xfId="9793" xr:uid="{00000000-0005-0000-0000-0000B7260000}"/>
    <cellStyle name="쉼표 [0] 12 23" xfId="18464" xr:uid="{00000000-0005-0000-0000-0000B8260000}"/>
    <cellStyle name="쉼표 [0] 12 23 2" xfId="18598" xr:uid="{00000000-0005-0000-0000-0000B9260000}"/>
    <cellStyle name="쉼표 [0] 12 23 2 2" xfId="19193" xr:uid="{00000000-0005-0000-0000-0000BA260000}"/>
    <cellStyle name="쉼표 [0] 12 23 2 3" xfId="18898" xr:uid="{00000000-0005-0000-0000-0000BB260000}"/>
    <cellStyle name="쉼표 [0] 12 23 3" xfId="18531" xr:uid="{00000000-0005-0000-0000-0000BC260000}"/>
    <cellStyle name="쉼표 [0] 12 23 3 2" xfId="19126" xr:uid="{00000000-0005-0000-0000-0000BD260000}"/>
    <cellStyle name="쉼표 [0] 12 23 3 3" xfId="18831" xr:uid="{00000000-0005-0000-0000-0000BE260000}"/>
    <cellStyle name="쉼표 [0] 12 23 4" xfId="18665" xr:uid="{00000000-0005-0000-0000-0000BF260000}"/>
    <cellStyle name="쉼표 [0] 12 23 4 2" xfId="19260" xr:uid="{00000000-0005-0000-0000-0000C0260000}"/>
    <cellStyle name="쉼표 [0] 12 23 4 3" xfId="18965" xr:uid="{00000000-0005-0000-0000-0000C1260000}"/>
    <cellStyle name="쉼표 [0] 12 23 5" xfId="19059" xr:uid="{00000000-0005-0000-0000-0000C2260000}"/>
    <cellStyle name="쉼표 [0] 12 23 6" xfId="18764" xr:uid="{00000000-0005-0000-0000-0000C3260000}"/>
    <cellStyle name="쉼표 [0] 12 24" xfId="18565" xr:uid="{00000000-0005-0000-0000-0000C4260000}"/>
    <cellStyle name="쉼표 [0] 12 24 2" xfId="19160" xr:uid="{00000000-0005-0000-0000-0000C5260000}"/>
    <cellStyle name="쉼표 [0] 12 24 3" xfId="18865" xr:uid="{00000000-0005-0000-0000-0000C6260000}"/>
    <cellStyle name="쉼표 [0] 12 25" xfId="18498" xr:uid="{00000000-0005-0000-0000-0000C7260000}"/>
    <cellStyle name="쉼표 [0] 12 25 2" xfId="19093" xr:uid="{00000000-0005-0000-0000-0000C8260000}"/>
    <cellStyle name="쉼표 [0] 12 25 3" xfId="18798" xr:uid="{00000000-0005-0000-0000-0000C9260000}"/>
    <cellStyle name="쉼표 [0] 12 26" xfId="18632" xr:uid="{00000000-0005-0000-0000-0000CA260000}"/>
    <cellStyle name="쉼표 [0] 12 26 2" xfId="19227" xr:uid="{00000000-0005-0000-0000-0000CB260000}"/>
    <cellStyle name="쉼표 [0] 12 26 3" xfId="18932" xr:uid="{00000000-0005-0000-0000-0000CC260000}"/>
    <cellStyle name="쉼표 [0] 12 27" xfId="18707" xr:uid="{00000000-0005-0000-0000-0000CD260000}"/>
    <cellStyle name="쉼표 [0] 12 27 2" xfId="19002" xr:uid="{00000000-0005-0000-0000-0000CE260000}"/>
    <cellStyle name="쉼표 [0] 12 28" xfId="19026" xr:uid="{00000000-0005-0000-0000-0000CF260000}"/>
    <cellStyle name="쉼표 [0] 12 29" xfId="19297" xr:uid="{00000000-0005-0000-0000-0000D0260000}"/>
    <cellStyle name="쉼표 [0] 12 3" xfId="9794" xr:uid="{00000000-0005-0000-0000-0000D1260000}"/>
    <cellStyle name="쉼표 [0] 12 3 2" xfId="9795" xr:uid="{00000000-0005-0000-0000-0000D2260000}"/>
    <cellStyle name="쉼표 [0] 12 30" xfId="18731" xr:uid="{00000000-0005-0000-0000-0000D3260000}"/>
    <cellStyle name="쉼표 [0] 12 4" xfId="9796" xr:uid="{00000000-0005-0000-0000-0000D4260000}"/>
    <cellStyle name="쉼표 [0] 12 4 2" xfId="9797" xr:uid="{00000000-0005-0000-0000-0000D5260000}"/>
    <cellStyle name="쉼표 [0] 12 5" xfId="9798" xr:uid="{00000000-0005-0000-0000-0000D6260000}"/>
    <cellStyle name="쉼표 [0] 12 5 2" xfId="9799" xr:uid="{00000000-0005-0000-0000-0000D7260000}"/>
    <cellStyle name="쉼표 [0] 12 6" xfId="9800" xr:uid="{00000000-0005-0000-0000-0000D8260000}"/>
    <cellStyle name="쉼표 [0] 12 6 2" xfId="9801" xr:uid="{00000000-0005-0000-0000-0000D9260000}"/>
    <cellStyle name="쉼표 [0] 12 7" xfId="9802" xr:uid="{00000000-0005-0000-0000-0000DA260000}"/>
    <cellStyle name="쉼표 [0] 12 7 2" xfId="9803" xr:uid="{00000000-0005-0000-0000-0000DB260000}"/>
    <cellStyle name="쉼표 [0] 12 8" xfId="9804" xr:uid="{00000000-0005-0000-0000-0000DC260000}"/>
    <cellStyle name="쉼표 [0] 12 8 2" xfId="9805" xr:uid="{00000000-0005-0000-0000-0000DD260000}"/>
    <cellStyle name="쉼표 [0] 12 9" xfId="9806" xr:uid="{00000000-0005-0000-0000-0000DE260000}"/>
    <cellStyle name="쉼표 [0] 12 9 2" xfId="9807" xr:uid="{00000000-0005-0000-0000-0000DF260000}"/>
    <cellStyle name="쉼표 [0] 13" xfId="18689" xr:uid="{00000000-0005-0000-0000-0000E0260000}"/>
    <cellStyle name="쉼표 [0] 13 2" xfId="18694" xr:uid="{00000000-0005-0000-0000-0000E1260000}"/>
    <cellStyle name="쉼표 [0] 14" xfId="19316" xr:uid="{6EB9D61F-F907-42C1-B883-E55AC065A7D7}"/>
    <cellStyle name="쉼표 [0] 15" xfId="19312" xr:uid="{00000000-0005-0000-0000-0000E2260000}"/>
    <cellStyle name="쉼표 [0] 16 2" xfId="9808" xr:uid="{00000000-0005-0000-0000-0000E3260000}"/>
    <cellStyle name="쉼표 [0] 16 2 2" xfId="9809" xr:uid="{00000000-0005-0000-0000-0000E4260000}"/>
    <cellStyle name="쉼표 [0] 16 2 2 2" xfId="9810" xr:uid="{00000000-0005-0000-0000-0000E5260000}"/>
    <cellStyle name="쉼표 [0] 16 2 2 2 2" xfId="9811" xr:uid="{00000000-0005-0000-0000-0000E6260000}"/>
    <cellStyle name="쉼표 [0] 16 2 2 3" xfId="9812" xr:uid="{00000000-0005-0000-0000-0000E7260000}"/>
    <cellStyle name="쉼표 [0] 16 2 2 3 2" xfId="9813" xr:uid="{00000000-0005-0000-0000-0000E8260000}"/>
    <cellStyle name="쉼표 [0] 16 2 2 4" xfId="9814" xr:uid="{00000000-0005-0000-0000-0000E9260000}"/>
    <cellStyle name="쉼표 [0] 16 2 2 4 2" xfId="9815" xr:uid="{00000000-0005-0000-0000-0000EA260000}"/>
    <cellStyle name="쉼표 [0] 16 2 2 5" xfId="9816" xr:uid="{00000000-0005-0000-0000-0000EB260000}"/>
    <cellStyle name="쉼표 [0] 16 2 3" xfId="9817" xr:uid="{00000000-0005-0000-0000-0000EC260000}"/>
    <cellStyle name="쉼표 [0] 16 2 3 2" xfId="9818" xr:uid="{00000000-0005-0000-0000-0000ED260000}"/>
    <cellStyle name="쉼표 [0] 16 2 3 2 2" xfId="9819" xr:uid="{00000000-0005-0000-0000-0000EE260000}"/>
    <cellStyle name="쉼표 [0] 16 2 3 3" xfId="9820" xr:uid="{00000000-0005-0000-0000-0000EF260000}"/>
    <cellStyle name="쉼표 [0] 16 2 4" xfId="9821" xr:uid="{00000000-0005-0000-0000-0000F0260000}"/>
    <cellStyle name="쉼표 [0] 16 3" xfId="9822" xr:uid="{00000000-0005-0000-0000-0000F1260000}"/>
    <cellStyle name="쉼표 [0] 16 3 2" xfId="9823" xr:uid="{00000000-0005-0000-0000-0000F2260000}"/>
    <cellStyle name="쉼표 [0] 16 4" xfId="9824" xr:uid="{00000000-0005-0000-0000-0000F3260000}"/>
    <cellStyle name="쉼표 [0] 16 4 2" xfId="9825" xr:uid="{00000000-0005-0000-0000-0000F4260000}"/>
    <cellStyle name="쉼표 [0] 16 5" xfId="9826" xr:uid="{00000000-0005-0000-0000-0000F5260000}"/>
    <cellStyle name="쉼표 [0] 16 5 2" xfId="9827" xr:uid="{00000000-0005-0000-0000-0000F6260000}"/>
    <cellStyle name="쉼표 [0] 17" xfId="5" xr:uid="{00000000-0005-0000-0000-0000F7260000}"/>
    <cellStyle name="쉼표 [0] 18 2" xfId="9828" xr:uid="{00000000-0005-0000-0000-0000F8260000}"/>
    <cellStyle name="쉼표 [0] 18 2 2" xfId="9829" xr:uid="{00000000-0005-0000-0000-0000F9260000}"/>
    <cellStyle name="쉼표 [0] 2" xfId="4" xr:uid="{00000000-0005-0000-0000-0000FA260000}"/>
    <cellStyle name="쉼표 [0] 2 10" xfId="9830" xr:uid="{00000000-0005-0000-0000-0000FB260000}"/>
    <cellStyle name="쉼표 [0] 2 10 2" xfId="9831" xr:uid="{00000000-0005-0000-0000-0000FC260000}"/>
    <cellStyle name="쉼표 [0] 2 10 2 2" xfId="9832" xr:uid="{00000000-0005-0000-0000-0000FD260000}"/>
    <cellStyle name="쉼표 [0] 2 10 3" xfId="9833" xr:uid="{00000000-0005-0000-0000-0000FE260000}"/>
    <cellStyle name="쉼표 [0] 2 10 3 2" xfId="9834" xr:uid="{00000000-0005-0000-0000-0000FF260000}"/>
    <cellStyle name="쉼표 [0] 2 10 4" xfId="9835" xr:uid="{00000000-0005-0000-0000-000000270000}"/>
    <cellStyle name="쉼표 [0] 2 10 4 2" xfId="9836" xr:uid="{00000000-0005-0000-0000-000001270000}"/>
    <cellStyle name="쉼표 [0] 2 10 5" xfId="9837" xr:uid="{00000000-0005-0000-0000-000002270000}"/>
    <cellStyle name="쉼표 [0] 2 10 5 2" xfId="9838" xr:uid="{00000000-0005-0000-0000-000003270000}"/>
    <cellStyle name="쉼표 [0] 2 10 6" xfId="9839" xr:uid="{00000000-0005-0000-0000-000004270000}"/>
    <cellStyle name="쉼표 [0] 2 10 6 2" xfId="9840" xr:uid="{00000000-0005-0000-0000-000005270000}"/>
    <cellStyle name="쉼표 [0] 2 10 7" xfId="9841" xr:uid="{00000000-0005-0000-0000-000006270000}"/>
    <cellStyle name="쉼표 [0] 2 10 7 2" xfId="9842" xr:uid="{00000000-0005-0000-0000-000007270000}"/>
    <cellStyle name="쉼표 [0] 2 10 8" xfId="9843" xr:uid="{00000000-0005-0000-0000-000008270000}"/>
    <cellStyle name="쉼표 [0] 2 10 8 2" xfId="9844" xr:uid="{00000000-0005-0000-0000-000009270000}"/>
    <cellStyle name="쉼표 [0] 2 11" xfId="9845" xr:uid="{00000000-0005-0000-0000-00000A270000}"/>
    <cellStyle name="쉼표 [0] 2 11 2" xfId="9846" xr:uid="{00000000-0005-0000-0000-00000B270000}"/>
    <cellStyle name="쉼표 [0] 2 11 2 2" xfId="9847" xr:uid="{00000000-0005-0000-0000-00000C270000}"/>
    <cellStyle name="쉼표 [0] 2 11 3" xfId="9848" xr:uid="{00000000-0005-0000-0000-00000D270000}"/>
    <cellStyle name="쉼표 [0] 2 11 3 2" xfId="9849" xr:uid="{00000000-0005-0000-0000-00000E270000}"/>
    <cellStyle name="쉼표 [0] 2 11 4" xfId="9850" xr:uid="{00000000-0005-0000-0000-00000F270000}"/>
    <cellStyle name="쉼표 [0] 2 11 4 2" xfId="9851" xr:uid="{00000000-0005-0000-0000-000010270000}"/>
    <cellStyle name="쉼표 [0] 2 11 5" xfId="9852" xr:uid="{00000000-0005-0000-0000-000011270000}"/>
    <cellStyle name="쉼표 [0] 2 11 5 2" xfId="9853" xr:uid="{00000000-0005-0000-0000-000012270000}"/>
    <cellStyle name="쉼표 [0] 2 11 6" xfId="9854" xr:uid="{00000000-0005-0000-0000-000013270000}"/>
    <cellStyle name="쉼표 [0] 2 11 6 2" xfId="9855" xr:uid="{00000000-0005-0000-0000-000014270000}"/>
    <cellStyle name="쉼표 [0] 2 11 7" xfId="9856" xr:uid="{00000000-0005-0000-0000-000015270000}"/>
    <cellStyle name="쉼표 [0] 2 12" xfId="9857" xr:uid="{00000000-0005-0000-0000-000016270000}"/>
    <cellStyle name="쉼표 [0] 2 12 2" xfId="9858" xr:uid="{00000000-0005-0000-0000-000017270000}"/>
    <cellStyle name="쉼표 [0] 2 12 2 2" xfId="9859" xr:uid="{00000000-0005-0000-0000-000018270000}"/>
    <cellStyle name="쉼표 [0] 2 12 3" xfId="9860" xr:uid="{00000000-0005-0000-0000-000019270000}"/>
    <cellStyle name="쉼표 [0] 2 12 3 2" xfId="9861" xr:uid="{00000000-0005-0000-0000-00001A270000}"/>
    <cellStyle name="쉼표 [0] 2 12 4" xfId="9862" xr:uid="{00000000-0005-0000-0000-00001B270000}"/>
    <cellStyle name="쉼표 [0] 2 12 4 2" xfId="9863" xr:uid="{00000000-0005-0000-0000-00001C270000}"/>
    <cellStyle name="쉼표 [0] 2 12 5" xfId="9864" xr:uid="{00000000-0005-0000-0000-00001D270000}"/>
    <cellStyle name="쉼표 [0] 2 12 5 2" xfId="9865" xr:uid="{00000000-0005-0000-0000-00001E270000}"/>
    <cellStyle name="쉼표 [0] 2 12 6" xfId="9866" xr:uid="{00000000-0005-0000-0000-00001F270000}"/>
    <cellStyle name="쉼표 [0] 2 12 6 2" xfId="9867" xr:uid="{00000000-0005-0000-0000-000020270000}"/>
    <cellStyle name="쉼표 [0] 2 12 7" xfId="9868" xr:uid="{00000000-0005-0000-0000-000021270000}"/>
    <cellStyle name="쉼표 [0] 2 13" xfId="9869" xr:uid="{00000000-0005-0000-0000-000022270000}"/>
    <cellStyle name="쉼표 [0] 2 13 2" xfId="9870" xr:uid="{00000000-0005-0000-0000-000023270000}"/>
    <cellStyle name="쉼표 [0] 2 13 2 2" xfId="9871" xr:uid="{00000000-0005-0000-0000-000024270000}"/>
    <cellStyle name="쉼표 [0] 2 13 3" xfId="9872" xr:uid="{00000000-0005-0000-0000-000025270000}"/>
    <cellStyle name="쉼표 [0] 2 13 3 2" xfId="9873" xr:uid="{00000000-0005-0000-0000-000026270000}"/>
    <cellStyle name="쉼표 [0] 2 13 4" xfId="9874" xr:uid="{00000000-0005-0000-0000-000027270000}"/>
    <cellStyle name="쉼표 [0] 2 13 4 2" xfId="9875" xr:uid="{00000000-0005-0000-0000-000028270000}"/>
    <cellStyle name="쉼표 [0] 2 13 5" xfId="9876" xr:uid="{00000000-0005-0000-0000-000029270000}"/>
    <cellStyle name="쉼표 [0] 2 13 5 2" xfId="9877" xr:uid="{00000000-0005-0000-0000-00002A270000}"/>
    <cellStyle name="쉼표 [0] 2 13 6" xfId="9878" xr:uid="{00000000-0005-0000-0000-00002B270000}"/>
    <cellStyle name="쉼표 [0] 2 13 6 2" xfId="9879" xr:uid="{00000000-0005-0000-0000-00002C270000}"/>
    <cellStyle name="쉼표 [0] 2 13 7" xfId="9880" xr:uid="{00000000-0005-0000-0000-00002D270000}"/>
    <cellStyle name="쉼표 [0] 2 14" xfId="9881" xr:uid="{00000000-0005-0000-0000-00002E270000}"/>
    <cellStyle name="쉼표 [0] 2 14 2" xfId="9882" xr:uid="{00000000-0005-0000-0000-00002F270000}"/>
    <cellStyle name="쉼표 [0] 2 14 2 2" xfId="9883" xr:uid="{00000000-0005-0000-0000-000030270000}"/>
    <cellStyle name="쉼표 [0] 2 14 3" xfId="9884" xr:uid="{00000000-0005-0000-0000-000031270000}"/>
    <cellStyle name="쉼표 [0] 2 14 3 2" xfId="9885" xr:uid="{00000000-0005-0000-0000-000032270000}"/>
    <cellStyle name="쉼표 [0] 2 14 4" xfId="9886" xr:uid="{00000000-0005-0000-0000-000033270000}"/>
    <cellStyle name="쉼표 [0] 2 14 4 2" xfId="9887" xr:uid="{00000000-0005-0000-0000-000034270000}"/>
    <cellStyle name="쉼표 [0] 2 14 5" xfId="9888" xr:uid="{00000000-0005-0000-0000-000035270000}"/>
    <cellStyle name="쉼표 [0] 2 14 5 2" xfId="9889" xr:uid="{00000000-0005-0000-0000-000036270000}"/>
    <cellStyle name="쉼표 [0] 2 14 6" xfId="9890" xr:uid="{00000000-0005-0000-0000-000037270000}"/>
    <cellStyle name="쉼표 [0] 2 14 6 2" xfId="9891" xr:uid="{00000000-0005-0000-0000-000038270000}"/>
    <cellStyle name="쉼표 [0] 2 14 7" xfId="9892" xr:uid="{00000000-0005-0000-0000-000039270000}"/>
    <cellStyle name="쉼표 [0] 2 15" xfId="9893" xr:uid="{00000000-0005-0000-0000-00003A270000}"/>
    <cellStyle name="쉼표 [0] 2 15 2" xfId="9894" xr:uid="{00000000-0005-0000-0000-00003B270000}"/>
    <cellStyle name="쉼표 [0] 2 15 2 2" xfId="9895" xr:uid="{00000000-0005-0000-0000-00003C270000}"/>
    <cellStyle name="쉼표 [0] 2 15 3" xfId="9896" xr:uid="{00000000-0005-0000-0000-00003D270000}"/>
    <cellStyle name="쉼표 [0] 2 15 3 2" xfId="9897" xr:uid="{00000000-0005-0000-0000-00003E270000}"/>
    <cellStyle name="쉼표 [0] 2 15 4" xfId="9898" xr:uid="{00000000-0005-0000-0000-00003F270000}"/>
    <cellStyle name="쉼표 [0] 2 15 4 2" xfId="9899" xr:uid="{00000000-0005-0000-0000-000040270000}"/>
    <cellStyle name="쉼표 [0] 2 15 5" xfId="9900" xr:uid="{00000000-0005-0000-0000-000041270000}"/>
    <cellStyle name="쉼표 [0] 2 15 5 2" xfId="9901" xr:uid="{00000000-0005-0000-0000-000042270000}"/>
    <cellStyle name="쉼표 [0] 2 15 6" xfId="9902" xr:uid="{00000000-0005-0000-0000-000043270000}"/>
    <cellStyle name="쉼표 [0] 2 15 6 2" xfId="9903" xr:uid="{00000000-0005-0000-0000-000044270000}"/>
    <cellStyle name="쉼표 [0] 2 15 7" xfId="9904" xr:uid="{00000000-0005-0000-0000-000045270000}"/>
    <cellStyle name="쉼표 [0] 2 16" xfId="9905" xr:uid="{00000000-0005-0000-0000-000046270000}"/>
    <cellStyle name="쉼표 [0] 2 16 2" xfId="9906" xr:uid="{00000000-0005-0000-0000-000047270000}"/>
    <cellStyle name="쉼표 [0] 2 16 2 2" xfId="9907" xr:uid="{00000000-0005-0000-0000-000048270000}"/>
    <cellStyle name="쉼표 [0] 2 16 3" xfId="9908" xr:uid="{00000000-0005-0000-0000-000049270000}"/>
    <cellStyle name="쉼표 [0] 2 16 3 2" xfId="9909" xr:uid="{00000000-0005-0000-0000-00004A270000}"/>
    <cellStyle name="쉼표 [0] 2 16 4" xfId="9910" xr:uid="{00000000-0005-0000-0000-00004B270000}"/>
    <cellStyle name="쉼표 [0] 2 16 4 2" xfId="9911" xr:uid="{00000000-0005-0000-0000-00004C270000}"/>
    <cellStyle name="쉼표 [0] 2 16 5" xfId="9912" xr:uid="{00000000-0005-0000-0000-00004D270000}"/>
    <cellStyle name="쉼표 [0] 2 16 5 2" xfId="9913" xr:uid="{00000000-0005-0000-0000-00004E270000}"/>
    <cellStyle name="쉼표 [0] 2 16 6" xfId="9914" xr:uid="{00000000-0005-0000-0000-00004F270000}"/>
    <cellStyle name="쉼표 [0] 2 16 6 2" xfId="9915" xr:uid="{00000000-0005-0000-0000-000050270000}"/>
    <cellStyle name="쉼표 [0] 2 16 7" xfId="9916" xr:uid="{00000000-0005-0000-0000-000051270000}"/>
    <cellStyle name="쉼표 [0] 2 17" xfId="9917" xr:uid="{00000000-0005-0000-0000-000052270000}"/>
    <cellStyle name="쉼표 [0] 2 17 2" xfId="9918" xr:uid="{00000000-0005-0000-0000-000053270000}"/>
    <cellStyle name="쉼표 [0] 2 17 2 2" xfId="9919" xr:uid="{00000000-0005-0000-0000-000054270000}"/>
    <cellStyle name="쉼표 [0] 2 17 3" xfId="9920" xr:uid="{00000000-0005-0000-0000-000055270000}"/>
    <cellStyle name="쉼표 [0] 2 17 3 2" xfId="9921" xr:uid="{00000000-0005-0000-0000-000056270000}"/>
    <cellStyle name="쉼표 [0] 2 17 4" xfId="9922" xr:uid="{00000000-0005-0000-0000-000057270000}"/>
    <cellStyle name="쉼표 [0] 2 17 4 2" xfId="9923" xr:uid="{00000000-0005-0000-0000-000058270000}"/>
    <cellStyle name="쉼표 [0] 2 17 5" xfId="9924" xr:uid="{00000000-0005-0000-0000-000059270000}"/>
    <cellStyle name="쉼표 [0] 2 17 5 2" xfId="9925" xr:uid="{00000000-0005-0000-0000-00005A270000}"/>
    <cellStyle name="쉼표 [0] 2 17 6" xfId="9926" xr:uid="{00000000-0005-0000-0000-00005B270000}"/>
    <cellStyle name="쉼표 [0] 2 17 6 2" xfId="9927" xr:uid="{00000000-0005-0000-0000-00005C270000}"/>
    <cellStyle name="쉼표 [0] 2 17 7" xfId="9928" xr:uid="{00000000-0005-0000-0000-00005D270000}"/>
    <cellStyle name="쉼표 [0] 2 18" xfId="9929" xr:uid="{00000000-0005-0000-0000-00005E270000}"/>
    <cellStyle name="쉼표 [0] 2 18 2" xfId="9930" xr:uid="{00000000-0005-0000-0000-00005F270000}"/>
    <cellStyle name="쉼표 [0] 2 18 2 2" xfId="9931" xr:uid="{00000000-0005-0000-0000-000060270000}"/>
    <cellStyle name="쉼표 [0] 2 18 3" xfId="9932" xr:uid="{00000000-0005-0000-0000-000061270000}"/>
    <cellStyle name="쉼표 [0] 2 18 3 2" xfId="9933" xr:uid="{00000000-0005-0000-0000-000062270000}"/>
    <cellStyle name="쉼표 [0] 2 18 4" xfId="9934" xr:uid="{00000000-0005-0000-0000-000063270000}"/>
    <cellStyle name="쉼표 [0] 2 18 4 2" xfId="9935" xr:uid="{00000000-0005-0000-0000-000064270000}"/>
    <cellStyle name="쉼표 [0] 2 18 5" xfId="9936" xr:uid="{00000000-0005-0000-0000-000065270000}"/>
    <cellStyle name="쉼표 [0] 2 18 5 2" xfId="9937" xr:uid="{00000000-0005-0000-0000-000066270000}"/>
    <cellStyle name="쉼표 [0] 2 18 6" xfId="9938" xr:uid="{00000000-0005-0000-0000-000067270000}"/>
    <cellStyle name="쉼표 [0] 2 18 6 2" xfId="9939" xr:uid="{00000000-0005-0000-0000-000068270000}"/>
    <cellStyle name="쉼표 [0] 2 18 7" xfId="9940" xr:uid="{00000000-0005-0000-0000-000069270000}"/>
    <cellStyle name="쉼표 [0] 2 19" xfId="9941" xr:uid="{00000000-0005-0000-0000-00006A270000}"/>
    <cellStyle name="쉼표 [0] 2 19 2" xfId="9942" xr:uid="{00000000-0005-0000-0000-00006B270000}"/>
    <cellStyle name="쉼표 [0] 2 19 2 2" xfId="9943" xr:uid="{00000000-0005-0000-0000-00006C270000}"/>
    <cellStyle name="쉼표 [0] 2 19 3" xfId="9944" xr:uid="{00000000-0005-0000-0000-00006D270000}"/>
    <cellStyle name="쉼표 [0] 2 19 3 2" xfId="9945" xr:uid="{00000000-0005-0000-0000-00006E270000}"/>
    <cellStyle name="쉼표 [0] 2 19 4" xfId="9946" xr:uid="{00000000-0005-0000-0000-00006F270000}"/>
    <cellStyle name="쉼표 [0] 2 19 4 2" xfId="9947" xr:uid="{00000000-0005-0000-0000-000070270000}"/>
    <cellStyle name="쉼표 [0] 2 19 5" xfId="9948" xr:uid="{00000000-0005-0000-0000-000071270000}"/>
    <cellStyle name="쉼표 [0] 2 19 5 2" xfId="9949" xr:uid="{00000000-0005-0000-0000-000072270000}"/>
    <cellStyle name="쉼표 [0] 2 19 6" xfId="9950" xr:uid="{00000000-0005-0000-0000-000073270000}"/>
    <cellStyle name="쉼표 [0] 2 19 6 2" xfId="9951" xr:uid="{00000000-0005-0000-0000-000074270000}"/>
    <cellStyle name="쉼표 [0] 2 19 7" xfId="9952" xr:uid="{00000000-0005-0000-0000-000075270000}"/>
    <cellStyle name="쉼표 [0] 2 2" xfId="9953" xr:uid="{00000000-0005-0000-0000-000076270000}"/>
    <cellStyle name="쉼표 [0] 2 2 10" xfId="9954" xr:uid="{00000000-0005-0000-0000-000077270000}"/>
    <cellStyle name="쉼표 [0] 2 2 10 2" xfId="9955" xr:uid="{00000000-0005-0000-0000-000078270000}"/>
    <cellStyle name="쉼표 [0] 2 2 10 2 2" xfId="9956" xr:uid="{00000000-0005-0000-0000-000079270000}"/>
    <cellStyle name="쉼표 [0] 2 2 10 3" xfId="9957" xr:uid="{00000000-0005-0000-0000-00007A270000}"/>
    <cellStyle name="쉼표 [0] 2 2 10 3 2" xfId="9958" xr:uid="{00000000-0005-0000-0000-00007B270000}"/>
    <cellStyle name="쉼표 [0] 2 2 10 4" xfId="9959" xr:uid="{00000000-0005-0000-0000-00007C270000}"/>
    <cellStyle name="쉼표 [0] 2 2 10 4 2" xfId="9960" xr:uid="{00000000-0005-0000-0000-00007D270000}"/>
    <cellStyle name="쉼표 [0] 2 2 10 5" xfId="9961" xr:uid="{00000000-0005-0000-0000-00007E270000}"/>
    <cellStyle name="쉼표 [0] 2 2 10 5 2" xfId="9962" xr:uid="{00000000-0005-0000-0000-00007F270000}"/>
    <cellStyle name="쉼표 [0] 2 2 10 6" xfId="9963" xr:uid="{00000000-0005-0000-0000-000080270000}"/>
    <cellStyle name="쉼표 [0] 2 2 10 6 2" xfId="9964" xr:uid="{00000000-0005-0000-0000-000081270000}"/>
    <cellStyle name="쉼표 [0] 2 2 10 7" xfId="9965" xr:uid="{00000000-0005-0000-0000-000082270000}"/>
    <cellStyle name="쉼표 [0] 2 2 11" xfId="9966" xr:uid="{00000000-0005-0000-0000-000083270000}"/>
    <cellStyle name="쉼표 [0] 2 2 11 2" xfId="9967" xr:uid="{00000000-0005-0000-0000-000084270000}"/>
    <cellStyle name="쉼표 [0] 2 2 11 2 2" xfId="9968" xr:uid="{00000000-0005-0000-0000-000085270000}"/>
    <cellStyle name="쉼표 [0] 2 2 11 3" xfId="9969" xr:uid="{00000000-0005-0000-0000-000086270000}"/>
    <cellStyle name="쉼표 [0] 2 2 11 3 2" xfId="9970" xr:uid="{00000000-0005-0000-0000-000087270000}"/>
    <cellStyle name="쉼표 [0] 2 2 11 4" xfId="9971" xr:uid="{00000000-0005-0000-0000-000088270000}"/>
    <cellStyle name="쉼표 [0] 2 2 11 4 2" xfId="9972" xr:uid="{00000000-0005-0000-0000-000089270000}"/>
    <cellStyle name="쉼표 [0] 2 2 11 5" xfId="9973" xr:uid="{00000000-0005-0000-0000-00008A270000}"/>
    <cellStyle name="쉼표 [0] 2 2 11 5 2" xfId="9974" xr:uid="{00000000-0005-0000-0000-00008B270000}"/>
    <cellStyle name="쉼표 [0] 2 2 11 6" xfId="9975" xr:uid="{00000000-0005-0000-0000-00008C270000}"/>
    <cellStyle name="쉼표 [0] 2 2 11 6 2" xfId="9976" xr:uid="{00000000-0005-0000-0000-00008D270000}"/>
    <cellStyle name="쉼표 [0] 2 2 11 7" xfId="9977" xr:uid="{00000000-0005-0000-0000-00008E270000}"/>
    <cellStyle name="쉼표 [0] 2 2 12" xfId="9978" xr:uid="{00000000-0005-0000-0000-00008F270000}"/>
    <cellStyle name="쉼표 [0] 2 2 12 2" xfId="9979" xr:uid="{00000000-0005-0000-0000-000090270000}"/>
    <cellStyle name="쉼표 [0] 2 2 12 2 2" xfId="9980" xr:uid="{00000000-0005-0000-0000-000091270000}"/>
    <cellStyle name="쉼표 [0] 2 2 12 3" xfId="9981" xr:uid="{00000000-0005-0000-0000-000092270000}"/>
    <cellStyle name="쉼표 [0] 2 2 12 3 2" xfId="9982" xr:uid="{00000000-0005-0000-0000-000093270000}"/>
    <cellStyle name="쉼표 [0] 2 2 12 4" xfId="9983" xr:uid="{00000000-0005-0000-0000-000094270000}"/>
    <cellStyle name="쉼표 [0] 2 2 12 4 2" xfId="9984" xr:uid="{00000000-0005-0000-0000-000095270000}"/>
    <cellStyle name="쉼표 [0] 2 2 12 5" xfId="9985" xr:uid="{00000000-0005-0000-0000-000096270000}"/>
    <cellStyle name="쉼표 [0] 2 2 12 5 2" xfId="9986" xr:uid="{00000000-0005-0000-0000-000097270000}"/>
    <cellStyle name="쉼표 [0] 2 2 12 6" xfId="9987" xr:uid="{00000000-0005-0000-0000-000098270000}"/>
    <cellStyle name="쉼표 [0] 2 2 12 6 2" xfId="9988" xr:uid="{00000000-0005-0000-0000-000099270000}"/>
    <cellStyle name="쉼표 [0] 2 2 12 7" xfId="9989" xr:uid="{00000000-0005-0000-0000-00009A270000}"/>
    <cellStyle name="쉼표 [0] 2 2 13" xfId="9990" xr:uid="{00000000-0005-0000-0000-00009B270000}"/>
    <cellStyle name="쉼표 [0] 2 2 13 2" xfId="9991" xr:uid="{00000000-0005-0000-0000-00009C270000}"/>
    <cellStyle name="쉼표 [0] 2 2 13 2 2" xfId="9992" xr:uid="{00000000-0005-0000-0000-00009D270000}"/>
    <cellStyle name="쉼표 [0] 2 2 13 3" xfId="9993" xr:uid="{00000000-0005-0000-0000-00009E270000}"/>
    <cellStyle name="쉼표 [0] 2 2 13 3 2" xfId="9994" xr:uid="{00000000-0005-0000-0000-00009F270000}"/>
    <cellStyle name="쉼표 [0] 2 2 13 4" xfId="9995" xr:uid="{00000000-0005-0000-0000-0000A0270000}"/>
    <cellStyle name="쉼표 [0] 2 2 13 4 2" xfId="9996" xr:uid="{00000000-0005-0000-0000-0000A1270000}"/>
    <cellStyle name="쉼표 [0] 2 2 13 5" xfId="9997" xr:uid="{00000000-0005-0000-0000-0000A2270000}"/>
    <cellStyle name="쉼표 [0] 2 2 13 5 2" xfId="9998" xr:uid="{00000000-0005-0000-0000-0000A3270000}"/>
    <cellStyle name="쉼표 [0] 2 2 13 6" xfId="9999" xr:uid="{00000000-0005-0000-0000-0000A4270000}"/>
    <cellStyle name="쉼표 [0] 2 2 13 6 2" xfId="10000" xr:uid="{00000000-0005-0000-0000-0000A5270000}"/>
    <cellStyle name="쉼표 [0] 2 2 13 7" xfId="10001" xr:uid="{00000000-0005-0000-0000-0000A6270000}"/>
    <cellStyle name="쉼표 [0] 2 2 14" xfId="10002" xr:uid="{00000000-0005-0000-0000-0000A7270000}"/>
    <cellStyle name="쉼표 [0] 2 2 14 2" xfId="10003" xr:uid="{00000000-0005-0000-0000-0000A8270000}"/>
    <cellStyle name="쉼표 [0] 2 2 14 2 2" xfId="10004" xr:uid="{00000000-0005-0000-0000-0000A9270000}"/>
    <cellStyle name="쉼표 [0] 2 2 14 3" xfId="10005" xr:uid="{00000000-0005-0000-0000-0000AA270000}"/>
    <cellStyle name="쉼표 [0] 2 2 14 3 2" xfId="10006" xr:uid="{00000000-0005-0000-0000-0000AB270000}"/>
    <cellStyle name="쉼표 [0] 2 2 14 4" xfId="10007" xr:uid="{00000000-0005-0000-0000-0000AC270000}"/>
    <cellStyle name="쉼표 [0] 2 2 14 4 2" xfId="10008" xr:uid="{00000000-0005-0000-0000-0000AD270000}"/>
    <cellStyle name="쉼표 [0] 2 2 14 5" xfId="10009" xr:uid="{00000000-0005-0000-0000-0000AE270000}"/>
    <cellStyle name="쉼표 [0] 2 2 14 5 2" xfId="10010" xr:uid="{00000000-0005-0000-0000-0000AF270000}"/>
    <cellStyle name="쉼표 [0] 2 2 14 6" xfId="10011" xr:uid="{00000000-0005-0000-0000-0000B0270000}"/>
    <cellStyle name="쉼표 [0] 2 2 14 6 2" xfId="10012" xr:uid="{00000000-0005-0000-0000-0000B1270000}"/>
    <cellStyle name="쉼표 [0] 2 2 14 7" xfId="10013" xr:uid="{00000000-0005-0000-0000-0000B2270000}"/>
    <cellStyle name="쉼표 [0] 2 2 15" xfId="10014" xr:uid="{00000000-0005-0000-0000-0000B3270000}"/>
    <cellStyle name="쉼표 [0] 2 2 15 2" xfId="10015" xr:uid="{00000000-0005-0000-0000-0000B4270000}"/>
    <cellStyle name="쉼표 [0] 2 2 15 2 2" xfId="10016" xr:uid="{00000000-0005-0000-0000-0000B5270000}"/>
    <cellStyle name="쉼표 [0] 2 2 15 3" xfId="10017" xr:uid="{00000000-0005-0000-0000-0000B6270000}"/>
    <cellStyle name="쉼표 [0] 2 2 15 3 2" xfId="10018" xr:uid="{00000000-0005-0000-0000-0000B7270000}"/>
    <cellStyle name="쉼표 [0] 2 2 15 4" xfId="10019" xr:uid="{00000000-0005-0000-0000-0000B8270000}"/>
    <cellStyle name="쉼표 [0] 2 2 15 4 2" xfId="10020" xr:uid="{00000000-0005-0000-0000-0000B9270000}"/>
    <cellStyle name="쉼표 [0] 2 2 15 5" xfId="10021" xr:uid="{00000000-0005-0000-0000-0000BA270000}"/>
    <cellStyle name="쉼표 [0] 2 2 15 5 2" xfId="10022" xr:uid="{00000000-0005-0000-0000-0000BB270000}"/>
    <cellStyle name="쉼표 [0] 2 2 15 6" xfId="10023" xr:uid="{00000000-0005-0000-0000-0000BC270000}"/>
    <cellStyle name="쉼표 [0] 2 2 15 6 2" xfId="10024" xr:uid="{00000000-0005-0000-0000-0000BD270000}"/>
    <cellStyle name="쉼표 [0] 2 2 15 7" xfId="10025" xr:uid="{00000000-0005-0000-0000-0000BE270000}"/>
    <cellStyle name="쉼표 [0] 2 2 16" xfId="10026" xr:uid="{00000000-0005-0000-0000-0000BF270000}"/>
    <cellStyle name="쉼표 [0] 2 2 16 2" xfId="10027" xr:uid="{00000000-0005-0000-0000-0000C0270000}"/>
    <cellStyle name="쉼표 [0] 2 2 16 2 2" xfId="10028" xr:uid="{00000000-0005-0000-0000-0000C1270000}"/>
    <cellStyle name="쉼표 [0] 2 2 16 3" xfId="10029" xr:uid="{00000000-0005-0000-0000-0000C2270000}"/>
    <cellStyle name="쉼표 [0] 2 2 16 3 2" xfId="10030" xr:uid="{00000000-0005-0000-0000-0000C3270000}"/>
    <cellStyle name="쉼표 [0] 2 2 16 4" xfId="10031" xr:uid="{00000000-0005-0000-0000-0000C4270000}"/>
    <cellStyle name="쉼표 [0] 2 2 16 4 2" xfId="10032" xr:uid="{00000000-0005-0000-0000-0000C5270000}"/>
    <cellStyle name="쉼표 [0] 2 2 16 5" xfId="10033" xr:uid="{00000000-0005-0000-0000-0000C6270000}"/>
    <cellStyle name="쉼표 [0] 2 2 16 5 2" xfId="10034" xr:uid="{00000000-0005-0000-0000-0000C7270000}"/>
    <cellStyle name="쉼표 [0] 2 2 16 6" xfId="10035" xr:uid="{00000000-0005-0000-0000-0000C8270000}"/>
    <cellStyle name="쉼표 [0] 2 2 16 6 2" xfId="10036" xr:uid="{00000000-0005-0000-0000-0000C9270000}"/>
    <cellStyle name="쉼표 [0] 2 2 16 7" xfId="10037" xr:uid="{00000000-0005-0000-0000-0000CA270000}"/>
    <cellStyle name="쉼표 [0] 2 2 17" xfId="10038" xr:uid="{00000000-0005-0000-0000-0000CB270000}"/>
    <cellStyle name="쉼표 [0] 2 2 17 2" xfId="10039" xr:uid="{00000000-0005-0000-0000-0000CC270000}"/>
    <cellStyle name="쉼표 [0] 2 2 17 2 2" xfId="10040" xr:uid="{00000000-0005-0000-0000-0000CD270000}"/>
    <cellStyle name="쉼표 [0] 2 2 17 3" xfId="10041" xr:uid="{00000000-0005-0000-0000-0000CE270000}"/>
    <cellStyle name="쉼표 [0] 2 2 17 3 2" xfId="10042" xr:uid="{00000000-0005-0000-0000-0000CF270000}"/>
    <cellStyle name="쉼표 [0] 2 2 17 4" xfId="10043" xr:uid="{00000000-0005-0000-0000-0000D0270000}"/>
    <cellStyle name="쉼표 [0] 2 2 17 4 2" xfId="10044" xr:uid="{00000000-0005-0000-0000-0000D1270000}"/>
    <cellStyle name="쉼표 [0] 2 2 17 5" xfId="10045" xr:uid="{00000000-0005-0000-0000-0000D2270000}"/>
    <cellStyle name="쉼표 [0] 2 2 17 5 2" xfId="10046" xr:uid="{00000000-0005-0000-0000-0000D3270000}"/>
    <cellStyle name="쉼표 [0] 2 2 17 6" xfId="10047" xr:uid="{00000000-0005-0000-0000-0000D4270000}"/>
    <cellStyle name="쉼표 [0] 2 2 17 6 2" xfId="10048" xr:uid="{00000000-0005-0000-0000-0000D5270000}"/>
    <cellStyle name="쉼표 [0] 2 2 17 7" xfId="10049" xr:uid="{00000000-0005-0000-0000-0000D6270000}"/>
    <cellStyle name="쉼표 [0] 2 2 18" xfId="10050" xr:uid="{00000000-0005-0000-0000-0000D7270000}"/>
    <cellStyle name="쉼표 [0] 2 2 18 2" xfId="10051" xr:uid="{00000000-0005-0000-0000-0000D8270000}"/>
    <cellStyle name="쉼표 [0] 2 2 18 2 2" xfId="10052" xr:uid="{00000000-0005-0000-0000-0000D9270000}"/>
    <cellStyle name="쉼표 [0] 2 2 18 3" xfId="10053" xr:uid="{00000000-0005-0000-0000-0000DA270000}"/>
    <cellStyle name="쉼표 [0] 2 2 18 3 2" xfId="10054" xr:uid="{00000000-0005-0000-0000-0000DB270000}"/>
    <cellStyle name="쉼표 [0] 2 2 18 4" xfId="10055" xr:uid="{00000000-0005-0000-0000-0000DC270000}"/>
    <cellStyle name="쉼표 [0] 2 2 18 4 2" xfId="10056" xr:uid="{00000000-0005-0000-0000-0000DD270000}"/>
    <cellStyle name="쉼표 [0] 2 2 18 5" xfId="10057" xr:uid="{00000000-0005-0000-0000-0000DE270000}"/>
    <cellStyle name="쉼표 [0] 2 2 18 5 2" xfId="10058" xr:uid="{00000000-0005-0000-0000-0000DF270000}"/>
    <cellStyle name="쉼표 [0] 2 2 18 6" xfId="10059" xr:uid="{00000000-0005-0000-0000-0000E0270000}"/>
    <cellStyle name="쉼표 [0] 2 2 18 6 2" xfId="10060" xr:uid="{00000000-0005-0000-0000-0000E1270000}"/>
    <cellStyle name="쉼표 [0] 2 2 18 7" xfId="10061" xr:uid="{00000000-0005-0000-0000-0000E2270000}"/>
    <cellStyle name="쉼표 [0] 2 2 19" xfId="10062" xr:uid="{00000000-0005-0000-0000-0000E3270000}"/>
    <cellStyle name="쉼표 [0] 2 2 19 2" xfId="10063" xr:uid="{00000000-0005-0000-0000-0000E4270000}"/>
    <cellStyle name="쉼표 [0] 2 2 19 2 2" xfId="10064" xr:uid="{00000000-0005-0000-0000-0000E5270000}"/>
    <cellStyle name="쉼표 [0] 2 2 19 3" xfId="10065" xr:uid="{00000000-0005-0000-0000-0000E6270000}"/>
    <cellStyle name="쉼표 [0] 2 2 19 3 2" xfId="10066" xr:uid="{00000000-0005-0000-0000-0000E7270000}"/>
    <cellStyle name="쉼표 [0] 2 2 19 4" xfId="10067" xr:uid="{00000000-0005-0000-0000-0000E8270000}"/>
    <cellStyle name="쉼표 [0] 2 2 19 4 2" xfId="10068" xr:uid="{00000000-0005-0000-0000-0000E9270000}"/>
    <cellStyle name="쉼표 [0] 2 2 19 5" xfId="10069" xr:uid="{00000000-0005-0000-0000-0000EA270000}"/>
    <cellStyle name="쉼표 [0] 2 2 19 5 2" xfId="10070" xr:uid="{00000000-0005-0000-0000-0000EB270000}"/>
    <cellStyle name="쉼표 [0] 2 2 19 6" xfId="10071" xr:uid="{00000000-0005-0000-0000-0000EC270000}"/>
    <cellStyle name="쉼표 [0] 2 2 19 6 2" xfId="10072" xr:uid="{00000000-0005-0000-0000-0000ED270000}"/>
    <cellStyle name="쉼표 [0] 2 2 19 7" xfId="10073" xr:uid="{00000000-0005-0000-0000-0000EE270000}"/>
    <cellStyle name="쉼표 [0] 2 2 2" xfId="10074" xr:uid="{00000000-0005-0000-0000-0000EF270000}"/>
    <cellStyle name="쉼표 [0] 2 2 2 2" xfId="10075" xr:uid="{00000000-0005-0000-0000-0000F0270000}"/>
    <cellStyle name="쉼표 [0] 2 2 2 2 2" xfId="10076" xr:uid="{00000000-0005-0000-0000-0000F1270000}"/>
    <cellStyle name="쉼표 [0] 2 2 2 2 2 2" xfId="10077" xr:uid="{00000000-0005-0000-0000-0000F2270000}"/>
    <cellStyle name="쉼표 [0] 2 2 2 2 3" xfId="10078" xr:uid="{00000000-0005-0000-0000-0000F3270000}"/>
    <cellStyle name="쉼표 [0] 2 2 2 3" xfId="10079" xr:uid="{00000000-0005-0000-0000-0000F4270000}"/>
    <cellStyle name="쉼표 [0] 2 2 2 3 2" xfId="10080" xr:uid="{00000000-0005-0000-0000-0000F5270000}"/>
    <cellStyle name="쉼표 [0] 2 2 2 4" xfId="10081" xr:uid="{00000000-0005-0000-0000-0000F6270000}"/>
    <cellStyle name="쉼표 [0] 2 2 2 4 2" xfId="10082" xr:uid="{00000000-0005-0000-0000-0000F7270000}"/>
    <cellStyle name="쉼표 [0] 2 2 2 5" xfId="10083" xr:uid="{00000000-0005-0000-0000-0000F8270000}"/>
    <cellStyle name="쉼표 [0] 2 2 2 5 2" xfId="10084" xr:uid="{00000000-0005-0000-0000-0000F9270000}"/>
    <cellStyle name="쉼표 [0] 2 2 2 6" xfId="10085" xr:uid="{00000000-0005-0000-0000-0000FA270000}"/>
    <cellStyle name="쉼표 [0] 2 2 2 6 2" xfId="10086" xr:uid="{00000000-0005-0000-0000-0000FB270000}"/>
    <cellStyle name="쉼표 [0] 2 2 2 7" xfId="10087" xr:uid="{00000000-0005-0000-0000-0000FC270000}"/>
    <cellStyle name="쉼표 [0] 2 2 2 7 2" xfId="10088" xr:uid="{00000000-0005-0000-0000-0000FD270000}"/>
    <cellStyle name="쉼표 [0] 2 2 2 8" xfId="10089" xr:uid="{00000000-0005-0000-0000-0000FE270000}"/>
    <cellStyle name="쉼표 [0] 2 2 2 8 2" xfId="10090" xr:uid="{00000000-0005-0000-0000-0000FF270000}"/>
    <cellStyle name="쉼표 [0] 2 2 2 9" xfId="10091" xr:uid="{00000000-0005-0000-0000-000000280000}"/>
    <cellStyle name="쉼표 [0] 2 2 2 9 2" xfId="10092" xr:uid="{00000000-0005-0000-0000-000001280000}"/>
    <cellStyle name="쉼표 [0] 2 2 20" xfId="10093" xr:uid="{00000000-0005-0000-0000-000002280000}"/>
    <cellStyle name="쉼표 [0] 2 2 20 2" xfId="10094" xr:uid="{00000000-0005-0000-0000-000003280000}"/>
    <cellStyle name="쉼표 [0] 2 2 21" xfId="10095" xr:uid="{00000000-0005-0000-0000-000004280000}"/>
    <cellStyle name="쉼표 [0] 2 2 21 2" xfId="10096" xr:uid="{00000000-0005-0000-0000-000005280000}"/>
    <cellStyle name="쉼표 [0] 2 2 22" xfId="10097" xr:uid="{00000000-0005-0000-0000-000006280000}"/>
    <cellStyle name="쉼표 [0] 2 2 22 2" xfId="10098" xr:uid="{00000000-0005-0000-0000-000007280000}"/>
    <cellStyle name="쉼표 [0] 2 2 23" xfId="10099" xr:uid="{00000000-0005-0000-0000-000008280000}"/>
    <cellStyle name="쉼표 [0] 2 2 23 2" xfId="10100" xr:uid="{00000000-0005-0000-0000-000009280000}"/>
    <cellStyle name="쉼표 [0] 2 2 24" xfId="10101" xr:uid="{00000000-0005-0000-0000-00000A280000}"/>
    <cellStyle name="쉼표 [0] 2 2 25" xfId="10102" xr:uid="{00000000-0005-0000-0000-00000B280000}"/>
    <cellStyle name="쉼표 [0] 2 2 26" xfId="10103" xr:uid="{00000000-0005-0000-0000-00000C280000}"/>
    <cellStyle name="쉼표 [0] 2 2 26 2" xfId="10104" xr:uid="{00000000-0005-0000-0000-00000D280000}"/>
    <cellStyle name="쉼표 [0] 2 2 27" xfId="10105" xr:uid="{00000000-0005-0000-0000-00000E280000}"/>
    <cellStyle name="쉼표 [0] 2 2 27 2" xfId="10106" xr:uid="{00000000-0005-0000-0000-00000F280000}"/>
    <cellStyle name="쉼표 [0] 2 2 28" xfId="10107" xr:uid="{00000000-0005-0000-0000-000010280000}"/>
    <cellStyle name="쉼표 [0] 2 2 28 2" xfId="10108" xr:uid="{00000000-0005-0000-0000-000011280000}"/>
    <cellStyle name="쉼표 [0] 2 2 29" xfId="13" xr:uid="{00000000-0005-0000-0000-000012280000}"/>
    <cellStyle name="쉼표 [0] 2 2 29 2" xfId="10109" xr:uid="{00000000-0005-0000-0000-000013280000}"/>
    <cellStyle name="쉼표 [0] 2 2 29 3" xfId="18700" xr:uid="{00000000-0005-0000-0000-000014280000}"/>
    <cellStyle name="쉼표 [0] 2 2 29 4" xfId="19317" xr:uid="{0F5D9DDC-550C-4680-B819-FDB7945F1043}"/>
    <cellStyle name="쉼표 [0] 2 2 3" xfId="10110" xr:uid="{00000000-0005-0000-0000-000015280000}"/>
    <cellStyle name="쉼표 [0] 2 2 3 2" xfId="10111" xr:uid="{00000000-0005-0000-0000-000016280000}"/>
    <cellStyle name="쉼표 [0] 2 2 3 2 2" xfId="10112" xr:uid="{00000000-0005-0000-0000-000017280000}"/>
    <cellStyle name="쉼표 [0] 2 2 3 3" xfId="10113" xr:uid="{00000000-0005-0000-0000-000018280000}"/>
    <cellStyle name="쉼표 [0] 2 2 3 3 2" xfId="10114" xr:uid="{00000000-0005-0000-0000-000019280000}"/>
    <cellStyle name="쉼표 [0] 2 2 3 4" xfId="10115" xr:uid="{00000000-0005-0000-0000-00001A280000}"/>
    <cellStyle name="쉼표 [0] 2 2 3 4 2" xfId="10116" xr:uid="{00000000-0005-0000-0000-00001B280000}"/>
    <cellStyle name="쉼표 [0] 2 2 3 5" xfId="10117" xr:uid="{00000000-0005-0000-0000-00001C280000}"/>
    <cellStyle name="쉼표 [0] 2 2 3 5 2" xfId="10118" xr:uid="{00000000-0005-0000-0000-00001D280000}"/>
    <cellStyle name="쉼표 [0] 2 2 3 6" xfId="10119" xr:uid="{00000000-0005-0000-0000-00001E280000}"/>
    <cellStyle name="쉼표 [0] 2 2 3 6 2" xfId="10120" xr:uid="{00000000-0005-0000-0000-00001F280000}"/>
    <cellStyle name="쉼표 [0] 2 2 3 7" xfId="10121" xr:uid="{00000000-0005-0000-0000-000020280000}"/>
    <cellStyle name="쉼표 [0] 2 2 30" xfId="10122" xr:uid="{00000000-0005-0000-0000-000021280000}"/>
    <cellStyle name="쉼표 [0] 2 2 30 2" xfId="10123" xr:uid="{00000000-0005-0000-0000-000022280000}"/>
    <cellStyle name="쉼표 [0] 2 2 31" xfId="10124" xr:uid="{00000000-0005-0000-0000-000023280000}"/>
    <cellStyle name="쉼표 [0] 2 2 4" xfId="10125" xr:uid="{00000000-0005-0000-0000-000024280000}"/>
    <cellStyle name="쉼표 [0] 2 2 4 2" xfId="10126" xr:uid="{00000000-0005-0000-0000-000025280000}"/>
    <cellStyle name="쉼표 [0] 2 2 4 2 2" xfId="10127" xr:uid="{00000000-0005-0000-0000-000026280000}"/>
    <cellStyle name="쉼표 [0] 2 2 4 3" xfId="10128" xr:uid="{00000000-0005-0000-0000-000027280000}"/>
    <cellStyle name="쉼표 [0] 2 2 4 3 2" xfId="10129" xr:uid="{00000000-0005-0000-0000-000028280000}"/>
    <cellStyle name="쉼표 [0] 2 2 4 4" xfId="10130" xr:uid="{00000000-0005-0000-0000-000029280000}"/>
    <cellStyle name="쉼표 [0] 2 2 4 4 2" xfId="10131" xr:uid="{00000000-0005-0000-0000-00002A280000}"/>
    <cellStyle name="쉼표 [0] 2 2 4 5" xfId="10132" xr:uid="{00000000-0005-0000-0000-00002B280000}"/>
    <cellStyle name="쉼표 [0] 2 2 4 5 2" xfId="10133" xr:uid="{00000000-0005-0000-0000-00002C280000}"/>
    <cellStyle name="쉼표 [0] 2 2 4 6" xfId="10134" xr:uid="{00000000-0005-0000-0000-00002D280000}"/>
    <cellStyle name="쉼표 [0] 2 2 4 6 2" xfId="10135" xr:uid="{00000000-0005-0000-0000-00002E280000}"/>
    <cellStyle name="쉼표 [0] 2 2 4 7" xfId="10136" xr:uid="{00000000-0005-0000-0000-00002F280000}"/>
    <cellStyle name="쉼표 [0] 2 2 5" xfId="10137" xr:uid="{00000000-0005-0000-0000-000030280000}"/>
    <cellStyle name="쉼표 [0] 2 2 5 2" xfId="10138" xr:uid="{00000000-0005-0000-0000-000031280000}"/>
    <cellStyle name="쉼표 [0] 2 2 5 2 2" xfId="10139" xr:uid="{00000000-0005-0000-0000-000032280000}"/>
    <cellStyle name="쉼표 [0] 2 2 5 3" xfId="10140" xr:uid="{00000000-0005-0000-0000-000033280000}"/>
    <cellStyle name="쉼표 [0] 2 2 5 3 2" xfId="10141" xr:uid="{00000000-0005-0000-0000-000034280000}"/>
    <cellStyle name="쉼표 [0] 2 2 5 4" xfId="10142" xr:uid="{00000000-0005-0000-0000-000035280000}"/>
    <cellStyle name="쉼표 [0] 2 2 5 4 2" xfId="10143" xr:uid="{00000000-0005-0000-0000-000036280000}"/>
    <cellStyle name="쉼표 [0] 2 2 5 5" xfId="10144" xr:uid="{00000000-0005-0000-0000-000037280000}"/>
    <cellStyle name="쉼표 [0] 2 2 5 5 2" xfId="10145" xr:uid="{00000000-0005-0000-0000-000038280000}"/>
    <cellStyle name="쉼표 [0] 2 2 5 6" xfId="10146" xr:uid="{00000000-0005-0000-0000-000039280000}"/>
    <cellStyle name="쉼표 [0] 2 2 5 6 2" xfId="10147" xr:uid="{00000000-0005-0000-0000-00003A280000}"/>
    <cellStyle name="쉼표 [0] 2 2 5 7" xfId="10148" xr:uid="{00000000-0005-0000-0000-00003B280000}"/>
    <cellStyle name="쉼표 [0] 2 2 6" xfId="10149" xr:uid="{00000000-0005-0000-0000-00003C280000}"/>
    <cellStyle name="쉼표 [0] 2 2 6 2" xfId="10150" xr:uid="{00000000-0005-0000-0000-00003D280000}"/>
    <cellStyle name="쉼표 [0] 2 2 6 2 2" xfId="10151" xr:uid="{00000000-0005-0000-0000-00003E280000}"/>
    <cellStyle name="쉼표 [0] 2 2 6 3" xfId="10152" xr:uid="{00000000-0005-0000-0000-00003F280000}"/>
    <cellStyle name="쉼표 [0] 2 2 6 3 2" xfId="10153" xr:uid="{00000000-0005-0000-0000-000040280000}"/>
    <cellStyle name="쉼표 [0] 2 2 6 4" xfId="10154" xr:uid="{00000000-0005-0000-0000-000041280000}"/>
    <cellStyle name="쉼표 [0] 2 2 6 4 2" xfId="10155" xr:uid="{00000000-0005-0000-0000-000042280000}"/>
    <cellStyle name="쉼표 [0] 2 2 6 5" xfId="10156" xr:uid="{00000000-0005-0000-0000-000043280000}"/>
    <cellStyle name="쉼표 [0] 2 2 6 5 2" xfId="10157" xr:uid="{00000000-0005-0000-0000-000044280000}"/>
    <cellStyle name="쉼표 [0] 2 2 6 6" xfId="10158" xr:uid="{00000000-0005-0000-0000-000045280000}"/>
    <cellStyle name="쉼표 [0] 2 2 6 6 2" xfId="10159" xr:uid="{00000000-0005-0000-0000-000046280000}"/>
    <cellStyle name="쉼표 [0] 2 2 6 7" xfId="10160" xr:uid="{00000000-0005-0000-0000-000047280000}"/>
    <cellStyle name="쉼표 [0] 2 2 7" xfId="10161" xr:uid="{00000000-0005-0000-0000-000048280000}"/>
    <cellStyle name="쉼표 [0] 2 2 7 2" xfId="10162" xr:uid="{00000000-0005-0000-0000-000049280000}"/>
    <cellStyle name="쉼표 [0] 2 2 7 2 2" xfId="10163" xr:uid="{00000000-0005-0000-0000-00004A280000}"/>
    <cellStyle name="쉼표 [0] 2 2 7 3" xfId="10164" xr:uid="{00000000-0005-0000-0000-00004B280000}"/>
    <cellStyle name="쉼표 [0] 2 2 7 3 2" xfId="10165" xr:uid="{00000000-0005-0000-0000-00004C280000}"/>
    <cellStyle name="쉼표 [0] 2 2 7 4" xfId="10166" xr:uid="{00000000-0005-0000-0000-00004D280000}"/>
    <cellStyle name="쉼표 [0] 2 2 7 4 2" xfId="10167" xr:uid="{00000000-0005-0000-0000-00004E280000}"/>
    <cellStyle name="쉼표 [0] 2 2 7 5" xfId="10168" xr:uid="{00000000-0005-0000-0000-00004F280000}"/>
    <cellStyle name="쉼표 [0] 2 2 7 5 2" xfId="10169" xr:uid="{00000000-0005-0000-0000-000050280000}"/>
    <cellStyle name="쉼표 [0] 2 2 7 6" xfId="10170" xr:uid="{00000000-0005-0000-0000-000051280000}"/>
    <cellStyle name="쉼표 [0] 2 2 7 6 2" xfId="10171" xr:uid="{00000000-0005-0000-0000-000052280000}"/>
    <cellStyle name="쉼표 [0] 2 2 7 7" xfId="10172" xr:uid="{00000000-0005-0000-0000-000053280000}"/>
    <cellStyle name="쉼표 [0] 2 2 8" xfId="10173" xr:uid="{00000000-0005-0000-0000-000054280000}"/>
    <cellStyle name="쉼표 [0] 2 2 8 2" xfId="10174" xr:uid="{00000000-0005-0000-0000-000055280000}"/>
    <cellStyle name="쉼표 [0] 2 2 8 2 2" xfId="10175" xr:uid="{00000000-0005-0000-0000-000056280000}"/>
    <cellStyle name="쉼표 [0] 2 2 8 3" xfId="10176" xr:uid="{00000000-0005-0000-0000-000057280000}"/>
    <cellStyle name="쉼표 [0] 2 2 8 3 2" xfId="10177" xr:uid="{00000000-0005-0000-0000-000058280000}"/>
    <cellStyle name="쉼표 [0] 2 2 8 4" xfId="10178" xr:uid="{00000000-0005-0000-0000-000059280000}"/>
    <cellStyle name="쉼표 [0] 2 2 8 4 2" xfId="10179" xr:uid="{00000000-0005-0000-0000-00005A280000}"/>
    <cellStyle name="쉼표 [0] 2 2 8 5" xfId="10180" xr:uid="{00000000-0005-0000-0000-00005B280000}"/>
    <cellStyle name="쉼표 [0] 2 2 8 5 2" xfId="10181" xr:uid="{00000000-0005-0000-0000-00005C280000}"/>
    <cellStyle name="쉼표 [0] 2 2 8 6" xfId="10182" xr:uid="{00000000-0005-0000-0000-00005D280000}"/>
    <cellStyle name="쉼표 [0] 2 2 8 6 2" xfId="10183" xr:uid="{00000000-0005-0000-0000-00005E280000}"/>
    <cellStyle name="쉼표 [0] 2 2 8 7" xfId="10184" xr:uid="{00000000-0005-0000-0000-00005F280000}"/>
    <cellStyle name="쉼표 [0] 2 2 9" xfId="10185" xr:uid="{00000000-0005-0000-0000-000060280000}"/>
    <cellStyle name="쉼표 [0] 2 2 9 2" xfId="10186" xr:uid="{00000000-0005-0000-0000-000061280000}"/>
    <cellStyle name="쉼표 [0] 2 2 9 2 2" xfId="10187" xr:uid="{00000000-0005-0000-0000-000062280000}"/>
    <cellStyle name="쉼표 [0] 2 2 9 3" xfId="10188" xr:uid="{00000000-0005-0000-0000-000063280000}"/>
    <cellStyle name="쉼표 [0] 2 2 9 3 2" xfId="10189" xr:uid="{00000000-0005-0000-0000-000064280000}"/>
    <cellStyle name="쉼표 [0] 2 2 9 4" xfId="10190" xr:uid="{00000000-0005-0000-0000-000065280000}"/>
    <cellStyle name="쉼표 [0] 2 2 9 4 2" xfId="10191" xr:uid="{00000000-0005-0000-0000-000066280000}"/>
    <cellStyle name="쉼표 [0] 2 2 9 5" xfId="10192" xr:uid="{00000000-0005-0000-0000-000067280000}"/>
    <cellStyle name="쉼표 [0] 2 2 9 5 2" xfId="10193" xr:uid="{00000000-0005-0000-0000-000068280000}"/>
    <cellStyle name="쉼표 [0] 2 2 9 6" xfId="10194" xr:uid="{00000000-0005-0000-0000-000069280000}"/>
    <cellStyle name="쉼표 [0] 2 2 9 6 2" xfId="10195" xr:uid="{00000000-0005-0000-0000-00006A280000}"/>
    <cellStyle name="쉼표 [0] 2 2 9 7" xfId="10196" xr:uid="{00000000-0005-0000-0000-00006B280000}"/>
    <cellStyle name="쉼표 [0] 2 20" xfId="10197" xr:uid="{00000000-0005-0000-0000-00006C280000}"/>
    <cellStyle name="쉼표 [0] 2 20 2" xfId="10198" xr:uid="{00000000-0005-0000-0000-00006D280000}"/>
    <cellStyle name="쉼표 [0] 2 20 2 2" xfId="10199" xr:uid="{00000000-0005-0000-0000-00006E280000}"/>
    <cellStyle name="쉼표 [0] 2 20 3" xfId="10200" xr:uid="{00000000-0005-0000-0000-00006F280000}"/>
    <cellStyle name="쉼표 [0] 2 20 3 2" xfId="10201" xr:uid="{00000000-0005-0000-0000-000070280000}"/>
    <cellStyle name="쉼표 [0] 2 20 4" xfId="10202" xr:uid="{00000000-0005-0000-0000-000071280000}"/>
    <cellStyle name="쉼표 [0] 2 20 4 2" xfId="10203" xr:uid="{00000000-0005-0000-0000-000072280000}"/>
    <cellStyle name="쉼표 [0] 2 20 5" xfId="10204" xr:uid="{00000000-0005-0000-0000-000073280000}"/>
    <cellStyle name="쉼표 [0] 2 20 5 2" xfId="10205" xr:uid="{00000000-0005-0000-0000-000074280000}"/>
    <cellStyle name="쉼표 [0] 2 20 6" xfId="10206" xr:uid="{00000000-0005-0000-0000-000075280000}"/>
    <cellStyle name="쉼표 [0] 2 20 6 2" xfId="10207" xr:uid="{00000000-0005-0000-0000-000076280000}"/>
    <cellStyle name="쉼표 [0] 2 20 7" xfId="10208" xr:uid="{00000000-0005-0000-0000-000077280000}"/>
    <cellStyle name="쉼표 [0] 2 21" xfId="10209" xr:uid="{00000000-0005-0000-0000-000078280000}"/>
    <cellStyle name="쉼표 [0] 2 21 2" xfId="10210" xr:uid="{00000000-0005-0000-0000-000079280000}"/>
    <cellStyle name="쉼표 [0] 2 21 2 2" xfId="10211" xr:uid="{00000000-0005-0000-0000-00007A280000}"/>
    <cellStyle name="쉼표 [0] 2 21 3" xfId="10212" xr:uid="{00000000-0005-0000-0000-00007B280000}"/>
    <cellStyle name="쉼표 [0] 2 21 3 2" xfId="10213" xr:uid="{00000000-0005-0000-0000-00007C280000}"/>
    <cellStyle name="쉼표 [0] 2 21 4" xfId="10214" xr:uid="{00000000-0005-0000-0000-00007D280000}"/>
    <cellStyle name="쉼표 [0] 2 21 4 2" xfId="10215" xr:uid="{00000000-0005-0000-0000-00007E280000}"/>
    <cellStyle name="쉼표 [0] 2 21 5" xfId="10216" xr:uid="{00000000-0005-0000-0000-00007F280000}"/>
    <cellStyle name="쉼표 [0] 2 21 5 2" xfId="10217" xr:uid="{00000000-0005-0000-0000-000080280000}"/>
    <cellStyle name="쉼표 [0] 2 21 6" xfId="10218" xr:uid="{00000000-0005-0000-0000-000081280000}"/>
    <cellStyle name="쉼표 [0] 2 21 6 2" xfId="10219" xr:uid="{00000000-0005-0000-0000-000082280000}"/>
    <cellStyle name="쉼표 [0] 2 21 7" xfId="10220" xr:uid="{00000000-0005-0000-0000-000083280000}"/>
    <cellStyle name="쉼표 [0] 2 22" xfId="10221" xr:uid="{00000000-0005-0000-0000-000084280000}"/>
    <cellStyle name="쉼표 [0] 2 22 2" xfId="10222" xr:uid="{00000000-0005-0000-0000-000085280000}"/>
    <cellStyle name="쉼표 [0] 2 22 2 2" xfId="10223" xr:uid="{00000000-0005-0000-0000-000086280000}"/>
    <cellStyle name="쉼표 [0] 2 22 3" xfId="10224" xr:uid="{00000000-0005-0000-0000-000087280000}"/>
    <cellStyle name="쉼표 [0] 2 22 3 2" xfId="10225" xr:uid="{00000000-0005-0000-0000-000088280000}"/>
    <cellStyle name="쉼표 [0] 2 22 4" xfId="10226" xr:uid="{00000000-0005-0000-0000-000089280000}"/>
    <cellStyle name="쉼표 [0] 2 22 4 2" xfId="10227" xr:uid="{00000000-0005-0000-0000-00008A280000}"/>
    <cellStyle name="쉼표 [0] 2 22 5" xfId="10228" xr:uid="{00000000-0005-0000-0000-00008B280000}"/>
    <cellStyle name="쉼표 [0] 2 22 5 2" xfId="10229" xr:uid="{00000000-0005-0000-0000-00008C280000}"/>
    <cellStyle name="쉼표 [0] 2 22 6" xfId="10230" xr:uid="{00000000-0005-0000-0000-00008D280000}"/>
    <cellStyle name="쉼표 [0] 2 22 6 2" xfId="10231" xr:uid="{00000000-0005-0000-0000-00008E280000}"/>
    <cellStyle name="쉼표 [0] 2 22 7" xfId="10232" xr:uid="{00000000-0005-0000-0000-00008F280000}"/>
    <cellStyle name="쉼표 [0] 2 23" xfId="10233" xr:uid="{00000000-0005-0000-0000-000090280000}"/>
    <cellStyle name="쉼표 [0] 2 23 2" xfId="10234" xr:uid="{00000000-0005-0000-0000-000091280000}"/>
    <cellStyle name="쉼표 [0] 2 23 2 2" xfId="10235" xr:uid="{00000000-0005-0000-0000-000092280000}"/>
    <cellStyle name="쉼표 [0] 2 23 3" xfId="10236" xr:uid="{00000000-0005-0000-0000-000093280000}"/>
    <cellStyle name="쉼표 [0] 2 23 3 2" xfId="10237" xr:uid="{00000000-0005-0000-0000-000094280000}"/>
    <cellStyle name="쉼표 [0] 2 23 4" xfId="10238" xr:uid="{00000000-0005-0000-0000-000095280000}"/>
    <cellStyle name="쉼표 [0] 2 23 4 2" xfId="10239" xr:uid="{00000000-0005-0000-0000-000096280000}"/>
    <cellStyle name="쉼표 [0] 2 23 5" xfId="10240" xr:uid="{00000000-0005-0000-0000-000097280000}"/>
    <cellStyle name="쉼표 [0] 2 23 5 2" xfId="10241" xr:uid="{00000000-0005-0000-0000-000098280000}"/>
    <cellStyle name="쉼표 [0] 2 23 6" xfId="10242" xr:uid="{00000000-0005-0000-0000-000099280000}"/>
    <cellStyle name="쉼표 [0] 2 23 6 2" xfId="10243" xr:uid="{00000000-0005-0000-0000-00009A280000}"/>
    <cellStyle name="쉼표 [0] 2 23 7" xfId="10244" xr:uid="{00000000-0005-0000-0000-00009B280000}"/>
    <cellStyle name="쉼표 [0] 2 24" xfId="10245" xr:uid="{00000000-0005-0000-0000-00009C280000}"/>
    <cellStyle name="쉼표 [0] 2 24 2" xfId="10246" xr:uid="{00000000-0005-0000-0000-00009D280000}"/>
    <cellStyle name="쉼표 [0] 2 24 2 2" xfId="10247" xr:uid="{00000000-0005-0000-0000-00009E280000}"/>
    <cellStyle name="쉼표 [0] 2 24 3" xfId="10248" xr:uid="{00000000-0005-0000-0000-00009F280000}"/>
    <cellStyle name="쉼표 [0] 2 24 3 2" xfId="10249" xr:uid="{00000000-0005-0000-0000-0000A0280000}"/>
    <cellStyle name="쉼표 [0] 2 24 4" xfId="10250" xr:uid="{00000000-0005-0000-0000-0000A1280000}"/>
    <cellStyle name="쉼표 [0] 2 24 4 2" xfId="10251" xr:uid="{00000000-0005-0000-0000-0000A2280000}"/>
    <cellStyle name="쉼표 [0] 2 24 5" xfId="10252" xr:uid="{00000000-0005-0000-0000-0000A3280000}"/>
    <cellStyle name="쉼표 [0] 2 24 5 2" xfId="10253" xr:uid="{00000000-0005-0000-0000-0000A4280000}"/>
    <cellStyle name="쉼표 [0] 2 24 6" xfId="10254" xr:uid="{00000000-0005-0000-0000-0000A5280000}"/>
    <cellStyle name="쉼표 [0] 2 24 6 2" xfId="10255" xr:uid="{00000000-0005-0000-0000-0000A6280000}"/>
    <cellStyle name="쉼표 [0] 2 24 7" xfId="10256" xr:uid="{00000000-0005-0000-0000-0000A7280000}"/>
    <cellStyle name="쉼표 [0] 2 25" xfId="10257" xr:uid="{00000000-0005-0000-0000-0000A8280000}"/>
    <cellStyle name="쉼표 [0] 2 25 2" xfId="10258" xr:uid="{00000000-0005-0000-0000-0000A9280000}"/>
    <cellStyle name="쉼표 [0] 2 25 2 2" xfId="10259" xr:uid="{00000000-0005-0000-0000-0000AA280000}"/>
    <cellStyle name="쉼표 [0] 2 25 3" xfId="10260" xr:uid="{00000000-0005-0000-0000-0000AB280000}"/>
    <cellStyle name="쉼표 [0] 2 25 3 2" xfId="10261" xr:uid="{00000000-0005-0000-0000-0000AC280000}"/>
    <cellStyle name="쉼표 [0] 2 25 4" xfId="10262" xr:uid="{00000000-0005-0000-0000-0000AD280000}"/>
    <cellStyle name="쉼표 [0] 2 25 4 2" xfId="10263" xr:uid="{00000000-0005-0000-0000-0000AE280000}"/>
    <cellStyle name="쉼표 [0] 2 25 5" xfId="10264" xr:uid="{00000000-0005-0000-0000-0000AF280000}"/>
    <cellStyle name="쉼표 [0] 2 25 5 2" xfId="10265" xr:uid="{00000000-0005-0000-0000-0000B0280000}"/>
    <cellStyle name="쉼표 [0] 2 25 6" xfId="10266" xr:uid="{00000000-0005-0000-0000-0000B1280000}"/>
    <cellStyle name="쉼표 [0] 2 25 6 2" xfId="10267" xr:uid="{00000000-0005-0000-0000-0000B2280000}"/>
    <cellStyle name="쉼표 [0] 2 25 7" xfId="10268" xr:uid="{00000000-0005-0000-0000-0000B3280000}"/>
    <cellStyle name="쉼표 [0] 2 26" xfId="10269" xr:uid="{00000000-0005-0000-0000-0000B4280000}"/>
    <cellStyle name="쉼표 [0] 2 26 2" xfId="10270" xr:uid="{00000000-0005-0000-0000-0000B5280000}"/>
    <cellStyle name="쉼표 [0] 2 26 2 2" xfId="10271" xr:uid="{00000000-0005-0000-0000-0000B6280000}"/>
    <cellStyle name="쉼표 [0] 2 26 3" xfId="10272" xr:uid="{00000000-0005-0000-0000-0000B7280000}"/>
    <cellStyle name="쉼표 [0] 2 26 3 2" xfId="10273" xr:uid="{00000000-0005-0000-0000-0000B8280000}"/>
    <cellStyle name="쉼표 [0] 2 26 4" xfId="10274" xr:uid="{00000000-0005-0000-0000-0000B9280000}"/>
    <cellStyle name="쉼표 [0] 2 26 4 2" xfId="10275" xr:uid="{00000000-0005-0000-0000-0000BA280000}"/>
    <cellStyle name="쉼표 [0] 2 26 5" xfId="10276" xr:uid="{00000000-0005-0000-0000-0000BB280000}"/>
    <cellStyle name="쉼표 [0] 2 26 5 2" xfId="10277" xr:uid="{00000000-0005-0000-0000-0000BC280000}"/>
    <cellStyle name="쉼표 [0] 2 26 6" xfId="10278" xr:uid="{00000000-0005-0000-0000-0000BD280000}"/>
    <cellStyle name="쉼표 [0] 2 26 6 2" xfId="10279" xr:uid="{00000000-0005-0000-0000-0000BE280000}"/>
    <cellStyle name="쉼표 [0] 2 26 7" xfId="10280" xr:uid="{00000000-0005-0000-0000-0000BF280000}"/>
    <cellStyle name="쉼표 [0] 2 27" xfId="10281" xr:uid="{00000000-0005-0000-0000-0000C0280000}"/>
    <cellStyle name="쉼표 [0] 2 28" xfId="10282" xr:uid="{00000000-0005-0000-0000-0000C1280000}"/>
    <cellStyle name="쉼표 [0] 2 29" xfId="10283" xr:uid="{00000000-0005-0000-0000-0000C2280000}"/>
    <cellStyle name="쉼표 [0] 2 3" xfId="10284" xr:uid="{00000000-0005-0000-0000-0000C3280000}"/>
    <cellStyle name="쉼표 [0] 2 3 10" xfId="10285" xr:uid="{00000000-0005-0000-0000-0000C4280000}"/>
    <cellStyle name="쉼표 [0] 2 3 10 2" xfId="10286" xr:uid="{00000000-0005-0000-0000-0000C5280000}"/>
    <cellStyle name="쉼표 [0] 2 3 10 2 2" xfId="10287" xr:uid="{00000000-0005-0000-0000-0000C6280000}"/>
    <cellStyle name="쉼표 [0] 2 3 10 3" xfId="10288" xr:uid="{00000000-0005-0000-0000-0000C7280000}"/>
    <cellStyle name="쉼표 [0] 2 3 10 3 2" xfId="10289" xr:uid="{00000000-0005-0000-0000-0000C8280000}"/>
    <cellStyle name="쉼표 [0] 2 3 10 4" xfId="10290" xr:uid="{00000000-0005-0000-0000-0000C9280000}"/>
    <cellStyle name="쉼표 [0] 2 3 10 4 2" xfId="10291" xr:uid="{00000000-0005-0000-0000-0000CA280000}"/>
    <cellStyle name="쉼표 [0] 2 3 10 5" xfId="10292" xr:uid="{00000000-0005-0000-0000-0000CB280000}"/>
    <cellStyle name="쉼표 [0] 2 3 10 5 2" xfId="10293" xr:uid="{00000000-0005-0000-0000-0000CC280000}"/>
    <cellStyle name="쉼표 [0] 2 3 10 6" xfId="10294" xr:uid="{00000000-0005-0000-0000-0000CD280000}"/>
    <cellStyle name="쉼표 [0] 2 3 10 6 2" xfId="10295" xr:uid="{00000000-0005-0000-0000-0000CE280000}"/>
    <cellStyle name="쉼표 [0] 2 3 10 7" xfId="10296" xr:uid="{00000000-0005-0000-0000-0000CF280000}"/>
    <cellStyle name="쉼표 [0] 2 3 11" xfId="10297" xr:uid="{00000000-0005-0000-0000-0000D0280000}"/>
    <cellStyle name="쉼표 [0] 2 3 11 2" xfId="10298" xr:uid="{00000000-0005-0000-0000-0000D1280000}"/>
    <cellStyle name="쉼표 [0] 2 3 11 2 2" xfId="10299" xr:uid="{00000000-0005-0000-0000-0000D2280000}"/>
    <cellStyle name="쉼표 [0] 2 3 11 3" xfId="10300" xr:uid="{00000000-0005-0000-0000-0000D3280000}"/>
    <cellStyle name="쉼표 [0] 2 3 11 3 2" xfId="10301" xr:uid="{00000000-0005-0000-0000-0000D4280000}"/>
    <cellStyle name="쉼표 [0] 2 3 11 4" xfId="10302" xr:uid="{00000000-0005-0000-0000-0000D5280000}"/>
    <cellStyle name="쉼표 [0] 2 3 11 4 2" xfId="10303" xr:uid="{00000000-0005-0000-0000-0000D6280000}"/>
    <cellStyle name="쉼표 [0] 2 3 11 5" xfId="10304" xr:uid="{00000000-0005-0000-0000-0000D7280000}"/>
    <cellStyle name="쉼표 [0] 2 3 11 5 2" xfId="10305" xr:uid="{00000000-0005-0000-0000-0000D8280000}"/>
    <cellStyle name="쉼표 [0] 2 3 11 6" xfId="10306" xr:uid="{00000000-0005-0000-0000-0000D9280000}"/>
    <cellStyle name="쉼표 [0] 2 3 11 6 2" xfId="10307" xr:uid="{00000000-0005-0000-0000-0000DA280000}"/>
    <cellStyle name="쉼표 [0] 2 3 11 7" xfId="10308" xr:uid="{00000000-0005-0000-0000-0000DB280000}"/>
    <cellStyle name="쉼표 [0] 2 3 12" xfId="10309" xr:uid="{00000000-0005-0000-0000-0000DC280000}"/>
    <cellStyle name="쉼표 [0] 2 3 12 2" xfId="10310" xr:uid="{00000000-0005-0000-0000-0000DD280000}"/>
    <cellStyle name="쉼표 [0] 2 3 12 2 2" xfId="10311" xr:uid="{00000000-0005-0000-0000-0000DE280000}"/>
    <cellStyle name="쉼표 [0] 2 3 12 3" xfId="10312" xr:uid="{00000000-0005-0000-0000-0000DF280000}"/>
    <cellStyle name="쉼표 [0] 2 3 12 3 2" xfId="10313" xr:uid="{00000000-0005-0000-0000-0000E0280000}"/>
    <cellStyle name="쉼표 [0] 2 3 12 4" xfId="10314" xr:uid="{00000000-0005-0000-0000-0000E1280000}"/>
    <cellStyle name="쉼표 [0] 2 3 12 4 2" xfId="10315" xr:uid="{00000000-0005-0000-0000-0000E2280000}"/>
    <cellStyle name="쉼표 [0] 2 3 12 5" xfId="10316" xr:uid="{00000000-0005-0000-0000-0000E3280000}"/>
    <cellStyle name="쉼표 [0] 2 3 12 5 2" xfId="10317" xr:uid="{00000000-0005-0000-0000-0000E4280000}"/>
    <cellStyle name="쉼표 [0] 2 3 12 6" xfId="10318" xr:uid="{00000000-0005-0000-0000-0000E5280000}"/>
    <cellStyle name="쉼표 [0] 2 3 12 6 2" xfId="10319" xr:uid="{00000000-0005-0000-0000-0000E6280000}"/>
    <cellStyle name="쉼표 [0] 2 3 12 7" xfId="10320" xr:uid="{00000000-0005-0000-0000-0000E7280000}"/>
    <cellStyle name="쉼표 [0] 2 3 13" xfId="10321" xr:uid="{00000000-0005-0000-0000-0000E8280000}"/>
    <cellStyle name="쉼표 [0] 2 3 13 2" xfId="10322" xr:uid="{00000000-0005-0000-0000-0000E9280000}"/>
    <cellStyle name="쉼표 [0] 2 3 13 2 2" xfId="10323" xr:uid="{00000000-0005-0000-0000-0000EA280000}"/>
    <cellStyle name="쉼표 [0] 2 3 13 3" xfId="10324" xr:uid="{00000000-0005-0000-0000-0000EB280000}"/>
    <cellStyle name="쉼표 [0] 2 3 13 3 2" xfId="10325" xr:uid="{00000000-0005-0000-0000-0000EC280000}"/>
    <cellStyle name="쉼표 [0] 2 3 13 4" xfId="10326" xr:uid="{00000000-0005-0000-0000-0000ED280000}"/>
    <cellStyle name="쉼표 [0] 2 3 13 4 2" xfId="10327" xr:uid="{00000000-0005-0000-0000-0000EE280000}"/>
    <cellStyle name="쉼표 [0] 2 3 13 5" xfId="10328" xr:uid="{00000000-0005-0000-0000-0000EF280000}"/>
    <cellStyle name="쉼표 [0] 2 3 13 5 2" xfId="10329" xr:uid="{00000000-0005-0000-0000-0000F0280000}"/>
    <cellStyle name="쉼표 [0] 2 3 13 6" xfId="10330" xr:uid="{00000000-0005-0000-0000-0000F1280000}"/>
    <cellStyle name="쉼표 [0] 2 3 13 6 2" xfId="10331" xr:uid="{00000000-0005-0000-0000-0000F2280000}"/>
    <cellStyle name="쉼표 [0] 2 3 13 7" xfId="10332" xr:uid="{00000000-0005-0000-0000-0000F3280000}"/>
    <cellStyle name="쉼표 [0] 2 3 14" xfId="10333" xr:uid="{00000000-0005-0000-0000-0000F4280000}"/>
    <cellStyle name="쉼표 [0] 2 3 14 2" xfId="10334" xr:uid="{00000000-0005-0000-0000-0000F5280000}"/>
    <cellStyle name="쉼표 [0] 2 3 14 2 2" xfId="10335" xr:uid="{00000000-0005-0000-0000-0000F6280000}"/>
    <cellStyle name="쉼표 [0] 2 3 14 3" xfId="10336" xr:uid="{00000000-0005-0000-0000-0000F7280000}"/>
    <cellStyle name="쉼표 [0] 2 3 14 3 2" xfId="10337" xr:uid="{00000000-0005-0000-0000-0000F8280000}"/>
    <cellStyle name="쉼표 [0] 2 3 14 4" xfId="10338" xr:uid="{00000000-0005-0000-0000-0000F9280000}"/>
    <cellStyle name="쉼표 [0] 2 3 14 4 2" xfId="10339" xr:uid="{00000000-0005-0000-0000-0000FA280000}"/>
    <cellStyle name="쉼표 [0] 2 3 14 5" xfId="10340" xr:uid="{00000000-0005-0000-0000-0000FB280000}"/>
    <cellStyle name="쉼표 [0] 2 3 14 5 2" xfId="10341" xr:uid="{00000000-0005-0000-0000-0000FC280000}"/>
    <cellStyle name="쉼표 [0] 2 3 14 6" xfId="10342" xr:uid="{00000000-0005-0000-0000-0000FD280000}"/>
    <cellStyle name="쉼표 [0] 2 3 14 6 2" xfId="10343" xr:uid="{00000000-0005-0000-0000-0000FE280000}"/>
    <cellStyle name="쉼표 [0] 2 3 14 7" xfId="10344" xr:uid="{00000000-0005-0000-0000-0000FF280000}"/>
    <cellStyle name="쉼표 [0] 2 3 15" xfId="10345" xr:uid="{00000000-0005-0000-0000-000000290000}"/>
    <cellStyle name="쉼표 [0] 2 3 15 2" xfId="10346" xr:uid="{00000000-0005-0000-0000-000001290000}"/>
    <cellStyle name="쉼표 [0] 2 3 15 2 2" xfId="10347" xr:uid="{00000000-0005-0000-0000-000002290000}"/>
    <cellStyle name="쉼표 [0] 2 3 15 3" xfId="10348" xr:uid="{00000000-0005-0000-0000-000003290000}"/>
    <cellStyle name="쉼표 [0] 2 3 15 3 2" xfId="10349" xr:uid="{00000000-0005-0000-0000-000004290000}"/>
    <cellStyle name="쉼표 [0] 2 3 15 4" xfId="10350" xr:uid="{00000000-0005-0000-0000-000005290000}"/>
    <cellStyle name="쉼표 [0] 2 3 15 4 2" xfId="10351" xr:uid="{00000000-0005-0000-0000-000006290000}"/>
    <cellStyle name="쉼표 [0] 2 3 15 5" xfId="10352" xr:uid="{00000000-0005-0000-0000-000007290000}"/>
    <cellStyle name="쉼표 [0] 2 3 15 5 2" xfId="10353" xr:uid="{00000000-0005-0000-0000-000008290000}"/>
    <cellStyle name="쉼표 [0] 2 3 15 6" xfId="10354" xr:uid="{00000000-0005-0000-0000-000009290000}"/>
    <cellStyle name="쉼표 [0] 2 3 15 6 2" xfId="10355" xr:uid="{00000000-0005-0000-0000-00000A290000}"/>
    <cellStyle name="쉼표 [0] 2 3 15 7" xfId="10356" xr:uid="{00000000-0005-0000-0000-00000B290000}"/>
    <cellStyle name="쉼표 [0] 2 3 16" xfId="10357" xr:uid="{00000000-0005-0000-0000-00000C290000}"/>
    <cellStyle name="쉼표 [0] 2 3 16 2" xfId="10358" xr:uid="{00000000-0005-0000-0000-00000D290000}"/>
    <cellStyle name="쉼표 [0] 2 3 16 2 2" xfId="10359" xr:uid="{00000000-0005-0000-0000-00000E290000}"/>
    <cellStyle name="쉼표 [0] 2 3 16 3" xfId="10360" xr:uid="{00000000-0005-0000-0000-00000F290000}"/>
    <cellStyle name="쉼표 [0] 2 3 16 3 2" xfId="10361" xr:uid="{00000000-0005-0000-0000-000010290000}"/>
    <cellStyle name="쉼표 [0] 2 3 16 4" xfId="10362" xr:uid="{00000000-0005-0000-0000-000011290000}"/>
    <cellStyle name="쉼표 [0] 2 3 16 4 2" xfId="10363" xr:uid="{00000000-0005-0000-0000-000012290000}"/>
    <cellStyle name="쉼표 [0] 2 3 16 5" xfId="10364" xr:uid="{00000000-0005-0000-0000-000013290000}"/>
    <cellStyle name="쉼표 [0] 2 3 16 5 2" xfId="10365" xr:uid="{00000000-0005-0000-0000-000014290000}"/>
    <cellStyle name="쉼표 [0] 2 3 16 6" xfId="10366" xr:uid="{00000000-0005-0000-0000-000015290000}"/>
    <cellStyle name="쉼표 [0] 2 3 16 6 2" xfId="10367" xr:uid="{00000000-0005-0000-0000-000016290000}"/>
    <cellStyle name="쉼표 [0] 2 3 16 7" xfId="10368" xr:uid="{00000000-0005-0000-0000-000017290000}"/>
    <cellStyle name="쉼표 [0] 2 3 17" xfId="10369" xr:uid="{00000000-0005-0000-0000-000018290000}"/>
    <cellStyle name="쉼표 [0] 2 3 17 2" xfId="10370" xr:uid="{00000000-0005-0000-0000-000019290000}"/>
    <cellStyle name="쉼표 [0] 2 3 17 2 2" xfId="10371" xr:uid="{00000000-0005-0000-0000-00001A290000}"/>
    <cellStyle name="쉼표 [0] 2 3 17 3" xfId="10372" xr:uid="{00000000-0005-0000-0000-00001B290000}"/>
    <cellStyle name="쉼표 [0] 2 3 17 3 2" xfId="10373" xr:uid="{00000000-0005-0000-0000-00001C290000}"/>
    <cellStyle name="쉼표 [0] 2 3 17 4" xfId="10374" xr:uid="{00000000-0005-0000-0000-00001D290000}"/>
    <cellStyle name="쉼표 [0] 2 3 17 4 2" xfId="10375" xr:uid="{00000000-0005-0000-0000-00001E290000}"/>
    <cellStyle name="쉼표 [0] 2 3 17 5" xfId="10376" xr:uid="{00000000-0005-0000-0000-00001F290000}"/>
    <cellStyle name="쉼표 [0] 2 3 17 5 2" xfId="10377" xr:uid="{00000000-0005-0000-0000-000020290000}"/>
    <cellStyle name="쉼표 [0] 2 3 17 6" xfId="10378" xr:uid="{00000000-0005-0000-0000-000021290000}"/>
    <cellStyle name="쉼표 [0] 2 3 17 6 2" xfId="10379" xr:uid="{00000000-0005-0000-0000-000022290000}"/>
    <cellStyle name="쉼표 [0] 2 3 17 7" xfId="10380" xr:uid="{00000000-0005-0000-0000-000023290000}"/>
    <cellStyle name="쉼표 [0] 2 3 18" xfId="10381" xr:uid="{00000000-0005-0000-0000-000024290000}"/>
    <cellStyle name="쉼표 [0] 2 3 18 2" xfId="10382" xr:uid="{00000000-0005-0000-0000-000025290000}"/>
    <cellStyle name="쉼표 [0] 2 3 18 2 2" xfId="10383" xr:uid="{00000000-0005-0000-0000-000026290000}"/>
    <cellStyle name="쉼표 [0] 2 3 18 3" xfId="10384" xr:uid="{00000000-0005-0000-0000-000027290000}"/>
    <cellStyle name="쉼표 [0] 2 3 18 3 2" xfId="10385" xr:uid="{00000000-0005-0000-0000-000028290000}"/>
    <cellStyle name="쉼표 [0] 2 3 18 4" xfId="10386" xr:uid="{00000000-0005-0000-0000-000029290000}"/>
    <cellStyle name="쉼표 [0] 2 3 18 4 2" xfId="10387" xr:uid="{00000000-0005-0000-0000-00002A290000}"/>
    <cellStyle name="쉼표 [0] 2 3 18 5" xfId="10388" xr:uid="{00000000-0005-0000-0000-00002B290000}"/>
    <cellStyle name="쉼표 [0] 2 3 18 5 2" xfId="10389" xr:uid="{00000000-0005-0000-0000-00002C290000}"/>
    <cellStyle name="쉼표 [0] 2 3 18 6" xfId="10390" xr:uid="{00000000-0005-0000-0000-00002D290000}"/>
    <cellStyle name="쉼표 [0] 2 3 18 6 2" xfId="10391" xr:uid="{00000000-0005-0000-0000-00002E290000}"/>
    <cellStyle name="쉼표 [0] 2 3 18 7" xfId="10392" xr:uid="{00000000-0005-0000-0000-00002F290000}"/>
    <cellStyle name="쉼표 [0] 2 3 19" xfId="10393" xr:uid="{00000000-0005-0000-0000-000030290000}"/>
    <cellStyle name="쉼표 [0] 2 3 19 2" xfId="10394" xr:uid="{00000000-0005-0000-0000-000031290000}"/>
    <cellStyle name="쉼표 [0] 2 3 19 2 2" xfId="10395" xr:uid="{00000000-0005-0000-0000-000032290000}"/>
    <cellStyle name="쉼표 [0] 2 3 19 3" xfId="10396" xr:uid="{00000000-0005-0000-0000-000033290000}"/>
    <cellStyle name="쉼표 [0] 2 3 19 3 2" xfId="10397" xr:uid="{00000000-0005-0000-0000-000034290000}"/>
    <cellStyle name="쉼표 [0] 2 3 19 4" xfId="10398" xr:uid="{00000000-0005-0000-0000-000035290000}"/>
    <cellStyle name="쉼표 [0] 2 3 19 4 2" xfId="10399" xr:uid="{00000000-0005-0000-0000-000036290000}"/>
    <cellStyle name="쉼표 [0] 2 3 19 5" xfId="10400" xr:uid="{00000000-0005-0000-0000-000037290000}"/>
    <cellStyle name="쉼표 [0] 2 3 19 5 2" xfId="10401" xr:uid="{00000000-0005-0000-0000-000038290000}"/>
    <cellStyle name="쉼표 [0] 2 3 19 6" xfId="10402" xr:uid="{00000000-0005-0000-0000-000039290000}"/>
    <cellStyle name="쉼표 [0] 2 3 19 6 2" xfId="10403" xr:uid="{00000000-0005-0000-0000-00003A290000}"/>
    <cellStyle name="쉼표 [0] 2 3 19 7" xfId="10404" xr:uid="{00000000-0005-0000-0000-00003B290000}"/>
    <cellStyle name="쉼표 [0] 2 3 2" xfId="10405" xr:uid="{00000000-0005-0000-0000-00003C290000}"/>
    <cellStyle name="쉼표 [0] 2 3 2 2" xfId="10406" xr:uid="{00000000-0005-0000-0000-00003D290000}"/>
    <cellStyle name="쉼표 [0] 2 3 2 2 2" xfId="10407" xr:uid="{00000000-0005-0000-0000-00003E290000}"/>
    <cellStyle name="쉼표 [0] 2 3 2 3" xfId="10408" xr:uid="{00000000-0005-0000-0000-00003F290000}"/>
    <cellStyle name="쉼표 [0] 2 3 2 3 2" xfId="10409" xr:uid="{00000000-0005-0000-0000-000040290000}"/>
    <cellStyle name="쉼표 [0] 2 3 2 4" xfId="10410" xr:uid="{00000000-0005-0000-0000-000041290000}"/>
    <cellStyle name="쉼표 [0] 2 3 2 4 2" xfId="10411" xr:uid="{00000000-0005-0000-0000-000042290000}"/>
    <cellStyle name="쉼표 [0] 2 3 2 5" xfId="10412" xr:uid="{00000000-0005-0000-0000-000043290000}"/>
    <cellStyle name="쉼표 [0] 2 3 2 5 2" xfId="10413" xr:uid="{00000000-0005-0000-0000-000044290000}"/>
    <cellStyle name="쉼표 [0] 2 3 2 6" xfId="10414" xr:uid="{00000000-0005-0000-0000-000045290000}"/>
    <cellStyle name="쉼표 [0] 2 3 2 6 2" xfId="10415" xr:uid="{00000000-0005-0000-0000-000046290000}"/>
    <cellStyle name="쉼표 [0] 2 3 2 7" xfId="10416" xr:uid="{00000000-0005-0000-0000-000047290000}"/>
    <cellStyle name="쉼표 [0] 2 3 2 7 2" xfId="10417" xr:uid="{00000000-0005-0000-0000-000048290000}"/>
    <cellStyle name="쉼표 [0] 2 3 2 8" xfId="10418" xr:uid="{00000000-0005-0000-0000-000049290000}"/>
    <cellStyle name="쉼표 [0] 2 3 2 8 2" xfId="10419" xr:uid="{00000000-0005-0000-0000-00004A290000}"/>
    <cellStyle name="쉼표 [0] 2 3 20" xfId="10420" xr:uid="{00000000-0005-0000-0000-00004B290000}"/>
    <cellStyle name="쉼표 [0] 2 3 20 2" xfId="10421" xr:uid="{00000000-0005-0000-0000-00004C290000}"/>
    <cellStyle name="쉼표 [0] 2 3 21" xfId="10422" xr:uid="{00000000-0005-0000-0000-00004D290000}"/>
    <cellStyle name="쉼표 [0] 2 3 21 2" xfId="10423" xr:uid="{00000000-0005-0000-0000-00004E290000}"/>
    <cellStyle name="쉼표 [0] 2 3 22" xfId="10424" xr:uid="{00000000-0005-0000-0000-00004F290000}"/>
    <cellStyle name="쉼표 [0] 2 3 22 2" xfId="10425" xr:uid="{00000000-0005-0000-0000-000050290000}"/>
    <cellStyle name="쉼표 [0] 2 3 23" xfId="10426" xr:uid="{00000000-0005-0000-0000-000051290000}"/>
    <cellStyle name="쉼표 [0] 2 3 23 2" xfId="10427" xr:uid="{00000000-0005-0000-0000-000052290000}"/>
    <cellStyle name="쉼표 [0] 2 3 24" xfId="10428" xr:uid="{00000000-0005-0000-0000-000053290000}"/>
    <cellStyle name="쉼표 [0] 2 3 25" xfId="10429" xr:uid="{00000000-0005-0000-0000-000054290000}"/>
    <cellStyle name="쉼표 [0] 2 3 26" xfId="10430" xr:uid="{00000000-0005-0000-0000-000055290000}"/>
    <cellStyle name="쉼표 [0] 2 3 26 2" xfId="10431" xr:uid="{00000000-0005-0000-0000-000056290000}"/>
    <cellStyle name="쉼표 [0] 2 3 27" xfId="10432" xr:uid="{00000000-0005-0000-0000-000057290000}"/>
    <cellStyle name="쉼표 [0] 2 3 27 2" xfId="10433" xr:uid="{00000000-0005-0000-0000-000058290000}"/>
    <cellStyle name="쉼표 [0] 2 3 28" xfId="10434" xr:uid="{00000000-0005-0000-0000-000059290000}"/>
    <cellStyle name="쉼표 [0] 2 3 28 2" xfId="10435" xr:uid="{00000000-0005-0000-0000-00005A290000}"/>
    <cellStyle name="쉼표 [0] 2 3 29" xfId="10436" xr:uid="{00000000-0005-0000-0000-00005B290000}"/>
    <cellStyle name="쉼표 [0] 2 3 29 2" xfId="10437" xr:uid="{00000000-0005-0000-0000-00005C290000}"/>
    <cellStyle name="쉼표 [0] 2 3 3" xfId="10438" xr:uid="{00000000-0005-0000-0000-00005D290000}"/>
    <cellStyle name="쉼표 [0] 2 3 3 2" xfId="10439" xr:uid="{00000000-0005-0000-0000-00005E290000}"/>
    <cellStyle name="쉼표 [0] 2 3 3 2 2" xfId="10440" xr:uid="{00000000-0005-0000-0000-00005F290000}"/>
    <cellStyle name="쉼표 [0] 2 3 3 3" xfId="10441" xr:uid="{00000000-0005-0000-0000-000060290000}"/>
    <cellStyle name="쉼표 [0] 2 3 3 3 2" xfId="10442" xr:uid="{00000000-0005-0000-0000-000061290000}"/>
    <cellStyle name="쉼표 [0] 2 3 3 4" xfId="10443" xr:uid="{00000000-0005-0000-0000-000062290000}"/>
    <cellStyle name="쉼표 [0] 2 3 3 4 2" xfId="10444" xr:uid="{00000000-0005-0000-0000-000063290000}"/>
    <cellStyle name="쉼표 [0] 2 3 3 5" xfId="10445" xr:uid="{00000000-0005-0000-0000-000064290000}"/>
    <cellStyle name="쉼표 [0] 2 3 3 5 2" xfId="10446" xr:uid="{00000000-0005-0000-0000-000065290000}"/>
    <cellStyle name="쉼표 [0] 2 3 3 6" xfId="10447" xr:uid="{00000000-0005-0000-0000-000066290000}"/>
    <cellStyle name="쉼표 [0] 2 3 3 6 2" xfId="10448" xr:uid="{00000000-0005-0000-0000-000067290000}"/>
    <cellStyle name="쉼표 [0] 2 3 3 7" xfId="10449" xr:uid="{00000000-0005-0000-0000-000068290000}"/>
    <cellStyle name="쉼표 [0] 2 3 30" xfId="10450" xr:uid="{00000000-0005-0000-0000-000069290000}"/>
    <cellStyle name="쉼표 [0] 2 3 31" xfId="10451" xr:uid="{00000000-0005-0000-0000-00006A290000}"/>
    <cellStyle name="쉼표 [0] 2 3 4" xfId="10452" xr:uid="{00000000-0005-0000-0000-00006B290000}"/>
    <cellStyle name="쉼표 [0] 2 3 4 2" xfId="10453" xr:uid="{00000000-0005-0000-0000-00006C290000}"/>
    <cellStyle name="쉼표 [0] 2 3 4 2 2" xfId="10454" xr:uid="{00000000-0005-0000-0000-00006D290000}"/>
    <cellStyle name="쉼표 [0] 2 3 4 3" xfId="10455" xr:uid="{00000000-0005-0000-0000-00006E290000}"/>
    <cellStyle name="쉼표 [0] 2 3 4 3 2" xfId="10456" xr:uid="{00000000-0005-0000-0000-00006F290000}"/>
    <cellStyle name="쉼표 [0] 2 3 4 4" xfId="10457" xr:uid="{00000000-0005-0000-0000-000070290000}"/>
    <cellStyle name="쉼표 [0] 2 3 4 4 2" xfId="10458" xr:uid="{00000000-0005-0000-0000-000071290000}"/>
    <cellStyle name="쉼표 [0] 2 3 4 5" xfId="10459" xr:uid="{00000000-0005-0000-0000-000072290000}"/>
    <cellStyle name="쉼표 [0] 2 3 4 5 2" xfId="10460" xr:uid="{00000000-0005-0000-0000-000073290000}"/>
    <cellStyle name="쉼표 [0] 2 3 4 6" xfId="10461" xr:uid="{00000000-0005-0000-0000-000074290000}"/>
    <cellStyle name="쉼표 [0] 2 3 4 6 2" xfId="10462" xr:uid="{00000000-0005-0000-0000-000075290000}"/>
    <cellStyle name="쉼표 [0] 2 3 4 7" xfId="10463" xr:uid="{00000000-0005-0000-0000-000076290000}"/>
    <cellStyle name="쉼표 [0] 2 3 5" xfId="10464" xr:uid="{00000000-0005-0000-0000-000077290000}"/>
    <cellStyle name="쉼표 [0] 2 3 5 2" xfId="10465" xr:uid="{00000000-0005-0000-0000-000078290000}"/>
    <cellStyle name="쉼표 [0] 2 3 5 2 2" xfId="10466" xr:uid="{00000000-0005-0000-0000-000079290000}"/>
    <cellStyle name="쉼표 [0] 2 3 5 3" xfId="10467" xr:uid="{00000000-0005-0000-0000-00007A290000}"/>
    <cellStyle name="쉼표 [0] 2 3 5 3 2" xfId="10468" xr:uid="{00000000-0005-0000-0000-00007B290000}"/>
    <cellStyle name="쉼표 [0] 2 3 5 4" xfId="10469" xr:uid="{00000000-0005-0000-0000-00007C290000}"/>
    <cellStyle name="쉼표 [0] 2 3 5 4 2" xfId="10470" xr:uid="{00000000-0005-0000-0000-00007D290000}"/>
    <cellStyle name="쉼표 [0] 2 3 5 5" xfId="10471" xr:uid="{00000000-0005-0000-0000-00007E290000}"/>
    <cellStyle name="쉼표 [0] 2 3 5 5 2" xfId="10472" xr:uid="{00000000-0005-0000-0000-00007F290000}"/>
    <cellStyle name="쉼표 [0] 2 3 5 6" xfId="10473" xr:uid="{00000000-0005-0000-0000-000080290000}"/>
    <cellStyle name="쉼표 [0] 2 3 5 6 2" xfId="10474" xr:uid="{00000000-0005-0000-0000-000081290000}"/>
    <cellStyle name="쉼표 [0] 2 3 5 7" xfId="10475" xr:uid="{00000000-0005-0000-0000-000082290000}"/>
    <cellStyle name="쉼표 [0] 2 3 6" xfId="10476" xr:uid="{00000000-0005-0000-0000-000083290000}"/>
    <cellStyle name="쉼표 [0] 2 3 6 2" xfId="10477" xr:uid="{00000000-0005-0000-0000-000084290000}"/>
    <cellStyle name="쉼표 [0] 2 3 6 2 2" xfId="10478" xr:uid="{00000000-0005-0000-0000-000085290000}"/>
    <cellStyle name="쉼표 [0] 2 3 6 3" xfId="10479" xr:uid="{00000000-0005-0000-0000-000086290000}"/>
    <cellStyle name="쉼표 [0] 2 3 6 3 2" xfId="10480" xr:uid="{00000000-0005-0000-0000-000087290000}"/>
    <cellStyle name="쉼표 [0] 2 3 6 4" xfId="10481" xr:uid="{00000000-0005-0000-0000-000088290000}"/>
    <cellStyle name="쉼표 [0] 2 3 6 4 2" xfId="10482" xr:uid="{00000000-0005-0000-0000-000089290000}"/>
    <cellStyle name="쉼표 [0] 2 3 6 5" xfId="10483" xr:uid="{00000000-0005-0000-0000-00008A290000}"/>
    <cellStyle name="쉼표 [0] 2 3 6 5 2" xfId="10484" xr:uid="{00000000-0005-0000-0000-00008B290000}"/>
    <cellStyle name="쉼표 [0] 2 3 6 6" xfId="10485" xr:uid="{00000000-0005-0000-0000-00008C290000}"/>
    <cellStyle name="쉼표 [0] 2 3 6 6 2" xfId="10486" xr:uid="{00000000-0005-0000-0000-00008D290000}"/>
    <cellStyle name="쉼표 [0] 2 3 6 7" xfId="10487" xr:uid="{00000000-0005-0000-0000-00008E290000}"/>
    <cellStyle name="쉼표 [0] 2 3 7" xfId="10488" xr:uid="{00000000-0005-0000-0000-00008F290000}"/>
    <cellStyle name="쉼표 [0] 2 3 7 2" xfId="10489" xr:uid="{00000000-0005-0000-0000-000090290000}"/>
    <cellStyle name="쉼표 [0] 2 3 7 2 2" xfId="10490" xr:uid="{00000000-0005-0000-0000-000091290000}"/>
    <cellStyle name="쉼표 [0] 2 3 7 3" xfId="10491" xr:uid="{00000000-0005-0000-0000-000092290000}"/>
    <cellStyle name="쉼표 [0] 2 3 7 3 2" xfId="10492" xr:uid="{00000000-0005-0000-0000-000093290000}"/>
    <cellStyle name="쉼표 [0] 2 3 7 4" xfId="10493" xr:uid="{00000000-0005-0000-0000-000094290000}"/>
    <cellStyle name="쉼표 [0] 2 3 7 4 2" xfId="10494" xr:uid="{00000000-0005-0000-0000-000095290000}"/>
    <cellStyle name="쉼표 [0] 2 3 7 5" xfId="10495" xr:uid="{00000000-0005-0000-0000-000096290000}"/>
    <cellStyle name="쉼표 [0] 2 3 7 5 2" xfId="10496" xr:uid="{00000000-0005-0000-0000-000097290000}"/>
    <cellStyle name="쉼표 [0] 2 3 7 6" xfId="10497" xr:uid="{00000000-0005-0000-0000-000098290000}"/>
    <cellStyle name="쉼표 [0] 2 3 7 6 2" xfId="10498" xr:uid="{00000000-0005-0000-0000-000099290000}"/>
    <cellStyle name="쉼표 [0] 2 3 7 7" xfId="10499" xr:uid="{00000000-0005-0000-0000-00009A290000}"/>
    <cellStyle name="쉼표 [0] 2 3 8" xfId="10500" xr:uid="{00000000-0005-0000-0000-00009B290000}"/>
    <cellStyle name="쉼표 [0] 2 3 8 2" xfId="10501" xr:uid="{00000000-0005-0000-0000-00009C290000}"/>
    <cellStyle name="쉼표 [0] 2 3 8 2 2" xfId="10502" xr:uid="{00000000-0005-0000-0000-00009D290000}"/>
    <cellStyle name="쉼표 [0] 2 3 8 3" xfId="10503" xr:uid="{00000000-0005-0000-0000-00009E290000}"/>
    <cellStyle name="쉼표 [0] 2 3 8 3 2" xfId="10504" xr:uid="{00000000-0005-0000-0000-00009F290000}"/>
    <cellStyle name="쉼표 [0] 2 3 8 4" xfId="10505" xr:uid="{00000000-0005-0000-0000-0000A0290000}"/>
    <cellStyle name="쉼표 [0] 2 3 8 4 2" xfId="10506" xr:uid="{00000000-0005-0000-0000-0000A1290000}"/>
    <cellStyle name="쉼표 [0] 2 3 8 5" xfId="10507" xr:uid="{00000000-0005-0000-0000-0000A2290000}"/>
    <cellStyle name="쉼표 [0] 2 3 8 5 2" xfId="10508" xr:uid="{00000000-0005-0000-0000-0000A3290000}"/>
    <cellStyle name="쉼표 [0] 2 3 8 6" xfId="10509" xr:uid="{00000000-0005-0000-0000-0000A4290000}"/>
    <cellStyle name="쉼표 [0] 2 3 8 6 2" xfId="10510" xr:uid="{00000000-0005-0000-0000-0000A5290000}"/>
    <cellStyle name="쉼표 [0] 2 3 8 7" xfId="10511" xr:uid="{00000000-0005-0000-0000-0000A6290000}"/>
    <cellStyle name="쉼표 [0] 2 3 9" xfId="10512" xr:uid="{00000000-0005-0000-0000-0000A7290000}"/>
    <cellStyle name="쉼표 [0] 2 3 9 2" xfId="10513" xr:uid="{00000000-0005-0000-0000-0000A8290000}"/>
    <cellStyle name="쉼표 [0] 2 3 9 2 2" xfId="10514" xr:uid="{00000000-0005-0000-0000-0000A9290000}"/>
    <cellStyle name="쉼표 [0] 2 3 9 3" xfId="10515" xr:uid="{00000000-0005-0000-0000-0000AA290000}"/>
    <cellStyle name="쉼표 [0] 2 3 9 3 2" xfId="10516" xr:uid="{00000000-0005-0000-0000-0000AB290000}"/>
    <cellStyle name="쉼표 [0] 2 3 9 4" xfId="10517" xr:uid="{00000000-0005-0000-0000-0000AC290000}"/>
    <cellStyle name="쉼표 [0] 2 3 9 4 2" xfId="10518" xr:uid="{00000000-0005-0000-0000-0000AD290000}"/>
    <cellStyle name="쉼표 [0] 2 3 9 5" xfId="10519" xr:uid="{00000000-0005-0000-0000-0000AE290000}"/>
    <cellStyle name="쉼표 [0] 2 3 9 5 2" xfId="10520" xr:uid="{00000000-0005-0000-0000-0000AF290000}"/>
    <cellStyle name="쉼표 [0] 2 3 9 6" xfId="10521" xr:uid="{00000000-0005-0000-0000-0000B0290000}"/>
    <cellStyle name="쉼표 [0] 2 3 9 6 2" xfId="10522" xr:uid="{00000000-0005-0000-0000-0000B1290000}"/>
    <cellStyle name="쉼표 [0] 2 3 9 7" xfId="10523" xr:uid="{00000000-0005-0000-0000-0000B2290000}"/>
    <cellStyle name="쉼표 [0] 2 30" xfId="10524" xr:uid="{00000000-0005-0000-0000-0000B3290000}"/>
    <cellStyle name="쉼표 [0] 2 31" xfId="10525" xr:uid="{00000000-0005-0000-0000-0000B4290000}"/>
    <cellStyle name="쉼표 [0] 2 31 2" xfId="10526" xr:uid="{00000000-0005-0000-0000-0000B5290000}"/>
    <cellStyle name="쉼표 [0] 2 31 3" xfId="10527" xr:uid="{00000000-0005-0000-0000-0000B6290000}"/>
    <cellStyle name="쉼표 [0] 2 32" xfId="10528" xr:uid="{00000000-0005-0000-0000-0000B7290000}"/>
    <cellStyle name="쉼표 [0] 2 33" xfId="10529" xr:uid="{00000000-0005-0000-0000-0000B8290000}"/>
    <cellStyle name="쉼표 [0] 2 34" xfId="10530" xr:uid="{00000000-0005-0000-0000-0000B9290000}"/>
    <cellStyle name="쉼표 [0] 2 35" xfId="10531" xr:uid="{00000000-0005-0000-0000-0000BA290000}"/>
    <cellStyle name="쉼표 [0] 2 36" xfId="10532" xr:uid="{00000000-0005-0000-0000-0000BB290000}"/>
    <cellStyle name="쉼표 [0] 2 37" xfId="10533" xr:uid="{00000000-0005-0000-0000-0000BC290000}"/>
    <cellStyle name="쉼표 [0] 2 38" xfId="10534" xr:uid="{00000000-0005-0000-0000-0000BD290000}"/>
    <cellStyle name="쉼표 [0] 2 38 2" xfId="10535" xr:uid="{00000000-0005-0000-0000-0000BE290000}"/>
    <cellStyle name="쉼표 [0] 2 39" xfId="10536" xr:uid="{00000000-0005-0000-0000-0000BF290000}"/>
    <cellStyle name="쉼표 [0] 2 39 2" xfId="10537" xr:uid="{00000000-0005-0000-0000-0000C0290000}"/>
    <cellStyle name="쉼표 [0] 2 4" xfId="10538" xr:uid="{00000000-0005-0000-0000-0000C1290000}"/>
    <cellStyle name="쉼표 [0] 2 4 10" xfId="10539" xr:uid="{00000000-0005-0000-0000-0000C2290000}"/>
    <cellStyle name="쉼표 [0] 2 4 10 2" xfId="10540" xr:uid="{00000000-0005-0000-0000-0000C3290000}"/>
    <cellStyle name="쉼표 [0] 2 4 10 2 2" xfId="10541" xr:uid="{00000000-0005-0000-0000-0000C4290000}"/>
    <cellStyle name="쉼표 [0] 2 4 10 3" xfId="10542" xr:uid="{00000000-0005-0000-0000-0000C5290000}"/>
    <cellStyle name="쉼표 [0] 2 4 10 3 2" xfId="10543" xr:uid="{00000000-0005-0000-0000-0000C6290000}"/>
    <cellStyle name="쉼표 [0] 2 4 10 4" xfId="10544" xr:uid="{00000000-0005-0000-0000-0000C7290000}"/>
    <cellStyle name="쉼표 [0] 2 4 10 4 2" xfId="10545" xr:uid="{00000000-0005-0000-0000-0000C8290000}"/>
    <cellStyle name="쉼표 [0] 2 4 10 5" xfId="10546" xr:uid="{00000000-0005-0000-0000-0000C9290000}"/>
    <cellStyle name="쉼표 [0] 2 4 10 5 2" xfId="10547" xr:uid="{00000000-0005-0000-0000-0000CA290000}"/>
    <cellStyle name="쉼표 [0] 2 4 10 6" xfId="10548" xr:uid="{00000000-0005-0000-0000-0000CB290000}"/>
    <cellStyle name="쉼표 [0] 2 4 10 6 2" xfId="10549" xr:uid="{00000000-0005-0000-0000-0000CC290000}"/>
    <cellStyle name="쉼표 [0] 2 4 10 7" xfId="10550" xr:uid="{00000000-0005-0000-0000-0000CD290000}"/>
    <cellStyle name="쉼표 [0] 2 4 11" xfId="10551" xr:uid="{00000000-0005-0000-0000-0000CE290000}"/>
    <cellStyle name="쉼표 [0] 2 4 11 2" xfId="10552" xr:uid="{00000000-0005-0000-0000-0000CF290000}"/>
    <cellStyle name="쉼표 [0] 2 4 11 2 2" xfId="10553" xr:uid="{00000000-0005-0000-0000-0000D0290000}"/>
    <cellStyle name="쉼표 [0] 2 4 11 3" xfId="10554" xr:uid="{00000000-0005-0000-0000-0000D1290000}"/>
    <cellStyle name="쉼표 [0] 2 4 11 3 2" xfId="10555" xr:uid="{00000000-0005-0000-0000-0000D2290000}"/>
    <cellStyle name="쉼표 [0] 2 4 11 4" xfId="10556" xr:uid="{00000000-0005-0000-0000-0000D3290000}"/>
    <cellStyle name="쉼표 [0] 2 4 11 4 2" xfId="10557" xr:uid="{00000000-0005-0000-0000-0000D4290000}"/>
    <cellStyle name="쉼표 [0] 2 4 11 5" xfId="10558" xr:uid="{00000000-0005-0000-0000-0000D5290000}"/>
    <cellStyle name="쉼표 [0] 2 4 11 5 2" xfId="10559" xr:uid="{00000000-0005-0000-0000-0000D6290000}"/>
    <cellStyle name="쉼표 [0] 2 4 11 6" xfId="10560" xr:uid="{00000000-0005-0000-0000-0000D7290000}"/>
    <cellStyle name="쉼표 [0] 2 4 11 6 2" xfId="10561" xr:uid="{00000000-0005-0000-0000-0000D8290000}"/>
    <cellStyle name="쉼표 [0] 2 4 11 7" xfId="10562" xr:uid="{00000000-0005-0000-0000-0000D9290000}"/>
    <cellStyle name="쉼표 [0] 2 4 12" xfId="10563" xr:uid="{00000000-0005-0000-0000-0000DA290000}"/>
    <cellStyle name="쉼표 [0] 2 4 12 2" xfId="10564" xr:uid="{00000000-0005-0000-0000-0000DB290000}"/>
    <cellStyle name="쉼표 [0] 2 4 12 2 2" xfId="10565" xr:uid="{00000000-0005-0000-0000-0000DC290000}"/>
    <cellStyle name="쉼표 [0] 2 4 12 3" xfId="10566" xr:uid="{00000000-0005-0000-0000-0000DD290000}"/>
    <cellStyle name="쉼표 [0] 2 4 12 3 2" xfId="10567" xr:uid="{00000000-0005-0000-0000-0000DE290000}"/>
    <cellStyle name="쉼표 [0] 2 4 12 4" xfId="10568" xr:uid="{00000000-0005-0000-0000-0000DF290000}"/>
    <cellStyle name="쉼표 [0] 2 4 12 4 2" xfId="10569" xr:uid="{00000000-0005-0000-0000-0000E0290000}"/>
    <cellStyle name="쉼표 [0] 2 4 12 5" xfId="10570" xr:uid="{00000000-0005-0000-0000-0000E1290000}"/>
    <cellStyle name="쉼표 [0] 2 4 12 5 2" xfId="10571" xr:uid="{00000000-0005-0000-0000-0000E2290000}"/>
    <cellStyle name="쉼표 [0] 2 4 12 6" xfId="10572" xr:uid="{00000000-0005-0000-0000-0000E3290000}"/>
    <cellStyle name="쉼표 [0] 2 4 12 6 2" xfId="10573" xr:uid="{00000000-0005-0000-0000-0000E4290000}"/>
    <cellStyle name="쉼표 [0] 2 4 12 7" xfId="10574" xr:uid="{00000000-0005-0000-0000-0000E5290000}"/>
    <cellStyle name="쉼표 [0] 2 4 13" xfId="10575" xr:uid="{00000000-0005-0000-0000-0000E6290000}"/>
    <cellStyle name="쉼표 [0] 2 4 13 2" xfId="10576" xr:uid="{00000000-0005-0000-0000-0000E7290000}"/>
    <cellStyle name="쉼표 [0] 2 4 13 2 2" xfId="10577" xr:uid="{00000000-0005-0000-0000-0000E8290000}"/>
    <cellStyle name="쉼표 [0] 2 4 13 3" xfId="10578" xr:uid="{00000000-0005-0000-0000-0000E9290000}"/>
    <cellStyle name="쉼표 [0] 2 4 13 3 2" xfId="10579" xr:uid="{00000000-0005-0000-0000-0000EA290000}"/>
    <cellStyle name="쉼표 [0] 2 4 13 4" xfId="10580" xr:uid="{00000000-0005-0000-0000-0000EB290000}"/>
    <cellStyle name="쉼표 [0] 2 4 13 4 2" xfId="10581" xr:uid="{00000000-0005-0000-0000-0000EC290000}"/>
    <cellStyle name="쉼표 [0] 2 4 13 5" xfId="10582" xr:uid="{00000000-0005-0000-0000-0000ED290000}"/>
    <cellStyle name="쉼표 [0] 2 4 13 5 2" xfId="10583" xr:uid="{00000000-0005-0000-0000-0000EE290000}"/>
    <cellStyle name="쉼표 [0] 2 4 13 6" xfId="10584" xr:uid="{00000000-0005-0000-0000-0000EF290000}"/>
    <cellStyle name="쉼표 [0] 2 4 13 6 2" xfId="10585" xr:uid="{00000000-0005-0000-0000-0000F0290000}"/>
    <cellStyle name="쉼표 [0] 2 4 13 7" xfId="10586" xr:uid="{00000000-0005-0000-0000-0000F1290000}"/>
    <cellStyle name="쉼표 [0] 2 4 14" xfId="10587" xr:uid="{00000000-0005-0000-0000-0000F2290000}"/>
    <cellStyle name="쉼표 [0] 2 4 14 2" xfId="10588" xr:uid="{00000000-0005-0000-0000-0000F3290000}"/>
    <cellStyle name="쉼표 [0] 2 4 14 2 2" xfId="10589" xr:uid="{00000000-0005-0000-0000-0000F4290000}"/>
    <cellStyle name="쉼표 [0] 2 4 14 3" xfId="10590" xr:uid="{00000000-0005-0000-0000-0000F5290000}"/>
    <cellStyle name="쉼표 [0] 2 4 14 3 2" xfId="10591" xr:uid="{00000000-0005-0000-0000-0000F6290000}"/>
    <cellStyle name="쉼표 [0] 2 4 14 4" xfId="10592" xr:uid="{00000000-0005-0000-0000-0000F7290000}"/>
    <cellStyle name="쉼표 [0] 2 4 14 4 2" xfId="10593" xr:uid="{00000000-0005-0000-0000-0000F8290000}"/>
    <cellStyle name="쉼표 [0] 2 4 14 5" xfId="10594" xr:uid="{00000000-0005-0000-0000-0000F9290000}"/>
    <cellStyle name="쉼표 [0] 2 4 14 5 2" xfId="10595" xr:uid="{00000000-0005-0000-0000-0000FA290000}"/>
    <cellStyle name="쉼표 [0] 2 4 14 6" xfId="10596" xr:uid="{00000000-0005-0000-0000-0000FB290000}"/>
    <cellStyle name="쉼표 [0] 2 4 14 6 2" xfId="10597" xr:uid="{00000000-0005-0000-0000-0000FC290000}"/>
    <cellStyle name="쉼표 [0] 2 4 14 7" xfId="10598" xr:uid="{00000000-0005-0000-0000-0000FD290000}"/>
    <cellStyle name="쉼표 [0] 2 4 15" xfId="10599" xr:uid="{00000000-0005-0000-0000-0000FE290000}"/>
    <cellStyle name="쉼표 [0] 2 4 15 2" xfId="10600" xr:uid="{00000000-0005-0000-0000-0000FF290000}"/>
    <cellStyle name="쉼표 [0] 2 4 15 2 2" xfId="10601" xr:uid="{00000000-0005-0000-0000-0000002A0000}"/>
    <cellStyle name="쉼표 [0] 2 4 15 3" xfId="10602" xr:uid="{00000000-0005-0000-0000-0000012A0000}"/>
    <cellStyle name="쉼표 [0] 2 4 15 3 2" xfId="10603" xr:uid="{00000000-0005-0000-0000-0000022A0000}"/>
    <cellStyle name="쉼표 [0] 2 4 15 4" xfId="10604" xr:uid="{00000000-0005-0000-0000-0000032A0000}"/>
    <cellStyle name="쉼표 [0] 2 4 15 4 2" xfId="10605" xr:uid="{00000000-0005-0000-0000-0000042A0000}"/>
    <cellStyle name="쉼표 [0] 2 4 15 5" xfId="10606" xr:uid="{00000000-0005-0000-0000-0000052A0000}"/>
    <cellStyle name="쉼표 [0] 2 4 15 5 2" xfId="10607" xr:uid="{00000000-0005-0000-0000-0000062A0000}"/>
    <cellStyle name="쉼표 [0] 2 4 15 6" xfId="10608" xr:uid="{00000000-0005-0000-0000-0000072A0000}"/>
    <cellStyle name="쉼표 [0] 2 4 15 6 2" xfId="10609" xr:uid="{00000000-0005-0000-0000-0000082A0000}"/>
    <cellStyle name="쉼표 [0] 2 4 15 7" xfId="10610" xr:uid="{00000000-0005-0000-0000-0000092A0000}"/>
    <cellStyle name="쉼표 [0] 2 4 16" xfId="10611" xr:uid="{00000000-0005-0000-0000-00000A2A0000}"/>
    <cellStyle name="쉼표 [0] 2 4 16 2" xfId="10612" xr:uid="{00000000-0005-0000-0000-00000B2A0000}"/>
    <cellStyle name="쉼표 [0] 2 4 16 2 2" xfId="10613" xr:uid="{00000000-0005-0000-0000-00000C2A0000}"/>
    <cellStyle name="쉼표 [0] 2 4 16 3" xfId="10614" xr:uid="{00000000-0005-0000-0000-00000D2A0000}"/>
    <cellStyle name="쉼표 [0] 2 4 16 3 2" xfId="10615" xr:uid="{00000000-0005-0000-0000-00000E2A0000}"/>
    <cellStyle name="쉼표 [0] 2 4 16 4" xfId="10616" xr:uid="{00000000-0005-0000-0000-00000F2A0000}"/>
    <cellStyle name="쉼표 [0] 2 4 16 4 2" xfId="10617" xr:uid="{00000000-0005-0000-0000-0000102A0000}"/>
    <cellStyle name="쉼표 [0] 2 4 16 5" xfId="10618" xr:uid="{00000000-0005-0000-0000-0000112A0000}"/>
    <cellStyle name="쉼표 [0] 2 4 16 5 2" xfId="10619" xr:uid="{00000000-0005-0000-0000-0000122A0000}"/>
    <cellStyle name="쉼표 [0] 2 4 16 6" xfId="10620" xr:uid="{00000000-0005-0000-0000-0000132A0000}"/>
    <cellStyle name="쉼표 [0] 2 4 16 6 2" xfId="10621" xr:uid="{00000000-0005-0000-0000-0000142A0000}"/>
    <cellStyle name="쉼표 [0] 2 4 16 7" xfId="10622" xr:uid="{00000000-0005-0000-0000-0000152A0000}"/>
    <cellStyle name="쉼표 [0] 2 4 17" xfId="10623" xr:uid="{00000000-0005-0000-0000-0000162A0000}"/>
    <cellStyle name="쉼표 [0] 2 4 17 2" xfId="10624" xr:uid="{00000000-0005-0000-0000-0000172A0000}"/>
    <cellStyle name="쉼표 [0] 2 4 17 2 2" xfId="10625" xr:uid="{00000000-0005-0000-0000-0000182A0000}"/>
    <cellStyle name="쉼표 [0] 2 4 17 3" xfId="10626" xr:uid="{00000000-0005-0000-0000-0000192A0000}"/>
    <cellStyle name="쉼표 [0] 2 4 17 3 2" xfId="10627" xr:uid="{00000000-0005-0000-0000-00001A2A0000}"/>
    <cellStyle name="쉼표 [0] 2 4 17 4" xfId="10628" xr:uid="{00000000-0005-0000-0000-00001B2A0000}"/>
    <cellStyle name="쉼표 [0] 2 4 17 4 2" xfId="10629" xr:uid="{00000000-0005-0000-0000-00001C2A0000}"/>
    <cellStyle name="쉼표 [0] 2 4 17 5" xfId="10630" xr:uid="{00000000-0005-0000-0000-00001D2A0000}"/>
    <cellStyle name="쉼표 [0] 2 4 17 5 2" xfId="10631" xr:uid="{00000000-0005-0000-0000-00001E2A0000}"/>
    <cellStyle name="쉼표 [0] 2 4 17 6" xfId="10632" xr:uid="{00000000-0005-0000-0000-00001F2A0000}"/>
    <cellStyle name="쉼표 [0] 2 4 17 6 2" xfId="10633" xr:uid="{00000000-0005-0000-0000-0000202A0000}"/>
    <cellStyle name="쉼표 [0] 2 4 17 7" xfId="10634" xr:uid="{00000000-0005-0000-0000-0000212A0000}"/>
    <cellStyle name="쉼표 [0] 2 4 18" xfId="10635" xr:uid="{00000000-0005-0000-0000-0000222A0000}"/>
    <cellStyle name="쉼표 [0] 2 4 18 2" xfId="10636" xr:uid="{00000000-0005-0000-0000-0000232A0000}"/>
    <cellStyle name="쉼표 [0] 2 4 18 2 2" xfId="10637" xr:uid="{00000000-0005-0000-0000-0000242A0000}"/>
    <cellStyle name="쉼표 [0] 2 4 18 3" xfId="10638" xr:uid="{00000000-0005-0000-0000-0000252A0000}"/>
    <cellStyle name="쉼표 [0] 2 4 18 3 2" xfId="10639" xr:uid="{00000000-0005-0000-0000-0000262A0000}"/>
    <cellStyle name="쉼표 [0] 2 4 18 4" xfId="10640" xr:uid="{00000000-0005-0000-0000-0000272A0000}"/>
    <cellStyle name="쉼표 [0] 2 4 18 4 2" xfId="10641" xr:uid="{00000000-0005-0000-0000-0000282A0000}"/>
    <cellStyle name="쉼표 [0] 2 4 18 5" xfId="10642" xr:uid="{00000000-0005-0000-0000-0000292A0000}"/>
    <cellStyle name="쉼표 [0] 2 4 18 5 2" xfId="10643" xr:uid="{00000000-0005-0000-0000-00002A2A0000}"/>
    <cellStyle name="쉼표 [0] 2 4 18 6" xfId="10644" xr:uid="{00000000-0005-0000-0000-00002B2A0000}"/>
    <cellStyle name="쉼표 [0] 2 4 18 6 2" xfId="10645" xr:uid="{00000000-0005-0000-0000-00002C2A0000}"/>
    <cellStyle name="쉼표 [0] 2 4 18 7" xfId="10646" xr:uid="{00000000-0005-0000-0000-00002D2A0000}"/>
    <cellStyle name="쉼표 [0] 2 4 19" xfId="10647" xr:uid="{00000000-0005-0000-0000-00002E2A0000}"/>
    <cellStyle name="쉼표 [0] 2 4 19 2" xfId="10648" xr:uid="{00000000-0005-0000-0000-00002F2A0000}"/>
    <cellStyle name="쉼표 [0] 2 4 19 2 2" xfId="10649" xr:uid="{00000000-0005-0000-0000-0000302A0000}"/>
    <cellStyle name="쉼표 [0] 2 4 19 3" xfId="10650" xr:uid="{00000000-0005-0000-0000-0000312A0000}"/>
    <cellStyle name="쉼표 [0] 2 4 19 3 2" xfId="10651" xr:uid="{00000000-0005-0000-0000-0000322A0000}"/>
    <cellStyle name="쉼표 [0] 2 4 19 4" xfId="10652" xr:uid="{00000000-0005-0000-0000-0000332A0000}"/>
    <cellStyle name="쉼표 [0] 2 4 19 4 2" xfId="10653" xr:uid="{00000000-0005-0000-0000-0000342A0000}"/>
    <cellStyle name="쉼표 [0] 2 4 19 5" xfId="10654" xr:uid="{00000000-0005-0000-0000-0000352A0000}"/>
    <cellStyle name="쉼표 [0] 2 4 19 5 2" xfId="10655" xr:uid="{00000000-0005-0000-0000-0000362A0000}"/>
    <cellStyle name="쉼표 [0] 2 4 19 6" xfId="10656" xr:uid="{00000000-0005-0000-0000-0000372A0000}"/>
    <cellStyle name="쉼표 [0] 2 4 19 6 2" xfId="10657" xr:uid="{00000000-0005-0000-0000-0000382A0000}"/>
    <cellStyle name="쉼표 [0] 2 4 19 7" xfId="10658" xr:uid="{00000000-0005-0000-0000-0000392A0000}"/>
    <cellStyle name="쉼표 [0] 2 4 2" xfId="10659" xr:uid="{00000000-0005-0000-0000-00003A2A0000}"/>
    <cellStyle name="쉼표 [0] 2 4 2 2" xfId="10660" xr:uid="{00000000-0005-0000-0000-00003B2A0000}"/>
    <cellStyle name="쉼표 [0] 2 4 2 2 2" xfId="10661" xr:uid="{00000000-0005-0000-0000-00003C2A0000}"/>
    <cellStyle name="쉼표 [0] 2 4 2 3" xfId="10662" xr:uid="{00000000-0005-0000-0000-00003D2A0000}"/>
    <cellStyle name="쉼표 [0] 2 4 2 3 2" xfId="10663" xr:uid="{00000000-0005-0000-0000-00003E2A0000}"/>
    <cellStyle name="쉼표 [0] 2 4 2 4" xfId="10664" xr:uid="{00000000-0005-0000-0000-00003F2A0000}"/>
    <cellStyle name="쉼표 [0] 2 4 2 4 2" xfId="10665" xr:uid="{00000000-0005-0000-0000-0000402A0000}"/>
    <cellStyle name="쉼표 [0] 2 4 2 5" xfId="10666" xr:uid="{00000000-0005-0000-0000-0000412A0000}"/>
    <cellStyle name="쉼표 [0] 2 4 2 5 2" xfId="10667" xr:uid="{00000000-0005-0000-0000-0000422A0000}"/>
    <cellStyle name="쉼표 [0] 2 4 2 6" xfId="10668" xr:uid="{00000000-0005-0000-0000-0000432A0000}"/>
    <cellStyle name="쉼표 [0] 2 4 2 6 2" xfId="10669" xr:uid="{00000000-0005-0000-0000-0000442A0000}"/>
    <cellStyle name="쉼표 [0] 2 4 2 7" xfId="10670" xr:uid="{00000000-0005-0000-0000-0000452A0000}"/>
    <cellStyle name="쉼표 [0] 2 4 2 7 2" xfId="10671" xr:uid="{00000000-0005-0000-0000-0000462A0000}"/>
    <cellStyle name="쉼표 [0] 2 4 2 8" xfId="10672" xr:uid="{00000000-0005-0000-0000-0000472A0000}"/>
    <cellStyle name="쉼표 [0] 2 4 2 8 2" xfId="10673" xr:uid="{00000000-0005-0000-0000-0000482A0000}"/>
    <cellStyle name="쉼표 [0] 2 4 20" xfId="10674" xr:uid="{00000000-0005-0000-0000-0000492A0000}"/>
    <cellStyle name="쉼표 [0] 2 4 20 2" xfId="10675" xr:uid="{00000000-0005-0000-0000-00004A2A0000}"/>
    <cellStyle name="쉼표 [0] 2 4 21" xfId="10676" xr:uid="{00000000-0005-0000-0000-00004B2A0000}"/>
    <cellStyle name="쉼표 [0] 2 4 21 2" xfId="10677" xr:uid="{00000000-0005-0000-0000-00004C2A0000}"/>
    <cellStyle name="쉼표 [0] 2 4 22" xfId="10678" xr:uid="{00000000-0005-0000-0000-00004D2A0000}"/>
    <cellStyle name="쉼표 [0] 2 4 22 2" xfId="10679" xr:uid="{00000000-0005-0000-0000-00004E2A0000}"/>
    <cellStyle name="쉼표 [0] 2 4 23" xfId="10680" xr:uid="{00000000-0005-0000-0000-00004F2A0000}"/>
    <cellStyle name="쉼표 [0] 2 4 23 2" xfId="10681" xr:uid="{00000000-0005-0000-0000-0000502A0000}"/>
    <cellStyle name="쉼표 [0] 2 4 24" xfId="10682" xr:uid="{00000000-0005-0000-0000-0000512A0000}"/>
    <cellStyle name="쉼표 [0] 2 4 25" xfId="10683" xr:uid="{00000000-0005-0000-0000-0000522A0000}"/>
    <cellStyle name="쉼표 [0] 2 4 26" xfId="10684" xr:uid="{00000000-0005-0000-0000-0000532A0000}"/>
    <cellStyle name="쉼표 [0] 2 4 26 2" xfId="10685" xr:uid="{00000000-0005-0000-0000-0000542A0000}"/>
    <cellStyle name="쉼표 [0] 2 4 27" xfId="10686" xr:uid="{00000000-0005-0000-0000-0000552A0000}"/>
    <cellStyle name="쉼표 [0] 2 4 27 2" xfId="10687" xr:uid="{00000000-0005-0000-0000-0000562A0000}"/>
    <cellStyle name="쉼표 [0] 2 4 28" xfId="10688" xr:uid="{00000000-0005-0000-0000-0000572A0000}"/>
    <cellStyle name="쉼표 [0] 2 4 28 2" xfId="10689" xr:uid="{00000000-0005-0000-0000-0000582A0000}"/>
    <cellStyle name="쉼표 [0] 2 4 29" xfId="10690" xr:uid="{00000000-0005-0000-0000-0000592A0000}"/>
    <cellStyle name="쉼표 [0] 2 4 3" xfId="10691" xr:uid="{00000000-0005-0000-0000-00005A2A0000}"/>
    <cellStyle name="쉼표 [0] 2 4 3 2" xfId="10692" xr:uid="{00000000-0005-0000-0000-00005B2A0000}"/>
    <cellStyle name="쉼표 [0] 2 4 3 2 2" xfId="10693" xr:uid="{00000000-0005-0000-0000-00005C2A0000}"/>
    <cellStyle name="쉼표 [0] 2 4 3 3" xfId="10694" xr:uid="{00000000-0005-0000-0000-00005D2A0000}"/>
    <cellStyle name="쉼표 [0] 2 4 3 3 2" xfId="10695" xr:uid="{00000000-0005-0000-0000-00005E2A0000}"/>
    <cellStyle name="쉼표 [0] 2 4 3 4" xfId="10696" xr:uid="{00000000-0005-0000-0000-00005F2A0000}"/>
    <cellStyle name="쉼표 [0] 2 4 3 4 2" xfId="10697" xr:uid="{00000000-0005-0000-0000-0000602A0000}"/>
    <cellStyle name="쉼표 [0] 2 4 3 5" xfId="10698" xr:uid="{00000000-0005-0000-0000-0000612A0000}"/>
    <cellStyle name="쉼표 [0] 2 4 3 5 2" xfId="10699" xr:uid="{00000000-0005-0000-0000-0000622A0000}"/>
    <cellStyle name="쉼표 [0] 2 4 3 6" xfId="10700" xr:uid="{00000000-0005-0000-0000-0000632A0000}"/>
    <cellStyle name="쉼표 [0] 2 4 3 6 2" xfId="10701" xr:uid="{00000000-0005-0000-0000-0000642A0000}"/>
    <cellStyle name="쉼표 [0] 2 4 3 7" xfId="10702" xr:uid="{00000000-0005-0000-0000-0000652A0000}"/>
    <cellStyle name="쉼표 [0] 2 4 4" xfId="10703" xr:uid="{00000000-0005-0000-0000-0000662A0000}"/>
    <cellStyle name="쉼표 [0] 2 4 4 2" xfId="10704" xr:uid="{00000000-0005-0000-0000-0000672A0000}"/>
    <cellStyle name="쉼표 [0] 2 4 4 2 2" xfId="10705" xr:uid="{00000000-0005-0000-0000-0000682A0000}"/>
    <cellStyle name="쉼표 [0] 2 4 4 3" xfId="10706" xr:uid="{00000000-0005-0000-0000-0000692A0000}"/>
    <cellStyle name="쉼표 [0] 2 4 4 3 2" xfId="10707" xr:uid="{00000000-0005-0000-0000-00006A2A0000}"/>
    <cellStyle name="쉼표 [0] 2 4 4 4" xfId="10708" xr:uid="{00000000-0005-0000-0000-00006B2A0000}"/>
    <cellStyle name="쉼표 [0] 2 4 4 4 2" xfId="10709" xr:uid="{00000000-0005-0000-0000-00006C2A0000}"/>
    <cellStyle name="쉼표 [0] 2 4 4 5" xfId="10710" xr:uid="{00000000-0005-0000-0000-00006D2A0000}"/>
    <cellStyle name="쉼표 [0] 2 4 4 5 2" xfId="10711" xr:uid="{00000000-0005-0000-0000-00006E2A0000}"/>
    <cellStyle name="쉼표 [0] 2 4 4 6" xfId="10712" xr:uid="{00000000-0005-0000-0000-00006F2A0000}"/>
    <cellStyle name="쉼표 [0] 2 4 4 6 2" xfId="10713" xr:uid="{00000000-0005-0000-0000-0000702A0000}"/>
    <cellStyle name="쉼표 [0] 2 4 4 7" xfId="10714" xr:uid="{00000000-0005-0000-0000-0000712A0000}"/>
    <cellStyle name="쉼표 [0] 2 4 5" xfId="10715" xr:uid="{00000000-0005-0000-0000-0000722A0000}"/>
    <cellStyle name="쉼표 [0] 2 4 5 2" xfId="10716" xr:uid="{00000000-0005-0000-0000-0000732A0000}"/>
    <cellStyle name="쉼표 [0] 2 4 5 2 2" xfId="10717" xr:uid="{00000000-0005-0000-0000-0000742A0000}"/>
    <cellStyle name="쉼표 [0] 2 4 5 3" xfId="10718" xr:uid="{00000000-0005-0000-0000-0000752A0000}"/>
    <cellStyle name="쉼표 [0] 2 4 5 3 2" xfId="10719" xr:uid="{00000000-0005-0000-0000-0000762A0000}"/>
    <cellStyle name="쉼표 [0] 2 4 5 4" xfId="10720" xr:uid="{00000000-0005-0000-0000-0000772A0000}"/>
    <cellStyle name="쉼표 [0] 2 4 5 4 2" xfId="10721" xr:uid="{00000000-0005-0000-0000-0000782A0000}"/>
    <cellStyle name="쉼표 [0] 2 4 5 5" xfId="10722" xr:uid="{00000000-0005-0000-0000-0000792A0000}"/>
    <cellStyle name="쉼표 [0] 2 4 5 5 2" xfId="10723" xr:uid="{00000000-0005-0000-0000-00007A2A0000}"/>
    <cellStyle name="쉼표 [0] 2 4 5 6" xfId="10724" xr:uid="{00000000-0005-0000-0000-00007B2A0000}"/>
    <cellStyle name="쉼표 [0] 2 4 5 6 2" xfId="10725" xr:uid="{00000000-0005-0000-0000-00007C2A0000}"/>
    <cellStyle name="쉼표 [0] 2 4 5 7" xfId="10726" xr:uid="{00000000-0005-0000-0000-00007D2A0000}"/>
    <cellStyle name="쉼표 [0] 2 4 6" xfId="10727" xr:uid="{00000000-0005-0000-0000-00007E2A0000}"/>
    <cellStyle name="쉼표 [0] 2 4 6 2" xfId="10728" xr:uid="{00000000-0005-0000-0000-00007F2A0000}"/>
    <cellStyle name="쉼표 [0] 2 4 6 2 2" xfId="10729" xr:uid="{00000000-0005-0000-0000-0000802A0000}"/>
    <cellStyle name="쉼표 [0] 2 4 6 3" xfId="10730" xr:uid="{00000000-0005-0000-0000-0000812A0000}"/>
    <cellStyle name="쉼표 [0] 2 4 6 3 2" xfId="10731" xr:uid="{00000000-0005-0000-0000-0000822A0000}"/>
    <cellStyle name="쉼표 [0] 2 4 6 4" xfId="10732" xr:uid="{00000000-0005-0000-0000-0000832A0000}"/>
    <cellStyle name="쉼표 [0] 2 4 6 4 2" xfId="10733" xr:uid="{00000000-0005-0000-0000-0000842A0000}"/>
    <cellStyle name="쉼표 [0] 2 4 6 5" xfId="10734" xr:uid="{00000000-0005-0000-0000-0000852A0000}"/>
    <cellStyle name="쉼표 [0] 2 4 6 5 2" xfId="10735" xr:uid="{00000000-0005-0000-0000-0000862A0000}"/>
    <cellStyle name="쉼표 [0] 2 4 6 6" xfId="10736" xr:uid="{00000000-0005-0000-0000-0000872A0000}"/>
    <cellStyle name="쉼표 [0] 2 4 6 6 2" xfId="10737" xr:uid="{00000000-0005-0000-0000-0000882A0000}"/>
    <cellStyle name="쉼표 [0] 2 4 6 7" xfId="10738" xr:uid="{00000000-0005-0000-0000-0000892A0000}"/>
    <cellStyle name="쉼표 [0] 2 4 7" xfId="10739" xr:uid="{00000000-0005-0000-0000-00008A2A0000}"/>
    <cellStyle name="쉼표 [0] 2 4 7 2" xfId="10740" xr:uid="{00000000-0005-0000-0000-00008B2A0000}"/>
    <cellStyle name="쉼표 [0] 2 4 7 2 2" xfId="10741" xr:uid="{00000000-0005-0000-0000-00008C2A0000}"/>
    <cellStyle name="쉼표 [0] 2 4 7 3" xfId="10742" xr:uid="{00000000-0005-0000-0000-00008D2A0000}"/>
    <cellStyle name="쉼표 [0] 2 4 7 3 2" xfId="10743" xr:uid="{00000000-0005-0000-0000-00008E2A0000}"/>
    <cellStyle name="쉼표 [0] 2 4 7 4" xfId="10744" xr:uid="{00000000-0005-0000-0000-00008F2A0000}"/>
    <cellStyle name="쉼표 [0] 2 4 7 4 2" xfId="10745" xr:uid="{00000000-0005-0000-0000-0000902A0000}"/>
    <cellStyle name="쉼표 [0] 2 4 7 5" xfId="10746" xr:uid="{00000000-0005-0000-0000-0000912A0000}"/>
    <cellStyle name="쉼표 [0] 2 4 7 5 2" xfId="10747" xr:uid="{00000000-0005-0000-0000-0000922A0000}"/>
    <cellStyle name="쉼표 [0] 2 4 7 6" xfId="10748" xr:uid="{00000000-0005-0000-0000-0000932A0000}"/>
    <cellStyle name="쉼표 [0] 2 4 7 6 2" xfId="10749" xr:uid="{00000000-0005-0000-0000-0000942A0000}"/>
    <cellStyle name="쉼표 [0] 2 4 7 7" xfId="10750" xr:uid="{00000000-0005-0000-0000-0000952A0000}"/>
    <cellStyle name="쉼표 [0] 2 4 8" xfId="10751" xr:uid="{00000000-0005-0000-0000-0000962A0000}"/>
    <cellStyle name="쉼표 [0] 2 4 8 2" xfId="10752" xr:uid="{00000000-0005-0000-0000-0000972A0000}"/>
    <cellStyle name="쉼표 [0] 2 4 8 2 2" xfId="10753" xr:uid="{00000000-0005-0000-0000-0000982A0000}"/>
    <cellStyle name="쉼표 [0] 2 4 8 3" xfId="10754" xr:uid="{00000000-0005-0000-0000-0000992A0000}"/>
    <cellStyle name="쉼표 [0] 2 4 8 3 2" xfId="10755" xr:uid="{00000000-0005-0000-0000-00009A2A0000}"/>
    <cellStyle name="쉼표 [0] 2 4 8 4" xfId="10756" xr:uid="{00000000-0005-0000-0000-00009B2A0000}"/>
    <cellStyle name="쉼표 [0] 2 4 8 4 2" xfId="10757" xr:uid="{00000000-0005-0000-0000-00009C2A0000}"/>
    <cellStyle name="쉼표 [0] 2 4 8 5" xfId="10758" xr:uid="{00000000-0005-0000-0000-00009D2A0000}"/>
    <cellStyle name="쉼표 [0] 2 4 8 5 2" xfId="10759" xr:uid="{00000000-0005-0000-0000-00009E2A0000}"/>
    <cellStyle name="쉼표 [0] 2 4 8 6" xfId="10760" xr:uid="{00000000-0005-0000-0000-00009F2A0000}"/>
    <cellStyle name="쉼표 [0] 2 4 8 6 2" xfId="10761" xr:uid="{00000000-0005-0000-0000-0000A02A0000}"/>
    <cellStyle name="쉼표 [0] 2 4 8 7" xfId="10762" xr:uid="{00000000-0005-0000-0000-0000A12A0000}"/>
    <cellStyle name="쉼표 [0] 2 4 9" xfId="10763" xr:uid="{00000000-0005-0000-0000-0000A22A0000}"/>
    <cellStyle name="쉼표 [0] 2 4 9 2" xfId="10764" xr:uid="{00000000-0005-0000-0000-0000A32A0000}"/>
    <cellStyle name="쉼표 [0] 2 4 9 2 2" xfId="10765" xr:uid="{00000000-0005-0000-0000-0000A42A0000}"/>
    <cellStyle name="쉼표 [0] 2 4 9 3" xfId="10766" xr:uid="{00000000-0005-0000-0000-0000A52A0000}"/>
    <cellStyle name="쉼표 [0] 2 4 9 3 2" xfId="10767" xr:uid="{00000000-0005-0000-0000-0000A62A0000}"/>
    <cellStyle name="쉼표 [0] 2 4 9 4" xfId="10768" xr:uid="{00000000-0005-0000-0000-0000A72A0000}"/>
    <cellStyle name="쉼표 [0] 2 4 9 4 2" xfId="10769" xr:uid="{00000000-0005-0000-0000-0000A82A0000}"/>
    <cellStyle name="쉼표 [0] 2 4 9 5" xfId="10770" xr:uid="{00000000-0005-0000-0000-0000A92A0000}"/>
    <cellStyle name="쉼표 [0] 2 4 9 5 2" xfId="10771" xr:uid="{00000000-0005-0000-0000-0000AA2A0000}"/>
    <cellStyle name="쉼표 [0] 2 4 9 6" xfId="10772" xr:uid="{00000000-0005-0000-0000-0000AB2A0000}"/>
    <cellStyle name="쉼표 [0] 2 4 9 6 2" xfId="10773" xr:uid="{00000000-0005-0000-0000-0000AC2A0000}"/>
    <cellStyle name="쉼표 [0] 2 4 9 7" xfId="10774" xr:uid="{00000000-0005-0000-0000-0000AD2A0000}"/>
    <cellStyle name="쉼표 [0] 2 40" xfId="10775" xr:uid="{00000000-0005-0000-0000-0000AE2A0000}"/>
    <cellStyle name="쉼표 [0] 2 40 2" xfId="10776" xr:uid="{00000000-0005-0000-0000-0000AF2A0000}"/>
    <cellStyle name="쉼표 [0] 2 41" xfId="10777" xr:uid="{00000000-0005-0000-0000-0000B02A0000}"/>
    <cellStyle name="쉼표 [0] 2 41 2" xfId="10778" xr:uid="{00000000-0005-0000-0000-0000B12A0000}"/>
    <cellStyle name="쉼표 [0] 2 42" xfId="10779" xr:uid="{00000000-0005-0000-0000-0000B22A0000}"/>
    <cellStyle name="쉼표 [0] 2 43" xfId="10780" xr:uid="{00000000-0005-0000-0000-0000B32A0000}"/>
    <cellStyle name="쉼표 [0] 2 44" xfId="10781" xr:uid="{00000000-0005-0000-0000-0000B42A0000}"/>
    <cellStyle name="쉼표 [0] 2 45" xfId="10782" xr:uid="{00000000-0005-0000-0000-0000B52A0000}"/>
    <cellStyle name="쉼표 [0] 2 46" xfId="10783" xr:uid="{00000000-0005-0000-0000-0000B62A0000}"/>
    <cellStyle name="쉼표 [0] 2 47" xfId="10784" xr:uid="{00000000-0005-0000-0000-0000B72A0000}"/>
    <cellStyle name="쉼표 [0] 2 47 2" xfId="10785" xr:uid="{00000000-0005-0000-0000-0000B82A0000}"/>
    <cellStyle name="쉼표 [0] 2 48" xfId="10786" xr:uid="{00000000-0005-0000-0000-0000B92A0000}"/>
    <cellStyle name="쉼표 [0] 2 48 2" xfId="10787" xr:uid="{00000000-0005-0000-0000-0000BA2A0000}"/>
    <cellStyle name="쉼표 [0] 2 49" xfId="10788" xr:uid="{00000000-0005-0000-0000-0000BB2A0000}"/>
    <cellStyle name="쉼표 [0] 2 49 2" xfId="10789" xr:uid="{00000000-0005-0000-0000-0000BC2A0000}"/>
    <cellStyle name="쉼표 [0] 2 5" xfId="10790" xr:uid="{00000000-0005-0000-0000-0000BD2A0000}"/>
    <cellStyle name="쉼표 [0] 2 5 10" xfId="10791" xr:uid="{00000000-0005-0000-0000-0000BE2A0000}"/>
    <cellStyle name="쉼표 [0] 2 5 10 2" xfId="10792" xr:uid="{00000000-0005-0000-0000-0000BF2A0000}"/>
    <cellStyle name="쉼표 [0] 2 5 10 2 2" xfId="10793" xr:uid="{00000000-0005-0000-0000-0000C02A0000}"/>
    <cellStyle name="쉼표 [0] 2 5 10 3" xfId="10794" xr:uid="{00000000-0005-0000-0000-0000C12A0000}"/>
    <cellStyle name="쉼표 [0] 2 5 10 3 2" xfId="10795" xr:uid="{00000000-0005-0000-0000-0000C22A0000}"/>
    <cellStyle name="쉼표 [0] 2 5 10 4" xfId="10796" xr:uid="{00000000-0005-0000-0000-0000C32A0000}"/>
    <cellStyle name="쉼표 [0] 2 5 10 4 2" xfId="10797" xr:uid="{00000000-0005-0000-0000-0000C42A0000}"/>
    <cellStyle name="쉼표 [0] 2 5 10 5" xfId="10798" xr:uid="{00000000-0005-0000-0000-0000C52A0000}"/>
    <cellStyle name="쉼표 [0] 2 5 10 5 2" xfId="10799" xr:uid="{00000000-0005-0000-0000-0000C62A0000}"/>
    <cellStyle name="쉼표 [0] 2 5 10 6" xfId="10800" xr:uid="{00000000-0005-0000-0000-0000C72A0000}"/>
    <cellStyle name="쉼표 [0] 2 5 10 6 2" xfId="10801" xr:uid="{00000000-0005-0000-0000-0000C82A0000}"/>
    <cellStyle name="쉼표 [0] 2 5 10 7" xfId="10802" xr:uid="{00000000-0005-0000-0000-0000C92A0000}"/>
    <cellStyle name="쉼표 [0] 2 5 11" xfId="10803" xr:uid="{00000000-0005-0000-0000-0000CA2A0000}"/>
    <cellStyle name="쉼표 [0] 2 5 11 2" xfId="10804" xr:uid="{00000000-0005-0000-0000-0000CB2A0000}"/>
    <cellStyle name="쉼표 [0] 2 5 11 2 2" xfId="10805" xr:uid="{00000000-0005-0000-0000-0000CC2A0000}"/>
    <cellStyle name="쉼표 [0] 2 5 11 3" xfId="10806" xr:uid="{00000000-0005-0000-0000-0000CD2A0000}"/>
    <cellStyle name="쉼표 [0] 2 5 11 3 2" xfId="10807" xr:uid="{00000000-0005-0000-0000-0000CE2A0000}"/>
    <cellStyle name="쉼표 [0] 2 5 11 4" xfId="10808" xr:uid="{00000000-0005-0000-0000-0000CF2A0000}"/>
    <cellStyle name="쉼표 [0] 2 5 11 4 2" xfId="10809" xr:uid="{00000000-0005-0000-0000-0000D02A0000}"/>
    <cellStyle name="쉼표 [0] 2 5 11 5" xfId="10810" xr:uid="{00000000-0005-0000-0000-0000D12A0000}"/>
    <cellStyle name="쉼표 [0] 2 5 11 5 2" xfId="10811" xr:uid="{00000000-0005-0000-0000-0000D22A0000}"/>
    <cellStyle name="쉼표 [0] 2 5 11 6" xfId="10812" xr:uid="{00000000-0005-0000-0000-0000D32A0000}"/>
    <cellStyle name="쉼표 [0] 2 5 11 6 2" xfId="10813" xr:uid="{00000000-0005-0000-0000-0000D42A0000}"/>
    <cellStyle name="쉼표 [0] 2 5 11 7" xfId="10814" xr:uid="{00000000-0005-0000-0000-0000D52A0000}"/>
    <cellStyle name="쉼표 [0] 2 5 12" xfId="10815" xr:uid="{00000000-0005-0000-0000-0000D62A0000}"/>
    <cellStyle name="쉼표 [0] 2 5 12 2" xfId="10816" xr:uid="{00000000-0005-0000-0000-0000D72A0000}"/>
    <cellStyle name="쉼표 [0] 2 5 12 2 2" xfId="10817" xr:uid="{00000000-0005-0000-0000-0000D82A0000}"/>
    <cellStyle name="쉼표 [0] 2 5 12 3" xfId="10818" xr:uid="{00000000-0005-0000-0000-0000D92A0000}"/>
    <cellStyle name="쉼표 [0] 2 5 12 3 2" xfId="10819" xr:uid="{00000000-0005-0000-0000-0000DA2A0000}"/>
    <cellStyle name="쉼표 [0] 2 5 12 4" xfId="10820" xr:uid="{00000000-0005-0000-0000-0000DB2A0000}"/>
    <cellStyle name="쉼표 [0] 2 5 12 4 2" xfId="10821" xr:uid="{00000000-0005-0000-0000-0000DC2A0000}"/>
    <cellStyle name="쉼표 [0] 2 5 12 5" xfId="10822" xr:uid="{00000000-0005-0000-0000-0000DD2A0000}"/>
    <cellStyle name="쉼표 [0] 2 5 12 5 2" xfId="10823" xr:uid="{00000000-0005-0000-0000-0000DE2A0000}"/>
    <cellStyle name="쉼표 [0] 2 5 12 6" xfId="10824" xr:uid="{00000000-0005-0000-0000-0000DF2A0000}"/>
    <cellStyle name="쉼표 [0] 2 5 12 6 2" xfId="10825" xr:uid="{00000000-0005-0000-0000-0000E02A0000}"/>
    <cellStyle name="쉼표 [0] 2 5 12 7" xfId="10826" xr:uid="{00000000-0005-0000-0000-0000E12A0000}"/>
    <cellStyle name="쉼표 [0] 2 5 13" xfId="10827" xr:uid="{00000000-0005-0000-0000-0000E22A0000}"/>
    <cellStyle name="쉼표 [0] 2 5 13 2" xfId="10828" xr:uid="{00000000-0005-0000-0000-0000E32A0000}"/>
    <cellStyle name="쉼표 [0] 2 5 13 2 2" xfId="10829" xr:uid="{00000000-0005-0000-0000-0000E42A0000}"/>
    <cellStyle name="쉼표 [0] 2 5 13 3" xfId="10830" xr:uid="{00000000-0005-0000-0000-0000E52A0000}"/>
    <cellStyle name="쉼표 [0] 2 5 13 3 2" xfId="10831" xr:uid="{00000000-0005-0000-0000-0000E62A0000}"/>
    <cellStyle name="쉼표 [0] 2 5 13 4" xfId="10832" xr:uid="{00000000-0005-0000-0000-0000E72A0000}"/>
    <cellStyle name="쉼표 [0] 2 5 13 4 2" xfId="10833" xr:uid="{00000000-0005-0000-0000-0000E82A0000}"/>
    <cellStyle name="쉼표 [0] 2 5 13 5" xfId="10834" xr:uid="{00000000-0005-0000-0000-0000E92A0000}"/>
    <cellStyle name="쉼표 [0] 2 5 13 5 2" xfId="10835" xr:uid="{00000000-0005-0000-0000-0000EA2A0000}"/>
    <cellStyle name="쉼표 [0] 2 5 13 6" xfId="10836" xr:uid="{00000000-0005-0000-0000-0000EB2A0000}"/>
    <cellStyle name="쉼표 [0] 2 5 13 6 2" xfId="10837" xr:uid="{00000000-0005-0000-0000-0000EC2A0000}"/>
    <cellStyle name="쉼표 [0] 2 5 13 7" xfId="10838" xr:uid="{00000000-0005-0000-0000-0000ED2A0000}"/>
    <cellStyle name="쉼표 [0] 2 5 14" xfId="10839" xr:uid="{00000000-0005-0000-0000-0000EE2A0000}"/>
    <cellStyle name="쉼표 [0] 2 5 14 2" xfId="10840" xr:uid="{00000000-0005-0000-0000-0000EF2A0000}"/>
    <cellStyle name="쉼표 [0] 2 5 14 2 2" xfId="10841" xr:uid="{00000000-0005-0000-0000-0000F02A0000}"/>
    <cellStyle name="쉼표 [0] 2 5 14 3" xfId="10842" xr:uid="{00000000-0005-0000-0000-0000F12A0000}"/>
    <cellStyle name="쉼표 [0] 2 5 14 3 2" xfId="10843" xr:uid="{00000000-0005-0000-0000-0000F22A0000}"/>
    <cellStyle name="쉼표 [0] 2 5 14 4" xfId="10844" xr:uid="{00000000-0005-0000-0000-0000F32A0000}"/>
    <cellStyle name="쉼표 [0] 2 5 14 4 2" xfId="10845" xr:uid="{00000000-0005-0000-0000-0000F42A0000}"/>
    <cellStyle name="쉼표 [0] 2 5 14 5" xfId="10846" xr:uid="{00000000-0005-0000-0000-0000F52A0000}"/>
    <cellStyle name="쉼표 [0] 2 5 14 5 2" xfId="10847" xr:uid="{00000000-0005-0000-0000-0000F62A0000}"/>
    <cellStyle name="쉼표 [0] 2 5 14 6" xfId="10848" xr:uid="{00000000-0005-0000-0000-0000F72A0000}"/>
    <cellStyle name="쉼표 [0] 2 5 14 6 2" xfId="10849" xr:uid="{00000000-0005-0000-0000-0000F82A0000}"/>
    <cellStyle name="쉼표 [0] 2 5 14 7" xfId="10850" xr:uid="{00000000-0005-0000-0000-0000F92A0000}"/>
    <cellStyle name="쉼표 [0] 2 5 15" xfId="10851" xr:uid="{00000000-0005-0000-0000-0000FA2A0000}"/>
    <cellStyle name="쉼표 [0] 2 5 15 2" xfId="10852" xr:uid="{00000000-0005-0000-0000-0000FB2A0000}"/>
    <cellStyle name="쉼표 [0] 2 5 15 2 2" xfId="10853" xr:uid="{00000000-0005-0000-0000-0000FC2A0000}"/>
    <cellStyle name="쉼표 [0] 2 5 15 3" xfId="10854" xr:uid="{00000000-0005-0000-0000-0000FD2A0000}"/>
    <cellStyle name="쉼표 [0] 2 5 15 3 2" xfId="10855" xr:uid="{00000000-0005-0000-0000-0000FE2A0000}"/>
    <cellStyle name="쉼표 [0] 2 5 15 4" xfId="10856" xr:uid="{00000000-0005-0000-0000-0000FF2A0000}"/>
    <cellStyle name="쉼표 [0] 2 5 15 4 2" xfId="10857" xr:uid="{00000000-0005-0000-0000-0000002B0000}"/>
    <cellStyle name="쉼표 [0] 2 5 15 5" xfId="10858" xr:uid="{00000000-0005-0000-0000-0000012B0000}"/>
    <cellStyle name="쉼표 [0] 2 5 15 5 2" xfId="10859" xr:uid="{00000000-0005-0000-0000-0000022B0000}"/>
    <cellStyle name="쉼표 [0] 2 5 15 6" xfId="10860" xr:uid="{00000000-0005-0000-0000-0000032B0000}"/>
    <cellStyle name="쉼표 [0] 2 5 15 6 2" xfId="10861" xr:uid="{00000000-0005-0000-0000-0000042B0000}"/>
    <cellStyle name="쉼표 [0] 2 5 15 7" xfId="10862" xr:uid="{00000000-0005-0000-0000-0000052B0000}"/>
    <cellStyle name="쉼표 [0] 2 5 16" xfId="10863" xr:uid="{00000000-0005-0000-0000-0000062B0000}"/>
    <cellStyle name="쉼표 [0] 2 5 16 2" xfId="10864" xr:uid="{00000000-0005-0000-0000-0000072B0000}"/>
    <cellStyle name="쉼표 [0] 2 5 16 2 2" xfId="10865" xr:uid="{00000000-0005-0000-0000-0000082B0000}"/>
    <cellStyle name="쉼표 [0] 2 5 16 3" xfId="10866" xr:uid="{00000000-0005-0000-0000-0000092B0000}"/>
    <cellStyle name="쉼표 [0] 2 5 16 3 2" xfId="10867" xr:uid="{00000000-0005-0000-0000-00000A2B0000}"/>
    <cellStyle name="쉼표 [0] 2 5 16 4" xfId="10868" xr:uid="{00000000-0005-0000-0000-00000B2B0000}"/>
    <cellStyle name="쉼표 [0] 2 5 16 4 2" xfId="10869" xr:uid="{00000000-0005-0000-0000-00000C2B0000}"/>
    <cellStyle name="쉼표 [0] 2 5 16 5" xfId="10870" xr:uid="{00000000-0005-0000-0000-00000D2B0000}"/>
    <cellStyle name="쉼표 [0] 2 5 16 5 2" xfId="10871" xr:uid="{00000000-0005-0000-0000-00000E2B0000}"/>
    <cellStyle name="쉼표 [0] 2 5 16 6" xfId="10872" xr:uid="{00000000-0005-0000-0000-00000F2B0000}"/>
    <cellStyle name="쉼표 [0] 2 5 16 6 2" xfId="10873" xr:uid="{00000000-0005-0000-0000-0000102B0000}"/>
    <cellStyle name="쉼표 [0] 2 5 16 7" xfId="10874" xr:uid="{00000000-0005-0000-0000-0000112B0000}"/>
    <cellStyle name="쉼표 [0] 2 5 17" xfId="10875" xr:uid="{00000000-0005-0000-0000-0000122B0000}"/>
    <cellStyle name="쉼표 [0] 2 5 17 2" xfId="10876" xr:uid="{00000000-0005-0000-0000-0000132B0000}"/>
    <cellStyle name="쉼표 [0] 2 5 17 2 2" xfId="10877" xr:uid="{00000000-0005-0000-0000-0000142B0000}"/>
    <cellStyle name="쉼표 [0] 2 5 17 3" xfId="10878" xr:uid="{00000000-0005-0000-0000-0000152B0000}"/>
    <cellStyle name="쉼표 [0] 2 5 17 3 2" xfId="10879" xr:uid="{00000000-0005-0000-0000-0000162B0000}"/>
    <cellStyle name="쉼표 [0] 2 5 17 4" xfId="10880" xr:uid="{00000000-0005-0000-0000-0000172B0000}"/>
    <cellStyle name="쉼표 [0] 2 5 17 4 2" xfId="10881" xr:uid="{00000000-0005-0000-0000-0000182B0000}"/>
    <cellStyle name="쉼표 [0] 2 5 17 5" xfId="10882" xr:uid="{00000000-0005-0000-0000-0000192B0000}"/>
    <cellStyle name="쉼표 [0] 2 5 17 5 2" xfId="10883" xr:uid="{00000000-0005-0000-0000-00001A2B0000}"/>
    <cellStyle name="쉼표 [0] 2 5 17 6" xfId="10884" xr:uid="{00000000-0005-0000-0000-00001B2B0000}"/>
    <cellStyle name="쉼표 [0] 2 5 17 6 2" xfId="10885" xr:uid="{00000000-0005-0000-0000-00001C2B0000}"/>
    <cellStyle name="쉼표 [0] 2 5 17 7" xfId="10886" xr:uid="{00000000-0005-0000-0000-00001D2B0000}"/>
    <cellStyle name="쉼표 [0] 2 5 18" xfId="10887" xr:uid="{00000000-0005-0000-0000-00001E2B0000}"/>
    <cellStyle name="쉼표 [0] 2 5 18 2" xfId="10888" xr:uid="{00000000-0005-0000-0000-00001F2B0000}"/>
    <cellStyle name="쉼표 [0] 2 5 18 2 2" xfId="10889" xr:uid="{00000000-0005-0000-0000-0000202B0000}"/>
    <cellStyle name="쉼표 [0] 2 5 18 3" xfId="10890" xr:uid="{00000000-0005-0000-0000-0000212B0000}"/>
    <cellStyle name="쉼표 [0] 2 5 18 3 2" xfId="10891" xr:uid="{00000000-0005-0000-0000-0000222B0000}"/>
    <cellStyle name="쉼표 [0] 2 5 18 4" xfId="10892" xr:uid="{00000000-0005-0000-0000-0000232B0000}"/>
    <cellStyle name="쉼표 [0] 2 5 18 4 2" xfId="10893" xr:uid="{00000000-0005-0000-0000-0000242B0000}"/>
    <cellStyle name="쉼표 [0] 2 5 18 5" xfId="10894" xr:uid="{00000000-0005-0000-0000-0000252B0000}"/>
    <cellStyle name="쉼표 [0] 2 5 18 5 2" xfId="10895" xr:uid="{00000000-0005-0000-0000-0000262B0000}"/>
    <cellStyle name="쉼표 [0] 2 5 18 6" xfId="10896" xr:uid="{00000000-0005-0000-0000-0000272B0000}"/>
    <cellStyle name="쉼표 [0] 2 5 18 6 2" xfId="10897" xr:uid="{00000000-0005-0000-0000-0000282B0000}"/>
    <cellStyle name="쉼표 [0] 2 5 18 7" xfId="10898" xr:uid="{00000000-0005-0000-0000-0000292B0000}"/>
    <cellStyle name="쉼표 [0] 2 5 19" xfId="10899" xr:uid="{00000000-0005-0000-0000-00002A2B0000}"/>
    <cellStyle name="쉼표 [0] 2 5 19 2" xfId="10900" xr:uid="{00000000-0005-0000-0000-00002B2B0000}"/>
    <cellStyle name="쉼표 [0] 2 5 19 2 2" xfId="10901" xr:uid="{00000000-0005-0000-0000-00002C2B0000}"/>
    <cellStyle name="쉼표 [0] 2 5 19 3" xfId="10902" xr:uid="{00000000-0005-0000-0000-00002D2B0000}"/>
    <cellStyle name="쉼표 [0] 2 5 19 3 2" xfId="10903" xr:uid="{00000000-0005-0000-0000-00002E2B0000}"/>
    <cellStyle name="쉼표 [0] 2 5 19 4" xfId="10904" xr:uid="{00000000-0005-0000-0000-00002F2B0000}"/>
    <cellStyle name="쉼표 [0] 2 5 19 4 2" xfId="10905" xr:uid="{00000000-0005-0000-0000-0000302B0000}"/>
    <cellStyle name="쉼표 [0] 2 5 19 5" xfId="10906" xr:uid="{00000000-0005-0000-0000-0000312B0000}"/>
    <cellStyle name="쉼표 [0] 2 5 19 5 2" xfId="10907" xr:uid="{00000000-0005-0000-0000-0000322B0000}"/>
    <cellStyle name="쉼표 [0] 2 5 19 6" xfId="10908" xr:uid="{00000000-0005-0000-0000-0000332B0000}"/>
    <cellStyle name="쉼표 [0] 2 5 19 6 2" xfId="10909" xr:uid="{00000000-0005-0000-0000-0000342B0000}"/>
    <cellStyle name="쉼표 [0] 2 5 19 7" xfId="10910" xr:uid="{00000000-0005-0000-0000-0000352B0000}"/>
    <cellStyle name="쉼표 [0] 2 5 2" xfId="10911" xr:uid="{00000000-0005-0000-0000-0000362B0000}"/>
    <cellStyle name="쉼표 [0] 2 5 2 2" xfId="10912" xr:uid="{00000000-0005-0000-0000-0000372B0000}"/>
    <cellStyle name="쉼표 [0] 2 5 2 2 2" xfId="10913" xr:uid="{00000000-0005-0000-0000-0000382B0000}"/>
    <cellStyle name="쉼표 [0] 2 5 2 3" xfId="10914" xr:uid="{00000000-0005-0000-0000-0000392B0000}"/>
    <cellStyle name="쉼표 [0] 2 5 2 3 2" xfId="10915" xr:uid="{00000000-0005-0000-0000-00003A2B0000}"/>
    <cellStyle name="쉼표 [0] 2 5 2 4" xfId="10916" xr:uid="{00000000-0005-0000-0000-00003B2B0000}"/>
    <cellStyle name="쉼표 [0] 2 5 2 4 2" xfId="10917" xr:uid="{00000000-0005-0000-0000-00003C2B0000}"/>
    <cellStyle name="쉼표 [0] 2 5 2 5" xfId="10918" xr:uid="{00000000-0005-0000-0000-00003D2B0000}"/>
    <cellStyle name="쉼표 [0] 2 5 2 5 2" xfId="10919" xr:uid="{00000000-0005-0000-0000-00003E2B0000}"/>
    <cellStyle name="쉼표 [0] 2 5 2 6" xfId="10920" xr:uid="{00000000-0005-0000-0000-00003F2B0000}"/>
    <cellStyle name="쉼표 [0] 2 5 2 6 2" xfId="10921" xr:uid="{00000000-0005-0000-0000-0000402B0000}"/>
    <cellStyle name="쉼표 [0] 2 5 2 7" xfId="10922" xr:uid="{00000000-0005-0000-0000-0000412B0000}"/>
    <cellStyle name="쉼표 [0] 2 5 2 7 2" xfId="10923" xr:uid="{00000000-0005-0000-0000-0000422B0000}"/>
    <cellStyle name="쉼표 [0] 2 5 2 8" xfId="10924" xr:uid="{00000000-0005-0000-0000-0000432B0000}"/>
    <cellStyle name="쉼표 [0] 2 5 2 8 2" xfId="10925" xr:uid="{00000000-0005-0000-0000-0000442B0000}"/>
    <cellStyle name="쉼표 [0] 2 5 20" xfId="10926" xr:uid="{00000000-0005-0000-0000-0000452B0000}"/>
    <cellStyle name="쉼표 [0] 2 5 20 2" xfId="10927" xr:uid="{00000000-0005-0000-0000-0000462B0000}"/>
    <cellStyle name="쉼표 [0] 2 5 21" xfId="10928" xr:uid="{00000000-0005-0000-0000-0000472B0000}"/>
    <cellStyle name="쉼표 [0] 2 5 21 2" xfId="10929" xr:uid="{00000000-0005-0000-0000-0000482B0000}"/>
    <cellStyle name="쉼표 [0] 2 5 22" xfId="10930" xr:uid="{00000000-0005-0000-0000-0000492B0000}"/>
    <cellStyle name="쉼표 [0] 2 5 22 2" xfId="10931" xr:uid="{00000000-0005-0000-0000-00004A2B0000}"/>
    <cellStyle name="쉼표 [0] 2 5 23" xfId="10932" xr:uid="{00000000-0005-0000-0000-00004B2B0000}"/>
    <cellStyle name="쉼표 [0] 2 5 23 2" xfId="10933" xr:uid="{00000000-0005-0000-0000-00004C2B0000}"/>
    <cellStyle name="쉼표 [0] 2 5 24" xfId="10934" xr:uid="{00000000-0005-0000-0000-00004D2B0000}"/>
    <cellStyle name="쉼표 [0] 2 5 25" xfId="10935" xr:uid="{00000000-0005-0000-0000-00004E2B0000}"/>
    <cellStyle name="쉼표 [0] 2 5 26" xfId="10936" xr:uid="{00000000-0005-0000-0000-00004F2B0000}"/>
    <cellStyle name="쉼표 [0] 2 5 26 2" xfId="10937" xr:uid="{00000000-0005-0000-0000-0000502B0000}"/>
    <cellStyle name="쉼표 [0] 2 5 27" xfId="10938" xr:uid="{00000000-0005-0000-0000-0000512B0000}"/>
    <cellStyle name="쉼표 [0] 2 5 27 2" xfId="10939" xr:uid="{00000000-0005-0000-0000-0000522B0000}"/>
    <cellStyle name="쉼표 [0] 2 5 28" xfId="10940" xr:uid="{00000000-0005-0000-0000-0000532B0000}"/>
    <cellStyle name="쉼표 [0] 2 5 28 2" xfId="10941" xr:uid="{00000000-0005-0000-0000-0000542B0000}"/>
    <cellStyle name="쉼표 [0] 2 5 29" xfId="10942" xr:uid="{00000000-0005-0000-0000-0000552B0000}"/>
    <cellStyle name="쉼표 [0] 2 5 3" xfId="10943" xr:uid="{00000000-0005-0000-0000-0000562B0000}"/>
    <cellStyle name="쉼표 [0] 2 5 3 2" xfId="10944" xr:uid="{00000000-0005-0000-0000-0000572B0000}"/>
    <cellStyle name="쉼표 [0] 2 5 3 2 2" xfId="10945" xr:uid="{00000000-0005-0000-0000-0000582B0000}"/>
    <cellStyle name="쉼표 [0] 2 5 3 3" xfId="10946" xr:uid="{00000000-0005-0000-0000-0000592B0000}"/>
    <cellStyle name="쉼표 [0] 2 5 3 3 2" xfId="10947" xr:uid="{00000000-0005-0000-0000-00005A2B0000}"/>
    <cellStyle name="쉼표 [0] 2 5 3 4" xfId="10948" xr:uid="{00000000-0005-0000-0000-00005B2B0000}"/>
    <cellStyle name="쉼표 [0] 2 5 3 4 2" xfId="10949" xr:uid="{00000000-0005-0000-0000-00005C2B0000}"/>
    <cellStyle name="쉼표 [0] 2 5 3 5" xfId="10950" xr:uid="{00000000-0005-0000-0000-00005D2B0000}"/>
    <cellStyle name="쉼표 [0] 2 5 3 5 2" xfId="10951" xr:uid="{00000000-0005-0000-0000-00005E2B0000}"/>
    <cellStyle name="쉼표 [0] 2 5 3 6" xfId="10952" xr:uid="{00000000-0005-0000-0000-00005F2B0000}"/>
    <cellStyle name="쉼표 [0] 2 5 3 6 2" xfId="10953" xr:uid="{00000000-0005-0000-0000-0000602B0000}"/>
    <cellStyle name="쉼표 [0] 2 5 3 7" xfId="10954" xr:uid="{00000000-0005-0000-0000-0000612B0000}"/>
    <cellStyle name="쉼표 [0] 2 5 4" xfId="10955" xr:uid="{00000000-0005-0000-0000-0000622B0000}"/>
    <cellStyle name="쉼표 [0] 2 5 4 2" xfId="10956" xr:uid="{00000000-0005-0000-0000-0000632B0000}"/>
    <cellStyle name="쉼표 [0] 2 5 4 2 2" xfId="10957" xr:uid="{00000000-0005-0000-0000-0000642B0000}"/>
    <cellStyle name="쉼표 [0] 2 5 4 3" xfId="10958" xr:uid="{00000000-0005-0000-0000-0000652B0000}"/>
    <cellStyle name="쉼표 [0] 2 5 4 3 2" xfId="10959" xr:uid="{00000000-0005-0000-0000-0000662B0000}"/>
    <cellStyle name="쉼표 [0] 2 5 4 4" xfId="10960" xr:uid="{00000000-0005-0000-0000-0000672B0000}"/>
    <cellStyle name="쉼표 [0] 2 5 4 4 2" xfId="10961" xr:uid="{00000000-0005-0000-0000-0000682B0000}"/>
    <cellStyle name="쉼표 [0] 2 5 4 5" xfId="10962" xr:uid="{00000000-0005-0000-0000-0000692B0000}"/>
    <cellStyle name="쉼표 [0] 2 5 4 5 2" xfId="10963" xr:uid="{00000000-0005-0000-0000-00006A2B0000}"/>
    <cellStyle name="쉼표 [0] 2 5 4 6" xfId="10964" xr:uid="{00000000-0005-0000-0000-00006B2B0000}"/>
    <cellStyle name="쉼표 [0] 2 5 4 6 2" xfId="10965" xr:uid="{00000000-0005-0000-0000-00006C2B0000}"/>
    <cellStyle name="쉼표 [0] 2 5 4 7" xfId="10966" xr:uid="{00000000-0005-0000-0000-00006D2B0000}"/>
    <cellStyle name="쉼표 [0] 2 5 5" xfId="10967" xr:uid="{00000000-0005-0000-0000-00006E2B0000}"/>
    <cellStyle name="쉼표 [0] 2 5 5 2" xfId="10968" xr:uid="{00000000-0005-0000-0000-00006F2B0000}"/>
    <cellStyle name="쉼표 [0] 2 5 5 2 2" xfId="10969" xr:uid="{00000000-0005-0000-0000-0000702B0000}"/>
    <cellStyle name="쉼표 [0] 2 5 5 3" xfId="10970" xr:uid="{00000000-0005-0000-0000-0000712B0000}"/>
    <cellStyle name="쉼표 [0] 2 5 5 3 2" xfId="10971" xr:uid="{00000000-0005-0000-0000-0000722B0000}"/>
    <cellStyle name="쉼표 [0] 2 5 5 4" xfId="10972" xr:uid="{00000000-0005-0000-0000-0000732B0000}"/>
    <cellStyle name="쉼표 [0] 2 5 5 4 2" xfId="10973" xr:uid="{00000000-0005-0000-0000-0000742B0000}"/>
    <cellStyle name="쉼표 [0] 2 5 5 5" xfId="10974" xr:uid="{00000000-0005-0000-0000-0000752B0000}"/>
    <cellStyle name="쉼표 [0] 2 5 5 5 2" xfId="10975" xr:uid="{00000000-0005-0000-0000-0000762B0000}"/>
    <cellStyle name="쉼표 [0] 2 5 5 6" xfId="10976" xr:uid="{00000000-0005-0000-0000-0000772B0000}"/>
    <cellStyle name="쉼표 [0] 2 5 5 6 2" xfId="10977" xr:uid="{00000000-0005-0000-0000-0000782B0000}"/>
    <cellStyle name="쉼표 [0] 2 5 5 7" xfId="10978" xr:uid="{00000000-0005-0000-0000-0000792B0000}"/>
    <cellStyle name="쉼표 [0] 2 5 6" xfId="10979" xr:uid="{00000000-0005-0000-0000-00007A2B0000}"/>
    <cellStyle name="쉼표 [0] 2 5 6 2" xfId="10980" xr:uid="{00000000-0005-0000-0000-00007B2B0000}"/>
    <cellStyle name="쉼표 [0] 2 5 6 2 2" xfId="10981" xr:uid="{00000000-0005-0000-0000-00007C2B0000}"/>
    <cellStyle name="쉼표 [0] 2 5 6 3" xfId="10982" xr:uid="{00000000-0005-0000-0000-00007D2B0000}"/>
    <cellStyle name="쉼표 [0] 2 5 6 3 2" xfId="10983" xr:uid="{00000000-0005-0000-0000-00007E2B0000}"/>
    <cellStyle name="쉼표 [0] 2 5 6 4" xfId="10984" xr:uid="{00000000-0005-0000-0000-00007F2B0000}"/>
    <cellStyle name="쉼표 [0] 2 5 6 4 2" xfId="10985" xr:uid="{00000000-0005-0000-0000-0000802B0000}"/>
    <cellStyle name="쉼표 [0] 2 5 6 5" xfId="10986" xr:uid="{00000000-0005-0000-0000-0000812B0000}"/>
    <cellStyle name="쉼표 [0] 2 5 6 5 2" xfId="10987" xr:uid="{00000000-0005-0000-0000-0000822B0000}"/>
    <cellStyle name="쉼표 [0] 2 5 6 6" xfId="10988" xr:uid="{00000000-0005-0000-0000-0000832B0000}"/>
    <cellStyle name="쉼표 [0] 2 5 6 6 2" xfId="10989" xr:uid="{00000000-0005-0000-0000-0000842B0000}"/>
    <cellStyle name="쉼표 [0] 2 5 6 7" xfId="10990" xr:uid="{00000000-0005-0000-0000-0000852B0000}"/>
    <cellStyle name="쉼표 [0] 2 5 7" xfId="10991" xr:uid="{00000000-0005-0000-0000-0000862B0000}"/>
    <cellStyle name="쉼표 [0] 2 5 7 2" xfId="10992" xr:uid="{00000000-0005-0000-0000-0000872B0000}"/>
    <cellStyle name="쉼표 [0] 2 5 7 2 2" xfId="10993" xr:uid="{00000000-0005-0000-0000-0000882B0000}"/>
    <cellStyle name="쉼표 [0] 2 5 7 3" xfId="10994" xr:uid="{00000000-0005-0000-0000-0000892B0000}"/>
    <cellStyle name="쉼표 [0] 2 5 7 3 2" xfId="10995" xr:uid="{00000000-0005-0000-0000-00008A2B0000}"/>
    <cellStyle name="쉼표 [0] 2 5 7 4" xfId="10996" xr:uid="{00000000-0005-0000-0000-00008B2B0000}"/>
    <cellStyle name="쉼표 [0] 2 5 7 4 2" xfId="10997" xr:uid="{00000000-0005-0000-0000-00008C2B0000}"/>
    <cellStyle name="쉼표 [0] 2 5 7 5" xfId="10998" xr:uid="{00000000-0005-0000-0000-00008D2B0000}"/>
    <cellStyle name="쉼표 [0] 2 5 7 5 2" xfId="10999" xr:uid="{00000000-0005-0000-0000-00008E2B0000}"/>
    <cellStyle name="쉼표 [0] 2 5 7 6" xfId="11000" xr:uid="{00000000-0005-0000-0000-00008F2B0000}"/>
    <cellStyle name="쉼표 [0] 2 5 7 6 2" xfId="11001" xr:uid="{00000000-0005-0000-0000-0000902B0000}"/>
    <cellStyle name="쉼표 [0] 2 5 7 7" xfId="11002" xr:uid="{00000000-0005-0000-0000-0000912B0000}"/>
    <cellStyle name="쉼표 [0] 2 5 8" xfId="11003" xr:uid="{00000000-0005-0000-0000-0000922B0000}"/>
    <cellStyle name="쉼표 [0] 2 5 8 2" xfId="11004" xr:uid="{00000000-0005-0000-0000-0000932B0000}"/>
    <cellStyle name="쉼표 [0] 2 5 8 2 2" xfId="11005" xr:uid="{00000000-0005-0000-0000-0000942B0000}"/>
    <cellStyle name="쉼표 [0] 2 5 8 3" xfId="11006" xr:uid="{00000000-0005-0000-0000-0000952B0000}"/>
    <cellStyle name="쉼표 [0] 2 5 8 3 2" xfId="11007" xr:uid="{00000000-0005-0000-0000-0000962B0000}"/>
    <cellStyle name="쉼표 [0] 2 5 8 4" xfId="11008" xr:uid="{00000000-0005-0000-0000-0000972B0000}"/>
    <cellStyle name="쉼표 [0] 2 5 8 4 2" xfId="11009" xr:uid="{00000000-0005-0000-0000-0000982B0000}"/>
    <cellStyle name="쉼표 [0] 2 5 8 5" xfId="11010" xr:uid="{00000000-0005-0000-0000-0000992B0000}"/>
    <cellStyle name="쉼표 [0] 2 5 8 5 2" xfId="11011" xr:uid="{00000000-0005-0000-0000-00009A2B0000}"/>
    <cellStyle name="쉼표 [0] 2 5 8 6" xfId="11012" xr:uid="{00000000-0005-0000-0000-00009B2B0000}"/>
    <cellStyle name="쉼표 [0] 2 5 8 6 2" xfId="11013" xr:uid="{00000000-0005-0000-0000-00009C2B0000}"/>
    <cellStyle name="쉼표 [0] 2 5 8 7" xfId="11014" xr:uid="{00000000-0005-0000-0000-00009D2B0000}"/>
    <cellStyle name="쉼표 [0] 2 5 9" xfId="11015" xr:uid="{00000000-0005-0000-0000-00009E2B0000}"/>
    <cellStyle name="쉼표 [0] 2 5 9 2" xfId="11016" xr:uid="{00000000-0005-0000-0000-00009F2B0000}"/>
    <cellStyle name="쉼표 [0] 2 5 9 2 2" xfId="11017" xr:uid="{00000000-0005-0000-0000-0000A02B0000}"/>
    <cellStyle name="쉼표 [0] 2 5 9 3" xfId="11018" xr:uid="{00000000-0005-0000-0000-0000A12B0000}"/>
    <cellStyle name="쉼표 [0] 2 5 9 3 2" xfId="11019" xr:uid="{00000000-0005-0000-0000-0000A22B0000}"/>
    <cellStyle name="쉼표 [0] 2 5 9 4" xfId="11020" xr:uid="{00000000-0005-0000-0000-0000A32B0000}"/>
    <cellStyle name="쉼표 [0] 2 5 9 4 2" xfId="11021" xr:uid="{00000000-0005-0000-0000-0000A42B0000}"/>
    <cellStyle name="쉼표 [0] 2 5 9 5" xfId="11022" xr:uid="{00000000-0005-0000-0000-0000A52B0000}"/>
    <cellStyle name="쉼표 [0] 2 5 9 5 2" xfId="11023" xr:uid="{00000000-0005-0000-0000-0000A62B0000}"/>
    <cellStyle name="쉼표 [0] 2 5 9 6" xfId="11024" xr:uid="{00000000-0005-0000-0000-0000A72B0000}"/>
    <cellStyle name="쉼표 [0] 2 5 9 6 2" xfId="11025" xr:uid="{00000000-0005-0000-0000-0000A82B0000}"/>
    <cellStyle name="쉼표 [0] 2 5 9 7" xfId="11026" xr:uid="{00000000-0005-0000-0000-0000A92B0000}"/>
    <cellStyle name="쉼표 [0] 2 50" xfId="11027" xr:uid="{00000000-0005-0000-0000-0000AA2B0000}"/>
    <cellStyle name="쉼표 [0] 2 50 2" xfId="11028" xr:uid="{00000000-0005-0000-0000-0000AB2B0000}"/>
    <cellStyle name="쉼표 [0] 2 51" xfId="11029" xr:uid="{00000000-0005-0000-0000-0000AC2B0000}"/>
    <cellStyle name="쉼표 [0] 2 51 2" xfId="11030" xr:uid="{00000000-0005-0000-0000-0000AD2B0000}"/>
    <cellStyle name="쉼표 [0] 2 52" xfId="11031" xr:uid="{00000000-0005-0000-0000-0000AE2B0000}"/>
    <cellStyle name="쉼표 [0] 2 52 2" xfId="11032" xr:uid="{00000000-0005-0000-0000-0000AF2B0000}"/>
    <cellStyle name="쉼표 [0] 2 53" xfId="11033" xr:uid="{00000000-0005-0000-0000-0000B02B0000}"/>
    <cellStyle name="쉼표 [0] 2 53 2" xfId="11034" xr:uid="{00000000-0005-0000-0000-0000B12B0000}"/>
    <cellStyle name="쉼표 [0] 2 54" xfId="11035" xr:uid="{00000000-0005-0000-0000-0000B22B0000}"/>
    <cellStyle name="쉼표 [0] 2 54 2" xfId="11036" xr:uid="{00000000-0005-0000-0000-0000B32B0000}"/>
    <cellStyle name="쉼표 [0] 2 55" xfId="11037" xr:uid="{00000000-0005-0000-0000-0000B42B0000}"/>
    <cellStyle name="쉼표 [0] 2 55 2" xfId="11038" xr:uid="{00000000-0005-0000-0000-0000B52B0000}"/>
    <cellStyle name="쉼표 [0] 2 56" xfId="11039" xr:uid="{00000000-0005-0000-0000-0000B62B0000}"/>
    <cellStyle name="쉼표 [0] 2 56 2" xfId="11040" xr:uid="{00000000-0005-0000-0000-0000B72B0000}"/>
    <cellStyle name="쉼표 [0] 2 57" xfId="11041" xr:uid="{00000000-0005-0000-0000-0000B82B0000}"/>
    <cellStyle name="쉼표 [0] 2 57 2" xfId="11042" xr:uid="{00000000-0005-0000-0000-0000B92B0000}"/>
    <cellStyle name="쉼표 [0] 2 58" xfId="11043" xr:uid="{00000000-0005-0000-0000-0000BA2B0000}"/>
    <cellStyle name="쉼표 [0] 2 58 2" xfId="11044" xr:uid="{00000000-0005-0000-0000-0000BB2B0000}"/>
    <cellStyle name="쉼표 [0] 2 59" xfId="11045" xr:uid="{00000000-0005-0000-0000-0000BC2B0000}"/>
    <cellStyle name="쉼표 [0] 2 59 2" xfId="11046" xr:uid="{00000000-0005-0000-0000-0000BD2B0000}"/>
    <cellStyle name="쉼표 [0] 2 6" xfId="11047" xr:uid="{00000000-0005-0000-0000-0000BE2B0000}"/>
    <cellStyle name="쉼표 [0] 2 6 10" xfId="11048" xr:uid="{00000000-0005-0000-0000-0000BF2B0000}"/>
    <cellStyle name="쉼표 [0] 2 6 10 2" xfId="11049" xr:uid="{00000000-0005-0000-0000-0000C02B0000}"/>
    <cellStyle name="쉼표 [0] 2 6 10 2 2" xfId="11050" xr:uid="{00000000-0005-0000-0000-0000C12B0000}"/>
    <cellStyle name="쉼표 [0] 2 6 10 3" xfId="11051" xr:uid="{00000000-0005-0000-0000-0000C22B0000}"/>
    <cellStyle name="쉼표 [0] 2 6 10 3 2" xfId="11052" xr:uid="{00000000-0005-0000-0000-0000C32B0000}"/>
    <cellStyle name="쉼표 [0] 2 6 10 4" xfId="11053" xr:uid="{00000000-0005-0000-0000-0000C42B0000}"/>
    <cellStyle name="쉼표 [0] 2 6 10 4 2" xfId="11054" xr:uid="{00000000-0005-0000-0000-0000C52B0000}"/>
    <cellStyle name="쉼표 [0] 2 6 10 5" xfId="11055" xr:uid="{00000000-0005-0000-0000-0000C62B0000}"/>
    <cellStyle name="쉼표 [0] 2 6 10 5 2" xfId="11056" xr:uid="{00000000-0005-0000-0000-0000C72B0000}"/>
    <cellStyle name="쉼표 [0] 2 6 10 6" xfId="11057" xr:uid="{00000000-0005-0000-0000-0000C82B0000}"/>
    <cellStyle name="쉼표 [0] 2 6 10 6 2" xfId="11058" xr:uid="{00000000-0005-0000-0000-0000C92B0000}"/>
    <cellStyle name="쉼표 [0] 2 6 10 7" xfId="11059" xr:uid="{00000000-0005-0000-0000-0000CA2B0000}"/>
    <cellStyle name="쉼표 [0] 2 6 11" xfId="11060" xr:uid="{00000000-0005-0000-0000-0000CB2B0000}"/>
    <cellStyle name="쉼표 [0] 2 6 11 2" xfId="11061" xr:uid="{00000000-0005-0000-0000-0000CC2B0000}"/>
    <cellStyle name="쉼표 [0] 2 6 11 2 2" xfId="11062" xr:uid="{00000000-0005-0000-0000-0000CD2B0000}"/>
    <cellStyle name="쉼표 [0] 2 6 11 3" xfId="11063" xr:uid="{00000000-0005-0000-0000-0000CE2B0000}"/>
    <cellStyle name="쉼표 [0] 2 6 11 3 2" xfId="11064" xr:uid="{00000000-0005-0000-0000-0000CF2B0000}"/>
    <cellStyle name="쉼표 [0] 2 6 11 4" xfId="11065" xr:uid="{00000000-0005-0000-0000-0000D02B0000}"/>
    <cellStyle name="쉼표 [0] 2 6 11 4 2" xfId="11066" xr:uid="{00000000-0005-0000-0000-0000D12B0000}"/>
    <cellStyle name="쉼표 [0] 2 6 11 5" xfId="11067" xr:uid="{00000000-0005-0000-0000-0000D22B0000}"/>
    <cellStyle name="쉼표 [0] 2 6 11 5 2" xfId="11068" xr:uid="{00000000-0005-0000-0000-0000D32B0000}"/>
    <cellStyle name="쉼표 [0] 2 6 11 6" xfId="11069" xr:uid="{00000000-0005-0000-0000-0000D42B0000}"/>
    <cellStyle name="쉼표 [0] 2 6 11 6 2" xfId="11070" xr:uid="{00000000-0005-0000-0000-0000D52B0000}"/>
    <cellStyle name="쉼표 [0] 2 6 11 7" xfId="11071" xr:uid="{00000000-0005-0000-0000-0000D62B0000}"/>
    <cellStyle name="쉼표 [0] 2 6 12" xfId="11072" xr:uid="{00000000-0005-0000-0000-0000D72B0000}"/>
    <cellStyle name="쉼표 [0] 2 6 12 2" xfId="11073" xr:uid="{00000000-0005-0000-0000-0000D82B0000}"/>
    <cellStyle name="쉼표 [0] 2 6 12 2 2" xfId="11074" xr:uid="{00000000-0005-0000-0000-0000D92B0000}"/>
    <cellStyle name="쉼표 [0] 2 6 12 3" xfId="11075" xr:uid="{00000000-0005-0000-0000-0000DA2B0000}"/>
    <cellStyle name="쉼표 [0] 2 6 12 3 2" xfId="11076" xr:uid="{00000000-0005-0000-0000-0000DB2B0000}"/>
    <cellStyle name="쉼표 [0] 2 6 12 4" xfId="11077" xr:uid="{00000000-0005-0000-0000-0000DC2B0000}"/>
    <cellStyle name="쉼표 [0] 2 6 12 4 2" xfId="11078" xr:uid="{00000000-0005-0000-0000-0000DD2B0000}"/>
    <cellStyle name="쉼표 [0] 2 6 12 5" xfId="11079" xr:uid="{00000000-0005-0000-0000-0000DE2B0000}"/>
    <cellStyle name="쉼표 [0] 2 6 12 5 2" xfId="11080" xr:uid="{00000000-0005-0000-0000-0000DF2B0000}"/>
    <cellStyle name="쉼표 [0] 2 6 12 6" xfId="11081" xr:uid="{00000000-0005-0000-0000-0000E02B0000}"/>
    <cellStyle name="쉼표 [0] 2 6 12 6 2" xfId="11082" xr:uid="{00000000-0005-0000-0000-0000E12B0000}"/>
    <cellStyle name="쉼표 [0] 2 6 12 7" xfId="11083" xr:uid="{00000000-0005-0000-0000-0000E22B0000}"/>
    <cellStyle name="쉼표 [0] 2 6 13" xfId="11084" xr:uid="{00000000-0005-0000-0000-0000E32B0000}"/>
    <cellStyle name="쉼표 [0] 2 6 13 2" xfId="11085" xr:uid="{00000000-0005-0000-0000-0000E42B0000}"/>
    <cellStyle name="쉼표 [0] 2 6 13 2 2" xfId="11086" xr:uid="{00000000-0005-0000-0000-0000E52B0000}"/>
    <cellStyle name="쉼표 [0] 2 6 13 3" xfId="11087" xr:uid="{00000000-0005-0000-0000-0000E62B0000}"/>
    <cellStyle name="쉼표 [0] 2 6 13 3 2" xfId="11088" xr:uid="{00000000-0005-0000-0000-0000E72B0000}"/>
    <cellStyle name="쉼표 [0] 2 6 13 4" xfId="11089" xr:uid="{00000000-0005-0000-0000-0000E82B0000}"/>
    <cellStyle name="쉼표 [0] 2 6 13 4 2" xfId="11090" xr:uid="{00000000-0005-0000-0000-0000E92B0000}"/>
    <cellStyle name="쉼표 [0] 2 6 13 5" xfId="11091" xr:uid="{00000000-0005-0000-0000-0000EA2B0000}"/>
    <cellStyle name="쉼표 [0] 2 6 13 5 2" xfId="11092" xr:uid="{00000000-0005-0000-0000-0000EB2B0000}"/>
    <cellStyle name="쉼표 [0] 2 6 13 6" xfId="11093" xr:uid="{00000000-0005-0000-0000-0000EC2B0000}"/>
    <cellStyle name="쉼표 [0] 2 6 13 6 2" xfId="11094" xr:uid="{00000000-0005-0000-0000-0000ED2B0000}"/>
    <cellStyle name="쉼표 [0] 2 6 13 7" xfId="11095" xr:uid="{00000000-0005-0000-0000-0000EE2B0000}"/>
    <cellStyle name="쉼표 [0] 2 6 14" xfId="11096" xr:uid="{00000000-0005-0000-0000-0000EF2B0000}"/>
    <cellStyle name="쉼표 [0] 2 6 14 2" xfId="11097" xr:uid="{00000000-0005-0000-0000-0000F02B0000}"/>
    <cellStyle name="쉼표 [0] 2 6 14 2 2" xfId="11098" xr:uid="{00000000-0005-0000-0000-0000F12B0000}"/>
    <cellStyle name="쉼표 [0] 2 6 14 3" xfId="11099" xr:uid="{00000000-0005-0000-0000-0000F22B0000}"/>
    <cellStyle name="쉼표 [0] 2 6 14 3 2" xfId="11100" xr:uid="{00000000-0005-0000-0000-0000F32B0000}"/>
    <cellStyle name="쉼표 [0] 2 6 14 4" xfId="11101" xr:uid="{00000000-0005-0000-0000-0000F42B0000}"/>
    <cellStyle name="쉼표 [0] 2 6 14 4 2" xfId="11102" xr:uid="{00000000-0005-0000-0000-0000F52B0000}"/>
    <cellStyle name="쉼표 [0] 2 6 14 5" xfId="11103" xr:uid="{00000000-0005-0000-0000-0000F62B0000}"/>
    <cellStyle name="쉼표 [0] 2 6 14 5 2" xfId="11104" xr:uid="{00000000-0005-0000-0000-0000F72B0000}"/>
    <cellStyle name="쉼표 [0] 2 6 14 6" xfId="11105" xr:uid="{00000000-0005-0000-0000-0000F82B0000}"/>
    <cellStyle name="쉼표 [0] 2 6 14 6 2" xfId="11106" xr:uid="{00000000-0005-0000-0000-0000F92B0000}"/>
    <cellStyle name="쉼표 [0] 2 6 14 7" xfId="11107" xr:uid="{00000000-0005-0000-0000-0000FA2B0000}"/>
    <cellStyle name="쉼표 [0] 2 6 15" xfId="11108" xr:uid="{00000000-0005-0000-0000-0000FB2B0000}"/>
    <cellStyle name="쉼표 [0] 2 6 15 2" xfId="11109" xr:uid="{00000000-0005-0000-0000-0000FC2B0000}"/>
    <cellStyle name="쉼표 [0] 2 6 15 2 2" xfId="11110" xr:uid="{00000000-0005-0000-0000-0000FD2B0000}"/>
    <cellStyle name="쉼표 [0] 2 6 15 3" xfId="11111" xr:uid="{00000000-0005-0000-0000-0000FE2B0000}"/>
    <cellStyle name="쉼표 [0] 2 6 15 3 2" xfId="11112" xr:uid="{00000000-0005-0000-0000-0000FF2B0000}"/>
    <cellStyle name="쉼표 [0] 2 6 15 4" xfId="11113" xr:uid="{00000000-0005-0000-0000-0000002C0000}"/>
    <cellStyle name="쉼표 [0] 2 6 15 4 2" xfId="11114" xr:uid="{00000000-0005-0000-0000-0000012C0000}"/>
    <cellStyle name="쉼표 [0] 2 6 15 5" xfId="11115" xr:uid="{00000000-0005-0000-0000-0000022C0000}"/>
    <cellStyle name="쉼표 [0] 2 6 15 5 2" xfId="11116" xr:uid="{00000000-0005-0000-0000-0000032C0000}"/>
    <cellStyle name="쉼표 [0] 2 6 15 6" xfId="11117" xr:uid="{00000000-0005-0000-0000-0000042C0000}"/>
    <cellStyle name="쉼표 [0] 2 6 15 6 2" xfId="11118" xr:uid="{00000000-0005-0000-0000-0000052C0000}"/>
    <cellStyle name="쉼표 [0] 2 6 15 7" xfId="11119" xr:uid="{00000000-0005-0000-0000-0000062C0000}"/>
    <cellStyle name="쉼표 [0] 2 6 16" xfId="11120" xr:uid="{00000000-0005-0000-0000-0000072C0000}"/>
    <cellStyle name="쉼표 [0] 2 6 16 2" xfId="11121" xr:uid="{00000000-0005-0000-0000-0000082C0000}"/>
    <cellStyle name="쉼표 [0] 2 6 16 2 2" xfId="11122" xr:uid="{00000000-0005-0000-0000-0000092C0000}"/>
    <cellStyle name="쉼표 [0] 2 6 16 3" xfId="11123" xr:uid="{00000000-0005-0000-0000-00000A2C0000}"/>
    <cellStyle name="쉼표 [0] 2 6 16 3 2" xfId="11124" xr:uid="{00000000-0005-0000-0000-00000B2C0000}"/>
    <cellStyle name="쉼표 [0] 2 6 16 4" xfId="11125" xr:uid="{00000000-0005-0000-0000-00000C2C0000}"/>
    <cellStyle name="쉼표 [0] 2 6 16 4 2" xfId="11126" xr:uid="{00000000-0005-0000-0000-00000D2C0000}"/>
    <cellStyle name="쉼표 [0] 2 6 16 5" xfId="11127" xr:uid="{00000000-0005-0000-0000-00000E2C0000}"/>
    <cellStyle name="쉼표 [0] 2 6 16 5 2" xfId="11128" xr:uid="{00000000-0005-0000-0000-00000F2C0000}"/>
    <cellStyle name="쉼표 [0] 2 6 16 6" xfId="11129" xr:uid="{00000000-0005-0000-0000-0000102C0000}"/>
    <cellStyle name="쉼표 [0] 2 6 16 6 2" xfId="11130" xr:uid="{00000000-0005-0000-0000-0000112C0000}"/>
    <cellStyle name="쉼표 [0] 2 6 16 7" xfId="11131" xr:uid="{00000000-0005-0000-0000-0000122C0000}"/>
    <cellStyle name="쉼표 [0] 2 6 17" xfId="11132" xr:uid="{00000000-0005-0000-0000-0000132C0000}"/>
    <cellStyle name="쉼표 [0] 2 6 17 2" xfId="11133" xr:uid="{00000000-0005-0000-0000-0000142C0000}"/>
    <cellStyle name="쉼표 [0] 2 6 17 2 2" xfId="11134" xr:uid="{00000000-0005-0000-0000-0000152C0000}"/>
    <cellStyle name="쉼표 [0] 2 6 17 3" xfId="11135" xr:uid="{00000000-0005-0000-0000-0000162C0000}"/>
    <cellStyle name="쉼표 [0] 2 6 17 3 2" xfId="11136" xr:uid="{00000000-0005-0000-0000-0000172C0000}"/>
    <cellStyle name="쉼표 [0] 2 6 17 4" xfId="11137" xr:uid="{00000000-0005-0000-0000-0000182C0000}"/>
    <cellStyle name="쉼표 [0] 2 6 17 4 2" xfId="11138" xr:uid="{00000000-0005-0000-0000-0000192C0000}"/>
    <cellStyle name="쉼표 [0] 2 6 17 5" xfId="11139" xr:uid="{00000000-0005-0000-0000-00001A2C0000}"/>
    <cellStyle name="쉼표 [0] 2 6 17 5 2" xfId="11140" xr:uid="{00000000-0005-0000-0000-00001B2C0000}"/>
    <cellStyle name="쉼표 [0] 2 6 17 6" xfId="11141" xr:uid="{00000000-0005-0000-0000-00001C2C0000}"/>
    <cellStyle name="쉼표 [0] 2 6 17 6 2" xfId="11142" xr:uid="{00000000-0005-0000-0000-00001D2C0000}"/>
    <cellStyle name="쉼표 [0] 2 6 17 7" xfId="11143" xr:uid="{00000000-0005-0000-0000-00001E2C0000}"/>
    <cellStyle name="쉼표 [0] 2 6 18" xfId="11144" xr:uid="{00000000-0005-0000-0000-00001F2C0000}"/>
    <cellStyle name="쉼표 [0] 2 6 18 2" xfId="11145" xr:uid="{00000000-0005-0000-0000-0000202C0000}"/>
    <cellStyle name="쉼표 [0] 2 6 18 2 2" xfId="11146" xr:uid="{00000000-0005-0000-0000-0000212C0000}"/>
    <cellStyle name="쉼표 [0] 2 6 18 3" xfId="11147" xr:uid="{00000000-0005-0000-0000-0000222C0000}"/>
    <cellStyle name="쉼표 [0] 2 6 18 3 2" xfId="11148" xr:uid="{00000000-0005-0000-0000-0000232C0000}"/>
    <cellStyle name="쉼표 [0] 2 6 18 4" xfId="11149" xr:uid="{00000000-0005-0000-0000-0000242C0000}"/>
    <cellStyle name="쉼표 [0] 2 6 18 4 2" xfId="11150" xr:uid="{00000000-0005-0000-0000-0000252C0000}"/>
    <cellStyle name="쉼표 [0] 2 6 18 5" xfId="11151" xr:uid="{00000000-0005-0000-0000-0000262C0000}"/>
    <cellStyle name="쉼표 [0] 2 6 18 5 2" xfId="11152" xr:uid="{00000000-0005-0000-0000-0000272C0000}"/>
    <cellStyle name="쉼표 [0] 2 6 18 6" xfId="11153" xr:uid="{00000000-0005-0000-0000-0000282C0000}"/>
    <cellStyle name="쉼표 [0] 2 6 18 6 2" xfId="11154" xr:uid="{00000000-0005-0000-0000-0000292C0000}"/>
    <cellStyle name="쉼표 [0] 2 6 18 7" xfId="11155" xr:uid="{00000000-0005-0000-0000-00002A2C0000}"/>
    <cellStyle name="쉼표 [0] 2 6 19" xfId="11156" xr:uid="{00000000-0005-0000-0000-00002B2C0000}"/>
    <cellStyle name="쉼표 [0] 2 6 19 2" xfId="11157" xr:uid="{00000000-0005-0000-0000-00002C2C0000}"/>
    <cellStyle name="쉼표 [0] 2 6 19 2 2" xfId="11158" xr:uid="{00000000-0005-0000-0000-00002D2C0000}"/>
    <cellStyle name="쉼표 [0] 2 6 19 3" xfId="11159" xr:uid="{00000000-0005-0000-0000-00002E2C0000}"/>
    <cellStyle name="쉼표 [0] 2 6 19 3 2" xfId="11160" xr:uid="{00000000-0005-0000-0000-00002F2C0000}"/>
    <cellStyle name="쉼표 [0] 2 6 19 4" xfId="11161" xr:uid="{00000000-0005-0000-0000-0000302C0000}"/>
    <cellStyle name="쉼표 [0] 2 6 19 4 2" xfId="11162" xr:uid="{00000000-0005-0000-0000-0000312C0000}"/>
    <cellStyle name="쉼표 [0] 2 6 19 5" xfId="11163" xr:uid="{00000000-0005-0000-0000-0000322C0000}"/>
    <cellStyle name="쉼표 [0] 2 6 19 5 2" xfId="11164" xr:uid="{00000000-0005-0000-0000-0000332C0000}"/>
    <cellStyle name="쉼표 [0] 2 6 19 6" xfId="11165" xr:uid="{00000000-0005-0000-0000-0000342C0000}"/>
    <cellStyle name="쉼표 [0] 2 6 19 6 2" xfId="11166" xr:uid="{00000000-0005-0000-0000-0000352C0000}"/>
    <cellStyle name="쉼표 [0] 2 6 19 7" xfId="11167" xr:uid="{00000000-0005-0000-0000-0000362C0000}"/>
    <cellStyle name="쉼표 [0] 2 6 2" xfId="11168" xr:uid="{00000000-0005-0000-0000-0000372C0000}"/>
    <cellStyle name="쉼표 [0] 2 6 2 2" xfId="11169" xr:uid="{00000000-0005-0000-0000-0000382C0000}"/>
    <cellStyle name="쉼표 [0] 2 6 2 2 2" xfId="11170" xr:uid="{00000000-0005-0000-0000-0000392C0000}"/>
    <cellStyle name="쉼표 [0] 2 6 2 3" xfId="11171" xr:uid="{00000000-0005-0000-0000-00003A2C0000}"/>
    <cellStyle name="쉼표 [0] 2 6 2 3 2" xfId="11172" xr:uid="{00000000-0005-0000-0000-00003B2C0000}"/>
    <cellStyle name="쉼표 [0] 2 6 2 4" xfId="11173" xr:uid="{00000000-0005-0000-0000-00003C2C0000}"/>
    <cellStyle name="쉼표 [0] 2 6 2 4 2" xfId="11174" xr:uid="{00000000-0005-0000-0000-00003D2C0000}"/>
    <cellStyle name="쉼표 [0] 2 6 2 5" xfId="11175" xr:uid="{00000000-0005-0000-0000-00003E2C0000}"/>
    <cellStyle name="쉼표 [0] 2 6 2 5 2" xfId="11176" xr:uid="{00000000-0005-0000-0000-00003F2C0000}"/>
    <cellStyle name="쉼표 [0] 2 6 2 6" xfId="11177" xr:uid="{00000000-0005-0000-0000-0000402C0000}"/>
    <cellStyle name="쉼표 [0] 2 6 2 6 2" xfId="11178" xr:uid="{00000000-0005-0000-0000-0000412C0000}"/>
    <cellStyle name="쉼표 [0] 2 6 2 7" xfId="11179" xr:uid="{00000000-0005-0000-0000-0000422C0000}"/>
    <cellStyle name="쉼표 [0] 2 6 2 7 2" xfId="11180" xr:uid="{00000000-0005-0000-0000-0000432C0000}"/>
    <cellStyle name="쉼표 [0] 2 6 2 8" xfId="11181" xr:uid="{00000000-0005-0000-0000-0000442C0000}"/>
    <cellStyle name="쉼표 [0] 2 6 2 8 2" xfId="11182" xr:uid="{00000000-0005-0000-0000-0000452C0000}"/>
    <cellStyle name="쉼표 [0] 2 6 20" xfId="11183" xr:uid="{00000000-0005-0000-0000-0000462C0000}"/>
    <cellStyle name="쉼표 [0] 2 6 20 2" xfId="11184" xr:uid="{00000000-0005-0000-0000-0000472C0000}"/>
    <cellStyle name="쉼표 [0] 2 6 21" xfId="11185" xr:uid="{00000000-0005-0000-0000-0000482C0000}"/>
    <cellStyle name="쉼표 [0] 2 6 21 2" xfId="11186" xr:uid="{00000000-0005-0000-0000-0000492C0000}"/>
    <cellStyle name="쉼표 [0] 2 6 22" xfId="11187" xr:uid="{00000000-0005-0000-0000-00004A2C0000}"/>
    <cellStyle name="쉼표 [0] 2 6 22 2" xfId="11188" xr:uid="{00000000-0005-0000-0000-00004B2C0000}"/>
    <cellStyle name="쉼표 [0] 2 6 23" xfId="11189" xr:uid="{00000000-0005-0000-0000-00004C2C0000}"/>
    <cellStyle name="쉼표 [0] 2 6 23 2" xfId="11190" xr:uid="{00000000-0005-0000-0000-00004D2C0000}"/>
    <cellStyle name="쉼표 [0] 2 6 24" xfId="11191" xr:uid="{00000000-0005-0000-0000-00004E2C0000}"/>
    <cellStyle name="쉼표 [0] 2 6 25" xfId="11192" xr:uid="{00000000-0005-0000-0000-00004F2C0000}"/>
    <cellStyle name="쉼표 [0] 2 6 26" xfId="11193" xr:uid="{00000000-0005-0000-0000-0000502C0000}"/>
    <cellStyle name="쉼표 [0] 2 6 26 2" xfId="11194" xr:uid="{00000000-0005-0000-0000-0000512C0000}"/>
    <cellStyle name="쉼표 [0] 2 6 27" xfId="11195" xr:uid="{00000000-0005-0000-0000-0000522C0000}"/>
    <cellStyle name="쉼표 [0] 2 6 27 2" xfId="11196" xr:uid="{00000000-0005-0000-0000-0000532C0000}"/>
    <cellStyle name="쉼표 [0] 2 6 28" xfId="11197" xr:uid="{00000000-0005-0000-0000-0000542C0000}"/>
    <cellStyle name="쉼표 [0] 2 6 28 2" xfId="11198" xr:uid="{00000000-0005-0000-0000-0000552C0000}"/>
    <cellStyle name="쉼표 [0] 2 6 29" xfId="11199" xr:uid="{00000000-0005-0000-0000-0000562C0000}"/>
    <cellStyle name="쉼표 [0] 2 6 29 2" xfId="11200" xr:uid="{00000000-0005-0000-0000-0000572C0000}"/>
    <cellStyle name="쉼표 [0] 2 6 3" xfId="11201" xr:uid="{00000000-0005-0000-0000-0000582C0000}"/>
    <cellStyle name="쉼표 [0] 2 6 3 2" xfId="11202" xr:uid="{00000000-0005-0000-0000-0000592C0000}"/>
    <cellStyle name="쉼표 [0] 2 6 3 2 2" xfId="11203" xr:uid="{00000000-0005-0000-0000-00005A2C0000}"/>
    <cellStyle name="쉼표 [0] 2 6 3 3" xfId="11204" xr:uid="{00000000-0005-0000-0000-00005B2C0000}"/>
    <cellStyle name="쉼표 [0] 2 6 3 3 2" xfId="11205" xr:uid="{00000000-0005-0000-0000-00005C2C0000}"/>
    <cellStyle name="쉼표 [0] 2 6 3 4" xfId="11206" xr:uid="{00000000-0005-0000-0000-00005D2C0000}"/>
    <cellStyle name="쉼표 [0] 2 6 3 4 2" xfId="11207" xr:uid="{00000000-0005-0000-0000-00005E2C0000}"/>
    <cellStyle name="쉼표 [0] 2 6 3 5" xfId="11208" xr:uid="{00000000-0005-0000-0000-00005F2C0000}"/>
    <cellStyle name="쉼표 [0] 2 6 3 5 2" xfId="11209" xr:uid="{00000000-0005-0000-0000-0000602C0000}"/>
    <cellStyle name="쉼표 [0] 2 6 3 6" xfId="11210" xr:uid="{00000000-0005-0000-0000-0000612C0000}"/>
    <cellStyle name="쉼표 [0] 2 6 3 6 2" xfId="11211" xr:uid="{00000000-0005-0000-0000-0000622C0000}"/>
    <cellStyle name="쉼표 [0] 2 6 3 7" xfId="11212" xr:uid="{00000000-0005-0000-0000-0000632C0000}"/>
    <cellStyle name="쉼표 [0] 2 6 30" xfId="11213" xr:uid="{00000000-0005-0000-0000-0000642C0000}"/>
    <cellStyle name="쉼표 [0] 2 6 4" xfId="11214" xr:uid="{00000000-0005-0000-0000-0000652C0000}"/>
    <cellStyle name="쉼표 [0] 2 6 4 2" xfId="11215" xr:uid="{00000000-0005-0000-0000-0000662C0000}"/>
    <cellStyle name="쉼표 [0] 2 6 4 2 2" xfId="11216" xr:uid="{00000000-0005-0000-0000-0000672C0000}"/>
    <cellStyle name="쉼표 [0] 2 6 4 3" xfId="11217" xr:uid="{00000000-0005-0000-0000-0000682C0000}"/>
    <cellStyle name="쉼표 [0] 2 6 4 3 2" xfId="11218" xr:uid="{00000000-0005-0000-0000-0000692C0000}"/>
    <cellStyle name="쉼표 [0] 2 6 4 4" xfId="11219" xr:uid="{00000000-0005-0000-0000-00006A2C0000}"/>
    <cellStyle name="쉼표 [0] 2 6 4 4 2" xfId="11220" xr:uid="{00000000-0005-0000-0000-00006B2C0000}"/>
    <cellStyle name="쉼표 [0] 2 6 4 5" xfId="11221" xr:uid="{00000000-0005-0000-0000-00006C2C0000}"/>
    <cellStyle name="쉼표 [0] 2 6 4 5 2" xfId="11222" xr:uid="{00000000-0005-0000-0000-00006D2C0000}"/>
    <cellStyle name="쉼표 [0] 2 6 4 6" xfId="11223" xr:uid="{00000000-0005-0000-0000-00006E2C0000}"/>
    <cellStyle name="쉼표 [0] 2 6 4 6 2" xfId="11224" xr:uid="{00000000-0005-0000-0000-00006F2C0000}"/>
    <cellStyle name="쉼표 [0] 2 6 4 7" xfId="11225" xr:uid="{00000000-0005-0000-0000-0000702C0000}"/>
    <cellStyle name="쉼표 [0] 2 6 5" xfId="11226" xr:uid="{00000000-0005-0000-0000-0000712C0000}"/>
    <cellStyle name="쉼표 [0] 2 6 5 2" xfId="11227" xr:uid="{00000000-0005-0000-0000-0000722C0000}"/>
    <cellStyle name="쉼표 [0] 2 6 5 2 2" xfId="11228" xr:uid="{00000000-0005-0000-0000-0000732C0000}"/>
    <cellStyle name="쉼표 [0] 2 6 5 3" xfId="11229" xr:uid="{00000000-0005-0000-0000-0000742C0000}"/>
    <cellStyle name="쉼표 [0] 2 6 5 3 2" xfId="11230" xr:uid="{00000000-0005-0000-0000-0000752C0000}"/>
    <cellStyle name="쉼표 [0] 2 6 5 4" xfId="11231" xr:uid="{00000000-0005-0000-0000-0000762C0000}"/>
    <cellStyle name="쉼표 [0] 2 6 5 4 2" xfId="11232" xr:uid="{00000000-0005-0000-0000-0000772C0000}"/>
    <cellStyle name="쉼표 [0] 2 6 5 5" xfId="11233" xr:uid="{00000000-0005-0000-0000-0000782C0000}"/>
    <cellStyle name="쉼표 [0] 2 6 5 5 2" xfId="11234" xr:uid="{00000000-0005-0000-0000-0000792C0000}"/>
    <cellStyle name="쉼표 [0] 2 6 5 6" xfId="11235" xr:uid="{00000000-0005-0000-0000-00007A2C0000}"/>
    <cellStyle name="쉼표 [0] 2 6 5 6 2" xfId="11236" xr:uid="{00000000-0005-0000-0000-00007B2C0000}"/>
    <cellStyle name="쉼표 [0] 2 6 5 7" xfId="11237" xr:uid="{00000000-0005-0000-0000-00007C2C0000}"/>
    <cellStyle name="쉼표 [0] 2 6 6" xfId="11238" xr:uid="{00000000-0005-0000-0000-00007D2C0000}"/>
    <cellStyle name="쉼표 [0] 2 6 6 2" xfId="11239" xr:uid="{00000000-0005-0000-0000-00007E2C0000}"/>
    <cellStyle name="쉼표 [0] 2 6 6 2 2" xfId="11240" xr:uid="{00000000-0005-0000-0000-00007F2C0000}"/>
    <cellStyle name="쉼표 [0] 2 6 6 3" xfId="11241" xr:uid="{00000000-0005-0000-0000-0000802C0000}"/>
    <cellStyle name="쉼표 [0] 2 6 6 3 2" xfId="11242" xr:uid="{00000000-0005-0000-0000-0000812C0000}"/>
    <cellStyle name="쉼표 [0] 2 6 6 4" xfId="11243" xr:uid="{00000000-0005-0000-0000-0000822C0000}"/>
    <cellStyle name="쉼표 [0] 2 6 6 4 2" xfId="11244" xr:uid="{00000000-0005-0000-0000-0000832C0000}"/>
    <cellStyle name="쉼표 [0] 2 6 6 5" xfId="11245" xr:uid="{00000000-0005-0000-0000-0000842C0000}"/>
    <cellStyle name="쉼표 [0] 2 6 6 5 2" xfId="11246" xr:uid="{00000000-0005-0000-0000-0000852C0000}"/>
    <cellStyle name="쉼표 [0] 2 6 6 6" xfId="11247" xr:uid="{00000000-0005-0000-0000-0000862C0000}"/>
    <cellStyle name="쉼표 [0] 2 6 6 6 2" xfId="11248" xr:uid="{00000000-0005-0000-0000-0000872C0000}"/>
    <cellStyle name="쉼표 [0] 2 6 6 7" xfId="11249" xr:uid="{00000000-0005-0000-0000-0000882C0000}"/>
    <cellStyle name="쉼표 [0] 2 6 7" xfId="11250" xr:uid="{00000000-0005-0000-0000-0000892C0000}"/>
    <cellStyle name="쉼표 [0] 2 6 7 2" xfId="11251" xr:uid="{00000000-0005-0000-0000-00008A2C0000}"/>
    <cellStyle name="쉼표 [0] 2 6 7 2 2" xfId="11252" xr:uid="{00000000-0005-0000-0000-00008B2C0000}"/>
    <cellStyle name="쉼표 [0] 2 6 7 3" xfId="11253" xr:uid="{00000000-0005-0000-0000-00008C2C0000}"/>
    <cellStyle name="쉼표 [0] 2 6 7 3 2" xfId="11254" xr:uid="{00000000-0005-0000-0000-00008D2C0000}"/>
    <cellStyle name="쉼표 [0] 2 6 7 4" xfId="11255" xr:uid="{00000000-0005-0000-0000-00008E2C0000}"/>
    <cellStyle name="쉼표 [0] 2 6 7 4 2" xfId="11256" xr:uid="{00000000-0005-0000-0000-00008F2C0000}"/>
    <cellStyle name="쉼표 [0] 2 6 7 5" xfId="11257" xr:uid="{00000000-0005-0000-0000-0000902C0000}"/>
    <cellStyle name="쉼표 [0] 2 6 7 5 2" xfId="11258" xr:uid="{00000000-0005-0000-0000-0000912C0000}"/>
    <cellStyle name="쉼표 [0] 2 6 7 6" xfId="11259" xr:uid="{00000000-0005-0000-0000-0000922C0000}"/>
    <cellStyle name="쉼표 [0] 2 6 7 6 2" xfId="11260" xr:uid="{00000000-0005-0000-0000-0000932C0000}"/>
    <cellStyle name="쉼표 [0] 2 6 7 7" xfId="11261" xr:uid="{00000000-0005-0000-0000-0000942C0000}"/>
    <cellStyle name="쉼표 [0] 2 6 8" xfId="11262" xr:uid="{00000000-0005-0000-0000-0000952C0000}"/>
    <cellStyle name="쉼표 [0] 2 6 8 2" xfId="11263" xr:uid="{00000000-0005-0000-0000-0000962C0000}"/>
    <cellStyle name="쉼표 [0] 2 6 8 2 2" xfId="11264" xr:uid="{00000000-0005-0000-0000-0000972C0000}"/>
    <cellStyle name="쉼표 [0] 2 6 8 3" xfId="11265" xr:uid="{00000000-0005-0000-0000-0000982C0000}"/>
    <cellStyle name="쉼표 [0] 2 6 8 3 2" xfId="11266" xr:uid="{00000000-0005-0000-0000-0000992C0000}"/>
    <cellStyle name="쉼표 [0] 2 6 8 4" xfId="11267" xr:uid="{00000000-0005-0000-0000-00009A2C0000}"/>
    <cellStyle name="쉼표 [0] 2 6 8 4 2" xfId="11268" xr:uid="{00000000-0005-0000-0000-00009B2C0000}"/>
    <cellStyle name="쉼표 [0] 2 6 8 5" xfId="11269" xr:uid="{00000000-0005-0000-0000-00009C2C0000}"/>
    <cellStyle name="쉼표 [0] 2 6 8 5 2" xfId="11270" xr:uid="{00000000-0005-0000-0000-00009D2C0000}"/>
    <cellStyle name="쉼표 [0] 2 6 8 6" xfId="11271" xr:uid="{00000000-0005-0000-0000-00009E2C0000}"/>
    <cellStyle name="쉼표 [0] 2 6 8 6 2" xfId="11272" xr:uid="{00000000-0005-0000-0000-00009F2C0000}"/>
    <cellStyle name="쉼표 [0] 2 6 8 7" xfId="11273" xr:uid="{00000000-0005-0000-0000-0000A02C0000}"/>
    <cellStyle name="쉼표 [0] 2 6 9" xfId="11274" xr:uid="{00000000-0005-0000-0000-0000A12C0000}"/>
    <cellStyle name="쉼표 [0] 2 6 9 2" xfId="11275" xr:uid="{00000000-0005-0000-0000-0000A22C0000}"/>
    <cellStyle name="쉼표 [0] 2 6 9 2 2" xfId="11276" xr:uid="{00000000-0005-0000-0000-0000A32C0000}"/>
    <cellStyle name="쉼표 [0] 2 6 9 3" xfId="11277" xr:uid="{00000000-0005-0000-0000-0000A42C0000}"/>
    <cellStyle name="쉼표 [0] 2 6 9 3 2" xfId="11278" xr:uid="{00000000-0005-0000-0000-0000A52C0000}"/>
    <cellStyle name="쉼표 [0] 2 6 9 4" xfId="11279" xr:uid="{00000000-0005-0000-0000-0000A62C0000}"/>
    <cellStyle name="쉼표 [0] 2 6 9 4 2" xfId="11280" xr:uid="{00000000-0005-0000-0000-0000A72C0000}"/>
    <cellStyle name="쉼표 [0] 2 6 9 5" xfId="11281" xr:uid="{00000000-0005-0000-0000-0000A82C0000}"/>
    <cellStyle name="쉼표 [0] 2 6 9 5 2" xfId="11282" xr:uid="{00000000-0005-0000-0000-0000A92C0000}"/>
    <cellStyle name="쉼표 [0] 2 6 9 6" xfId="11283" xr:uid="{00000000-0005-0000-0000-0000AA2C0000}"/>
    <cellStyle name="쉼표 [0] 2 6 9 6 2" xfId="11284" xr:uid="{00000000-0005-0000-0000-0000AB2C0000}"/>
    <cellStyle name="쉼표 [0] 2 6 9 7" xfId="11285" xr:uid="{00000000-0005-0000-0000-0000AC2C0000}"/>
    <cellStyle name="쉼표 [0] 2 60" xfId="11286" xr:uid="{00000000-0005-0000-0000-0000AD2C0000}"/>
    <cellStyle name="쉼표 [0] 2 60 2" xfId="11287" xr:uid="{00000000-0005-0000-0000-0000AE2C0000}"/>
    <cellStyle name="쉼표 [0] 2 61" xfId="11288" xr:uid="{00000000-0005-0000-0000-0000AF2C0000}"/>
    <cellStyle name="쉼표 [0] 2 61 2" xfId="11289" xr:uid="{00000000-0005-0000-0000-0000B02C0000}"/>
    <cellStyle name="쉼표 [0] 2 62" xfId="11290" xr:uid="{00000000-0005-0000-0000-0000B12C0000}"/>
    <cellStyle name="쉼표 [0] 2 62 2" xfId="11291" xr:uid="{00000000-0005-0000-0000-0000B22C0000}"/>
    <cellStyle name="쉼표 [0] 2 63" xfId="11292" xr:uid="{00000000-0005-0000-0000-0000B32C0000}"/>
    <cellStyle name="쉼표 [0] 2 63 2" xfId="11293" xr:uid="{00000000-0005-0000-0000-0000B42C0000}"/>
    <cellStyle name="쉼표 [0] 2 64" xfId="11294" xr:uid="{00000000-0005-0000-0000-0000B52C0000}"/>
    <cellStyle name="쉼표 [0] 2 64 2" xfId="11295" xr:uid="{00000000-0005-0000-0000-0000B62C0000}"/>
    <cellStyle name="쉼표 [0] 2 65" xfId="11296" xr:uid="{00000000-0005-0000-0000-0000B72C0000}"/>
    <cellStyle name="쉼표 [0] 2 65 2" xfId="11297" xr:uid="{00000000-0005-0000-0000-0000B82C0000}"/>
    <cellStyle name="쉼표 [0] 2 66" xfId="11298" xr:uid="{00000000-0005-0000-0000-0000B92C0000}"/>
    <cellStyle name="쉼표 [0] 2 66 2" xfId="11299" xr:uid="{00000000-0005-0000-0000-0000BA2C0000}"/>
    <cellStyle name="쉼표 [0] 2 67" xfId="11300" xr:uid="{00000000-0005-0000-0000-0000BB2C0000}"/>
    <cellStyle name="쉼표 [0] 2 67 2" xfId="11301" xr:uid="{00000000-0005-0000-0000-0000BC2C0000}"/>
    <cellStyle name="쉼표 [0] 2 68" xfId="11302" xr:uid="{00000000-0005-0000-0000-0000BD2C0000}"/>
    <cellStyle name="쉼표 [0] 2 68 2" xfId="11303" xr:uid="{00000000-0005-0000-0000-0000BE2C0000}"/>
    <cellStyle name="쉼표 [0] 2 69" xfId="11304" xr:uid="{00000000-0005-0000-0000-0000BF2C0000}"/>
    <cellStyle name="쉼표 [0] 2 69 2" xfId="11305" xr:uid="{00000000-0005-0000-0000-0000C02C0000}"/>
    <cellStyle name="쉼표 [0] 2 7" xfId="11306" xr:uid="{00000000-0005-0000-0000-0000C12C0000}"/>
    <cellStyle name="쉼표 [0] 2 7 10" xfId="11307" xr:uid="{00000000-0005-0000-0000-0000C22C0000}"/>
    <cellStyle name="쉼표 [0] 2 7 10 2" xfId="11308" xr:uid="{00000000-0005-0000-0000-0000C32C0000}"/>
    <cellStyle name="쉼표 [0] 2 7 10 2 2" xfId="11309" xr:uid="{00000000-0005-0000-0000-0000C42C0000}"/>
    <cellStyle name="쉼표 [0] 2 7 10 3" xfId="11310" xr:uid="{00000000-0005-0000-0000-0000C52C0000}"/>
    <cellStyle name="쉼표 [0] 2 7 10 3 2" xfId="11311" xr:uid="{00000000-0005-0000-0000-0000C62C0000}"/>
    <cellStyle name="쉼표 [0] 2 7 10 4" xfId="11312" xr:uid="{00000000-0005-0000-0000-0000C72C0000}"/>
    <cellStyle name="쉼표 [0] 2 7 10 4 2" xfId="11313" xr:uid="{00000000-0005-0000-0000-0000C82C0000}"/>
    <cellStyle name="쉼표 [0] 2 7 10 5" xfId="11314" xr:uid="{00000000-0005-0000-0000-0000C92C0000}"/>
    <cellStyle name="쉼표 [0] 2 7 10 5 2" xfId="11315" xr:uid="{00000000-0005-0000-0000-0000CA2C0000}"/>
    <cellStyle name="쉼표 [0] 2 7 10 6" xfId="11316" xr:uid="{00000000-0005-0000-0000-0000CB2C0000}"/>
    <cellStyle name="쉼표 [0] 2 7 10 6 2" xfId="11317" xr:uid="{00000000-0005-0000-0000-0000CC2C0000}"/>
    <cellStyle name="쉼표 [0] 2 7 10 7" xfId="11318" xr:uid="{00000000-0005-0000-0000-0000CD2C0000}"/>
    <cellStyle name="쉼표 [0] 2 7 11" xfId="11319" xr:uid="{00000000-0005-0000-0000-0000CE2C0000}"/>
    <cellStyle name="쉼표 [0] 2 7 11 2" xfId="11320" xr:uid="{00000000-0005-0000-0000-0000CF2C0000}"/>
    <cellStyle name="쉼표 [0] 2 7 11 2 2" xfId="11321" xr:uid="{00000000-0005-0000-0000-0000D02C0000}"/>
    <cellStyle name="쉼표 [0] 2 7 11 3" xfId="11322" xr:uid="{00000000-0005-0000-0000-0000D12C0000}"/>
    <cellStyle name="쉼표 [0] 2 7 11 3 2" xfId="11323" xr:uid="{00000000-0005-0000-0000-0000D22C0000}"/>
    <cellStyle name="쉼표 [0] 2 7 11 4" xfId="11324" xr:uid="{00000000-0005-0000-0000-0000D32C0000}"/>
    <cellStyle name="쉼표 [0] 2 7 11 4 2" xfId="11325" xr:uid="{00000000-0005-0000-0000-0000D42C0000}"/>
    <cellStyle name="쉼표 [0] 2 7 11 5" xfId="11326" xr:uid="{00000000-0005-0000-0000-0000D52C0000}"/>
    <cellStyle name="쉼표 [0] 2 7 11 5 2" xfId="11327" xr:uid="{00000000-0005-0000-0000-0000D62C0000}"/>
    <cellStyle name="쉼표 [0] 2 7 11 6" xfId="11328" xr:uid="{00000000-0005-0000-0000-0000D72C0000}"/>
    <cellStyle name="쉼표 [0] 2 7 11 6 2" xfId="11329" xr:uid="{00000000-0005-0000-0000-0000D82C0000}"/>
    <cellStyle name="쉼표 [0] 2 7 11 7" xfId="11330" xr:uid="{00000000-0005-0000-0000-0000D92C0000}"/>
    <cellStyle name="쉼표 [0] 2 7 12" xfId="11331" xr:uid="{00000000-0005-0000-0000-0000DA2C0000}"/>
    <cellStyle name="쉼표 [0] 2 7 12 2" xfId="11332" xr:uid="{00000000-0005-0000-0000-0000DB2C0000}"/>
    <cellStyle name="쉼표 [0] 2 7 12 2 2" xfId="11333" xr:uid="{00000000-0005-0000-0000-0000DC2C0000}"/>
    <cellStyle name="쉼표 [0] 2 7 12 3" xfId="11334" xr:uid="{00000000-0005-0000-0000-0000DD2C0000}"/>
    <cellStyle name="쉼표 [0] 2 7 12 3 2" xfId="11335" xr:uid="{00000000-0005-0000-0000-0000DE2C0000}"/>
    <cellStyle name="쉼표 [0] 2 7 12 4" xfId="11336" xr:uid="{00000000-0005-0000-0000-0000DF2C0000}"/>
    <cellStyle name="쉼표 [0] 2 7 12 4 2" xfId="11337" xr:uid="{00000000-0005-0000-0000-0000E02C0000}"/>
    <cellStyle name="쉼표 [0] 2 7 12 5" xfId="11338" xr:uid="{00000000-0005-0000-0000-0000E12C0000}"/>
    <cellStyle name="쉼표 [0] 2 7 12 5 2" xfId="11339" xr:uid="{00000000-0005-0000-0000-0000E22C0000}"/>
    <cellStyle name="쉼표 [0] 2 7 12 6" xfId="11340" xr:uid="{00000000-0005-0000-0000-0000E32C0000}"/>
    <cellStyle name="쉼표 [0] 2 7 12 6 2" xfId="11341" xr:uid="{00000000-0005-0000-0000-0000E42C0000}"/>
    <cellStyle name="쉼표 [0] 2 7 12 7" xfId="11342" xr:uid="{00000000-0005-0000-0000-0000E52C0000}"/>
    <cellStyle name="쉼표 [0] 2 7 13" xfId="11343" xr:uid="{00000000-0005-0000-0000-0000E62C0000}"/>
    <cellStyle name="쉼표 [0] 2 7 13 2" xfId="11344" xr:uid="{00000000-0005-0000-0000-0000E72C0000}"/>
    <cellStyle name="쉼표 [0] 2 7 13 2 2" xfId="11345" xr:uid="{00000000-0005-0000-0000-0000E82C0000}"/>
    <cellStyle name="쉼표 [0] 2 7 13 3" xfId="11346" xr:uid="{00000000-0005-0000-0000-0000E92C0000}"/>
    <cellStyle name="쉼표 [0] 2 7 13 3 2" xfId="11347" xr:uid="{00000000-0005-0000-0000-0000EA2C0000}"/>
    <cellStyle name="쉼표 [0] 2 7 13 4" xfId="11348" xr:uid="{00000000-0005-0000-0000-0000EB2C0000}"/>
    <cellStyle name="쉼표 [0] 2 7 13 4 2" xfId="11349" xr:uid="{00000000-0005-0000-0000-0000EC2C0000}"/>
    <cellStyle name="쉼표 [0] 2 7 13 5" xfId="11350" xr:uid="{00000000-0005-0000-0000-0000ED2C0000}"/>
    <cellStyle name="쉼표 [0] 2 7 13 5 2" xfId="11351" xr:uid="{00000000-0005-0000-0000-0000EE2C0000}"/>
    <cellStyle name="쉼표 [0] 2 7 13 6" xfId="11352" xr:uid="{00000000-0005-0000-0000-0000EF2C0000}"/>
    <cellStyle name="쉼표 [0] 2 7 13 6 2" xfId="11353" xr:uid="{00000000-0005-0000-0000-0000F02C0000}"/>
    <cellStyle name="쉼표 [0] 2 7 13 7" xfId="11354" xr:uid="{00000000-0005-0000-0000-0000F12C0000}"/>
    <cellStyle name="쉼표 [0] 2 7 14" xfId="11355" xr:uid="{00000000-0005-0000-0000-0000F22C0000}"/>
    <cellStyle name="쉼표 [0] 2 7 14 2" xfId="11356" xr:uid="{00000000-0005-0000-0000-0000F32C0000}"/>
    <cellStyle name="쉼표 [0] 2 7 14 2 2" xfId="11357" xr:uid="{00000000-0005-0000-0000-0000F42C0000}"/>
    <cellStyle name="쉼표 [0] 2 7 14 3" xfId="11358" xr:uid="{00000000-0005-0000-0000-0000F52C0000}"/>
    <cellStyle name="쉼표 [0] 2 7 14 3 2" xfId="11359" xr:uid="{00000000-0005-0000-0000-0000F62C0000}"/>
    <cellStyle name="쉼표 [0] 2 7 14 4" xfId="11360" xr:uid="{00000000-0005-0000-0000-0000F72C0000}"/>
    <cellStyle name="쉼표 [0] 2 7 14 4 2" xfId="11361" xr:uid="{00000000-0005-0000-0000-0000F82C0000}"/>
    <cellStyle name="쉼표 [0] 2 7 14 5" xfId="11362" xr:uid="{00000000-0005-0000-0000-0000F92C0000}"/>
    <cellStyle name="쉼표 [0] 2 7 14 5 2" xfId="11363" xr:uid="{00000000-0005-0000-0000-0000FA2C0000}"/>
    <cellStyle name="쉼표 [0] 2 7 14 6" xfId="11364" xr:uid="{00000000-0005-0000-0000-0000FB2C0000}"/>
    <cellStyle name="쉼표 [0] 2 7 14 6 2" xfId="11365" xr:uid="{00000000-0005-0000-0000-0000FC2C0000}"/>
    <cellStyle name="쉼표 [0] 2 7 14 7" xfId="11366" xr:uid="{00000000-0005-0000-0000-0000FD2C0000}"/>
    <cellStyle name="쉼표 [0] 2 7 15" xfId="11367" xr:uid="{00000000-0005-0000-0000-0000FE2C0000}"/>
    <cellStyle name="쉼표 [0] 2 7 15 2" xfId="11368" xr:uid="{00000000-0005-0000-0000-0000FF2C0000}"/>
    <cellStyle name="쉼표 [0] 2 7 15 2 2" xfId="11369" xr:uid="{00000000-0005-0000-0000-0000002D0000}"/>
    <cellStyle name="쉼표 [0] 2 7 15 3" xfId="11370" xr:uid="{00000000-0005-0000-0000-0000012D0000}"/>
    <cellStyle name="쉼표 [0] 2 7 15 3 2" xfId="11371" xr:uid="{00000000-0005-0000-0000-0000022D0000}"/>
    <cellStyle name="쉼표 [0] 2 7 15 4" xfId="11372" xr:uid="{00000000-0005-0000-0000-0000032D0000}"/>
    <cellStyle name="쉼표 [0] 2 7 15 4 2" xfId="11373" xr:uid="{00000000-0005-0000-0000-0000042D0000}"/>
    <cellStyle name="쉼표 [0] 2 7 15 5" xfId="11374" xr:uid="{00000000-0005-0000-0000-0000052D0000}"/>
    <cellStyle name="쉼표 [0] 2 7 15 5 2" xfId="11375" xr:uid="{00000000-0005-0000-0000-0000062D0000}"/>
    <cellStyle name="쉼표 [0] 2 7 15 6" xfId="11376" xr:uid="{00000000-0005-0000-0000-0000072D0000}"/>
    <cellStyle name="쉼표 [0] 2 7 15 6 2" xfId="11377" xr:uid="{00000000-0005-0000-0000-0000082D0000}"/>
    <cellStyle name="쉼표 [0] 2 7 15 7" xfId="11378" xr:uid="{00000000-0005-0000-0000-0000092D0000}"/>
    <cellStyle name="쉼표 [0] 2 7 16" xfId="11379" xr:uid="{00000000-0005-0000-0000-00000A2D0000}"/>
    <cellStyle name="쉼표 [0] 2 7 16 2" xfId="11380" xr:uid="{00000000-0005-0000-0000-00000B2D0000}"/>
    <cellStyle name="쉼표 [0] 2 7 16 2 2" xfId="11381" xr:uid="{00000000-0005-0000-0000-00000C2D0000}"/>
    <cellStyle name="쉼표 [0] 2 7 16 3" xfId="11382" xr:uid="{00000000-0005-0000-0000-00000D2D0000}"/>
    <cellStyle name="쉼표 [0] 2 7 16 3 2" xfId="11383" xr:uid="{00000000-0005-0000-0000-00000E2D0000}"/>
    <cellStyle name="쉼표 [0] 2 7 16 4" xfId="11384" xr:uid="{00000000-0005-0000-0000-00000F2D0000}"/>
    <cellStyle name="쉼표 [0] 2 7 16 4 2" xfId="11385" xr:uid="{00000000-0005-0000-0000-0000102D0000}"/>
    <cellStyle name="쉼표 [0] 2 7 16 5" xfId="11386" xr:uid="{00000000-0005-0000-0000-0000112D0000}"/>
    <cellStyle name="쉼표 [0] 2 7 16 5 2" xfId="11387" xr:uid="{00000000-0005-0000-0000-0000122D0000}"/>
    <cellStyle name="쉼표 [0] 2 7 16 6" xfId="11388" xr:uid="{00000000-0005-0000-0000-0000132D0000}"/>
    <cellStyle name="쉼표 [0] 2 7 16 6 2" xfId="11389" xr:uid="{00000000-0005-0000-0000-0000142D0000}"/>
    <cellStyle name="쉼표 [0] 2 7 16 7" xfId="11390" xr:uid="{00000000-0005-0000-0000-0000152D0000}"/>
    <cellStyle name="쉼표 [0] 2 7 17" xfId="11391" xr:uid="{00000000-0005-0000-0000-0000162D0000}"/>
    <cellStyle name="쉼표 [0] 2 7 17 2" xfId="11392" xr:uid="{00000000-0005-0000-0000-0000172D0000}"/>
    <cellStyle name="쉼표 [0] 2 7 17 2 2" xfId="11393" xr:uid="{00000000-0005-0000-0000-0000182D0000}"/>
    <cellStyle name="쉼표 [0] 2 7 17 3" xfId="11394" xr:uid="{00000000-0005-0000-0000-0000192D0000}"/>
    <cellStyle name="쉼표 [0] 2 7 17 3 2" xfId="11395" xr:uid="{00000000-0005-0000-0000-00001A2D0000}"/>
    <cellStyle name="쉼표 [0] 2 7 17 4" xfId="11396" xr:uid="{00000000-0005-0000-0000-00001B2D0000}"/>
    <cellStyle name="쉼표 [0] 2 7 17 4 2" xfId="11397" xr:uid="{00000000-0005-0000-0000-00001C2D0000}"/>
    <cellStyle name="쉼표 [0] 2 7 17 5" xfId="11398" xr:uid="{00000000-0005-0000-0000-00001D2D0000}"/>
    <cellStyle name="쉼표 [0] 2 7 17 5 2" xfId="11399" xr:uid="{00000000-0005-0000-0000-00001E2D0000}"/>
    <cellStyle name="쉼표 [0] 2 7 17 6" xfId="11400" xr:uid="{00000000-0005-0000-0000-00001F2D0000}"/>
    <cellStyle name="쉼표 [0] 2 7 17 6 2" xfId="11401" xr:uid="{00000000-0005-0000-0000-0000202D0000}"/>
    <cellStyle name="쉼표 [0] 2 7 17 7" xfId="11402" xr:uid="{00000000-0005-0000-0000-0000212D0000}"/>
    <cellStyle name="쉼표 [0] 2 7 18" xfId="11403" xr:uid="{00000000-0005-0000-0000-0000222D0000}"/>
    <cellStyle name="쉼표 [0] 2 7 18 2" xfId="11404" xr:uid="{00000000-0005-0000-0000-0000232D0000}"/>
    <cellStyle name="쉼표 [0] 2 7 18 2 2" xfId="11405" xr:uid="{00000000-0005-0000-0000-0000242D0000}"/>
    <cellStyle name="쉼표 [0] 2 7 18 3" xfId="11406" xr:uid="{00000000-0005-0000-0000-0000252D0000}"/>
    <cellStyle name="쉼표 [0] 2 7 18 3 2" xfId="11407" xr:uid="{00000000-0005-0000-0000-0000262D0000}"/>
    <cellStyle name="쉼표 [0] 2 7 18 4" xfId="11408" xr:uid="{00000000-0005-0000-0000-0000272D0000}"/>
    <cellStyle name="쉼표 [0] 2 7 18 4 2" xfId="11409" xr:uid="{00000000-0005-0000-0000-0000282D0000}"/>
    <cellStyle name="쉼표 [0] 2 7 18 5" xfId="11410" xr:uid="{00000000-0005-0000-0000-0000292D0000}"/>
    <cellStyle name="쉼표 [0] 2 7 18 5 2" xfId="11411" xr:uid="{00000000-0005-0000-0000-00002A2D0000}"/>
    <cellStyle name="쉼표 [0] 2 7 18 6" xfId="11412" xr:uid="{00000000-0005-0000-0000-00002B2D0000}"/>
    <cellStyle name="쉼표 [0] 2 7 18 6 2" xfId="11413" xr:uid="{00000000-0005-0000-0000-00002C2D0000}"/>
    <cellStyle name="쉼표 [0] 2 7 18 7" xfId="11414" xr:uid="{00000000-0005-0000-0000-00002D2D0000}"/>
    <cellStyle name="쉼표 [0] 2 7 19" xfId="11415" xr:uid="{00000000-0005-0000-0000-00002E2D0000}"/>
    <cellStyle name="쉼표 [0] 2 7 19 2" xfId="11416" xr:uid="{00000000-0005-0000-0000-00002F2D0000}"/>
    <cellStyle name="쉼표 [0] 2 7 19 2 2" xfId="11417" xr:uid="{00000000-0005-0000-0000-0000302D0000}"/>
    <cellStyle name="쉼표 [0] 2 7 19 3" xfId="11418" xr:uid="{00000000-0005-0000-0000-0000312D0000}"/>
    <cellStyle name="쉼표 [0] 2 7 19 3 2" xfId="11419" xr:uid="{00000000-0005-0000-0000-0000322D0000}"/>
    <cellStyle name="쉼표 [0] 2 7 19 4" xfId="11420" xr:uid="{00000000-0005-0000-0000-0000332D0000}"/>
    <cellStyle name="쉼표 [0] 2 7 19 4 2" xfId="11421" xr:uid="{00000000-0005-0000-0000-0000342D0000}"/>
    <cellStyle name="쉼표 [0] 2 7 19 5" xfId="11422" xr:uid="{00000000-0005-0000-0000-0000352D0000}"/>
    <cellStyle name="쉼표 [0] 2 7 19 5 2" xfId="11423" xr:uid="{00000000-0005-0000-0000-0000362D0000}"/>
    <cellStyle name="쉼표 [0] 2 7 19 6" xfId="11424" xr:uid="{00000000-0005-0000-0000-0000372D0000}"/>
    <cellStyle name="쉼표 [0] 2 7 19 6 2" xfId="11425" xr:uid="{00000000-0005-0000-0000-0000382D0000}"/>
    <cellStyle name="쉼표 [0] 2 7 19 7" xfId="11426" xr:uid="{00000000-0005-0000-0000-0000392D0000}"/>
    <cellStyle name="쉼표 [0] 2 7 2" xfId="11427" xr:uid="{00000000-0005-0000-0000-00003A2D0000}"/>
    <cellStyle name="쉼표 [0] 2 7 2 2" xfId="11428" xr:uid="{00000000-0005-0000-0000-00003B2D0000}"/>
    <cellStyle name="쉼표 [0] 2 7 2 2 2" xfId="11429" xr:uid="{00000000-0005-0000-0000-00003C2D0000}"/>
    <cellStyle name="쉼표 [0] 2 7 2 3" xfId="11430" xr:uid="{00000000-0005-0000-0000-00003D2D0000}"/>
    <cellStyle name="쉼표 [0] 2 7 2 3 2" xfId="11431" xr:uid="{00000000-0005-0000-0000-00003E2D0000}"/>
    <cellStyle name="쉼표 [0] 2 7 2 4" xfId="11432" xr:uid="{00000000-0005-0000-0000-00003F2D0000}"/>
    <cellStyle name="쉼표 [0] 2 7 2 4 2" xfId="11433" xr:uid="{00000000-0005-0000-0000-0000402D0000}"/>
    <cellStyle name="쉼표 [0] 2 7 2 5" xfId="11434" xr:uid="{00000000-0005-0000-0000-0000412D0000}"/>
    <cellStyle name="쉼표 [0] 2 7 2 5 2" xfId="11435" xr:uid="{00000000-0005-0000-0000-0000422D0000}"/>
    <cellStyle name="쉼표 [0] 2 7 2 6" xfId="11436" xr:uid="{00000000-0005-0000-0000-0000432D0000}"/>
    <cellStyle name="쉼표 [0] 2 7 2 6 2" xfId="11437" xr:uid="{00000000-0005-0000-0000-0000442D0000}"/>
    <cellStyle name="쉼표 [0] 2 7 2 7" xfId="11438" xr:uid="{00000000-0005-0000-0000-0000452D0000}"/>
    <cellStyle name="쉼표 [0] 2 7 2 7 2" xfId="11439" xr:uid="{00000000-0005-0000-0000-0000462D0000}"/>
    <cellStyle name="쉼표 [0] 2 7 2 8" xfId="11440" xr:uid="{00000000-0005-0000-0000-0000472D0000}"/>
    <cellStyle name="쉼표 [0] 2 7 2 8 2" xfId="11441" xr:uid="{00000000-0005-0000-0000-0000482D0000}"/>
    <cellStyle name="쉼표 [0] 2 7 20" xfId="11442" xr:uid="{00000000-0005-0000-0000-0000492D0000}"/>
    <cellStyle name="쉼표 [0] 2 7 20 2" xfId="11443" xr:uid="{00000000-0005-0000-0000-00004A2D0000}"/>
    <cellStyle name="쉼표 [0] 2 7 21" xfId="11444" xr:uid="{00000000-0005-0000-0000-00004B2D0000}"/>
    <cellStyle name="쉼표 [0] 2 7 21 2" xfId="11445" xr:uid="{00000000-0005-0000-0000-00004C2D0000}"/>
    <cellStyle name="쉼표 [0] 2 7 22" xfId="11446" xr:uid="{00000000-0005-0000-0000-00004D2D0000}"/>
    <cellStyle name="쉼표 [0] 2 7 22 2" xfId="11447" xr:uid="{00000000-0005-0000-0000-00004E2D0000}"/>
    <cellStyle name="쉼표 [0] 2 7 23" xfId="11448" xr:uid="{00000000-0005-0000-0000-00004F2D0000}"/>
    <cellStyle name="쉼표 [0] 2 7 23 2" xfId="11449" xr:uid="{00000000-0005-0000-0000-0000502D0000}"/>
    <cellStyle name="쉼표 [0] 2 7 24" xfId="11450" xr:uid="{00000000-0005-0000-0000-0000512D0000}"/>
    <cellStyle name="쉼표 [0] 2 7 25" xfId="11451" xr:uid="{00000000-0005-0000-0000-0000522D0000}"/>
    <cellStyle name="쉼표 [0] 2 7 26" xfId="11452" xr:uid="{00000000-0005-0000-0000-0000532D0000}"/>
    <cellStyle name="쉼표 [0] 2 7 26 2" xfId="11453" xr:uid="{00000000-0005-0000-0000-0000542D0000}"/>
    <cellStyle name="쉼표 [0] 2 7 27" xfId="11454" xr:uid="{00000000-0005-0000-0000-0000552D0000}"/>
    <cellStyle name="쉼표 [0] 2 7 27 2" xfId="11455" xr:uid="{00000000-0005-0000-0000-0000562D0000}"/>
    <cellStyle name="쉼표 [0] 2 7 28" xfId="11456" xr:uid="{00000000-0005-0000-0000-0000572D0000}"/>
    <cellStyle name="쉼표 [0] 2 7 28 2" xfId="11457" xr:uid="{00000000-0005-0000-0000-0000582D0000}"/>
    <cellStyle name="쉼표 [0] 2 7 29" xfId="11458" xr:uid="{00000000-0005-0000-0000-0000592D0000}"/>
    <cellStyle name="쉼표 [0] 2 7 3" xfId="11459" xr:uid="{00000000-0005-0000-0000-00005A2D0000}"/>
    <cellStyle name="쉼표 [0] 2 7 3 2" xfId="11460" xr:uid="{00000000-0005-0000-0000-00005B2D0000}"/>
    <cellStyle name="쉼표 [0] 2 7 3 2 2" xfId="11461" xr:uid="{00000000-0005-0000-0000-00005C2D0000}"/>
    <cellStyle name="쉼표 [0] 2 7 3 3" xfId="11462" xr:uid="{00000000-0005-0000-0000-00005D2D0000}"/>
    <cellStyle name="쉼표 [0] 2 7 3 3 2" xfId="11463" xr:uid="{00000000-0005-0000-0000-00005E2D0000}"/>
    <cellStyle name="쉼표 [0] 2 7 3 4" xfId="11464" xr:uid="{00000000-0005-0000-0000-00005F2D0000}"/>
    <cellStyle name="쉼표 [0] 2 7 3 4 2" xfId="11465" xr:uid="{00000000-0005-0000-0000-0000602D0000}"/>
    <cellStyle name="쉼표 [0] 2 7 3 5" xfId="11466" xr:uid="{00000000-0005-0000-0000-0000612D0000}"/>
    <cellStyle name="쉼표 [0] 2 7 3 5 2" xfId="11467" xr:uid="{00000000-0005-0000-0000-0000622D0000}"/>
    <cellStyle name="쉼표 [0] 2 7 3 6" xfId="11468" xr:uid="{00000000-0005-0000-0000-0000632D0000}"/>
    <cellStyle name="쉼표 [0] 2 7 3 6 2" xfId="11469" xr:uid="{00000000-0005-0000-0000-0000642D0000}"/>
    <cellStyle name="쉼표 [0] 2 7 3 7" xfId="11470" xr:uid="{00000000-0005-0000-0000-0000652D0000}"/>
    <cellStyle name="쉼표 [0] 2 7 4" xfId="11471" xr:uid="{00000000-0005-0000-0000-0000662D0000}"/>
    <cellStyle name="쉼표 [0] 2 7 4 2" xfId="11472" xr:uid="{00000000-0005-0000-0000-0000672D0000}"/>
    <cellStyle name="쉼표 [0] 2 7 4 2 2" xfId="11473" xr:uid="{00000000-0005-0000-0000-0000682D0000}"/>
    <cellStyle name="쉼표 [0] 2 7 4 3" xfId="11474" xr:uid="{00000000-0005-0000-0000-0000692D0000}"/>
    <cellStyle name="쉼표 [0] 2 7 4 3 2" xfId="11475" xr:uid="{00000000-0005-0000-0000-00006A2D0000}"/>
    <cellStyle name="쉼표 [0] 2 7 4 4" xfId="11476" xr:uid="{00000000-0005-0000-0000-00006B2D0000}"/>
    <cellStyle name="쉼표 [0] 2 7 4 4 2" xfId="11477" xr:uid="{00000000-0005-0000-0000-00006C2D0000}"/>
    <cellStyle name="쉼표 [0] 2 7 4 5" xfId="11478" xr:uid="{00000000-0005-0000-0000-00006D2D0000}"/>
    <cellStyle name="쉼표 [0] 2 7 4 5 2" xfId="11479" xr:uid="{00000000-0005-0000-0000-00006E2D0000}"/>
    <cellStyle name="쉼표 [0] 2 7 4 6" xfId="11480" xr:uid="{00000000-0005-0000-0000-00006F2D0000}"/>
    <cellStyle name="쉼표 [0] 2 7 4 6 2" xfId="11481" xr:uid="{00000000-0005-0000-0000-0000702D0000}"/>
    <cellStyle name="쉼표 [0] 2 7 4 7" xfId="11482" xr:uid="{00000000-0005-0000-0000-0000712D0000}"/>
    <cellStyle name="쉼표 [0] 2 7 5" xfId="11483" xr:uid="{00000000-0005-0000-0000-0000722D0000}"/>
    <cellStyle name="쉼표 [0] 2 7 5 2" xfId="11484" xr:uid="{00000000-0005-0000-0000-0000732D0000}"/>
    <cellStyle name="쉼표 [0] 2 7 5 2 2" xfId="11485" xr:uid="{00000000-0005-0000-0000-0000742D0000}"/>
    <cellStyle name="쉼표 [0] 2 7 5 3" xfId="11486" xr:uid="{00000000-0005-0000-0000-0000752D0000}"/>
    <cellStyle name="쉼표 [0] 2 7 5 3 2" xfId="11487" xr:uid="{00000000-0005-0000-0000-0000762D0000}"/>
    <cellStyle name="쉼표 [0] 2 7 5 4" xfId="11488" xr:uid="{00000000-0005-0000-0000-0000772D0000}"/>
    <cellStyle name="쉼표 [0] 2 7 5 4 2" xfId="11489" xr:uid="{00000000-0005-0000-0000-0000782D0000}"/>
    <cellStyle name="쉼표 [0] 2 7 5 5" xfId="11490" xr:uid="{00000000-0005-0000-0000-0000792D0000}"/>
    <cellStyle name="쉼표 [0] 2 7 5 5 2" xfId="11491" xr:uid="{00000000-0005-0000-0000-00007A2D0000}"/>
    <cellStyle name="쉼표 [0] 2 7 5 6" xfId="11492" xr:uid="{00000000-0005-0000-0000-00007B2D0000}"/>
    <cellStyle name="쉼표 [0] 2 7 5 6 2" xfId="11493" xr:uid="{00000000-0005-0000-0000-00007C2D0000}"/>
    <cellStyle name="쉼표 [0] 2 7 5 7" xfId="11494" xr:uid="{00000000-0005-0000-0000-00007D2D0000}"/>
    <cellStyle name="쉼표 [0] 2 7 6" xfId="11495" xr:uid="{00000000-0005-0000-0000-00007E2D0000}"/>
    <cellStyle name="쉼표 [0] 2 7 6 2" xfId="11496" xr:uid="{00000000-0005-0000-0000-00007F2D0000}"/>
    <cellStyle name="쉼표 [0] 2 7 6 2 2" xfId="11497" xr:uid="{00000000-0005-0000-0000-0000802D0000}"/>
    <cellStyle name="쉼표 [0] 2 7 6 3" xfId="11498" xr:uid="{00000000-0005-0000-0000-0000812D0000}"/>
    <cellStyle name="쉼표 [0] 2 7 6 3 2" xfId="11499" xr:uid="{00000000-0005-0000-0000-0000822D0000}"/>
    <cellStyle name="쉼표 [0] 2 7 6 4" xfId="11500" xr:uid="{00000000-0005-0000-0000-0000832D0000}"/>
    <cellStyle name="쉼표 [0] 2 7 6 4 2" xfId="11501" xr:uid="{00000000-0005-0000-0000-0000842D0000}"/>
    <cellStyle name="쉼표 [0] 2 7 6 5" xfId="11502" xr:uid="{00000000-0005-0000-0000-0000852D0000}"/>
    <cellStyle name="쉼표 [0] 2 7 6 5 2" xfId="11503" xr:uid="{00000000-0005-0000-0000-0000862D0000}"/>
    <cellStyle name="쉼표 [0] 2 7 6 6" xfId="11504" xr:uid="{00000000-0005-0000-0000-0000872D0000}"/>
    <cellStyle name="쉼표 [0] 2 7 6 6 2" xfId="11505" xr:uid="{00000000-0005-0000-0000-0000882D0000}"/>
    <cellStyle name="쉼표 [0] 2 7 6 7" xfId="11506" xr:uid="{00000000-0005-0000-0000-0000892D0000}"/>
    <cellStyle name="쉼표 [0] 2 7 7" xfId="11507" xr:uid="{00000000-0005-0000-0000-00008A2D0000}"/>
    <cellStyle name="쉼표 [0] 2 7 7 2" xfId="11508" xr:uid="{00000000-0005-0000-0000-00008B2D0000}"/>
    <cellStyle name="쉼표 [0] 2 7 7 2 2" xfId="11509" xr:uid="{00000000-0005-0000-0000-00008C2D0000}"/>
    <cellStyle name="쉼표 [0] 2 7 7 3" xfId="11510" xr:uid="{00000000-0005-0000-0000-00008D2D0000}"/>
    <cellStyle name="쉼표 [0] 2 7 7 3 2" xfId="11511" xr:uid="{00000000-0005-0000-0000-00008E2D0000}"/>
    <cellStyle name="쉼표 [0] 2 7 7 4" xfId="11512" xr:uid="{00000000-0005-0000-0000-00008F2D0000}"/>
    <cellStyle name="쉼표 [0] 2 7 7 4 2" xfId="11513" xr:uid="{00000000-0005-0000-0000-0000902D0000}"/>
    <cellStyle name="쉼표 [0] 2 7 7 5" xfId="11514" xr:uid="{00000000-0005-0000-0000-0000912D0000}"/>
    <cellStyle name="쉼표 [0] 2 7 7 5 2" xfId="11515" xr:uid="{00000000-0005-0000-0000-0000922D0000}"/>
    <cellStyle name="쉼표 [0] 2 7 7 6" xfId="11516" xr:uid="{00000000-0005-0000-0000-0000932D0000}"/>
    <cellStyle name="쉼표 [0] 2 7 7 6 2" xfId="11517" xr:uid="{00000000-0005-0000-0000-0000942D0000}"/>
    <cellStyle name="쉼표 [0] 2 7 7 7" xfId="11518" xr:uid="{00000000-0005-0000-0000-0000952D0000}"/>
    <cellStyle name="쉼표 [0] 2 7 8" xfId="11519" xr:uid="{00000000-0005-0000-0000-0000962D0000}"/>
    <cellStyle name="쉼표 [0] 2 7 8 2" xfId="11520" xr:uid="{00000000-0005-0000-0000-0000972D0000}"/>
    <cellStyle name="쉼표 [0] 2 7 8 2 2" xfId="11521" xr:uid="{00000000-0005-0000-0000-0000982D0000}"/>
    <cellStyle name="쉼표 [0] 2 7 8 3" xfId="11522" xr:uid="{00000000-0005-0000-0000-0000992D0000}"/>
    <cellStyle name="쉼표 [0] 2 7 8 3 2" xfId="11523" xr:uid="{00000000-0005-0000-0000-00009A2D0000}"/>
    <cellStyle name="쉼표 [0] 2 7 8 4" xfId="11524" xr:uid="{00000000-0005-0000-0000-00009B2D0000}"/>
    <cellStyle name="쉼표 [0] 2 7 8 4 2" xfId="11525" xr:uid="{00000000-0005-0000-0000-00009C2D0000}"/>
    <cellStyle name="쉼표 [0] 2 7 8 5" xfId="11526" xr:uid="{00000000-0005-0000-0000-00009D2D0000}"/>
    <cellStyle name="쉼표 [0] 2 7 8 5 2" xfId="11527" xr:uid="{00000000-0005-0000-0000-00009E2D0000}"/>
    <cellStyle name="쉼표 [0] 2 7 8 6" xfId="11528" xr:uid="{00000000-0005-0000-0000-00009F2D0000}"/>
    <cellStyle name="쉼표 [0] 2 7 8 6 2" xfId="11529" xr:uid="{00000000-0005-0000-0000-0000A02D0000}"/>
    <cellStyle name="쉼표 [0] 2 7 8 7" xfId="11530" xr:uid="{00000000-0005-0000-0000-0000A12D0000}"/>
    <cellStyle name="쉼표 [0] 2 7 9" xfId="11531" xr:uid="{00000000-0005-0000-0000-0000A22D0000}"/>
    <cellStyle name="쉼표 [0] 2 7 9 2" xfId="11532" xr:uid="{00000000-0005-0000-0000-0000A32D0000}"/>
    <cellStyle name="쉼표 [0] 2 7 9 2 2" xfId="11533" xr:uid="{00000000-0005-0000-0000-0000A42D0000}"/>
    <cellStyle name="쉼표 [0] 2 7 9 3" xfId="11534" xr:uid="{00000000-0005-0000-0000-0000A52D0000}"/>
    <cellStyle name="쉼표 [0] 2 7 9 3 2" xfId="11535" xr:uid="{00000000-0005-0000-0000-0000A62D0000}"/>
    <cellStyle name="쉼표 [0] 2 7 9 4" xfId="11536" xr:uid="{00000000-0005-0000-0000-0000A72D0000}"/>
    <cellStyle name="쉼표 [0] 2 7 9 4 2" xfId="11537" xr:uid="{00000000-0005-0000-0000-0000A82D0000}"/>
    <cellStyle name="쉼표 [0] 2 7 9 5" xfId="11538" xr:uid="{00000000-0005-0000-0000-0000A92D0000}"/>
    <cellStyle name="쉼표 [0] 2 7 9 5 2" xfId="11539" xr:uid="{00000000-0005-0000-0000-0000AA2D0000}"/>
    <cellStyle name="쉼표 [0] 2 7 9 6" xfId="11540" xr:uid="{00000000-0005-0000-0000-0000AB2D0000}"/>
    <cellStyle name="쉼표 [0] 2 7 9 6 2" xfId="11541" xr:uid="{00000000-0005-0000-0000-0000AC2D0000}"/>
    <cellStyle name="쉼표 [0] 2 7 9 7" xfId="11542" xr:uid="{00000000-0005-0000-0000-0000AD2D0000}"/>
    <cellStyle name="쉼표 [0] 2 70" xfId="11543" xr:uid="{00000000-0005-0000-0000-0000AE2D0000}"/>
    <cellStyle name="쉼표 [0] 2 70 2" xfId="11544" xr:uid="{00000000-0005-0000-0000-0000AF2D0000}"/>
    <cellStyle name="쉼표 [0] 2 71" xfId="11545" xr:uid="{00000000-0005-0000-0000-0000B02D0000}"/>
    <cellStyle name="쉼표 [0] 2 71 2" xfId="11546" xr:uid="{00000000-0005-0000-0000-0000B12D0000}"/>
    <cellStyle name="쉼표 [0] 2 72" xfId="11547" xr:uid="{00000000-0005-0000-0000-0000B22D0000}"/>
    <cellStyle name="쉼표 [0] 2 72 2" xfId="11548" xr:uid="{00000000-0005-0000-0000-0000B32D0000}"/>
    <cellStyle name="쉼표 [0] 2 73" xfId="11549" xr:uid="{00000000-0005-0000-0000-0000B42D0000}"/>
    <cellStyle name="쉼표 [0] 2 73 2" xfId="11550" xr:uid="{00000000-0005-0000-0000-0000B52D0000}"/>
    <cellStyle name="쉼표 [0] 2 74" xfId="11551" xr:uid="{00000000-0005-0000-0000-0000B62D0000}"/>
    <cellStyle name="쉼표 [0] 2 74 2" xfId="11552" xr:uid="{00000000-0005-0000-0000-0000B72D0000}"/>
    <cellStyle name="쉼표 [0] 2 75" xfId="11553" xr:uid="{00000000-0005-0000-0000-0000B82D0000}"/>
    <cellStyle name="쉼표 [0] 2 75 2" xfId="11554" xr:uid="{00000000-0005-0000-0000-0000B92D0000}"/>
    <cellStyle name="쉼표 [0] 2 76" xfId="11555" xr:uid="{00000000-0005-0000-0000-0000BA2D0000}"/>
    <cellStyle name="쉼표 [0] 2 76 2" xfId="11556" xr:uid="{00000000-0005-0000-0000-0000BB2D0000}"/>
    <cellStyle name="쉼표 [0] 2 77" xfId="11557" xr:uid="{00000000-0005-0000-0000-0000BC2D0000}"/>
    <cellStyle name="쉼표 [0] 2 77 2" xfId="11558" xr:uid="{00000000-0005-0000-0000-0000BD2D0000}"/>
    <cellStyle name="쉼표 [0] 2 78" xfId="11559" xr:uid="{00000000-0005-0000-0000-0000BE2D0000}"/>
    <cellStyle name="쉼표 [0] 2 78 2" xfId="11560" xr:uid="{00000000-0005-0000-0000-0000BF2D0000}"/>
    <cellStyle name="쉼표 [0] 2 78 3" xfId="11561" xr:uid="{00000000-0005-0000-0000-0000C02D0000}"/>
    <cellStyle name="쉼표 [0] 2 79" xfId="11562" xr:uid="{00000000-0005-0000-0000-0000C12D0000}"/>
    <cellStyle name="쉼표 [0] 2 8" xfId="11563" xr:uid="{00000000-0005-0000-0000-0000C22D0000}"/>
    <cellStyle name="쉼표 [0] 2 8 10" xfId="11564" xr:uid="{00000000-0005-0000-0000-0000C32D0000}"/>
    <cellStyle name="쉼표 [0] 2 8 10 2" xfId="11565" xr:uid="{00000000-0005-0000-0000-0000C42D0000}"/>
    <cellStyle name="쉼표 [0] 2 8 11" xfId="11566" xr:uid="{00000000-0005-0000-0000-0000C52D0000}"/>
    <cellStyle name="쉼표 [0] 2 8 11 2" xfId="11567" xr:uid="{00000000-0005-0000-0000-0000C62D0000}"/>
    <cellStyle name="쉼표 [0] 2 8 12" xfId="11568" xr:uid="{00000000-0005-0000-0000-0000C72D0000}"/>
    <cellStyle name="쉼표 [0] 2 8 12 2" xfId="11569" xr:uid="{00000000-0005-0000-0000-0000C82D0000}"/>
    <cellStyle name="쉼표 [0] 2 8 13" xfId="11570" xr:uid="{00000000-0005-0000-0000-0000C92D0000}"/>
    <cellStyle name="쉼표 [0] 2 8 13 2" xfId="11571" xr:uid="{00000000-0005-0000-0000-0000CA2D0000}"/>
    <cellStyle name="쉼표 [0] 2 8 14" xfId="11572" xr:uid="{00000000-0005-0000-0000-0000CB2D0000}"/>
    <cellStyle name="쉼표 [0] 2 8 14 2" xfId="11573" xr:uid="{00000000-0005-0000-0000-0000CC2D0000}"/>
    <cellStyle name="쉼표 [0] 2 8 15" xfId="11574" xr:uid="{00000000-0005-0000-0000-0000CD2D0000}"/>
    <cellStyle name="쉼표 [0] 2 8 2" xfId="11575" xr:uid="{00000000-0005-0000-0000-0000CE2D0000}"/>
    <cellStyle name="쉼표 [0] 2 8 2 2" xfId="11576" xr:uid="{00000000-0005-0000-0000-0000CF2D0000}"/>
    <cellStyle name="쉼표 [0] 2 8 3" xfId="11577" xr:uid="{00000000-0005-0000-0000-0000D02D0000}"/>
    <cellStyle name="쉼표 [0] 2 8 3 2" xfId="11578" xr:uid="{00000000-0005-0000-0000-0000D12D0000}"/>
    <cellStyle name="쉼표 [0] 2 8 4" xfId="11579" xr:uid="{00000000-0005-0000-0000-0000D22D0000}"/>
    <cellStyle name="쉼표 [0] 2 8 4 2" xfId="11580" xr:uid="{00000000-0005-0000-0000-0000D32D0000}"/>
    <cellStyle name="쉼표 [0] 2 8 5" xfId="11581" xr:uid="{00000000-0005-0000-0000-0000D42D0000}"/>
    <cellStyle name="쉼표 [0] 2 8 5 2" xfId="11582" xr:uid="{00000000-0005-0000-0000-0000D52D0000}"/>
    <cellStyle name="쉼표 [0] 2 8 6" xfId="11583" xr:uid="{00000000-0005-0000-0000-0000D62D0000}"/>
    <cellStyle name="쉼표 [0] 2 8 6 2" xfId="11584" xr:uid="{00000000-0005-0000-0000-0000D72D0000}"/>
    <cellStyle name="쉼표 [0] 2 8 6 2 2" xfId="11585" xr:uid="{00000000-0005-0000-0000-0000D82D0000}"/>
    <cellStyle name="쉼표 [0] 2 8 6 3" xfId="11586" xr:uid="{00000000-0005-0000-0000-0000D92D0000}"/>
    <cellStyle name="쉼표 [0] 2 8 7" xfId="11587" xr:uid="{00000000-0005-0000-0000-0000DA2D0000}"/>
    <cellStyle name="쉼표 [0] 2 8 7 2" xfId="11588" xr:uid="{00000000-0005-0000-0000-0000DB2D0000}"/>
    <cellStyle name="쉼표 [0] 2 8 8" xfId="11589" xr:uid="{00000000-0005-0000-0000-0000DC2D0000}"/>
    <cellStyle name="쉼표 [0] 2 8 8 2" xfId="11590" xr:uid="{00000000-0005-0000-0000-0000DD2D0000}"/>
    <cellStyle name="쉼표 [0] 2 8 9" xfId="11591" xr:uid="{00000000-0005-0000-0000-0000DE2D0000}"/>
    <cellStyle name="쉼표 [0] 2 8 9 2" xfId="11592" xr:uid="{00000000-0005-0000-0000-0000DF2D0000}"/>
    <cellStyle name="쉼표 [0] 2 80" xfId="11593" xr:uid="{00000000-0005-0000-0000-0000E02D0000}"/>
    <cellStyle name="쉼표 [0] 2 80 2" xfId="18465" xr:uid="{00000000-0005-0000-0000-0000E12D0000}"/>
    <cellStyle name="쉼표 [0] 2 80 2 2" xfId="18599" xr:uid="{00000000-0005-0000-0000-0000E22D0000}"/>
    <cellStyle name="쉼표 [0] 2 80 2 2 2" xfId="19194" xr:uid="{00000000-0005-0000-0000-0000E32D0000}"/>
    <cellStyle name="쉼표 [0] 2 80 2 2 3" xfId="18899" xr:uid="{00000000-0005-0000-0000-0000E42D0000}"/>
    <cellStyle name="쉼표 [0] 2 80 2 3" xfId="18532" xr:uid="{00000000-0005-0000-0000-0000E52D0000}"/>
    <cellStyle name="쉼표 [0] 2 80 2 3 2" xfId="19127" xr:uid="{00000000-0005-0000-0000-0000E62D0000}"/>
    <cellStyle name="쉼표 [0] 2 80 2 3 3" xfId="18832" xr:uid="{00000000-0005-0000-0000-0000E72D0000}"/>
    <cellStyle name="쉼표 [0] 2 80 2 4" xfId="18666" xr:uid="{00000000-0005-0000-0000-0000E82D0000}"/>
    <cellStyle name="쉼표 [0] 2 80 2 4 2" xfId="19261" xr:uid="{00000000-0005-0000-0000-0000E92D0000}"/>
    <cellStyle name="쉼표 [0] 2 80 2 4 3" xfId="18966" xr:uid="{00000000-0005-0000-0000-0000EA2D0000}"/>
    <cellStyle name="쉼표 [0] 2 80 2 5" xfId="19060" xr:uid="{00000000-0005-0000-0000-0000EB2D0000}"/>
    <cellStyle name="쉼표 [0] 2 80 2 6" xfId="18765" xr:uid="{00000000-0005-0000-0000-0000EC2D0000}"/>
    <cellStyle name="쉼표 [0] 2 80 3" xfId="18566" xr:uid="{00000000-0005-0000-0000-0000ED2D0000}"/>
    <cellStyle name="쉼표 [0] 2 80 3 2" xfId="19161" xr:uid="{00000000-0005-0000-0000-0000EE2D0000}"/>
    <cellStyle name="쉼표 [0] 2 80 3 3" xfId="18866" xr:uid="{00000000-0005-0000-0000-0000EF2D0000}"/>
    <cellStyle name="쉼표 [0] 2 80 4" xfId="18499" xr:uid="{00000000-0005-0000-0000-0000F02D0000}"/>
    <cellStyle name="쉼표 [0] 2 80 4 2" xfId="19094" xr:uid="{00000000-0005-0000-0000-0000F12D0000}"/>
    <cellStyle name="쉼표 [0] 2 80 4 3" xfId="18799" xr:uid="{00000000-0005-0000-0000-0000F22D0000}"/>
    <cellStyle name="쉼표 [0] 2 80 5" xfId="18633" xr:uid="{00000000-0005-0000-0000-0000F32D0000}"/>
    <cellStyle name="쉼표 [0] 2 80 5 2" xfId="19228" xr:uid="{00000000-0005-0000-0000-0000F42D0000}"/>
    <cellStyle name="쉼표 [0] 2 80 5 3" xfId="18933" xr:uid="{00000000-0005-0000-0000-0000F52D0000}"/>
    <cellStyle name="쉼표 [0] 2 80 6" xfId="18708" xr:uid="{00000000-0005-0000-0000-0000F62D0000}"/>
    <cellStyle name="쉼표 [0] 2 80 6 2" xfId="19003" xr:uid="{00000000-0005-0000-0000-0000F72D0000}"/>
    <cellStyle name="쉼표 [0] 2 80 7" xfId="19027" xr:uid="{00000000-0005-0000-0000-0000F82D0000}"/>
    <cellStyle name="쉼표 [0] 2 80 8" xfId="19298" xr:uid="{00000000-0005-0000-0000-0000F92D0000}"/>
    <cellStyle name="쉼표 [0] 2 80 9" xfId="18732" xr:uid="{00000000-0005-0000-0000-0000FA2D0000}"/>
    <cellStyle name="쉼표 [0] 2 81" xfId="9" xr:uid="{00000000-0005-0000-0000-0000FB2D0000}"/>
    <cellStyle name="쉼표 [0] 2 81 2" xfId="18456" xr:uid="{00000000-0005-0000-0000-0000FC2D0000}"/>
    <cellStyle name="쉼표 [0] 2 81 2 2" xfId="18590" xr:uid="{00000000-0005-0000-0000-0000FD2D0000}"/>
    <cellStyle name="쉼표 [0] 2 81 2 2 2" xfId="19185" xr:uid="{00000000-0005-0000-0000-0000FE2D0000}"/>
    <cellStyle name="쉼표 [0] 2 81 2 2 3" xfId="18890" xr:uid="{00000000-0005-0000-0000-0000FF2D0000}"/>
    <cellStyle name="쉼표 [0] 2 81 2 3" xfId="18523" xr:uid="{00000000-0005-0000-0000-0000002E0000}"/>
    <cellStyle name="쉼표 [0] 2 81 2 3 2" xfId="19118" xr:uid="{00000000-0005-0000-0000-0000012E0000}"/>
    <cellStyle name="쉼표 [0] 2 81 2 3 3" xfId="18823" xr:uid="{00000000-0005-0000-0000-0000022E0000}"/>
    <cellStyle name="쉼표 [0] 2 81 2 4" xfId="18657" xr:uid="{00000000-0005-0000-0000-0000032E0000}"/>
    <cellStyle name="쉼표 [0] 2 81 2 4 2" xfId="19252" xr:uid="{00000000-0005-0000-0000-0000042E0000}"/>
    <cellStyle name="쉼표 [0] 2 81 2 4 3" xfId="18957" xr:uid="{00000000-0005-0000-0000-0000052E0000}"/>
    <cellStyle name="쉼표 [0] 2 81 2 5" xfId="19051" xr:uid="{00000000-0005-0000-0000-0000062E0000}"/>
    <cellStyle name="쉼표 [0] 2 81 2 6" xfId="18756" xr:uid="{00000000-0005-0000-0000-0000072E0000}"/>
    <cellStyle name="쉼표 [0] 2 81 3" xfId="18557" xr:uid="{00000000-0005-0000-0000-0000082E0000}"/>
    <cellStyle name="쉼표 [0] 2 81 3 2" xfId="19152" xr:uid="{00000000-0005-0000-0000-0000092E0000}"/>
    <cellStyle name="쉼표 [0] 2 81 3 3" xfId="18857" xr:uid="{00000000-0005-0000-0000-00000A2E0000}"/>
    <cellStyle name="쉼표 [0] 2 81 4" xfId="18490" xr:uid="{00000000-0005-0000-0000-00000B2E0000}"/>
    <cellStyle name="쉼표 [0] 2 81 4 2" xfId="19085" xr:uid="{00000000-0005-0000-0000-00000C2E0000}"/>
    <cellStyle name="쉼표 [0] 2 81 4 3" xfId="18790" xr:uid="{00000000-0005-0000-0000-00000D2E0000}"/>
    <cellStyle name="쉼표 [0] 2 81 5" xfId="18624" xr:uid="{00000000-0005-0000-0000-00000E2E0000}"/>
    <cellStyle name="쉼표 [0] 2 81 5 2" xfId="19219" xr:uid="{00000000-0005-0000-0000-00000F2E0000}"/>
    <cellStyle name="쉼표 [0] 2 81 5 3" xfId="18924" xr:uid="{00000000-0005-0000-0000-0000102E0000}"/>
    <cellStyle name="쉼표 [0] 2 81 6" xfId="18697" xr:uid="{00000000-0005-0000-0000-0000112E0000}"/>
    <cellStyle name="쉼표 [0] 2 81 6 2" xfId="18994" xr:uid="{00000000-0005-0000-0000-0000122E0000}"/>
    <cellStyle name="쉼표 [0] 2 81 7" xfId="19018" xr:uid="{00000000-0005-0000-0000-0000132E0000}"/>
    <cellStyle name="쉼표 [0] 2 81 8" xfId="19289" xr:uid="{00000000-0005-0000-0000-0000142E0000}"/>
    <cellStyle name="쉼표 [0] 2 81 9" xfId="18723" xr:uid="{00000000-0005-0000-0000-0000152E0000}"/>
    <cellStyle name="쉼표 [0] 2 82" xfId="18442" xr:uid="{00000000-0005-0000-0000-0000162E0000}"/>
    <cellStyle name="쉼표 [0] 2 82 2" xfId="18477" xr:uid="{00000000-0005-0000-0000-0000172E0000}"/>
    <cellStyle name="쉼표 [0] 2 82 2 2" xfId="18611" xr:uid="{00000000-0005-0000-0000-0000182E0000}"/>
    <cellStyle name="쉼표 [0] 2 82 2 2 2" xfId="19206" xr:uid="{00000000-0005-0000-0000-0000192E0000}"/>
    <cellStyle name="쉼표 [0] 2 82 2 2 3" xfId="18911" xr:uid="{00000000-0005-0000-0000-00001A2E0000}"/>
    <cellStyle name="쉼표 [0] 2 82 2 3" xfId="18544" xr:uid="{00000000-0005-0000-0000-00001B2E0000}"/>
    <cellStyle name="쉼표 [0] 2 82 2 3 2" xfId="19139" xr:uid="{00000000-0005-0000-0000-00001C2E0000}"/>
    <cellStyle name="쉼표 [0] 2 82 2 3 3" xfId="18844" xr:uid="{00000000-0005-0000-0000-00001D2E0000}"/>
    <cellStyle name="쉼표 [0] 2 82 2 4" xfId="18678" xr:uid="{00000000-0005-0000-0000-00001E2E0000}"/>
    <cellStyle name="쉼표 [0] 2 82 2 4 2" xfId="19273" xr:uid="{00000000-0005-0000-0000-00001F2E0000}"/>
    <cellStyle name="쉼표 [0] 2 82 2 4 3" xfId="18978" xr:uid="{00000000-0005-0000-0000-0000202E0000}"/>
    <cellStyle name="쉼표 [0] 2 82 2 5" xfId="19072" xr:uid="{00000000-0005-0000-0000-0000212E0000}"/>
    <cellStyle name="쉼표 [0] 2 82 2 6" xfId="18777" xr:uid="{00000000-0005-0000-0000-0000222E0000}"/>
    <cellStyle name="쉼표 [0] 2 82 3" xfId="18578" xr:uid="{00000000-0005-0000-0000-0000232E0000}"/>
    <cellStyle name="쉼표 [0] 2 82 3 2" xfId="19173" xr:uid="{00000000-0005-0000-0000-0000242E0000}"/>
    <cellStyle name="쉼표 [0] 2 82 3 3" xfId="18878" xr:uid="{00000000-0005-0000-0000-0000252E0000}"/>
    <cellStyle name="쉼표 [0] 2 82 4" xfId="18511" xr:uid="{00000000-0005-0000-0000-0000262E0000}"/>
    <cellStyle name="쉼표 [0] 2 82 4 2" xfId="19106" xr:uid="{00000000-0005-0000-0000-0000272E0000}"/>
    <cellStyle name="쉼표 [0] 2 82 4 3" xfId="18811" xr:uid="{00000000-0005-0000-0000-0000282E0000}"/>
    <cellStyle name="쉼표 [0] 2 82 5" xfId="18645" xr:uid="{00000000-0005-0000-0000-0000292E0000}"/>
    <cellStyle name="쉼표 [0] 2 82 5 2" xfId="19240" xr:uid="{00000000-0005-0000-0000-00002A2E0000}"/>
    <cellStyle name="쉼표 [0] 2 82 5 3" xfId="18945" xr:uid="{00000000-0005-0000-0000-00002B2E0000}"/>
    <cellStyle name="쉼표 [0] 2 82 6" xfId="18695" xr:uid="{00000000-0005-0000-0000-00002C2E0000}"/>
    <cellStyle name="쉼표 [0] 2 82 6 2" xfId="18992" xr:uid="{00000000-0005-0000-0000-00002D2E0000}"/>
    <cellStyle name="쉼표 [0] 2 82 7" xfId="19039" xr:uid="{00000000-0005-0000-0000-00002E2E0000}"/>
    <cellStyle name="쉼표 [0] 2 82 8" xfId="19287" xr:uid="{00000000-0005-0000-0000-00002F2E0000}"/>
    <cellStyle name="쉼표 [0] 2 82 9" xfId="18744" xr:uid="{00000000-0005-0000-0000-0000302E0000}"/>
    <cellStyle name="쉼표 [0] 2 83" xfId="18449" xr:uid="{00000000-0005-0000-0000-0000312E0000}"/>
    <cellStyle name="쉼표 [0] 2 83 2" xfId="18482" xr:uid="{00000000-0005-0000-0000-0000322E0000}"/>
    <cellStyle name="쉼표 [0] 2 83 2 2" xfId="18616" xr:uid="{00000000-0005-0000-0000-0000332E0000}"/>
    <cellStyle name="쉼표 [0] 2 83 2 2 2" xfId="19211" xr:uid="{00000000-0005-0000-0000-0000342E0000}"/>
    <cellStyle name="쉼표 [0] 2 83 2 2 3" xfId="18916" xr:uid="{00000000-0005-0000-0000-0000352E0000}"/>
    <cellStyle name="쉼표 [0] 2 83 2 3" xfId="18549" xr:uid="{00000000-0005-0000-0000-0000362E0000}"/>
    <cellStyle name="쉼표 [0] 2 83 2 3 2" xfId="19144" xr:uid="{00000000-0005-0000-0000-0000372E0000}"/>
    <cellStyle name="쉼표 [0] 2 83 2 3 3" xfId="18849" xr:uid="{00000000-0005-0000-0000-0000382E0000}"/>
    <cellStyle name="쉼표 [0] 2 83 2 4" xfId="18683" xr:uid="{00000000-0005-0000-0000-0000392E0000}"/>
    <cellStyle name="쉼표 [0] 2 83 2 4 2" xfId="19278" xr:uid="{00000000-0005-0000-0000-00003A2E0000}"/>
    <cellStyle name="쉼표 [0] 2 83 2 4 3" xfId="18983" xr:uid="{00000000-0005-0000-0000-00003B2E0000}"/>
    <cellStyle name="쉼표 [0] 2 83 2 5" xfId="19077" xr:uid="{00000000-0005-0000-0000-00003C2E0000}"/>
    <cellStyle name="쉼표 [0] 2 83 2 6" xfId="18782" xr:uid="{00000000-0005-0000-0000-00003D2E0000}"/>
    <cellStyle name="쉼표 [0] 2 83 3" xfId="18583" xr:uid="{00000000-0005-0000-0000-00003E2E0000}"/>
    <cellStyle name="쉼표 [0] 2 83 3 2" xfId="19178" xr:uid="{00000000-0005-0000-0000-00003F2E0000}"/>
    <cellStyle name="쉼표 [0] 2 83 3 3" xfId="18883" xr:uid="{00000000-0005-0000-0000-0000402E0000}"/>
    <cellStyle name="쉼표 [0] 2 83 4" xfId="18516" xr:uid="{00000000-0005-0000-0000-0000412E0000}"/>
    <cellStyle name="쉼표 [0] 2 83 4 2" xfId="19111" xr:uid="{00000000-0005-0000-0000-0000422E0000}"/>
    <cellStyle name="쉼표 [0] 2 83 4 3" xfId="18816" xr:uid="{00000000-0005-0000-0000-0000432E0000}"/>
    <cellStyle name="쉼표 [0] 2 83 5" xfId="18650" xr:uid="{00000000-0005-0000-0000-0000442E0000}"/>
    <cellStyle name="쉼표 [0] 2 83 5 2" xfId="19245" xr:uid="{00000000-0005-0000-0000-0000452E0000}"/>
    <cellStyle name="쉼표 [0] 2 83 5 3" xfId="18950" xr:uid="{00000000-0005-0000-0000-0000462E0000}"/>
    <cellStyle name="쉼표 [0] 2 83 6" xfId="19044" xr:uid="{00000000-0005-0000-0000-0000472E0000}"/>
    <cellStyle name="쉼표 [0] 2 83 7" xfId="18749" xr:uid="{00000000-0005-0000-0000-0000482E0000}"/>
    <cellStyle name="쉼표 [0] 2 84" xfId="18451" xr:uid="{00000000-0005-0000-0000-0000492E0000}"/>
    <cellStyle name="쉼표 [0] 2 84 2" xfId="18484" xr:uid="{00000000-0005-0000-0000-00004A2E0000}"/>
    <cellStyle name="쉼표 [0] 2 84 2 2" xfId="18618" xr:uid="{00000000-0005-0000-0000-00004B2E0000}"/>
    <cellStyle name="쉼표 [0] 2 84 2 2 2" xfId="19213" xr:uid="{00000000-0005-0000-0000-00004C2E0000}"/>
    <cellStyle name="쉼표 [0] 2 84 2 2 3" xfId="18918" xr:uid="{00000000-0005-0000-0000-00004D2E0000}"/>
    <cellStyle name="쉼표 [0] 2 84 2 3" xfId="18551" xr:uid="{00000000-0005-0000-0000-00004E2E0000}"/>
    <cellStyle name="쉼표 [0] 2 84 2 3 2" xfId="19146" xr:uid="{00000000-0005-0000-0000-00004F2E0000}"/>
    <cellStyle name="쉼표 [0] 2 84 2 3 3" xfId="18851" xr:uid="{00000000-0005-0000-0000-0000502E0000}"/>
    <cellStyle name="쉼표 [0] 2 84 2 4" xfId="18685" xr:uid="{00000000-0005-0000-0000-0000512E0000}"/>
    <cellStyle name="쉼표 [0] 2 84 2 4 2" xfId="19280" xr:uid="{00000000-0005-0000-0000-0000522E0000}"/>
    <cellStyle name="쉼표 [0] 2 84 2 4 3" xfId="18985" xr:uid="{00000000-0005-0000-0000-0000532E0000}"/>
    <cellStyle name="쉼표 [0] 2 84 2 5" xfId="19079" xr:uid="{00000000-0005-0000-0000-0000542E0000}"/>
    <cellStyle name="쉼표 [0] 2 84 2 6" xfId="18784" xr:uid="{00000000-0005-0000-0000-0000552E0000}"/>
    <cellStyle name="쉼표 [0] 2 84 3" xfId="18585" xr:uid="{00000000-0005-0000-0000-0000562E0000}"/>
    <cellStyle name="쉼표 [0] 2 84 3 2" xfId="19180" xr:uid="{00000000-0005-0000-0000-0000572E0000}"/>
    <cellStyle name="쉼표 [0] 2 84 3 3" xfId="18885" xr:uid="{00000000-0005-0000-0000-0000582E0000}"/>
    <cellStyle name="쉼표 [0] 2 84 4" xfId="18518" xr:uid="{00000000-0005-0000-0000-0000592E0000}"/>
    <cellStyle name="쉼표 [0] 2 84 4 2" xfId="19113" xr:uid="{00000000-0005-0000-0000-00005A2E0000}"/>
    <cellStyle name="쉼표 [0] 2 84 4 3" xfId="18818" xr:uid="{00000000-0005-0000-0000-00005B2E0000}"/>
    <cellStyle name="쉼표 [0] 2 84 5" xfId="18652" xr:uid="{00000000-0005-0000-0000-00005C2E0000}"/>
    <cellStyle name="쉼표 [0] 2 84 5 2" xfId="19247" xr:uid="{00000000-0005-0000-0000-00005D2E0000}"/>
    <cellStyle name="쉼표 [0] 2 84 5 3" xfId="18952" xr:uid="{00000000-0005-0000-0000-00005E2E0000}"/>
    <cellStyle name="쉼표 [0] 2 84 6" xfId="19046" xr:uid="{00000000-0005-0000-0000-00005F2E0000}"/>
    <cellStyle name="쉼표 [0] 2 84 7" xfId="18751" xr:uid="{00000000-0005-0000-0000-0000602E0000}"/>
    <cellStyle name="쉼표 [0] 2 84 8" xfId="19318" xr:uid="{1479B0E7-223B-4674-84EF-24940B851E02}"/>
    <cellStyle name="쉼표 [0] 2 85" xfId="18453" xr:uid="{00000000-0005-0000-0000-0000612E0000}"/>
    <cellStyle name="쉼표 [0] 2 85 2" xfId="18486" xr:uid="{00000000-0005-0000-0000-0000622E0000}"/>
    <cellStyle name="쉼표 [0] 2 85 2 2" xfId="18620" xr:uid="{00000000-0005-0000-0000-0000632E0000}"/>
    <cellStyle name="쉼표 [0] 2 85 2 2 2" xfId="19215" xr:uid="{00000000-0005-0000-0000-0000642E0000}"/>
    <cellStyle name="쉼표 [0] 2 85 2 2 3" xfId="18920" xr:uid="{00000000-0005-0000-0000-0000652E0000}"/>
    <cellStyle name="쉼표 [0] 2 85 2 3" xfId="18553" xr:uid="{00000000-0005-0000-0000-0000662E0000}"/>
    <cellStyle name="쉼표 [0] 2 85 2 3 2" xfId="19148" xr:uid="{00000000-0005-0000-0000-0000672E0000}"/>
    <cellStyle name="쉼표 [0] 2 85 2 3 3" xfId="18853" xr:uid="{00000000-0005-0000-0000-0000682E0000}"/>
    <cellStyle name="쉼표 [0] 2 85 2 4" xfId="18687" xr:uid="{00000000-0005-0000-0000-0000692E0000}"/>
    <cellStyle name="쉼표 [0] 2 85 2 4 2" xfId="19282" xr:uid="{00000000-0005-0000-0000-00006A2E0000}"/>
    <cellStyle name="쉼표 [0] 2 85 2 4 3" xfId="18987" xr:uid="{00000000-0005-0000-0000-00006B2E0000}"/>
    <cellStyle name="쉼표 [0] 2 85 2 5" xfId="19081" xr:uid="{00000000-0005-0000-0000-00006C2E0000}"/>
    <cellStyle name="쉼표 [0] 2 85 2 6" xfId="18786" xr:uid="{00000000-0005-0000-0000-00006D2E0000}"/>
    <cellStyle name="쉼표 [0] 2 85 3" xfId="18587" xr:uid="{00000000-0005-0000-0000-00006E2E0000}"/>
    <cellStyle name="쉼표 [0] 2 85 3 2" xfId="19182" xr:uid="{00000000-0005-0000-0000-00006F2E0000}"/>
    <cellStyle name="쉼표 [0] 2 85 3 3" xfId="18887" xr:uid="{00000000-0005-0000-0000-0000702E0000}"/>
    <cellStyle name="쉼표 [0] 2 85 4" xfId="18520" xr:uid="{00000000-0005-0000-0000-0000712E0000}"/>
    <cellStyle name="쉼표 [0] 2 85 4 2" xfId="19115" xr:uid="{00000000-0005-0000-0000-0000722E0000}"/>
    <cellStyle name="쉼표 [0] 2 85 4 3" xfId="18820" xr:uid="{00000000-0005-0000-0000-0000732E0000}"/>
    <cellStyle name="쉼표 [0] 2 85 5" xfId="18654" xr:uid="{00000000-0005-0000-0000-0000742E0000}"/>
    <cellStyle name="쉼표 [0] 2 85 5 2" xfId="19249" xr:uid="{00000000-0005-0000-0000-0000752E0000}"/>
    <cellStyle name="쉼표 [0] 2 85 5 3" xfId="18954" xr:uid="{00000000-0005-0000-0000-0000762E0000}"/>
    <cellStyle name="쉼표 [0] 2 85 6" xfId="19048" xr:uid="{00000000-0005-0000-0000-0000772E0000}"/>
    <cellStyle name="쉼표 [0] 2 85 7" xfId="18753" xr:uid="{00000000-0005-0000-0000-0000782E0000}"/>
    <cellStyle name="쉼표 [0] 2 86" xfId="18454" xr:uid="{00000000-0005-0000-0000-0000792E0000}"/>
    <cellStyle name="쉼표 [0] 2 86 2" xfId="18588" xr:uid="{00000000-0005-0000-0000-00007A2E0000}"/>
    <cellStyle name="쉼표 [0] 2 86 2 2" xfId="19183" xr:uid="{00000000-0005-0000-0000-00007B2E0000}"/>
    <cellStyle name="쉼표 [0] 2 86 2 3" xfId="18888" xr:uid="{00000000-0005-0000-0000-00007C2E0000}"/>
    <cellStyle name="쉼표 [0] 2 86 3" xfId="18521" xr:uid="{00000000-0005-0000-0000-00007D2E0000}"/>
    <cellStyle name="쉼표 [0] 2 86 3 2" xfId="19116" xr:uid="{00000000-0005-0000-0000-00007E2E0000}"/>
    <cellStyle name="쉼표 [0] 2 86 3 3" xfId="18821" xr:uid="{00000000-0005-0000-0000-00007F2E0000}"/>
    <cellStyle name="쉼표 [0] 2 86 4" xfId="18655" xr:uid="{00000000-0005-0000-0000-0000802E0000}"/>
    <cellStyle name="쉼표 [0] 2 86 4 2" xfId="19250" xr:uid="{00000000-0005-0000-0000-0000812E0000}"/>
    <cellStyle name="쉼표 [0] 2 86 4 3" xfId="18955" xr:uid="{00000000-0005-0000-0000-0000822E0000}"/>
    <cellStyle name="쉼표 [0] 2 86 5" xfId="19049" xr:uid="{00000000-0005-0000-0000-0000832E0000}"/>
    <cellStyle name="쉼표 [0] 2 86 6" xfId="18754" xr:uid="{00000000-0005-0000-0000-0000842E0000}"/>
    <cellStyle name="쉼표 [0] 2 87" xfId="18487" xr:uid="{00000000-0005-0000-0000-0000852E0000}"/>
    <cellStyle name="쉼표 [0] 2 87 2" xfId="18621" xr:uid="{00000000-0005-0000-0000-0000862E0000}"/>
    <cellStyle name="쉼표 [0] 2 87 2 2" xfId="19216" xr:uid="{00000000-0005-0000-0000-0000872E0000}"/>
    <cellStyle name="쉼표 [0] 2 87 2 3" xfId="18921" xr:uid="{00000000-0005-0000-0000-0000882E0000}"/>
    <cellStyle name="쉼표 [0] 2 87 3" xfId="18554" xr:uid="{00000000-0005-0000-0000-0000892E0000}"/>
    <cellStyle name="쉼표 [0] 2 87 3 2" xfId="19149" xr:uid="{00000000-0005-0000-0000-00008A2E0000}"/>
    <cellStyle name="쉼표 [0] 2 87 3 3" xfId="18854" xr:uid="{00000000-0005-0000-0000-00008B2E0000}"/>
    <cellStyle name="쉼표 [0] 2 87 4" xfId="18688" xr:uid="{00000000-0005-0000-0000-00008C2E0000}"/>
    <cellStyle name="쉼표 [0] 2 87 4 2" xfId="19283" xr:uid="{00000000-0005-0000-0000-00008D2E0000}"/>
    <cellStyle name="쉼표 [0] 2 87 4 3" xfId="18988" xr:uid="{00000000-0005-0000-0000-00008E2E0000}"/>
    <cellStyle name="쉼표 [0] 2 87 5" xfId="19082" xr:uid="{00000000-0005-0000-0000-00008F2E0000}"/>
    <cellStyle name="쉼표 [0] 2 87 6" xfId="18787" xr:uid="{00000000-0005-0000-0000-0000902E0000}"/>
    <cellStyle name="쉼표 [0] 2 88" xfId="18555" xr:uid="{00000000-0005-0000-0000-0000912E0000}"/>
    <cellStyle name="쉼표 [0] 2 88 2" xfId="19150" xr:uid="{00000000-0005-0000-0000-0000922E0000}"/>
    <cellStyle name="쉼표 [0] 2 88 3" xfId="18855" xr:uid="{00000000-0005-0000-0000-0000932E0000}"/>
    <cellStyle name="쉼표 [0] 2 89" xfId="18488" xr:uid="{00000000-0005-0000-0000-0000942E0000}"/>
    <cellStyle name="쉼표 [0] 2 89 2" xfId="19083" xr:uid="{00000000-0005-0000-0000-0000952E0000}"/>
    <cellStyle name="쉼표 [0] 2 89 3" xfId="18788" xr:uid="{00000000-0005-0000-0000-0000962E0000}"/>
    <cellStyle name="쉼표 [0] 2 9" xfId="11594" xr:uid="{00000000-0005-0000-0000-0000972E0000}"/>
    <cellStyle name="쉼표 [0] 2 9 10" xfId="11595" xr:uid="{00000000-0005-0000-0000-0000982E0000}"/>
    <cellStyle name="쉼표 [0] 2 9 10 2" xfId="11596" xr:uid="{00000000-0005-0000-0000-0000992E0000}"/>
    <cellStyle name="쉼표 [0] 2 9 11" xfId="11597" xr:uid="{00000000-0005-0000-0000-00009A2E0000}"/>
    <cellStyle name="쉼표 [0] 2 9 11 2" xfId="11598" xr:uid="{00000000-0005-0000-0000-00009B2E0000}"/>
    <cellStyle name="쉼표 [0] 2 9 12" xfId="11599" xr:uid="{00000000-0005-0000-0000-00009C2E0000}"/>
    <cellStyle name="쉼표 [0] 2 9 12 2" xfId="11600" xr:uid="{00000000-0005-0000-0000-00009D2E0000}"/>
    <cellStyle name="쉼표 [0] 2 9 13" xfId="11601" xr:uid="{00000000-0005-0000-0000-00009E2E0000}"/>
    <cellStyle name="쉼표 [0] 2 9 13 2" xfId="11602" xr:uid="{00000000-0005-0000-0000-00009F2E0000}"/>
    <cellStyle name="쉼표 [0] 2 9 14" xfId="11603" xr:uid="{00000000-0005-0000-0000-0000A02E0000}"/>
    <cellStyle name="쉼표 [0] 2 9 14 2" xfId="11604" xr:uid="{00000000-0005-0000-0000-0000A12E0000}"/>
    <cellStyle name="쉼표 [0] 2 9 15" xfId="11605" xr:uid="{00000000-0005-0000-0000-0000A22E0000}"/>
    <cellStyle name="쉼표 [0] 2 9 2" xfId="11606" xr:uid="{00000000-0005-0000-0000-0000A32E0000}"/>
    <cellStyle name="쉼표 [0] 2 9 2 2" xfId="11607" xr:uid="{00000000-0005-0000-0000-0000A42E0000}"/>
    <cellStyle name="쉼표 [0] 2 9 3" xfId="11608" xr:uid="{00000000-0005-0000-0000-0000A52E0000}"/>
    <cellStyle name="쉼표 [0] 2 9 3 2" xfId="11609" xr:uid="{00000000-0005-0000-0000-0000A62E0000}"/>
    <cellStyle name="쉼표 [0] 2 9 4" xfId="11610" xr:uid="{00000000-0005-0000-0000-0000A72E0000}"/>
    <cellStyle name="쉼표 [0] 2 9 4 2" xfId="11611" xr:uid="{00000000-0005-0000-0000-0000A82E0000}"/>
    <cellStyle name="쉼표 [0] 2 9 5" xfId="11612" xr:uid="{00000000-0005-0000-0000-0000A92E0000}"/>
    <cellStyle name="쉼표 [0] 2 9 5 2" xfId="11613" xr:uid="{00000000-0005-0000-0000-0000AA2E0000}"/>
    <cellStyle name="쉼표 [0] 2 9 6" xfId="11614" xr:uid="{00000000-0005-0000-0000-0000AB2E0000}"/>
    <cellStyle name="쉼표 [0] 2 9 6 2" xfId="11615" xr:uid="{00000000-0005-0000-0000-0000AC2E0000}"/>
    <cellStyle name="쉼표 [0] 2 9 6 2 2" xfId="11616" xr:uid="{00000000-0005-0000-0000-0000AD2E0000}"/>
    <cellStyle name="쉼표 [0] 2 9 6 3" xfId="11617" xr:uid="{00000000-0005-0000-0000-0000AE2E0000}"/>
    <cellStyle name="쉼표 [0] 2 9 7" xfId="11618" xr:uid="{00000000-0005-0000-0000-0000AF2E0000}"/>
    <cellStyle name="쉼표 [0] 2 9 7 2" xfId="11619" xr:uid="{00000000-0005-0000-0000-0000B02E0000}"/>
    <cellStyle name="쉼표 [0] 2 9 8" xfId="11620" xr:uid="{00000000-0005-0000-0000-0000B12E0000}"/>
    <cellStyle name="쉼표 [0] 2 9 8 2" xfId="11621" xr:uid="{00000000-0005-0000-0000-0000B22E0000}"/>
    <cellStyle name="쉼표 [0] 2 9 9" xfId="11622" xr:uid="{00000000-0005-0000-0000-0000B32E0000}"/>
    <cellStyle name="쉼표 [0] 2 9 9 2" xfId="11623" xr:uid="{00000000-0005-0000-0000-0000B42E0000}"/>
    <cellStyle name="쉼표 [0] 2 90" xfId="18622" xr:uid="{00000000-0005-0000-0000-0000B52E0000}"/>
    <cellStyle name="쉼표 [0] 2 90 2" xfId="19217" xr:uid="{00000000-0005-0000-0000-0000B62E0000}"/>
    <cellStyle name="쉼표 [0] 2 90 3" xfId="18922" xr:uid="{00000000-0005-0000-0000-0000B72E0000}"/>
    <cellStyle name="쉼표 [0] 2 91" xfId="18691" xr:uid="{00000000-0005-0000-0000-0000B82E0000}"/>
    <cellStyle name="쉼표 [0] 2 91 2" xfId="18989" xr:uid="{00000000-0005-0000-0000-0000B92E0000}"/>
    <cellStyle name="쉼표 [0] 2 92" xfId="19016" xr:uid="{00000000-0005-0000-0000-0000BA2E0000}"/>
    <cellStyle name="쉼표 [0] 2 93" xfId="19284" xr:uid="{00000000-0005-0000-0000-0000BB2E0000}"/>
    <cellStyle name="쉼표 [0] 2 94" xfId="18721" xr:uid="{00000000-0005-0000-0000-0000BC2E0000}"/>
    <cellStyle name="쉼표 [0] 25 2" xfId="11624" xr:uid="{00000000-0005-0000-0000-0000BD2E0000}"/>
    <cellStyle name="쉼표 [0] 25 2 2" xfId="11625" xr:uid="{00000000-0005-0000-0000-0000BE2E0000}"/>
    <cellStyle name="쉼표 [0] 27 10" xfId="11626" xr:uid="{00000000-0005-0000-0000-0000BF2E0000}"/>
    <cellStyle name="쉼표 [0] 27 10 2" xfId="11627" xr:uid="{00000000-0005-0000-0000-0000C02E0000}"/>
    <cellStyle name="쉼표 [0] 27 11" xfId="11628" xr:uid="{00000000-0005-0000-0000-0000C12E0000}"/>
    <cellStyle name="쉼표 [0] 27 11 2" xfId="11629" xr:uid="{00000000-0005-0000-0000-0000C22E0000}"/>
    <cellStyle name="쉼표 [0] 27 12" xfId="11630" xr:uid="{00000000-0005-0000-0000-0000C32E0000}"/>
    <cellStyle name="쉼표 [0] 27 12 2" xfId="11631" xr:uid="{00000000-0005-0000-0000-0000C42E0000}"/>
    <cellStyle name="쉼표 [0] 27 13" xfId="11632" xr:uid="{00000000-0005-0000-0000-0000C52E0000}"/>
    <cellStyle name="쉼표 [0] 27 13 2" xfId="11633" xr:uid="{00000000-0005-0000-0000-0000C62E0000}"/>
    <cellStyle name="쉼표 [0] 27 14" xfId="11634" xr:uid="{00000000-0005-0000-0000-0000C72E0000}"/>
    <cellStyle name="쉼표 [0] 27 14 2" xfId="11635" xr:uid="{00000000-0005-0000-0000-0000C82E0000}"/>
    <cellStyle name="쉼표 [0] 27 15" xfId="11636" xr:uid="{00000000-0005-0000-0000-0000C92E0000}"/>
    <cellStyle name="쉼표 [0] 27 15 2" xfId="11637" xr:uid="{00000000-0005-0000-0000-0000CA2E0000}"/>
    <cellStyle name="쉼표 [0] 27 16" xfId="11638" xr:uid="{00000000-0005-0000-0000-0000CB2E0000}"/>
    <cellStyle name="쉼표 [0] 27 16 2" xfId="11639" xr:uid="{00000000-0005-0000-0000-0000CC2E0000}"/>
    <cellStyle name="쉼표 [0] 27 17" xfId="11640" xr:uid="{00000000-0005-0000-0000-0000CD2E0000}"/>
    <cellStyle name="쉼표 [0] 27 17 2" xfId="11641" xr:uid="{00000000-0005-0000-0000-0000CE2E0000}"/>
    <cellStyle name="쉼표 [0] 27 18" xfId="11642" xr:uid="{00000000-0005-0000-0000-0000CF2E0000}"/>
    <cellStyle name="쉼표 [0] 27 18 2" xfId="11643" xr:uid="{00000000-0005-0000-0000-0000D02E0000}"/>
    <cellStyle name="쉼표 [0] 27 19" xfId="11644" xr:uid="{00000000-0005-0000-0000-0000D12E0000}"/>
    <cellStyle name="쉼표 [0] 27 19 2" xfId="11645" xr:uid="{00000000-0005-0000-0000-0000D22E0000}"/>
    <cellStyle name="쉼표 [0] 27 2" xfId="11646" xr:uid="{00000000-0005-0000-0000-0000D32E0000}"/>
    <cellStyle name="쉼표 [0] 27 2 2" xfId="11647" xr:uid="{00000000-0005-0000-0000-0000D42E0000}"/>
    <cellStyle name="쉼표 [0] 27 20" xfId="11648" xr:uid="{00000000-0005-0000-0000-0000D52E0000}"/>
    <cellStyle name="쉼표 [0] 27 20 2" xfId="11649" xr:uid="{00000000-0005-0000-0000-0000D62E0000}"/>
    <cellStyle name="쉼표 [0] 27 21" xfId="11650" xr:uid="{00000000-0005-0000-0000-0000D72E0000}"/>
    <cellStyle name="쉼표 [0] 27 21 2" xfId="11651" xr:uid="{00000000-0005-0000-0000-0000D82E0000}"/>
    <cellStyle name="쉼표 [0] 27 22" xfId="11652" xr:uid="{00000000-0005-0000-0000-0000D92E0000}"/>
    <cellStyle name="쉼표 [0] 27 22 2" xfId="11653" xr:uid="{00000000-0005-0000-0000-0000DA2E0000}"/>
    <cellStyle name="쉼표 [0] 27 3" xfId="11654" xr:uid="{00000000-0005-0000-0000-0000DB2E0000}"/>
    <cellStyle name="쉼표 [0] 27 3 2" xfId="11655" xr:uid="{00000000-0005-0000-0000-0000DC2E0000}"/>
    <cellStyle name="쉼표 [0] 27 4" xfId="11656" xr:uid="{00000000-0005-0000-0000-0000DD2E0000}"/>
    <cellStyle name="쉼표 [0] 27 4 2" xfId="11657" xr:uid="{00000000-0005-0000-0000-0000DE2E0000}"/>
    <cellStyle name="쉼표 [0] 27 5" xfId="11658" xr:uid="{00000000-0005-0000-0000-0000DF2E0000}"/>
    <cellStyle name="쉼표 [0] 27 5 2" xfId="11659" xr:uid="{00000000-0005-0000-0000-0000E02E0000}"/>
    <cellStyle name="쉼표 [0] 27 6" xfId="11660" xr:uid="{00000000-0005-0000-0000-0000E12E0000}"/>
    <cellStyle name="쉼표 [0] 27 6 2" xfId="11661" xr:uid="{00000000-0005-0000-0000-0000E22E0000}"/>
    <cellStyle name="쉼표 [0] 27 7" xfId="11662" xr:uid="{00000000-0005-0000-0000-0000E32E0000}"/>
    <cellStyle name="쉼표 [0] 27 7 2" xfId="11663" xr:uid="{00000000-0005-0000-0000-0000E42E0000}"/>
    <cellStyle name="쉼표 [0] 27 8" xfId="11664" xr:uid="{00000000-0005-0000-0000-0000E52E0000}"/>
    <cellStyle name="쉼표 [0] 27 8 2" xfId="11665" xr:uid="{00000000-0005-0000-0000-0000E62E0000}"/>
    <cellStyle name="쉼표 [0] 27 9" xfId="11666" xr:uid="{00000000-0005-0000-0000-0000E72E0000}"/>
    <cellStyle name="쉼표 [0] 27 9 2" xfId="11667" xr:uid="{00000000-0005-0000-0000-0000E82E0000}"/>
    <cellStyle name="쉼표 [0] 3" xfId="11668" xr:uid="{00000000-0005-0000-0000-0000E92E0000}"/>
    <cellStyle name="쉼표 [0] 3 10" xfId="11669" xr:uid="{00000000-0005-0000-0000-0000EA2E0000}"/>
    <cellStyle name="쉼표 [0] 3 10 2" xfId="11670" xr:uid="{00000000-0005-0000-0000-0000EB2E0000}"/>
    <cellStyle name="쉼표 [0] 3 11" xfId="11671" xr:uid="{00000000-0005-0000-0000-0000EC2E0000}"/>
    <cellStyle name="쉼표 [0] 3 11 2" xfId="11672" xr:uid="{00000000-0005-0000-0000-0000ED2E0000}"/>
    <cellStyle name="쉼표 [0] 3 12" xfId="11673" xr:uid="{00000000-0005-0000-0000-0000EE2E0000}"/>
    <cellStyle name="쉼표 [0] 3 12 2" xfId="11674" xr:uid="{00000000-0005-0000-0000-0000EF2E0000}"/>
    <cellStyle name="쉼표 [0] 3 13" xfId="11675" xr:uid="{00000000-0005-0000-0000-0000F02E0000}"/>
    <cellStyle name="쉼표 [0] 3 13 2" xfId="11676" xr:uid="{00000000-0005-0000-0000-0000F12E0000}"/>
    <cellStyle name="쉼표 [0] 3 14" xfId="11677" xr:uid="{00000000-0005-0000-0000-0000F22E0000}"/>
    <cellStyle name="쉼표 [0] 3 14 2" xfId="11678" xr:uid="{00000000-0005-0000-0000-0000F32E0000}"/>
    <cellStyle name="쉼표 [0] 3 15" xfId="11679" xr:uid="{00000000-0005-0000-0000-0000F42E0000}"/>
    <cellStyle name="쉼표 [0] 3 15 2" xfId="11680" xr:uid="{00000000-0005-0000-0000-0000F52E0000}"/>
    <cellStyle name="쉼표 [0] 3 16" xfId="11681" xr:uid="{00000000-0005-0000-0000-0000F62E0000}"/>
    <cellStyle name="쉼표 [0] 3 16 2" xfId="11682" xr:uid="{00000000-0005-0000-0000-0000F72E0000}"/>
    <cellStyle name="쉼표 [0] 3 17" xfId="11683" xr:uid="{00000000-0005-0000-0000-0000F82E0000}"/>
    <cellStyle name="쉼표 [0] 3 17 2" xfId="11684" xr:uid="{00000000-0005-0000-0000-0000F92E0000}"/>
    <cellStyle name="쉼표 [0] 3 18" xfId="11685" xr:uid="{00000000-0005-0000-0000-0000FA2E0000}"/>
    <cellStyle name="쉼표 [0] 3 18 2" xfId="11686" xr:uid="{00000000-0005-0000-0000-0000FB2E0000}"/>
    <cellStyle name="쉼표 [0] 3 19" xfId="11687" xr:uid="{00000000-0005-0000-0000-0000FC2E0000}"/>
    <cellStyle name="쉼표 [0] 3 19 2" xfId="11688" xr:uid="{00000000-0005-0000-0000-0000FD2E0000}"/>
    <cellStyle name="쉼표 [0] 3 2" xfId="11689" xr:uid="{00000000-0005-0000-0000-0000FE2E0000}"/>
    <cellStyle name="쉼표 [0] 3 2 10" xfId="11690" xr:uid="{00000000-0005-0000-0000-0000FF2E0000}"/>
    <cellStyle name="쉼표 [0] 3 2 10 2" xfId="11691" xr:uid="{00000000-0005-0000-0000-0000002F0000}"/>
    <cellStyle name="쉼표 [0] 3 2 10 2 2" xfId="11692" xr:uid="{00000000-0005-0000-0000-0000012F0000}"/>
    <cellStyle name="쉼표 [0] 3 2 10 2 2 2" xfId="11693" xr:uid="{00000000-0005-0000-0000-0000022F0000}"/>
    <cellStyle name="쉼표 [0] 3 2 10 2 3" xfId="11694" xr:uid="{00000000-0005-0000-0000-0000032F0000}"/>
    <cellStyle name="쉼표 [0] 3 2 10 2 3 2" xfId="11695" xr:uid="{00000000-0005-0000-0000-0000042F0000}"/>
    <cellStyle name="쉼표 [0] 3 2 10 2 4" xfId="11696" xr:uid="{00000000-0005-0000-0000-0000052F0000}"/>
    <cellStyle name="쉼표 [0] 3 2 10 2 4 2" xfId="11697" xr:uid="{00000000-0005-0000-0000-0000062F0000}"/>
    <cellStyle name="쉼표 [0] 3 2 10 2 5" xfId="11698" xr:uid="{00000000-0005-0000-0000-0000072F0000}"/>
    <cellStyle name="쉼표 [0] 3 2 10 2 5 2" xfId="11699" xr:uid="{00000000-0005-0000-0000-0000082F0000}"/>
    <cellStyle name="쉼표 [0] 3 2 10 2 6" xfId="11700" xr:uid="{00000000-0005-0000-0000-0000092F0000}"/>
    <cellStyle name="쉼표 [0] 3 2 10 3" xfId="11701" xr:uid="{00000000-0005-0000-0000-00000A2F0000}"/>
    <cellStyle name="쉼표 [0] 3 2 10 3 2" xfId="11702" xr:uid="{00000000-0005-0000-0000-00000B2F0000}"/>
    <cellStyle name="쉼표 [0] 3 2 10 4" xfId="11703" xr:uid="{00000000-0005-0000-0000-00000C2F0000}"/>
    <cellStyle name="쉼표 [0] 3 2 10 4 2" xfId="11704" xr:uid="{00000000-0005-0000-0000-00000D2F0000}"/>
    <cellStyle name="쉼표 [0] 3 2 10 5" xfId="11705" xr:uid="{00000000-0005-0000-0000-00000E2F0000}"/>
    <cellStyle name="쉼표 [0] 3 2 10 5 2" xfId="11706" xr:uid="{00000000-0005-0000-0000-00000F2F0000}"/>
    <cellStyle name="쉼표 [0] 3 2 10 6" xfId="11707" xr:uid="{00000000-0005-0000-0000-0000102F0000}"/>
    <cellStyle name="쉼표 [0] 3 2 11" xfId="11708" xr:uid="{00000000-0005-0000-0000-0000112F0000}"/>
    <cellStyle name="쉼표 [0] 3 2 11 2" xfId="11709" xr:uid="{00000000-0005-0000-0000-0000122F0000}"/>
    <cellStyle name="쉼표 [0] 3 2 11 2 2" xfId="11710" xr:uid="{00000000-0005-0000-0000-0000132F0000}"/>
    <cellStyle name="쉼표 [0] 3 2 11 2 2 2" xfId="11711" xr:uid="{00000000-0005-0000-0000-0000142F0000}"/>
    <cellStyle name="쉼표 [0] 3 2 11 2 3" xfId="11712" xr:uid="{00000000-0005-0000-0000-0000152F0000}"/>
    <cellStyle name="쉼표 [0] 3 2 11 2 3 2" xfId="11713" xr:uid="{00000000-0005-0000-0000-0000162F0000}"/>
    <cellStyle name="쉼표 [0] 3 2 11 2 4" xfId="11714" xr:uid="{00000000-0005-0000-0000-0000172F0000}"/>
    <cellStyle name="쉼표 [0] 3 2 11 2 4 2" xfId="11715" xr:uid="{00000000-0005-0000-0000-0000182F0000}"/>
    <cellStyle name="쉼표 [0] 3 2 11 2 5" xfId="11716" xr:uid="{00000000-0005-0000-0000-0000192F0000}"/>
    <cellStyle name="쉼표 [0] 3 2 11 2 5 2" xfId="11717" xr:uid="{00000000-0005-0000-0000-00001A2F0000}"/>
    <cellStyle name="쉼표 [0] 3 2 11 2 6" xfId="11718" xr:uid="{00000000-0005-0000-0000-00001B2F0000}"/>
    <cellStyle name="쉼표 [0] 3 2 11 3" xfId="11719" xr:uid="{00000000-0005-0000-0000-00001C2F0000}"/>
    <cellStyle name="쉼표 [0] 3 2 11 3 2" xfId="11720" xr:uid="{00000000-0005-0000-0000-00001D2F0000}"/>
    <cellStyle name="쉼표 [0] 3 2 11 4" xfId="11721" xr:uid="{00000000-0005-0000-0000-00001E2F0000}"/>
    <cellStyle name="쉼표 [0] 3 2 11 4 2" xfId="11722" xr:uid="{00000000-0005-0000-0000-00001F2F0000}"/>
    <cellStyle name="쉼표 [0] 3 2 11 5" xfId="11723" xr:uid="{00000000-0005-0000-0000-0000202F0000}"/>
    <cellStyle name="쉼표 [0] 3 2 11 5 2" xfId="11724" xr:uid="{00000000-0005-0000-0000-0000212F0000}"/>
    <cellStyle name="쉼표 [0] 3 2 11 6" xfId="11725" xr:uid="{00000000-0005-0000-0000-0000222F0000}"/>
    <cellStyle name="쉼표 [0] 3 2 12" xfId="11726" xr:uid="{00000000-0005-0000-0000-0000232F0000}"/>
    <cellStyle name="쉼표 [0] 3 2 12 2" xfId="11727" xr:uid="{00000000-0005-0000-0000-0000242F0000}"/>
    <cellStyle name="쉼표 [0] 3 2 12 2 2" xfId="11728" xr:uid="{00000000-0005-0000-0000-0000252F0000}"/>
    <cellStyle name="쉼표 [0] 3 2 12 2 2 2" xfId="11729" xr:uid="{00000000-0005-0000-0000-0000262F0000}"/>
    <cellStyle name="쉼표 [0] 3 2 12 2 3" xfId="11730" xr:uid="{00000000-0005-0000-0000-0000272F0000}"/>
    <cellStyle name="쉼표 [0] 3 2 12 2 3 2" xfId="11731" xr:uid="{00000000-0005-0000-0000-0000282F0000}"/>
    <cellStyle name="쉼표 [0] 3 2 12 2 4" xfId="11732" xr:uid="{00000000-0005-0000-0000-0000292F0000}"/>
    <cellStyle name="쉼표 [0] 3 2 12 2 4 2" xfId="11733" xr:uid="{00000000-0005-0000-0000-00002A2F0000}"/>
    <cellStyle name="쉼표 [0] 3 2 12 2 5" xfId="11734" xr:uid="{00000000-0005-0000-0000-00002B2F0000}"/>
    <cellStyle name="쉼표 [0] 3 2 12 2 5 2" xfId="11735" xr:uid="{00000000-0005-0000-0000-00002C2F0000}"/>
    <cellStyle name="쉼표 [0] 3 2 12 2 6" xfId="11736" xr:uid="{00000000-0005-0000-0000-00002D2F0000}"/>
    <cellStyle name="쉼표 [0] 3 2 12 3" xfId="11737" xr:uid="{00000000-0005-0000-0000-00002E2F0000}"/>
    <cellStyle name="쉼표 [0] 3 2 12 3 2" xfId="11738" xr:uid="{00000000-0005-0000-0000-00002F2F0000}"/>
    <cellStyle name="쉼표 [0] 3 2 12 4" xfId="11739" xr:uid="{00000000-0005-0000-0000-0000302F0000}"/>
    <cellStyle name="쉼표 [0] 3 2 12 4 2" xfId="11740" xr:uid="{00000000-0005-0000-0000-0000312F0000}"/>
    <cellStyle name="쉼표 [0] 3 2 12 5" xfId="11741" xr:uid="{00000000-0005-0000-0000-0000322F0000}"/>
    <cellStyle name="쉼표 [0] 3 2 12 5 2" xfId="11742" xr:uid="{00000000-0005-0000-0000-0000332F0000}"/>
    <cellStyle name="쉼표 [0] 3 2 12 6" xfId="11743" xr:uid="{00000000-0005-0000-0000-0000342F0000}"/>
    <cellStyle name="쉼표 [0] 3 2 13" xfId="11744" xr:uid="{00000000-0005-0000-0000-0000352F0000}"/>
    <cellStyle name="쉼표 [0] 3 2 13 2" xfId="11745" xr:uid="{00000000-0005-0000-0000-0000362F0000}"/>
    <cellStyle name="쉼표 [0] 3 2 13 2 2" xfId="11746" xr:uid="{00000000-0005-0000-0000-0000372F0000}"/>
    <cellStyle name="쉼표 [0] 3 2 13 2 2 2" xfId="11747" xr:uid="{00000000-0005-0000-0000-0000382F0000}"/>
    <cellStyle name="쉼표 [0] 3 2 13 2 3" xfId="11748" xr:uid="{00000000-0005-0000-0000-0000392F0000}"/>
    <cellStyle name="쉼표 [0] 3 2 13 2 3 2" xfId="11749" xr:uid="{00000000-0005-0000-0000-00003A2F0000}"/>
    <cellStyle name="쉼표 [0] 3 2 13 2 4" xfId="11750" xr:uid="{00000000-0005-0000-0000-00003B2F0000}"/>
    <cellStyle name="쉼표 [0] 3 2 13 2 4 2" xfId="11751" xr:uid="{00000000-0005-0000-0000-00003C2F0000}"/>
    <cellStyle name="쉼표 [0] 3 2 13 2 5" xfId="11752" xr:uid="{00000000-0005-0000-0000-00003D2F0000}"/>
    <cellStyle name="쉼표 [0] 3 2 13 2 5 2" xfId="11753" xr:uid="{00000000-0005-0000-0000-00003E2F0000}"/>
    <cellStyle name="쉼표 [0] 3 2 13 2 6" xfId="11754" xr:uid="{00000000-0005-0000-0000-00003F2F0000}"/>
    <cellStyle name="쉼표 [0] 3 2 13 3" xfId="11755" xr:uid="{00000000-0005-0000-0000-0000402F0000}"/>
    <cellStyle name="쉼표 [0] 3 2 13 3 2" xfId="11756" xr:uid="{00000000-0005-0000-0000-0000412F0000}"/>
    <cellStyle name="쉼표 [0] 3 2 13 4" xfId="11757" xr:uid="{00000000-0005-0000-0000-0000422F0000}"/>
    <cellStyle name="쉼표 [0] 3 2 13 4 2" xfId="11758" xr:uid="{00000000-0005-0000-0000-0000432F0000}"/>
    <cellStyle name="쉼표 [0] 3 2 13 5" xfId="11759" xr:uid="{00000000-0005-0000-0000-0000442F0000}"/>
    <cellStyle name="쉼표 [0] 3 2 13 5 2" xfId="11760" xr:uid="{00000000-0005-0000-0000-0000452F0000}"/>
    <cellStyle name="쉼표 [0] 3 2 13 6" xfId="11761" xr:uid="{00000000-0005-0000-0000-0000462F0000}"/>
    <cellStyle name="쉼표 [0] 3 2 14" xfId="11762" xr:uid="{00000000-0005-0000-0000-0000472F0000}"/>
    <cellStyle name="쉼표 [0] 3 2 14 2" xfId="11763" xr:uid="{00000000-0005-0000-0000-0000482F0000}"/>
    <cellStyle name="쉼표 [0] 3 2 14 2 2" xfId="11764" xr:uid="{00000000-0005-0000-0000-0000492F0000}"/>
    <cellStyle name="쉼표 [0] 3 2 14 2 2 2" xfId="11765" xr:uid="{00000000-0005-0000-0000-00004A2F0000}"/>
    <cellStyle name="쉼표 [0] 3 2 14 2 3" xfId="11766" xr:uid="{00000000-0005-0000-0000-00004B2F0000}"/>
    <cellStyle name="쉼표 [0] 3 2 14 2 3 2" xfId="11767" xr:uid="{00000000-0005-0000-0000-00004C2F0000}"/>
    <cellStyle name="쉼표 [0] 3 2 14 2 4" xfId="11768" xr:uid="{00000000-0005-0000-0000-00004D2F0000}"/>
    <cellStyle name="쉼표 [0] 3 2 14 2 4 2" xfId="11769" xr:uid="{00000000-0005-0000-0000-00004E2F0000}"/>
    <cellStyle name="쉼표 [0] 3 2 14 2 5" xfId="11770" xr:uid="{00000000-0005-0000-0000-00004F2F0000}"/>
    <cellStyle name="쉼표 [0] 3 2 14 2 5 2" xfId="11771" xr:uid="{00000000-0005-0000-0000-0000502F0000}"/>
    <cellStyle name="쉼표 [0] 3 2 14 2 6" xfId="11772" xr:uid="{00000000-0005-0000-0000-0000512F0000}"/>
    <cellStyle name="쉼표 [0] 3 2 14 3" xfId="11773" xr:uid="{00000000-0005-0000-0000-0000522F0000}"/>
    <cellStyle name="쉼표 [0] 3 2 14 3 2" xfId="11774" xr:uid="{00000000-0005-0000-0000-0000532F0000}"/>
    <cellStyle name="쉼표 [0] 3 2 14 4" xfId="11775" xr:uid="{00000000-0005-0000-0000-0000542F0000}"/>
    <cellStyle name="쉼표 [0] 3 2 14 4 2" xfId="11776" xr:uid="{00000000-0005-0000-0000-0000552F0000}"/>
    <cellStyle name="쉼표 [0] 3 2 14 5" xfId="11777" xr:uid="{00000000-0005-0000-0000-0000562F0000}"/>
    <cellStyle name="쉼표 [0] 3 2 14 5 2" xfId="11778" xr:uid="{00000000-0005-0000-0000-0000572F0000}"/>
    <cellStyle name="쉼표 [0] 3 2 14 6" xfId="11779" xr:uid="{00000000-0005-0000-0000-0000582F0000}"/>
    <cellStyle name="쉼표 [0] 3 2 15" xfId="11780" xr:uid="{00000000-0005-0000-0000-0000592F0000}"/>
    <cellStyle name="쉼표 [0] 3 2 15 2" xfId="11781" xr:uid="{00000000-0005-0000-0000-00005A2F0000}"/>
    <cellStyle name="쉼표 [0] 3 2 15 2 2" xfId="11782" xr:uid="{00000000-0005-0000-0000-00005B2F0000}"/>
    <cellStyle name="쉼표 [0] 3 2 15 2 2 2" xfId="11783" xr:uid="{00000000-0005-0000-0000-00005C2F0000}"/>
    <cellStyle name="쉼표 [0] 3 2 15 2 3" xfId="11784" xr:uid="{00000000-0005-0000-0000-00005D2F0000}"/>
    <cellStyle name="쉼표 [0] 3 2 15 2 3 2" xfId="11785" xr:uid="{00000000-0005-0000-0000-00005E2F0000}"/>
    <cellStyle name="쉼표 [0] 3 2 15 2 4" xfId="11786" xr:uid="{00000000-0005-0000-0000-00005F2F0000}"/>
    <cellStyle name="쉼표 [0] 3 2 15 2 4 2" xfId="11787" xr:uid="{00000000-0005-0000-0000-0000602F0000}"/>
    <cellStyle name="쉼표 [0] 3 2 15 2 5" xfId="11788" xr:uid="{00000000-0005-0000-0000-0000612F0000}"/>
    <cellStyle name="쉼표 [0] 3 2 15 2 5 2" xfId="11789" xr:uid="{00000000-0005-0000-0000-0000622F0000}"/>
    <cellStyle name="쉼표 [0] 3 2 15 2 6" xfId="11790" xr:uid="{00000000-0005-0000-0000-0000632F0000}"/>
    <cellStyle name="쉼표 [0] 3 2 15 3" xfId="11791" xr:uid="{00000000-0005-0000-0000-0000642F0000}"/>
    <cellStyle name="쉼표 [0] 3 2 15 3 2" xfId="11792" xr:uid="{00000000-0005-0000-0000-0000652F0000}"/>
    <cellStyle name="쉼표 [0] 3 2 15 4" xfId="11793" xr:uid="{00000000-0005-0000-0000-0000662F0000}"/>
    <cellStyle name="쉼표 [0] 3 2 15 4 2" xfId="11794" xr:uid="{00000000-0005-0000-0000-0000672F0000}"/>
    <cellStyle name="쉼표 [0] 3 2 15 5" xfId="11795" xr:uid="{00000000-0005-0000-0000-0000682F0000}"/>
    <cellStyle name="쉼표 [0] 3 2 15 5 2" xfId="11796" xr:uid="{00000000-0005-0000-0000-0000692F0000}"/>
    <cellStyle name="쉼표 [0] 3 2 15 6" xfId="11797" xr:uid="{00000000-0005-0000-0000-00006A2F0000}"/>
    <cellStyle name="쉼표 [0] 3 2 16" xfId="11798" xr:uid="{00000000-0005-0000-0000-00006B2F0000}"/>
    <cellStyle name="쉼표 [0] 3 2 16 2" xfId="11799" xr:uid="{00000000-0005-0000-0000-00006C2F0000}"/>
    <cellStyle name="쉼표 [0] 3 2 16 2 2" xfId="11800" xr:uid="{00000000-0005-0000-0000-00006D2F0000}"/>
    <cellStyle name="쉼표 [0] 3 2 16 2 2 2" xfId="11801" xr:uid="{00000000-0005-0000-0000-00006E2F0000}"/>
    <cellStyle name="쉼표 [0] 3 2 16 2 3" xfId="11802" xr:uid="{00000000-0005-0000-0000-00006F2F0000}"/>
    <cellStyle name="쉼표 [0] 3 2 16 2 3 2" xfId="11803" xr:uid="{00000000-0005-0000-0000-0000702F0000}"/>
    <cellStyle name="쉼표 [0] 3 2 16 2 4" xfId="11804" xr:uid="{00000000-0005-0000-0000-0000712F0000}"/>
    <cellStyle name="쉼표 [0] 3 2 16 2 4 2" xfId="11805" xr:uid="{00000000-0005-0000-0000-0000722F0000}"/>
    <cellStyle name="쉼표 [0] 3 2 16 2 5" xfId="11806" xr:uid="{00000000-0005-0000-0000-0000732F0000}"/>
    <cellStyle name="쉼표 [0] 3 2 16 2 5 2" xfId="11807" xr:uid="{00000000-0005-0000-0000-0000742F0000}"/>
    <cellStyle name="쉼표 [0] 3 2 16 2 6" xfId="11808" xr:uid="{00000000-0005-0000-0000-0000752F0000}"/>
    <cellStyle name="쉼표 [0] 3 2 16 3" xfId="11809" xr:uid="{00000000-0005-0000-0000-0000762F0000}"/>
    <cellStyle name="쉼표 [0] 3 2 16 3 2" xfId="11810" xr:uid="{00000000-0005-0000-0000-0000772F0000}"/>
    <cellStyle name="쉼표 [0] 3 2 16 4" xfId="11811" xr:uid="{00000000-0005-0000-0000-0000782F0000}"/>
    <cellStyle name="쉼표 [0] 3 2 16 4 2" xfId="11812" xr:uid="{00000000-0005-0000-0000-0000792F0000}"/>
    <cellStyle name="쉼표 [0] 3 2 16 5" xfId="11813" xr:uid="{00000000-0005-0000-0000-00007A2F0000}"/>
    <cellStyle name="쉼표 [0] 3 2 16 5 2" xfId="11814" xr:uid="{00000000-0005-0000-0000-00007B2F0000}"/>
    <cellStyle name="쉼표 [0] 3 2 16 6" xfId="11815" xr:uid="{00000000-0005-0000-0000-00007C2F0000}"/>
    <cellStyle name="쉼표 [0] 3 2 17" xfId="11816" xr:uid="{00000000-0005-0000-0000-00007D2F0000}"/>
    <cellStyle name="쉼표 [0] 3 2 17 2" xfId="11817" xr:uid="{00000000-0005-0000-0000-00007E2F0000}"/>
    <cellStyle name="쉼표 [0] 3 2 17 2 2" xfId="11818" xr:uid="{00000000-0005-0000-0000-00007F2F0000}"/>
    <cellStyle name="쉼표 [0] 3 2 17 2 2 2" xfId="11819" xr:uid="{00000000-0005-0000-0000-0000802F0000}"/>
    <cellStyle name="쉼표 [0] 3 2 17 2 3" xfId="11820" xr:uid="{00000000-0005-0000-0000-0000812F0000}"/>
    <cellStyle name="쉼표 [0] 3 2 17 2 3 2" xfId="11821" xr:uid="{00000000-0005-0000-0000-0000822F0000}"/>
    <cellStyle name="쉼표 [0] 3 2 17 2 4" xfId="11822" xr:uid="{00000000-0005-0000-0000-0000832F0000}"/>
    <cellStyle name="쉼표 [0] 3 2 17 2 4 2" xfId="11823" xr:uid="{00000000-0005-0000-0000-0000842F0000}"/>
    <cellStyle name="쉼표 [0] 3 2 17 2 5" xfId="11824" xr:uid="{00000000-0005-0000-0000-0000852F0000}"/>
    <cellStyle name="쉼표 [0] 3 2 17 2 5 2" xfId="11825" xr:uid="{00000000-0005-0000-0000-0000862F0000}"/>
    <cellStyle name="쉼표 [0] 3 2 17 2 6" xfId="11826" xr:uid="{00000000-0005-0000-0000-0000872F0000}"/>
    <cellStyle name="쉼표 [0] 3 2 17 3" xfId="11827" xr:uid="{00000000-0005-0000-0000-0000882F0000}"/>
    <cellStyle name="쉼표 [0] 3 2 17 3 2" xfId="11828" xr:uid="{00000000-0005-0000-0000-0000892F0000}"/>
    <cellStyle name="쉼표 [0] 3 2 17 4" xfId="11829" xr:uid="{00000000-0005-0000-0000-00008A2F0000}"/>
    <cellStyle name="쉼표 [0] 3 2 17 4 2" xfId="11830" xr:uid="{00000000-0005-0000-0000-00008B2F0000}"/>
    <cellStyle name="쉼표 [0] 3 2 17 5" xfId="11831" xr:uid="{00000000-0005-0000-0000-00008C2F0000}"/>
    <cellStyle name="쉼표 [0] 3 2 17 5 2" xfId="11832" xr:uid="{00000000-0005-0000-0000-00008D2F0000}"/>
    <cellStyle name="쉼표 [0] 3 2 17 6" xfId="11833" xr:uid="{00000000-0005-0000-0000-00008E2F0000}"/>
    <cellStyle name="쉼표 [0] 3 2 18" xfId="11834" xr:uid="{00000000-0005-0000-0000-00008F2F0000}"/>
    <cellStyle name="쉼표 [0] 3 2 18 2" xfId="11835" xr:uid="{00000000-0005-0000-0000-0000902F0000}"/>
    <cellStyle name="쉼표 [0] 3 2 18 2 2" xfId="11836" xr:uid="{00000000-0005-0000-0000-0000912F0000}"/>
    <cellStyle name="쉼표 [0] 3 2 18 2 2 2" xfId="11837" xr:uid="{00000000-0005-0000-0000-0000922F0000}"/>
    <cellStyle name="쉼표 [0] 3 2 18 2 3" xfId="11838" xr:uid="{00000000-0005-0000-0000-0000932F0000}"/>
    <cellStyle name="쉼표 [0] 3 2 18 2 3 2" xfId="11839" xr:uid="{00000000-0005-0000-0000-0000942F0000}"/>
    <cellStyle name="쉼표 [0] 3 2 18 2 4" xfId="11840" xr:uid="{00000000-0005-0000-0000-0000952F0000}"/>
    <cellStyle name="쉼표 [0] 3 2 18 2 4 2" xfId="11841" xr:uid="{00000000-0005-0000-0000-0000962F0000}"/>
    <cellStyle name="쉼표 [0] 3 2 18 2 5" xfId="11842" xr:uid="{00000000-0005-0000-0000-0000972F0000}"/>
    <cellStyle name="쉼표 [0] 3 2 18 2 5 2" xfId="11843" xr:uid="{00000000-0005-0000-0000-0000982F0000}"/>
    <cellStyle name="쉼표 [0] 3 2 18 2 6" xfId="11844" xr:uid="{00000000-0005-0000-0000-0000992F0000}"/>
    <cellStyle name="쉼표 [0] 3 2 18 3" xfId="11845" xr:uid="{00000000-0005-0000-0000-00009A2F0000}"/>
    <cellStyle name="쉼표 [0] 3 2 18 3 2" xfId="11846" xr:uid="{00000000-0005-0000-0000-00009B2F0000}"/>
    <cellStyle name="쉼표 [0] 3 2 18 4" xfId="11847" xr:uid="{00000000-0005-0000-0000-00009C2F0000}"/>
    <cellStyle name="쉼표 [0] 3 2 18 4 2" xfId="11848" xr:uid="{00000000-0005-0000-0000-00009D2F0000}"/>
    <cellStyle name="쉼표 [0] 3 2 18 5" xfId="11849" xr:uid="{00000000-0005-0000-0000-00009E2F0000}"/>
    <cellStyle name="쉼표 [0] 3 2 18 5 2" xfId="11850" xr:uid="{00000000-0005-0000-0000-00009F2F0000}"/>
    <cellStyle name="쉼표 [0] 3 2 18 6" xfId="11851" xr:uid="{00000000-0005-0000-0000-0000A02F0000}"/>
    <cellStyle name="쉼표 [0] 3 2 19" xfId="11852" xr:uid="{00000000-0005-0000-0000-0000A12F0000}"/>
    <cellStyle name="쉼표 [0] 3 2 19 2" xfId="11853" xr:uid="{00000000-0005-0000-0000-0000A22F0000}"/>
    <cellStyle name="쉼표 [0] 3 2 19 2 2" xfId="11854" xr:uid="{00000000-0005-0000-0000-0000A32F0000}"/>
    <cellStyle name="쉼표 [0] 3 2 19 2 2 2" xfId="11855" xr:uid="{00000000-0005-0000-0000-0000A42F0000}"/>
    <cellStyle name="쉼표 [0] 3 2 19 2 3" xfId="11856" xr:uid="{00000000-0005-0000-0000-0000A52F0000}"/>
    <cellStyle name="쉼표 [0] 3 2 19 2 3 2" xfId="11857" xr:uid="{00000000-0005-0000-0000-0000A62F0000}"/>
    <cellStyle name="쉼표 [0] 3 2 19 2 4" xfId="11858" xr:uid="{00000000-0005-0000-0000-0000A72F0000}"/>
    <cellStyle name="쉼표 [0] 3 2 19 2 4 2" xfId="11859" xr:uid="{00000000-0005-0000-0000-0000A82F0000}"/>
    <cellStyle name="쉼표 [0] 3 2 19 2 5" xfId="11860" xr:uid="{00000000-0005-0000-0000-0000A92F0000}"/>
    <cellStyle name="쉼표 [0] 3 2 19 2 5 2" xfId="11861" xr:uid="{00000000-0005-0000-0000-0000AA2F0000}"/>
    <cellStyle name="쉼표 [0] 3 2 19 2 6" xfId="11862" xr:uid="{00000000-0005-0000-0000-0000AB2F0000}"/>
    <cellStyle name="쉼표 [0] 3 2 19 3" xfId="11863" xr:uid="{00000000-0005-0000-0000-0000AC2F0000}"/>
    <cellStyle name="쉼표 [0] 3 2 19 3 2" xfId="11864" xr:uid="{00000000-0005-0000-0000-0000AD2F0000}"/>
    <cellStyle name="쉼표 [0] 3 2 19 4" xfId="11865" xr:uid="{00000000-0005-0000-0000-0000AE2F0000}"/>
    <cellStyle name="쉼표 [0] 3 2 19 4 2" xfId="11866" xr:uid="{00000000-0005-0000-0000-0000AF2F0000}"/>
    <cellStyle name="쉼표 [0] 3 2 19 5" xfId="11867" xr:uid="{00000000-0005-0000-0000-0000B02F0000}"/>
    <cellStyle name="쉼표 [0] 3 2 19 5 2" xfId="11868" xr:uid="{00000000-0005-0000-0000-0000B12F0000}"/>
    <cellStyle name="쉼표 [0] 3 2 19 6" xfId="11869" xr:uid="{00000000-0005-0000-0000-0000B22F0000}"/>
    <cellStyle name="쉼표 [0] 3 2 2" xfId="11870" xr:uid="{00000000-0005-0000-0000-0000B32F0000}"/>
    <cellStyle name="쉼표 [0] 3 2 2 10" xfId="11871" xr:uid="{00000000-0005-0000-0000-0000B42F0000}"/>
    <cellStyle name="쉼표 [0] 3 2 2 10 2" xfId="11872" xr:uid="{00000000-0005-0000-0000-0000B52F0000}"/>
    <cellStyle name="쉼표 [0] 3 2 2 11" xfId="11873" xr:uid="{00000000-0005-0000-0000-0000B62F0000}"/>
    <cellStyle name="쉼표 [0] 3 2 2 11 2" xfId="11874" xr:uid="{00000000-0005-0000-0000-0000B72F0000}"/>
    <cellStyle name="쉼표 [0] 3 2 2 12" xfId="11875" xr:uid="{00000000-0005-0000-0000-0000B82F0000}"/>
    <cellStyle name="쉼표 [0] 3 2 2 12 2" xfId="11876" xr:uid="{00000000-0005-0000-0000-0000B92F0000}"/>
    <cellStyle name="쉼표 [0] 3 2 2 13" xfId="11877" xr:uid="{00000000-0005-0000-0000-0000BA2F0000}"/>
    <cellStyle name="쉼표 [0] 3 2 2 13 2" xfId="11878" xr:uid="{00000000-0005-0000-0000-0000BB2F0000}"/>
    <cellStyle name="쉼표 [0] 3 2 2 14" xfId="11879" xr:uid="{00000000-0005-0000-0000-0000BC2F0000}"/>
    <cellStyle name="쉼표 [0] 3 2 2 14 2" xfId="11880" xr:uid="{00000000-0005-0000-0000-0000BD2F0000}"/>
    <cellStyle name="쉼표 [0] 3 2 2 15" xfId="11881" xr:uid="{00000000-0005-0000-0000-0000BE2F0000}"/>
    <cellStyle name="쉼표 [0] 3 2 2 15 2" xfId="11882" xr:uid="{00000000-0005-0000-0000-0000BF2F0000}"/>
    <cellStyle name="쉼표 [0] 3 2 2 16" xfId="11883" xr:uid="{00000000-0005-0000-0000-0000C02F0000}"/>
    <cellStyle name="쉼표 [0] 3 2 2 16 2" xfId="11884" xr:uid="{00000000-0005-0000-0000-0000C12F0000}"/>
    <cellStyle name="쉼표 [0] 3 2 2 17" xfId="11885" xr:uid="{00000000-0005-0000-0000-0000C22F0000}"/>
    <cellStyle name="쉼표 [0] 3 2 2 17 2" xfId="11886" xr:uid="{00000000-0005-0000-0000-0000C32F0000}"/>
    <cellStyle name="쉼표 [0] 3 2 2 18" xfId="11887" xr:uid="{00000000-0005-0000-0000-0000C42F0000}"/>
    <cellStyle name="쉼표 [0] 3 2 2 18 2" xfId="11888" xr:uid="{00000000-0005-0000-0000-0000C52F0000}"/>
    <cellStyle name="쉼표 [0] 3 2 2 19" xfId="11889" xr:uid="{00000000-0005-0000-0000-0000C62F0000}"/>
    <cellStyle name="쉼표 [0] 3 2 2 19 2" xfId="11890" xr:uid="{00000000-0005-0000-0000-0000C72F0000}"/>
    <cellStyle name="쉼표 [0] 3 2 2 2" xfId="11891" xr:uid="{00000000-0005-0000-0000-0000C82F0000}"/>
    <cellStyle name="쉼표 [0] 3 2 2 2 10" xfId="11892" xr:uid="{00000000-0005-0000-0000-0000C92F0000}"/>
    <cellStyle name="쉼표 [0] 3 2 2 2 10 2" xfId="11893" xr:uid="{00000000-0005-0000-0000-0000CA2F0000}"/>
    <cellStyle name="쉼표 [0] 3 2 2 2 11" xfId="11894" xr:uid="{00000000-0005-0000-0000-0000CB2F0000}"/>
    <cellStyle name="쉼표 [0] 3 2 2 2 11 2" xfId="11895" xr:uid="{00000000-0005-0000-0000-0000CC2F0000}"/>
    <cellStyle name="쉼표 [0] 3 2 2 2 12" xfId="11896" xr:uid="{00000000-0005-0000-0000-0000CD2F0000}"/>
    <cellStyle name="쉼표 [0] 3 2 2 2 12 2" xfId="11897" xr:uid="{00000000-0005-0000-0000-0000CE2F0000}"/>
    <cellStyle name="쉼표 [0] 3 2 2 2 13" xfId="11898" xr:uid="{00000000-0005-0000-0000-0000CF2F0000}"/>
    <cellStyle name="쉼표 [0] 3 2 2 2 13 2" xfId="11899" xr:uid="{00000000-0005-0000-0000-0000D02F0000}"/>
    <cellStyle name="쉼표 [0] 3 2 2 2 14" xfId="11900" xr:uid="{00000000-0005-0000-0000-0000D12F0000}"/>
    <cellStyle name="쉼표 [0] 3 2 2 2 14 2" xfId="11901" xr:uid="{00000000-0005-0000-0000-0000D22F0000}"/>
    <cellStyle name="쉼표 [0] 3 2 2 2 15" xfId="11902" xr:uid="{00000000-0005-0000-0000-0000D32F0000}"/>
    <cellStyle name="쉼표 [0] 3 2 2 2 15 2" xfId="11903" xr:uid="{00000000-0005-0000-0000-0000D42F0000}"/>
    <cellStyle name="쉼표 [0] 3 2 2 2 16" xfId="11904" xr:uid="{00000000-0005-0000-0000-0000D52F0000}"/>
    <cellStyle name="쉼표 [0] 3 2 2 2 16 2" xfId="11905" xr:uid="{00000000-0005-0000-0000-0000D62F0000}"/>
    <cellStyle name="쉼표 [0] 3 2 2 2 17" xfId="11906" xr:uid="{00000000-0005-0000-0000-0000D72F0000}"/>
    <cellStyle name="쉼표 [0] 3 2 2 2 17 2" xfId="11907" xr:uid="{00000000-0005-0000-0000-0000D82F0000}"/>
    <cellStyle name="쉼표 [0] 3 2 2 2 18" xfId="11908" xr:uid="{00000000-0005-0000-0000-0000D92F0000}"/>
    <cellStyle name="쉼표 [0] 3 2 2 2 18 2" xfId="11909" xr:uid="{00000000-0005-0000-0000-0000DA2F0000}"/>
    <cellStyle name="쉼표 [0] 3 2 2 2 19" xfId="11910" xr:uid="{00000000-0005-0000-0000-0000DB2F0000}"/>
    <cellStyle name="쉼표 [0] 3 2 2 2 19 2" xfId="11911" xr:uid="{00000000-0005-0000-0000-0000DC2F0000}"/>
    <cellStyle name="쉼표 [0] 3 2 2 2 2" xfId="11912" xr:uid="{00000000-0005-0000-0000-0000DD2F0000}"/>
    <cellStyle name="쉼표 [0] 3 2 2 2 2 2" xfId="11913" xr:uid="{00000000-0005-0000-0000-0000DE2F0000}"/>
    <cellStyle name="쉼표 [0] 3 2 2 2 2 2 2" xfId="11914" xr:uid="{00000000-0005-0000-0000-0000DF2F0000}"/>
    <cellStyle name="쉼표 [0] 3 2 2 2 2 3" xfId="11915" xr:uid="{00000000-0005-0000-0000-0000E02F0000}"/>
    <cellStyle name="쉼표 [0] 3 2 2 2 2 3 2" xfId="11916" xr:uid="{00000000-0005-0000-0000-0000E12F0000}"/>
    <cellStyle name="쉼표 [0] 3 2 2 2 2 4" xfId="11917" xr:uid="{00000000-0005-0000-0000-0000E22F0000}"/>
    <cellStyle name="쉼표 [0] 3 2 2 2 2 4 2" xfId="11918" xr:uid="{00000000-0005-0000-0000-0000E32F0000}"/>
    <cellStyle name="쉼표 [0] 3 2 2 2 2 5" xfId="11919" xr:uid="{00000000-0005-0000-0000-0000E42F0000}"/>
    <cellStyle name="쉼표 [0] 3 2 2 2 2 5 2" xfId="11920" xr:uid="{00000000-0005-0000-0000-0000E52F0000}"/>
    <cellStyle name="쉼표 [0] 3 2 2 2 2 6" xfId="11921" xr:uid="{00000000-0005-0000-0000-0000E62F0000}"/>
    <cellStyle name="쉼표 [0] 3 2 2 2 2 6 2" xfId="11922" xr:uid="{00000000-0005-0000-0000-0000E72F0000}"/>
    <cellStyle name="쉼표 [0] 3 2 2 2 2 7" xfId="11923" xr:uid="{00000000-0005-0000-0000-0000E82F0000}"/>
    <cellStyle name="쉼표 [0] 3 2 2 2 2 7 2" xfId="11924" xr:uid="{00000000-0005-0000-0000-0000E92F0000}"/>
    <cellStyle name="쉼표 [0] 3 2 2 2 2 8" xfId="11925" xr:uid="{00000000-0005-0000-0000-0000EA2F0000}"/>
    <cellStyle name="쉼표 [0] 3 2 2 2 20" xfId="11926" xr:uid="{00000000-0005-0000-0000-0000EB2F0000}"/>
    <cellStyle name="쉼표 [0] 3 2 2 2 20 2" xfId="11927" xr:uid="{00000000-0005-0000-0000-0000EC2F0000}"/>
    <cellStyle name="쉼표 [0] 3 2 2 2 21" xfId="11928" xr:uid="{00000000-0005-0000-0000-0000ED2F0000}"/>
    <cellStyle name="쉼표 [0] 3 2 2 2 21 2" xfId="11929" xr:uid="{00000000-0005-0000-0000-0000EE2F0000}"/>
    <cellStyle name="쉼표 [0] 3 2 2 2 22" xfId="11930" xr:uid="{00000000-0005-0000-0000-0000EF2F0000}"/>
    <cellStyle name="쉼표 [0] 3 2 2 2 22 2" xfId="11931" xr:uid="{00000000-0005-0000-0000-0000F02F0000}"/>
    <cellStyle name="쉼표 [0] 3 2 2 2 23" xfId="11932" xr:uid="{00000000-0005-0000-0000-0000F12F0000}"/>
    <cellStyle name="쉼표 [0] 3 2 2 2 23 2" xfId="11933" xr:uid="{00000000-0005-0000-0000-0000F22F0000}"/>
    <cellStyle name="쉼표 [0] 3 2 2 2 24" xfId="11934" xr:uid="{00000000-0005-0000-0000-0000F32F0000}"/>
    <cellStyle name="쉼표 [0] 3 2 2 2 24 2" xfId="11935" xr:uid="{00000000-0005-0000-0000-0000F42F0000}"/>
    <cellStyle name="쉼표 [0] 3 2 2 2 25" xfId="11936" xr:uid="{00000000-0005-0000-0000-0000F52F0000}"/>
    <cellStyle name="쉼표 [0] 3 2 2 2 25 2" xfId="11937" xr:uid="{00000000-0005-0000-0000-0000F62F0000}"/>
    <cellStyle name="쉼표 [0] 3 2 2 2 26" xfId="11938" xr:uid="{00000000-0005-0000-0000-0000F72F0000}"/>
    <cellStyle name="쉼표 [0] 3 2 2 2 26 2" xfId="11939" xr:uid="{00000000-0005-0000-0000-0000F82F0000}"/>
    <cellStyle name="쉼표 [0] 3 2 2 2 27" xfId="11940" xr:uid="{00000000-0005-0000-0000-0000F92F0000}"/>
    <cellStyle name="쉼표 [0] 3 2 2 2 3" xfId="11941" xr:uid="{00000000-0005-0000-0000-0000FA2F0000}"/>
    <cellStyle name="쉼표 [0] 3 2 2 2 3 2" xfId="11942" xr:uid="{00000000-0005-0000-0000-0000FB2F0000}"/>
    <cellStyle name="쉼표 [0] 3 2 2 2 3 2 2" xfId="11943" xr:uid="{00000000-0005-0000-0000-0000FC2F0000}"/>
    <cellStyle name="쉼표 [0] 3 2 2 2 3 3" xfId="11944" xr:uid="{00000000-0005-0000-0000-0000FD2F0000}"/>
    <cellStyle name="쉼표 [0] 3 2 2 2 3 3 2" xfId="11945" xr:uid="{00000000-0005-0000-0000-0000FE2F0000}"/>
    <cellStyle name="쉼표 [0] 3 2 2 2 3 4" xfId="11946" xr:uid="{00000000-0005-0000-0000-0000FF2F0000}"/>
    <cellStyle name="쉼표 [0] 3 2 2 2 3 4 2" xfId="11947" xr:uid="{00000000-0005-0000-0000-000000300000}"/>
    <cellStyle name="쉼표 [0] 3 2 2 2 3 5" xfId="11948" xr:uid="{00000000-0005-0000-0000-000001300000}"/>
    <cellStyle name="쉼표 [0] 3 2 2 2 4" xfId="11949" xr:uid="{00000000-0005-0000-0000-000002300000}"/>
    <cellStyle name="쉼표 [0] 3 2 2 2 4 2" xfId="11950" xr:uid="{00000000-0005-0000-0000-000003300000}"/>
    <cellStyle name="쉼표 [0] 3 2 2 2 4 2 2" xfId="11951" xr:uid="{00000000-0005-0000-0000-000004300000}"/>
    <cellStyle name="쉼표 [0] 3 2 2 2 4 3" xfId="11952" xr:uid="{00000000-0005-0000-0000-000005300000}"/>
    <cellStyle name="쉼표 [0] 3 2 2 2 4 3 2" xfId="11953" xr:uid="{00000000-0005-0000-0000-000006300000}"/>
    <cellStyle name="쉼표 [0] 3 2 2 2 4 4" xfId="11954" xr:uid="{00000000-0005-0000-0000-000007300000}"/>
    <cellStyle name="쉼표 [0] 3 2 2 2 4 4 2" xfId="11955" xr:uid="{00000000-0005-0000-0000-000008300000}"/>
    <cellStyle name="쉼표 [0] 3 2 2 2 4 5" xfId="11956" xr:uid="{00000000-0005-0000-0000-000009300000}"/>
    <cellStyle name="쉼표 [0] 3 2 2 2 5" xfId="11957" xr:uid="{00000000-0005-0000-0000-00000A300000}"/>
    <cellStyle name="쉼표 [0] 3 2 2 2 5 2" xfId="11958" xr:uid="{00000000-0005-0000-0000-00000B300000}"/>
    <cellStyle name="쉼표 [0] 3 2 2 2 6" xfId="11959" xr:uid="{00000000-0005-0000-0000-00000C300000}"/>
    <cellStyle name="쉼표 [0] 3 2 2 2 6 2" xfId="11960" xr:uid="{00000000-0005-0000-0000-00000D300000}"/>
    <cellStyle name="쉼표 [0] 3 2 2 2 7" xfId="11961" xr:uid="{00000000-0005-0000-0000-00000E300000}"/>
    <cellStyle name="쉼표 [0] 3 2 2 2 7 2" xfId="11962" xr:uid="{00000000-0005-0000-0000-00000F300000}"/>
    <cellStyle name="쉼표 [0] 3 2 2 2 8" xfId="11963" xr:uid="{00000000-0005-0000-0000-000010300000}"/>
    <cellStyle name="쉼표 [0] 3 2 2 2 8 2" xfId="11964" xr:uid="{00000000-0005-0000-0000-000011300000}"/>
    <cellStyle name="쉼표 [0] 3 2 2 2 9" xfId="11965" xr:uid="{00000000-0005-0000-0000-000012300000}"/>
    <cellStyle name="쉼표 [0] 3 2 2 2 9 2" xfId="11966" xr:uid="{00000000-0005-0000-0000-000013300000}"/>
    <cellStyle name="쉼표 [0] 3 2 2 20" xfId="11967" xr:uid="{00000000-0005-0000-0000-000014300000}"/>
    <cellStyle name="쉼표 [0] 3 2 2 20 2" xfId="11968" xr:uid="{00000000-0005-0000-0000-000015300000}"/>
    <cellStyle name="쉼표 [0] 3 2 2 21" xfId="11969" xr:uid="{00000000-0005-0000-0000-000016300000}"/>
    <cellStyle name="쉼표 [0] 3 2 2 21 2" xfId="11970" xr:uid="{00000000-0005-0000-0000-000017300000}"/>
    <cellStyle name="쉼표 [0] 3 2 2 22" xfId="11971" xr:uid="{00000000-0005-0000-0000-000018300000}"/>
    <cellStyle name="쉼표 [0] 3 2 2 22 2" xfId="11972" xr:uid="{00000000-0005-0000-0000-000019300000}"/>
    <cellStyle name="쉼표 [0] 3 2 2 23" xfId="11973" xr:uid="{00000000-0005-0000-0000-00001A300000}"/>
    <cellStyle name="쉼표 [0] 3 2 2 23 2" xfId="11974" xr:uid="{00000000-0005-0000-0000-00001B300000}"/>
    <cellStyle name="쉼표 [0] 3 2 2 24" xfId="11975" xr:uid="{00000000-0005-0000-0000-00001C300000}"/>
    <cellStyle name="쉼표 [0] 3 2 2 24 2" xfId="11976" xr:uid="{00000000-0005-0000-0000-00001D300000}"/>
    <cellStyle name="쉼표 [0] 3 2 2 25" xfId="11977" xr:uid="{00000000-0005-0000-0000-00001E300000}"/>
    <cellStyle name="쉼표 [0] 3 2 2 25 2" xfId="11978" xr:uid="{00000000-0005-0000-0000-00001F300000}"/>
    <cellStyle name="쉼표 [0] 3 2 2 26" xfId="11979" xr:uid="{00000000-0005-0000-0000-000020300000}"/>
    <cellStyle name="쉼표 [0] 3 2 2 26 2" xfId="11980" xr:uid="{00000000-0005-0000-0000-000021300000}"/>
    <cellStyle name="쉼표 [0] 3 2 2 27" xfId="11981" xr:uid="{00000000-0005-0000-0000-000022300000}"/>
    <cellStyle name="쉼표 [0] 3 2 2 27 2" xfId="11982" xr:uid="{00000000-0005-0000-0000-000023300000}"/>
    <cellStyle name="쉼표 [0] 3 2 2 28" xfId="11983" xr:uid="{00000000-0005-0000-0000-000024300000}"/>
    <cellStyle name="쉼표 [0] 3 2 2 28 2" xfId="11984" xr:uid="{00000000-0005-0000-0000-000025300000}"/>
    <cellStyle name="쉼표 [0] 3 2 2 29" xfId="11985" xr:uid="{00000000-0005-0000-0000-000026300000}"/>
    <cellStyle name="쉼표 [0] 3 2 2 29 2" xfId="11986" xr:uid="{00000000-0005-0000-0000-000027300000}"/>
    <cellStyle name="쉼표 [0] 3 2 2 3" xfId="11987" xr:uid="{00000000-0005-0000-0000-000028300000}"/>
    <cellStyle name="쉼표 [0] 3 2 2 3 2" xfId="11988" xr:uid="{00000000-0005-0000-0000-000029300000}"/>
    <cellStyle name="쉼표 [0] 3 2 2 30" xfId="11989" xr:uid="{00000000-0005-0000-0000-00002A300000}"/>
    <cellStyle name="쉼표 [0] 3 2 2 4" xfId="11990" xr:uid="{00000000-0005-0000-0000-00002B300000}"/>
    <cellStyle name="쉼표 [0] 3 2 2 4 2" xfId="11991" xr:uid="{00000000-0005-0000-0000-00002C300000}"/>
    <cellStyle name="쉼표 [0] 3 2 2 5" xfId="11992" xr:uid="{00000000-0005-0000-0000-00002D300000}"/>
    <cellStyle name="쉼표 [0] 3 2 2 5 2" xfId="11993" xr:uid="{00000000-0005-0000-0000-00002E300000}"/>
    <cellStyle name="쉼표 [0] 3 2 2 6" xfId="11994" xr:uid="{00000000-0005-0000-0000-00002F300000}"/>
    <cellStyle name="쉼표 [0] 3 2 2 6 2" xfId="11995" xr:uid="{00000000-0005-0000-0000-000030300000}"/>
    <cellStyle name="쉼표 [0] 3 2 2 7" xfId="11996" xr:uid="{00000000-0005-0000-0000-000031300000}"/>
    <cellStyle name="쉼표 [0] 3 2 2 7 2" xfId="11997" xr:uid="{00000000-0005-0000-0000-000032300000}"/>
    <cellStyle name="쉼표 [0] 3 2 2 8" xfId="11998" xr:uid="{00000000-0005-0000-0000-000033300000}"/>
    <cellStyle name="쉼표 [0] 3 2 2 8 2" xfId="11999" xr:uid="{00000000-0005-0000-0000-000034300000}"/>
    <cellStyle name="쉼표 [0] 3 2 2 9" xfId="12000" xr:uid="{00000000-0005-0000-0000-000035300000}"/>
    <cellStyle name="쉼표 [0] 3 2 2 9 2" xfId="12001" xr:uid="{00000000-0005-0000-0000-000036300000}"/>
    <cellStyle name="쉼표 [0] 3 2 20" xfId="12002" xr:uid="{00000000-0005-0000-0000-000037300000}"/>
    <cellStyle name="쉼표 [0] 3 2 20 2" xfId="12003" xr:uid="{00000000-0005-0000-0000-000038300000}"/>
    <cellStyle name="쉼표 [0] 3 2 21" xfId="12004" xr:uid="{00000000-0005-0000-0000-000039300000}"/>
    <cellStyle name="쉼표 [0] 3 2 21 2" xfId="12005" xr:uid="{00000000-0005-0000-0000-00003A300000}"/>
    <cellStyle name="쉼표 [0] 3 2 22" xfId="12006" xr:uid="{00000000-0005-0000-0000-00003B300000}"/>
    <cellStyle name="쉼표 [0] 3 2 22 2" xfId="12007" xr:uid="{00000000-0005-0000-0000-00003C300000}"/>
    <cellStyle name="쉼표 [0] 3 2 23" xfId="12008" xr:uid="{00000000-0005-0000-0000-00003D300000}"/>
    <cellStyle name="쉼표 [0] 3 2 23 2" xfId="12009" xr:uid="{00000000-0005-0000-0000-00003E300000}"/>
    <cellStyle name="쉼표 [0] 3 2 24" xfId="12010" xr:uid="{00000000-0005-0000-0000-00003F300000}"/>
    <cellStyle name="쉼표 [0] 3 2 24 2" xfId="12011" xr:uid="{00000000-0005-0000-0000-000040300000}"/>
    <cellStyle name="쉼표 [0] 3 2 25" xfId="12012" xr:uid="{00000000-0005-0000-0000-000041300000}"/>
    <cellStyle name="쉼표 [0] 3 2 25 2" xfId="12013" xr:uid="{00000000-0005-0000-0000-000042300000}"/>
    <cellStyle name="쉼표 [0] 3 2 26" xfId="12014" xr:uid="{00000000-0005-0000-0000-000043300000}"/>
    <cellStyle name="쉼표 [0] 3 2 26 2" xfId="12015" xr:uid="{00000000-0005-0000-0000-000044300000}"/>
    <cellStyle name="쉼표 [0] 3 2 27" xfId="12016" xr:uid="{00000000-0005-0000-0000-000045300000}"/>
    <cellStyle name="쉼표 [0] 3 2 27 2" xfId="12017" xr:uid="{00000000-0005-0000-0000-000046300000}"/>
    <cellStyle name="쉼표 [0] 3 2 28" xfId="12018" xr:uid="{00000000-0005-0000-0000-000047300000}"/>
    <cellStyle name="쉼표 [0] 3 2 28 2" xfId="12019" xr:uid="{00000000-0005-0000-0000-000048300000}"/>
    <cellStyle name="쉼표 [0] 3 2 29" xfId="12020" xr:uid="{00000000-0005-0000-0000-000049300000}"/>
    <cellStyle name="쉼표 [0] 3 2 29 2" xfId="12021" xr:uid="{00000000-0005-0000-0000-00004A300000}"/>
    <cellStyle name="쉼표 [0] 3 2 3" xfId="12022" xr:uid="{00000000-0005-0000-0000-00004B300000}"/>
    <cellStyle name="쉼표 [0] 3 2 3 2" xfId="12023" xr:uid="{00000000-0005-0000-0000-00004C300000}"/>
    <cellStyle name="쉼표 [0] 3 2 3 2 2" xfId="12024" xr:uid="{00000000-0005-0000-0000-00004D300000}"/>
    <cellStyle name="쉼표 [0] 3 2 3 2 2 2" xfId="12025" xr:uid="{00000000-0005-0000-0000-00004E300000}"/>
    <cellStyle name="쉼표 [0] 3 2 3 2 3" xfId="12026" xr:uid="{00000000-0005-0000-0000-00004F300000}"/>
    <cellStyle name="쉼표 [0] 3 2 3 2 3 2" xfId="12027" xr:uid="{00000000-0005-0000-0000-000050300000}"/>
    <cellStyle name="쉼표 [0] 3 2 3 2 4" xfId="12028" xr:uid="{00000000-0005-0000-0000-000051300000}"/>
    <cellStyle name="쉼표 [0] 3 2 3 2 4 2" xfId="12029" xr:uid="{00000000-0005-0000-0000-000052300000}"/>
    <cellStyle name="쉼표 [0] 3 2 3 2 5" xfId="12030" xr:uid="{00000000-0005-0000-0000-000053300000}"/>
    <cellStyle name="쉼표 [0] 3 2 3 2 5 2" xfId="12031" xr:uid="{00000000-0005-0000-0000-000054300000}"/>
    <cellStyle name="쉼표 [0] 3 2 3 2 6" xfId="12032" xr:uid="{00000000-0005-0000-0000-000055300000}"/>
    <cellStyle name="쉼표 [0] 3 2 3 3" xfId="12033" xr:uid="{00000000-0005-0000-0000-000056300000}"/>
    <cellStyle name="쉼표 [0] 3 2 3 3 2" xfId="12034" xr:uid="{00000000-0005-0000-0000-000057300000}"/>
    <cellStyle name="쉼표 [0] 3 2 3 4" xfId="12035" xr:uid="{00000000-0005-0000-0000-000058300000}"/>
    <cellStyle name="쉼표 [0] 3 2 3 4 2" xfId="12036" xr:uid="{00000000-0005-0000-0000-000059300000}"/>
    <cellStyle name="쉼표 [0] 3 2 3 5" xfId="12037" xr:uid="{00000000-0005-0000-0000-00005A300000}"/>
    <cellStyle name="쉼표 [0] 3 2 3 5 2" xfId="12038" xr:uid="{00000000-0005-0000-0000-00005B300000}"/>
    <cellStyle name="쉼표 [0] 3 2 3 6" xfId="12039" xr:uid="{00000000-0005-0000-0000-00005C300000}"/>
    <cellStyle name="쉼표 [0] 3 2 30" xfId="12040" xr:uid="{00000000-0005-0000-0000-00005D300000}"/>
    <cellStyle name="쉼표 [0] 3 2 30 2" xfId="12041" xr:uid="{00000000-0005-0000-0000-00005E300000}"/>
    <cellStyle name="쉼표 [0] 3 2 31" xfId="12042" xr:uid="{00000000-0005-0000-0000-00005F300000}"/>
    <cellStyle name="쉼표 [0] 3 2 31 2" xfId="12043" xr:uid="{00000000-0005-0000-0000-000060300000}"/>
    <cellStyle name="쉼표 [0] 3 2 32" xfId="12044" xr:uid="{00000000-0005-0000-0000-000061300000}"/>
    <cellStyle name="쉼표 [0] 3 2 32 2" xfId="12045" xr:uid="{00000000-0005-0000-0000-000062300000}"/>
    <cellStyle name="쉼표 [0] 3 2 33" xfId="12046" xr:uid="{00000000-0005-0000-0000-000063300000}"/>
    <cellStyle name="쉼표 [0] 3 2 33 2" xfId="12047" xr:uid="{00000000-0005-0000-0000-000064300000}"/>
    <cellStyle name="쉼표 [0] 3 2 34" xfId="12048" xr:uid="{00000000-0005-0000-0000-000065300000}"/>
    <cellStyle name="쉼표 [0] 3 2 34 2" xfId="12049" xr:uid="{00000000-0005-0000-0000-000066300000}"/>
    <cellStyle name="쉼표 [0] 3 2 35" xfId="12050" xr:uid="{00000000-0005-0000-0000-000067300000}"/>
    <cellStyle name="쉼표 [0] 3 2 35 2" xfId="12051" xr:uid="{00000000-0005-0000-0000-000068300000}"/>
    <cellStyle name="쉼표 [0] 3 2 36" xfId="12052" xr:uid="{00000000-0005-0000-0000-000069300000}"/>
    <cellStyle name="쉼표 [0] 3 2 36 2" xfId="12053" xr:uid="{00000000-0005-0000-0000-00006A300000}"/>
    <cellStyle name="쉼표 [0] 3 2 37" xfId="12054" xr:uid="{00000000-0005-0000-0000-00006B300000}"/>
    <cellStyle name="쉼표 [0] 3 2 37 2" xfId="12055" xr:uid="{00000000-0005-0000-0000-00006C300000}"/>
    <cellStyle name="쉼표 [0] 3 2 38" xfId="12056" xr:uid="{00000000-0005-0000-0000-00006D300000}"/>
    <cellStyle name="쉼표 [0] 3 2 38 2" xfId="12057" xr:uid="{00000000-0005-0000-0000-00006E300000}"/>
    <cellStyle name="쉼표 [0] 3 2 39" xfId="12058" xr:uid="{00000000-0005-0000-0000-00006F300000}"/>
    <cellStyle name="쉼표 [0] 3 2 39 2" xfId="12059" xr:uid="{00000000-0005-0000-0000-000070300000}"/>
    <cellStyle name="쉼표 [0] 3 2 4" xfId="12060" xr:uid="{00000000-0005-0000-0000-000071300000}"/>
    <cellStyle name="쉼표 [0] 3 2 4 2" xfId="12061" xr:uid="{00000000-0005-0000-0000-000072300000}"/>
    <cellStyle name="쉼표 [0] 3 2 4 2 2" xfId="12062" xr:uid="{00000000-0005-0000-0000-000073300000}"/>
    <cellStyle name="쉼표 [0] 3 2 4 2 2 2" xfId="12063" xr:uid="{00000000-0005-0000-0000-000074300000}"/>
    <cellStyle name="쉼표 [0] 3 2 4 2 3" xfId="12064" xr:uid="{00000000-0005-0000-0000-000075300000}"/>
    <cellStyle name="쉼표 [0] 3 2 4 2 3 2" xfId="12065" xr:uid="{00000000-0005-0000-0000-000076300000}"/>
    <cellStyle name="쉼표 [0] 3 2 4 2 4" xfId="12066" xr:uid="{00000000-0005-0000-0000-000077300000}"/>
    <cellStyle name="쉼표 [0] 3 2 4 2 4 2" xfId="12067" xr:uid="{00000000-0005-0000-0000-000078300000}"/>
    <cellStyle name="쉼표 [0] 3 2 4 2 5" xfId="12068" xr:uid="{00000000-0005-0000-0000-000079300000}"/>
    <cellStyle name="쉼표 [0] 3 2 4 2 5 2" xfId="12069" xr:uid="{00000000-0005-0000-0000-00007A300000}"/>
    <cellStyle name="쉼표 [0] 3 2 4 2 6" xfId="12070" xr:uid="{00000000-0005-0000-0000-00007B300000}"/>
    <cellStyle name="쉼표 [0] 3 2 4 3" xfId="12071" xr:uid="{00000000-0005-0000-0000-00007C300000}"/>
    <cellStyle name="쉼표 [0] 3 2 4 3 2" xfId="12072" xr:uid="{00000000-0005-0000-0000-00007D300000}"/>
    <cellStyle name="쉼표 [0] 3 2 4 4" xfId="12073" xr:uid="{00000000-0005-0000-0000-00007E300000}"/>
    <cellStyle name="쉼표 [0] 3 2 4 4 2" xfId="12074" xr:uid="{00000000-0005-0000-0000-00007F300000}"/>
    <cellStyle name="쉼표 [0] 3 2 4 5" xfId="12075" xr:uid="{00000000-0005-0000-0000-000080300000}"/>
    <cellStyle name="쉼표 [0] 3 2 4 5 2" xfId="12076" xr:uid="{00000000-0005-0000-0000-000081300000}"/>
    <cellStyle name="쉼표 [0] 3 2 4 6" xfId="12077" xr:uid="{00000000-0005-0000-0000-000082300000}"/>
    <cellStyle name="쉼표 [0] 3 2 40" xfId="12078" xr:uid="{00000000-0005-0000-0000-000083300000}"/>
    <cellStyle name="쉼표 [0] 3 2 40 2" xfId="12079" xr:uid="{00000000-0005-0000-0000-000084300000}"/>
    <cellStyle name="쉼표 [0] 3 2 41" xfId="12080" xr:uid="{00000000-0005-0000-0000-000085300000}"/>
    <cellStyle name="쉼표 [0] 3 2 41 2" xfId="12081" xr:uid="{00000000-0005-0000-0000-000086300000}"/>
    <cellStyle name="쉼표 [0] 3 2 42" xfId="12082" xr:uid="{00000000-0005-0000-0000-000087300000}"/>
    <cellStyle name="쉼표 [0] 3 2 42 2" xfId="12083" xr:uid="{00000000-0005-0000-0000-000088300000}"/>
    <cellStyle name="쉼표 [0] 3 2 43" xfId="12084" xr:uid="{00000000-0005-0000-0000-000089300000}"/>
    <cellStyle name="쉼표 [0] 3 2 43 2" xfId="12085" xr:uid="{00000000-0005-0000-0000-00008A300000}"/>
    <cellStyle name="쉼표 [0] 3 2 44" xfId="12086" xr:uid="{00000000-0005-0000-0000-00008B300000}"/>
    <cellStyle name="쉼표 [0] 3 2 44 2" xfId="12087" xr:uid="{00000000-0005-0000-0000-00008C300000}"/>
    <cellStyle name="쉼표 [0] 3 2 45" xfId="12088" xr:uid="{00000000-0005-0000-0000-00008D300000}"/>
    <cellStyle name="쉼표 [0] 3 2 45 2" xfId="12089" xr:uid="{00000000-0005-0000-0000-00008E300000}"/>
    <cellStyle name="쉼표 [0] 3 2 46" xfId="12090" xr:uid="{00000000-0005-0000-0000-00008F300000}"/>
    <cellStyle name="쉼표 [0] 3 2 46 2" xfId="12091" xr:uid="{00000000-0005-0000-0000-000090300000}"/>
    <cellStyle name="쉼표 [0] 3 2 47" xfId="12092" xr:uid="{00000000-0005-0000-0000-000091300000}"/>
    <cellStyle name="쉼표 [0] 3 2 47 2" xfId="12093" xr:uid="{00000000-0005-0000-0000-000092300000}"/>
    <cellStyle name="쉼표 [0] 3 2 48" xfId="12094" xr:uid="{00000000-0005-0000-0000-000093300000}"/>
    <cellStyle name="쉼표 [0] 3 2 5" xfId="12095" xr:uid="{00000000-0005-0000-0000-000094300000}"/>
    <cellStyle name="쉼표 [0] 3 2 5 2" xfId="12096" xr:uid="{00000000-0005-0000-0000-000095300000}"/>
    <cellStyle name="쉼표 [0] 3 2 5 2 2" xfId="12097" xr:uid="{00000000-0005-0000-0000-000096300000}"/>
    <cellStyle name="쉼표 [0] 3 2 5 2 2 2" xfId="12098" xr:uid="{00000000-0005-0000-0000-000097300000}"/>
    <cellStyle name="쉼표 [0] 3 2 5 2 3" xfId="12099" xr:uid="{00000000-0005-0000-0000-000098300000}"/>
    <cellStyle name="쉼표 [0] 3 2 5 2 3 2" xfId="12100" xr:uid="{00000000-0005-0000-0000-000099300000}"/>
    <cellStyle name="쉼표 [0] 3 2 5 2 4" xfId="12101" xr:uid="{00000000-0005-0000-0000-00009A300000}"/>
    <cellStyle name="쉼표 [0] 3 2 5 2 4 2" xfId="12102" xr:uid="{00000000-0005-0000-0000-00009B300000}"/>
    <cellStyle name="쉼표 [0] 3 2 5 2 5" xfId="12103" xr:uid="{00000000-0005-0000-0000-00009C300000}"/>
    <cellStyle name="쉼표 [0] 3 2 5 2 5 2" xfId="12104" xr:uid="{00000000-0005-0000-0000-00009D300000}"/>
    <cellStyle name="쉼표 [0] 3 2 5 2 6" xfId="12105" xr:uid="{00000000-0005-0000-0000-00009E300000}"/>
    <cellStyle name="쉼표 [0] 3 2 5 3" xfId="12106" xr:uid="{00000000-0005-0000-0000-00009F300000}"/>
    <cellStyle name="쉼표 [0] 3 2 5 3 2" xfId="12107" xr:uid="{00000000-0005-0000-0000-0000A0300000}"/>
    <cellStyle name="쉼표 [0] 3 2 5 4" xfId="12108" xr:uid="{00000000-0005-0000-0000-0000A1300000}"/>
    <cellStyle name="쉼표 [0] 3 2 5 4 2" xfId="12109" xr:uid="{00000000-0005-0000-0000-0000A2300000}"/>
    <cellStyle name="쉼표 [0] 3 2 5 5" xfId="12110" xr:uid="{00000000-0005-0000-0000-0000A3300000}"/>
    <cellStyle name="쉼표 [0] 3 2 5 5 2" xfId="12111" xr:uid="{00000000-0005-0000-0000-0000A4300000}"/>
    <cellStyle name="쉼표 [0] 3 2 5 6" xfId="12112" xr:uid="{00000000-0005-0000-0000-0000A5300000}"/>
    <cellStyle name="쉼표 [0] 3 2 6" xfId="12113" xr:uid="{00000000-0005-0000-0000-0000A6300000}"/>
    <cellStyle name="쉼표 [0] 3 2 6 2" xfId="12114" xr:uid="{00000000-0005-0000-0000-0000A7300000}"/>
    <cellStyle name="쉼표 [0] 3 2 6 2 2" xfId="12115" xr:uid="{00000000-0005-0000-0000-0000A8300000}"/>
    <cellStyle name="쉼표 [0] 3 2 6 2 2 2" xfId="12116" xr:uid="{00000000-0005-0000-0000-0000A9300000}"/>
    <cellStyle name="쉼표 [0] 3 2 6 2 3" xfId="12117" xr:uid="{00000000-0005-0000-0000-0000AA300000}"/>
    <cellStyle name="쉼표 [0] 3 2 6 2 3 2" xfId="12118" xr:uid="{00000000-0005-0000-0000-0000AB300000}"/>
    <cellStyle name="쉼표 [0] 3 2 6 2 4" xfId="12119" xr:uid="{00000000-0005-0000-0000-0000AC300000}"/>
    <cellStyle name="쉼표 [0] 3 2 6 2 4 2" xfId="12120" xr:uid="{00000000-0005-0000-0000-0000AD300000}"/>
    <cellStyle name="쉼표 [0] 3 2 6 2 5" xfId="12121" xr:uid="{00000000-0005-0000-0000-0000AE300000}"/>
    <cellStyle name="쉼표 [0] 3 2 6 2 5 2" xfId="12122" xr:uid="{00000000-0005-0000-0000-0000AF300000}"/>
    <cellStyle name="쉼표 [0] 3 2 6 2 6" xfId="12123" xr:uid="{00000000-0005-0000-0000-0000B0300000}"/>
    <cellStyle name="쉼표 [0] 3 2 6 3" xfId="12124" xr:uid="{00000000-0005-0000-0000-0000B1300000}"/>
    <cellStyle name="쉼표 [0] 3 2 6 3 2" xfId="12125" xr:uid="{00000000-0005-0000-0000-0000B2300000}"/>
    <cellStyle name="쉼표 [0] 3 2 6 4" xfId="12126" xr:uid="{00000000-0005-0000-0000-0000B3300000}"/>
    <cellStyle name="쉼표 [0] 3 2 6 4 2" xfId="12127" xr:uid="{00000000-0005-0000-0000-0000B4300000}"/>
    <cellStyle name="쉼표 [0] 3 2 6 5" xfId="12128" xr:uid="{00000000-0005-0000-0000-0000B5300000}"/>
    <cellStyle name="쉼표 [0] 3 2 6 5 2" xfId="12129" xr:uid="{00000000-0005-0000-0000-0000B6300000}"/>
    <cellStyle name="쉼표 [0] 3 2 6 6" xfId="12130" xr:uid="{00000000-0005-0000-0000-0000B7300000}"/>
    <cellStyle name="쉼표 [0] 3 2 7" xfId="12131" xr:uid="{00000000-0005-0000-0000-0000B8300000}"/>
    <cellStyle name="쉼표 [0] 3 2 7 2" xfId="12132" xr:uid="{00000000-0005-0000-0000-0000B9300000}"/>
    <cellStyle name="쉼표 [0] 3 2 7 2 2" xfId="12133" xr:uid="{00000000-0005-0000-0000-0000BA300000}"/>
    <cellStyle name="쉼표 [0] 3 2 7 2 2 2" xfId="12134" xr:uid="{00000000-0005-0000-0000-0000BB300000}"/>
    <cellStyle name="쉼표 [0] 3 2 7 2 3" xfId="12135" xr:uid="{00000000-0005-0000-0000-0000BC300000}"/>
    <cellStyle name="쉼표 [0] 3 2 7 2 3 2" xfId="12136" xr:uid="{00000000-0005-0000-0000-0000BD300000}"/>
    <cellStyle name="쉼표 [0] 3 2 7 2 4" xfId="12137" xr:uid="{00000000-0005-0000-0000-0000BE300000}"/>
    <cellStyle name="쉼표 [0] 3 2 7 2 4 2" xfId="12138" xr:uid="{00000000-0005-0000-0000-0000BF300000}"/>
    <cellStyle name="쉼표 [0] 3 2 7 2 5" xfId="12139" xr:uid="{00000000-0005-0000-0000-0000C0300000}"/>
    <cellStyle name="쉼표 [0] 3 2 7 2 5 2" xfId="12140" xr:uid="{00000000-0005-0000-0000-0000C1300000}"/>
    <cellStyle name="쉼표 [0] 3 2 7 2 6" xfId="12141" xr:uid="{00000000-0005-0000-0000-0000C2300000}"/>
    <cellStyle name="쉼표 [0] 3 2 7 3" xfId="12142" xr:uid="{00000000-0005-0000-0000-0000C3300000}"/>
    <cellStyle name="쉼표 [0] 3 2 7 3 2" xfId="12143" xr:uid="{00000000-0005-0000-0000-0000C4300000}"/>
    <cellStyle name="쉼표 [0] 3 2 7 4" xfId="12144" xr:uid="{00000000-0005-0000-0000-0000C5300000}"/>
    <cellStyle name="쉼표 [0] 3 2 7 4 2" xfId="12145" xr:uid="{00000000-0005-0000-0000-0000C6300000}"/>
    <cellStyle name="쉼표 [0] 3 2 7 5" xfId="12146" xr:uid="{00000000-0005-0000-0000-0000C7300000}"/>
    <cellStyle name="쉼표 [0] 3 2 7 5 2" xfId="12147" xr:uid="{00000000-0005-0000-0000-0000C8300000}"/>
    <cellStyle name="쉼표 [0] 3 2 7 6" xfId="12148" xr:uid="{00000000-0005-0000-0000-0000C9300000}"/>
    <cellStyle name="쉼표 [0] 3 2 8" xfId="12149" xr:uid="{00000000-0005-0000-0000-0000CA300000}"/>
    <cellStyle name="쉼표 [0] 3 2 8 2" xfId="12150" xr:uid="{00000000-0005-0000-0000-0000CB300000}"/>
    <cellStyle name="쉼표 [0] 3 2 8 2 2" xfId="12151" xr:uid="{00000000-0005-0000-0000-0000CC300000}"/>
    <cellStyle name="쉼표 [0] 3 2 8 2 2 2" xfId="12152" xr:uid="{00000000-0005-0000-0000-0000CD300000}"/>
    <cellStyle name="쉼표 [0] 3 2 8 2 3" xfId="12153" xr:uid="{00000000-0005-0000-0000-0000CE300000}"/>
    <cellStyle name="쉼표 [0] 3 2 8 2 3 2" xfId="12154" xr:uid="{00000000-0005-0000-0000-0000CF300000}"/>
    <cellStyle name="쉼표 [0] 3 2 8 2 4" xfId="12155" xr:uid="{00000000-0005-0000-0000-0000D0300000}"/>
    <cellStyle name="쉼표 [0] 3 2 8 2 4 2" xfId="12156" xr:uid="{00000000-0005-0000-0000-0000D1300000}"/>
    <cellStyle name="쉼표 [0] 3 2 8 2 5" xfId="12157" xr:uid="{00000000-0005-0000-0000-0000D2300000}"/>
    <cellStyle name="쉼표 [0] 3 2 8 2 5 2" xfId="12158" xr:uid="{00000000-0005-0000-0000-0000D3300000}"/>
    <cellStyle name="쉼표 [0] 3 2 8 2 6" xfId="12159" xr:uid="{00000000-0005-0000-0000-0000D4300000}"/>
    <cellStyle name="쉼표 [0] 3 2 8 3" xfId="12160" xr:uid="{00000000-0005-0000-0000-0000D5300000}"/>
    <cellStyle name="쉼표 [0] 3 2 8 3 2" xfId="12161" xr:uid="{00000000-0005-0000-0000-0000D6300000}"/>
    <cellStyle name="쉼표 [0] 3 2 8 4" xfId="12162" xr:uid="{00000000-0005-0000-0000-0000D7300000}"/>
    <cellStyle name="쉼표 [0] 3 2 8 4 2" xfId="12163" xr:uid="{00000000-0005-0000-0000-0000D8300000}"/>
    <cellStyle name="쉼표 [0] 3 2 8 5" xfId="12164" xr:uid="{00000000-0005-0000-0000-0000D9300000}"/>
    <cellStyle name="쉼표 [0] 3 2 8 5 2" xfId="12165" xr:uid="{00000000-0005-0000-0000-0000DA300000}"/>
    <cellStyle name="쉼표 [0] 3 2 8 6" xfId="12166" xr:uid="{00000000-0005-0000-0000-0000DB300000}"/>
    <cellStyle name="쉼표 [0] 3 2 9" xfId="12167" xr:uid="{00000000-0005-0000-0000-0000DC300000}"/>
    <cellStyle name="쉼표 [0] 3 2 9 2" xfId="12168" xr:uid="{00000000-0005-0000-0000-0000DD300000}"/>
    <cellStyle name="쉼표 [0] 3 2 9 2 2" xfId="12169" xr:uid="{00000000-0005-0000-0000-0000DE300000}"/>
    <cellStyle name="쉼표 [0] 3 2 9 2 2 2" xfId="12170" xr:uid="{00000000-0005-0000-0000-0000DF300000}"/>
    <cellStyle name="쉼표 [0] 3 2 9 2 3" xfId="12171" xr:uid="{00000000-0005-0000-0000-0000E0300000}"/>
    <cellStyle name="쉼표 [0] 3 2 9 2 3 2" xfId="12172" xr:uid="{00000000-0005-0000-0000-0000E1300000}"/>
    <cellStyle name="쉼표 [0] 3 2 9 2 4" xfId="12173" xr:uid="{00000000-0005-0000-0000-0000E2300000}"/>
    <cellStyle name="쉼표 [0] 3 2 9 2 4 2" xfId="12174" xr:uid="{00000000-0005-0000-0000-0000E3300000}"/>
    <cellStyle name="쉼표 [0] 3 2 9 2 5" xfId="12175" xr:uid="{00000000-0005-0000-0000-0000E4300000}"/>
    <cellStyle name="쉼표 [0] 3 2 9 2 5 2" xfId="12176" xr:uid="{00000000-0005-0000-0000-0000E5300000}"/>
    <cellStyle name="쉼표 [0] 3 2 9 2 6" xfId="12177" xr:uid="{00000000-0005-0000-0000-0000E6300000}"/>
    <cellStyle name="쉼표 [0] 3 2 9 3" xfId="12178" xr:uid="{00000000-0005-0000-0000-0000E7300000}"/>
    <cellStyle name="쉼표 [0] 3 2 9 3 2" xfId="12179" xr:uid="{00000000-0005-0000-0000-0000E8300000}"/>
    <cellStyle name="쉼표 [0] 3 2 9 4" xfId="12180" xr:uid="{00000000-0005-0000-0000-0000E9300000}"/>
    <cellStyle name="쉼표 [0] 3 2 9 4 2" xfId="12181" xr:uid="{00000000-0005-0000-0000-0000EA300000}"/>
    <cellStyle name="쉼표 [0] 3 2 9 5" xfId="12182" xr:uid="{00000000-0005-0000-0000-0000EB300000}"/>
    <cellStyle name="쉼표 [0] 3 2 9 5 2" xfId="12183" xr:uid="{00000000-0005-0000-0000-0000EC300000}"/>
    <cellStyle name="쉼표 [0] 3 2 9 6" xfId="12184" xr:uid="{00000000-0005-0000-0000-0000ED300000}"/>
    <cellStyle name="쉼표 [0] 3 20" xfId="12185" xr:uid="{00000000-0005-0000-0000-0000EE300000}"/>
    <cellStyle name="쉼표 [0] 3 20 2" xfId="12186" xr:uid="{00000000-0005-0000-0000-0000EF300000}"/>
    <cellStyle name="쉼표 [0] 3 21" xfId="12187" xr:uid="{00000000-0005-0000-0000-0000F0300000}"/>
    <cellStyle name="쉼표 [0] 3 21 2" xfId="12188" xr:uid="{00000000-0005-0000-0000-0000F1300000}"/>
    <cellStyle name="쉼표 [0] 3 21 2 2" xfId="12189" xr:uid="{00000000-0005-0000-0000-0000F2300000}"/>
    <cellStyle name="쉼표 [0] 3 21 3" xfId="12190" xr:uid="{00000000-0005-0000-0000-0000F3300000}"/>
    <cellStyle name="쉼표 [0] 3 21 3 2" xfId="12191" xr:uid="{00000000-0005-0000-0000-0000F4300000}"/>
    <cellStyle name="쉼표 [0] 3 21 4" xfId="12192" xr:uid="{00000000-0005-0000-0000-0000F5300000}"/>
    <cellStyle name="쉼표 [0] 3 21 4 2" xfId="12193" xr:uid="{00000000-0005-0000-0000-0000F6300000}"/>
    <cellStyle name="쉼표 [0] 3 21 5" xfId="12194" xr:uid="{00000000-0005-0000-0000-0000F7300000}"/>
    <cellStyle name="쉼표 [0] 3 21 5 2" xfId="12195" xr:uid="{00000000-0005-0000-0000-0000F8300000}"/>
    <cellStyle name="쉼표 [0] 3 21 6" xfId="12196" xr:uid="{00000000-0005-0000-0000-0000F9300000}"/>
    <cellStyle name="쉼표 [0] 3 22" xfId="12197" xr:uid="{00000000-0005-0000-0000-0000FA300000}"/>
    <cellStyle name="쉼표 [0] 3 22 2" xfId="12198" xr:uid="{00000000-0005-0000-0000-0000FB300000}"/>
    <cellStyle name="쉼표 [0] 3 23" xfId="12199" xr:uid="{00000000-0005-0000-0000-0000FC300000}"/>
    <cellStyle name="쉼표 [0] 3 23 2" xfId="12200" xr:uid="{00000000-0005-0000-0000-0000FD300000}"/>
    <cellStyle name="쉼표 [0] 3 24" xfId="12201" xr:uid="{00000000-0005-0000-0000-0000FE300000}"/>
    <cellStyle name="쉼표 [0] 3 24 2" xfId="12202" xr:uid="{00000000-0005-0000-0000-0000FF300000}"/>
    <cellStyle name="쉼표 [0] 3 25" xfId="12203" xr:uid="{00000000-0005-0000-0000-000000310000}"/>
    <cellStyle name="쉼표 [0] 3 25 2" xfId="12204" xr:uid="{00000000-0005-0000-0000-000001310000}"/>
    <cellStyle name="쉼표 [0] 3 26" xfId="12205" xr:uid="{00000000-0005-0000-0000-000002310000}"/>
    <cellStyle name="쉼표 [0] 3 26 2" xfId="12206" xr:uid="{00000000-0005-0000-0000-000003310000}"/>
    <cellStyle name="쉼표 [0] 3 27" xfId="12207" xr:uid="{00000000-0005-0000-0000-000004310000}"/>
    <cellStyle name="쉼표 [0] 3 27 2" xfId="12208" xr:uid="{00000000-0005-0000-0000-000005310000}"/>
    <cellStyle name="쉼표 [0] 3 28" xfId="12209" xr:uid="{00000000-0005-0000-0000-000006310000}"/>
    <cellStyle name="쉼표 [0] 3 28 2" xfId="12210" xr:uid="{00000000-0005-0000-0000-000007310000}"/>
    <cellStyle name="쉼표 [0] 3 29" xfId="12211" xr:uid="{00000000-0005-0000-0000-000008310000}"/>
    <cellStyle name="쉼표 [0] 3 29 2" xfId="12212" xr:uid="{00000000-0005-0000-0000-000009310000}"/>
    <cellStyle name="쉼표 [0] 3 3" xfId="12213" xr:uid="{00000000-0005-0000-0000-00000A310000}"/>
    <cellStyle name="쉼표 [0] 3 3 2" xfId="12214" xr:uid="{00000000-0005-0000-0000-00000B310000}"/>
    <cellStyle name="쉼표 [0] 3 3 2 2" xfId="12215" xr:uid="{00000000-0005-0000-0000-00000C310000}"/>
    <cellStyle name="쉼표 [0] 3 3 2 2 2" xfId="12216" xr:uid="{00000000-0005-0000-0000-00000D310000}"/>
    <cellStyle name="쉼표 [0] 3 3 2 3" xfId="12217" xr:uid="{00000000-0005-0000-0000-00000E310000}"/>
    <cellStyle name="쉼표 [0] 3 3 2 3 2" xfId="12218" xr:uid="{00000000-0005-0000-0000-00000F310000}"/>
    <cellStyle name="쉼표 [0] 3 3 2 4" xfId="12219" xr:uid="{00000000-0005-0000-0000-000010310000}"/>
    <cellStyle name="쉼표 [0] 3 3 2 4 2" xfId="12220" xr:uid="{00000000-0005-0000-0000-000011310000}"/>
    <cellStyle name="쉼표 [0] 3 3 2 5" xfId="12221" xr:uid="{00000000-0005-0000-0000-000012310000}"/>
    <cellStyle name="쉼표 [0] 3 3 2 5 2" xfId="12222" xr:uid="{00000000-0005-0000-0000-000013310000}"/>
    <cellStyle name="쉼표 [0] 3 3 2 6" xfId="12223" xr:uid="{00000000-0005-0000-0000-000014310000}"/>
    <cellStyle name="쉼표 [0] 3 3 3" xfId="12224" xr:uid="{00000000-0005-0000-0000-000015310000}"/>
    <cellStyle name="쉼표 [0] 3 3 3 2" xfId="12225" xr:uid="{00000000-0005-0000-0000-000016310000}"/>
    <cellStyle name="쉼표 [0] 3 3 4" xfId="12226" xr:uid="{00000000-0005-0000-0000-000017310000}"/>
    <cellStyle name="쉼표 [0] 3 3 4 2" xfId="12227" xr:uid="{00000000-0005-0000-0000-000018310000}"/>
    <cellStyle name="쉼표 [0] 3 3 5" xfId="12228" xr:uid="{00000000-0005-0000-0000-000019310000}"/>
    <cellStyle name="쉼표 [0] 3 3 5 2" xfId="12229" xr:uid="{00000000-0005-0000-0000-00001A310000}"/>
    <cellStyle name="쉼표 [0] 3 3 6" xfId="12230" xr:uid="{00000000-0005-0000-0000-00001B310000}"/>
    <cellStyle name="쉼표 [0] 3 3 6 2" xfId="12231" xr:uid="{00000000-0005-0000-0000-00001C310000}"/>
    <cellStyle name="쉼표 [0] 3 3 7" xfId="12232" xr:uid="{00000000-0005-0000-0000-00001D310000}"/>
    <cellStyle name="쉼표 [0] 3 30" xfId="12233" xr:uid="{00000000-0005-0000-0000-00001E310000}"/>
    <cellStyle name="쉼표 [0] 3 30 2" xfId="12234" xr:uid="{00000000-0005-0000-0000-00001F310000}"/>
    <cellStyle name="쉼표 [0] 3 31" xfId="12235" xr:uid="{00000000-0005-0000-0000-000020310000}"/>
    <cellStyle name="쉼표 [0] 3 31 2" xfId="12236" xr:uid="{00000000-0005-0000-0000-000021310000}"/>
    <cellStyle name="쉼표 [0] 3 32" xfId="12237" xr:uid="{00000000-0005-0000-0000-000022310000}"/>
    <cellStyle name="쉼표 [0] 3 32 2" xfId="12238" xr:uid="{00000000-0005-0000-0000-000023310000}"/>
    <cellStyle name="쉼표 [0] 3 33" xfId="12239" xr:uid="{00000000-0005-0000-0000-000024310000}"/>
    <cellStyle name="쉼표 [0] 3 33 2" xfId="12240" xr:uid="{00000000-0005-0000-0000-000025310000}"/>
    <cellStyle name="쉼표 [0] 3 34" xfId="12241" xr:uid="{00000000-0005-0000-0000-000026310000}"/>
    <cellStyle name="쉼표 [0] 3 34 2" xfId="12242" xr:uid="{00000000-0005-0000-0000-000027310000}"/>
    <cellStyle name="쉼표 [0] 3 35" xfId="12243" xr:uid="{00000000-0005-0000-0000-000028310000}"/>
    <cellStyle name="쉼표 [0] 3 35 2" xfId="12244" xr:uid="{00000000-0005-0000-0000-000029310000}"/>
    <cellStyle name="쉼표 [0] 3 36" xfId="12245" xr:uid="{00000000-0005-0000-0000-00002A310000}"/>
    <cellStyle name="쉼표 [0] 3 36 2" xfId="12246" xr:uid="{00000000-0005-0000-0000-00002B310000}"/>
    <cellStyle name="쉼표 [0] 3 37" xfId="12247" xr:uid="{00000000-0005-0000-0000-00002C310000}"/>
    <cellStyle name="쉼표 [0] 3 37 2" xfId="12248" xr:uid="{00000000-0005-0000-0000-00002D310000}"/>
    <cellStyle name="쉼표 [0] 3 38" xfId="12249" xr:uid="{00000000-0005-0000-0000-00002E310000}"/>
    <cellStyle name="쉼표 [0] 3 38 2" xfId="12250" xr:uid="{00000000-0005-0000-0000-00002F310000}"/>
    <cellStyle name="쉼표 [0] 3 39" xfId="12251" xr:uid="{00000000-0005-0000-0000-000030310000}"/>
    <cellStyle name="쉼표 [0] 3 39 2" xfId="12252" xr:uid="{00000000-0005-0000-0000-000031310000}"/>
    <cellStyle name="쉼표 [0] 3 4" xfId="12253" xr:uid="{00000000-0005-0000-0000-000032310000}"/>
    <cellStyle name="쉼표 [0] 3 4 2" xfId="12254" xr:uid="{00000000-0005-0000-0000-000033310000}"/>
    <cellStyle name="쉼표 [0] 3 4 2 2" xfId="12255" xr:uid="{00000000-0005-0000-0000-000034310000}"/>
    <cellStyle name="쉼표 [0] 3 4 3" xfId="12256" xr:uid="{00000000-0005-0000-0000-000035310000}"/>
    <cellStyle name="쉼표 [0] 3 4 3 2" xfId="12257" xr:uid="{00000000-0005-0000-0000-000036310000}"/>
    <cellStyle name="쉼표 [0] 3 4 4" xfId="12258" xr:uid="{00000000-0005-0000-0000-000037310000}"/>
    <cellStyle name="쉼표 [0] 3 4 4 2" xfId="12259" xr:uid="{00000000-0005-0000-0000-000038310000}"/>
    <cellStyle name="쉼표 [0] 3 4 5" xfId="12260" xr:uid="{00000000-0005-0000-0000-000039310000}"/>
    <cellStyle name="쉼표 [0] 3 4 5 2" xfId="12261" xr:uid="{00000000-0005-0000-0000-00003A310000}"/>
    <cellStyle name="쉼표 [0] 3 4 6" xfId="12262" xr:uid="{00000000-0005-0000-0000-00003B310000}"/>
    <cellStyle name="쉼표 [0] 3 40" xfId="12263" xr:uid="{00000000-0005-0000-0000-00003C310000}"/>
    <cellStyle name="쉼표 [0] 3 40 2" xfId="12264" xr:uid="{00000000-0005-0000-0000-00003D310000}"/>
    <cellStyle name="쉼표 [0] 3 41" xfId="12265" xr:uid="{00000000-0005-0000-0000-00003E310000}"/>
    <cellStyle name="쉼표 [0] 3 41 2" xfId="12266" xr:uid="{00000000-0005-0000-0000-00003F310000}"/>
    <cellStyle name="쉼표 [0] 3 42" xfId="12267" xr:uid="{00000000-0005-0000-0000-000040310000}"/>
    <cellStyle name="쉼표 [0] 3 42 2" xfId="12268" xr:uid="{00000000-0005-0000-0000-000041310000}"/>
    <cellStyle name="쉼표 [0] 3 43" xfId="12269" xr:uid="{00000000-0005-0000-0000-000042310000}"/>
    <cellStyle name="쉼표 [0] 3 43 2" xfId="12270" xr:uid="{00000000-0005-0000-0000-000043310000}"/>
    <cellStyle name="쉼표 [0] 3 44" xfId="12271" xr:uid="{00000000-0005-0000-0000-000044310000}"/>
    <cellStyle name="쉼표 [0] 3 44 2" xfId="12272" xr:uid="{00000000-0005-0000-0000-000045310000}"/>
    <cellStyle name="쉼표 [0] 3 45" xfId="12273" xr:uid="{00000000-0005-0000-0000-000046310000}"/>
    <cellStyle name="쉼표 [0] 3 45 2" xfId="12274" xr:uid="{00000000-0005-0000-0000-000047310000}"/>
    <cellStyle name="쉼표 [0] 3 46" xfId="12275" xr:uid="{00000000-0005-0000-0000-000048310000}"/>
    <cellStyle name="쉼표 [0] 3 46 2" xfId="12276" xr:uid="{00000000-0005-0000-0000-000049310000}"/>
    <cellStyle name="쉼표 [0] 3 47" xfId="12277" xr:uid="{00000000-0005-0000-0000-00004A310000}"/>
    <cellStyle name="쉼표 [0] 3 47 2" xfId="12278" xr:uid="{00000000-0005-0000-0000-00004B310000}"/>
    <cellStyle name="쉼표 [0] 3 48" xfId="12279" xr:uid="{00000000-0005-0000-0000-00004C310000}"/>
    <cellStyle name="쉼표 [0] 3 48 2" xfId="12280" xr:uid="{00000000-0005-0000-0000-00004D310000}"/>
    <cellStyle name="쉼표 [0] 3 49" xfId="12281" xr:uid="{00000000-0005-0000-0000-00004E310000}"/>
    <cellStyle name="쉼표 [0] 3 49 2" xfId="12282" xr:uid="{00000000-0005-0000-0000-00004F310000}"/>
    <cellStyle name="쉼표 [0] 3 5" xfId="12283" xr:uid="{00000000-0005-0000-0000-000050310000}"/>
    <cellStyle name="쉼표 [0] 3 5 2" xfId="12284" xr:uid="{00000000-0005-0000-0000-000051310000}"/>
    <cellStyle name="쉼표 [0] 3 5 2 2" xfId="12285" xr:uid="{00000000-0005-0000-0000-000052310000}"/>
    <cellStyle name="쉼표 [0] 3 5 3" xfId="12286" xr:uid="{00000000-0005-0000-0000-000053310000}"/>
    <cellStyle name="쉼표 [0] 3 50" xfId="12287" xr:uid="{00000000-0005-0000-0000-000054310000}"/>
    <cellStyle name="쉼표 [0] 3 50 2" xfId="12288" xr:uid="{00000000-0005-0000-0000-000055310000}"/>
    <cellStyle name="쉼표 [0] 3 51" xfId="12289" xr:uid="{00000000-0005-0000-0000-000056310000}"/>
    <cellStyle name="쉼표 [0] 3 51 2" xfId="12290" xr:uid="{00000000-0005-0000-0000-000057310000}"/>
    <cellStyle name="쉼표 [0] 3 52" xfId="12291" xr:uid="{00000000-0005-0000-0000-000058310000}"/>
    <cellStyle name="쉼표 [0] 3 52 2" xfId="12292" xr:uid="{00000000-0005-0000-0000-000059310000}"/>
    <cellStyle name="쉼표 [0] 3 53" xfId="12293" xr:uid="{00000000-0005-0000-0000-00005A310000}"/>
    <cellStyle name="쉼표 [0] 3 53 2" xfId="12294" xr:uid="{00000000-0005-0000-0000-00005B310000}"/>
    <cellStyle name="쉼표 [0] 3 54" xfId="12295" xr:uid="{00000000-0005-0000-0000-00005C310000}"/>
    <cellStyle name="쉼표 [0] 3 54 2" xfId="12296" xr:uid="{00000000-0005-0000-0000-00005D310000}"/>
    <cellStyle name="쉼표 [0] 3 55" xfId="12297" xr:uid="{00000000-0005-0000-0000-00005E310000}"/>
    <cellStyle name="쉼표 [0] 3 56" xfId="18447" xr:uid="{00000000-0005-0000-0000-00005F310000}"/>
    <cellStyle name="쉼표 [0] 3 6" xfId="12298" xr:uid="{00000000-0005-0000-0000-000060310000}"/>
    <cellStyle name="쉼표 [0] 3 6 2" xfId="12299" xr:uid="{00000000-0005-0000-0000-000061310000}"/>
    <cellStyle name="쉼표 [0] 3 6 2 2" xfId="12300" xr:uid="{00000000-0005-0000-0000-000062310000}"/>
    <cellStyle name="쉼표 [0] 3 6 3" xfId="12301" xr:uid="{00000000-0005-0000-0000-000063310000}"/>
    <cellStyle name="쉼표 [0] 3 7" xfId="12302" xr:uid="{00000000-0005-0000-0000-000064310000}"/>
    <cellStyle name="쉼표 [0] 3 7 2" xfId="12303" xr:uid="{00000000-0005-0000-0000-000065310000}"/>
    <cellStyle name="쉼표 [0] 3 7 2 2" xfId="12304" xr:uid="{00000000-0005-0000-0000-000066310000}"/>
    <cellStyle name="쉼표 [0] 3 7 3" xfId="12305" xr:uid="{00000000-0005-0000-0000-000067310000}"/>
    <cellStyle name="쉼표 [0] 3 8" xfId="12306" xr:uid="{00000000-0005-0000-0000-000068310000}"/>
    <cellStyle name="쉼표 [0] 3 8 2" xfId="12307" xr:uid="{00000000-0005-0000-0000-000069310000}"/>
    <cellStyle name="쉼표 [0] 3 9" xfId="12308" xr:uid="{00000000-0005-0000-0000-00006A310000}"/>
    <cellStyle name="쉼표 [0] 3 9 2" xfId="12309" xr:uid="{00000000-0005-0000-0000-00006B310000}"/>
    <cellStyle name="쉼표 [0] 36 2" xfId="12310" xr:uid="{00000000-0005-0000-0000-00006C310000}"/>
    <cellStyle name="쉼표 [0] 36 2 2" xfId="12311" xr:uid="{00000000-0005-0000-0000-00006D310000}"/>
    <cellStyle name="쉼표 [0] 4" xfId="12312" xr:uid="{00000000-0005-0000-0000-00006E310000}"/>
    <cellStyle name="쉼표 [0] 4 10" xfId="12313" xr:uid="{00000000-0005-0000-0000-00006F310000}"/>
    <cellStyle name="쉼표 [0] 4 10 2" xfId="12314" xr:uid="{00000000-0005-0000-0000-000070310000}"/>
    <cellStyle name="쉼표 [0] 4 11" xfId="12315" xr:uid="{00000000-0005-0000-0000-000071310000}"/>
    <cellStyle name="쉼표 [0] 4 11 2" xfId="12316" xr:uid="{00000000-0005-0000-0000-000072310000}"/>
    <cellStyle name="쉼표 [0] 4 12" xfId="12317" xr:uid="{00000000-0005-0000-0000-000073310000}"/>
    <cellStyle name="쉼표 [0] 4 12 2" xfId="12318" xr:uid="{00000000-0005-0000-0000-000074310000}"/>
    <cellStyle name="쉼표 [0] 4 13" xfId="12319" xr:uid="{00000000-0005-0000-0000-000075310000}"/>
    <cellStyle name="쉼표 [0] 4 13 2" xfId="12320" xr:uid="{00000000-0005-0000-0000-000076310000}"/>
    <cellStyle name="쉼표 [0] 4 14" xfId="12321" xr:uid="{00000000-0005-0000-0000-000077310000}"/>
    <cellStyle name="쉼표 [0] 4 14 2" xfId="12322" xr:uid="{00000000-0005-0000-0000-000078310000}"/>
    <cellStyle name="쉼표 [0] 4 15" xfId="12323" xr:uid="{00000000-0005-0000-0000-000079310000}"/>
    <cellStyle name="쉼표 [0] 4 15 2" xfId="12324" xr:uid="{00000000-0005-0000-0000-00007A310000}"/>
    <cellStyle name="쉼표 [0] 4 16" xfId="12325" xr:uid="{00000000-0005-0000-0000-00007B310000}"/>
    <cellStyle name="쉼표 [0] 4 16 2" xfId="12326" xr:uid="{00000000-0005-0000-0000-00007C310000}"/>
    <cellStyle name="쉼표 [0] 4 17" xfId="12327" xr:uid="{00000000-0005-0000-0000-00007D310000}"/>
    <cellStyle name="쉼표 [0] 4 17 2" xfId="12328" xr:uid="{00000000-0005-0000-0000-00007E310000}"/>
    <cellStyle name="쉼표 [0] 4 18" xfId="12329" xr:uid="{00000000-0005-0000-0000-00007F310000}"/>
    <cellStyle name="쉼표 [0] 4 18 2" xfId="12330" xr:uid="{00000000-0005-0000-0000-000080310000}"/>
    <cellStyle name="쉼표 [0] 4 19" xfId="12331" xr:uid="{00000000-0005-0000-0000-000081310000}"/>
    <cellStyle name="쉼표 [0] 4 19 2" xfId="12332" xr:uid="{00000000-0005-0000-0000-000082310000}"/>
    <cellStyle name="쉼표 [0] 4 2" xfId="12333" xr:uid="{00000000-0005-0000-0000-000083310000}"/>
    <cellStyle name="쉼표 [0] 4 2 2" xfId="12334" xr:uid="{00000000-0005-0000-0000-000084310000}"/>
    <cellStyle name="쉼표 [0] 4 2 2 2" xfId="12335" xr:uid="{00000000-0005-0000-0000-000085310000}"/>
    <cellStyle name="쉼표 [0] 4 2 3" xfId="12336" xr:uid="{00000000-0005-0000-0000-000086310000}"/>
    <cellStyle name="쉼표 [0] 4 20" xfId="12337" xr:uid="{00000000-0005-0000-0000-000087310000}"/>
    <cellStyle name="쉼표 [0] 4 20 2" xfId="12338" xr:uid="{00000000-0005-0000-0000-000088310000}"/>
    <cellStyle name="쉼표 [0] 4 21" xfId="12339" xr:uid="{00000000-0005-0000-0000-000089310000}"/>
    <cellStyle name="쉼표 [0] 4 21 2" xfId="12340" xr:uid="{00000000-0005-0000-0000-00008A310000}"/>
    <cellStyle name="쉼표 [0] 4 22" xfId="12341" xr:uid="{00000000-0005-0000-0000-00008B310000}"/>
    <cellStyle name="쉼표 [0] 4 22 2" xfId="12342" xr:uid="{00000000-0005-0000-0000-00008C310000}"/>
    <cellStyle name="쉼표 [0] 4 23" xfId="12343" xr:uid="{00000000-0005-0000-0000-00008D310000}"/>
    <cellStyle name="쉼표 [0] 4 23 2" xfId="12344" xr:uid="{00000000-0005-0000-0000-00008E310000}"/>
    <cellStyle name="쉼표 [0] 4 24" xfId="12345" xr:uid="{00000000-0005-0000-0000-00008F310000}"/>
    <cellStyle name="쉼표 [0] 4 24 2" xfId="12346" xr:uid="{00000000-0005-0000-0000-000090310000}"/>
    <cellStyle name="쉼표 [0] 4 25" xfId="12347" xr:uid="{00000000-0005-0000-0000-000091310000}"/>
    <cellStyle name="쉼표 [0] 4 25 2" xfId="12348" xr:uid="{00000000-0005-0000-0000-000092310000}"/>
    <cellStyle name="쉼표 [0] 4 26" xfId="12349" xr:uid="{00000000-0005-0000-0000-000093310000}"/>
    <cellStyle name="쉼표 [0] 4 26 2" xfId="12350" xr:uid="{00000000-0005-0000-0000-000094310000}"/>
    <cellStyle name="쉼표 [0] 4 27" xfId="12351" xr:uid="{00000000-0005-0000-0000-000095310000}"/>
    <cellStyle name="쉼표 [0] 4 27 2" xfId="12352" xr:uid="{00000000-0005-0000-0000-000096310000}"/>
    <cellStyle name="쉼표 [0] 4 28" xfId="12353" xr:uid="{00000000-0005-0000-0000-000097310000}"/>
    <cellStyle name="쉼표 [0] 4 28 2" xfId="12354" xr:uid="{00000000-0005-0000-0000-000098310000}"/>
    <cellStyle name="쉼표 [0] 4 29" xfId="12355" xr:uid="{00000000-0005-0000-0000-000099310000}"/>
    <cellStyle name="쉼표 [0] 4 29 2" xfId="12356" xr:uid="{00000000-0005-0000-0000-00009A310000}"/>
    <cellStyle name="쉼표 [0] 4 3" xfId="12357" xr:uid="{00000000-0005-0000-0000-00009B310000}"/>
    <cellStyle name="쉼표 [0] 4 3 2" xfId="12358" xr:uid="{00000000-0005-0000-0000-00009C310000}"/>
    <cellStyle name="쉼표 [0] 4 30" xfId="12359" xr:uid="{00000000-0005-0000-0000-00009D310000}"/>
    <cellStyle name="쉼표 [0] 4 31" xfId="12360" xr:uid="{00000000-0005-0000-0000-00009E310000}"/>
    <cellStyle name="쉼표 [0] 4 4" xfId="12361" xr:uid="{00000000-0005-0000-0000-00009F310000}"/>
    <cellStyle name="쉼표 [0] 4 4 2" xfId="12362" xr:uid="{00000000-0005-0000-0000-0000A0310000}"/>
    <cellStyle name="쉼표 [0] 4 5" xfId="12363" xr:uid="{00000000-0005-0000-0000-0000A1310000}"/>
    <cellStyle name="쉼표 [0] 4 5 2" xfId="12364" xr:uid="{00000000-0005-0000-0000-0000A2310000}"/>
    <cellStyle name="쉼표 [0] 4 6" xfId="12365" xr:uid="{00000000-0005-0000-0000-0000A3310000}"/>
    <cellStyle name="쉼표 [0] 4 6 2" xfId="12366" xr:uid="{00000000-0005-0000-0000-0000A4310000}"/>
    <cellStyle name="쉼표 [0] 4 7" xfId="12367" xr:uid="{00000000-0005-0000-0000-0000A5310000}"/>
    <cellStyle name="쉼표 [0] 4 7 2" xfId="12368" xr:uid="{00000000-0005-0000-0000-0000A6310000}"/>
    <cellStyle name="쉼표 [0] 4 8" xfId="12369" xr:uid="{00000000-0005-0000-0000-0000A7310000}"/>
    <cellStyle name="쉼표 [0] 4 8 2" xfId="12370" xr:uid="{00000000-0005-0000-0000-0000A8310000}"/>
    <cellStyle name="쉼표 [0] 4 9" xfId="12371" xr:uid="{00000000-0005-0000-0000-0000A9310000}"/>
    <cellStyle name="쉼표 [0] 4 9 2" xfId="12372" xr:uid="{00000000-0005-0000-0000-0000AA310000}"/>
    <cellStyle name="쉼표 [0] 48" xfId="12373" xr:uid="{00000000-0005-0000-0000-0000AB310000}"/>
    <cellStyle name="쉼표 [0] 48 2" xfId="12374" xr:uid="{00000000-0005-0000-0000-0000AC310000}"/>
    <cellStyle name="쉼표 [0] 49" xfId="12375" xr:uid="{00000000-0005-0000-0000-0000AD310000}"/>
    <cellStyle name="쉼표 [0] 49 2" xfId="12376" xr:uid="{00000000-0005-0000-0000-0000AE310000}"/>
    <cellStyle name="쉼표 [0] 5" xfId="12377" xr:uid="{00000000-0005-0000-0000-0000AF310000}"/>
    <cellStyle name="쉼표 [0] 5 10" xfId="12378" xr:uid="{00000000-0005-0000-0000-0000B0310000}"/>
    <cellStyle name="쉼표 [0] 5 10 2" xfId="12379" xr:uid="{00000000-0005-0000-0000-0000B1310000}"/>
    <cellStyle name="쉼표 [0] 5 11" xfId="12380" xr:uid="{00000000-0005-0000-0000-0000B2310000}"/>
    <cellStyle name="쉼표 [0] 5 11 2" xfId="12381" xr:uid="{00000000-0005-0000-0000-0000B3310000}"/>
    <cellStyle name="쉼표 [0] 5 12" xfId="12382" xr:uid="{00000000-0005-0000-0000-0000B4310000}"/>
    <cellStyle name="쉼표 [0] 5 12 2" xfId="12383" xr:uid="{00000000-0005-0000-0000-0000B5310000}"/>
    <cellStyle name="쉼표 [0] 5 13" xfId="12384" xr:uid="{00000000-0005-0000-0000-0000B6310000}"/>
    <cellStyle name="쉼표 [0] 5 13 2" xfId="12385" xr:uid="{00000000-0005-0000-0000-0000B7310000}"/>
    <cellStyle name="쉼표 [0] 5 14" xfId="12386" xr:uid="{00000000-0005-0000-0000-0000B8310000}"/>
    <cellStyle name="쉼표 [0] 5 14 2" xfId="12387" xr:uid="{00000000-0005-0000-0000-0000B9310000}"/>
    <cellStyle name="쉼표 [0] 5 15" xfId="12388" xr:uid="{00000000-0005-0000-0000-0000BA310000}"/>
    <cellStyle name="쉼표 [0] 5 15 2" xfId="12389" xr:uid="{00000000-0005-0000-0000-0000BB310000}"/>
    <cellStyle name="쉼표 [0] 5 16" xfId="12390" xr:uid="{00000000-0005-0000-0000-0000BC310000}"/>
    <cellStyle name="쉼표 [0] 5 16 2" xfId="12391" xr:uid="{00000000-0005-0000-0000-0000BD310000}"/>
    <cellStyle name="쉼표 [0] 5 17" xfId="12392" xr:uid="{00000000-0005-0000-0000-0000BE310000}"/>
    <cellStyle name="쉼표 [0] 5 17 2" xfId="12393" xr:uid="{00000000-0005-0000-0000-0000BF310000}"/>
    <cellStyle name="쉼표 [0] 5 18" xfId="12394" xr:uid="{00000000-0005-0000-0000-0000C0310000}"/>
    <cellStyle name="쉼표 [0] 5 18 2" xfId="12395" xr:uid="{00000000-0005-0000-0000-0000C1310000}"/>
    <cellStyle name="쉼표 [0] 5 19" xfId="12396" xr:uid="{00000000-0005-0000-0000-0000C2310000}"/>
    <cellStyle name="쉼표 [0] 5 19 2" xfId="12397" xr:uid="{00000000-0005-0000-0000-0000C3310000}"/>
    <cellStyle name="쉼표 [0] 5 2" xfId="12398" xr:uid="{00000000-0005-0000-0000-0000C4310000}"/>
    <cellStyle name="쉼표 [0] 5 2 2" xfId="12399" xr:uid="{00000000-0005-0000-0000-0000C5310000}"/>
    <cellStyle name="쉼표 [0] 5 2 2 2" xfId="12400" xr:uid="{00000000-0005-0000-0000-0000C6310000}"/>
    <cellStyle name="쉼표 [0] 5 2 3" xfId="12401" xr:uid="{00000000-0005-0000-0000-0000C7310000}"/>
    <cellStyle name="쉼표 [0] 5 20" xfId="12402" xr:uid="{00000000-0005-0000-0000-0000C8310000}"/>
    <cellStyle name="쉼표 [0] 5 20 2" xfId="12403" xr:uid="{00000000-0005-0000-0000-0000C9310000}"/>
    <cellStyle name="쉼표 [0] 5 21" xfId="12404" xr:uid="{00000000-0005-0000-0000-0000CA310000}"/>
    <cellStyle name="쉼표 [0] 5 21 2" xfId="12405" xr:uid="{00000000-0005-0000-0000-0000CB310000}"/>
    <cellStyle name="쉼표 [0] 5 22" xfId="12406" xr:uid="{00000000-0005-0000-0000-0000CC310000}"/>
    <cellStyle name="쉼표 [0] 5 22 2" xfId="12407" xr:uid="{00000000-0005-0000-0000-0000CD310000}"/>
    <cellStyle name="쉼표 [0] 5 23" xfId="12408" xr:uid="{00000000-0005-0000-0000-0000CE310000}"/>
    <cellStyle name="쉼표 [0] 5 23 2" xfId="12409" xr:uid="{00000000-0005-0000-0000-0000CF310000}"/>
    <cellStyle name="쉼표 [0] 5 24" xfId="12410" xr:uid="{00000000-0005-0000-0000-0000D0310000}"/>
    <cellStyle name="쉼표 [0] 5 24 2" xfId="12411" xr:uid="{00000000-0005-0000-0000-0000D1310000}"/>
    <cellStyle name="쉼표 [0] 5 25" xfId="12412" xr:uid="{00000000-0005-0000-0000-0000D2310000}"/>
    <cellStyle name="쉼표 [0] 5 25 2" xfId="12413" xr:uid="{00000000-0005-0000-0000-0000D3310000}"/>
    <cellStyle name="쉼표 [0] 5 26" xfId="12414" xr:uid="{00000000-0005-0000-0000-0000D4310000}"/>
    <cellStyle name="쉼표 [0] 5 26 2" xfId="12415" xr:uid="{00000000-0005-0000-0000-0000D5310000}"/>
    <cellStyle name="쉼표 [0] 5 27" xfId="12416" xr:uid="{00000000-0005-0000-0000-0000D6310000}"/>
    <cellStyle name="쉼표 [0] 5 27 2" xfId="12417" xr:uid="{00000000-0005-0000-0000-0000D7310000}"/>
    <cellStyle name="쉼표 [0] 5 28" xfId="12418" xr:uid="{00000000-0005-0000-0000-0000D8310000}"/>
    <cellStyle name="쉼표 [0] 5 28 2" xfId="12419" xr:uid="{00000000-0005-0000-0000-0000D9310000}"/>
    <cellStyle name="쉼표 [0] 5 29" xfId="12420" xr:uid="{00000000-0005-0000-0000-0000DA310000}"/>
    <cellStyle name="쉼표 [0] 5 29 2" xfId="12421" xr:uid="{00000000-0005-0000-0000-0000DB310000}"/>
    <cellStyle name="쉼표 [0] 5 3" xfId="12422" xr:uid="{00000000-0005-0000-0000-0000DC310000}"/>
    <cellStyle name="쉼표 [0] 5 3 2" xfId="12423" xr:uid="{00000000-0005-0000-0000-0000DD310000}"/>
    <cellStyle name="쉼표 [0] 5 30" xfId="12424" xr:uid="{00000000-0005-0000-0000-0000DE310000}"/>
    <cellStyle name="쉼표 [0] 5 30 2" xfId="12425" xr:uid="{00000000-0005-0000-0000-0000DF310000}"/>
    <cellStyle name="쉼표 [0] 5 31" xfId="12426" xr:uid="{00000000-0005-0000-0000-0000E0310000}"/>
    <cellStyle name="쉼표 [0] 5 31 2" xfId="12427" xr:uid="{00000000-0005-0000-0000-0000E1310000}"/>
    <cellStyle name="쉼표 [0] 5 32" xfId="12428" xr:uid="{00000000-0005-0000-0000-0000E2310000}"/>
    <cellStyle name="쉼표 [0] 5 4" xfId="12429" xr:uid="{00000000-0005-0000-0000-0000E3310000}"/>
    <cellStyle name="쉼표 [0] 5 4 2" xfId="12430" xr:uid="{00000000-0005-0000-0000-0000E4310000}"/>
    <cellStyle name="쉼표 [0] 5 5" xfId="12431" xr:uid="{00000000-0005-0000-0000-0000E5310000}"/>
    <cellStyle name="쉼표 [0] 5 5 2" xfId="12432" xr:uid="{00000000-0005-0000-0000-0000E6310000}"/>
    <cellStyle name="쉼표 [0] 5 6" xfId="12433" xr:uid="{00000000-0005-0000-0000-0000E7310000}"/>
    <cellStyle name="쉼표 [0] 5 6 2" xfId="12434" xr:uid="{00000000-0005-0000-0000-0000E8310000}"/>
    <cellStyle name="쉼표 [0] 5 7" xfId="12435" xr:uid="{00000000-0005-0000-0000-0000E9310000}"/>
    <cellStyle name="쉼표 [0] 5 7 2" xfId="12436" xr:uid="{00000000-0005-0000-0000-0000EA310000}"/>
    <cellStyle name="쉼표 [0] 5 8" xfId="12437" xr:uid="{00000000-0005-0000-0000-0000EB310000}"/>
    <cellStyle name="쉼표 [0] 5 8 2" xfId="12438" xr:uid="{00000000-0005-0000-0000-0000EC310000}"/>
    <cellStyle name="쉼표 [0] 5 9" xfId="12439" xr:uid="{00000000-0005-0000-0000-0000ED310000}"/>
    <cellStyle name="쉼표 [0] 5 9 2" xfId="12440" xr:uid="{00000000-0005-0000-0000-0000EE310000}"/>
    <cellStyle name="쉼표 [0] 50" xfId="12441" xr:uid="{00000000-0005-0000-0000-0000EF310000}"/>
    <cellStyle name="쉼표 [0] 50 2" xfId="12442" xr:uid="{00000000-0005-0000-0000-0000F0310000}"/>
    <cellStyle name="쉼표 [0] 51" xfId="12443" xr:uid="{00000000-0005-0000-0000-0000F1310000}"/>
    <cellStyle name="쉼표 [0] 51 2" xfId="12444" xr:uid="{00000000-0005-0000-0000-0000F2310000}"/>
    <cellStyle name="쉼표 [0] 52" xfId="12445" xr:uid="{00000000-0005-0000-0000-0000F3310000}"/>
    <cellStyle name="쉼표 [0] 52 2" xfId="12446" xr:uid="{00000000-0005-0000-0000-0000F4310000}"/>
    <cellStyle name="쉼표 [0] 53" xfId="12447" xr:uid="{00000000-0005-0000-0000-0000F5310000}"/>
    <cellStyle name="쉼표 [0] 53 2" xfId="12448" xr:uid="{00000000-0005-0000-0000-0000F6310000}"/>
    <cellStyle name="쉼표 [0] 54" xfId="12449" xr:uid="{00000000-0005-0000-0000-0000F7310000}"/>
    <cellStyle name="쉼표 [0] 54 2" xfId="12450" xr:uid="{00000000-0005-0000-0000-0000F8310000}"/>
    <cellStyle name="쉼표 [0] 55" xfId="12451" xr:uid="{00000000-0005-0000-0000-0000F9310000}"/>
    <cellStyle name="쉼표 [0] 55 2" xfId="12452" xr:uid="{00000000-0005-0000-0000-0000FA310000}"/>
    <cellStyle name="쉼표 [0] 56" xfId="12453" xr:uid="{00000000-0005-0000-0000-0000FB310000}"/>
    <cellStyle name="쉼표 [0] 56 2" xfId="12454" xr:uid="{00000000-0005-0000-0000-0000FC310000}"/>
    <cellStyle name="쉼표 [0] 57" xfId="12455" xr:uid="{00000000-0005-0000-0000-0000FD310000}"/>
    <cellStyle name="쉼표 [0] 57 2" xfId="12456" xr:uid="{00000000-0005-0000-0000-0000FE310000}"/>
    <cellStyle name="쉼표 [0] 59" xfId="12457" xr:uid="{00000000-0005-0000-0000-0000FF310000}"/>
    <cellStyle name="쉼표 [0] 59 2" xfId="12458" xr:uid="{00000000-0005-0000-0000-000000320000}"/>
    <cellStyle name="쉼표 [0] 6" xfId="12459" xr:uid="{00000000-0005-0000-0000-000001320000}"/>
    <cellStyle name="쉼표 [0] 6 2" xfId="12460" xr:uid="{00000000-0005-0000-0000-000002320000}"/>
    <cellStyle name="쉼표 [0] 6 2 2" xfId="12461" xr:uid="{00000000-0005-0000-0000-000003320000}"/>
    <cellStyle name="쉼표 [0] 6 2 2 2" xfId="12462" xr:uid="{00000000-0005-0000-0000-000004320000}"/>
    <cellStyle name="쉼표 [0] 6 2 3" xfId="12463" xr:uid="{00000000-0005-0000-0000-000005320000}"/>
    <cellStyle name="쉼표 [0] 6 2 3 2" xfId="12464" xr:uid="{00000000-0005-0000-0000-000006320000}"/>
    <cellStyle name="쉼표 [0] 6 2 4" xfId="12465" xr:uid="{00000000-0005-0000-0000-000007320000}"/>
    <cellStyle name="쉼표 [0] 6 3" xfId="12466" xr:uid="{00000000-0005-0000-0000-000008320000}"/>
    <cellStyle name="쉼표 [0] 6 3 2" xfId="12467" xr:uid="{00000000-0005-0000-0000-000009320000}"/>
    <cellStyle name="쉼표 [0] 6 4" xfId="12468" xr:uid="{00000000-0005-0000-0000-00000A320000}"/>
    <cellStyle name="쉼표 [0] 6 4 2" xfId="12469" xr:uid="{00000000-0005-0000-0000-00000B320000}"/>
    <cellStyle name="쉼표 [0] 6 5" xfId="12470" xr:uid="{00000000-0005-0000-0000-00000C320000}"/>
    <cellStyle name="쉼표 [0] 6 5 2" xfId="12471" xr:uid="{00000000-0005-0000-0000-00000D320000}"/>
    <cellStyle name="쉼표 [0] 6 6" xfId="12472" xr:uid="{00000000-0005-0000-0000-00000E320000}"/>
    <cellStyle name="쉼표 [0] 6 6 2" xfId="12473" xr:uid="{00000000-0005-0000-0000-00000F320000}"/>
    <cellStyle name="쉼표 [0] 6 7" xfId="12474" xr:uid="{00000000-0005-0000-0000-000010320000}"/>
    <cellStyle name="쉼표 [0] 60" xfId="12475" xr:uid="{00000000-0005-0000-0000-000011320000}"/>
    <cellStyle name="쉼표 [0] 60 2" xfId="12476" xr:uid="{00000000-0005-0000-0000-000012320000}"/>
    <cellStyle name="쉼표 [0] 61" xfId="12477" xr:uid="{00000000-0005-0000-0000-000013320000}"/>
    <cellStyle name="쉼표 [0] 61 2" xfId="12478" xr:uid="{00000000-0005-0000-0000-000014320000}"/>
    <cellStyle name="쉼표 [0] 62" xfId="12479" xr:uid="{00000000-0005-0000-0000-000015320000}"/>
    <cellStyle name="쉼표 [0] 62 2" xfId="12480" xr:uid="{00000000-0005-0000-0000-000016320000}"/>
    <cellStyle name="쉼표 [0] 63" xfId="12481" xr:uid="{00000000-0005-0000-0000-000017320000}"/>
    <cellStyle name="쉼표 [0] 63 2" xfId="12482" xr:uid="{00000000-0005-0000-0000-000018320000}"/>
    <cellStyle name="쉼표 [0] 64" xfId="12483" xr:uid="{00000000-0005-0000-0000-000019320000}"/>
    <cellStyle name="쉼표 [0] 64 2" xfId="12484" xr:uid="{00000000-0005-0000-0000-00001A320000}"/>
    <cellStyle name="쉼표 [0] 68" xfId="12485" xr:uid="{00000000-0005-0000-0000-00001B320000}"/>
    <cellStyle name="쉼표 [0] 68 2" xfId="12486" xr:uid="{00000000-0005-0000-0000-00001C320000}"/>
    <cellStyle name="쉼표 [0] 69" xfId="12487" xr:uid="{00000000-0005-0000-0000-00001D320000}"/>
    <cellStyle name="쉼표 [0] 69 2" xfId="12488" xr:uid="{00000000-0005-0000-0000-00001E320000}"/>
    <cellStyle name="쉼표 [0] 7" xfId="12489" xr:uid="{00000000-0005-0000-0000-00001F320000}"/>
    <cellStyle name="쉼표 [0] 7 10" xfId="12490" xr:uid="{00000000-0005-0000-0000-000020320000}"/>
    <cellStyle name="쉼표 [0] 7 10 2" xfId="12491" xr:uid="{00000000-0005-0000-0000-000021320000}"/>
    <cellStyle name="쉼표 [0] 7 11" xfId="12492" xr:uid="{00000000-0005-0000-0000-000022320000}"/>
    <cellStyle name="쉼표 [0] 7 11 2" xfId="12493" xr:uid="{00000000-0005-0000-0000-000023320000}"/>
    <cellStyle name="쉼표 [0] 7 12" xfId="12494" xr:uid="{00000000-0005-0000-0000-000024320000}"/>
    <cellStyle name="쉼표 [0] 7 12 2" xfId="12495" xr:uid="{00000000-0005-0000-0000-000025320000}"/>
    <cellStyle name="쉼표 [0] 7 13" xfId="12496" xr:uid="{00000000-0005-0000-0000-000026320000}"/>
    <cellStyle name="쉼표 [0] 7 13 2" xfId="12497" xr:uid="{00000000-0005-0000-0000-000027320000}"/>
    <cellStyle name="쉼표 [0] 7 14" xfId="12498" xr:uid="{00000000-0005-0000-0000-000028320000}"/>
    <cellStyle name="쉼표 [0] 7 14 2" xfId="12499" xr:uid="{00000000-0005-0000-0000-000029320000}"/>
    <cellStyle name="쉼표 [0] 7 15" xfId="12500" xr:uid="{00000000-0005-0000-0000-00002A320000}"/>
    <cellStyle name="쉼표 [0] 7 15 2" xfId="12501" xr:uid="{00000000-0005-0000-0000-00002B320000}"/>
    <cellStyle name="쉼표 [0] 7 16" xfId="12502" xr:uid="{00000000-0005-0000-0000-00002C320000}"/>
    <cellStyle name="쉼표 [0] 7 16 2" xfId="12503" xr:uid="{00000000-0005-0000-0000-00002D320000}"/>
    <cellStyle name="쉼표 [0] 7 17" xfId="12504" xr:uid="{00000000-0005-0000-0000-00002E320000}"/>
    <cellStyle name="쉼표 [0] 7 17 2" xfId="12505" xr:uid="{00000000-0005-0000-0000-00002F320000}"/>
    <cellStyle name="쉼표 [0] 7 18" xfId="12506" xr:uid="{00000000-0005-0000-0000-000030320000}"/>
    <cellStyle name="쉼표 [0] 7 18 2" xfId="12507" xr:uid="{00000000-0005-0000-0000-000031320000}"/>
    <cellStyle name="쉼표 [0] 7 19" xfId="12508" xr:uid="{00000000-0005-0000-0000-000032320000}"/>
    <cellStyle name="쉼표 [0] 7 19 2" xfId="12509" xr:uid="{00000000-0005-0000-0000-000033320000}"/>
    <cellStyle name="쉼표 [0] 7 2" xfId="12510" xr:uid="{00000000-0005-0000-0000-000034320000}"/>
    <cellStyle name="쉼표 [0] 7 2 2" xfId="12511" xr:uid="{00000000-0005-0000-0000-000035320000}"/>
    <cellStyle name="쉼표 [0] 7 2 2 2" xfId="12512" xr:uid="{00000000-0005-0000-0000-000036320000}"/>
    <cellStyle name="쉼표 [0] 7 2 3" xfId="12513" xr:uid="{00000000-0005-0000-0000-000037320000}"/>
    <cellStyle name="쉼표 [0] 7 2 3 2" xfId="12514" xr:uid="{00000000-0005-0000-0000-000038320000}"/>
    <cellStyle name="쉼표 [0] 7 2 4" xfId="12515" xr:uid="{00000000-0005-0000-0000-000039320000}"/>
    <cellStyle name="쉼표 [0] 7 2 4 2" xfId="12516" xr:uid="{00000000-0005-0000-0000-00003A320000}"/>
    <cellStyle name="쉼표 [0] 7 2 5" xfId="12517" xr:uid="{00000000-0005-0000-0000-00003B320000}"/>
    <cellStyle name="쉼표 [0] 7 2 5 2" xfId="12518" xr:uid="{00000000-0005-0000-0000-00003C320000}"/>
    <cellStyle name="쉼표 [0] 7 2 6" xfId="12519" xr:uid="{00000000-0005-0000-0000-00003D320000}"/>
    <cellStyle name="쉼표 [0] 7 20" xfId="12520" xr:uid="{00000000-0005-0000-0000-00003E320000}"/>
    <cellStyle name="쉼표 [0] 7 20 2" xfId="12521" xr:uid="{00000000-0005-0000-0000-00003F320000}"/>
    <cellStyle name="쉼표 [0] 7 21" xfId="12522" xr:uid="{00000000-0005-0000-0000-000040320000}"/>
    <cellStyle name="쉼표 [0] 7 21 2" xfId="12523" xr:uid="{00000000-0005-0000-0000-000041320000}"/>
    <cellStyle name="쉼표 [0] 7 22" xfId="12524" xr:uid="{00000000-0005-0000-0000-000042320000}"/>
    <cellStyle name="쉼표 [0] 7 22 2" xfId="12525" xr:uid="{00000000-0005-0000-0000-000043320000}"/>
    <cellStyle name="쉼표 [0] 7 23" xfId="12526" xr:uid="{00000000-0005-0000-0000-000044320000}"/>
    <cellStyle name="쉼표 [0] 7 23 2" xfId="12527" xr:uid="{00000000-0005-0000-0000-000045320000}"/>
    <cellStyle name="쉼표 [0] 7 24" xfId="12528" xr:uid="{00000000-0005-0000-0000-000046320000}"/>
    <cellStyle name="쉼표 [0] 7 24 2" xfId="12529" xr:uid="{00000000-0005-0000-0000-000047320000}"/>
    <cellStyle name="쉼표 [0] 7 25" xfId="12530" xr:uid="{00000000-0005-0000-0000-000048320000}"/>
    <cellStyle name="쉼표 [0] 7 25 2" xfId="12531" xr:uid="{00000000-0005-0000-0000-000049320000}"/>
    <cellStyle name="쉼표 [0] 7 26" xfId="12532" xr:uid="{00000000-0005-0000-0000-00004A320000}"/>
    <cellStyle name="쉼표 [0] 7 26 2" xfId="12533" xr:uid="{00000000-0005-0000-0000-00004B320000}"/>
    <cellStyle name="쉼표 [0] 7 27" xfId="12534" xr:uid="{00000000-0005-0000-0000-00004C320000}"/>
    <cellStyle name="쉼표 [0] 7 28" xfId="12535" xr:uid="{00000000-0005-0000-0000-00004D320000}"/>
    <cellStyle name="쉼표 [0] 7 3" xfId="12536" xr:uid="{00000000-0005-0000-0000-00004E320000}"/>
    <cellStyle name="쉼표 [0] 7 3 2" xfId="12537" xr:uid="{00000000-0005-0000-0000-00004F320000}"/>
    <cellStyle name="쉼표 [0] 7 4" xfId="12538" xr:uid="{00000000-0005-0000-0000-000050320000}"/>
    <cellStyle name="쉼표 [0] 7 4 2" xfId="12539" xr:uid="{00000000-0005-0000-0000-000051320000}"/>
    <cellStyle name="쉼표 [0] 7 5" xfId="12540" xr:uid="{00000000-0005-0000-0000-000052320000}"/>
    <cellStyle name="쉼표 [0] 7 5 2" xfId="12541" xr:uid="{00000000-0005-0000-0000-000053320000}"/>
    <cellStyle name="쉼표 [0] 7 6" xfId="12542" xr:uid="{00000000-0005-0000-0000-000054320000}"/>
    <cellStyle name="쉼표 [0] 7 6 2" xfId="12543" xr:uid="{00000000-0005-0000-0000-000055320000}"/>
    <cellStyle name="쉼표 [0] 7 7" xfId="12544" xr:uid="{00000000-0005-0000-0000-000056320000}"/>
    <cellStyle name="쉼표 [0] 7 7 2" xfId="12545" xr:uid="{00000000-0005-0000-0000-000057320000}"/>
    <cellStyle name="쉼표 [0] 7 8" xfId="12546" xr:uid="{00000000-0005-0000-0000-000058320000}"/>
    <cellStyle name="쉼표 [0] 7 8 2" xfId="12547" xr:uid="{00000000-0005-0000-0000-000059320000}"/>
    <cellStyle name="쉼표 [0] 7 9" xfId="12548" xr:uid="{00000000-0005-0000-0000-00005A320000}"/>
    <cellStyle name="쉼표 [0] 7 9 2" xfId="12549" xr:uid="{00000000-0005-0000-0000-00005B320000}"/>
    <cellStyle name="쉼표 [0] 8" xfId="12550" xr:uid="{00000000-0005-0000-0000-00005C320000}"/>
    <cellStyle name="쉼표 [0] 8 10" xfId="12551" xr:uid="{00000000-0005-0000-0000-00005D320000}"/>
    <cellStyle name="쉼표 [0] 8 10 2" xfId="12552" xr:uid="{00000000-0005-0000-0000-00005E320000}"/>
    <cellStyle name="쉼표 [0] 8 11" xfId="12553" xr:uid="{00000000-0005-0000-0000-00005F320000}"/>
    <cellStyle name="쉼표 [0] 8 11 2" xfId="12554" xr:uid="{00000000-0005-0000-0000-000060320000}"/>
    <cellStyle name="쉼표 [0] 8 12" xfId="12555" xr:uid="{00000000-0005-0000-0000-000061320000}"/>
    <cellStyle name="쉼표 [0] 8 12 2" xfId="12556" xr:uid="{00000000-0005-0000-0000-000062320000}"/>
    <cellStyle name="쉼표 [0] 8 13" xfId="12557" xr:uid="{00000000-0005-0000-0000-000063320000}"/>
    <cellStyle name="쉼표 [0] 8 13 2" xfId="12558" xr:uid="{00000000-0005-0000-0000-000064320000}"/>
    <cellStyle name="쉼표 [0] 8 14" xfId="12559" xr:uid="{00000000-0005-0000-0000-000065320000}"/>
    <cellStyle name="쉼표 [0] 8 14 2" xfId="12560" xr:uid="{00000000-0005-0000-0000-000066320000}"/>
    <cellStyle name="쉼표 [0] 8 15" xfId="12561" xr:uid="{00000000-0005-0000-0000-000067320000}"/>
    <cellStyle name="쉼표 [0] 8 15 2" xfId="12562" xr:uid="{00000000-0005-0000-0000-000068320000}"/>
    <cellStyle name="쉼표 [0] 8 16" xfId="12563" xr:uid="{00000000-0005-0000-0000-000069320000}"/>
    <cellStyle name="쉼표 [0] 8 16 2" xfId="12564" xr:uid="{00000000-0005-0000-0000-00006A320000}"/>
    <cellStyle name="쉼표 [0] 8 17" xfId="12565" xr:uid="{00000000-0005-0000-0000-00006B320000}"/>
    <cellStyle name="쉼표 [0] 8 17 2" xfId="12566" xr:uid="{00000000-0005-0000-0000-00006C320000}"/>
    <cellStyle name="쉼표 [0] 8 18" xfId="12567" xr:uid="{00000000-0005-0000-0000-00006D320000}"/>
    <cellStyle name="쉼표 [0] 8 18 2" xfId="12568" xr:uid="{00000000-0005-0000-0000-00006E320000}"/>
    <cellStyle name="쉼표 [0] 8 19" xfId="12569" xr:uid="{00000000-0005-0000-0000-00006F320000}"/>
    <cellStyle name="쉼표 [0] 8 19 2" xfId="12570" xr:uid="{00000000-0005-0000-0000-000070320000}"/>
    <cellStyle name="쉼표 [0] 8 2" xfId="12571" xr:uid="{00000000-0005-0000-0000-000071320000}"/>
    <cellStyle name="쉼표 [0] 8 2 2" xfId="12572" xr:uid="{00000000-0005-0000-0000-000072320000}"/>
    <cellStyle name="쉼표 [0] 8 2 2 2" xfId="12573" xr:uid="{00000000-0005-0000-0000-000073320000}"/>
    <cellStyle name="쉼표 [0] 8 2 3" xfId="12574" xr:uid="{00000000-0005-0000-0000-000074320000}"/>
    <cellStyle name="쉼표 [0] 8 20" xfId="12575" xr:uid="{00000000-0005-0000-0000-000075320000}"/>
    <cellStyle name="쉼표 [0] 8 20 2" xfId="12576" xr:uid="{00000000-0005-0000-0000-000076320000}"/>
    <cellStyle name="쉼표 [0] 8 21" xfId="12577" xr:uid="{00000000-0005-0000-0000-000077320000}"/>
    <cellStyle name="쉼표 [0] 8 21 2" xfId="12578" xr:uid="{00000000-0005-0000-0000-000078320000}"/>
    <cellStyle name="쉼표 [0] 8 22" xfId="12579" xr:uid="{00000000-0005-0000-0000-000079320000}"/>
    <cellStyle name="쉼표 [0] 8 22 2" xfId="12580" xr:uid="{00000000-0005-0000-0000-00007A320000}"/>
    <cellStyle name="쉼표 [0] 8 23" xfId="12581" xr:uid="{00000000-0005-0000-0000-00007B320000}"/>
    <cellStyle name="쉼표 [0] 8 23 2" xfId="12582" xr:uid="{00000000-0005-0000-0000-00007C320000}"/>
    <cellStyle name="쉼표 [0] 8 24" xfId="12583" xr:uid="{00000000-0005-0000-0000-00007D320000}"/>
    <cellStyle name="쉼표 [0] 8 24 2" xfId="12584" xr:uid="{00000000-0005-0000-0000-00007E320000}"/>
    <cellStyle name="쉼표 [0] 8 25" xfId="12585" xr:uid="{00000000-0005-0000-0000-00007F320000}"/>
    <cellStyle name="쉼표 [0] 8 25 2" xfId="12586" xr:uid="{00000000-0005-0000-0000-000080320000}"/>
    <cellStyle name="쉼표 [0] 8 3" xfId="12587" xr:uid="{00000000-0005-0000-0000-000081320000}"/>
    <cellStyle name="쉼표 [0] 8 3 2" xfId="12588" xr:uid="{00000000-0005-0000-0000-000082320000}"/>
    <cellStyle name="쉼표 [0] 8 4" xfId="12589" xr:uid="{00000000-0005-0000-0000-000083320000}"/>
    <cellStyle name="쉼표 [0] 8 4 2" xfId="12590" xr:uid="{00000000-0005-0000-0000-000084320000}"/>
    <cellStyle name="쉼표 [0] 8 5" xfId="12591" xr:uid="{00000000-0005-0000-0000-000085320000}"/>
    <cellStyle name="쉼표 [0] 8 5 2" xfId="12592" xr:uid="{00000000-0005-0000-0000-000086320000}"/>
    <cellStyle name="쉼표 [0] 8 6" xfId="12593" xr:uid="{00000000-0005-0000-0000-000087320000}"/>
    <cellStyle name="쉼표 [0] 8 6 2" xfId="12594" xr:uid="{00000000-0005-0000-0000-000088320000}"/>
    <cellStyle name="쉼표 [0] 8 7" xfId="12595" xr:uid="{00000000-0005-0000-0000-000089320000}"/>
    <cellStyle name="쉼표 [0] 8 7 2" xfId="12596" xr:uid="{00000000-0005-0000-0000-00008A320000}"/>
    <cellStyle name="쉼표 [0] 8 8" xfId="12597" xr:uid="{00000000-0005-0000-0000-00008B320000}"/>
    <cellStyle name="쉼표 [0] 8 8 2" xfId="12598" xr:uid="{00000000-0005-0000-0000-00008C320000}"/>
    <cellStyle name="쉼표 [0] 8 9" xfId="12599" xr:uid="{00000000-0005-0000-0000-00008D320000}"/>
    <cellStyle name="쉼표 [0] 8 9 2" xfId="12600" xr:uid="{00000000-0005-0000-0000-00008E320000}"/>
    <cellStyle name="쉼표 [0] 9" xfId="12601" xr:uid="{00000000-0005-0000-0000-00008F320000}"/>
    <cellStyle name="쉼표 [0] 9 10" xfId="12602" xr:uid="{00000000-0005-0000-0000-000090320000}"/>
    <cellStyle name="쉼표 [0] 9 10 2" xfId="12603" xr:uid="{00000000-0005-0000-0000-000091320000}"/>
    <cellStyle name="쉼표 [0] 9 11" xfId="12604" xr:uid="{00000000-0005-0000-0000-000092320000}"/>
    <cellStyle name="쉼표 [0] 9 11 2" xfId="12605" xr:uid="{00000000-0005-0000-0000-000093320000}"/>
    <cellStyle name="쉼표 [0] 9 12" xfId="12606" xr:uid="{00000000-0005-0000-0000-000094320000}"/>
    <cellStyle name="쉼표 [0] 9 12 2" xfId="12607" xr:uid="{00000000-0005-0000-0000-000095320000}"/>
    <cellStyle name="쉼표 [0] 9 13" xfId="12608" xr:uid="{00000000-0005-0000-0000-000096320000}"/>
    <cellStyle name="쉼표 [0] 9 13 2" xfId="12609" xr:uid="{00000000-0005-0000-0000-000097320000}"/>
    <cellStyle name="쉼표 [0] 9 14" xfId="12610" xr:uid="{00000000-0005-0000-0000-000098320000}"/>
    <cellStyle name="쉼표 [0] 9 14 2" xfId="12611" xr:uid="{00000000-0005-0000-0000-000099320000}"/>
    <cellStyle name="쉼표 [0] 9 15" xfId="12612" xr:uid="{00000000-0005-0000-0000-00009A320000}"/>
    <cellStyle name="쉼표 [0] 9 15 2" xfId="12613" xr:uid="{00000000-0005-0000-0000-00009B320000}"/>
    <cellStyle name="쉼표 [0] 9 16" xfId="12614" xr:uid="{00000000-0005-0000-0000-00009C320000}"/>
    <cellStyle name="쉼표 [0] 9 16 2" xfId="12615" xr:uid="{00000000-0005-0000-0000-00009D320000}"/>
    <cellStyle name="쉼표 [0] 9 17" xfId="12616" xr:uid="{00000000-0005-0000-0000-00009E320000}"/>
    <cellStyle name="쉼표 [0] 9 17 2" xfId="12617" xr:uid="{00000000-0005-0000-0000-00009F320000}"/>
    <cellStyle name="쉼표 [0] 9 18" xfId="12618" xr:uid="{00000000-0005-0000-0000-0000A0320000}"/>
    <cellStyle name="쉼표 [0] 9 18 2" xfId="12619" xr:uid="{00000000-0005-0000-0000-0000A1320000}"/>
    <cellStyle name="쉼표 [0] 9 19" xfId="12620" xr:uid="{00000000-0005-0000-0000-0000A2320000}"/>
    <cellStyle name="쉼표 [0] 9 19 2" xfId="12621" xr:uid="{00000000-0005-0000-0000-0000A3320000}"/>
    <cellStyle name="쉼표 [0] 9 2" xfId="12622" xr:uid="{00000000-0005-0000-0000-0000A4320000}"/>
    <cellStyle name="쉼표 [0] 9 2 2" xfId="12623" xr:uid="{00000000-0005-0000-0000-0000A5320000}"/>
    <cellStyle name="쉼표 [0] 9 20" xfId="12624" xr:uid="{00000000-0005-0000-0000-0000A6320000}"/>
    <cellStyle name="쉼표 [0] 9 20 2" xfId="12625" xr:uid="{00000000-0005-0000-0000-0000A7320000}"/>
    <cellStyle name="쉼표 [0] 9 21" xfId="12626" xr:uid="{00000000-0005-0000-0000-0000A8320000}"/>
    <cellStyle name="쉼표 [0] 9 21 2" xfId="12627" xr:uid="{00000000-0005-0000-0000-0000A9320000}"/>
    <cellStyle name="쉼표 [0] 9 22" xfId="12628" xr:uid="{00000000-0005-0000-0000-0000AA320000}"/>
    <cellStyle name="쉼표 [0] 9 22 2" xfId="12629" xr:uid="{00000000-0005-0000-0000-0000AB320000}"/>
    <cellStyle name="쉼표 [0] 9 3" xfId="12630" xr:uid="{00000000-0005-0000-0000-0000AC320000}"/>
    <cellStyle name="쉼표 [0] 9 3 2" xfId="12631" xr:uid="{00000000-0005-0000-0000-0000AD320000}"/>
    <cellStyle name="쉼표 [0] 9 4" xfId="12632" xr:uid="{00000000-0005-0000-0000-0000AE320000}"/>
    <cellStyle name="쉼표 [0] 9 4 2" xfId="12633" xr:uid="{00000000-0005-0000-0000-0000AF320000}"/>
    <cellStyle name="쉼표 [0] 9 5" xfId="12634" xr:uid="{00000000-0005-0000-0000-0000B0320000}"/>
    <cellStyle name="쉼표 [0] 9 5 2" xfId="12635" xr:uid="{00000000-0005-0000-0000-0000B1320000}"/>
    <cellStyle name="쉼표 [0] 9 6" xfId="12636" xr:uid="{00000000-0005-0000-0000-0000B2320000}"/>
    <cellStyle name="쉼표 [0] 9 6 2" xfId="12637" xr:uid="{00000000-0005-0000-0000-0000B3320000}"/>
    <cellStyle name="쉼표 [0] 9 7" xfId="12638" xr:uid="{00000000-0005-0000-0000-0000B4320000}"/>
    <cellStyle name="쉼표 [0] 9 7 2" xfId="12639" xr:uid="{00000000-0005-0000-0000-0000B5320000}"/>
    <cellStyle name="쉼표 [0] 9 8" xfId="12640" xr:uid="{00000000-0005-0000-0000-0000B6320000}"/>
    <cellStyle name="쉼표 [0] 9 8 2" xfId="12641" xr:uid="{00000000-0005-0000-0000-0000B7320000}"/>
    <cellStyle name="쉼표 [0] 9 9" xfId="12642" xr:uid="{00000000-0005-0000-0000-0000B8320000}"/>
    <cellStyle name="쉼표 [0] 9 9 2" xfId="12643" xr:uid="{00000000-0005-0000-0000-0000B9320000}"/>
    <cellStyle name="쉼표 2" xfId="12644" xr:uid="{00000000-0005-0000-0000-0000BB320000}"/>
    <cellStyle name="쉼표 2 2" xfId="12645" xr:uid="{00000000-0005-0000-0000-0000BC320000}"/>
    <cellStyle name="쉼표 2 2 2" xfId="12646" xr:uid="{00000000-0005-0000-0000-0000BD320000}"/>
    <cellStyle name="쉼표 2 2 2 2" xfId="12647" xr:uid="{00000000-0005-0000-0000-0000BE320000}"/>
    <cellStyle name="쉼표 2 2 3" xfId="12648" xr:uid="{00000000-0005-0000-0000-0000BF320000}"/>
    <cellStyle name="쉼표 2 2 3 2" xfId="12649" xr:uid="{00000000-0005-0000-0000-0000C0320000}"/>
    <cellStyle name="쉼표 2 2 4" xfId="12650" xr:uid="{00000000-0005-0000-0000-0000C1320000}"/>
    <cellStyle name="쉼표 2 2 4 2" xfId="12651" xr:uid="{00000000-0005-0000-0000-0000C2320000}"/>
    <cellStyle name="쉼표 2 2 5" xfId="12652" xr:uid="{00000000-0005-0000-0000-0000C3320000}"/>
    <cellStyle name="쉼표 2 2 5 2" xfId="12653" xr:uid="{00000000-0005-0000-0000-0000C4320000}"/>
    <cellStyle name="쉼표 2 2 6" xfId="12654" xr:uid="{00000000-0005-0000-0000-0000C5320000}"/>
    <cellStyle name="쉼표 2 3" xfId="12655" xr:uid="{00000000-0005-0000-0000-0000C6320000}"/>
    <cellStyle name="쉼표 2 3 2" xfId="12656" xr:uid="{00000000-0005-0000-0000-0000C7320000}"/>
    <cellStyle name="쉼표 2 4" xfId="12657" xr:uid="{00000000-0005-0000-0000-0000C8320000}"/>
    <cellStyle name="쉼표 2 4 2" xfId="12658" xr:uid="{00000000-0005-0000-0000-0000C9320000}"/>
    <cellStyle name="쉼표 2 5" xfId="12659" xr:uid="{00000000-0005-0000-0000-0000CA320000}"/>
    <cellStyle name="쉼표 2 5 2" xfId="12660" xr:uid="{00000000-0005-0000-0000-0000CB320000}"/>
    <cellStyle name="쉼표 2 6" xfId="12661" xr:uid="{00000000-0005-0000-0000-0000CC320000}"/>
    <cellStyle name="쉼표 2 6 2" xfId="12662" xr:uid="{00000000-0005-0000-0000-0000CD320000}"/>
    <cellStyle name="쉼표 2 7" xfId="12663" xr:uid="{00000000-0005-0000-0000-0000CE320000}"/>
    <cellStyle name="쉼표 3" xfId="12664" xr:uid="{00000000-0005-0000-0000-0000CF320000}"/>
    <cellStyle name="쉼표 3 2" xfId="12665" xr:uid="{00000000-0005-0000-0000-0000D0320000}"/>
    <cellStyle name="쉼표 4" xfId="12666" xr:uid="{00000000-0005-0000-0000-0000D1320000}"/>
    <cellStyle name="쉼표 4 2" xfId="12667" xr:uid="{00000000-0005-0000-0000-0000D2320000}"/>
    <cellStyle name="쉼표 5" xfId="12668" xr:uid="{00000000-0005-0000-0000-0000D3320000}"/>
    <cellStyle name="쉼표 5 2" xfId="12669" xr:uid="{00000000-0005-0000-0000-0000D4320000}"/>
    <cellStyle name="스타일 1" xfId="12670" xr:uid="{00000000-0005-0000-0000-0000D5320000}"/>
    <cellStyle name="스타일 1 10" xfId="12671" xr:uid="{00000000-0005-0000-0000-0000D6320000}"/>
    <cellStyle name="스타일 1 11" xfId="12672" xr:uid="{00000000-0005-0000-0000-0000D7320000}"/>
    <cellStyle name="스타일 1 12" xfId="12673" xr:uid="{00000000-0005-0000-0000-0000D8320000}"/>
    <cellStyle name="스타일 1 13" xfId="12674" xr:uid="{00000000-0005-0000-0000-0000D9320000}"/>
    <cellStyle name="스타일 1 14" xfId="12675" xr:uid="{00000000-0005-0000-0000-0000DA320000}"/>
    <cellStyle name="스타일 1 15" xfId="12676" xr:uid="{00000000-0005-0000-0000-0000DB320000}"/>
    <cellStyle name="스타일 1 2" xfId="12677" xr:uid="{00000000-0005-0000-0000-0000DC320000}"/>
    <cellStyle name="스타일 1 2 2" xfId="12678" xr:uid="{00000000-0005-0000-0000-0000DD320000}"/>
    <cellStyle name="스타일 1 3" xfId="12679" xr:uid="{00000000-0005-0000-0000-0000DE320000}"/>
    <cellStyle name="스타일 1 4" xfId="12680" xr:uid="{00000000-0005-0000-0000-0000DF320000}"/>
    <cellStyle name="스타일 1 5" xfId="12681" xr:uid="{00000000-0005-0000-0000-0000E0320000}"/>
    <cellStyle name="스타일 1 6" xfId="12682" xr:uid="{00000000-0005-0000-0000-0000E1320000}"/>
    <cellStyle name="스타일 1 7" xfId="12683" xr:uid="{00000000-0005-0000-0000-0000E2320000}"/>
    <cellStyle name="스타일 1 8" xfId="12684" xr:uid="{00000000-0005-0000-0000-0000E3320000}"/>
    <cellStyle name="스타일 1 9" xfId="12685" xr:uid="{00000000-0005-0000-0000-0000E4320000}"/>
    <cellStyle name="스타일 10" xfId="12686" xr:uid="{00000000-0005-0000-0000-0000E5320000}"/>
    <cellStyle name="스타일 10 2" xfId="12687" xr:uid="{00000000-0005-0000-0000-0000E6320000}"/>
    <cellStyle name="스타일 10 3" xfId="12688" xr:uid="{00000000-0005-0000-0000-0000E7320000}"/>
    <cellStyle name="스타일 10 3 2" xfId="12689" xr:uid="{00000000-0005-0000-0000-0000E8320000}"/>
    <cellStyle name="스타일 100" xfId="12690" xr:uid="{00000000-0005-0000-0000-0000E9320000}"/>
    <cellStyle name="스타일 100 2" xfId="12691" xr:uid="{00000000-0005-0000-0000-0000EA320000}"/>
    <cellStyle name="스타일 101" xfId="12692" xr:uid="{00000000-0005-0000-0000-0000EB320000}"/>
    <cellStyle name="스타일 101 2" xfId="12693" xr:uid="{00000000-0005-0000-0000-0000EC320000}"/>
    <cellStyle name="스타일 102" xfId="12694" xr:uid="{00000000-0005-0000-0000-0000ED320000}"/>
    <cellStyle name="스타일 102 2" xfId="12695" xr:uid="{00000000-0005-0000-0000-0000EE320000}"/>
    <cellStyle name="스타일 103" xfId="12696" xr:uid="{00000000-0005-0000-0000-0000EF320000}"/>
    <cellStyle name="스타일 103 2" xfId="12697" xr:uid="{00000000-0005-0000-0000-0000F0320000}"/>
    <cellStyle name="스타일 104" xfId="12698" xr:uid="{00000000-0005-0000-0000-0000F1320000}"/>
    <cellStyle name="스타일 104 2" xfId="12699" xr:uid="{00000000-0005-0000-0000-0000F2320000}"/>
    <cellStyle name="스타일 105" xfId="12700" xr:uid="{00000000-0005-0000-0000-0000F3320000}"/>
    <cellStyle name="스타일 105 2" xfId="12701" xr:uid="{00000000-0005-0000-0000-0000F4320000}"/>
    <cellStyle name="스타일 106" xfId="12702" xr:uid="{00000000-0005-0000-0000-0000F5320000}"/>
    <cellStyle name="스타일 106 2" xfId="12703" xr:uid="{00000000-0005-0000-0000-0000F6320000}"/>
    <cellStyle name="스타일 107" xfId="12704" xr:uid="{00000000-0005-0000-0000-0000F7320000}"/>
    <cellStyle name="스타일 107 2" xfId="12705" xr:uid="{00000000-0005-0000-0000-0000F8320000}"/>
    <cellStyle name="스타일 108" xfId="12706" xr:uid="{00000000-0005-0000-0000-0000F9320000}"/>
    <cellStyle name="스타일 108 2" xfId="12707" xr:uid="{00000000-0005-0000-0000-0000FA320000}"/>
    <cellStyle name="스타일 109" xfId="12708" xr:uid="{00000000-0005-0000-0000-0000FB320000}"/>
    <cellStyle name="스타일 109 2" xfId="12709" xr:uid="{00000000-0005-0000-0000-0000FC320000}"/>
    <cellStyle name="스타일 11" xfId="12710" xr:uid="{00000000-0005-0000-0000-0000FD320000}"/>
    <cellStyle name="스타일 11 2" xfId="12711" xr:uid="{00000000-0005-0000-0000-0000FE320000}"/>
    <cellStyle name="스타일 11 3" xfId="12712" xr:uid="{00000000-0005-0000-0000-0000FF320000}"/>
    <cellStyle name="스타일 110" xfId="12713" xr:uid="{00000000-0005-0000-0000-000000330000}"/>
    <cellStyle name="스타일 110 2" xfId="12714" xr:uid="{00000000-0005-0000-0000-000001330000}"/>
    <cellStyle name="스타일 111" xfId="12715" xr:uid="{00000000-0005-0000-0000-000002330000}"/>
    <cellStyle name="스타일 111 2" xfId="12716" xr:uid="{00000000-0005-0000-0000-000003330000}"/>
    <cellStyle name="스타일 112" xfId="12717" xr:uid="{00000000-0005-0000-0000-000004330000}"/>
    <cellStyle name="스타일 112 2" xfId="12718" xr:uid="{00000000-0005-0000-0000-000005330000}"/>
    <cellStyle name="스타일 113" xfId="12719" xr:uid="{00000000-0005-0000-0000-000006330000}"/>
    <cellStyle name="스타일 113 2" xfId="12720" xr:uid="{00000000-0005-0000-0000-000007330000}"/>
    <cellStyle name="스타일 114" xfId="12721" xr:uid="{00000000-0005-0000-0000-000008330000}"/>
    <cellStyle name="스타일 114 2" xfId="12722" xr:uid="{00000000-0005-0000-0000-000009330000}"/>
    <cellStyle name="스타일 115" xfId="12723" xr:uid="{00000000-0005-0000-0000-00000A330000}"/>
    <cellStyle name="스타일 115 2" xfId="12724" xr:uid="{00000000-0005-0000-0000-00000B330000}"/>
    <cellStyle name="스타일 116" xfId="12725" xr:uid="{00000000-0005-0000-0000-00000C330000}"/>
    <cellStyle name="스타일 116 2" xfId="12726" xr:uid="{00000000-0005-0000-0000-00000D330000}"/>
    <cellStyle name="스타일 117" xfId="12727" xr:uid="{00000000-0005-0000-0000-00000E330000}"/>
    <cellStyle name="스타일 117 2" xfId="12728" xr:uid="{00000000-0005-0000-0000-00000F330000}"/>
    <cellStyle name="스타일 118" xfId="12729" xr:uid="{00000000-0005-0000-0000-000010330000}"/>
    <cellStyle name="스타일 118 2" xfId="12730" xr:uid="{00000000-0005-0000-0000-000011330000}"/>
    <cellStyle name="스타일 119" xfId="12731" xr:uid="{00000000-0005-0000-0000-000012330000}"/>
    <cellStyle name="스타일 119 2" xfId="12732" xr:uid="{00000000-0005-0000-0000-000013330000}"/>
    <cellStyle name="스타일 12" xfId="12733" xr:uid="{00000000-0005-0000-0000-000014330000}"/>
    <cellStyle name="스타일 12 2" xfId="12734" xr:uid="{00000000-0005-0000-0000-000015330000}"/>
    <cellStyle name="스타일 12 3" xfId="12735" xr:uid="{00000000-0005-0000-0000-000016330000}"/>
    <cellStyle name="스타일 12 3 2" xfId="12736" xr:uid="{00000000-0005-0000-0000-000017330000}"/>
    <cellStyle name="스타일 120" xfId="12737" xr:uid="{00000000-0005-0000-0000-000018330000}"/>
    <cellStyle name="스타일 120 2" xfId="12738" xr:uid="{00000000-0005-0000-0000-000019330000}"/>
    <cellStyle name="스타일 121" xfId="12739" xr:uid="{00000000-0005-0000-0000-00001A330000}"/>
    <cellStyle name="스타일 121 2" xfId="12740" xr:uid="{00000000-0005-0000-0000-00001B330000}"/>
    <cellStyle name="스타일 122" xfId="12741" xr:uid="{00000000-0005-0000-0000-00001C330000}"/>
    <cellStyle name="스타일 122 2" xfId="12742" xr:uid="{00000000-0005-0000-0000-00001D330000}"/>
    <cellStyle name="스타일 123" xfId="12743" xr:uid="{00000000-0005-0000-0000-00001E330000}"/>
    <cellStyle name="스타일 123 2" xfId="12744" xr:uid="{00000000-0005-0000-0000-00001F330000}"/>
    <cellStyle name="스타일 124" xfId="12745" xr:uid="{00000000-0005-0000-0000-000020330000}"/>
    <cellStyle name="스타일 124 2" xfId="12746" xr:uid="{00000000-0005-0000-0000-000021330000}"/>
    <cellStyle name="스타일 125" xfId="12747" xr:uid="{00000000-0005-0000-0000-000022330000}"/>
    <cellStyle name="스타일 125 2" xfId="12748" xr:uid="{00000000-0005-0000-0000-000023330000}"/>
    <cellStyle name="스타일 126" xfId="12749" xr:uid="{00000000-0005-0000-0000-000024330000}"/>
    <cellStyle name="스타일 126 2" xfId="12750" xr:uid="{00000000-0005-0000-0000-000025330000}"/>
    <cellStyle name="스타일 127" xfId="12751" xr:uid="{00000000-0005-0000-0000-000026330000}"/>
    <cellStyle name="스타일 127 2" xfId="12752" xr:uid="{00000000-0005-0000-0000-000027330000}"/>
    <cellStyle name="스타일 128" xfId="12753" xr:uid="{00000000-0005-0000-0000-000028330000}"/>
    <cellStyle name="스타일 128 2" xfId="12754" xr:uid="{00000000-0005-0000-0000-000029330000}"/>
    <cellStyle name="스타일 129" xfId="12755" xr:uid="{00000000-0005-0000-0000-00002A330000}"/>
    <cellStyle name="스타일 129 2" xfId="12756" xr:uid="{00000000-0005-0000-0000-00002B330000}"/>
    <cellStyle name="스타일 13" xfId="12757" xr:uid="{00000000-0005-0000-0000-00002C330000}"/>
    <cellStyle name="스타일 13 2" xfId="12758" xr:uid="{00000000-0005-0000-0000-00002D330000}"/>
    <cellStyle name="스타일 13 3" xfId="12759" xr:uid="{00000000-0005-0000-0000-00002E330000}"/>
    <cellStyle name="스타일 130" xfId="12760" xr:uid="{00000000-0005-0000-0000-00002F330000}"/>
    <cellStyle name="스타일 130 2" xfId="12761" xr:uid="{00000000-0005-0000-0000-000030330000}"/>
    <cellStyle name="스타일 131" xfId="12762" xr:uid="{00000000-0005-0000-0000-000031330000}"/>
    <cellStyle name="스타일 131 2" xfId="12763" xr:uid="{00000000-0005-0000-0000-000032330000}"/>
    <cellStyle name="스타일 132" xfId="12764" xr:uid="{00000000-0005-0000-0000-000033330000}"/>
    <cellStyle name="스타일 132 2" xfId="12765" xr:uid="{00000000-0005-0000-0000-000034330000}"/>
    <cellStyle name="스타일 133" xfId="12766" xr:uid="{00000000-0005-0000-0000-000035330000}"/>
    <cellStyle name="스타일 133 2" xfId="12767" xr:uid="{00000000-0005-0000-0000-000036330000}"/>
    <cellStyle name="스타일 134" xfId="12768" xr:uid="{00000000-0005-0000-0000-000037330000}"/>
    <cellStyle name="스타일 134 2" xfId="12769" xr:uid="{00000000-0005-0000-0000-000038330000}"/>
    <cellStyle name="스타일 135" xfId="12770" xr:uid="{00000000-0005-0000-0000-000039330000}"/>
    <cellStyle name="스타일 135 2" xfId="12771" xr:uid="{00000000-0005-0000-0000-00003A330000}"/>
    <cellStyle name="스타일 136" xfId="12772" xr:uid="{00000000-0005-0000-0000-00003B330000}"/>
    <cellStyle name="스타일 136 2" xfId="12773" xr:uid="{00000000-0005-0000-0000-00003C330000}"/>
    <cellStyle name="스타일 137" xfId="12774" xr:uid="{00000000-0005-0000-0000-00003D330000}"/>
    <cellStyle name="스타일 137 2" xfId="12775" xr:uid="{00000000-0005-0000-0000-00003E330000}"/>
    <cellStyle name="스타일 138" xfId="12776" xr:uid="{00000000-0005-0000-0000-00003F330000}"/>
    <cellStyle name="스타일 138 2" xfId="12777" xr:uid="{00000000-0005-0000-0000-000040330000}"/>
    <cellStyle name="스타일 139" xfId="12778" xr:uid="{00000000-0005-0000-0000-000041330000}"/>
    <cellStyle name="스타일 139 2" xfId="12779" xr:uid="{00000000-0005-0000-0000-000042330000}"/>
    <cellStyle name="스타일 14" xfId="12780" xr:uid="{00000000-0005-0000-0000-000043330000}"/>
    <cellStyle name="스타일 14 2" xfId="12781" xr:uid="{00000000-0005-0000-0000-000044330000}"/>
    <cellStyle name="스타일 14 3" xfId="12782" xr:uid="{00000000-0005-0000-0000-000045330000}"/>
    <cellStyle name="스타일 140" xfId="12783" xr:uid="{00000000-0005-0000-0000-000046330000}"/>
    <cellStyle name="스타일 140 2" xfId="12784" xr:uid="{00000000-0005-0000-0000-000047330000}"/>
    <cellStyle name="스타일 141" xfId="12785" xr:uid="{00000000-0005-0000-0000-000048330000}"/>
    <cellStyle name="스타일 141 2" xfId="12786" xr:uid="{00000000-0005-0000-0000-000049330000}"/>
    <cellStyle name="스타일 142" xfId="12787" xr:uid="{00000000-0005-0000-0000-00004A330000}"/>
    <cellStyle name="스타일 142 2" xfId="12788" xr:uid="{00000000-0005-0000-0000-00004B330000}"/>
    <cellStyle name="스타일 143" xfId="12789" xr:uid="{00000000-0005-0000-0000-00004C330000}"/>
    <cellStyle name="스타일 143 2" xfId="12790" xr:uid="{00000000-0005-0000-0000-00004D330000}"/>
    <cellStyle name="스타일 144" xfId="12791" xr:uid="{00000000-0005-0000-0000-00004E330000}"/>
    <cellStyle name="스타일 144 2" xfId="12792" xr:uid="{00000000-0005-0000-0000-00004F330000}"/>
    <cellStyle name="스타일 145" xfId="12793" xr:uid="{00000000-0005-0000-0000-000050330000}"/>
    <cellStyle name="스타일 145 2" xfId="12794" xr:uid="{00000000-0005-0000-0000-000051330000}"/>
    <cellStyle name="스타일 146" xfId="12795" xr:uid="{00000000-0005-0000-0000-000052330000}"/>
    <cellStyle name="스타일 146 2" xfId="12796" xr:uid="{00000000-0005-0000-0000-000053330000}"/>
    <cellStyle name="스타일 147" xfId="12797" xr:uid="{00000000-0005-0000-0000-000054330000}"/>
    <cellStyle name="스타일 147 2" xfId="12798" xr:uid="{00000000-0005-0000-0000-000055330000}"/>
    <cellStyle name="스타일 148" xfId="12799" xr:uid="{00000000-0005-0000-0000-000056330000}"/>
    <cellStyle name="스타일 148 2" xfId="12800" xr:uid="{00000000-0005-0000-0000-000057330000}"/>
    <cellStyle name="스타일 149" xfId="12801" xr:uid="{00000000-0005-0000-0000-000058330000}"/>
    <cellStyle name="스타일 149 2" xfId="12802" xr:uid="{00000000-0005-0000-0000-000059330000}"/>
    <cellStyle name="스타일 15" xfId="12803" xr:uid="{00000000-0005-0000-0000-00005A330000}"/>
    <cellStyle name="스타일 15 2" xfId="12804" xr:uid="{00000000-0005-0000-0000-00005B330000}"/>
    <cellStyle name="스타일 15 3" xfId="12805" xr:uid="{00000000-0005-0000-0000-00005C330000}"/>
    <cellStyle name="스타일 150" xfId="12806" xr:uid="{00000000-0005-0000-0000-00005D330000}"/>
    <cellStyle name="스타일 150 2" xfId="12807" xr:uid="{00000000-0005-0000-0000-00005E330000}"/>
    <cellStyle name="스타일 151" xfId="12808" xr:uid="{00000000-0005-0000-0000-00005F330000}"/>
    <cellStyle name="스타일 151 2" xfId="12809" xr:uid="{00000000-0005-0000-0000-000060330000}"/>
    <cellStyle name="스타일 152" xfId="12810" xr:uid="{00000000-0005-0000-0000-000061330000}"/>
    <cellStyle name="스타일 152 2" xfId="12811" xr:uid="{00000000-0005-0000-0000-000062330000}"/>
    <cellStyle name="스타일 153" xfId="12812" xr:uid="{00000000-0005-0000-0000-000063330000}"/>
    <cellStyle name="스타일 153 2" xfId="12813" xr:uid="{00000000-0005-0000-0000-000064330000}"/>
    <cellStyle name="스타일 154" xfId="12814" xr:uid="{00000000-0005-0000-0000-000065330000}"/>
    <cellStyle name="스타일 154 2" xfId="12815" xr:uid="{00000000-0005-0000-0000-000066330000}"/>
    <cellStyle name="스타일 155" xfId="12816" xr:uid="{00000000-0005-0000-0000-000067330000}"/>
    <cellStyle name="스타일 155 2" xfId="12817" xr:uid="{00000000-0005-0000-0000-000068330000}"/>
    <cellStyle name="스타일 156" xfId="12818" xr:uid="{00000000-0005-0000-0000-000069330000}"/>
    <cellStyle name="스타일 156 2" xfId="12819" xr:uid="{00000000-0005-0000-0000-00006A330000}"/>
    <cellStyle name="스타일 157" xfId="12820" xr:uid="{00000000-0005-0000-0000-00006B330000}"/>
    <cellStyle name="스타일 157 2" xfId="12821" xr:uid="{00000000-0005-0000-0000-00006C330000}"/>
    <cellStyle name="스타일 158" xfId="12822" xr:uid="{00000000-0005-0000-0000-00006D330000}"/>
    <cellStyle name="스타일 158 2" xfId="12823" xr:uid="{00000000-0005-0000-0000-00006E330000}"/>
    <cellStyle name="스타일 159" xfId="12824" xr:uid="{00000000-0005-0000-0000-00006F330000}"/>
    <cellStyle name="스타일 159 2" xfId="12825" xr:uid="{00000000-0005-0000-0000-000070330000}"/>
    <cellStyle name="스타일 16" xfId="12826" xr:uid="{00000000-0005-0000-0000-000071330000}"/>
    <cellStyle name="스타일 16 2" xfId="12827" xr:uid="{00000000-0005-0000-0000-000072330000}"/>
    <cellStyle name="스타일 16 3" xfId="12828" xr:uid="{00000000-0005-0000-0000-000073330000}"/>
    <cellStyle name="스타일 160" xfId="12829" xr:uid="{00000000-0005-0000-0000-000074330000}"/>
    <cellStyle name="스타일 160 2" xfId="12830" xr:uid="{00000000-0005-0000-0000-000075330000}"/>
    <cellStyle name="스타일 161" xfId="12831" xr:uid="{00000000-0005-0000-0000-000076330000}"/>
    <cellStyle name="스타일 161 2" xfId="12832" xr:uid="{00000000-0005-0000-0000-000077330000}"/>
    <cellStyle name="스타일 162" xfId="12833" xr:uid="{00000000-0005-0000-0000-000078330000}"/>
    <cellStyle name="스타일 162 2" xfId="12834" xr:uid="{00000000-0005-0000-0000-000079330000}"/>
    <cellStyle name="스타일 163" xfId="12835" xr:uid="{00000000-0005-0000-0000-00007A330000}"/>
    <cellStyle name="스타일 163 2" xfId="12836" xr:uid="{00000000-0005-0000-0000-00007B330000}"/>
    <cellStyle name="스타일 164" xfId="12837" xr:uid="{00000000-0005-0000-0000-00007C330000}"/>
    <cellStyle name="스타일 164 2" xfId="12838" xr:uid="{00000000-0005-0000-0000-00007D330000}"/>
    <cellStyle name="스타일 165" xfId="12839" xr:uid="{00000000-0005-0000-0000-00007E330000}"/>
    <cellStyle name="스타일 165 2" xfId="12840" xr:uid="{00000000-0005-0000-0000-00007F330000}"/>
    <cellStyle name="스타일 166" xfId="12841" xr:uid="{00000000-0005-0000-0000-000080330000}"/>
    <cellStyle name="스타일 166 2" xfId="12842" xr:uid="{00000000-0005-0000-0000-000081330000}"/>
    <cellStyle name="스타일 167" xfId="12843" xr:uid="{00000000-0005-0000-0000-000082330000}"/>
    <cellStyle name="스타일 167 2" xfId="12844" xr:uid="{00000000-0005-0000-0000-000083330000}"/>
    <cellStyle name="스타일 168" xfId="12845" xr:uid="{00000000-0005-0000-0000-000084330000}"/>
    <cellStyle name="스타일 168 2" xfId="12846" xr:uid="{00000000-0005-0000-0000-000085330000}"/>
    <cellStyle name="스타일 169" xfId="12847" xr:uid="{00000000-0005-0000-0000-000086330000}"/>
    <cellStyle name="스타일 169 2" xfId="12848" xr:uid="{00000000-0005-0000-0000-000087330000}"/>
    <cellStyle name="스타일 17" xfId="12849" xr:uid="{00000000-0005-0000-0000-000088330000}"/>
    <cellStyle name="스타일 17 2" xfId="12850" xr:uid="{00000000-0005-0000-0000-000089330000}"/>
    <cellStyle name="스타일 170" xfId="12851" xr:uid="{00000000-0005-0000-0000-00008A330000}"/>
    <cellStyle name="스타일 170 2" xfId="12852" xr:uid="{00000000-0005-0000-0000-00008B330000}"/>
    <cellStyle name="스타일 171" xfId="12853" xr:uid="{00000000-0005-0000-0000-00008C330000}"/>
    <cellStyle name="스타일 171 2" xfId="12854" xr:uid="{00000000-0005-0000-0000-00008D330000}"/>
    <cellStyle name="스타일 172" xfId="12855" xr:uid="{00000000-0005-0000-0000-00008E330000}"/>
    <cellStyle name="스타일 172 2" xfId="12856" xr:uid="{00000000-0005-0000-0000-00008F330000}"/>
    <cellStyle name="스타일 173" xfId="12857" xr:uid="{00000000-0005-0000-0000-000090330000}"/>
    <cellStyle name="스타일 173 2" xfId="12858" xr:uid="{00000000-0005-0000-0000-000091330000}"/>
    <cellStyle name="스타일 174" xfId="12859" xr:uid="{00000000-0005-0000-0000-000092330000}"/>
    <cellStyle name="스타일 174 2" xfId="12860" xr:uid="{00000000-0005-0000-0000-000093330000}"/>
    <cellStyle name="스타일 175" xfId="12861" xr:uid="{00000000-0005-0000-0000-000094330000}"/>
    <cellStyle name="스타일 175 2" xfId="12862" xr:uid="{00000000-0005-0000-0000-000095330000}"/>
    <cellStyle name="스타일 176" xfId="12863" xr:uid="{00000000-0005-0000-0000-000096330000}"/>
    <cellStyle name="스타일 176 2" xfId="12864" xr:uid="{00000000-0005-0000-0000-000097330000}"/>
    <cellStyle name="스타일 177" xfId="12865" xr:uid="{00000000-0005-0000-0000-000098330000}"/>
    <cellStyle name="스타일 177 2" xfId="12866" xr:uid="{00000000-0005-0000-0000-000099330000}"/>
    <cellStyle name="스타일 178" xfId="12867" xr:uid="{00000000-0005-0000-0000-00009A330000}"/>
    <cellStyle name="스타일 178 2" xfId="12868" xr:uid="{00000000-0005-0000-0000-00009B330000}"/>
    <cellStyle name="스타일 179" xfId="12869" xr:uid="{00000000-0005-0000-0000-00009C330000}"/>
    <cellStyle name="스타일 179 2" xfId="12870" xr:uid="{00000000-0005-0000-0000-00009D330000}"/>
    <cellStyle name="스타일 18" xfId="12871" xr:uid="{00000000-0005-0000-0000-00009E330000}"/>
    <cellStyle name="스타일 18 2" xfId="12872" xr:uid="{00000000-0005-0000-0000-00009F330000}"/>
    <cellStyle name="스타일 180" xfId="12873" xr:uid="{00000000-0005-0000-0000-0000A0330000}"/>
    <cellStyle name="스타일 180 2" xfId="12874" xr:uid="{00000000-0005-0000-0000-0000A1330000}"/>
    <cellStyle name="스타일 181" xfId="12875" xr:uid="{00000000-0005-0000-0000-0000A2330000}"/>
    <cellStyle name="스타일 181 2" xfId="12876" xr:uid="{00000000-0005-0000-0000-0000A3330000}"/>
    <cellStyle name="스타일 182" xfId="12877" xr:uid="{00000000-0005-0000-0000-0000A4330000}"/>
    <cellStyle name="스타일 182 2" xfId="12878" xr:uid="{00000000-0005-0000-0000-0000A5330000}"/>
    <cellStyle name="스타일 183" xfId="12879" xr:uid="{00000000-0005-0000-0000-0000A6330000}"/>
    <cellStyle name="스타일 183 2" xfId="12880" xr:uid="{00000000-0005-0000-0000-0000A7330000}"/>
    <cellStyle name="스타일 184" xfId="12881" xr:uid="{00000000-0005-0000-0000-0000A8330000}"/>
    <cellStyle name="스타일 184 2" xfId="12882" xr:uid="{00000000-0005-0000-0000-0000A9330000}"/>
    <cellStyle name="스타일 185" xfId="12883" xr:uid="{00000000-0005-0000-0000-0000AA330000}"/>
    <cellStyle name="스타일 185 2" xfId="12884" xr:uid="{00000000-0005-0000-0000-0000AB330000}"/>
    <cellStyle name="스타일 186" xfId="12885" xr:uid="{00000000-0005-0000-0000-0000AC330000}"/>
    <cellStyle name="스타일 186 2" xfId="12886" xr:uid="{00000000-0005-0000-0000-0000AD330000}"/>
    <cellStyle name="스타일 187" xfId="12887" xr:uid="{00000000-0005-0000-0000-0000AE330000}"/>
    <cellStyle name="스타일 187 2" xfId="12888" xr:uid="{00000000-0005-0000-0000-0000AF330000}"/>
    <cellStyle name="스타일 188" xfId="12889" xr:uid="{00000000-0005-0000-0000-0000B0330000}"/>
    <cellStyle name="스타일 188 2" xfId="12890" xr:uid="{00000000-0005-0000-0000-0000B1330000}"/>
    <cellStyle name="스타일 189" xfId="12891" xr:uid="{00000000-0005-0000-0000-0000B2330000}"/>
    <cellStyle name="스타일 189 2" xfId="12892" xr:uid="{00000000-0005-0000-0000-0000B3330000}"/>
    <cellStyle name="스타일 19" xfId="12893" xr:uid="{00000000-0005-0000-0000-0000B4330000}"/>
    <cellStyle name="스타일 19 2" xfId="12894" xr:uid="{00000000-0005-0000-0000-0000B5330000}"/>
    <cellStyle name="스타일 190" xfId="12895" xr:uid="{00000000-0005-0000-0000-0000B6330000}"/>
    <cellStyle name="스타일 190 2" xfId="12896" xr:uid="{00000000-0005-0000-0000-0000B7330000}"/>
    <cellStyle name="스타일 191" xfId="12897" xr:uid="{00000000-0005-0000-0000-0000B8330000}"/>
    <cellStyle name="스타일 191 2" xfId="12898" xr:uid="{00000000-0005-0000-0000-0000B9330000}"/>
    <cellStyle name="스타일 192" xfId="12899" xr:uid="{00000000-0005-0000-0000-0000BA330000}"/>
    <cellStyle name="스타일 192 2" xfId="12900" xr:uid="{00000000-0005-0000-0000-0000BB330000}"/>
    <cellStyle name="스타일 193" xfId="12901" xr:uid="{00000000-0005-0000-0000-0000BC330000}"/>
    <cellStyle name="스타일 193 2" xfId="12902" xr:uid="{00000000-0005-0000-0000-0000BD330000}"/>
    <cellStyle name="스타일 194" xfId="12903" xr:uid="{00000000-0005-0000-0000-0000BE330000}"/>
    <cellStyle name="스타일 194 2" xfId="12904" xr:uid="{00000000-0005-0000-0000-0000BF330000}"/>
    <cellStyle name="스타일 195" xfId="12905" xr:uid="{00000000-0005-0000-0000-0000C0330000}"/>
    <cellStyle name="스타일 195 2" xfId="12906" xr:uid="{00000000-0005-0000-0000-0000C1330000}"/>
    <cellStyle name="스타일 196" xfId="12907" xr:uid="{00000000-0005-0000-0000-0000C2330000}"/>
    <cellStyle name="스타일 196 2" xfId="12908" xr:uid="{00000000-0005-0000-0000-0000C3330000}"/>
    <cellStyle name="스타일 197" xfId="12909" xr:uid="{00000000-0005-0000-0000-0000C4330000}"/>
    <cellStyle name="스타일 197 2" xfId="12910" xr:uid="{00000000-0005-0000-0000-0000C5330000}"/>
    <cellStyle name="스타일 198" xfId="12911" xr:uid="{00000000-0005-0000-0000-0000C6330000}"/>
    <cellStyle name="스타일 198 2" xfId="12912" xr:uid="{00000000-0005-0000-0000-0000C7330000}"/>
    <cellStyle name="스타일 199" xfId="12913" xr:uid="{00000000-0005-0000-0000-0000C8330000}"/>
    <cellStyle name="스타일 199 2" xfId="12914" xr:uid="{00000000-0005-0000-0000-0000C9330000}"/>
    <cellStyle name="스타일 2" xfId="12915" xr:uid="{00000000-0005-0000-0000-0000CA330000}"/>
    <cellStyle name="스타일 2 2" xfId="12916" xr:uid="{00000000-0005-0000-0000-0000CB330000}"/>
    <cellStyle name="스타일 2 3" xfId="12917" xr:uid="{00000000-0005-0000-0000-0000CC330000}"/>
    <cellStyle name="스타일 20" xfId="12918" xr:uid="{00000000-0005-0000-0000-0000CD330000}"/>
    <cellStyle name="스타일 20 2" xfId="12919" xr:uid="{00000000-0005-0000-0000-0000CE330000}"/>
    <cellStyle name="스타일 200" xfId="12920" xr:uid="{00000000-0005-0000-0000-0000CF330000}"/>
    <cellStyle name="스타일 200 2" xfId="12921" xr:uid="{00000000-0005-0000-0000-0000D0330000}"/>
    <cellStyle name="스타일 201" xfId="12922" xr:uid="{00000000-0005-0000-0000-0000D1330000}"/>
    <cellStyle name="스타일 201 2" xfId="12923" xr:uid="{00000000-0005-0000-0000-0000D2330000}"/>
    <cellStyle name="스타일 202" xfId="12924" xr:uid="{00000000-0005-0000-0000-0000D3330000}"/>
    <cellStyle name="스타일 202 2" xfId="12925" xr:uid="{00000000-0005-0000-0000-0000D4330000}"/>
    <cellStyle name="스타일 203" xfId="12926" xr:uid="{00000000-0005-0000-0000-0000D5330000}"/>
    <cellStyle name="스타일 203 2" xfId="12927" xr:uid="{00000000-0005-0000-0000-0000D6330000}"/>
    <cellStyle name="스타일 204" xfId="12928" xr:uid="{00000000-0005-0000-0000-0000D7330000}"/>
    <cellStyle name="스타일 204 2" xfId="12929" xr:uid="{00000000-0005-0000-0000-0000D8330000}"/>
    <cellStyle name="스타일 205" xfId="12930" xr:uid="{00000000-0005-0000-0000-0000D9330000}"/>
    <cellStyle name="스타일 205 2" xfId="12931" xr:uid="{00000000-0005-0000-0000-0000DA330000}"/>
    <cellStyle name="스타일 206" xfId="12932" xr:uid="{00000000-0005-0000-0000-0000DB330000}"/>
    <cellStyle name="스타일 206 2" xfId="12933" xr:uid="{00000000-0005-0000-0000-0000DC330000}"/>
    <cellStyle name="스타일 207" xfId="12934" xr:uid="{00000000-0005-0000-0000-0000DD330000}"/>
    <cellStyle name="스타일 207 2" xfId="12935" xr:uid="{00000000-0005-0000-0000-0000DE330000}"/>
    <cellStyle name="스타일 208" xfId="12936" xr:uid="{00000000-0005-0000-0000-0000DF330000}"/>
    <cellStyle name="스타일 208 2" xfId="12937" xr:uid="{00000000-0005-0000-0000-0000E0330000}"/>
    <cellStyle name="스타일 209" xfId="12938" xr:uid="{00000000-0005-0000-0000-0000E1330000}"/>
    <cellStyle name="스타일 209 2" xfId="12939" xr:uid="{00000000-0005-0000-0000-0000E2330000}"/>
    <cellStyle name="스타일 21" xfId="12940" xr:uid="{00000000-0005-0000-0000-0000E3330000}"/>
    <cellStyle name="스타일 21 2" xfId="12941" xr:uid="{00000000-0005-0000-0000-0000E4330000}"/>
    <cellStyle name="스타일 210" xfId="12942" xr:uid="{00000000-0005-0000-0000-0000E5330000}"/>
    <cellStyle name="스타일 210 2" xfId="12943" xr:uid="{00000000-0005-0000-0000-0000E6330000}"/>
    <cellStyle name="스타일 211" xfId="12944" xr:uid="{00000000-0005-0000-0000-0000E7330000}"/>
    <cellStyle name="스타일 211 2" xfId="12945" xr:uid="{00000000-0005-0000-0000-0000E8330000}"/>
    <cellStyle name="스타일 212" xfId="12946" xr:uid="{00000000-0005-0000-0000-0000E9330000}"/>
    <cellStyle name="스타일 212 2" xfId="12947" xr:uid="{00000000-0005-0000-0000-0000EA330000}"/>
    <cellStyle name="스타일 213" xfId="12948" xr:uid="{00000000-0005-0000-0000-0000EB330000}"/>
    <cellStyle name="스타일 213 2" xfId="12949" xr:uid="{00000000-0005-0000-0000-0000EC330000}"/>
    <cellStyle name="스타일 214" xfId="12950" xr:uid="{00000000-0005-0000-0000-0000ED330000}"/>
    <cellStyle name="스타일 214 2" xfId="12951" xr:uid="{00000000-0005-0000-0000-0000EE330000}"/>
    <cellStyle name="스타일 215" xfId="12952" xr:uid="{00000000-0005-0000-0000-0000EF330000}"/>
    <cellStyle name="스타일 215 2" xfId="12953" xr:uid="{00000000-0005-0000-0000-0000F0330000}"/>
    <cellStyle name="스타일 216" xfId="12954" xr:uid="{00000000-0005-0000-0000-0000F1330000}"/>
    <cellStyle name="스타일 216 2" xfId="12955" xr:uid="{00000000-0005-0000-0000-0000F2330000}"/>
    <cellStyle name="스타일 217" xfId="12956" xr:uid="{00000000-0005-0000-0000-0000F3330000}"/>
    <cellStyle name="스타일 217 2" xfId="12957" xr:uid="{00000000-0005-0000-0000-0000F4330000}"/>
    <cellStyle name="스타일 218" xfId="12958" xr:uid="{00000000-0005-0000-0000-0000F5330000}"/>
    <cellStyle name="스타일 218 2" xfId="12959" xr:uid="{00000000-0005-0000-0000-0000F6330000}"/>
    <cellStyle name="스타일 219" xfId="12960" xr:uid="{00000000-0005-0000-0000-0000F7330000}"/>
    <cellStyle name="스타일 219 2" xfId="12961" xr:uid="{00000000-0005-0000-0000-0000F8330000}"/>
    <cellStyle name="스타일 22" xfId="12962" xr:uid="{00000000-0005-0000-0000-0000F9330000}"/>
    <cellStyle name="스타일 220" xfId="12963" xr:uid="{00000000-0005-0000-0000-0000FA330000}"/>
    <cellStyle name="스타일 220 2" xfId="12964" xr:uid="{00000000-0005-0000-0000-0000FB330000}"/>
    <cellStyle name="스타일 221" xfId="12965" xr:uid="{00000000-0005-0000-0000-0000FC330000}"/>
    <cellStyle name="스타일 221 2" xfId="12966" xr:uid="{00000000-0005-0000-0000-0000FD330000}"/>
    <cellStyle name="스타일 222" xfId="12967" xr:uid="{00000000-0005-0000-0000-0000FE330000}"/>
    <cellStyle name="스타일 222 2" xfId="12968" xr:uid="{00000000-0005-0000-0000-0000FF330000}"/>
    <cellStyle name="스타일 223" xfId="12969" xr:uid="{00000000-0005-0000-0000-000000340000}"/>
    <cellStyle name="스타일 223 2" xfId="12970" xr:uid="{00000000-0005-0000-0000-000001340000}"/>
    <cellStyle name="스타일 224" xfId="12971" xr:uid="{00000000-0005-0000-0000-000002340000}"/>
    <cellStyle name="스타일 224 2" xfId="12972" xr:uid="{00000000-0005-0000-0000-000003340000}"/>
    <cellStyle name="스타일 225" xfId="12973" xr:uid="{00000000-0005-0000-0000-000004340000}"/>
    <cellStyle name="스타일 225 2" xfId="12974" xr:uid="{00000000-0005-0000-0000-000005340000}"/>
    <cellStyle name="스타일 226" xfId="12975" xr:uid="{00000000-0005-0000-0000-000006340000}"/>
    <cellStyle name="스타일 226 2" xfId="12976" xr:uid="{00000000-0005-0000-0000-000007340000}"/>
    <cellStyle name="스타일 227" xfId="12977" xr:uid="{00000000-0005-0000-0000-000008340000}"/>
    <cellStyle name="스타일 227 2" xfId="12978" xr:uid="{00000000-0005-0000-0000-000009340000}"/>
    <cellStyle name="스타일 228" xfId="12979" xr:uid="{00000000-0005-0000-0000-00000A340000}"/>
    <cellStyle name="스타일 228 2" xfId="12980" xr:uid="{00000000-0005-0000-0000-00000B340000}"/>
    <cellStyle name="스타일 229" xfId="12981" xr:uid="{00000000-0005-0000-0000-00000C340000}"/>
    <cellStyle name="스타일 229 2" xfId="12982" xr:uid="{00000000-0005-0000-0000-00000D340000}"/>
    <cellStyle name="스타일 23" xfId="12983" xr:uid="{00000000-0005-0000-0000-00000E340000}"/>
    <cellStyle name="스타일 23 2" xfId="12984" xr:uid="{00000000-0005-0000-0000-00000F340000}"/>
    <cellStyle name="스타일 230" xfId="12985" xr:uid="{00000000-0005-0000-0000-000010340000}"/>
    <cellStyle name="스타일 230 2" xfId="12986" xr:uid="{00000000-0005-0000-0000-000011340000}"/>
    <cellStyle name="스타일 231" xfId="12987" xr:uid="{00000000-0005-0000-0000-000012340000}"/>
    <cellStyle name="스타일 231 2" xfId="12988" xr:uid="{00000000-0005-0000-0000-000013340000}"/>
    <cellStyle name="스타일 232" xfId="12989" xr:uid="{00000000-0005-0000-0000-000014340000}"/>
    <cellStyle name="스타일 232 2" xfId="12990" xr:uid="{00000000-0005-0000-0000-000015340000}"/>
    <cellStyle name="스타일 233" xfId="12991" xr:uid="{00000000-0005-0000-0000-000016340000}"/>
    <cellStyle name="스타일 233 2" xfId="12992" xr:uid="{00000000-0005-0000-0000-000017340000}"/>
    <cellStyle name="스타일 234" xfId="12993" xr:uid="{00000000-0005-0000-0000-000018340000}"/>
    <cellStyle name="스타일 234 2" xfId="12994" xr:uid="{00000000-0005-0000-0000-000019340000}"/>
    <cellStyle name="스타일 235" xfId="12995" xr:uid="{00000000-0005-0000-0000-00001A340000}"/>
    <cellStyle name="스타일 235 2" xfId="12996" xr:uid="{00000000-0005-0000-0000-00001B340000}"/>
    <cellStyle name="스타일 236" xfId="12997" xr:uid="{00000000-0005-0000-0000-00001C340000}"/>
    <cellStyle name="스타일 236 2" xfId="12998" xr:uid="{00000000-0005-0000-0000-00001D340000}"/>
    <cellStyle name="스타일 237" xfId="12999" xr:uid="{00000000-0005-0000-0000-00001E340000}"/>
    <cellStyle name="스타일 237 2" xfId="13000" xr:uid="{00000000-0005-0000-0000-00001F340000}"/>
    <cellStyle name="스타일 238" xfId="13001" xr:uid="{00000000-0005-0000-0000-000020340000}"/>
    <cellStyle name="스타일 238 2" xfId="13002" xr:uid="{00000000-0005-0000-0000-000021340000}"/>
    <cellStyle name="스타일 239" xfId="13003" xr:uid="{00000000-0005-0000-0000-000022340000}"/>
    <cellStyle name="스타일 239 2" xfId="13004" xr:uid="{00000000-0005-0000-0000-000023340000}"/>
    <cellStyle name="스타일 24" xfId="13005" xr:uid="{00000000-0005-0000-0000-000024340000}"/>
    <cellStyle name="스타일 240" xfId="13006" xr:uid="{00000000-0005-0000-0000-000025340000}"/>
    <cellStyle name="스타일 240 2" xfId="13007" xr:uid="{00000000-0005-0000-0000-000026340000}"/>
    <cellStyle name="스타일 241" xfId="13008" xr:uid="{00000000-0005-0000-0000-000027340000}"/>
    <cellStyle name="스타일 241 2" xfId="13009" xr:uid="{00000000-0005-0000-0000-000028340000}"/>
    <cellStyle name="스타일 242" xfId="13010" xr:uid="{00000000-0005-0000-0000-000029340000}"/>
    <cellStyle name="스타일 242 2" xfId="13011" xr:uid="{00000000-0005-0000-0000-00002A340000}"/>
    <cellStyle name="스타일 243" xfId="13012" xr:uid="{00000000-0005-0000-0000-00002B340000}"/>
    <cellStyle name="스타일 243 2" xfId="13013" xr:uid="{00000000-0005-0000-0000-00002C340000}"/>
    <cellStyle name="스타일 244" xfId="13014" xr:uid="{00000000-0005-0000-0000-00002D340000}"/>
    <cellStyle name="스타일 244 2" xfId="13015" xr:uid="{00000000-0005-0000-0000-00002E340000}"/>
    <cellStyle name="스타일 245" xfId="13016" xr:uid="{00000000-0005-0000-0000-00002F340000}"/>
    <cellStyle name="스타일 245 2" xfId="13017" xr:uid="{00000000-0005-0000-0000-000030340000}"/>
    <cellStyle name="스타일 246" xfId="13018" xr:uid="{00000000-0005-0000-0000-000031340000}"/>
    <cellStyle name="스타일 246 2" xfId="13019" xr:uid="{00000000-0005-0000-0000-000032340000}"/>
    <cellStyle name="스타일 247" xfId="13020" xr:uid="{00000000-0005-0000-0000-000033340000}"/>
    <cellStyle name="스타일 247 2" xfId="13021" xr:uid="{00000000-0005-0000-0000-000034340000}"/>
    <cellStyle name="스타일 248" xfId="13022" xr:uid="{00000000-0005-0000-0000-000035340000}"/>
    <cellStyle name="스타일 248 2" xfId="13023" xr:uid="{00000000-0005-0000-0000-000036340000}"/>
    <cellStyle name="스타일 249" xfId="13024" xr:uid="{00000000-0005-0000-0000-000037340000}"/>
    <cellStyle name="스타일 249 2" xfId="13025" xr:uid="{00000000-0005-0000-0000-000038340000}"/>
    <cellStyle name="스타일 25" xfId="13026" xr:uid="{00000000-0005-0000-0000-000039340000}"/>
    <cellStyle name="스타일 250" xfId="13027" xr:uid="{00000000-0005-0000-0000-00003A340000}"/>
    <cellStyle name="스타일 250 2" xfId="13028" xr:uid="{00000000-0005-0000-0000-00003B340000}"/>
    <cellStyle name="스타일 251" xfId="13029" xr:uid="{00000000-0005-0000-0000-00003C340000}"/>
    <cellStyle name="스타일 251 2" xfId="13030" xr:uid="{00000000-0005-0000-0000-00003D340000}"/>
    <cellStyle name="스타일 252" xfId="13031" xr:uid="{00000000-0005-0000-0000-00003E340000}"/>
    <cellStyle name="스타일 252 2" xfId="13032" xr:uid="{00000000-0005-0000-0000-00003F340000}"/>
    <cellStyle name="스타일 253" xfId="13033" xr:uid="{00000000-0005-0000-0000-000040340000}"/>
    <cellStyle name="스타일 253 2" xfId="13034" xr:uid="{00000000-0005-0000-0000-000041340000}"/>
    <cellStyle name="스타일 254" xfId="13035" xr:uid="{00000000-0005-0000-0000-000042340000}"/>
    <cellStyle name="스타일 254 2" xfId="13036" xr:uid="{00000000-0005-0000-0000-000043340000}"/>
    <cellStyle name="스타일 255" xfId="13037" xr:uid="{00000000-0005-0000-0000-000044340000}"/>
    <cellStyle name="스타일 255 2" xfId="13038" xr:uid="{00000000-0005-0000-0000-000045340000}"/>
    <cellStyle name="스타일 256" xfId="13039" xr:uid="{00000000-0005-0000-0000-000046340000}"/>
    <cellStyle name="스타일 257" xfId="13040" xr:uid="{00000000-0005-0000-0000-000047340000}"/>
    <cellStyle name="스타일 258" xfId="13041" xr:uid="{00000000-0005-0000-0000-000048340000}"/>
    <cellStyle name="스타일 259" xfId="13042" xr:uid="{00000000-0005-0000-0000-000049340000}"/>
    <cellStyle name="스타일 26" xfId="13043" xr:uid="{00000000-0005-0000-0000-00004A340000}"/>
    <cellStyle name="스타일 260" xfId="13044" xr:uid="{00000000-0005-0000-0000-00004B340000}"/>
    <cellStyle name="스타일 261" xfId="13045" xr:uid="{00000000-0005-0000-0000-00004C340000}"/>
    <cellStyle name="스타일 262" xfId="13046" xr:uid="{00000000-0005-0000-0000-00004D340000}"/>
    <cellStyle name="스타일 263" xfId="13047" xr:uid="{00000000-0005-0000-0000-00004E340000}"/>
    <cellStyle name="스타일 264" xfId="13048" xr:uid="{00000000-0005-0000-0000-00004F340000}"/>
    <cellStyle name="스타일 265" xfId="13049" xr:uid="{00000000-0005-0000-0000-000050340000}"/>
    <cellStyle name="스타일 266" xfId="13050" xr:uid="{00000000-0005-0000-0000-000051340000}"/>
    <cellStyle name="스타일 267" xfId="13051" xr:uid="{00000000-0005-0000-0000-000052340000}"/>
    <cellStyle name="스타일 268" xfId="13052" xr:uid="{00000000-0005-0000-0000-000053340000}"/>
    <cellStyle name="스타일 269" xfId="13053" xr:uid="{00000000-0005-0000-0000-000054340000}"/>
    <cellStyle name="스타일 27" xfId="13054" xr:uid="{00000000-0005-0000-0000-000055340000}"/>
    <cellStyle name="스타일 270" xfId="13055" xr:uid="{00000000-0005-0000-0000-000056340000}"/>
    <cellStyle name="스타일 271" xfId="13056" xr:uid="{00000000-0005-0000-0000-000057340000}"/>
    <cellStyle name="스타일 272" xfId="13057" xr:uid="{00000000-0005-0000-0000-000058340000}"/>
    <cellStyle name="스타일 273" xfId="13058" xr:uid="{00000000-0005-0000-0000-000059340000}"/>
    <cellStyle name="스타일 274" xfId="13059" xr:uid="{00000000-0005-0000-0000-00005A340000}"/>
    <cellStyle name="스타일 275" xfId="13060" xr:uid="{00000000-0005-0000-0000-00005B340000}"/>
    <cellStyle name="스타일 276" xfId="13061" xr:uid="{00000000-0005-0000-0000-00005C340000}"/>
    <cellStyle name="스타일 277" xfId="13062" xr:uid="{00000000-0005-0000-0000-00005D340000}"/>
    <cellStyle name="스타일 278" xfId="13063" xr:uid="{00000000-0005-0000-0000-00005E340000}"/>
    <cellStyle name="스타일 279" xfId="13064" xr:uid="{00000000-0005-0000-0000-00005F340000}"/>
    <cellStyle name="스타일 28" xfId="13065" xr:uid="{00000000-0005-0000-0000-000060340000}"/>
    <cellStyle name="스타일 280" xfId="13066" xr:uid="{00000000-0005-0000-0000-000061340000}"/>
    <cellStyle name="스타일 281" xfId="13067" xr:uid="{00000000-0005-0000-0000-000062340000}"/>
    <cellStyle name="스타일 282" xfId="13068" xr:uid="{00000000-0005-0000-0000-000063340000}"/>
    <cellStyle name="스타일 283" xfId="13069" xr:uid="{00000000-0005-0000-0000-000064340000}"/>
    <cellStyle name="스타일 284" xfId="13070" xr:uid="{00000000-0005-0000-0000-000065340000}"/>
    <cellStyle name="스타일 285" xfId="13071" xr:uid="{00000000-0005-0000-0000-000066340000}"/>
    <cellStyle name="스타일 286" xfId="13072" xr:uid="{00000000-0005-0000-0000-000067340000}"/>
    <cellStyle name="스타일 287" xfId="13073" xr:uid="{00000000-0005-0000-0000-000068340000}"/>
    <cellStyle name="스타일 288" xfId="13074" xr:uid="{00000000-0005-0000-0000-000069340000}"/>
    <cellStyle name="스타일 289" xfId="13075" xr:uid="{00000000-0005-0000-0000-00006A340000}"/>
    <cellStyle name="스타일 29" xfId="13076" xr:uid="{00000000-0005-0000-0000-00006B340000}"/>
    <cellStyle name="스타일 290" xfId="13077" xr:uid="{00000000-0005-0000-0000-00006C340000}"/>
    <cellStyle name="스타일 291" xfId="13078" xr:uid="{00000000-0005-0000-0000-00006D340000}"/>
    <cellStyle name="스타일 292" xfId="13079" xr:uid="{00000000-0005-0000-0000-00006E340000}"/>
    <cellStyle name="스타일 293" xfId="13080" xr:uid="{00000000-0005-0000-0000-00006F340000}"/>
    <cellStyle name="스타일 294" xfId="13081" xr:uid="{00000000-0005-0000-0000-000070340000}"/>
    <cellStyle name="스타일 295" xfId="13082" xr:uid="{00000000-0005-0000-0000-000071340000}"/>
    <cellStyle name="스타일 296" xfId="13083" xr:uid="{00000000-0005-0000-0000-000072340000}"/>
    <cellStyle name="스타일 297" xfId="13084" xr:uid="{00000000-0005-0000-0000-000073340000}"/>
    <cellStyle name="스타일 298" xfId="13085" xr:uid="{00000000-0005-0000-0000-000074340000}"/>
    <cellStyle name="스타일 299" xfId="13086" xr:uid="{00000000-0005-0000-0000-000075340000}"/>
    <cellStyle name="스타일 3" xfId="13087" xr:uid="{00000000-0005-0000-0000-000076340000}"/>
    <cellStyle name="스타일 3 2" xfId="13088" xr:uid="{00000000-0005-0000-0000-000077340000}"/>
    <cellStyle name="스타일 3 3" xfId="13089" xr:uid="{00000000-0005-0000-0000-000078340000}"/>
    <cellStyle name="스타일 30" xfId="13090" xr:uid="{00000000-0005-0000-0000-000079340000}"/>
    <cellStyle name="스타일 300" xfId="13091" xr:uid="{00000000-0005-0000-0000-00007A340000}"/>
    <cellStyle name="스타일 301" xfId="13092" xr:uid="{00000000-0005-0000-0000-00007B340000}"/>
    <cellStyle name="스타일 302" xfId="13093" xr:uid="{00000000-0005-0000-0000-00007C340000}"/>
    <cellStyle name="스타일 303" xfId="13094" xr:uid="{00000000-0005-0000-0000-00007D340000}"/>
    <cellStyle name="스타일 304" xfId="13095" xr:uid="{00000000-0005-0000-0000-00007E340000}"/>
    <cellStyle name="스타일 305" xfId="13096" xr:uid="{00000000-0005-0000-0000-00007F340000}"/>
    <cellStyle name="스타일 306" xfId="13097" xr:uid="{00000000-0005-0000-0000-000080340000}"/>
    <cellStyle name="스타일 307" xfId="13098" xr:uid="{00000000-0005-0000-0000-000081340000}"/>
    <cellStyle name="스타일 308" xfId="13099" xr:uid="{00000000-0005-0000-0000-000082340000}"/>
    <cellStyle name="스타일 309" xfId="13100" xr:uid="{00000000-0005-0000-0000-000083340000}"/>
    <cellStyle name="스타일 31" xfId="13101" xr:uid="{00000000-0005-0000-0000-000084340000}"/>
    <cellStyle name="스타일 310" xfId="13102" xr:uid="{00000000-0005-0000-0000-000085340000}"/>
    <cellStyle name="스타일 311" xfId="13103" xr:uid="{00000000-0005-0000-0000-000086340000}"/>
    <cellStyle name="스타일 312" xfId="13104" xr:uid="{00000000-0005-0000-0000-000087340000}"/>
    <cellStyle name="스타일 313" xfId="13105" xr:uid="{00000000-0005-0000-0000-000088340000}"/>
    <cellStyle name="스타일 314" xfId="13106" xr:uid="{00000000-0005-0000-0000-000089340000}"/>
    <cellStyle name="스타일 315" xfId="13107" xr:uid="{00000000-0005-0000-0000-00008A340000}"/>
    <cellStyle name="스타일 316" xfId="13108" xr:uid="{00000000-0005-0000-0000-00008B340000}"/>
    <cellStyle name="스타일 317" xfId="13109" xr:uid="{00000000-0005-0000-0000-00008C340000}"/>
    <cellStyle name="스타일 318" xfId="13110" xr:uid="{00000000-0005-0000-0000-00008D340000}"/>
    <cellStyle name="스타일 319" xfId="13111" xr:uid="{00000000-0005-0000-0000-00008E340000}"/>
    <cellStyle name="스타일 32" xfId="13112" xr:uid="{00000000-0005-0000-0000-00008F340000}"/>
    <cellStyle name="스타일 320" xfId="13113" xr:uid="{00000000-0005-0000-0000-000090340000}"/>
    <cellStyle name="스타일 321" xfId="13114" xr:uid="{00000000-0005-0000-0000-000091340000}"/>
    <cellStyle name="스타일 322" xfId="13115" xr:uid="{00000000-0005-0000-0000-000092340000}"/>
    <cellStyle name="스타일 323" xfId="13116" xr:uid="{00000000-0005-0000-0000-000093340000}"/>
    <cellStyle name="스타일 324" xfId="13117" xr:uid="{00000000-0005-0000-0000-000094340000}"/>
    <cellStyle name="스타일 325" xfId="13118" xr:uid="{00000000-0005-0000-0000-000095340000}"/>
    <cellStyle name="스타일 326" xfId="13119" xr:uid="{00000000-0005-0000-0000-000096340000}"/>
    <cellStyle name="스타일 327" xfId="13120" xr:uid="{00000000-0005-0000-0000-000097340000}"/>
    <cellStyle name="스타일 328" xfId="13121" xr:uid="{00000000-0005-0000-0000-000098340000}"/>
    <cellStyle name="스타일 329" xfId="13122" xr:uid="{00000000-0005-0000-0000-000099340000}"/>
    <cellStyle name="스타일 33" xfId="13123" xr:uid="{00000000-0005-0000-0000-00009A340000}"/>
    <cellStyle name="스타일 330" xfId="13124" xr:uid="{00000000-0005-0000-0000-00009B340000}"/>
    <cellStyle name="스타일 331" xfId="13125" xr:uid="{00000000-0005-0000-0000-00009C340000}"/>
    <cellStyle name="스타일 332" xfId="13126" xr:uid="{00000000-0005-0000-0000-00009D340000}"/>
    <cellStyle name="스타일 333" xfId="13127" xr:uid="{00000000-0005-0000-0000-00009E340000}"/>
    <cellStyle name="스타일 334" xfId="13128" xr:uid="{00000000-0005-0000-0000-00009F340000}"/>
    <cellStyle name="스타일 335" xfId="13129" xr:uid="{00000000-0005-0000-0000-0000A0340000}"/>
    <cellStyle name="스타일 336" xfId="13130" xr:uid="{00000000-0005-0000-0000-0000A1340000}"/>
    <cellStyle name="스타일 337" xfId="13131" xr:uid="{00000000-0005-0000-0000-0000A2340000}"/>
    <cellStyle name="스타일 338" xfId="13132" xr:uid="{00000000-0005-0000-0000-0000A3340000}"/>
    <cellStyle name="스타일 339" xfId="13133" xr:uid="{00000000-0005-0000-0000-0000A4340000}"/>
    <cellStyle name="스타일 34" xfId="13134" xr:uid="{00000000-0005-0000-0000-0000A5340000}"/>
    <cellStyle name="스타일 340" xfId="13135" xr:uid="{00000000-0005-0000-0000-0000A6340000}"/>
    <cellStyle name="스타일 341" xfId="13136" xr:uid="{00000000-0005-0000-0000-0000A7340000}"/>
    <cellStyle name="스타일 342" xfId="13137" xr:uid="{00000000-0005-0000-0000-0000A8340000}"/>
    <cellStyle name="스타일 343" xfId="13138" xr:uid="{00000000-0005-0000-0000-0000A9340000}"/>
    <cellStyle name="스타일 344" xfId="13139" xr:uid="{00000000-0005-0000-0000-0000AA340000}"/>
    <cellStyle name="스타일 345" xfId="13140" xr:uid="{00000000-0005-0000-0000-0000AB340000}"/>
    <cellStyle name="스타일 346" xfId="13141" xr:uid="{00000000-0005-0000-0000-0000AC340000}"/>
    <cellStyle name="스타일 347" xfId="13142" xr:uid="{00000000-0005-0000-0000-0000AD340000}"/>
    <cellStyle name="스타일 348" xfId="13143" xr:uid="{00000000-0005-0000-0000-0000AE340000}"/>
    <cellStyle name="스타일 349" xfId="13144" xr:uid="{00000000-0005-0000-0000-0000AF340000}"/>
    <cellStyle name="스타일 35" xfId="13145" xr:uid="{00000000-0005-0000-0000-0000B0340000}"/>
    <cellStyle name="스타일 350" xfId="13146" xr:uid="{00000000-0005-0000-0000-0000B1340000}"/>
    <cellStyle name="스타일 351" xfId="13147" xr:uid="{00000000-0005-0000-0000-0000B2340000}"/>
    <cellStyle name="스타일 352" xfId="13148" xr:uid="{00000000-0005-0000-0000-0000B3340000}"/>
    <cellStyle name="스타일 353" xfId="13149" xr:uid="{00000000-0005-0000-0000-0000B4340000}"/>
    <cellStyle name="스타일 354" xfId="13150" xr:uid="{00000000-0005-0000-0000-0000B5340000}"/>
    <cellStyle name="스타일 355" xfId="13151" xr:uid="{00000000-0005-0000-0000-0000B6340000}"/>
    <cellStyle name="스타일 356" xfId="13152" xr:uid="{00000000-0005-0000-0000-0000B7340000}"/>
    <cellStyle name="스타일 357" xfId="13153" xr:uid="{00000000-0005-0000-0000-0000B8340000}"/>
    <cellStyle name="스타일 358" xfId="13154" xr:uid="{00000000-0005-0000-0000-0000B9340000}"/>
    <cellStyle name="스타일 359" xfId="13155" xr:uid="{00000000-0005-0000-0000-0000BA340000}"/>
    <cellStyle name="스타일 36" xfId="13156" xr:uid="{00000000-0005-0000-0000-0000BB340000}"/>
    <cellStyle name="스타일 36 2" xfId="13157" xr:uid="{00000000-0005-0000-0000-0000BC340000}"/>
    <cellStyle name="스타일 360" xfId="13158" xr:uid="{00000000-0005-0000-0000-0000BD340000}"/>
    <cellStyle name="스타일 361" xfId="13159" xr:uid="{00000000-0005-0000-0000-0000BE340000}"/>
    <cellStyle name="스타일 362" xfId="13160" xr:uid="{00000000-0005-0000-0000-0000BF340000}"/>
    <cellStyle name="스타일 363" xfId="13161" xr:uid="{00000000-0005-0000-0000-0000C0340000}"/>
    <cellStyle name="스타일 364" xfId="13162" xr:uid="{00000000-0005-0000-0000-0000C1340000}"/>
    <cellStyle name="스타일 365" xfId="13163" xr:uid="{00000000-0005-0000-0000-0000C2340000}"/>
    <cellStyle name="스타일 366" xfId="13164" xr:uid="{00000000-0005-0000-0000-0000C3340000}"/>
    <cellStyle name="스타일 367" xfId="13165" xr:uid="{00000000-0005-0000-0000-0000C4340000}"/>
    <cellStyle name="스타일 368" xfId="13166" xr:uid="{00000000-0005-0000-0000-0000C5340000}"/>
    <cellStyle name="스타일 369" xfId="13167" xr:uid="{00000000-0005-0000-0000-0000C6340000}"/>
    <cellStyle name="스타일 37" xfId="13168" xr:uid="{00000000-0005-0000-0000-0000C7340000}"/>
    <cellStyle name="스타일 370" xfId="13169" xr:uid="{00000000-0005-0000-0000-0000C8340000}"/>
    <cellStyle name="스타일 371" xfId="13170" xr:uid="{00000000-0005-0000-0000-0000C9340000}"/>
    <cellStyle name="스타일 372" xfId="13171" xr:uid="{00000000-0005-0000-0000-0000CA340000}"/>
    <cellStyle name="스타일 373" xfId="13172" xr:uid="{00000000-0005-0000-0000-0000CB340000}"/>
    <cellStyle name="스타일 374" xfId="13173" xr:uid="{00000000-0005-0000-0000-0000CC340000}"/>
    <cellStyle name="스타일 375" xfId="13174" xr:uid="{00000000-0005-0000-0000-0000CD340000}"/>
    <cellStyle name="스타일 376" xfId="13175" xr:uid="{00000000-0005-0000-0000-0000CE340000}"/>
    <cellStyle name="스타일 377" xfId="13176" xr:uid="{00000000-0005-0000-0000-0000CF340000}"/>
    <cellStyle name="스타일 378" xfId="13177" xr:uid="{00000000-0005-0000-0000-0000D0340000}"/>
    <cellStyle name="스타일 379" xfId="13178" xr:uid="{00000000-0005-0000-0000-0000D1340000}"/>
    <cellStyle name="스타일 38" xfId="13179" xr:uid="{00000000-0005-0000-0000-0000D2340000}"/>
    <cellStyle name="스타일 380" xfId="13180" xr:uid="{00000000-0005-0000-0000-0000D3340000}"/>
    <cellStyle name="스타일 381" xfId="13181" xr:uid="{00000000-0005-0000-0000-0000D4340000}"/>
    <cellStyle name="스타일 382" xfId="13182" xr:uid="{00000000-0005-0000-0000-0000D5340000}"/>
    <cellStyle name="스타일 383" xfId="13183" xr:uid="{00000000-0005-0000-0000-0000D6340000}"/>
    <cellStyle name="스타일 384" xfId="13184" xr:uid="{00000000-0005-0000-0000-0000D7340000}"/>
    <cellStyle name="스타일 385" xfId="13185" xr:uid="{00000000-0005-0000-0000-0000D8340000}"/>
    <cellStyle name="스타일 386" xfId="13186" xr:uid="{00000000-0005-0000-0000-0000D9340000}"/>
    <cellStyle name="스타일 387" xfId="13187" xr:uid="{00000000-0005-0000-0000-0000DA340000}"/>
    <cellStyle name="스타일 388" xfId="13188" xr:uid="{00000000-0005-0000-0000-0000DB340000}"/>
    <cellStyle name="스타일 389" xfId="13189" xr:uid="{00000000-0005-0000-0000-0000DC340000}"/>
    <cellStyle name="스타일 39" xfId="13190" xr:uid="{00000000-0005-0000-0000-0000DD340000}"/>
    <cellStyle name="스타일 390" xfId="13191" xr:uid="{00000000-0005-0000-0000-0000DE340000}"/>
    <cellStyle name="스타일 391" xfId="13192" xr:uid="{00000000-0005-0000-0000-0000DF340000}"/>
    <cellStyle name="스타일 392" xfId="13193" xr:uid="{00000000-0005-0000-0000-0000E0340000}"/>
    <cellStyle name="스타일 393" xfId="13194" xr:uid="{00000000-0005-0000-0000-0000E1340000}"/>
    <cellStyle name="스타일 394" xfId="13195" xr:uid="{00000000-0005-0000-0000-0000E2340000}"/>
    <cellStyle name="스타일 395" xfId="13196" xr:uid="{00000000-0005-0000-0000-0000E3340000}"/>
    <cellStyle name="스타일 396" xfId="13197" xr:uid="{00000000-0005-0000-0000-0000E4340000}"/>
    <cellStyle name="스타일 397" xfId="13198" xr:uid="{00000000-0005-0000-0000-0000E5340000}"/>
    <cellStyle name="스타일 398" xfId="13199" xr:uid="{00000000-0005-0000-0000-0000E6340000}"/>
    <cellStyle name="스타일 399" xfId="13200" xr:uid="{00000000-0005-0000-0000-0000E7340000}"/>
    <cellStyle name="스타일 4" xfId="13201" xr:uid="{00000000-0005-0000-0000-0000E8340000}"/>
    <cellStyle name="스타일 4 2" xfId="13202" xr:uid="{00000000-0005-0000-0000-0000E9340000}"/>
    <cellStyle name="스타일 4 3" xfId="13203" xr:uid="{00000000-0005-0000-0000-0000EA340000}"/>
    <cellStyle name="스타일 40" xfId="13204" xr:uid="{00000000-0005-0000-0000-0000EB340000}"/>
    <cellStyle name="스타일 400" xfId="13205" xr:uid="{00000000-0005-0000-0000-0000EC340000}"/>
    <cellStyle name="스타일 401" xfId="13206" xr:uid="{00000000-0005-0000-0000-0000ED340000}"/>
    <cellStyle name="스타일 402" xfId="13207" xr:uid="{00000000-0005-0000-0000-0000EE340000}"/>
    <cellStyle name="스타일 403" xfId="13208" xr:uid="{00000000-0005-0000-0000-0000EF340000}"/>
    <cellStyle name="스타일 404" xfId="13209" xr:uid="{00000000-0005-0000-0000-0000F0340000}"/>
    <cellStyle name="스타일 405" xfId="13210" xr:uid="{00000000-0005-0000-0000-0000F1340000}"/>
    <cellStyle name="스타일 406" xfId="13211" xr:uid="{00000000-0005-0000-0000-0000F2340000}"/>
    <cellStyle name="스타일 407" xfId="13212" xr:uid="{00000000-0005-0000-0000-0000F3340000}"/>
    <cellStyle name="스타일 408" xfId="13213" xr:uid="{00000000-0005-0000-0000-0000F4340000}"/>
    <cellStyle name="스타일 409" xfId="13214" xr:uid="{00000000-0005-0000-0000-0000F5340000}"/>
    <cellStyle name="스타일 41" xfId="13215" xr:uid="{00000000-0005-0000-0000-0000F6340000}"/>
    <cellStyle name="스타일 410" xfId="13216" xr:uid="{00000000-0005-0000-0000-0000F7340000}"/>
    <cellStyle name="스타일 411" xfId="13217" xr:uid="{00000000-0005-0000-0000-0000F8340000}"/>
    <cellStyle name="스타일 412" xfId="13218" xr:uid="{00000000-0005-0000-0000-0000F9340000}"/>
    <cellStyle name="스타일 413" xfId="13219" xr:uid="{00000000-0005-0000-0000-0000FA340000}"/>
    <cellStyle name="스타일 414" xfId="13220" xr:uid="{00000000-0005-0000-0000-0000FB340000}"/>
    <cellStyle name="스타일 415" xfId="13221" xr:uid="{00000000-0005-0000-0000-0000FC340000}"/>
    <cellStyle name="스타일 416" xfId="13222" xr:uid="{00000000-0005-0000-0000-0000FD340000}"/>
    <cellStyle name="스타일 417" xfId="13223" xr:uid="{00000000-0005-0000-0000-0000FE340000}"/>
    <cellStyle name="스타일 418" xfId="13224" xr:uid="{00000000-0005-0000-0000-0000FF340000}"/>
    <cellStyle name="스타일 419" xfId="13225" xr:uid="{00000000-0005-0000-0000-000000350000}"/>
    <cellStyle name="스타일 42" xfId="13226" xr:uid="{00000000-0005-0000-0000-000001350000}"/>
    <cellStyle name="스타일 420" xfId="13227" xr:uid="{00000000-0005-0000-0000-000002350000}"/>
    <cellStyle name="스타일 421" xfId="13228" xr:uid="{00000000-0005-0000-0000-000003350000}"/>
    <cellStyle name="스타일 422" xfId="13229" xr:uid="{00000000-0005-0000-0000-000004350000}"/>
    <cellStyle name="스타일 423" xfId="13230" xr:uid="{00000000-0005-0000-0000-000005350000}"/>
    <cellStyle name="스타일 424" xfId="13231" xr:uid="{00000000-0005-0000-0000-000006350000}"/>
    <cellStyle name="스타일 425" xfId="13232" xr:uid="{00000000-0005-0000-0000-000007350000}"/>
    <cellStyle name="스타일 426" xfId="13233" xr:uid="{00000000-0005-0000-0000-000008350000}"/>
    <cellStyle name="스타일 427" xfId="13234" xr:uid="{00000000-0005-0000-0000-000009350000}"/>
    <cellStyle name="스타일 428" xfId="13235" xr:uid="{00000000-0005-0000-0000-00000A350000}"/>
    <cellStyle name="스타일 429" xfId="13236" xr:uid="{00000000-0005-0000-0000-00000B350000}"/>
    <cellStyle name="스타일 43" xfId="13237" xr:uid="{00000000-0005-0000-0000-00000C350000}"/>
    <cellStyle name="스타일 430" xfId="13238" xr:uid="{00000000-0005-0000-0000-00000D350000}"/>
    <cellStyle name="스타일 431" xfId="13239" xr:uid="{00000000-0005-0000-0000-00000E350000}"/>
    <cellStyle name="스타일 432" xfId="13240" xr:uid="{00000000-0005-0000-0000-00000F350000}"/>
    <cellStyle name="스타일 433" xfId="13241" xr:uid="{00000000-0005-0000-0000-000010350000}"/>
    <cellStyle name="스타일 434" xfId="13242" xr:uid="{00000000-0005-0000-0000-000011350000}"/>
    <cellStyle name="스타일 435" xfId="13243" xr:uid="{00000000-0005-0000-0000-000012350000}"/>
    <cellStyle name="스타일 436" xfId="13244" xr:uid="{00000000-0005-0000-0000-000013350000}"/>
    <cellStyle name="스타일 437" xfId="13245" xr:uid="{00000000-0005-0000-0000-000014350000}"/>
    <cellStyle name="스타일 438" xfId="13246" xr:uid="{00000000-0005-0000-0000-000015350000}"/>
    <cellStyle name="스타일 439" xfId="13247" xr:uid="{00000000-0005-0000-0000-000016350000}"/>
    <cellStyle name="스타일 44" xfId="13248" xr:uid="{00000000-0005-0000-0000-000017350000}"/>
    <cellStyle name="스타일 440" xfId="13249" xr:uid="{00000000-0005-0000-0000-000018350000}"/>
    <cellStyle name="스타일 441" xfId="13250" xr:uid="{00000000-0005-0000-0000-000019350000}"/>
    <cellStyle name="스타일 442" xfId="13251" xr:uid="{00000000-0005-0000-0000-00001A350000}"/>
    <cellStyle name="스타일 443" xfId="13252" xr:uid="{00000000-0005-0000-0000-00001B350000}"/>
    <cellStyle name="스타일 444" xfId="13253" xr:uid="{00000000-0005-0000-0000-00001C350000}"/>
    <cellStyle name="스타일 445" xfId="13254" xr:uid="{00000000-0005-0000-0000-00001D350000}"/>
    <cellStyle name="스타일 446" xfId="13255" xr:uid="{00000000-0005-0000-0000-00001E350000}"/>
    <cellStyle name="스타일 447" xfId="13256" xr:uid="{00000000-0005-0000-0000-00001F350000}"/>
    <cellStyle name="스타일 448" xfId="13257" xr:uid="{00000000-0005-0000-0000-000020350000}"/>
    <cellStyle name="스타일 449" xfId="13258" xr:uid="{00000000-0005-0000-0000-000021350000}"/>
    <cellStyle name="스타일 45" xfId="13259" xr:uid="{00000000-0005-0000-0000-000022350000}"/>
    <cellStyle name="스타일 450" xfId="13260" xr:uid="{00000000-0005-0000-0000-000023350000}"/>
    <cellStyle name="스타일 451" xfId="13261" xr:uid="{00000000-0005-0000-0000-000024350000}"/>
    <cellStyle name="스타일 452" xfId="13262" xr:uid="{00000000-0005-0000-0000-000025350000}"/>
    <cellStyle name="스타일 453" xfId="13263" xr:uid="{00000000-0005-0000-0000-000026350000}"/>
    <cellStyle name="스타일 454" xfId="13264" xr:uid="{00000000-0005-0000-0000-000027350000}"/>
    <cellStyle name="스타일 455" xfId="13265" xr:uid="{00000000-0005-0000-0000-000028350000}"/>
    <cellStyle name="스타일 456" xfId="13266" xr:uid="{00000000-0005-0000-0000-000029350000}"/>
    <cellStyle name="스타일 457" xfId="13267" xr:uid="{00000000-0005-0000-0000-00002A350000}"/>
    <cellStyle name="스타일 458" xfId="13268" xr:uid="{00000000-0005-0000-0000-00002B350000}"/>
    <cellStyle name="스타일 459" xfId="13269" xr:uid="{00000000-0005-0000-0000-00002C350000}"/>
    <cellStyle name="스타일 46" xfId="13270" xr:uid="{00000000-0005-0000-0000-00002D350000}"/>
    <cellStyle name="스타일 460" xfId="13271" xr:uid="{00000000-0005-0000-0000-00002E350000}"/>
    <cellStyle name="스타일 461" xfId="13272" xr:uid="{00000000-0005-0000-0000-00002F350000}"/>
    <cellStyle name="스타일 462" xfId="13273" xr:uid="{00000000-0005-0000-0000-000030350000}"/>
    <cellStyle name="스타일 463" xfId="13274" xr:uid="{00000000-0005-0000-0000-000031350000}"/>
    <cellStyle name="스타일 464" xfId="13275" xr:uid="{00000000-0005-0000-0000-000032350000}"/>
    <cellStyle name="스타일 465" xfId="13276" xr:uid="{00000000-0005-0000-0000-000033350000}"/>
    <cellStyle name="스타일 466" xfId="13277" xr:uid="{00000000-0005-0000-0000-000034350000}"/>
    <cellStyle name="스타일 467" xfId="13278" xr:uid="{00000000-0005-0000-0000-000035350000}"/>
    <cellStyle name="스타일 468" xfId="13279" xr:uid="{00000000-0005-0000-0000-000036350000}"/>
    <cellStyle name="스타일 469" xfId="13280" xr:uid="{00000000-0005-0000-0000-000037350000}"/>
    <cellStyle name="스타일 47" xfId="13281" xr:uid="{00000000-0005-0000-0000-000038350000}"/>
    <cellStyle name="스타일 470" xfId="13282" xr:uid="{00000000-0005-0000-0000-000039350000}"/>
    <cellStyle name="스타일 471" xfId="13283" xr:uid="{00000000-0005-0000-0000-00003A350000}"/>
    <cellStyle name="스타일 472" xfId="13284" xr:uid="{00000000-0005-0000-0000-00003B350000}"/>
    <cellStyle name="스타일 473" xfId="13285" xr:uid="{00000000-0005-0000-0000-00003C350000}"/>
    <cellStyle name="스타일 474" xfId="13286" xr:uid="{00000000-0005-0000-0000-00003D350000}"/>
    <cellStyle name="스타일 475" xfId="13287" xr:uid="{00000000-0005-0000-0000-00003E350000}"/>
    <cellStyle name="스타일 476" xfId="13288" xr:uid="{00000000-0005-0000-0000-00003F350000}"/>
    <cellStyle name="스타일 477" xfId="13289" xr:uid="{00000000-0005-0000-0000-000040350000}"/>
    <cellStyle name="스타일 478" xfId="13290" xr:uid="{00000000-0005-0000-0000-000041350000}"/>
    <cellStyle name="스타일 479" xfId="13291" xr:uid="{00000000-0005-0000-0000-000042350000}"/>
    <cellStyle name="스타일 48" xfId="13292" xr:uid="{00000000-0005-0000-0000-000043350000}"/>
    <cellStyle name="스타일 48 2" xfId="13293" xr:uid="{00000000-0005-0000-0000-000044350000}"/>
    <cellStyle name="스타일 480" xfId="13294" xr:uid="{00000000-0005-0000-0000-000045350000}"/>
    <cellStyle name="스타일 481" xfId="13295" xr:uid="{00000000-0005-0000-0000-000046350000}"/>
    <cellStyle name="스타일 482" xfId="13296" xr:uid="{00000000-0005-0000-0000-000047350000}"/>
    <cellStyle name="스타일 483" xfId="13297" xr:uid="{00000000-0005-0000-0000-000048350000}"/>
    <cellStyle name="스타일 484" xfId="13298" xr:uid="{00000000-0005-0000-0000-000049350000}"/>
    <cellStyle name="스타일 485" xfId="13299" xr:uid="{00000000-0005-0000-0000-00004A350000}"/>
    <cellStyle name="스타일 486" xfId="13300" xr:uid="{00000000-0005-0000-0000-00004B350000}"/>
    <cellStyle name="스타일 487" xfId="13301" xr:uid="{00000000-0005-0000-0000-00004C350000}"/>
    <cellStyle name="스타일 488" xfId="13302" xr:uid="{00000000-0005-0000-0000-00004D350000}"/>
    <cellStyle name="스타일 489" xfId="13303" xr:uid="{00000000-0005-0000-0000-00004E350000}"/>
    <cellStyle name="스타일 49" xfId="13304" xr:uid="{00000000-0005-0000-0000-00004F350000}"/>
    <cellStyle name="스타일 49 2" xfId="13305" xr:uid="{00000000-0005-0000-0000-000050350000}"/>
    <cellStyle name="스타일 490" xfId="13306" xr:uid="{00000000-0005-0000-0000-000051350000}"/>
    <cellStyle name="스타일 491" xfId="13307" xr:uid="{00000000-0005-0000-0000-000052350000}"/>
    <cellStyle name="스타일 492" xfId="13308" xr:uid="{00000000-0005-0000-0000-000053350000}"/>
    <cellStyle name="스타일 493" xfId="13309" xr:uid="{00000000-0005-0000-0000-000054350000}"/>
    <cellStyle name="스타일 494" xfId="13310" xr:uid="{00000000-0005-0000-0000-000055350000}"/>
    <cellStyle name="스타일 495" xfId="13311" xr:uid="{00000000-0005-0000-0000-000056350000}"/>
    <cellStyle name="스타일 496" xfId="13312" xr:uid="{00000000-0005-0000-0000-000057350000}"/>
    <cellStyle name="스타일 497" xfId="13313" xr:uid="{00000000-0005-0000-0000-000058350000}"/>
    <cellStyle name="스타일 498" xfId="13314" xr:uid="{00000000-0005-0000-0000-000059350000}"/>
    <cellStyle name="스타일 499" xfId="13315" xr:uid="{00000000-0005-0000-0000-00005A350000}"/>
    <cellStyle name="스타일 5" xfId="13316" xr:uid="{00000000-0005-0000-0000-00005B350000}"/>
    <cellStyle name="스타일 5 2" xfId="13317" xr:uid="{00000000-0005-0000-0000-00005C350000}"/>
    <cellStyle name="스타일 5 3" xfId="13318" xr:uid="{00000000-0005-0000-0000-00005D350000}"/>
    <cellStyle name="스타일 50" xfId="13319" xr:uid="{00000000-0005-0000-0000-00005E350000}"/>
    <cellStyle name="스타일 50 2" xfId="13320" xr:uid="{00000000-0005-0000-0000-00005F350000}"/>
    <cellStyle name="스타일 500" xfId="13321" xr:uid="{00000000-0005-0000-0000-000060350000}"/>
    <cellStyle name="스타일 501" xfId="13322" xr:uid="{00000000-0005-0000-0000-000061350000}"/>
    <cellStyle name="스타일 502" xfId="13323" xr:uid="{00000000-0005-0000-0000-000062350000}"/>
    <cellStyle name="스타일 503" xfId="13324" xr:uid="{00000000-0005-0000-0000-000063350000}"/>
    <cellStyle name="스타일 504" xfId="13325" xr:uid="{00000000-0005-0000-0000-000064350000}"/>
    <cellStyle name="스타일 505" xfId="13326" xr:uid="{00000000-0005-0000-0000-000065350000}"/>
    <cellStyle name="스타일 506" xfId="13327" xr:uid="{00000000-0005-0000-0000-000066350000}"/>
    <cellStyle name="스타일 507" xfId="13328" xr:uid="{00000000-0005-0000-0000-000067350000}"/>
    <cellStyle name="스타일 508" xfId="13329" xr:uid="{00000000-0005-0000-0000-000068350000}"/>
    <cellStyle name="스타일 509" xfId="13330" xr:uid="{00000000-0005-0000-0000-000069350000}"/>
    <cellStyle name="스타일 51" xfId="13331" xr:uid="{00000000-0005-0000-0000-00006A350000}"/>
    <cellStyle name="스타일 51 2" xfId="13332" xr:uid="{00000000-0005-0000-0000-00006B350000}"/>
    <cellStyle name="스타일 510" xfId="13333" xr:uid="{00000000-0005-0000-0000-00006C350000}"/>
    <cellStyle name="스타일 511" xfId="13334" xr:uid="{00000000-0005-0000-0000-00006D350000}"/>
    <cellStyle name="스타일 512" xfId="13335" xr:uid="{00000000-0005-0000-0000-00006E350000}"/>
    <cellStyle name="스타일 513" xfId="13336" xr:uid="{00000000-0005-0000-0000-00006F350000}"/>
    <cellStyle name="스타일 514" xfId="13337" xr:uid="{00000000-0005-0000-0000-000070350000}"/>
    <cellStyle name="스타일 515" xfId="13338" xr:uid="{00000000-0005-0000-0000-000071350000}"/>
    <cellStyle name="스타일 516" xfId="13339" xr:uid="{00000000-0005-0000-0000-000072350000}"/>
    <cellStyle name="스타일 517" xfId="13340" xr:uid="{00000000-0005-0000-0000-000073350000}"/>
    <cellStyle name="스타일 518" xfId="13341" xr:uid="{00000000-0005-0000-0000-000074350000}"/>
    <cellStyle name="스타일 519" xfId="13342" xr:uid="{00000000-0005-0000-0000-000075350000}"/>
    <cellStyle name="스타일 52" xfId="13343" xr:uid="{00000000-0005-0000-0000-000076350000}"/>
    <cellStyle name="스타일 52 2" xfId="13344" xr:uid="{00000000-0005-0000-0000-000077350000}"/>
    <cellStyle name="스타일 520" xfId="13345" xr:uid="{00000000-0005-0000-0000-000078350000}"/>
    <cellStyle name="스타일 521" xfId="13346" xr:uid="{00000000-0005-0000-0000-000079350000}"/>
    <cellStyle name="스타일 522" xfId="13347" xr:uid="{00000000-0005-0000-0000-00007A350000}"/>
    <cellStyle name="스타일 523" xfId="13348" xr:uid="{00000000-0005-0000-0000-00007B350000}"/>
    <cellStyle name="스타일 524" xfId="13349" xr:uid="{00000000-0005-0000-0000-00007C350000}"/>
    <cellStyle name="스타일 525" xfId="13350" xr:uid="{00000000-0005-0000-0000-00007D350000}"/>
    <cellStyle name="스타일 526" xfId="13351" xr:uid="{00000000-0005-0000-0000-00007E350000}"/>
    <cellStyle name="스타일 527" xfId="13352" xr:uid="{00000000-0005-0000-0000-00007F350000}"/>
    <cellStyle name="스타일 528" xfId="13353" xr:uid="{00000000-0005-0000-0000-000080350000}"/>
    <cellStyle name="스타일 529" xfId="13354" xr:uid="{00000000-0005-0000-0000-000081350000}"/>
    <cellStyle name="스타일 53" xfId="13355" xr:uid="{00000000-0005-0000-0000-000082350000}"/>
    <cellStyle name="스타일 53 2" xfId="13356" xr:uid="{00000000-0005-0000-0000-000083350000}"/>
    <cellStyle name="스타일 530" xfId="13357" xr:uid="{00000000-0005-0000-0000-000084350000}"/>
    <cellStyle name="스타일 531" xfId="13358" xr:uid="{00000000-0005-0000-0000-000085350000}"/>
    <cellStyle name="스타일 532" xfId="13359" xr:uid="{00000000-0005-0000-0000-000086350000}"/>
    <cellStyle name="스타일 533" xfId="13360" xr:uid="{00000000-0005-0000-0000-000087350000}"/>
    <cellStyle name="스타일 534" xfId="13361" xr:uid="{00000000-0005-0000-0000-000088350000}"/>
    <cellStyle name="스타일 535" xfId="13362" xr:uid="{00000000-0005-0000-0000-000089350000}"/>
    <cellStyle name="스타일 536" xfId="13363" xr:uid="{00000000-0005-0000-0000-00008A350000}"/>
    <cellStyle name="스타일 537" xfId="13364" xr:uid="{00000000-0005-0000-0000-00008B350000}"/>
    <cellStyle name="스타일 538" xfId="13365" xr:uid="{00000000-0005-0000-0000-00008C350000}"/>
    <cellStyle name="스타일 539" xfId="13366" xr:uid="{00000000-0005-0000-0000-00008D350000}"/>
    <cellStyle name="스타일 54" xfId="13367" xr:uid="{00000000-0005-0000-0000-00008E350000}"/>
    <cellStyle name="스타일 54 2" xfId="13368" xr:uid="{00000000-0005-0000-0000-00008F350000}"/>
    <cellStyle name="스타일 540" xfId="13369" xr:uid="{00000000-0005-0000-0000-000090350000}"/>
    <cellStyle name="스타일 541" xfId="13370" xr:uid="{00000000-0005-0000-0000-000091350000}"/>
    <cellStyle name="스타일 542" xfId="13371" xr:uid="{00000000-0005-0000-0000-000092350000}"/>
    <cellStyle name="스타일 543" xfId="13372" xr:uid="{00000000-0005-0000-0000-000093350000}"/>
    <cellStyle name="스타일 544" xfId="13373" xr:uid="{00000000-0005-0000-0000-000094350000}"/>
    <cellStyle name="스타일 545" xfId="13374" xr:uid="{00000000-0005-0000-0000-000095350000}"/>
    <cellStyle name="스타일 546" xfId="13375" xr:uid="{00000000-0005-0000-0000-000096350000}"/>
    <cellStyle name="스타일 547" xfId="13376" xr:uid="{00000000-0005-0000-0000-000097350000}"/>
    <cellStyle name="스타일 548" xfId="13377" xr:uid="{00000000-0005-0000-0000-000098350000}"/>
    <cellStyle name="스타일 549" xfId="13378" xr:uid="{00000000-0005-0000-0000-000099350000}"/>
    <cellStyle name="스타일 55" xfId="13379" xr:uid="{00000000-0005-0000-0000-00009A350000}"/>
    <cellStyle name="스타일 55 2" xfId="13380" xr:uid="{00000000-0005-0000-0000-00009B350000}"/>
    <cellStyle name="스타일 550" xfId="13381" xr:uid="{00000000-0005-0000-0000-00009C350000}"/>
    <cellStyle name="스타일 551" xfId="13382" xr:uid="{00000000-0005-0000-0000-00009D350000}"/>
    <cellStyle name="스타일 552" xfId="13383" xr:uid="{00000000-0005-0000-0000-00009E350000}"/>
    <cellStyle name="스타일 553" xfId="13384" xr:uid="{00000000-0005-0000-0000-00009F350000}"/>
    <cellStyle name="스타일 554" xfId="13385" xr:uid="{00000000-0005-0000-0000-0000A0350000}"/>
    <cellStyle name="스타일 555" xfId="13386" xr:uid="{00000000-0005-0000-0000-0000A1350000}"/>
    <cellStyle name="스타일 556" xfId="13387" xr:uid="{00000000-0005-0000-0000-0000A2350000}"/>
    <cellStyle name="스타일 557" xfId="13388" xr:uid="{00000000-0005-0000-0000-0000A3350000}"/>
    <cellStyle name="스타일 558" xfId="13389" xr:uid="{00000000-0005-0000-0000-0000A4350000}"/>
    <cellStyle name="스타일 559" xfId="13390" xr:uid="{00000000-0005-0000-0000-0000A5350000}"/>
    <cellStyle name="스타일 56" xfId="13391" xr:uid="{00000000-0005-0000-0000-0000A6350000}"/>
    <cellStyle name="스타일 56 2" xfId="13392" xr:uid="{00000000-0005-0000-0000-0000A7350000}"/>
    <cellStyle name="스타일 560" xfId="13393" xr:uid="{00000000-0005-0000-0000-0000A8350000}"/>
    <cellStyle name="스타일 561" xfId="13394" xr:uid="{00000000-0005-0000-0000-0000A9350000}"/>
    <cellStyle name="스타일 562" xfId="13395" xr:uid="{00000000-0005-0000-0000-0000AA350000}"/>
    <cellStyle name="스타일 563" xfId="13396" xr:uid="{00000000-0005-0000-0000-0000AB350000}"/>
    <cellStyle name="스타일 564" xfId="13397" xr:uid="{00000000-0005-0000-0000-0000AC350000}"/>
    <cellStyle name="스타일 565" xfId="13398" xr:uid="{00000000-0005-0000-0000-0000AD350000}"/>
    <cellStyle name="스타일 566" xfId="13399" xr:uid="{00000000-0005-0000-0000-0000AE350000}"/>
    <cellStyle name="스타일 567" xfId="13400" xr:uid="{00000000-0005-0000-0000-0000AF350000}"/>
    <cellStyle name="스타일 568" xfId="13401" xr:uid="{00000000-0005-0000-0000-0000B0350000}"/>
    <cellStyle name="스타일 569" xfId="13402" xr:uid="{00000000-0005-0000-0000-0000B1350000}"/>
    <cellStyle name="스타일 57" xfId="13403" xr:uid="{00000000-0005-0000-0000-0000B2350000}"/>
    <cellStyle name="스타일 57 2" xfId="13404" xr:uid="{00000000-0005-0000-0000-0000B3350000}"/>
    <cellStyle name="스타일 570" xfId="13405" xr:uid="{00000000-0005-0000-0000-0000B4350000}"/>
    <cellStyle name="스타일 571" xfId="13406" xr:uid="{00000000-0005-0000-0000-0000B5350000}"/>
    <cellStyle name="스타일 572" xfId="13407" xr:uid="{00000000-0005-0000-0000-0000B6350000}"/>
    <cellStyle name="스타일 573" xfId="13408" xr:uid="{00000000-0005-0000-0000-0000B7350000}"/>
    <cellStyle name="스타일 574" xfId="13409" xr:uid="{00000000-0005-0000-0000-0000B8350000}"/>
    <cellStyle name="스타일 575" xfId="13410" xr:uid="{00000000-0005-0000-0000-0000B9350000}"/>
    <cellStyle name="스타일 576" xfId="13411" xr:uid="{00000000-0005-0000-0000-0000BA350000}"/>
    <cellStyle name="스타일 577" xfId="13412" xr:uid="{00000000-0005-0000-0000-0000BB350000}"/>
    <cellStyle name="스타일 578" xfId="13413" xr:uid="{00000000-0005-0000-0000-0000BC350000}"/>
    <cellStyle name="스타일 579" xfId="13414" xr:uid="{00000000-0005-0000-0000-0000BD350000}"/>
    <cellStyle name="스타일 58" xfId="13415" xr:uid="{00000000-0005-0000-0000-0000BE350000}"/>
    <cellStyle name="스타일 58 2" xfId="13416" xr:uid="{00000000-0005-0000-0000-0000BF350000}"/>
    <cellStyle name="스타일 580" xfId="13417" xr:uid="{00000000-0005-0000-0000-0000C0350000}"/>
    <cellStyle name="스타일 581" xfId="13418" xr:uid="{00000000-0005-0000-0000-0000C1350000}"/>
    <cellStyle name="스타일 582" xfId="13419" xr:uid="{00000000-0005-0000-0000-0000C2350000}"/>
    <cellStyle name="스타일 583" xfId="13420" xr:uid="{00000000-0005-0000-0000-0000C3350000}"/>
    <cellStyle name="스타일 584" xfId="13421" xr:uid="{00000000-0005-0000-0000-0000C4350000}"/>
    <cellStyle name="스타일 585" xfId="13422" xr:uid="{00000000-0005-0000-0000-0000C5350000}"/>
    <cellStyle name="스타일 586" xfId="13423" xr:uid="{00000000-0005-0000-0000-0000C6350000}"/>
    <cellStyle name="스타일 587" xfId="13424" xr:uid="{00000000-0005-0000-0000-0000C7350000}"/>
    <cellStyle name="스타일 588" xfId="13425" xr:uid="{00000000-0005-0000-0000-0000C8350000}"/>
    <cellStyle name="스타일 589" xfId="13426" xr:uid="{00000000-0005-0000-0000-0000C9350000}"/>
    <cellStyle name="스타일 59" xfId="13427" xr:uid="{00000000-0005-0000-0000-0000CA350000}"/>
    <cellStyle name="스타일 59 2" xfId="13428" xr:uid="{00000000-0005-0000-0000-0000CB350000}"/>
    <cellStyle name="스타일 590" xfId="13429" xr:uid="{00000000-0005-0000-0000-0000CC350000}"/>
    <cellStyle name="스타일 591" xfId="13430" xr:uid="{00000000-0005-0000-0000-0000CD350000}"/>
    <cellStyle name="스타일 592" xfId="13431" xr:uid="{00000000-0005-0000-0000-0000CE350000}"/>
    <cellStyle name="스타일 593" xfId="13432" xr:uid="{00000000-0005-0000-0000-0000CF350000}"/>
    <cellStyle name="스타일 594" xfId="13433" xr:uid="{00000000-0005-0000-0000-0000D0350000}"/>
    <cellStyle name="스타일 595" xfId="13434" xr:uid="{00000000-0005-0000-0000-0000D1350000}"/>
    <cellStyle name="스타일 596" xfId="13435" xr:uid="{00000000-0005-0000-0000-0000D2350000}"/>
    <cellStyle name="스타일 597" xfId="13436" xr:uid="{00000000-0005-0000-0000-0000D3350000}"/>
    <cellStyle name="스타일 598" xfId="13437" xr:uid="{00000000-0005-0000-0000-0000D4350000}"/>
    <cellStyle name="스타일 599" xfId="13438" xr:uid="{00000000-0005-0000-0000-0000D5350000}"/>
    <cellStyle name="스타일 6" xfId="13439" xr:uid="{00000000-0005-0000-0000-0000D6350000}"/>
    <cellStyle name="스타일 6 2" xfId="13440" xr:uid="{00000000-0005-0000-0000-0000D7350000}"/>
    <cellStyle name="스타일 6 3" xfId="13441" xr:uid="{00000000-0005-0000-0000-0000D8350000}"/>
    <cellStyle name="스타일 6 3 2" xfId="13442" xr:uid="{00000000-0005-0000-0000-0000D9350000}"/>
    <cellStyle name="스타일 60" xfId="13443" xr:uid="{00000000-0005-0000-0000-0000DA350000}"/>
    <cellStyle name="스타일 60 2" xfId="13444" xr:uid="{00000000-0005-0000-0000-0000DB350000}"/>
    <cellStyle name="스타일 600" xfId="13445" xr:uid="{00000000-0005-0000-0000-0000DC350000}"/>
    <cellStyle name="스타일 601" xfId="13446" xr:uid="{00000000-0005-0000-0000-0000DD350000}"/>
    <cellStyle name="스타일 602" xfId="13447" xr:uid="{00000000-0005-0000-0000-0000DE350000}"/>
    <cellStyle name="스타일 603" xfId="13448" xr:uid="{00000000-0005-0000-0000-0000DF350000}"/>
    <cellStyle name="스타일 604" xfId="13449" xr:uid="{00000000-0005-0000-0000-0000E0350000}"/>
    <cellStyle name="스타일 605" xfId="13450" xr:uid="{00000000-0005-0000-0000-0000E1350000}"/>
    <cellStyle name="스타일 606" xfId="13451" xr:uid="{00000000-0005-0000-0000-0000E2350000}"/>
    <cellStyle name="스타일 607" xfId="13452" xr:uid="{00000000-0005-0000-0000-0000E3350000}"/>
    <cellStyle name="스타일 608" xfId="13453" xr:uid="{00000000-0005-0000-0000-0000E4350000}"/>
    <cellStyle name="스타일 609" xfId="13454" xr:uid="{00000000-0005-0000-0000-0000E5350000}"/>
    <cellStyle name="스타일 61" xfId="13455" xr:uid="{00000000-0005-0000-0000-0000E6350000}"/>
    <cellStyle name="스타일 61 2" xfId="13456" xr:uid="{00000000-0005-0000-0000-0000E7350000}"/>
    <cellStyle name="스타일 610" xfId="13457" xr:uid="{00000000-0005-0000-0000-0000E8350000}"/>
    <cellStyle name="스타일 611" xfId="13458" xr:uid="{00000000-0005-0000-0000-0000E9350000}"/>
    <cellStyle name="스타일 612" xfId="13459" xr:uid="{00000000-0005-0000-0000-0000EA350000}"/>
    <cellStyle name="스타일 613" xfId="13460" xr:uid="{00000000-0005-0000-0000-0000EB350000}"/>
    <cellStyle name="스타일 614" xfId="13461" xr:uid="{00000000-0005-0000-0000-0000EC350000}"/>
    <cellStyle name="스타일 615" xfId="13462" xr:uid="{00000000-0005-0000-0000-0000ED350000}"/>
    <cellStyle name="스타일 616" xfId="13463" xr:uid="{00000000-0005-0000-0000-0000EE350000}"/>
    <cellStyle name="스타일 617" xfId="13464" xr:uid="{00000000-0005-0000-0000-0000EF350000}"/>
    <cellStyle name="스타일 618" xfId="13465" xr:uid="{00000000-0005-0000-0000-0000F0350000}"/>
    <cellStyle name="스타일 619" xfId="13466" xr:uid="{00000000-0005-0000-0000-0000F1350000}"/>
    <cellStyle name="스타일 62" xfId="13467" xr:uid="{00000000-0005-0000-0000-0000F2350000}"/>
    <cellStyle name="스타일 62 2" xfId="13468" xr:uid="{00000000-0005-0000-0000-0000F3350000}"/>
    <cellStyle name="스타일 620" xfId="13469" xr:uid="{00000000-0005-0000-0000-0000F4350000}"/>
    <cellStyle name="스타일 621" xfId="13470" xr:uid="{00000000-0005-0000-0000-0000F5350000}"/>
    <cellStyle name="스타일 622" xfId="13471" xr:uid="{00000000-0005-0000-0000-0000F6350000}"/>
    <cellStyle name="스타일 623" xfId="13472" xr:uid="{00000000-0005-0000-0000-0000F7350000}"/>
    <cellStyle name="스타일 624" xfId="13473" xr:uid="{00000000-0005-0000-0000-0000F8350000}"/>
    <cellStyle name="스타일 625" xfId="13474" xr:uid="{00000000-0005-0000-0000-0000F9350000}"/>
    <cellStyle name="스타일 626" xfId="13475" xr:uid="{00000000-0005-0000-0000-0000FA350000}"/>
    <cellStyle name="스타일 627" xfId="13476" xr:uid="{00000000-0005-0000-0000-0000FB350000}"/>
    <cellStyle name="스타일 628" xfId="13477" xr:uid="{00000000-0005-0000-0000-0000FC350000}"/>
    <cellStyle name="스타일 629" xfId="13478" xr:uid="{00000000-0005-0000-0000-0000FD350000}"/>
    <cellStyle name="스타일 63" xfId="13479" xr:uid="{00000000-0005-0000-0000-0000FE350000}"/>
    <cellStyle name="스타일 63 2" xfId="13480" xr:uid="{00000000-0005-0000-0000-0000FF350000}"/>
    <cellStyle name="스타일 630" xfId="13481" xr:uid="{00000000-0005-0000-0000-000000360000}"/>
    <cellStyle name="스타일 631" xfId="13482" xr:uid="{00000000-0005-0000-0000-000001360000}"/>
    <cellStyle name="스타일 632" xfId="13483" xr:uid="{00000000-0005-0000-0000-000002360000}"/>
    <cellStyle name="스타일 633" xfId="13484" xr:uid="{00000000-0005-0000-0000-000003360000}"/>
    <cellStyle name="스타일 634" xfId="13485" xr:uid="{00000000-0005-0000-0000-000004360000}"/>
    <cellStyle name="스타일 635" xfId="13486" xr:uid="{00000000-0005-0000-0000-000005360000}"/>
    <cellStyle name="스타일 636" xfId="13487" xr:uid="{00000000-0005-0000-0000-000006360000}"/>
    <cellStyle name="스타일 637" xfId="13488" xr:uid="{00000000-0005-0000-0000-000007360000}"/>
    <cellStyle name="스타일 638" xfId="13489" xr:uid="{00000000-0005-0000-0000-000008360000}"/>
    <cellStyle name="스타일 639" xfId="13490" xr:uid="{00000000-0005-0000-0000-000009360000}"/>
    <cellStyle name="스타일 64" xfId="13491" xr:uid="{00000000-0005-0000-0000-00000A360000}"/>
    <cellStyle name="스타일 64 2" xfId="13492" xr:uid="{00000000-0005-0000-0000-00000B360000}"/>
    <cellStyle name="스타일 640" xfId="13493" xr:uid="{00000000-0005-0000-0000-00000C360000}"/>
    <cellStyle name="스타일 641" xfId="13494" xr:uid="{00000000-0005-0000-0000-00000D360000}"/>
    <cellStyle name="스타일 642" xfId="13495" xr:uid="{00000000-0005-0000-0000-00000E360000}"/>
    <cellStyle name="스타일 643" xfId="13496" xr:uid="{00000000-0005-0000-0000-00000F360000}"/>
    <cellStyle name="스타일 644" xfId="13497" xr:uid="{00000000-0005-0000-0000-000010360000}"/>
    <cellStyle name="스타일 645" xfId="13498" xr:uid="{00000000-0005-0000-0000-000011360000}"/>
    <cellStyle name="스타일 646" xfId="13499" xr:uid="{00000000-0005-0000-0000-000012360000}"/>
    <cellStyle name="스타일 647" xfId="13500" xr:uid="{00000000-0005-0000-0000-000013360000}"/>
    <cellStyle name="스타일 648" xfId="13501" xr:uid="{00000000-0005-0000-0000-000014360000}"/>
    <cellStyle name="스타일 649" xfId="13502" xr:uid="{00000000-0005-0000-0000-000015360000}"/>
    <cellStyle name="스타일 65" xfId="13503" xr:uid="{00000000-0005-0000-0000-000016360000}"/>
    <cellStyle name="스타일 65 2" xfId="13504" xr:uid="{00000000-0005-0000-0000-000017360000}"/>
    <cellStyle name="스타일 650" xfId="13505" xr:uid="{00000000-0005-0000-0000-000018360000}"/>
    <cellStyle name="스타일 651" xfId="13506" xr:uid="{00000000-0005-0000-0000-000019360000}"/>
    <cellStyle name="스타일 652" xfId="13507" xr:uid="{00000000-0005-0000-0000-00001A360000}"/>
    <cellStyle name="스타일 653" xfId="13508" xr:uid="{00000000-0005-0000-0000-00001B360000}"/>
    <cellStyle name="스타일 654" xfId="13509" xr:uid="{00000000-0005-0000-0000-00001C360000}"/>
    <cellStyle name="스타일 655" xfId="13510" xr:uid="{00000000-0005-0000-0000-00001D360000}"/>
    <cellStyle name="스타일 656" xfId="13511" xr:uid="{00000000-0005-0000-0000-00001E360000}"/>
    <cellStyle name="스타일 657" xfId="13512" xr:uid="{00000000-0005-0000-0000-00001F360000}"/>
    <cellStyle name="스타일 658" xfId="13513" xr:uid="{00000000-0005-0000-0000-000020360000}"/>
    <cellStyle name="스타일 659" xfId="13514" xr:uid="{00000000-0005-0000-0000-000021360000}"/>
    <cellStyle name="스타일 66" xfId="13515" xr:uid="{00000000-0005-0000-0000-000022360000}"/>
    <cellStyle name="스타일 66 2" xfId="13516" xr:uid="{00000000-0005-0000-0000-000023360000}"/>
    <cellStyle name="스타일 660" xfId="13517" xr:uid="{00000000-0005-0000-0000-000024360000}"/>
    <cellStyle name="스타일 661" xfId="13518" xr:uid="{00000000-0005-0000-0000-000025360000}"/>
    <cellStyle name="스타일 662" xfId="13519" xr:uid="{00000000-0005-0000-0000-000026360000}"/>
    <cellStyle name="스타일 663" xfId="13520" xr:uid="{00000000-0005-0000-0000-000027360000}"/>
    <cellStyle name="스타일 664" xfId="13521" xr:uid="{00000000-0005-0000-0000-000028360000}"/>
    <cellStyle name="스타일 665" xfId="13522" xr:uid="{00000000-0005-0000-0000-000029360000}"/>
    <cellStyle name="스타일 666" xfId="13523" xr:uid="{00000000-0005-0000-0000-00002A360000}"/>
    <cellStyle name="스타일 667" xfId="13524" xr:uid="{00000000-0005-0000-0000-00002B360000}"/>
    <cellStyle name="스타일 668" xfId="13525" xr:uid="{00000000-0005-0000-0000-00002C360000}"/>
    <cellStyle name="스타일 669" xfId="13526" xr:uid="{00000000-0005-0000-0000-00002D360000}"/>
    <cellStyle name="스타일 67" xfId="13527" xr:uid="{00000000-0005-0000-0000-00002E360000}"/>
    <cellStyle name="스타일 67 2" xfId="13528" xr:uid="{00000000-0005-0000-0000-00002F360000}"/>
    <cellStyle name="스타일 670" xfId="13529" xr:uid="{00000000-0005-0000-0000-000030360000}"/>
    <cellStyle name="스타일 671" xfId="13530" xr:uid="{00000000-0005-0000-0000-000031360000}"/>
    <cellStyle name="스타일 672" xfId="13531" xr:uid="{00000000-0005-0000-0000-000032360000}"/>
    <cellStyle name="스타일 673" xfId="13532" xr:uid="{00000000-0005-0000-0000-000033360000}"/>
    <cellStyle name="스타일 674" xfId="13533" xr:uid="{00000000-0005-0000-0000-000034360000}"/>
    <cellStyle name="스타일 675" xfId="13534" xr:uid="{00000000-0005-0000-0000-000035360000}"/>
    <cellStyle name="스타일 676" xfId="13535" xr:uid="{00000000-0005-0000-0000-000036360000}"/>
    <cellStyle name="스타일 677" xfId="13536" xr:uid="{00000000-0005-0000-0000-000037360000}"/>
    <cellStyle name="스타일 678" xfId="13537" xr:uid="{00000000-0005-0000-0000-000038360000}"/>
    <cellStyle name="스타일 679" xfId="13538" xr:uid="{00000000-0005-0000-0000-000039360000}"/>
    <cellStyle name="스타일 68" xfId="13539" xr:uid="{00000000-0005-0000-0000-00003A360000}"/>
    <cellStyle name="스타일 68 2" xfId="13540" xr:uid="{00000000-0005-0000-0000-00003B360000}"/>
    <cellStyle name="스타일 680" xfId="13541" xr:uid="{00000000-0005-0000-0000-00003C360000}"/>
    <cellStyle name="스타일 681" xfId="13542" xr:uid="{00000000-0005-0000-0000-00003D360000}"/>
    <cellStyle name="스타일 682" xfId="13543" xr:uid="{00000000-0005-0000-0000-00003E360000}"/>
    <cellStyle name="스타일 683" xfId="13544" xr:uid="{00000000-0005-0000-0000-00003F360000}"/>
    <cellStyle name="스타일 684" xfId="13545" xr:uid="{00000000-0005-0000-0000-000040360000}"/>
    <cellStyle name="스타일 685" xfId="13546" xr:uid="{00000000-0005-0000-0000-000041360000}"/>
    <cellStyle name="스타일 686" xfId="13547" xr:uid="{00000000-0005-0000-0000-000042360000}"/>
    <cellStyle name="스타일 687" xfId="13548" xr:uid="{00000000-0005-0000-0000-000043360000}"/>
    <cellStyle name="스타일 688" xfId="13549" xr:uid="{00000000-0005-0000-0000-000044360000}"/>
    <cellStyle name="스타일 689" xfId="13550" xr:uid="{00000000-0005-0000-0000-000045360000}"/>
    <cellStyle name="스타일 69" xfId="13551" xr:uid="{00000000-0005-0000-0000-000046360000}"/>
    <cellStyle name="스타일 69 2" xfId="13552" xr:uid="{00000000-0005-0000-0000-000047360000}"/>
    <cellStyle name="스타일 690" xfId="13553" xr:uid="{00000000-0005-0000-0000-000048360000}"/>
    <cellStyle name="스타일 691" xfId="13554" xr:uid="{00000000-0005-0000-0000-000049360000}"/>
    <cellStyle name="스타일 692" xfId="13555" xr:uid="{00000000-0005-0000-0000-00004A360000}"/>
    <cellStyle name="스타일 693" xfId="13556" xr:uid="{00000000-0005-0000-0000-00004B360000}"/>
    <cellStyle name="스타일 694" xfId="13557" xr:uid="{00000000-0005-0000-0000-00004C360000}"/>
    <cellStyle name="스타일 695" xfId="13558" xr:uid="{00000000-0005-0000-0000-00004D360000}"/>
    <cellStyle name="스타일 696" xfId="13559" xr:uid="{00000000-0005-0000-0000-00004E360000}"/>
    <cellStyle name="스타일 697" xfId="13560" xr:uid="{00000000-0005-0000-0000-00004F360000}"/>
    <cellStyle name="스타일 698" xfId="13561" xr:uid="{00000000-0005-0000-0000-000050360000}"/>
    <cellStyle name="스타일 699" xfId="13562" xr:uid="{00000000-0005-0000-0000-000051360000}"/>
    <cellStyle name="스타일 7" xfId="13563" xr:uid="{00000000-0005-0000-0000-000052360000}"/>
    <cellStyle name="스타일 7 2" xfId="13564" xr:uid="{00000000-0005-0000-0000-000053360000}"/>
    <cellStyle name="스타일 7 3" xfId="13565" xr:uid="{00000000-0005-0000-0000-000054360000}"/>
    <cellStyle name="스타일 70" xfId="13566" xr:uid="{00000000-0005-0000-0000-000055360000}"/>
    <cellStyle name="스타일 70 2" xfId="13567" xr:uid="{00000000-0005-0000-0000-000056360000}"/>
    <cellStyle name="스타일 700" xfId="13568" xr:uid="{00000000-0005-0000-0000-000057360000}"/>
    <cellStyle name="스타일 701" xfId="13569" xr:uid="{00000000-0005-0000-0000-000058360000}"/>
    <cellStyle name="스타일 702" xfId="13570" xr:uid="{00000000-0005-0000-0000-000059360000}"/>
    <cellStyle name="스타일 703" xfId="13571" xr:uid="{00000000-0005-0000-0000-00005A360000}"/>
    <cellStyle name="스타일 704" xfId="13572" xr:uid="{00000000-0005-0000-0000-00005B360000}"/>
    <cellStyle name="스타일 705" xfId="13573" xr:uid="{00000000-0005-0000-0000-00005C360000}"/>
    <cellStyle name="스타일 706" xfId="13574" xr:uid="{00000000-0005-0000-0000-00005D360000}"/>
    <cellStyle name="스타일 707" xfId="13575" xr:uid="{00000000-0005-0000-0000-00005E360000}"/>
    <cellStyle name="스타일 708" xfId="13576" xr:uid="{00000000-0005-0000-0000-00005F360000}"/>
    <cellStyle name="스타일 709" xfId="13577" xr:uid="{00000000-0005-0000-0000-000060360000}"/>
    <cellStyle name="스타일 71" xfId="13578" xr:uid="{00000000-0005-0000-0000-000061360000}"/>
    <cellStyle name="스타일 71 2" xfId="13579" xr:uid="{00000000-0005-0000-0000-000062360000}"/>
    <cellStyle name="스타일 710" xfId="13580" xr:uid="{00000000-0005-0000-0000-000063360000}"/>
    <cellStyle name="스타일 711" xfId="13581" xr:uid="{00000000-0005-0000-0000-000064360000}"/>
    <cellStyle name="스타일 712" xfId="13582" xr:uid="{00000000-0005-0000-0000-000065360000}"/>
    <cellStyle name="스타일 713" xfId="13583" xr:uid="{00000000-0005-0000-0000-000066360000}"/>
    <cellStyle name="스타일 714" xfId="13584" xr:uid="{00000000-0005-0000-0000-000067360000}"/>
    <cellStyle name="스타일 715" xfId="13585" xr:uid="{00000000-0005-0000-0000-000068360000}"/>
    <cellStyle name="스타일 716" xfId="13586" xr:uid="{00000000-0005-0000-0000-000069360000}"/>
    <cellStyle name="스타일 717" xfId="13587" xr:uid="{00000000-0005-0000-0000-00006A360000}"/>
    <cellStyle name="스타일 718" xfId="13588" xr:uid="{00000000-0005-0000-0000-00006B360000}"/>
    <cellStyle name="스타일 719" xfId="13589" xr:uid="{00000000-0005-0000-0000-00006C360000}"/>
    <cellStyle name="스타일 72" xfId="13590" xr:uid="{00000000-0005-0000-0000-00006D360000}"/>
    <cellStyle name="스타일 72 2" xfId="13591" xr:uid="{00000000-0005-0000-0000-00006E360000}"/>
    <cellStyle name="스타일 720" xfId="13592" xr:uid="{00000000-0005-0000-0000-00006F360000}"/>
    <cellStyle name="스타일 721" xfId="13593" xr:uid="{00000000-0005-0000-0000-000070360000}"/>
    <cellStyle name="스타일 722" xfId="13594" xr:uid="{00000000-0005-0000-0000-000071360000}"/>
    <cellStyle name="스타일 723" xfId="13595" xr:uid="{00000000-0005-0000-0000-000072360000}"/>
    <cellStyle name="스타일 724" xfId="13596" xr:uid="{00000000-0005-0000-0000-000073360000}"/>
    <cellStyle name="스타일 725" xfId="13597" xr:uid="{00000000-0005-0000-0000-000074360000}"/>
    <cellStyle name="스타일 726" xfId="13598" xr:uid="{00000000-0005-0000-0000-000075360000}"/>
    <cellStyle name="스타일 727" xfId="13599" xr:uid="{00000000-0005-0000-0000-000076360000}"/>
    <cellStyle name="스타일 728" xfId="13600" xr:uid="{00000000-0005-0000-0000-000077360000}"/>
    <cellStyle name="스타일 729" xfId="13601" xr:uid="{00000000-0005-0000-0000-000078360000}"/>
    <cellStyle name="스타일 73" xfId="13602" xr:uid="{00000000-0005-0000-0000-000079360000}"/>
    <cellStyle name="스타일 73 2" xfId="13603" xr:uid="{00000000-0005-0000-0000-00007A360000}"/>
    <cellStyle name="스타일 730" xfId="13604" xr:uid="{00000000-0005-0000-0000-00007B360000}"/>
    <cellStyle name="스타일 731" xfId="13605" xr:uid="{00000000-0005-0000-0000-00007C360000}"/>
    <cellStyle name="스타일 732" xfId="13606" xr:uid="{00000000-0005-0000-0000-00007D360000}"/>
    <cellStyle name="스타일 733" xfId="13607" xr:uid="{00000000-0005-0000-0000-00007E360000}"/>
    <cellStyle name="스타일 734" xfId="13608" xr:uid="{00000000-0005-0000-0000-00007F360000}"/>
    <cellStyle name="스타일 735" xfId="13609" xr:uid="{00000000-0005-0000-0000-000080360000}"/>
    <cellStyle name="스타일 736" xfId="13610" xr:uid="{00000000-0005-0000-0000-000081360000}"/>
    <cellStyle name="스타일 74" xfId="13611" xr:uid="{00000000-0005-0000-0000-000082360000}"/>
    <cellStyle name="스타일 74 2" xfId="13612" xr:uid="{00000000-0005-0000-0000-000083360000}"/>
    <cellStyle name="스타일 75" xfId="13613" xr:uid="{00000000-0005-0000-0000-000084360000}"/>
    <cellStyle name="스타일 75 2" xfId="13614" xr:uid="{00000000-0005-0000-0000-000085360000}"/>
    <cellStyle name="스타일 76" xfId="13615" xr:uid="{00000000-0005-0000-0000-000086360000}"/>
    <cellStyle name="스타일 76 2" xfId="13616" xr:uid="{00000000-0005-0000-0000-000087360000}"/>
    <cellStyle name="스타일 77" xfId="13617" xr:uid="{00000000-0005-0000-0000-000088360000}"/>
    <cellStyle name="스타일 77 2" xfId="13618" xr:uid="{00000000-0005-0000-0000-000089360000}"/>
    <cellStyle name="스타일 78" xfId="13619" xr:uid="{00000000-0005-0000-0000-00008A360000}"/>
    <cellStyle name="스타일 78 2" xfId="13620" xr:uid="{00000000-0005-0000-0000-00008B360000}"/>
    <cellStyle name="스타일 79" xfId="13621" xr:uid="{00000000-0005-0000-0000-00008C360000}"/>
    <cellStyle name="스타일 79 2" xfId="13622" xr:uid="{00000000-0005-0000-0000-00008D360000}"/>
    <cellStyle name="스타일 8" xfId="13623" xr:uid="{00000000-0005-0000-0000-00008E360000}"/>
    <cellStyle name="스타일 8 2" xfId="13624" xr:uid="{00000000-0005-0000-0000-00008F360000}"/>
    <cellStyle name="스타일 8 3" xfId="13625" xr:uid="{00000000-0005-0000-0000-000090360000}"/>
    <cellStyle name="스타일 80" xfId="13626" xr:uid="{00000000-0005-0000-0000-000091360000}"/>
    <cellStyle name="스타일 80 2" xfId="13627" xr:uid="{00000000-0005-0000-0000-000092360000}"/>
    <cellStyle name="스타일 81" xfId="13628" xr:uid="{00000000-0005-0000-0000-000093360000}"/>
    <cellStyle name="스타일 81 2" xfId="13629" xr:uid="{00000000-0005-0000-0000-000094360000}"/>
    <cellStyle name="스타일 82" xfId="13630" xr:uid="{00000000-0005-0000-0000-000095360000}"/>
    <cellStyle name="스타일 82 2" xfId="13631" xr:uid="{00000000-0005-0000-0000-000096360000}"/>
    <cellStyle name="스타일 83" xfId="13632" xr:uid="{00000000-0005-0000-0000-000097360000}"/>
    <cellStyle name="스타일 83 2" xfId="13633" xr:uid="{00000000-0005-0000-0000-000098360000}"/>
    <cellStyle name="스타일 84" xfId="13634" xr:uid="{00000000-0005-0000-0000-000099360000}"/>
    <cellStyle name="스타일 84 2" xfId="13635" xr:uid="{00000000-0005-0000-0000-00009A360000}"/>
    <cellStyle name="스타일 85" xfId="13636" xr:uid="{00000000-0005-0000-0000-00009B360000}"/>
    <cellStyle name="스타일 85 2" xfId="13637" xr:uid="{00000000-0005-0000-0000-00009C360000}"/>
    <cellStyle name="스타일 86" xfId="13638" xr:uid="{00000000-0005-0000-0000-00009D360000}"/>
    <cellStyle name="스타일 86 2" xfId="13639" xr:uid="{00000000-0005-0000-0000-00009E360000}"/>
    <cellStyle name="스타일 87" xfId="13640" xr:uid="{00000000-0005-0000-0000-00009F360000}"/>
    <cellStyle name="스타일 87 2" xfId="13641" xr:uid="{00000000-0005-0000-0000-0000A0360000}"/>
    <cellStyle name="스타일 88" xfId="13642" xr:uid="{00000000-0005-0000-0000-0000A1360000}"/>
    <cellStyle name="스타일 88 2" xfId="13643" xr:uid="{00000000-0005-0000-0000-0000A2360000}"/>
    <cellStyle name="스타일 89" xfId="13644" xr:uid="{00000000-0005-0000-0000-0000A3360000}"/>
    <cellStyle name="스타일 89 2" xfId="13645" xr:uid="{00000000-0005-0000-0000-0000A4360000}"/>
    <cellStyle name="스타일 9" xfId="13646" xr:uid="{00000000-0005-0000-0000-0000A5360000}"/>
    <cellStyle name="스타일 9 2" xfId="13647" xr:uid="{00000000-0005-0000-0000-0000A6360000}"/>
    <cellStyle name="스타일 9 3" xfId="13648" xr:uid="{00000000-0005-0000-0000-0000A7360000}"/>
    <cellStyle name="스타일 90" xfId="13649" xr:uid="{00000000-0005-0000-0000-0000A8360000}"/>
    <cellStyle name="스타일 90 2" xfId="13650" xr:uid="{00000000-0005-0000-0000-0000A9360000}"/>
    <cellStyle name="스타일 91" xfId="13651" xr:uid="{00000000-0005-0000-0000-0000AA360000}"/>
    <cellStyle name="스타일 91 2" xfId="13652" xr:uid="{00000000-0005-0000-0000-0000AB360000}"/>
    <cellStyle name="스타일 92" xfId="13653" xr:uid="{00000000-0005-0000-0000-0000AC360000}"/>
    <cellStyle name="스타일 92 2" xfId="13654" xr:uid="{00000000-0005-0000-0000-0000AD360000}"/>
    <cellStyle name="스타일 93" xfId="13655" xr:uid="{00000000-0005-0000-0000-0000AE360000}"/>
    <cellStyle name="스타일 93 2" xfId="13656" xr:uid="{00000000-0005-0000-0000-0000AF360000}"/>
    <cellStyle name="스타일 94" xfId="13657" xr:uid="{00000000-0005-0000-0000-0000B0360000}"/>
    <cellStyle name="스타일 94 2" xfId="13658" xr:uid="{00000000-0005-0000-0000-0000B1360000}"/>
    <cellStyle name="스타일 95" xfId="13659" xr:uid="{00000000-0005-0000-0000-0000B2360000}"/>
    <cellStyle name="스타일 95 2" xfId="13660" xr:uid="{00000000-0005-0000-0000-0000B3360000}"/>
    <cellStyle name="스타일 96" xfId="13661" xr:uid="{00000000-0005-0000-0000-0000B4360000}"/>
    <cellStyle name="스타일 96 2" xfId="13662" xr:uid="{00000000-0005-0000-0000-0000B5360000}"/>
    <cellStyle name="스타일 97" xfId="13663" xr:uid="{00000000-0005-0000-0000-0000B6360000}"/>
    <cellStyle name="스타일 97 2" xfId="13664" xr:uid="{00000000-0005-0000-0000-0000B7360000}"/>
    <cellStyle name="스타일 98" xfId="13665" xr:uid="{00000000-0005-0000-0000-0000B8360000}"/>
    <cellStyle name="스타일 98 2" xfId="13666" xr:uid="{00000000-0005-0000-0000-0000B9360000}"/>
    <cellStyle name="스타일 99" xfId="13667" xr:uid="{00000000-0005-0000-0000-0000BA360000}"/>
    <cellStyle name="스타일 99 2" xfId="13668" xr:uid="{00000000-0005-0000-0000-0000BB360000}"/>
    <cellStyle name="승수" xfId="13669" xr:uid="{00000000-0005-0000-0000-0000BC360000}"/>
    <cellStyle name="안건회계법인" xfId="13670" xr:uid="{00000000-0005-0000-0000-0000BD360000}"/>
    <cellStyle name="연결" xfId="13671" xr:uid="{00000000-0005-0000-0000-0000BE360000}"/>
    <cellStyle name="연결된 셀 2" xfId="13672" xr:uid="{00000000-0005-0000-0000-0000BF360000}"/>
    <cellStyle name="연결된 셀 2 2" xfId="13673" xr:uid="{00000000-0005-0000-0000-0000C0360000}"/>
    <cellStyle name="연결된 셀 2 3" xfId="13674" xr:uid="{00000000-0005-0000-0000-0000C1360000}"/>
    <cellStyle name="연결된 셀 2 4" xfId="13675" xr:uid="{00000000-0005-0000-0000-0000C2360000}"/>
    <cellStyle name="연결된 셀 2 5" xfId="13676" xr:uid="{00000000-0005-0000-0000-0000C3360000}"/>
    <cellStyle name="연결된 셀 2 6" xfId="13677" xr:uid="{00000000-0005-0000-0000-0000C4360000}"/>
    <cellStyle name="연결된 셀 3 2" xfId="13678" xr:uid="{00000000-0005-0000-0000-0000C5360000}"/>
    <cellStyle name="연결된 셀 3 3" xfId="13679" xr:uid="{00000000-0005-0000-0000-0000C6360000}"/>
    <cellStyle name="연결된 셀 3 4" xfId="13680" xr:uid="{00000000-0005-0000-0000-0000C7360000}"/>
    <cellStyle name="연결된 셀 3 5" xfId="13681" xr:uid="{00000000-0005-0000-0000-0000C8360000}"/>
    <cellStyle name="연결된 셀 3 6" xfId="13682" xr:uid="{00000000-0005-0000-0000-0000C9360000}"/>
    <cellStyle name="연결된 셀 4 2" xfId="13683" xr:uid="{00000000-0005-0000-0000-0000CA360000}"/>
    <cellStyle name="연결된 셀 4 3" xfId="13684" xr:uid="{00000000-0005-0000-0000-0000CB360000}"/>
    <cellStyle name="연결된 셀 4 4" xfId="13685" xr:uid="{00000000-0005-0000-0000-0000CC360000}"/>
    <cellStyle name="연결된 셀 4 5" xfId="13686" xr:uid="{00000000-0005-0000-0000-0000CD360000}"/>
    <cellStyle name="연결된 셀 4 6" xfId="13687" xr:uid="{00000000-0005-0000-0000-0000CE360000}"/>
    <cellStyle name="연결된 셀 5 2" xfId="13688" xr:uid="{00000000-0005-0000-0000-0000CF360000}"/>
    <cellStyle name="연결된 셀 5 3" xfId="13689" xr:uid="{00000000-0005-0000-0000-0000D0360000}"/>
    <cellStyle name="연결된 셀 5 4" xfId="13690" xr:uid="{00000000-0005-0000-0000-0000D1360000}"/>
    <cellStyle name="연결된 셀 5 5" xfId="13691" xr:uid="{00000000-0005-0000-0000-0000D2360000}"/>
    <cellStyle name="연결된 셀 5 6" xfId="13692" xr:uid="{00000000-0005-0000-0000-0000D3360000}"/>
    <cellStyle name="연결번호" xfId="13693" xr:uid="{00000000-0005-0000-0000-0000D4360000}"/>
    <cellStyle name="연결전환2" xfId="13694" xr:uid="{00000000-0005-0000-0000-0000D5360000}"/>
    <cellStyle name="연결전환3" xfId="13695" xr:uid="{00000000-0005-0000-0000-0000D6360000}"/>
    <cellStyle name="열어본 하이퍼링크潳瑦作晦捩履⸸尰" xfId="13696" xr:uid="{00000000-0005-0000-0000-0000D7360000}"/>
    <cellStyle name="요약 2" xfId="13697" xr:uid="{00000000-0005-0000-0000-0000D8360000}"/>
    <cellStyle name="요약 2 2" xfId="13698" xr:uid="{00000000-0005-0000-0000-0000D9360000}"/>
    <cellStyle name="요약 2 3" xfId="13699" xr:uid="{00000000-0005-0000-0000-0000DA360000}"/>
    <cellStyle name="요약 2 4" xfId="13700" xr:uid="{00000000-0005-0000-0000-0000DB360000}"/>
    <cellStyle name="요약 2 5" xfId="13701" xr:uid="{00000000-0005-0000-0000-0000DC360000}"/>
    <cellStyle name="요약 2 6" xfId="13702" xr:uid="{00000000-0005-0000-0000-0000DD360000}"/>
    <cellStyle name="요약 3 2" xfId="13703" xr:uid="{00000000-0005-0000-0000-0000DE360000}"/>
    <cellStyle name="요약 3 3" xfId="13704" xr:uid="{00000000-0005-0000-0000-0000DF360000}"/>
    <cellStyle name="요약 3 4" xfId="13705" xr:uid="{00000000-0005-0000-0000-0000E0360000}"/>
    <cellStyle name="요약 3 5" xfId="13706" xr:uid="{00000000-0005-0000-0000-0000E1360000}"/>
    <cellStyle name="요약 3 6" xfId="13707" xr:uid="{00000000-0005-0000-0000-0000E2360000}"/>
    <cellStyle name="요약 4 2" xfId="13708" xr:uid="{00000000-0005-0000-0000-0000E3360000}"/>
    <cellStyle name="요약 4 3" xfId="13709" xr:uid="{00000000-0005-0000-0000-0000E4360000}"/>
    <cellStyle name="요약 4 4" xfId="13710" xr:uid="{00000000-0005-0000-0000-0000E5360000}"/>
    <cellStyle name="요약 4 5" xfId="13711" xr:uid="{00000000-0005-0000-0000-0000E6360000}"/>
    <cellStyle name="요약 4 6" xfId="13712" xr:uid="{00000000-0005-0000-0000-0000E7360000}"/>
    <cellStyle name="요약 5 2" xfId="13713" xr:uid="{00000000-0005-0000-0000-0000E8360000}"/>
    <cellStyle name="요약 5 3" xfId="13714" xr:uid="{00000000-0005-0000-0000-0000E9360000}"/>
    <cellStyle name="요약 5 4" xfId="13715" xr:uid="{00000000-0005-0000-0000-0000EA360000}"/>
    <cellStyle name="요약 5 5" xfId="13716" xr:uid="{00000000-0005-0000-0000-0000EB360000}"/>
    <cellStyle name="요약 5 6" xfId="13717" xr:uid="{00000000-0005-0000-0000-0000EC360000}"/>
    <cellStyle name="용량보정" xfId="13718" xr:uid="{00000000-0005-0000-0000-0000ED360000}"/>
    <cellStyle name="원" xfId="13719" xr:uid="{00000000-0005-0000-0000-0000EE360000}"/>
    <cellStyle name="원 2" xfId="13720" xr:uid="{00000000-0005-0000-0000-0000EF360000}"/>
    <cellStyle name="원_부산체신청전기공사(11.15)" xfId="13721" xr:uid="{00000000-0005-0000-0000-0000F0360000}"/>
    <cellStyle name="원_항만관리사업소청사건립공사(설계변경1)" xfId="13722" xr:uid="{00000000-0005-0000-0000-0000F1360000}"/>
    <cellStyle name="유1" xfId="13723" xr:uid="{00000000-0005-0000-0000-0000F2360000}"/>
    <cellStyle name="유영" xfId="13724" xr:uid="{00000000-0005-0000-0000-0000F3360000}"/>
    <cellStyle name="음수서식" xfId="13725" xr:uid="{00000000-0005-0000-0000-0000F4360000}"/>
    <cellStyle name="인쇄" xfId="13726" xr:uid="{00000000-0005-0000-0000-0000F5360000}"/>
    <cellStyle name="일반" xfId="13727" xr:uid="{00000000-0005-0000-0000-0000F6360000}"/>
    <cellStyle name="一般_AUO Shipping plan_041117" xfId="13728" xr:uid="{00000000-0005-0000-0000-0000F7360000}"/>
    <cellStyle name="입력 2" xfId="13729" xr:uid="{00000000-0005-0000-0000-0000F8360000}"/>
    <cellStyle name="입력 2 2" xfId="13730" xr:uid="{00000000-0005-0000-0000-0000F9360000}"/>
    <cellStyle name="입력 2 3" xfId="13731" xr:uid="{00000000-0005-0000-0000-0000FA360000}"/>
    <cellStyle name="입력 2 4" xfId="13732" xr:uid="{00000000-0005-0000-0000-0000FB360000}"/>
    <cellStyle name="입력 2 5" xfId="13733" xr:uid="{00000000-0005-0000-0000-0000FC360000}"/>
    <cellStyle name="입력 2 6" xfId="13734" xr:uid="{00000000-0005-0000-0000-0000FD360000}"/>
    <cellStyle name="입력 3 2" xfId="13735" xr:uid="{00000000-0005-0000-0000-0000FE360000}"/>
    <cellStyle name="입력 3 3" xfId="13736" xr:uid="{00000000-0005-0000-0000-0000FF360000}"/>
    <cellStyle name="입력 3 4" xfId="13737" xr:uid="{00000000-0005-0000-0000-000000370000}"/>
    <cellStyle name="입력 3 5" xfId="13738" xr:uid="{00000000-0005-0000-0000-000001370000}"/>
    <cellStyle name="입력 3 6" xfId="13739" xr:uid="{00000000-0005-0000-0000-000002370000}"/>
    <cellStyle name="입력 4 2" xfId="13740" xr:uid="{00000000-0005-0000-0000-000003370000}"/>
    <cellStyle name="입력 4 3" xfId="13741" xr:uid="{00000000-0005-0000-0000-000004370000}"/>
    <cellStyle name="입력 4 4" xfId="13742" xr:uid="{00000000-0005-0000-0000-000005370000}"/>
    <cellStyle name="입력 4 5" xfId="13743" xr:uid="{00000000-0005-0000-0000-000006370000}"/>
    <cellStyle name="입력 4 6" xfId="13744" xr:uid="{00000000-0005-0000-0000-000007370000}"/>
    <cellStyle name="입력 5 2" xfId="13745" xr:uid="{00000000-0005-0000-0000-000008370000}"/>
    <cellStyle name="입력 5 3" xfId="13746" xr:uid="{00000000-0005-0000-0000-000009370000}"/>
    <cellStyle name="입력 5 4" xfId="13747" xr:uid="{00000000-0005-0000-0000-00000A370000}"/>
    <cellStyle name="입력 5 5" xfId="13748" xr:uid="{00000000-0005-0000-0000-00000B370000}"/>
    <cellStyle name="입력 5 6" xfId="13749" xr:uid="{00000000-0005-0000-0000-00000C370000}"/>
    <cellStyle name="자리수" xfId="13750" xr:uid="{00000000-0005-0000-0000-00000D370000}"/>
    <cellStyle name="자리수 - 유형1" xfId="13751" xr:uid="{00000000-0005-0000-0000-00000E370000}"/>
    <cellStyle name="자리수 2" xfId="13752" xr:uid="{00000000-0005-0000-0000-00000F370000}"/>
    <cellStyle name="자리수_00__원가계산서" xfId="13753" xr:uid="{00000000-0005-0000-0000-000010370000}"/>
    <cellStyle name="자리수0" xfId="13754" xr:uid="{00000000-0005-0000-0000-000011370000}"/>
    <cellStyle name="자리수0 2" xfId="13755" xr:uid="{00000000-0005-0000-0000-000012370000}"/>
    <cellStyle name="자리수0 3" xfId="13756" xr:uid="{00000000-0005-0000-0000-000013370000}"/>
    <cellStyle name="전화2자리" xfId="13757" xr:uid="{00000000-0005-0000-0000-000014370000}"/>
    <cellStyle name="전화3자리" xfId="13758" xr:uid="{00000000-0005-0000-0000-000015370000}"/>
    <cellStyle name="전화4자리" xfId="13759" xr:uid="{00000000-0005-0000-0000-000016370000}"/>
    <cellStyle name="정렬" xfId="13760" xr:uid="{00000000-0005-0000-0000-000017370000}"/>
    <cellStyle name="정렬 2" xfId="13761" xr:uid="{00000000-0005-0000-0000-000018370000}"/>
    <cellStyle name="정렬범위" xfId="13762" xr:uid="{00000000-0005-0000-0000-000019370000}"/>
    <cellStyle name="정렬범위 2" xfId="13763" xr:uid="{00000000-0005-0000-0000-00001A370000}"/>
    <cellStyle name="제목 1 2" xfId="13764" xr:uid="{00000000-0005-0000-0000-00001B370000}"/>
    <cellStyle name="제목 1 2 2" xfId="13765" xr:uid="{00000000-0005-0000-0000-00001C370000}"/>
    <cellStyle name="제목 1 2 3" xfId="13766" xr:uid="{00000000-0005-0000-0000-00001D370000}"/>
    <cellStyle name="제목 1 2 4" xfId="13767" xr:uid="{00000000-0005-0000-0000-00001E370000}"/>
    <cellStyle name="제목 1 2 5" xfId="13768" xr:uid="{00000000-0005-0000-0000-00001F370000}"/>
    <cellStyle name="제목 1 2 6" xfId="13769" xr:uid="{00000000-0005-0000-0000-000020370000}"/>
    <cellStyle name="제목 1 3 2" xfId="13770" xr:uid="{00000000-0005-0000-0000-000021370000}"/>
    <cellStyle name="제목 1 3 3" xfId="13771" xr:uid="{00000000-0005-0000-0000-000022370000}"/>
    <cellStyle name="제목 1 3 4" xfId="13772" xr:uid="{00000000-0005-0000-0000-000023370000}"/>
    <cellStyle name="제목 1 3 5" xfId="13773" xr:uid="{00000000-0005-0000-0000-000024370000}"/>
    <cellStyle name="제목 1 3 6" xfId="13774" xr:uid="{00000000-0005-0000-0000-000025370000}"/>
    <cellStyle name="제목 1 4 2" xfId="13775" xr:uid="{00000000-0005-0000-0000-000026370000}"/>
    <cellStyle name="제목 1 4 3" xfId="13776" xr:uid="{00000000-0005-0000-0000-000027370000}"/>
    <cellStyle name="제목 1 4 4" xfId="13777" xr:uid="{00000000-0005-0000-0000-000028370000}"/>
    <cellStyle name="제목 1 4 5" xfId="13778" xr:uid="{00000000-0005-0000-0000-000029370000}"/>
    <cellStyle name="제목 1 4 6" xfId="13779" xr:uid="{00000000-0005-0000-0000-00002A370000}"/>
    <cellStyle name="제목 1 5 2" xfId="13780" xr:uid="{00000000-0005-0000-0000-00002B370000}"/>
    <cellStyle name="제목 1 5 3" xfId="13781" xr:uid="{00000000-0005-0000-0000-00002C370000}"/>
    <cellStyle name="제목 1 5 4" xfId="13782" xr:uid="{00000000-0005-0000-0000-00002D370000}"/>
    <cellStyle name="제목 1 5 5" xfId="13783" xr:uid="{00000000-0005-0000-0000-00002E370000}"/>
    <cellStyle name="제목 1 5 6" xfId="13784" xr:uid="{00000000-0005-0000-0000-00002F370000}"/>
    <cellStyle name="제목 1(左)" xfId="13785" xr:uid="{00000000-0005-0000-0000-000030370000}"/>
    <cellStyle name="제목 1(中)" xfId="13786" xr:uid="{00000000-0005-0000-0000-000031370000}"/>
    <cellStyle name="제목 2 2" xfId="13787" xr:uid="{00000000-0005-0000-0000-000032370000}"/>
    <cellStyle name="제목 2 2 2" xfId="13788" xr:uid="{00000000-0005-0000-0000-000033370000}"/>
    <cellStyle name="제목 2 2 3" xfId="13789" xr:uid="{00000000-0005-0000-0000-000034370000}"/>
    <cellStyle name="제목 2 2 4" xfId="13790" xr:uid="{00000000-0005-0000-0000-000035370000}"/>
    <cellStyle name="제목 2 2 5" xfId="13791" xr:uid="{00000000-0005-0000-0000-000036370000}"/>
    <cellStyle name="제목 2 2 6" xfId="13792" xr:uid="{00000000-0005-0000-0000-000037370000}"/>
    <cellStyle name="제목 2 3 2" xfId="13793" xr:uid="{00000000-0005-0000-0000-000038370000}"/>
    <cellStyle name="제목 2 3 3" xfId="13794" xr:uid="{00000000-0005-0000-0000-000039370000}"/>
    <cellStyle name="제목 2 3 4" xfId="13795" xr:uid="{00000000-0005-0000-0000-00003A370000}"/>
    <cellStyle name="제목 2 3 5" xfId="13796" xr:uid="{00000000-0005-0000-0000-00003B370000}"/>
    <cellStyle name="제목 2 3 6" xfId="13797" xr:uid="{00000000-0005-0000-0000-00003C370000}"/>
    <cellStyle name="제목 2 4 2" xfId="13798" xr:uid="{00000000-0005-0000-0000-00003D370000}"/>
    <cellStyle name="제목 2 4 3" xfId="13799" xr:uid="{00000000-0005-0000-0000-00003E370000}"/>
    <cellStyle name="제목 2 4 4" xfId="13800" xr:uid="{00000000-0005-0000-0000-00003F370000}"/>
    <cellStyle name="제목 2 4 5" xfId="13801" xr:uid="{00000000-0005-0000-0000-000040370000}"/>
    <cellStyle name="제목 2 4 6" xfId="13802" xr:uid="{00000000-0005-0000-0000-000041370000}"/>
    <cellStyle name="제목 2 5 2" xfId="13803" xr:uid="{00000000-0005-0000-0000-000042370000}"/>
    <cellStyle name="제목 2 5 3" xfId="13804" xr:uid="{00000000-0005-0000-0000-000043370000}"/>
    <cellStyle name="제목 2 5 4" xfId="13805" xr:uid="{00000000-0005-0000-0000-000044370000}"/>
    <cellStyle name="제목 2 5 5" xfId="13806" xr:uid="{00000000-0005-0000-0000-000045370000}"/>
    <cellStyle name="제목 2 5 6" xfId="13807" xr:uid="{00000000-0005-0000-0000-000046370000}"/>
    <cellStyle name="제목 3 2" xfId="13808" xr:uid="{00000000-0005-0000-0000-000047370000}"/>
    <cellStyle name="제목 3 2 2" xfId="13809" xr:uid="{00000000-0005-0000-0000-000048370000}"/>
    <cellStyle name="제목 3 2 3" xfId="13810" xr:uid="{00000000-0005-0000-0000-000049370000}"/>
    <cellStyle name="제목 3 2 4" xfId="13811" xr:uid="{00000000-0005-0000-0000-00004A370000}"/>
    <cellStyle name="제목 3 2 5" xfId="13812" xr:uid="{00000000-0005-0000-0000-00004B370000}"/>
    <cellStyle name="제목 3 2 6" xfId="13813" xr:uid="{00000000-0005-0000-0000-00004C370000}"/>
    <cellStyle name="제목 3 3 2" xfId="13814" xr:uid="{00000000-0005-0000-0000-00004D370000}"/>
    <cellStyle name="제목 3 3 3" xfId="13815" xr:uid="{00000000-0005-0000-0000-00004E370000}"/>
    <cellStyle name="제목 3 3 4" xfId="13816" xr:uid="{00000000-0005-0000-0000-00004F370000}"/>
    <cellStyle name="제목 3 3 5" xfId="13817" xr:uid="{00000000-0005-0000-0000-000050370000}"/>
    <cellStyle name="제목 3 3 6" xfId="13818" xr:uid="{00000000-0005-0000-0000-000051370000}"/>
    <cellStyle name="제목 3 4 2" xfId="13819" xr:uid="{00000000-0005-0000-0000-000052370000}"/>
    <cellStyle name="제목 3 4 3" xfId="13820" xr:uid="{00000000-0005-0000-0000-000053370000}"/>
    <cellStyle name="제목 3 4 4" xfId="13821" xr:uid="{00000000-0005-0000-0000-000054370000}"/>
    <cellStyle name="제목 3 4 5" xfId="13822" xr:uid="{00000000-0005-0000-0000-000055370000}"/>
    <cellStyle name="제목 3 4 6" xfId="13823" xr:uid="{00000000-0005-0000-0000-000056370000}"/>
    <cellStyle name="제목 3 5 2" xfId="13824" xr:uid="{00000000-0005-0000-0000-000057370000}"/>
    <cellStyle name="제목 3 5 3" xfId="13825" xr:uid="{00000000-0005-0000-0000-000058370000}"/>
    <cellStyle name="제목 3 5 4" xfId="13826" xr:uid="{00000000-0005-0000-0000-000059370000}"/>
    <cellStyle name="제목 3 5 5" xfId="13827" xr:uid="{00000000-0005-0000-0000-00005A370000}"/>
    <cellStyle name="제목 3 5 6" xfId="13828" xr:uid="{00000000-0005-0000-0000-00005B370000}"/>
    <cellStyle name="제목 4 2" xfId="13829" xr:uid="{00000000-0005-0000-0000-00005C370000}"/>
    <cellStyle name="제목 4 2 2" xfId="13830" xr:uid="{00000000-0005-0000-0000-00005D370000}"/>
    <cellStyle name="제목 4 2 3" xfId="13831" xr:uid="{00000000-0005-0000-0000-00005E370000}"/>
    <cellStyle name="제목 4 2 4" xfId="13832" xr:uid="{00000000-0005-0000-0000-00005F370000}"/>
    <cellStyle name="제목 4 2 5" xfId="13833" xr:uid="{00000000-0005-0000-0000-000060370000}"/>
    <cellStyle name="제목 4 2 6" xfId="13834" xr:uid="{00000000-0005-0000-0000-000061370000}"/>
    <cellStyle name="제목 4 3 2" xfId="13835" xr:uid="{00000000-0005-0000-0000-000062370000}"/>
    <cellStyle name="제목 4 3 3" xfId="13836" xr:uid="{00000000-0005-0000-0000-000063370000}"/>
    <cellStyle name="제목 4 3 4" xfId="13837" xr:uid="{00000000-0005-0000-0000-000064370000}"/>
    <cellStyle name="제목 4 3 5" xfId="13838" xr:uid="{00000000-0005-0000-0000-000065370000}"/>
    <cellStyle name="제목 4 3 6" xfId="13839" xr:uid="{00000000-0005-0000-0000-000066370000}"/>
    <cellStyle name="제목 4 4 2" xfId="13840" xr:uid="{00000000-0005-0000-0000-000067370000}"/>
    <cellStyle name="제목 4 4 3" xfId="13841" xr:uid="{00000000-0005-0000-0000-000068370000}"/>
    <cellStyle name="제목 4 4 4" xfId="13842" xr:uid="{00000000-0005-0000-0000-000069370000}"/>
    <cellStyle name="제목 4 4 5" xfId="13843" xr:uid="{00000000-0005-0000-0000-00006A370000}"/>
    <cellStyle name="제목 4 4 6" xfId="13844" xr:uid="{00000000-0005-0000-0000-00006B370000}"/>
    <cellStyle name="제목 4 5 2" xfId="13845" xr:uid="{00000000-0005-0000-0000-00006C370000}"/>
    <cellStyle name="제목 4 5 3" xfId="13846" xr:uid="{00000000-0005-0000-0000-00006D370000}"/>
    <cellStyle name="제목 4 5 4" xfId="13847" xr:uid="{00000000-0005-0000-0000-00006E370000}"/>
    <cellStyle name="제목 4 5 5" xfId="13848" xr:uid="{00000000-0005-0000-0000-00006F370000}"/>
    <cellStyle name="제목 4 5 6" xfId="13849" xr:uid="{00000000-0005-0000-0000-000070370000}"/>
    <cellStyle name="제목 5" xfId="13850" xr:uid="{00000000-0005-0000-0000-000071370000}"/>
    <cellStyle name="제목 5 2" xfId="13851" xr:uid="{00000000-0005-0000-0000-000072370000}"/>
    <cellStyle name="제목 5 3" xfId="13852" xr:uid="{00000000-0005-0000-0000-000073370000}"/>
    <cellStyle name="제목 5 4" xfId="13853" xr:uid="{00000000-0005-0000-0000-000074370000}"/>
    <cellStyle name="제목 5 5" xfId="13854" xr:uid="{00000000-0005-0000-0000-000075370000}"/>
    <cellStyle name="제목 5 6" xfId="13855" xr:uid="{00000000-0005-0000-0000-000076370000}"/>
    <cellStyle name="제목 6" xfId="13856" xr:uid="{00000000-0005-0000-0000-000077370000}"/>
    <cellStyle name="제목 6 2" xfId="13857" xr:uid="{00000000-0005-0000-0000-000078370000}"/>
    <cellStyle name="제목 6 3" xfId="13858" xr:uid="{00000000-0005-0000-0000-000079370000}"/>
    <cellStyle name="제목 6 4" xfId="13859" xr:uid="{00000000-0005-0000-0000-00007A370000}"/>
    <cellStyle name="제목 6 5" xfId="13860" xr:uid="{00000000-0005-0000-0000-00007B370000}"/>
    <cellStyle name="제목 6 6" xfId="13861" xr:uid="{00000000-0005-0000-0000-00007C370000}"/>
    <cellStyle name="제목 7" xfId="13862" xr:uid="{00000000-0005-0000-0000-00007D370000}"/>
    <cellStyle name="제목 7 2" xfId="13863" xr:uid="{00000000-0005-0000-0000-00007E370000}"/>
    <cellStyle name="제목 7 3" xfId="13864" xr:uid="{00000000-0005-0000-0000-00007F370000}"/>
    <cellStyle name="제목 7 4" xfId="13865" xr:uid="{00000000-0005-0000-0000-000080370000}"/>
    <cellStyle name="제목 7 5" xfId="13866" xr:uid="{00000000-0005-0000-0000-000081370000}"/>
    <cellStyle name="제목 7 6" xfId="13867" xr:uid="{00000000-0005-0000-0000-000082370000}"/>
    <cellStyle name="제목 8" xfId="13868" xr:uid="{00000000-0005-0000-0000-000083370000}"/>
    <cellStyle name="제목 8 2" xfId="13869" xr:uid="{00000000-0005-0000-0000-000084370000}"/>
    <cellStyle name="제목 8 3" xfId="13870" xr:uid="{00000000-0005-0000-0000-000085370000}"/>
    <cellStyle name="제목 8 4" xfId="13871" xr:uid="{00000000-0005-0000-0000-000086370000}"/>
    <cellStyle name="제목 8 5" xfId="13872" xr:uid="{00000000-0005-0000-0000-000087370000}"/>
    <cellStyle name="제목 8 6" xfId="13873" xr:uid="{00000000-0005-0000-0000-000088370000}"/>
    <cellStyle name="제목 9" xfId="13874" xr:uid="{00000000-0005-0000-0000-000089370000}"/>
    <cellStyle name="제목[1 줄]" xfId="13875" xr:uid="{00000000-0005-0000-0000-00008A370000}"/>
    <cellStyle name="제목[1 줄] 2" xfId="13876" xr:uid="{00000000-0005-0000-0000-00008B370000}"/>
    <cellStyle name="제목[2줄 아래]" xfId="13877" xr:uid="{00000000-0005-0000-0000-00008C370000}"/>
    <cellStyle name="제목[2줄 아래] 2" xfId="13878" xr:uid="{00000000-0005-0000-0000-00008D370000}"/>
    <cellStyle name="제목[2줄 위]" xfId="13879" xr:uid="{00000000-0005-0000-0000-00008E370000}"/>
    <cellStyle name="제목[2줄 위] 2" xfId="13880" xr:uid="{00000000-0005-0000-0000-00008F370000}"/>
    <cellStyle name="제목1" xfId="13881" xr:uid="{00000000-0005-0000-0000-000090370000}"/>
    <cellStyle name="제목1 2" xfId="13882" xr:uid="{00000000-0005-0000-0000-000091370000}"/>
    <cellStyle name="좋음 2" xfId="13883" xr:uid="{00000000-0005-0000-0000-000092370000}"/>
    <cellStyle name="좋음 2 2" xfId="13884" xr:uid="{00000000-0005-0000-0000-000093370000}"/>
    <cellStyle name="좋음 2 3" xfId="13885" xr:uid="{00000000-0005-0000-0000-000094370000}"/>
    <cellStyle name="좋음 2 4" xfId="13886" xr:uid="{00000000-0005-0000-0000-000095370000}"/>
    <cellStyle name="좋음 2 5" xfId="13887" xr:uid="{00000000-0005-0000-0000-000096370000}"/>
    <cellStyle name="좋음 2 6" xfId="13888" xr:uid="{00000000-0005-0000-0000-000097370000}"/>
    <cellStyle name="좋음 3 2" xfId="13889" xr:uid="{00000000-0005-0000-0000-000098370000}"/>
    <cellStyle name="좋음 3 3" xfId="13890" xr:uid="{00000000-0005-0000-0000-000099370000}"/>
    <cellStyle name="좋음 3 4" xfId="13891" xr:uid="{00000000-0005-0000-0000-00009A370000}"/>
    <cellStyle name="좋음 3 5" xfId="13892" xr:uid="{00000000-0005-0000-0000-00009B370000}"/>
    <cellStyle name="좋음 3 6" xfId="13893" xr:uid="{00000000-0005-0000-0000-00009C370000}"/>
    <cellStyle name="좋음 4 2" xfId="13894" xr:uid="{00000000-0005-0000-0000-00009D370000}"/>
    <cellStyle name="좋음 4 3" xfId="13895" xr:uid="{00000000-0005-0000-0000-00009E370000}"/>
    <cellStyle name="좋음 4 4" xfId="13896" xr:uid="{00000000-0005-0000-0000-00009F370000}"/>
    <cellStyle name="좋음 4 5" xfId="13897" xr:uid="{00000000-0005-0000-0000-0000A0370000}"/>
    <cellStyle name="좋음 4 6" xfId="13898" xr:uid="{00000000-0005-0000-0000-0000A1370000}"/>
    <cellStyle name="좋음 5 2" xfId="13899" xr:uid="{00000000-0005-0000-0000-0000A2370000}"/>
    <cellStyle name="좋음 5 3" xfId="13900" xr:uid="{00000000-0005-0000-0000-0000A3370000}"/>
    <cellStyle name="좋음 5 4" xfId="13901" xr:uid="{00000000-0005-0000-0000-0000A4370000}"/>
    <cellStyle name="좋음 5 5" xfId="13902" xr:uid="{00000000-0005-0000-0000-0000A5370000}"/>
    <cellStyle name="좋음 5 6" xfId="13903" xr:uid="{00000000-0005-0000-0000-0000A6370000}"/>
    <cellStyle name="중앙(표준)" xfId="13904" xr:uid="{00000000-0005-0000-0000-0000A7370000}"/>
    <cellStyle name="지정되지 않음" xfId="13905" xr:uid="{00000000-0005-0000-0000-0000A8370000}"/>
    <cellStyle name="지하철정렬" xfId="13906" xr:uid="{00000000-0005-0000-0000-0000A9370000}"/>
    <cellStyle name="千位分隔[0]_'06年 法人别 CI计划" xfId="13907" xr:uid="{00000000-0005-0000-0000-0000AA370000}"/>
    <cellStyle name="출력 2" xfId="13908" xr:uid="{00000000-0005-0000-0000-0000AB370000}"/>
    <cellStyle name="출력 2 2" xfId="13909" xr:uid="{00000000-0005-0000-0000-0000AC370000}"/>
    <cellStyle name="출력 2 3" xfId="13910" xr:uid="{00000000-0005-0000-0000-0000AD370000}"/>
    <cellStyle name="출력 2 4" xfId="13911" xr:uid="{00000000-0005-0000-0000-0000AE370000}"/>
    <cellStyle name="출력 2 5" xfId="13912" xr:uid="{00000000-0005-0000-0000-0000AF370000}"/>
    <cellStyle name="출력 2 6" xfId="13913" xr:uid="{00000000-0005-0000-0000-0000B0370000}"/>
    <cellStyle name="출력 3 2" xfId="13914" xr:uid="{00000000-0005-0000-0000-0000B1370000}"/>
    <cellStyle name="출력 3 3" xfId="13915" xr:uid="{00000000-0005-0000-0000-0000B2370000}"/>
    <cellStyle name="출력 3 4" xfId="13916" xr:uid="{00000000-0005-0000-0000-0000B3370000}"/>
    <cellStyle name="출력 3 5" xfId="13917" xr:uid="{00000000-0005-0000-0000-0000B4370000}"/>
    <cellStyle name="출력 3 6" xfId="13918" xr:uid="{00000000-0005-0000-0000-0000B5370000}"/>
    <cellStyle name="출력 4 2" xfId="13919" xr:uid="{00000000-0005-0000-0000-0000B6370000}"/>
    <cellStyle name="출력 4 3" xfId="13920" xr:uid="{00000000-0005-0000-0000-0000B7370000}"/>
    <cellStyle name="출력 4 4" xfId="13921" xr:uid="{00000000-0005-0000-0000-0000B8370000}"/>
    <cellStyle name="출력 4 5" xfId="13922" xr:uid="{00000000-0005-0000-0000-0000B9370000}"/>
    <cellStyle name="출력 4 6" xfId="13923" xr:uid="{00000000-0005-0000-0000-0000BA370000}"/>
    <cellStyle name="출력 5 2" xfId="13924" xr:uid="{00000000-0005-0000-0000-0000BB370000}"/>
    <cellStyle name="출력 5 3" xfId="13925" xr:uid="{00000000-0005-0000-0000-0000BC370000}"/>
    <cellStyle name="출력 5 4" xfId="13926" xr:uid="{00000000-0005-0000-0000-0000BD370000}"/>
    <cellStyle name="출력 5 5" xfId="13927" xr:uid="{00000000-0005-0000-0000-0000BE370000}"/>
    <cellStyle name="출력 5 6" xfId="13928" xr:uid="{00000000-0005-0000-0000-0000BF370000}"/>
    <cellStyle name="콤" xfId="13929" xr:uid="{00000000-0005-0000-0000-0000C0370000}"/>
    <cellStyle name="콤_계약기준양식(두리)" xfId="13930" xr:uid="{00000000-0005-0000-0000-0000C1370000}"/>
    <cellStyle name="콤_계약기준양식(두리)_1차 기성내역서 (80.1%)" xfId="13931" xr:uid="{00000000-0005-0000-0000-0000C2370000}"/>
    <cellStyle name="콤_계약기준양식(두리)_기성_4월" xfId="13932" xr:uid="{00000000-0005-0000-0000-0000C3370000}"/>
    <cellStyle name="콤_계약기준양식(두리)_기성내역(CM)" xfId="13933" xr:uid="{00000000-0005-0000-0000-0000C4370000}"/>
    <cellStyle name="콤_계약기준양식(두리)_기성내역.기계설비_(08.04)" xfId="13934" xr:uid="{00000000-0005-0000-0000-0000C5370000}"/>
    <cellStyle name="콤_계약기준양식(두리)_기성양식(080408)_최종본_한연수" xfId="13935" xr:uid="{00000000-0005-0000-0000-0000C6370000}"/>
    <cellStyle name="콤_계약기준양식(두리)_두리 3월 기성(2회)" xfId="13936" xr:uid="{00000000-0005-0000-0000-0000C7370000}"/>
    <cellStyle name="콤_계약기준양식(두리)_서브원 4월 2차기성내역 확정본_080430" xfId="13937" xr:uid="{00000000-0005-0000-0000-0000C8370000}"/>
    <cellStyle name="콤_계약기준양식(두리)_서브원4월2차기성내역확정본_080430" xfId="13938" xr:uid="{00000000-0005-0000-0000-0000C9370000}"/>
    <cellStyle name="콤_계약기준양식(두리)_한연수 서울" xfId="13939" xr:uid="{00000000-0005-0000-0000-0000CA370000}"/>
    <cellStyle name="콤_신수동재건축(실행수정)" xfId="13940" xr:uid="{00000000-0005-0000-0000-0000CB370000}"/>
    <cellStyle name="콤_신수동재건축(실행수정)_계약기준양식(두리)" xfId="13941" xr:uid="{00000000-0005-0000-0000-0000CC370000}"/>
    <cellStyle name="콤_신수동재건축(실행수정)_계약기준양식(두리)_1차 기성내역서 (80.1%)" xfId="13942" xr:uid="{00000000-0005-0000-0000-0000CD370000}"/>
    <cellStyle name="콤_신수동재건축(실행수정)_계약기준양식(두리)_기성_4월" xfId="13943" xr:uid="{00000000-0005-0000-0000-0000CE370000}"/>
    <cellStyle name="콤_신수동재건축(실행수정)_계약기준양식(두리)_기성내역(CM)" xfId="13944" xr:uid="{00000000-0005-0000-0000-0000CF370000}"/>
    <cellStyle name="콤_신수동재건축(실행수정)_계약기준양식(두리)_기성내역.기계설비_(08.04)" xfId="13945" xr:uid="{00000000-0005-0000-0000-0000D0370000}"/>
    <cellStyle name="콤_신수동재건축(실행수정)_계약기준양식(두리)_기성양식(080408)_최종본_한연수" xfId="13946" xr:uid="{00000000-0005-0000-0000-0000D1370000}"/>
    <cellStyle name="콤_신수동재건축(실행수정)_계약기준양식(두리)_두리 3월 기성(2회)" xfId="13947" xr:uid="{00000000-0005-0000-0000-0000D2370000}"/>
    <cellStyle name="콤_신수동재건축(실행수정)_계약기준양식(두리)_서브원 4월 2차기성내역 확정본_080430" xfId="13948" xr:uid="{00000000-0005-0000-0000-0000D3370000}"/>
    <cellStyle name="콤_신수동재건축(실행수정)_계약기준양식(두리)_서브원4월2차기성내역확정본_080430" xfId="13949" xr:uid="{00000000-0005-0000-0000-0000D4370000}"/>
    <cellStyle name="콤_신수동재건축(실행수정)_계약기준양식(두리)_한연수 서울" xfId="13950" xr:uid="{00000000-0005-0000-0000-0000D5370000}"/>
    <cellStyle name="콤_신수동재건축(실행수정)_엑사1차기성내역서(080408)" xfId="13951" xr:uid="{00000000-0005-0000-0000-0000D6370000}"/>
    <cellStyle name="콤_신수동재건축(실행수정)_엑사1차기성내역서(080408)_1차 기성내역서 (80.1%)" xfId="13952" xr:uid="{00000000-0005-0000-0000-0000D7370000}"/>
    <cellStyle name="콤_신수동재건축(실행수정)_엑사1차기성내역서(080408)_기성_4월" xfId="13953" xr:uid="{00000000-0005-0000-0000-0000D8370000}"/>
    <cellStyle name="콤_신수동재건축(실행수정)_엑사1차기성내역서(080408)_기성내역(CM)" xfId="13954" xr:uid="{00000000-0005-0000-0000-0000D9370000}"/>
    <cellStyle name="콤_신수동재건축(실행수정)_엑사1차기성내역서(080408)_기성내역.기계설비_(08.04)" xfId="13955" xr:uid="{00000000-0005-0000-0000-0000DA370000}"/>
    <cellStyle name="콤_신수동재건축(실행수정)_엑사1차기성내역서(080408)_기성양식(080408)_최종본_한연수" xfId="13956" xr:uid="{00000000-0005-0000-0000-0000DB370000}"/>
    <cellStyle name="콤_신수동재건축(실행수정)_엑사1차기성내역서(080408)_두리 3월 기성(2회)" xfId="13957" xr:uid="{00000000-0005-0000-0000-0000DC370000}"/>
    <cellStyle name="콤_신수동재건축(실행수정)_엑사1차기성내역서(080408)_서브원 4월 2차기성내역 확정본_080430" xfId="13958" xr:uid="{00000000-0005-0000-0000-0000DD370000}"/>
    <cellStyle name="콤_신수동재건축(실행수정)_엑사1차기성내역서(080408)_서브원4월2차기성내역확정본_080430" xfId="13959" xr:uid="{00000000-0005-0000-0000-0000DE370000}"/>
    <cellStyle name="콤_신수동재건축(실행수정)_엑사1차기성내역서(080408)_한연수 서울" xfId="13960" xr:uid="{00000000-0005-0000-0000-0000DF370000}"/>
    <cellStyle name="콤_신수동재건축(실행수정)_용인보라4공구(최종안실행)" xfId="13961" xr:uid="{00000000-0005-0000-0000-0000E0370000}"/>
    <cellStyle name="콤_신수동재건축(실행수정)_용인보라4공구(최종안실행)_계약기준양식(두리)" xfId="13962" xr:uid="{00000000-0005-0000-0000-0000E1370000}"/>
    <cellStyle name="콤_신수동재건축(실행수정)_용인보라4공구(최종안실행)_계약기준양식(두리)_1차 기성내역서 (80.1%)" xfId="13963" xr:uid="{00000000-0005-0000-0000-0000E2370000}"/>
    <cellStyle name="콤_신수동재건축(실행수정)_용인보라4공구(최종안실행)_계약기준양식(두리)_기성_4월" xfId="13964" xr:uid="{00000000-0005-0000-0000-0000E3370000}"/>
    <cellStyle name="콤_신수동재건축(실행수정)_용인보라4공구(최종안실행)_계약기준양식(두리)_기성내역(CM)" xfId="13965" xr:uid="{00000000-0005-0000-0000-0000E4370000}"/>
    <cellStyle name="콤_신수동재건축(실행수정)_용인보라4공구(최종안실행)_계약기준양식(두리)_기성내역.기계설비_(08.04)" xfId="13966" xr:uid="{00000000-0005-0000-0000-0000E5370000}"/>
    <cellStyle name="콤_신수동재건축(실행수정)_용인보라4공구(최종안실행)_계약기준양식(두리)_기성양식(080408)_최종본_한연수" xfId="13967" xr:uid="{00000000-0005-0000-0000-0000E6370000}"/>
    <cellStyle name="콤_신수동재건축(실행수정)_용인보라4공구(최종안실행)_계약기준양식(두리)_두리 3월 기성(2회)" xfId="13968" xr:uid="{00000000-0005-0000-0000-0000E7370000}"/>
    <cellStyle name="콤_신수동재건축(실행수정)_용인보라4공구(최종안실행)_계약기준양식(두리)_서브원 4월 2차기성내역 확정본_080430" xfId="13969" xr:uid="{00000000-0005-0000-0000-0000E8370000}"/>
    <cellStyle name="콤_신수동재건축(실행수정)_용인보라4공구(최종안실행)_계약기준양식(두리)_서브원4월2차기성내역확정본_080430" xfId="13970" xr:uid="{00000000-0005-0000-0000-0000E9370000}"/>
    <cellStyle name="콤_신수동재건축(실행수정)_용인보라4공구(최종안실행)_계약기준양식(두리)_한연수 서울" xfId="13971" xr:uid="{00000000-0005-0000-0000-0000EA370000}"/>
    <cellStyle name="콤_신수동재건축(실행수정)_용인보라4공구(최종안실행)_엑사1차기성내역서(080408)" xfId="13972" xr:uid="{00000000-0005-0000-0000-0000EB370000}"/>
    <cellStyle name="콤_신수동재건축(실행수정)_용인보라4공구(최종안실행)_엑사1차기성내역서(080408)_1차 기성내역서 (80.1%)" xfId="13973" xr:uid="{00000000-0005-0000-0000-0000EC370000}"/>
    <cellStyle name="콤_신수동재건축(실행수정)_용인보라4공구(최종안실행)_엑사1차기성내역서(080408)_기성_4월" xfId="13974" xr:uid="{00000000-0005-0000-0000-0000ED370000}"/>
    <cellStyle name="콤_신수동재건축(실행수정)_용인보라4공구(최종안실행)_엑사1차기성내역서(080408)_기성내역(CM)" xfId="13975" xr:uid="{00000000-0005-0000-0000-0000EE370000}"/>
    <cellStyle name="콤_신수동재건축(실행수정)_용인보라4공구(최종안실행)_엑사1차기성내역서(080408)_기성내역.기계설비_(08.04)" xfId="13976" xr:uid="{00000000-0005-0000-0000-0000EF370000}"/>
    <cellStyle name="콤_신수동재건축(실행수정)_용인보라4공구(최종안실행)_엑사1차기성내역서(080408)_기성양식(080408)_최종본_한연수" xfId="13977" xr:uid="{00000000-0005-0000-0000-0000F0370000}"/>
    <cellStyle name="콤_신수동재건축(실행수정)_용인보라4공구(최종안실행)_엑사1차기성내역서(080408)_두리 3월 기성(2회)" xfId="13978" xr:uid="{00000000-0005-0000-0000-0000F1370000}"/>
    <cellStyle name="콤_신수동재건축(실행수정)_용인보라4공구(최종안실행)_엑사1차기성내역서(080408)_서브원 4월 2차기성내역 확정본_080430" xfId="13979" xr:uid="{00000000-0005-0000-0000-0000F2370000}"/>
    <cellStyle name="콤_신수동재건축(실행수정)_용인보라4공구(최종안실행)_엑사1차기성내역서(080408)_서브원4월2차기성내역확정본_080430" xfId="13980" xr:uid="{00000000-0005-0000-0000-0000F3370000}"/>
    <cellStyle name="콤_신수동재건축(실행수정)_용인보라4공구(최종안실행)_엑사1차기성내역서(080408)_한연수 서울" xfId="13981" xr:uid="{00000000-0005-0000-0000-0000F4370000}"/>
    <cellStyle name="콤_신수동재건축(실행수정)_용인보라4공구(최종안실행)_집계표" xfId="13982" xr:uid="{00000000-0005-0000-0000-0000F5370000}"/>
    <cellStyle name="콤_신수동재건축(실행수정)_집계표" xfId="13983" xr:uid="{00000000-0005-0000-0000-0000F6370000}"/>
    <cellStyle name="콤_실행예산(신림)estm-실행" xfId="13984" xr:uid="{00000000-0005-0000-0000-0000F7370000}"/>
    <cellStyle name="콤_실행예산(신림)estm-실행_계약기준양식(두리)" xfId="13985" xr:uid="{00000000-0005-0000-0000-0000F8370000}"/>
    <cellStyle name="콤_실행예산(신림)estm-실행_계약기준양식(두리)_1차 기성내역서 (80.1%)" xfId="13986" xr:uid="{00000000-0005-0000-0000-0000F9370000}"/>
    <cellStyle name="콤_실행예산(신림)estm-실행_계약기준양식(두리)_기성_4월" xfId="13987" xr:uid="{00000000-0005-0000-0000-0000FA370000}"/>
    <cellStyle name="콤_실행예산(신림)estm-실행_계약기준양식(두리)_기성내역(CM)" xfId="13988" xr:uid="{00000000-0005-0000-0000-0000FB370000}"/>
    <cellStyle name="콤_실행예산(신림)estm-실행_계약기준양식(두리)_기성내역.기계설비_(08.04)" xfId="13989" xr:uid="{00000000-0005-0000-0000-0000FC370000}"/>
    <cellStyle name="콤_실행예산(신림)estm-실행_계약기준양식(두리)_기성양식(080408)_최종본_한연수" xfId="13990" xr:uid="{00000000-0005-0000-0000-0000FD370000}"/>
    <cellStyle name="콤_실행예산(신림)estm-실행_계약기준양식(두리)_두리 3월 기성(2회)" xfId="13991" xr:uid="{00000000-0005-0000-0000-0000FE370000}"/>
    <cellStyle name="콤_실행예산(신림)estm-실행_계약기준양식(두리)_서브원 4월 2차기성내역 확정본_080430" xfId="13992" xr:uid="{00000000-0005-0000-0000-0000FF370000}"/>
    <cellStyle name="콤_실행예산(신림)estm-실행_계약기준양식(두리)_서브원4월2차기성내역확정본_080430" xfId="13993" xr:uid="{00000000-0005-0000-0000-000000380000}"/>
    <cellStyle name="콤_실행예산(신림)estm-실행_계약기준양식(두리)_한연수 서울" xfId="13994" xr:uid="{00000000-0005-0000-0000-000001380000}"/>
    <cellStyle name="콤_실행예산(신림)estm-실행_엑사1차기성내역서(080408)" xfId="13995" xr:uid="{00000000-0005-0000-0000-000002380000}"/>
    <cellStyle name="콤_실행예산(신림)estm-실행_엑사1차기성내역서(080408)_1차 기성내역서 (80.1%)" xfId="13996" xr:uid="{00000000-0005-0000-0000-000003380000}"/>
    <cellStyle name="콤_실행예산(신림)estm-실행_엑사1차기성내역서(080408)_기성_4월" xfId="13997" xr:uid="{00000000-0005-0000-0000-000004380000}"/>
    <cellStyle name="콤_실행예산(신림)estm-실행_엑사1차기성내역서(080408)_기성내역(CM)" xfId="13998" xr:uid="{00000000-0005-0000-0000-000005380000}"/>
    <cellStyle name="콤_실행예산(신림)estm-실행_엑사1차기성내역서(080408)_기성내역.기계설비_(08.04)" xfId="13999" xr:uid="{00000000-0005-0000-0000-000006380000}"/>
    <cellStyle name="콤_실행예산(신림)estm-실행_엑사1차기성내역서(080408)_기성양식(080408)_최종본_한연수" xfId="14000" xr:uid="{00000000-0005-0000-0000-000007380000}"/>
    <cellStyle name="콤_실행예산(신림)estm-실행_엑사1차기성내역서(080408)_두리 3월 기성(2회)" xfId="14001" xr:uid="{00000000-0005-0000-0000-000008380000}"/>
    <cellStyle name="콤_실행예산(신림)estm-실행_엑사1차기성내역서(080408)_서브원 4월 2차기성내역 확정본_080430" xfId="14002" xr:uid="{00000000-0005-0000-0000-000009380000}"/>
    <cellStyle name="콤_실행예산(신림)estm-실행_엑사1차기성내역서(080408)_서브원4월2차기성내역확정본_080430" xfId="14003" xr:uid="{00000000-0005-0000-0000-00000A380000}"/>
    <cellStyle name="콤_실행예산(신림)estm-실행_엑사1차기성내역서(080408)_한연수 서울" xfId="14004" xr:uid="{00000000-0005-0000-0000-00000B380000}"/>
    <cellStyle name="콤_실행예산(신림)estm-실행_집계표" xfId="14005" xr:uid="{00000000-0005-0000-0000-00000C380000}"/>
    <cellStyle name="콤_엑사1차기성내역서(080408)" xfId="14006" xr:uid="{00000000-0005-0000-0000-00000D380000}"/>
    <cellStyle name="콤_엑사1차기성내역서(080408)_1차 기성내역서 (80.1%)" xfId="14007" xr:uid="{00000000-0005-0000-0000-00000E380000}"/>
    <cellStyle name="콤_엑사1차기성내역서(080408)_기성_4월" xfId="14008" xr:uid="{00000000-0005-0000-0000-00000F380000}"/>
    <cellStyle name="콤_엑사1차기성내역서(080408)_기성내역(CM)" xfId="14009" xr:uid="{00000000-0005-0000-0000-000010380000}"/>
    <cellStyle name="콤_엑사1차기성내역서(080408)_기성내역.기계설비_(08.04)" xfId="14010" xr:uid="{00000000-0005-0000-0000-000011380000}"/>
    <cellStyle name="콤_엑사1차기성내역서(080408)_기성양식(080408)_최종본_한연수" xfId="14011" xr:uid="{00000000-0005-0000-0000-000012380000}"/>
    <cellStyle name="콤_엑사1차기성내역서(080408)_두리 3월 기성(2회)" xfId="14012" xr:uid="{00000000-0005-0000-0000-000013380000}"/>
    <cellStyle name="콤_엑사1차기성내역서(080408)_서브원 4월 2차기성내역 확정본_080430" xfId="14013" xr:uid="{00000000-0005-0000-0000-000014380000}"/>
    <cellStyle name="콤_엑사1차기성내역서(080408)_서브원4월2차기성내역확정본_080430" xfId="14014" xr:uid="{00000000-0005-0000-0000-000015380000}"/>
    <cellStyle name="콤_엑사1차기성내역서(080408)_한연수 서울" xfId="14015" xr:uid="{00000000-0005-0000-0000-000016380000}"/>
    <cellStyle name="콤_용인보라4공구(최종안실행)" xfId="14016" xr:uid="{00000000-0005-0000-0000-000017380000}"/>
    <cellStyle name="콤_용인보라4공구(최종안실행)_계약기준양식(두리)" xfId="14017" xr:uid="{00000000-0005-0000-0000-000018380000}"/>
    <cellStyle name="콤_용인보라4공구(최종안실행)_계약기준양식(두리)_1차 기성내역서 (80.1%)" xfId="14018" xr:uid="{00000000-0005-0000-0000-000019380000}"/>
    <cellStyle name="콤_용인보라4공구(최종안실행)_계약기준양식(두리)_기성_4월" xfId="14019" xr:uid="{00000000-0005-0000-0000-00001A380000}"/>
    <cellStyle name="콤_용인보라4공구(최종안실행)_계약기준양식(두리)_기성내역(CM)" xfId="14020" xr:uid="{00000000-0005-0000-0000-00001B380000}"/>
    <cellStyle name="콤_용인보라4공구(최종안실행)_계약기준양식(두리)_기성내역.기계설비_(08.04)" xfId="14021" xr:uid="{00000000-0005-0000-0000-00001C380000}"/>
    <cellStyle name="콤_용인보라4공구(최종안실행)_계약기준양식(두리)_기성양식(080408)_최종본_한연수" xfId="14022" xr:uid="{00000000-0005-0000-0000-00001D380000}"/>
    <cellStyle name="콤_용인보라4공구(최종안실행)_계약기준양식(두리)_두리 3월 기성(2회)" xfId="14023" xr:uid="{00000000-0005-0000-0000-00001E380000}"/>
    <cellStyle name="콤_용인보라4공구(최종안실행)_계약기준양식(두리)_서브원 4월 2차기성내역 확정본_080430" xfId="14024" xr:uid="{00000000-0005-0000-0000-00001F380000}"/>
    <cellStyle name="콤_용인보라4공구(최종안실행)_계약기준양식(두리)_서브원4월2차기성내역확정본_080430" xfId="14025" xr:uid="{00000000-0005-0000-0000-000020380000}"/>
    <cellStyle name="콤_용인보라4공구(최종안실행)_계약기준양식(두리)_한연수 서울" xfId="14026" xr:uid="{00000000-0005-0000-0000-000021380000}"/>
    <cellStyle name="콤_용인보라4공구(최종안실행)_엑사1차기성내역서(080408)" xfId="14027" xr:uid="{00000000-0005-0000-0000-000022380000}"/>
    <cellStyle name="콤_용인보라4공구(최종안실행)_엑사1차기성내역서(080408)_1차 기성내역서 (80.1%)" xfId="14028" xr:uid="{00000000-0005-0000-0000-000023380000}"/>
    <cellStyle name="콤_용인보라4공구(최종안실행)_엑사1차기성내역서(080408)_기성_4월" xfId="14029" xr:uid="{00000000-0005-0000-0000-000024380000}"/>
    <cellStyle name="콤_용인보라4공구(최종안실행)_엑사1차기성내역서(080408)_기성내역(CM)" xfId="14030" xr:uid="{00000000-0005-0000-0000-000025380000}"/>
    <cellStyle name="콤_용인보라4공구(최종안실행)_엑사1차기성내역서(080408)_기성내역.기계설비_(08.04)" xfId="14031" xr:uid="{00000000-0005-0000-0000-000026380000}"/>
    <cellStyle name="콤_용인보라4공구(최종안실행)_엑사1차기성내역서(080408)_기성양식(080408)_최종본_한연수" xfId="14032" xr:uid="{00000000-0005-0000-0000-000027380000}"/>
    <cellStyle name="콤_용인보라4공구(최종안실행)_엑사1차기성내역서(080408)_두리 3월 기성(2회)" xfId="14033" xr:uid="{00000000-0005-0000-0000-000028380000}"/>
    <cellStyle name="콤_용인보라4공구(최종안실행)_엑사1차기성내역서(080408)_서브원 4월 2차기성내역 확정본_080430" xfId="14034" xr:uid="{00000000-0005-0000-0000-000029380000}"/>
    <cellStyle name="콤_용인보라4공구(최종안실행)_엑사1차기성내역서(080408)_서브원4월2차기성내역확정본_080430" xfId="14035" xr:uid="{00000000-0005-0000-0000-00002A380000}"/>
    <cellStyle name="콤_용인보라4공구(최종안실행)_엑사1차기성내역서(080408)_한연수 서울" xfId="14036" xr:uid="{00000000-0005-0000-0000-00002B380000}"/>
    <cellStyle name="콤_용인보라4공구(최종안실행)_집계표" xfId="14037" xr:uid="{00000000-0005-0000-0000-00002C380000}"/>
    <cellStyle name="콤_원주시청사-건축" xfId="14038" xr:uid="{00000000-0005-0000-0000-00002D380000}"/>
    <cellStyle name="콤_원주시청사-건축_계약기준양식(두리)" xfId="14039" xr:uid="{00000000-0005-0000-0000-00002E380000}"/>
    <cellStyle name="콤_원주시청사-건축_계약기준양식(두리)_1차 기성내역서 (80.1%)" xfId="14040" xr:uid="{00000000-0005-0000-0000-00002F380000}"/>
    <cellStyle name="콤_원주시청사-건축_계약기준양식(두리)_기성_4월" xfId="14041" xr:uid="{00000000-0005-0000-0000-000030380000}"/>
    <cellStyle name="콤_원주시청사-건축_계약기준양식(두리)_기성내역(CM)" xfId="14042" xr:uid="{00000000-0005-0000-0000-000031380000}"/>
    <cellStyle name="콤_원주시청사-건축_계약기준양식(두리)_기성내역.기계설비_(08.04)" xfId="14043" xr:uid="{00000000-0005-0000-0000-000032380000}"/>
    <cellStyle name="콤_원주시청사-건축_계약기준양식(두리)_기성양식(080408)_최종본_한연수" xfId="14044" xr:uid="{00000000-0005-0000-0000-000033380000}"/>
    <cellStyle name="콤_원주시청사-건축_계약기준양식(두리)_두리 3월 기성(2회)" xfId="14045" xr:uid="{00000000-0005-0000-0000-000034380000}"/>
    <cellStyle name="콤_원주시청사-건축_계약기준양식(두리)_서브원 4월 2차기성내역 확정본_080430" xfId="14046" xr:uid="{00000000-0005-0000-0000-000035380000}"/>
    <cellStyle name="콤_원주시청사-건축_계약기준양식(두리)_서브원4월2차기성내역확정본_080430" xfId="14047" xr:uid="{00000000-0005-0000-0000-000036380000}"/>
    <cellStyle name="콤_원주시청사-건축_계약기준양식(두리)_한연수 서울" xfId="14048" xr:uid="{00000000-0005-0000-0000-000037380000}"/>
    <cellStyle name="콤_원주시청사-건축_엑사1차기성내역서(080408)" xfId="14049" xr:uid="{00000000-0005-0000-0000-000038380000}"/>
    <cellStyle name="콤_원주시청사-건축_엑사1차기성내역서(080408)_1차 기성내역서 (80.1%)" xfId="14050" xr:uid="{00000000-0005-0000-0000-000039380000}"/>
    <cellStyle name="콤_원주시청사-건축_엑사1차기성내역서(080408)_기성_4월" xfId="14051" xr:uid="{00000000-0005-0000-0000-00003A380000}"/>
    <cellStyle name="콤_원주시청사-건축_엑사1차기성내역서(080408)_기성내역(CM)" xfId="14052" xr:uid="{00000000-0005-0000-0000-00003B380000}"/>
    <cellStyle name="콤_원주시청사-건축_엑사1차기성내역서(080408)_기성내역.기계설비_(08.04)" xfId="14053" xr:uid="{00000000-0005-0000-0000-00003C380000}"/>
    <cellStyle name="콤_원주시청사-건축_엑사1차기성내역서(080408)_기성양식(080408)_최종본_한연수" xfId="14054" xr:uid="{00000000-0005-0000-0000-00003D380000}"/>
    <cellStyle name="콤_원주시청사-건축_엑사1차기성내역서(080408)_두리 3월 기성(2회)" xfId="14055" xr:uid="{00000000-0005-0000-0000-00003E380000}"/>
    <cellStyle name="콤_원주시청사-건축_엑사1차기성내역서(080408)_서브원 4월 2차기성내역 확정본_080430" xfId="14056" xr:uid="{00000000-0005-0000-0000-00003F380000}"/>
    <cellStyle name="콤_원주시청사-건축_엑사1차기성내역서(080408)_서브원4월2차기성내역확정본_080430" xfId="14057" xr:uid="{00000000-0005-0000-0000-000040380000}"/>
    <cellStyle name="콤_원주시청사-건축_엑사1차기성내역서(080408)_한연수 서울" xfId="14058" xr:uid="{00000000-0005-0000-0000-000041380000}"/>
    <cellStyle name="콤_원주시청사-건축_용인보라4공구(최종안실행)" xfId="14059" xr:uid="{00000000-0005-0000-0000-000042380000}"/>
    <cellStyle name="콤_원주시청사-건축_용인보라4공구(최종안실행)_계약기준양식(두리)" xfId="14060" xr:uid="{00000000-0005-0000-0000-000043380000}"/>
    <cellStyle name="콤_원주시청사-건축_용인보라4공구(최종안실행)_계약기준양식(두리)_1차 기성내역서 (80.1%)" xfId="14061" xr:uid="{00000000-0005-0000-0000-000044380000}"/>
    <cellStyle name="콤_원주시청사-건축_용인보라4공구(최종안실행)_계약기준양식(두리)_기성_4월" xfId="14062" xr:uid="{00000000-0005-0000-0000-000045380000}"/>
    <cellStyle name="콤_원주시청사-건축_용인보라4공구(최종안실행)_계약기준양식(두리)_기성내역(CM)" xfId="14063" xr:uid="{00000000-0005-0000-0000-000046380000}"/>
    <cellStyle name="콤_원주시청사-건축_용인보라4공구(최종안실행)_계약기준양식(두리)_기성내역.기계설비_(08.04)" xfId="14064" xr:uid="{00000000-0005-0000-0000-000047380000}"/>
    <cellStyle name="콤_원주시청사-건축_용인보라4공구(최종안실행)_계약기준양식(두리)_기성양식(080408)_최종본_한연수" xfId="14065" xr:uid="{00000000-0005-0000-0000-000048380000}"/>
    <cellStyle name="콤_원주시청사-건축_용인보라4공구(최종안실행)_계약기준양식(두리)_두리 3월 기성(2회)" xfId="14066" xr:uid="{00000000-0005-0000-0000-000049380000}"/>
    <cellStyle name="콤_원주시청사-건축_용인보라4공구(최종안실행)_계약기준양식(두리)_서브원 4월 2차기성내역 확정본_080430" xfId="14067" xr:uid="{00000000-0005-0000-0000-00004A380000}"/>
    <cellStyle name="콤_원주시청사-건축_용인보라4공구(최종안실행)_계약기준양식(두리)_서브원4월2차기성내역확정본_080430" xfId="14068" xr:uid="{00000000-0005-0000-0000-00004B380000}"/>
    <cellStyle name="콤_원주시청사-건축_용인보라4공구(최종안실행)_계약기준양식(두리)_한연수 서울" xfId="14069" xr:uid="{00000000-0005-0000-0000-00004C380000}"/>
    <cellStyle name="콤_원주시청사-건축_용인보라4공구(최종안실행)_엑사1차기성내역서(080408)" xfId="14070" xr:uid="{00000000-0005-0000-0000-00004D380000}"/>
    <cellStyle name="콤_원주시청사-건축_용인보라4공구(최종안실행)_엑사1차기성내역서(080408)_1차 기성내역서 (80.1%)" xfId="14071" xr:uid="{00000000-0005-0000-0000-00004E380000}"/>
    <cellStyle name="콤_원주시청사-건축_용인보라4공구(최종안실행)_엑사1차기성내역서(080408)_기성_4월" xfId="14072" xr:uid="{00000000-0005-0000-0000-00004F380000}"/>
    <cellStyle name="콤_원주시청사-건축_용인보라4공구(최종안실행)_엑사1차기성내역서(080408)_기성내역(CM)" xfId="14073" xr:uid="{00000000-0005-0000-0000-000050380000}"/>
    <cellStyle name="콤_원주시청사-건축_용인보라4공구(최종안실행)_엑사1차기성내역서(080408)_기성내역.기계설비_(08.04)" xfId="14074" xr:uid="{00000000-0005-0000-0000-000051380000}"/>
    <cellStyle name="콤_원주시청사-건축_용인보라4공구(최종안실행)_엑사1차기성내역서(080408)_기성양식(080408)_최종본_한연수" xfId="14075" xr:uid="{00000000-0005-0000-0000-000052380000}"/>
    <cellStyle name="콤_원주시청사-건축_용인보라4공구(최종안실행)_엑사1차기성내역서(080408)_두리 3월 기성(2회)" xfId="14076" xr:uid="{00000000-0005-0000-0000-000053380000}"/>
    <cellStyle name="콤_원주시청사-건축_용인보라4공구(최종안실행)_엑사1차기성내역서(080408)_서브원 4월 2차기성내역 확정본_080430" xfId="14077" xr:uid="{00000000-0005-0000-0000-000054380000}"/>
    <cellStyle name="콤_원주시청사-건축_용인보라4공구(최종안실행)_엑사1차기성내역서(080408)_서브원4월2차기성내역확정본_080430" xfId="14078" xr:uid="{00000000-0005-0000-0000-000055380000}"/>
    <cellStyle name="콤_원주시청사-건축_용인보라4공구(최종안실행)_엑사1차기성내역서(080408)_한연수 서울" xfId="14079" xr:uid="{00000000-0005-0000-0000-000056380000}"/>
    <cellStyle name="콤_원주시청사-건축_용인보라4공구(최종안실행)_집계표" xfId="14080" xr:uid="{00000000-0005-0000-0000-000057380000}"/>
    <cellStyle name="콤_원주시청사-건축_집계표" xfId="14081" xr:uid="{00000000-0005-0000-0000-000058380000}"/>
    <cellStyle name="콤_집계표" xfId="14082" xr:uid="{00000000-0005-0000-0000-000059380000}"/>
    <cellStyle name="콤마" xfId="14083" xr:uid="{00000000-0005-0000-0000-00005A380000}"/>
    <cellStyle name="콤마 [" xfId="14084" xr:uid="{00000000-0005-0000-0000-00005B380000}"/>
    <cellStyle name="콤마 [#]" xfId="14085" xr:uid="{00000000-0005-0000-0000-00005C380000}"/>
    <cellStyle name="콤마 []" xfId="14086" xr:uid="{00000000-0005-0000-0000-00005D380000}"/>
    <cellStyle name="콤마 [_계약기준양식(두리)" xfId="14087" xr:uid="{00000000-0005-0000-0000-00005E380000}"/>
    <cellStyle name="콤마 [0]" xfId="14088" xr:uid="{00000000-0005-0000-0000-00005F380000}"/>
    <cellStyle name="콤마 [0] 2" xfId="14089" xr:uid="{00000000-0005-0000-0000-000060380000}"/>
    <cellStyle name="콤마 [0] 3" xfId="14090" xr:uid="{00000000-0005-0000-0000-000061380000}"/>
    <cellStyle name="콤마 [0]/원" xfId="14091" xr:uid="{00000000-0005-0000-0000-000062380000}"/>
    <cellStyle name="콤마 [0]/원 2" xfId="14092" xr:uid="{00000000-0005-0000-0000-000063380000}"/>
    <cellStyle name="콤마 [0]_  RANGE " xfId="14093" xr:uid="{00000000-0005-0000-0000-000064380000}"/>
    <cellStyle name="콤마 [0]kich" xfId="14094" xr:uid="{00000000-0005-0000-0000-000065380000}"/>
    <cellStyle name="콤마 [0]kich1" xfId="14095" xr:uid="{00000000-0005-0000-0000-000066380000}"/>
    <cellStyle name="콤마 [0-1]" xfId="14096" xr:uid="{00000000-0005-0000-0000-000067380000}"/>
    <cellStyle name="콤마 [0기성]" xfId="14097" xr:uid="{00000000-0005-0000-0000-000068380000}"/>
    <cellStyle name="콤마 [2]" xfId="14098" xr:uid="{00000000-0005-0000-0000-000069380000}"/>
    <cellStyle name="콤마 [2] 2" xfId="14099" xr:uid="{00000000-0005-0000-0000-00006A380000}"/>
    <cellStyle name="콤마 [2] 3" xfId="14100" xr:uid="{00000000-0005-0000-0000-00006B380000}"/>
    <cellStyle name="콤마 [20]" xfId="14101" xr:uid="{00000000-0005-0000-0000-00006C380000}"/>
    <cellStyle name="콤마 [kcd]" xfId="14102" xr:uid="{00000000-0005-0000-0000-00006D380000}"/>
    <cellStyle name="콤마 [금액]" xfId="14103" xr:uid="{00000000-0005-0000-0000-00006E380000}"/>
    <cellStyle name="콤마 [소수]" xfId="14104" xr:uid="{00000000-0005-0000-0000-00006F380000}"/>
    <cellStyle name="콤마 [수량]" xfId="14105" xr:uid="{00000000-0005-0000-0000-000070380000}"/>
    <cellStyle name="콤마(BLANK1)" xfId="14106" xr:uid="{00000000-0005-0000-0000-000071380000}"/>
    <cellStyle name="콤마(BLANK1-0)" xfId="14107" xr:uid="{00000000-0005-0000-0000-000072380000}"/>
    <cellStyle name="콤마(BLANK1-1)" xfId="14108" xr:uid="{00000000-0005-0000-0000-000073380000}"/>
    <cellStyle name="콤마(BLANK1-2)" xfId="14109" xr:uid="{00000000-0005-0000-0000-000074380000}"/>
    <cellStyle name="콤마(zero)" xfId="14110" xr:uid="{00000000-0005-0000-0000-000075380000}"/>
    <cellStyle name="콤마[ ]" xfId="14111" xr:uid="{00000000-0005-0000-0000-000076380000}"/>
    <cellStyle name="콤마[*]" xfId="14112" xr:uid="{00000000-0005-0000-0000-000077380000}"/>
    <cellStyle name="콤마[,]" xfId="14113" xr:uid="{00000000-0005-0000-0000-000078380000}"/>
    <cellStyle name="콤마[.]" xfId="14114" xr:uid="{00000000-0005-0000-0000-000079380000}"/>
    <cellStyle name="콤마[0]" xfId="14115" xr:uid="{00000000-0005-0000-0000-00007A380000}"/>
    <cellStyle name="콤마[0] 2" xfId="14116" xr:uid="{00000000-0005-0000-0000-00007B380000}"/>
    <cellStyle name="콤마_    장비별연구개발비총괄표" xfId="14117" xr:uid="{00000000-0005-0000-0000-00007C380000}"/>
    <cellStyle name="콤마桓?琉?업종별 " xfId="14118" xr:uid="{00000000-0005-0000-0000-00007D380000}"/>
    <cellStyle name="콤마숫자" xfId="14119" xr:uid="{00000000-0005-0000-0000-00007E380000}"/>
    <cellStyle name="타이틀" xfId="14120" xr:uid="{00000000-0005-0000-0000-00007F380000}"/>
    <cellStyle name="통" xfId="14121" xr:uid="{00000000-0005-0000-0000-000080380000}"/>
    <cellStyle name="통_계약기준양식(두리)" xfId="14122" xr:uid="{00000000-0005-0000-0000-000081380000}"/>
    <cellStyle name="통_계약기준양식(두리)_1차 기성내역서 (80.1%)" xfId="14123" xr:uid="{00000000-0005-0000-0000-000082380000}"/>
    <cellStyle name="통_계약기준양식(두리)_기성_4월" xfId="14124" xr:uid="{00000000-0005-0000-0000-000083380000}"/>
    <cellStyle name="통_계약기준양식(두리)_기성내역(CM)" xfId="14125" xr:uid="{00000000-0005-0000-0000-000084380000}"/>
    <cellStyle name="통_계약기준양식(두리)_기성내역.기계설비_(08.04)" xfId="14126" xr:uid="{00000000-0005-0000-0000-000085380000}"/>
    <cellStyle name="통_계약기준양식(두리)_기성양식(080408)_최종본_한연수" xfId="14127" xr:uid="{00000000-0005-0000-0000-000086380000}"/>
    <cellStyle name="통_계약기준양식(두리)_두리 3월 기성(2회)" xfId="14128" xr:uid="{00000000-0005-0000-0000-000087380000}"/>
    <cellStyle name="통_계약기준양식(두리)_서브원 4월 2차기성내역 확정본_080430" xfId="14129" xr:uid="{00000000-0005-0000-0000-000088380000}"/>
    <cellStyle name="통_계약기준양식(두리)_서브원4월2차기성내역확정본_080430" xfId="14130" xr:uid="{00000000-0005-0000-0000-000089380000}"/>
    <cellStyle name="통_계약기준양식(두리)_한연수 서울" xfId="14131" xr:uid="{00000000-0005-0000-0000-00008A380000}"/>
    <cellStyle name="통_신수동재건축(실행수정)" xfId="14132" xr:uid="{00000000-0005-0000-0000-00008B380000}"/>
    <cellStyle name="통_신수동재건축(실행수정)_계약기준양식(두리)" xfId="14133" xr:uid="{00000000-0005-0000-0000-00008C380000}"/>
    <cellStyle name="통_신수동재건축(실행수정)_계약기준양식(두리)_1차 기성내역서 (80.1%)" xfId="14134" xr:uid="{00000000-0005-0000-0000-00008D380000}"/>
    <cellStyle name="통_신수동재건축(실행수정)_계약기준양식(두리)_기성_4월" xfId="14135" xr:uid="{00000000-0005-0000-0000-00008E380000}"/>
    <cellStyle name="통_신수동재건축(실행수정)_계약기준양식(두리)_기성내역(CM)" xfId="14136" xr:uid="{00000000-0005-0000-0000-00008F380000}"/>
    <cellStyle name="통_신수동재건축(실행수정)_계약기준양식(두리)_기성내역.기계설비_(08.04)" xfId="14137" xr:uid="{00000000-0005-0000-0000-000090380000}"/>
    <cellStyle name="통_신수동재건축(실행수정)_계약기준양식(두리)_기성양식(080408)_최종본_한연수" xfId="14138" xr:uid="{00000000-0005-0000-0000-000091380000}"/>
    <cellStyle name="통_신수동재건축(실행수정)_계약기준양식(두리)_두리 3월 기성(2회)" xfId="14139" xr:uid="{00000000-0005-0000-0000-000092380000}"/>
    <cellStyle name="통_신수동재건축(실행수정)_계약기준양식(두리)_서브원 4월 2차기성내역 확정본_080430" xfId="14140" xr:uid="{00000000-0005-0000-0000-000093380000}"/>
    <cellStyle name="통_신수동재건축(실행수정)_계약기준양식(두리)_서브원4월2차기성내역확정본_080430" xfId="14141" xr:uid="{00000000-0005-0000-0000-000094380000}"/>
    <cellStyle name="통_신수동재건축(실행수정)_계약기준양식(두리)_한연수 서울" xfId="14142" xr:uid="{00000000-0005-0000-0000-000095380000}"/>
    <cellStyle name="통_신수동재건축(실행수정)_엑사1차기성내역서(080408)" xfId="14143" xr:uid="{00000000-0005-0000-0000-000096380000}"/>
    <cellStyle name="통_신수동재건축(실행수정)_엑사1차기성내역서(080408)_1차 기성내역서 (80.1%)" xfId="14144" xr:uid="{00000000-0005-0000-0000-000097380000}"/>
    <cellStyle name="통_신수동재건축(실행수정)_엑사1차기성내역서(080408)_기성_4월" xfId="14145" xr:uid="{00000000-0005-0000-0000-000098380000}"/>
    <cellStyle name="통_신수동재건축(실행수정)_엑사1차기성내역서(080408)_기성내역(CM)" xfId="14146" xr:uid="{00000000-0005-0000-0000-000099380000}"/>
    <cellStyle name="통_신수동재건축(실행수정)_엑사1차기성내역서(080408)_기성내역.기계설비_(08.04)" xfId="14147" xr:uid="{00000000-0005-0000-0000-00009A380000}"/>
    <cellStyle name="통_신수동재건축(실행수정)_엑사1차기성내역서(080408)_기성양식(080408)_최종본_한연수" xfId="14148" xr:uid="{00000000-0005-0000-0000-00009B380000}"/>
    <cellStyle name="통_신수동재건축(실행수정)_엑사1차기성내역서(080408)_두리 3월 기성(2회)" xfId="14149" xr:uid="{00000000-0005-0000-0000-00009C380000}"/>
    <cellStyle name="통_신수동재건축(실행수정)_엑사1차기성내역서(080408)_서브원 4월 2차기성내역 확정본_080430" xfId="14150" xr:uid="{00000000-0005-0000-0000-00009D380000}"/>
    <cellStyle name="통_신수동재건축(실행수정)_엑사1차기성내역서(080408)_서브원4월2차기성내역확정본_080430" xfId="14151" xr:uid="{00000000-0005-0000-0000-00009E380000}"/>
    <cellStyle name="통_신수동재건축(실행수정)_엑사1차기성내역서(080408)_한연수 서울" xfId="14152" xr:uid="{00000000-0005-0000-0000-00009F380000}"/>
    <cellStyle name="통_신수동재건축(실행수정)_용인보라4공구(최종안실행)" xfId="14153" xr:uid="{00000000-0005-0000-0000-0000A0380000}"/>
    <cellStyle name="통_신수동재건축(실행수정)_용인보라4공구(최종안실행)_계약기준양식(두리)" xfId="14154" xr:uid="{00000000-0005-0000-0000-0000A1380000}"/>
    <cellStyle name="통_신수동재건축(실행수정)_용인보라4공구(최종안실행)_계약기준양식(두리)_1차 기성내역서 (80.1%)" xfId="14155" xr:uid="{00000000-0005-0000-0000-0000A2380000}"/>
    <cellStyle name="통_신수동재건축(실행수정)_용인보라4공구(최종안실행)_계약기준양식(두리)_기성_4월" xfId="14156" xr:uid="{00000000-0005-0000-0000-0000A3380000}"/>
    <cellStyle name="통_신수동재건축(실행수정)_용인보라4공구(최종안실행)_계약기준양식(두리)_기성내역(CM)" xfId="14157" xr:uid="{00000000-0005-0000-0000-0000A4380000}"/>
    <cellStyle name="통_신수동재건축(실행수정)_용인보라4공구(최종안실행)_계약기준양식(두리)_기성내역.기계설비_(08.04)" xfId="14158" xr:uid="{00000000-0005-0000-0000-0000A5380000}"/>
    <cellStyle name="통_신수동재건축(실행수정)_용인보라4공구(최종안실행)_계약기준양식(두리)_기성양식(080408)_최종본_한연수" xfId="14159" xr:uid="{00000000-0005-0000-0000-0000A6380000}"/>
    <cellStyle name="통_신수동재건축(실행수정)_용인보라4공구(최종안실행)_계약기준양식(두리)_두리 3월 기성(2회)" xfId="14160" xr:uid="{00000000-0005-0000-0000-0000A7380000}"/>
    <cellStyle name="통_신수동재건축(실행수정)_용인보라4공구(최종안실행)_계약기준양식(두리)_서브원 4월 2차기성내역 확정본_080430" xfId="14161" xr:uid="{00000000-0005-0000-0000-0000A8380000}"/>
    <cellStyle name="통_신수동재건축(실행수정)_용인보라4공구(최종안실행)_계약기준양식(두리)_서브원4월2차기성내역확정본_080430" xfId="14162" xr:uid="{00000000-0005-0000-0000-0000A9380000}"/>
    <cellStyle name="통_신수동재건축(실행수정)_용인보라4공구(최종안실행)_계약기준양식(두리)_한연수 서울" xfId="14163" xr:uid="{00000000-0005-0000-0000-0000AA380000}"/>
    <cellStyle name="통_신수동재건축(실행수정)_용인보라4공구(최종안실행)_엑사1차기성내역서(080408)" xfId="14164" xr:uid="{00000000-0005-0000-0000-0000AB380000}"/>
    <cellStyle name="통_신수동재건축(실행수정)_용인보라4공구(최종안실행)_엑사1차기성내역서(080408)_1차 기성내역서 (80.1%)" xfId="14165" xr:uid="{00000000-0005-0000-0000-0000AC380000}"/>
    <cellStyle name="통_신수동재건축(실행수정)_용인보라4공구(최종안실행)_엑사1차기성내역서(080408)_기성_4월" xfId="14166" xr:uid="{00000000-0005-0000-0000-0000AD380000}"/>
    <cellStyle name="통_신수동재건축(실행수정)_용인보라4공구(최종안실행)_엑사1차기성내역서(080408)_기성내역(CM)" xfId="14167" xr:uid="{00000000-0005-0000-0000-0000AE380000}"/>
    <cellStyle name="통_신수동재건축(실행수정)_용인보라4공구(최종안실행)_엑사1차기성내역서(080408)_기성내역.기계설비_(08.04)" xfId="14168" xr:uid="{00000000-0005-0000-0000-0000AF380000}"/>
    <cellStyle name="통_신수동재건축(실행수정)_용인보라4공구(최종안실행)_엑사1차기성내역서(080408)_기성양식(080408)_최종본_한연수" xfId="14169" xr:uid="{00000000-0005-0000-0000-0000B0380000}"/>
    <cellStyle name="통_신수동재건축(실행수정)_용인보라4공구(최종안실행)_엑사1차기성내역서(080408)_두리 3월 기성(2회)" xfId="14170" xr:uid="{00000000-0005-0000-0000-0000B1380000}"/>
    <cellStyle name="통_신수동재건축(실행수정)_용인보라4공구(최종안실행)_엑사1차기성내역서(080408)_서브원 4월 2차기성내역 확정본_080430" xfId="14171" xr:uid="{00000000-0005-0000-0000-0000B2380000}"/>
    <cellStyle name="통_신수동재건축(실행수정)_용인보라4공구(최종안실행)_엑사1차기성내역서(080408)_서브원4월2차기성내역확정본_080430" xfId="14172" xr:uid="{00000000-0005-0000-0000-0000B3380000}"/>
    <cellStyle name="통_신수동재건축(실행수정)_용인보라4공구(최종안실행)_엑사1차기성내역서(080408)_한연수 서울" xfId="14173" xr:uid="{00000000-0005-0000-0000-0000B4380000}"/>
    <cellStyle name="통_신수동재건축(실행수정)_용인보라4공구(최종안실행)_집계표" xfId="14174" xr:uid="{00000000-0005-0000-0000-0000B5380000}"/>
    <cellStyle name="통_신수동재건축(실행수정)_집계표" xfId="14175" xr:uid="{00000000-0005-0000-0000-0000B6380000}"/>
    <cellStyle name="통_실행예산(신림)estm-실행" xfId="14176" xr:uid="{00000000-0005-0000-0000-0000B7380000}"/>
    <cellStyle name="통_실행예산(신림)estm-실행_계약기준양식(두리)" xfId="14177" xr:uid="{00000000-0005-0000-0000-0000B8380000}"/>
    <cellStyle name="통_실행예산(신림)estm-실행_계약기준양식(두리)_1차 기성내역서 (80.1%)" xfId="14178" xr:uid="{00000000-0005-0000-0000-0000B9380000}"/>
    <cellStyle name="통_실행예산(신림)estm-실행_계약기준양식(두리)_기성_4월" xfId="14179" xr:uid="{00000000-0005-0000-0000-0000BA380000}"/>
    <cellStyle name="통_실행예산(신림)estm-실행_계약기준양식(두리)_기성내역(CM)" xfId="14180" xr:uid="{00000000-0005-0000-0000-0000BB380000}"/>
    <cellStyle name="통_실행예산(신림)estm-실행_계약기준양식(두리)_기성내역.기계설비_(08.04)" xfId="14181" xr:uid="{00000000-0005-0000-0000-0000BC380000}"/>
    <cellStyle name="통_실행예산(신림)estm-실행_계약기준양식(두리)_기성양식(080408)_최종본_한연수" xfId="14182" xr:uid="{00000000-0005-0000-0000-0000BD380000}"/>
    <cellStyle name="통_실행예산(신림)estm-실행_계약기준양식(두리)_두리 3월 기성(2회)" xfId="14183" xr:uid="{00000000-0005-0000-0000-0000BE380000}"/>
    <cellStyle name="통_실행예산(신림)estm-실행_계약기준양식(두리)_서브원 4월 2차기성내역 확정본_080430" xfId="14184" xr:uid="{00000000-0005-0000-0000-0000BF380000}"/>
    <cellStyle name="통_실행예산(신림)estm-실행_계약기준양식(두리)_서브원4월2차기성내역확정본_080430" xfId="14185" xr:uid="{00000000-0005-0000-0000-0000C0380000}"/>
    <cellStyle name="통_실행예산(신림)estm-실행_계약기준양식(두리)_한연수 서울" xfId="14186" xr:uid="{00000000-0005-0000-0000-0000C1380000}"/>
    <cellStyle name="통_실행예산(신림)estm-실행_엑사1차기성내역서(080408)" xfId="14187" xr:uid="{00000000-0005-0000-0000-0000C2380000}"/>
    <cellStyle name="통_실행예산(신림)estm-실행_엑사1차기성내역서(080408)_1차 기성내역서 (80.1%)" xfId="14188" xr:uid="{00000000-0005-0000-0000-0000C3380000}"/>
    <cellStyle name="통_실행예산(신림)estm-실행_엑사1차기성내역서(080408)_기성_4월" xfId="14189" xr:uid="{00000000-0005-0000-0000-0000C4380000}"/>
    <cellStyle name="통_실행예산(신림)estm-실행_엑사1차기성내역서(080408)_기성내역(CM)" xfId="14190" xr:uid="{00000000-0005-0000-0000-0000C5380000}"/>
    <cellStyle name="통_실행예산(신림)estm-실행_엑사1차기성내역서(080408)_기성내역.기계설비_(08.04)" xfId="14191" xr:uid="{00000000-0005-0000-0000-0000C6380000}"/>
    <cellStyle name="통_실행예산(신림)estm-실행_엑사1차기성내역서(080408)_기성양식(080408)_최종본_한연수" xfId="14192" xr:uid="{00000000-0005-0000-0000-0000C7380000}"/>
    <cellStyle name="통_실행예산(신림)estm-실행_엑사1차기성내역서(080408)_두리 3월 기성(2회)" xfId="14193" xr:uid="{00000000-0005-0000-0000-0000C8380000}"/>
    <cellStyle name="통_실행예산(신림)estm-실행_엑사1차기성내역서(080408)_서브원 4월 2차기성내역 확정본_080430" xfId="14194" xr:uid="{00000000-0005-0000-0000-0000C9380000}"/>
    <cellStyle name="통_실행예산(신림)estm-실행_엑사1차기성내역서(080408)_서브원4월2차기성내역확정본_080430" xfId="14195" xr:uid="{00000000-0005-0000-0000-0000CA380000}"/>
    <cellStyle name="통_실행예산(신림)estm-실행_엑사1차기성내역서(080408)_한연수 서울" xfId="14196" xr:uid="{00000000-0005-0000-0000-0000CB380000}"/>
    <cellStyle name="통_실행예산(신림)estm-실행_집계표" xfId="14197" xr:uid="{00000000-0005-0000-0000-0000CC380000}"/>
    <cellStyle name="통_엑사1차기성내역서(080408)" xfId="14198" xr:uid="{00000000-0005-0000-0000-0000CD380000}"/>
    <cellStyle name="통_엑사1차기성내역서(080408)_1차 기성내역서 (80.1%)" xfId="14199" xr:uid="{00000000-0005-0000-0000-0000CE380000}"/>
    <cellStyle name="통_엑사1차기성내역서(080408)_기성_4월" xfId="14200" xr:uid="{00000000-0005-0000-0000-0000CF380000}"/>
    <cellStyle name="통_엑사1차기성내역서(080408)_기성내역(CM)" xfId="14201" xr:uid="{00000000-0005-0000-0000-0000D0380000}"/>
    <cellStyle name="통_엑사1차기성내역서(080408)_기성내역.기계설비_(08.04)" xfId="14202" xr:uid="{00000000-0005-0000-0000-0000D1380000}"/>
    <cellStyle name="통_엑사1차기성내역서(080408)_기성양식(080408)_최종본_한연수" xfId="14203" xr:uid="{00000000-0005-0000-0000-0000D2380000}"/>
    <cellStyle name="통_엑사1차기성내역서(080408)_두리 3월 기성(2회)" xfId="14204" xr:uid="{00000000-0005-0000-0000-0000D3380000}"/>
    <cellStyle name="통_엑사1차기성내역서(080408)_서브원 4월 2차기성내역 확정본_080430" xfId="14205" xr:uid="{00000000-0005-0000-0000-0000D4380000}"/>
    <cellStyle name="통_엑사1차기성내역서(080408)_서브원4월2차기성내역확정본_080430" xfId="14206" xr:uid="{00000000-0005-0000-0000-0000D5380000}"/>
    <cellStyle name="통_엑사1차기성내역서(080408)_한연수 서울" xfId="14207" xr:uid="{00000000-0005-0000-0000-0000D6380000}"/>
    <cellStyle name="통_용인보라4공구(최종안실행)" xfId="14208" xr:uid="{00000000-0005-0000-0000-0000D7380000}"/>
    <cellStyle name="통_용인보라4공구(최종안실행)_계약기준양식(두리)" xfId="14209" xr:uid="{00000000-0005-0000-0000-0000D8380000}"/>
    <cellStyle name="통_용인보라4공구(최종안실행)_계약기준양식(두리)_1차 기성내역서 (80.1%)" xfId="14210" xr:uid="{00000000-0005-0000-0000-0000D9380000}"/>
    <cellStyle name="통_용인보라4공구(최종안실행)_계약기준양식(두리)_기성_4월" xfId="14211" xr:uid="{00000000-0005-0000-0000-0000DA380000}"/>
    <cellStyle name="통_용인보라4공구(최종안실행)_계약기준양식(두리)_기성내역(CM)" xfId="14212" xr:uid="{00000000-0005-0000-0000-0000DB380000}"/>
    <cellStyle name="통_용인보라4공구(최종안실행)_계약기준양식(두리)_기성내역.기계설비_(08.04)" xfId="14213" xr:uid="{00000000-0005-0000-0000-0000DC380000}"/>
    <cellStyle name="통_용인보라4공구(최종안실행)_계약기준양식(두리)_기성양식(080408)_최종본_한연수" xfId="14214" xr:uid="{00000000-0005-0000-0000-0000DD380000}"/>
    <cellStyle name="통_용인보라4공구(최종안실행)_계약기준양식(두리)_두리 3월 기성(2회)" xfId="14215" xr:uid="{00000000-0005-0000-0000-0000DE380000}"/>
    <cellStyle name="통_용인보라4공구(최종안실행)_계약기준양식(두리)_서브원 4월 2차기성내역 확정본_080430" xfId="14216" xr:uid="{00000000-0005-0000-0000-0000DF380000}"/>
    <cellStyle name="통_용인보라4공구(최종안실행)_계약기준양식(두리)_서브원4월2차기성내역확정본_080430" xfId="14217" xr:uid="{00000000-0005-0000-0000-0000E0380000}"/>
    <cellStyle name="통_용인보라4공구(최종안실행)_계약기준양식(두리)_한연수 서울" xfId="14218" xr:uid="{00000000-0005-0000-0000-0000E1380000}"/>
    <cellStyle name="통_용인보라4공구(최종안실행)_엑사1차기성내역서(080408)" xfId="14219" xr:uid="{00000000-0005-0000-0000-0000E2380000}"/>
    <cellStyle name="통_용인보라4공구(최종안실행)_엑사1차기성내역서(080408)_1차 기성내역서 (80.1%)" xfId="14220" xr:uid="{00000000-0005-0000-0000-0000E3380000}"/>
    <cellStyle name="통_용인보라4공구(최종안실행)_엑사1차기성내역서(080408)_기성_4월" xfId="14221" xr:uid="{00000000-0005-0000-0000-0000E4380000}"/>
    <cellStyle name="통_용인보라4공구(최종안실행)_엑사1차기성내역서(080408)_기성내역(CM)" xfId="14222" xr:uid="{00000000-0005-0000-0000-0000E5380000}"/>
    <cellStyle name="통_용인보라4공구(최종안실행)_엑사1차기성내역서(080408)_기성내역.기계설비_(08.04)" xfId="14223" xr:uid="{00000000-0005-0000-0000-0000E6380000}"/>
    <cellStyle name="통_용인보라4공구(최종안실행)_엑사1차기성내역서(080408)_기성양식(080408)_최종본_한연수" xfId="14224" xr:uid="{00000000-0005-0000-0000-0000E7380000}"/>
    <cellStyle name="통_용인보라4공구(최종안실행)_엑사1차기성내역서(080408)_두리 3월 기성(2회)" xfId="14225" xr:uid="{00000000-0005-0000-0000-0000E8380000}"/>
    <cellStyle name="통_용인보라4공구(최종안실행)_엑사1차기성내역서(080408)_서브원 4월 2차기성내역 확정본_080430" xfId="14226" xr:uid="{00000000-0005-0000-0000-0000E9380000}"/>
    <cellStyle name="통_용인보라4공구(최종안실행)_엑사1차기성내역서(080408)_서브원4월2차기성내역확정본_080430" xfId="14227" xr:uid="{00000000-0005-0000-0000-0000EA380000}"/>
    <cellStyle name="통_용인보라4공구(최종안실행)_엑사1차기성내역서(080408)_한연수 서울" xfId="14228" xr:uid="{00000000-0005-0000-0000-0000EB380000}"/>
    <cellStyle name="통_용인보라4공구(최종안실행)_집계표" xfId="14229" xr:uid="{00000000-0005-0000-0000-0000EC380000}"/>
    <cellStyle name="통_원주시청사-건축" xfId="14230" xr:uid="{00000000-0005-0000-0000-0000ED380000}"/>
    <cellStyle name="통_원주시청사-건축_계약기준양식(두리)" xfId="14231" xr:uid="{00000000-0005-0000-0000-0000EE380000}"/>
    <cellStyle name="통_원주시청사-건축_계약기준양식(두리)_1차 기성내역서 (80.1%)" xfId="14232" xr:uid="{00000000-0005-0000-0000-0000EF380000}"/>
    <cellStyle name="통_원주시청사-건축_계약기준양식(두리)_기성_4월" xfId="14233" xr:uid="{00000000-0005-0000-0000-0000F0380000}"/>
    <cellStyle name="통_원주시청사-건축_계약기준양식(두리)_기성내역(CM)" xfId="14234" xr:uid="{00000000-0005-0000-0000-0000F1380000}"/>
    <cellStyle name="통_원주시청사-건축_계약기준양식(두리)_기성내역.기계설비_(08.04)" xfId="14235" xr:uid="{00000000-0005-0000-0000-0000F2380000}"/>
    <cellStyle name="통_원주시청사-건축_계약기준양식(두리)_기성양식(080408)_최종본_한연수" xfId="14236" xr:uid="{00000000-0005-0000-0000-0000F3380000}"/>
    <cellStyle name="통_원주시청사-건축_계약기준양식(두리)_두리 3월 기성(2회)" xfId="14237" xr:uid="{00000000-0005-0000-0000-0000F4380000}"/>
    <cellStyle name="통_원주시청사-건축_계약기준양식(두리)_서브원 4월 2차기성내역 확정본_080430" xfId="14238" xr:uid="{00000000-0005-0000-0000-0000F5380000}"/>
    <cellStyle name="통_원주시청사-건축_계약기준양식(두리)_서브원4월2차기성내역확정본_080430" xfId="14239" xr:uid="{00000000-0005-0000-0000-0000F6380000}"/>
    <cellStyle name="통_원주시청사-건축_계약기준양식(두리)_한연수 서울" xfId="14240" xr:uid="{00000000-0005-0000-0000-0000F7380000}"/>
    <cellStyle name="통_원주시청사-건축_엑사1차기성내역서(080408)" xfId="14241" xr:uid="{00000000-0005-0000-0000-0000F8380000}"/>
    <cellStyle name="통_원주시청사-건축_엑사1차기성내역서(080408)_1차 기성내역서 (80.1%)" xfId="14242" xr:uid="{00000000-0005-0000-0000-0000F9380000}"/>
    <cellStyle name="통_원주시청사-건축_엑사1차기성내역서(080408)_기성_4월" xfId="14243" xr:uid="{00000000-0005-0000-0000-0000FA380000}"/>
    <cellStyle name="통_원주시청사-건축_엑사1차기성내역서(080408)_기성내역(CM)" xfId="14244" xr:uid="{00000000-0005-0000-0000-0000FB380000}"/>
    <cellStyle name="통_원주시청사-건축_엑사1차기성내역서(080408)_기성내역.기계설비_(08.04)" xfId="14245" xr:uid="{00000000-0005-0000-0000-0000FC380000}"/>
    <cellStyle name="통_원주시청사-건축_엑사1차기성내역서(080408)_기성양식(080408)_최종본_한연수" xfId="14246" xr:uid="{00000000-0005-0000-0000-0000FD380000}"/>
    <cellStyle name="통_원주시청사-건축_엑사1차기성내역서(080408)_두리 3월 기성(2회)" xfId="14247" xr:uid="{00000000-0005-0000-0000-0000FE380000}"/>
    <cellStyle name="통_원주시청사-건축_엑사1차기성내역서(080408)_서브원 4월 2차기성내역 확정본_080430" xfId="14248" xr:uid="{00000000-0005-0000-0000-0000FF380000}"/>
    <cellStyle name="통_원주시청사-건축_엑사1차기성내역서(080408)_서브원4월2차기성내역확정본_080430" xfId="14249" xr:uid="{00000000-0005-0000-0000-000000390000}"/>
    <cellStyle name="통_원주시청사-건축_엑사1차기성내역서(080408)_한연수 서울" xfId="14250" xr:uid="{00000000-0005-0000-0000-000001390000}"/>
    <cellStyle name="통_원주시청사-건축_용인보라4공구(최종안실행)" xfId="14251" xr:uid="{00000000-0005-0000-0000-000002390000}"/>
    <cellStyle name="통_원주시청사-건축_용인보라4공구(최종안실행)_계약기준양식(두리)" xfId="14252" xr:uid="{00000000-0005-0000-0000-000003390000}"/>
    <cellStyle name="통_원주시청사-건축_용인보라4공구(최종안실행)_계약기준양식(두리)_1차 기성내역서 (80.1%)" xfId="14253" xr:uid="{00000000-0005-0000-0000-000004390000}"/>
    <cellStyle name="통_원주시청사-건축_용인보라4공구(최종안실행)_계약기준양식(두리)_기성_4월" xfId="14254" xr:uid="{00000000-0005-0000-0000-000005390000}"/>
    <cellStyle name="통_원주시청사-건축_용인보라4공구(최종안실행)_계약기준양식(두리)_기성내역(CM)" xfId="14255" xr:uid="{00000000-0005-0000-0000-000006390000}"/>
    <cellStyle name="통_원주시청사-건축_용인보라4공구(최종안실행)_계약기준양식(두리)_기성내역.기계설비_(08.04)" xfId="14256" xr:uid="{00000000-0005-0000-0000-000007390000}"/>
    <cellStyle name="통_원주시청사-건축_용인보라4공구(최종안실행)_계약기준양식(두리)_기성양식(080408)_최종본_한연수" xfId="14257" xr:uid="{00000000-0005-0000-0000-000008390000}"/>
    <cellStyle name="통_원주시청사-건축_용인보라4공구(최종안실행)_계약기준양식(두리)_두리 3월 기성(2회)" xfId="14258" xr:uid="{00000000-0005-0000-0000-000009390000}"/>
    <cellStyle name="통_원주시청사-건축_용인보라4공구(최종안실행)_계약기준양식(두리)_서브원 4월 2차기성내역 확정본_080430" xfId="14259" xr:uid="{00000000-0005-0000-0000-00000A390000}"/>
    <cellStyle name="통_원주시청사-건축_용인보라4공구(최종안실행)_계약기준양식(두리)_서브원4월2차기성내역확정본_080430" xfId="14260" xr:uid="{00000000-0005-0000-0000-00000B390000}"/>
    <cellStyle name="통_원주시청사-건축_용인보라4공구(최종안실행)_계약기준양식(두리)_한연수 서울" xfId="14261" xr:uid="{00000000-0005-0000-0000-00000C390000}"/>
    <cellStyle name="통_원주시청사-건축_용인보라4공구(최종안실행)_엑사1차기성내역서(080408)" xfId="14262" xr:uid="{00000000-0005-0000-0000-00000D390000}"/>
    <cellStyle name="통_원주시청사-건축_용인보라4공구(최종안실행)_엑사1차기성내역서(080408)_1차 기성내역서 (80.1%)" xfId="14263" xr:uid="{00000000-0005-0000-0000-00000E390000}"/>
    <cellStyle name="통_원주시청사-건축_용인보라4공구(최종안실행)_엑사1차기성내역서(080408)_기성_4월" xfId="14264" xr:uid="{00000000-0005-0000-0000-00000F390000}"/>
    <cellStyle name="통_원주시청사-건축_용인보라4공구(최종안실행)_엑사1차기성내역서(080408)_기성내역(CM)" xfId="14265" xr:uid="{00000000-0005-0000-0000-000010390000}"/>
    <cellStyle name="통_원주시청사-건축_용인보라4공구(최종안실행)_엑사1차기성내역서(080408)_기성내역.기계설비_(08.04)" xfId="14266" xr:uid="{00000000-0005-0000-0000-000011390000}"/>
    <cellStyle name="통_원주시청사-건축_용인보라4공구(최종안실행)_엑사1차기성내역서(080408)_기성양식(080408)_최종본_한연수" xfId="14267" xr:uid="{00000000-0005-0000-0000-000012390000}"/>
    <cellStyle name="통_원주시청사-건축_용인보라4공구(최종안실행)_엑사1차기성내역서(080408)_두리 3월 기성(2회)" xfId="14268" xr:uid="{00000000-0005-0000-0000-000013390000}"/>
    <cellStyle name="통_원주시청사-건축_용인보라4공구(최종안실행)_엑사1차기성내역서(080408)_서브원 4월 2차기성내역 확정본_080430" xfId="14269" xr:uid="{00000000-0005-0000-0000-000014390000}"/>
    <cellStyle name="통_원주시청사-건축_용인보라4공구(최종안실행)_엑사1차기성내역서(080408)_서브원4월2차기성내역확정본_080430" xfId="14270" xr:uid="{00000000-0005-0000-0000-000015390000}"/>
    <cellStyle name="통_원주시청사-건축_용인보라4공구(최종안실행)_엑사1차기성내역서(080408)_한연수 서울" xfId="14271" xr:uid="{00000000-0005-0000-0000-000016390000}"/>
    <cellStyle name="통_원주시청사-건축_용인보라4공구(최종안실행)_집계표" xfId="14272" xr:uid="{00000000-0005-0000-0000-000017390000}"/>
    <cellStyle name="통_원주시청사-건축_집계표" xfId="14273" xr:uid="{00000000-0005-0000-0000-000018390000}"/>
    <cellStyle name="통_집계표" xfId="14274" xr:uid="{00000000-0005-0000-0000-000019390000}"/>
    <cellStyle name="통화 [" xfId="14275" xr:uid="{00000000-0005-0000-0000-00001A390000}"/>
    <cellStyle name="통화 [0] 2" xfId="14276" xr:uid="{00000000-0005-0000-0000-00001B390000}"/>
    <cellStyle name="통화 [0] 2 2" xfId="12" xr:uid="{00000000-0005-0000-0000-00001C390000}"/>
    <cellStyle name="통화 [0] 2 2 2" xfId="14277" xr:uid="{00000000-0005-0000-0000-00001D390000}"/>
    <cellStyle name="통화 [0] 2 2 3" xfId="18699" xr:uid="{00000000-0005-0000-0000-00001E390000}"/>
    <cellStyle name="통화 [0] 2 3" xfId="14278" xr:uid="{00000000-0005-0000-0000-00001F390000}"/>
    <cellStyle name="통화 [0] 2 4" xfId="14279" xr:uid="{00000000-0005-0000-0000-000020390000}"/>
    <cellStyle name="통화 [0] 3" xfId="14280" xr:uid="{00000000-0005-0000-0000-000021390000}"/>
    <cellStyle name="통화 [0] 4" xfId="14281" xr:uid="{00000000-0005-0000-0000-000022390000}"/>
    <cellStyle name="통화 [0] 5" xfId="14282" xr:uid="{00000000-0005-0000-0000-000023390000}"/>
    <cellStyle name="통화 [0] 6" xfId="14283" xr:uid="{00000000-0005-0000-0000-000024390000}"/>
    <cellStyle name="퍼센트" xfId="14284" xr:uid="{00000000-0005-0000-0000-000025390000}"/>
    <cellStyle name="퍼센트 2" xfId="14285" xr:uid="{00000000-0005-0000-0000-000026390000}"/>
    <cellStyle name="퍼센트 3" xfId="14286" xr:uid="{00000000-0005-0000-0000-000027390000}"/>
    <cellStyle name="평" xfId="14287" xr:uid="{00000000-0005-0000-0000-000028390000}"/>
    <cellStyle name="표" xfId="14288" xr:uid="{00000000-0005-0000-0000-000029390000}"/>
    <cellStyle name="표_계약기준양식(두리)" xfId="14289" xr:uid="{00000000-0005-0000-0000-00002A390000}"/>
    <cellStyle name="표_계약기준양식(두리)_1차 기성내역서 (80.1%)" xfId="14290" xr:uid="{00000000-0005-0000-0000-00002B390000}"/>
    <cellStyle name="표_계약기준양식(두리)_기성_4월" xfId="14291" xr:uid="{00000000-0005-0000-0000-00002C390000}"/>
    <cellStyle name="표_계약기준양식(두리)_기성내역(CM)" xfId="14292" xr:uid="{00000000-0005-0000-0000-00002D390000}"/>
    <cellStyle name="표_계약기준양식(두리)_기성내역.기계설비_(08.04)" xfId="14293" xr:uid="{00000000-0005-0000-0000-00002E390000}"/>
    <cellStyle name="표_계약기준양식(두리)_기성양식(080408)_최종본_한연수" xfId="14294" xr:uid="{00000000-0005-0000-0000-00002F390000}"/>
    <cellStyle name="표_계약기준양식(두리)_두리 3월 기성(2회)" xfId="14295" xr:uid="{00000000-0005-0000-0000-000030390000}"/>
    <cellStyle name="표_계약기준양식(두리)_서브원 4월 2차기성내역 확정본_080430" xfId="14296" xr:uid="{00000000-0005-0000-0000-000031390000}"/>
    <cellStyle name="표_계약기준양식(두리)_서브원4월2차기성내역확정본_080430" xfId="14297" xr:uid="{00000000-0005-0000-0000-000032390000}"/>
    <cellStyle name="표_계약기준양식(두리)_한연수 서울" xfId="14298" xr:uid="{00000000-0005-0000-0000-000033390000}"/>
    <cellStyle name="표_신수동재건축(실행수정)" xfId="14299" xr:uid="{00000000-0005-0000-0000-000034390000}"/>
    <cellStyle name="표_신수동재건축(실행수정)_계약기준양식(두리)" xfId="14300" xr:uid="{00000000-0005-0000-0000-000035390000}"/>
    <cellStyle name="표_신수동재건축(실행수정)_계약기준양식(두리)_1차 기성내역서 (80.1%)" xfId="14301" xr:uid="{00000000-0005-0000-0000-000036390000}"/>
    <cellStyle name="표_신수동재건축(실행수정)_계약기준양식(두리)_기성_4월" xfId="14302" xr:uid="{00000000-0005-0000-0000-000037390000}"/>
    <cellStyle name="표_신수동재건축(실행수정)_계약기준양식(두리)_기성내역(CM)" xfId="14303" xr:uid="{00000000-0005-0000-0000-000038390000}"/>
    <cellStyle name="표_신수동재건축(실행수정)_계약기준양식(두리)_기성내역.기계설비_(08.04)" xfId="14304" xr:uid="{00000000-0005-0000-0000-000039390000}"/>
    <cellStyle name="표_신수동재건축(실행수정)_계약기준양식(두리)_기성양식(080408)_최종본_한연수" xfId="14305" xr:uid="{00000000-0005-0000-0000-00003A390000}"/>
    <cellStyle name="표_신수동재건축(실행수정)_계약기준양식(두리)_두리 3월 기성(2회)" xfId="14306" xr:uid="{00000000-0005-0000-0000-00003B390000}"/>
    <cellStyle name="표_신수동재건축(실행수정)_계약기준양식(두리)_서브원 4월 2차기성내역 확정본_080430" xfId="14307" xr:uid="{00000000-0005-0000-0000-00003C390000}"/>
    <cellStyle name="표_신수동재건축(실행수정)_계약기준양식(두리)_서브원4월2차기성내역확정본_080430" xfId="14308" xr:uid="{00000000-0005-0000-0000-00003D390000}"/>
    <cellStyle name="표_신수동재건축(실행수정)_계약기준양식(두리)_한연수 서울" xfId="14309" xr:uid="{00000000-0005-0000-0000-00003E390000}"/>
    <cellStyle name="표_신수동재건축(실행수정)_엑사1차기성내역서(080408)" xfId="14310" xr:uid="{00000000-0005-0000-0000-00003F390000}"/>
    <cellStyle name="표_신수동재건축(실행수정)_엑사1차기성내역서(080408)_1차 기성내역서 (80.1%)" xfId="14311" xr:uid="{00000000-0005-0000-0000-000040390000}"/>
    <cellStyle name="표_신수동재건축(실행수정)_엑사1차기성내역서(080408)_기성_4월" xfId="14312" xr:uid="{00000000-0005-0000-0000-000041390000}"/>
    <cellStyle name="표_신수동재건축(실행수정)_엑사1차기성내역서(080408)_기성내역(CM)" xfId="14313" xr:uid="{00000000-0005-0000-0000-000042390000}"/>
    <cellStyle name="표_신수동재건축(실행수정)_엑사1차기성내역서(080408)_기성내역.기계설비_(08.04)" xfId="14314" xr:uid="{00000000-0005-0000-0000-000043390000}"/>
    <cellStyle name="표_신수동재건축(실행수정)_엑사1차기성내역서(080408)_기성양식(080408)_최종본_한연수" xfId="14315" xr:uid="{00000000-0005-0000-0000-000044390000}"/>
    <cellStyle name="표_신수동재건축(실행수정)_엑사1차기성내역서(080408)_두리 3월 기성(2회)" xfId="14316" xr:uid="{00000000-0005-0000-0000-000045390000}"/>
    <cellStyle name="표_신수동재건축(실행수정)_엑사1차기성내역서(080408)_서브원 4월 2차기성내역 확정본_080430" xfId="14317" xr:uid="{00000000-0005-0000-0000-000046390000}"/>
    <cellStyle name="표_신수동재건축(실행수정)_엑사1차기성내역서(080408)_서브원4월2차기성내역확정본_080430" xfId="14318" xr:uid="{00000000-0005-0000-0000-000047390000}"/>
    <cellStyle name="표_신수동재건축(실행수정)_엑사1차기성내역서(080408)_한연수 서울" xfId="14319" xr:uid="{00000000-0005-0000-0000-000048390000}"/>
    <cellStyle name="표_신수동재건축(실행수정)_용인보라4공구(최종안실행)" xfId="14320" xr:uid="{00000000-0005-0000-0000-000049390000}"/>
    <cellStyle name="표_신수동재건축(실행수정)_용인보라4공구(최종안실행)_계약기준양식(두리)" xfId="14321" xr:uid="{00000000-0005-0000-0000-00004A390000}"/>
    <cellStyle name="표_신수동재건축(실행수정)_용인보라4공구(최종안실행)_계약기준양식(두리)_1차 기성내역서 (80.1%)" xfId="14322" xr:uid="{00000000-0005-0000-0000-00004B390000}"/>
    <cellStyle name="표_신수동재건축(실행수정)_용인보라4공구(최종안실행)_계약기준양식(두리)_기성_4월" xfId="14323" xr:uid="{00000000-0005-0000-0000-00004C390000}"/>
    <cellStyle name="표_신수동재건축(실행수정)_용인보라4공구(최종안실행)_계약기준양식(두리)_기성내역(CM)" xfId="14324" xr:uid="{00000000-0005-0000-0000-00004D390000}"/>
    <cellStyle name="표_신수동재건축(실행수정)_용인보라4공구(최종안실행)_계약기준양식(두리)_기성내역.기계설비_(08.04)" xfId="14325" xr:uid="{00000000-0005-0000-0000-00004E390000}"/>
    <cellStyle name="표_신수동재건축(실행수정)_용인보라4공구(최종안실행)_계약기준양식(두리)_기성양식(080408)_최종본_한연수" xfId="14326" xr:uid="{00000000-0005-0000-0000-00004F390000}"/>
    <cellStyle name="표_신수동재건축(실행수정)_용인보라4공구(최종안실행)_계약기준양식(두리)_두리 3월 기성(2회)" xfId="14327" xr:uid="{00000000-0005-0000-0000-000050390000}"/>
    <cellStyle name="표_신수동재건축(실행수정)_용인보라4공구(최종안실행)_계약기준양식(두리)_서브원 4월 2차기성내역 확정본_080430" xfId="14328" xr:uid="{00000000-0005-0000-0000-000051390000}"/>
    <cellStyle name="표_신수동재건축(실행수정)_용인보라4공구(최종안실행)_계약기준양식(두리)_서브원4월2차기성내역확정본_080430" xfId="14329" xr:uid="{00000000-0005-0000-0000-000052390000}"/>
    <cellStyle name="표_신수동재건축(실행수정)_용인보라4공구(최종안실행)_계약기준양식(두리)_한연수 서울" xfId="14330" xr:uid="{00000000-0005-0000-0000-000053390000}"/>
    <cellStyle name="표_신수동재건축(실행수정)_용인보라4공구(최종안실행)_엑사1차기성내역서(080408)" xfId="14331" xr:uid="{00000000-0005-0000-0000-000054390000}"/>
    <cellStyle name="표_신수동재건축(실행수정)_용인보라4공구(최종안실행)_엑사1차기성내역서(080408)_1차 기성내역서 (80.1%)" xfId="14332" xr:uid="{00000000-0005-0000-0000-000055390000}"/>
    <cellStyle name="표_신수동재건축(실행수정)_용인보라4공구(최종안실행)_엑사1차기성내역서(080408)_기성_4월" xfId="14333" xr:uid="{00000000-0005-0000-0000-000056390000}"/>
    <cellStyle name="표_신수동재건축(실행수정)_용인보라4공구(최종안실행)_엑사1차기성내역서(080408)_기성내역(CM)" xfId="14334" xr:uid="{00000000-0005-0000-0000-000057390000}"/>
    <cellStyle name="표_신수동재건축(실행수정)_용인보라4공구(최종안실행)_엑사1차기성내역서(080408)_기성내역.기계설비_(08.04)" xfId="14335" xr:uid="{00000000-0005-0000-0000-000058390000}"/>
    <cellStyle name="표_신수동재건축(실행수정)_용인보라4공구(최종안실행)_엑사1차기성내역서(080408)_기성양식(080408)_최종본_한연수" xfId="14336" xr:uid="{00000000-0005-0000-0000-000059390000}"/>
    <cellStyle name="표_신수동재건축(실행수정)_용인보라4공구(최종안실행)_엑사1차기성내역서(080408)_두리 3월 기성(2회)" xfId="14337" xr:uid="{00000000-0005-0000-0000-00005A390000}"/>
    <cellStyle name="표_신수동재건축(실행수정)_용인보라4공구(최종안실행)_엑사1차기성내역서(080408)_서브원 4월 2차기성내역 확정본_080430" xfId="14338" xr:uid="{00000000-0005-0000-0000-00005B390000}"/>
    <cellStyle name="표_신수동재건축(실행수정)_용인보라4공구(최종안실행)_엑사1차기성내역서(080408)_서브원4월2차기성내역확정본_080430" xfId="14339" xr:uid="{00000000-0005-0000-0000-00005C390000}"/>
    <cellStyle name="표_신수동재건축(실행수정)_용인보라4공구(최종안실행)_엑사1차기성내역서(080408)_한연수 서울" xfId="14340" xr:uid="{00000000-0005-0000-0000-00005D390000}"/>
    <cellStyle name="표_신수동재건축(실행수정)_용인보라4공구(최종안실행)_집계표" xfId="14341" xr:uid="{00000000-0005-0000-0000-00005E390000}"/>
    <cellStyle name="표_신수동재건축(실행수정)_집계표" xfId="14342" xr:uid="{00000000-0005-0000-0000-00005F390000}"/>
    <cellStyle name="표_실행예산(신림)estm-실행" xfId="14343" xr:uid="{00000000-0005-0000-0000-000060390000}"/>
    <cellStyle name="표_실행예산(신림)estm-실행_계약기준양식(두리)" xfId="14344" xr:uid="{00000000-0005-0000-0000-000061390000}"/>
    <cellStyle name="표_실행예산(신림)estm-실행_계약기준양식(두리)_1차 기성내역서 (80.1%)" xfId="14345" xr:uid="{00000000-0005-0000-0000-000062390000}"/>
    <cellStyle name="표_실행예산(신림)estm-실행_계약기준양식(두리)_기성_4월" xfId="14346" xr:uid="{00000000-0005-0000-0000-000063390000}"/>
    <cellStyle name="표_실행예산(신림)estm-실행_계약기준양식(두리)_기성내역(CM)" xfId="14347" xr:uid="{00000000-0005-0000-0000-000064390000}"/>
    <cellStyle name="표_실행예산(신림)estm-실행_계약기준양식(두리)_기성내역.기계설비_(08.04)" xfId="14348" xr:uid="{00000000-0005-0000-0000-000065390000}"/>
    <cellStyle name="표_실행예산(신림)estm-실행_계약기준양식(두리)_기성양식(080408)_최종본_한연수" xfId="14349" xr:uid="{00000000-0005-0000-0000-000066390000}"/>
    <cellStyle name="표_실행예산(신림)estm-실행_계약기준양식(두리)_두리 3월 기성(2회)" xfId="14350" xr:uid="{00000000-0005-0000-0000-000067390000}"/>
    <cellStyle name="표_실행예산(신림)estm-실행_계약기준양식(두리)_서브원 4월 2차기성내역 확정본_080430" xfId="14351" xr:uid="{00000000-0005-0000-0000-000068390000}"/>
    <cellStyle name="표_실행예산(신림)estm-실행_계약기준양식(두리)_서브원4월2차기성내역확정본_080430" xfId="14352" xr:uid="{00000000-0005-0000-0000-000069390000}"/>
    <cellStyle name="표_실행예산(신림)estm-실행_계약기준양식(두리)_한연수 서울" xfId="14353" xr:uid="{00000000-0005-0000-0000-00006A390000}"/>
    <cellStyle name="표_실행예산(신림)estm-실행_엑사1차기성내역서(080408)" xfId="14354" xr:uid="{00000000-0005-0000-0000-00006B390000}"/>
    <cellStyle name="표_실행예산(신림)estm-실행_엑사1차기성내역서(080408)_1차 기성내역서 (80.1%)" xfId="14355" xr:uid="{00000000-0005-0000-0000-00006C390000}"/>
    <cellStyle name="표_실행예산(신림)estm-실행_엑사1차기성내역서(080408)_기성_4월" xfId="14356" xr:uid="{00000000-0005-0000-0000-00006D390000}"/>
    <cellStyle name="표_실행예산(신림)estm-실행_엑사1차기성내역서(080408)_기성내역(CM)" xfId="14357" xr:uid="{00000000-0005-0000-0000-00006E390000}"/>
    <cellStyle name="표_실행예산(신림)estm-실행_엑사1차기성내역서(080408)_기성내역.기계설비_(08.04)" xfId="14358" xr:uid="{00000000-0005-0000-0000-00006F390000}"/>
    <cellStyle name="표_실행예산(신림)estm-실행_엑사1차기성내역서(080408)_기성양식(080408)_최종본_한연수" xfId="14359" xr:uid="{00000000-0005-0000-0000-000070390000}"/>
    <cellStyle name="표_실행예산(신림)estm-실행_엑사1차기성내역서(080408)_두리 3월 기성(2회)" xfId="14360" xr:uid="{00000000-0005-0000-0000-000071390000}"/>
    <cellStyle name="표_실행예산(신림)estm-실행_엑사1차기성내역서(080408)_서브원 4월 2차기성내역 확정본_080430" xfId="14361" xr:uid="{00000000-0005-0000-0000-000072390000}"/>
    <cellStyle name="표_실행예산(신림)estm-실행_엑사1차기성내역서(080408)_서브원4월2차기성내역확정본_080430" xfId="14362" xr:uid="{00000000-0005-0000-0000-000073390000}"/>
    <cellStyle name="표_실행예산(신림)estm-실행_엑사1차기성내역서(080408)_한연수 서울" xfId="14363" xr:uid="{00000000-0005-0000-0000-000074390000}"/>
    <cellStyle name="표_실행예산(신림)estm-실행_집계표" xfId="14364" xr:uid="{00000000-0005-0000-0000-000075390000}"/>
    <cellStyle name="표_엑사1차기성내역서(080408)" xfId="14365" xr:uid="{00000000-0005-0000-0000-000076390000}"/>
    <cellStyle name="표_엑사1차기성내역서(080408)_1차 기성내역서 (80.1%)" xfId="14366" xr:uid="{00000000-0005-0000-0000-000077390000}"/>
    <cellStyle name="표_엑사1차기성내역서(080408)_기성_4월" xfId="14367" xr:uid="{00000000-0005-0000-0000-000078390000}"/>
    <cellStyle name="표_엑사1차기성내역서(080408)_기성내역(CM)" xfId="14368" xr:uid="{00000000-0005-0000-0000-000079390000}"/>
    <cellStyle name="표_엑사1차기성내역서(080408)_기성내역.기계설비_(08.04)" xfId="14369" xr:uid="{00000000-0005-0000-0000-00007A390000}"/>
    <cellStyle name="표_엑사1차기성내역서(080408)_기성양식(080408)_최종본_한연수" xfId="14370" xr:uid="{00000000-0005-0000-0000-00007B390000}"/>
    <cellStyle name="표_엑사1차기성내역서(080408)_두리 3월 기성(2회)" xfId="14371" xr:uid="{00000000-0005-0000-0000-00007C390000}"/>
    <cellStyle name="표_엑사1차기성내역서(080408)_서브원 4월 2차기성내역 확정본_080430" xfId="14372" xr:uid="{00000000-0005-0000-0000-00007D390000}"/>
    <cellStyle name="표_엑사1차기성내역서(080408)_서브원4월2차기성내역확정본_080430" xfId="14373" xr:uid="{00000000-0005-0000-0000-00007E390000}"/>
    <cellStyle name="표_엑사1차기성내역서(080408)_한연수 서울" xfId="14374" xr:uid="{00000000-0005-0000-0000-00007F390000}"/>
    <cellStyle name="표_용인보라4공구(최종안실행)" xfId="14375" xr:uid="{00000000-0005-0000-0000-000080390000}"/>
    <cellStyle name="표_용인보라4공구(최종안실행)_계약기준양식(두리)" xfId="14376" xr:uid="{00000000-0005-0000-0000-000081390000}"/>
    <cellStyle name="표_용인보라4공구(최종안실행)_계약기준양식(두리)_1차 기성내역서 (80.1%)" xfId="14377" xr:uid="{00000000-0005-0000-0000-000082390000}"/>
    <cellStyle name="표_용인보라4공구(최종안실행)_계약기준양식(두리)_기성_4월" xfId="14378" xr:uid="{00000000-0005-0000-0000-000083390000}"/>
    <cellStyle name="표_용인보라4공구(최종안실행)_계약기준양식(두리)_기성내역(CM)" xfId="14379" xr:uid="{00000000-0005-0000-0000-000084390000}"/>
    <cellStyle name="표_용인보라4공구(최종안실행)_계약기준양식(두리)_기성내역.기계설비_(08.04)" xfId="14380" xr:uid="{00000000-0005-0000-0000-000085390000}"/>
    <cellStyle name="표_용인보라4공구(최종안실행)_계약기준양식(두리)_기성양식(080408)_최종본_한연수" xfId="14381" xr:uid="{00000000-0005-0000-0000-000086390000}"/>
    <cellStyle name="표_용인보라4공구(최종안실행)_계약기준양식(두리)_두리 3월 기성(2회)" xfId="14382" xr:uid="{00000000-0005-0000-0000-000087390000}"/>
    <cellStyle name="표_용인보라4공구(최종안실행)_계약기준양식(두리)_서브원 4월 2차기성내역 확정본_080430" xfId="14383" xr:uid="{00000000-0005-0000-0000-000088390000}"/>
    <cellStyle name="표_용인보라4공구(최종안실행)_계약기준양식(두리)_서브원4월2차기성내역확정본_080430" xfId="14384" xr:uid="{00000000-0005-0000-0000-000089390000}"/>
    <cellStyle name="표_용인보라4공구(최종안실행)_계약기준양식(두리)_한연수 서울" xfId="14385" xr:uid="{00000000-0005-0000-0000-00008A390000}"/>
    <cellStyle name="표_용인보라4공구(최종안실행)_엑사1차기성내역서(080408)" xfId="14386" xr:uid="{00000000-0005-0000-0000-00008B390000}"/>
    <cellStyle name="표_용인보라4공구(최종안실행)_엑사1차기성내역서(080408)_1차 기성내역서 (80.1%)" xfId="14387" xr:uid="{00000000-0005-0000-0000-00008C390000}"/>
    <cellStyle name="표_용인보라4공구(최종안실행)_엑사1차기성내역서(080408)_기성_4월" xfId="14388" xr:uid="{00000000-0005-0000-0000-00008D390000}"/>
    <cellStyle name="표_용인보라4공구(최종안실행)_엑사1차기성내역서(080408)_기성내역(CM)" xfId="14389" xr:uid="{00000000-0005-0000-0000-00008E390000}"/>
    <cellStyle name="표_용인보라4공구(최종안실행)_엑사1차기성내역서(080408)_기성내역.기계설비_(08.04)" xfId="14390" xr:uid="{00000000-0005-0000-0000-00008F390000}"/>
    <cellStyle name="표_용인보라4공구(최종안실행)_엑사1차기성내역서(080408)_기성양식(080408)_최종본_한연수" xfId="14391" xr:uid="{00000000-0005-0000-0000-000090390000}"/>
    <cellStyle name="표_용인보라4공구(최종안실행)_엑사1차기성내역서(080408)_두리 3월 기성(2회)" xfId="14392" xr:uid="{00000000-0005-0000-0000-000091390000}"/>
    <cellStyle name="표_용인보라4공구(최종안실행)_엑사1차기성내역서(080408)_서브원 4월 2차기성내역 확정본_080430" xfId="14393" xr:uid="{00000000-0005-0000-0000-000092390000}"/>
    <cellStyle name="표_용인보라4공구(최종안실행)_엑사1차기성내역서(080408)_서브원4월2차기성내역확정본_080430" xfId="14394" xr:uid="{00000000-0005-0000-0000-000093390000}"/>
    <cellStyle name="표_용인보라4공구(최종안실행)_엑사1차기성내역서(080408)_한연수 서울" xfId="14395" xr:uid="{00000000-0005-0000-0000-000094390000}"/>
    <cellStyle name="표_용인보라4공구(최종안실행)_집계표" xfId="14396" xr:uid="{00000000-0005-0000-0000-000095390000}"/>
    <cellStyle name="표_원주시청사-건축" xfId="14397" xr:uid="{00000000-0005-0000-0000-000096390000}"/>
    <cellStyle name="표_원주시청사-건축_계약기준양식(두리)" xfId="14398" xr:uid="{00000000-0005-0000-0000-000097390000}"/>
    <cellStyle name="표_원주시청사-건축_계약기준양식(두리)_1차 기성내역서 (80.1%)" xfId="14399" xr:uid="{00000000-0005-0000-0000-000098390000}"/>
    <cellStyle name="표_원주시청사-건축_계약기준양식(두리)_기성_4월" xfId="14400" xr:uid="{00000000-0005-0000-0000-000099390000}"/>
    <cellStyle name="표_원주시청사-건축_계약기준양식(두리)_기성내역(CM)" xfId="14401" xr:uid="{00000000-0005-0000-0000-00009A390000}"/>
    <cellStyle name="표_원주시청사-건축_계약기준양식(두리)_기성내역.기계설비_(08.04)" xfId="14402" xr:uid="{00000000-0005-0000-0000-00009B390000}"/>
    <cellStyle name="표_원주시청사-건축_계약기준양식(두리)_기성양식(080408)_최종본_한연수" xfId="14403" xr:uid="{00000000-0005-0000-0000-00009C390000}"/>
    <cellStyle name="표_원주시청사-건축_계약기준양식(두리)_두리 3월 기성(2회)" xfId="14404" xr:uid="{00000000-0005-0000-0000-00009D390000}"/>
    <cellStyle name="표_원주시청사-건축_계약기준양식(두리)_서브원 4월 2차기성내역 확정본_080430" xfId="14405" xr:uid="{00000000-0005-0000-0000-00009E390000}"/>
    <cellStyle name="표_원주시청사-건축_계약기준양식(두리)_서브원4월2차기성내역확정본_080430" xfId="14406" xr:uid="{00000000-0005-0000-0000-00009F390000}"/>
    <cellStyle name="표_원주시청사-건축_계약기준양식(두리)_한연수 서울" xfId="14407" xr:uid="{00000000-0005-0000-0000-0000A0390000}"/>
    <cellStyle name="표_원주시청사-건축_엑사1차기성내역서(080408)" xfId="14408" xr:uid="{00000000-0005-0000-0000-0000A1390000}"/>
    <cellStyle name="표_원주시청사-건축_엑사1차기성내역서(080408)_1차 기성내역서 (80.1%)" xfId="14409" xr:uid="{00000000-0005-0000-0000-0000A2390000}"/>
    <cellStyle name="표_원주시청사-건축_엑사1차기성내역서(080408)_기성_4월" xfId="14410" xr:uid="{00000000-0005-0000-0000-0000A3390000}"/>
    <cellStyle name="표_원주시청사-건축_엑사1차기성내역서(080408)_기성내역(CM)" xfId="14411" xr:uid="{00000000-0005-0000-0000-0000A4390000}"/>
    <cellStyle name="표_원주시청사-건축_엑사1차기성내역서(080408)_기성내역.기계설비_(08.04)" xfId="14412" xr:uid="{00000000-0005-0000-0000-0000A5390000}"/>
    <cellStyle name="표_원주시청사-건축_엑사1차기성내역서(080408)_기성양식(080408)_최종본_한연수" xfId="14413" xr:uid="{00000000-0005-0000-0000-0000A6390000}"/>
    <cellStyle name="표_원주시청사-건축_엑사1차기성내역서(080408)_두리 3월 기성(2회)" xfId="14414" xr:uid="{00000000-0005-0000-0000-0000A7390000}"/>
    <cellStyle name="표_원주시청사-건축_엑사1차기성내역서(080408)_서브원 4월 2차기성내역 확정본_080430" xfId="14415" xr:uid="{00000000-0005-0000-0000-0000A8390000}"/>
    <cellStyle name="표_원주시청사-건축_엑사1차기성내역서(080408)_서브원4월2차기성내역확정본_080430" xfId="14416" xr:uid="{00000000-0005-0000-0000-0000A9390000}"/>
    <cellStyle name="표_원주시청사-건축_엑사1차기성내역서(080408)_한연수 서울" xfId="14417" xr:uid="{00000000-0005-0000-0000-0000AA390000}"/>
    <cellStyle name="표_원주시청사-건축_용인보라4공구(최종안실행)" xfId="14418" xr:uid="{00000000-0005-0000-0000-0000AB390000}"/>
    <cellStyle name="표_원주시청사-건축_용인보라4공구(최종안실행)_계약기준양식(두리)" xfId="14419" xr:uid="{00000000-0005-0000-0000-0000AC390000}"/>
    <cellStyle name="표_원주시청사-건축_용인보라4공구(최종안실행)_계약기준양식(두리)_1차 기성내역서 (80.1%)" xfId="14420" xr:uid="{00000000-0005-0000-0000-0000AD390000}"/>
    <cellStyle name="표_원주시청사-건축_용인보라4공구(최종안실행)_계약기준양식(두리)_기성_4월" xfId="14421" xr:uid="{00000000-0005-0000-0000-0000AE390000}"/>
    <cellStyle name="표_원주시청사-건축_용인보라4공구(최종안실행)_계약기준양식(두리)_기성내역(CM)" xfId="14422" xr:uid="{00000000-0005-0000-0000-0000AF390000}"/>
    <cellStyle name="표_원주시청사-건축_용인보라4공구(최종안실행)_계약기준양식(두리)_기성내역.기계설비_(08.04)" xfId="14423" xr:uid="{00000000-0005-0000-0000-0000B0390000}"/>
    <cellStyle name="표_원주시청사-건축_용인보라4공구(최종안실행)_계약기준양식(두리)_기성양식(080408)_최종본_한연수" xfId="14424" xr:uid="{00000000-0005-0000-0000-0000B1390000}"/>
    <cellStyle name="표_원주시청사-건축_용인보라4공구(최종안실행)_계약기준양식(두리)_두리 3월 기성(2회)" xfId="14425" xr:uid="{00000000-0005-0000-0000-0000B2390000}"/>
    <cellStyle name="표_원주시청사-건축_용인보라4공구(최종안실행)_계약기준양식(두리)_서브원 4월 2차기성내역 확정본_080430" xfId="14426" xr:uid="{00000000-0005-0000-0000-0000B3390000}"/>
    <cellStyle name="표_원주시청사-건축_용인보라4공구(최종안실행)_계약기준양식(두리)_서브원4월2차기성내역확정본_080430" xfId="14427" xr:uid="{00000000-0005-0000-0000-0000B4390000}"/>
    <cellStyle name="표_원주시청사-건축_용인보라4공구(최종안실행)_계약기준양식(두리)_한연수 서울" xfId="14428" xr:uid="{00000000-0005-0000-0000-0000B5390000}"/>
    <cellStyle name="표_원주시청사-건축_용인보라4공구(최종안실행)_엑사1차기성내역서(080408)" xfId="14429" xr:uid="{00000000-0005-0000-0000-0000B6390000}"/>
    <cellStyle name="표_원주시청사-건축_용인보라4공구(최종안실행)_엑사1차기성내역서(080408)_1차 기성내역서 (80.1%)" xfId="14430" xr:uid="{00000000-0005-0000-0000-0000B7390000}"/>
    <cellStyle name="표_원주시청사-건축_용인보라4공구(최종안실행)_엑사1차기성내역서(080408)_기성_4월" xfId="14431" xr:uid="{00000000-0005-0000-0000-0000B8390000}"/>
    <cellStyle name="표_원주시청사-건축_용인보라4공구(최종안실행)_엑사1차기성내역서(080408)_기성내역(CM)" xfId="14432" xr:uid="{00000000-0005-0000-0000-0000B9390000}"/>
    <cellStyle name="표_원주시청사-건축_용인보라4공구(최종안실행)_엑사1차기성내역서(080408)_기성내역.기계설비_(08.04)" xfId="14433" xr:uid="{00000000-0005-0000-0000-0000BA390000}"/>
    <cellStyle name="표_원주시청사-건축_용인보라4공구(최종안실행)_엑사1차기성내역서(080408)_기성양식(080408)_최종본_한연수" xfId="14434" xr:uid="{00000000-0005-0000-0000-0000BB390000}"/>
    <cellStyle name="표_원주시청사-건축_용인보라4공구(최종안실행)_엑사1차기성내역서(080408)_두리 3월 기성(2회)" xfId="14435" xr:uid="{00000000-0005-0000-0000-0000BC390000}"/>
    <cellStyle name="표_원주시청사-건축_용인보라4공구(최종안실행)_엑사1차기성내역서(080408)_서브원 4월 2차기성내역 확정본_080430" xfId="14436" xr:uid="{00000000-0005-0000-0000-0000BD390000}"/>
    <cellStyle name="표_원주시청사-건축_용인보라4공구(최종안실행)_엑사1차기성내역서(080408)_서브원4월2차기성내역확정본_080430" xfId="14437" xr:uid="{00000000-0005-0000-0000-0000BE390000}"/>
    <cellStyle name="표_원주시청사-건축_용인보라4공구(최종안실행)_엑사1차기성내역서(080408)_한연수 서울" xfId="14438" xr:uid="{00000000-0005-0000-0000-0000BF390000}"/>
    <cellStyle name="표_원주시청사-건축_용인보라4공구(최종안실행)_집계표" xfId="14439" xr:uid="{00000000-0005-0000-0000-0000C0390000}"/>
    <cellStyle name="표_원주시청사-건축_집계표" xfId="14440" xr:uid="{00000000-0005-0000-0000-0000C1390000}"/>
    <cellStyle name="표_집계표" xfId="14441" xr:uid="{00000000-0005-0000-0000-0000C2390000}"/>
    <cellStyle name="표머릿글(上)" xfId="14442" xr:uid="{00000000-0005-0000-0000-0000C3390000}"/>
    <cellStyle name="표머릿글(上) 2" xfId="14443" xr:uid="{00000000-0005-0000-0000-0000C4390000}"/>
    <cellStyle name="표머릿글(中)" xfId="14444" xr:uid="{00000000-0005-0000-0000-0000C5390000}"/>
    <cellStyle name="표머릿글(中) 2" xfId="14445" xr:uid="{00000000-0005-0000-0000-0000C6390000}"/>
    <cellStyle name="표머릿글(下)" xfId="14446" xr:uid="{00000000-0005-0000-0000-0000C7390000}"/>
    <cellStyle name="표머릿글(下) 2" xfId="14447" xr:uid="{00000000-0005-0000-0000-0000C8390000}"/>
    <cellStyle name="표준" xfId="0" builtinId="0"/>
    <cellStyle name="표준 10" xfId="14448" xr:uid="{00000000-0005-0000-0000-0000CA390000}"/>
    <cellStyle name="표준 10 10" xfId="14449" xr:uid="{00000000-0005-0000-0000-0000CB390000}"/>
    <cellStyle name="표준 10 10 2" xfId="3" xr:uid="{00000000-0005-0000-0000-0000CC390000}"/>
    <cellStyle name="표준 10 11" xfId="14450" xr:uid="{00000000-0005-0000-0000-0000CD390000}"/>
    <cellStyle name="표준 10 12" xfId="14451" xr:uid="{00000000-0005-0000-0000-0000CE390000}"/>
    <cellStyle name="표준 10 13" xfId="14452" xr:uid="{00000000-0005-0000-0000-0000CF390000}"/>
    <cellStyle name="표준 10 14" xfId="14453" xr:uid="{00000000-0005-0000-0000-0000D0390000}"/>
    <cellStyle name="표준 10 15" xfId="14454" xr:uid="{00000000-0005-0000-0000-0000D1390000}"/>
    <cellStyle name="표준 10 16" xfId="14455" xr:uid="{00000000-0005-0000-0000-0000D2390000}"/>
    <cellStyle name="표준 10 17" xfId="14456" xr:uid="{00000000-0005-0000-0000-0000D3390000}"/>
    <cellStyle name="표준 10 18" xfId="14457" xr:uid="{00000000-0005-0000-0000-0000D4390000}"/>
    <cellStyle name="표준 10 19" xfId="14458" xr:uid="{00000000-0005-0000-0000-0000D5390000}"/>
    <cellStyle name="표준 10 2" xfId="14459" xr:uid="{00000000-0005-0000-0000-0000D6390000}"/>
    <cellStyle name="표준 10 2 10" xfId="14460" xr:uid="{00000000-0005-0000-0000-0000D7390000}"/>
    <cellStyle name="표준 10 2 11" xfId="14461" xr:uid="{00000000-0005-0000-0000-0000D8390000}"/>
    <cellStyle name="표준 10 2 12" xfId="14462" xr:uid="{00000000-0005-0000-0000-0000D9390000}"/>
    <cellStyle name="표준 10 2 13" xfId="14463" xr:uid="{00000000-0005-0000-0000-0000DA390000}"/>
    <cellStyle name="표준 10 2 14" xfId="14464" xr:uid="{00000000-0005-0000-0000-0000DB390000}"/>
    <cellStyle name="표준 10 2 15" xfId="14465" xr:uid="{00000000-0005-0000-0000-0000DC390000}"/>
    <cellStyle name="표준 10 2 16" xfId="14466" xr:uid="{00000000-0005-0000-0000-0000DD390000}"/>
    <cellStyle name="표준 10 2 17" xfId="14467" xr:uid="{00000000-0005-0000-0000-0000DE390000}"/>
    <cellStyle name="표준 10 2 18" xfId="14468" xr:uid="{00000000-0005-0000-0000-0000DF390000}"/>
    <cellStyle name="표준 10 2 19" xfId="14469" xr:uid="{00000000-0005-0000-0000-0000E0390000}"/>
    <cellStyle name="표준 10 2 2" xfId="14470" xr:uid="{00000000-0005-0000-0000-0000E1390000}"/>
    <cellStyle name="표준 10 2 2 10" xfId="14471" xr:uid="{00000000-0005-0000-0000-0000E2390000}"/>
    <cellStyle name="표준 10 2 2 11" xfId="14472" xr:uid="{00000000-0005-0000-0000-0000E3390000}"/>
    <cellStyle name="표준 10 2 2 12" xfId="14473" xr:uid="{00000000-0005-0000-0000-0000E4390000}"/>
    <cellStyle name="표준 10 2 2 13" xfId="14474" xr:uid="{00000000-0005-0000-0000-0000E5390000}"/>
    <cellStyle name="표준 10 2 2 14" xfId="14475" xr:uid="{00000000-0005-0000-0000-0000E6390000}"/>
    <cellStyle name="표준 10 2 2 15" xfId="14476" xr:uid="{00000000-0005-0000-0000-0000E7390000}"/>
    <cellStyle name="표준 10 2 2 16" xfId="14477" xr:uid="{00000000-0005-0000-0000-0000E8390000}"/>
    <cellStyle name="표준 10 2 2 17" xfId="14478" xr:uid="{00000000-0005-0000-0000-0000E9390000}"/>
    <cellStyle name="표준 10 2 2 18" xfId="14479" xr:uid="{00000000-0005-0000-0000-0000EA390000}"/>
    <cellStyle name="표준 10 2 2 19" xfId="14480" xr:uid="{00000000-0005-0000-0000-0000EB390000}"/>
    <cellStyle name="표준 10 2 2 2" xfId="14481" xr:uid="{00000000-0005-0000-0000-0000EC390000}"/>
    <cellStyle name="표준 10 2 2 2 2" xfId="14482" xr:uid="{00000000-0005-0000-0000-0000ED390000}"/>
    <cellStyle name="표준 10 2 2 2 2 2" xfId="14483" xr:uid="{00000000-0005-0000-0000-0000EE390000}"/>
    <cellStyle name="표준 10 2 2 2 2 2 2" xfId="14484" xr:uid="{00000000-0005-0000-0000-0000EF390000}"/>
    <cellStyle name="표준 10 2 2 2 2 2 3" xfId="14485" xr:uid="{00000000-0005-0000-0000-0000F0390000}"/>
    <cellStyle name="표준 10 2 2 2 2 3" xfId="14486" xr:uid="{00000000-0005-0000-0000-0000F1390000}"/>
    <cellStyle name="표준 10 2 2 2 3" xfId="14487" xr:uid="{00000000-0005-0000-0000-0000F2390000}"/>
    <cellStyle name="표준 10 2 2 2 4" xfId="14488" xr:uid="{00000000-0005-0000-0000-0000F3390000}"/>
    <cellStyle name="표준 10 2 2 2 5" xfId="14489" xr:uid="{00000000-0005-0000-0000-0000F4390000}"/>
    <cellStyle name="표준 10 2 2 2 6" xfId="14490" xr:uid="{00000000-0005-0000-0000-0000F5390000}"/>
    <cellStyle name="표준 10 2 2 20" xfId="14491" xr:uid="{00000000-0005-0000-0000-0000F6390000}"/>
    <cellStyle name="표준 10 2 2 21" xfId="14492" xr:uid="{00000000-0005-0000-0000-0000F7390000}"/>
    <cellStyle name="표준 10 2 2 22" xfId="14493" xr:uid="{00000000-0005-0000-0000-0000F8390000}"/>
    <cellStyle name="표준 10 2 2 23" xfId="14494" xr:uid="{00000000-0005-0000-0000-0000F9390000}"/>
    <cellStyle name="표준 10 2 2 24" xfId="14495" xr:uid="{00000000-0005-0000-0000-0000FA390000}"/>
    <cellStyle name="표준 10 2 2 25" xfId="14496" xr:uid="{00000000-0005-0000-0000-0000FB390000}"/>
    <cellStyle name="표준 10 2 2 26" xfId="14497" xr:uid="{00000000-0005-0000-0000-0000FC390000}"/>
    <cellStyle name="표준 10 2 2 27" xfId="14498" xr:uid="{00000000-0005-0000-0000-0000FD390000}"/>
    <cellStyle name="표준 10 2 2 3" xfId="14499" xr:uid="{00000000-0005-0000-0000-0000FE390000}"/>
    <cellStyle name="표준 10 2 2 4" xfId="14500" xr:uid="{00000000-0005-0000-0000-0000FF390000}"/>
    <cellStyle name="표준 10 2 2 5" xfId="14501" xr:uid="{00000000-0005-0000-0000-0000003A0000}"/>
    <cellStyle name="표준 10 2 2 6" xfId="14502" xr:uid="{00000000-0005-0000-0000-0000013A0000}"/>
    <cellStyle name="표준 10 2 2 7" xfId="14503" xr:uid="{00000000-0005-0000-0000-0000023A0000}"/>
    <cellStyle name="표준 10 2 2 8" xfId="14504" xr:uid="{00000000-0005-0000-0000-0000033A0000}"/>
    <cellStyle name="표준 10 2 2 9" xfId="14505" xr:uid="{00000000-0005-0000-0000-0000043A0000}"/>
    <cellStyle name="표준 10 2 20" xfId="14506" xr:uid="{00000000-0005-0000-0000-0000053A0000}"/>
    <cellStyle name="표준 10 2 21" xfId="14507" xr:uid="{00000000-0005-0000-0000-0000063A0000}"/>
    <cellStyle name="표준 10 2 22" xfId="14508" xr:uid="{00000000-0005-0000-0000-0000073A0000}"/>
    <cellStyle name="표준 10 2 23" xfId="14509" xr:uid="{00000000-0005-0000-0000-0000083A0000}"/>
    <cellStyle name="표준 10 2 24" xfId="14510" xr:uid="{00000000-0005-0000-0000-0000093A0000}"/>
    <cellStyle name="표준 10 2 25" xfId="14511" xr:uid="{00000000-0005-0000-0000-00000A3A0000}"/>
    <cellStyle name="표준 10 2 26" xfId="14512" xr:uid="{00000000-0005-0000-0000-00000B3A0000}"/>
    <cellStyle name="표준 10 2 27" xfId="14513" xr:uid="{00000000-0005-0000-0000-00000C3A0000}"/>
    <cellStyle name="표준 10 2 3" xfId="14514" xr:uid="{00000000-0005-0000-0000-00000D3A0000}"/>
    <cellStyle name="표준 10 2 3 2" xfId="14515" xr:uid="{00000000-0005-0000-0000-00000E3A0000}"/>
    <cellStyle name="표준 10 2 3 3" xfId="14516" xr:uid="{00000000-0005-0000-0000-00000F3A0000}"/>
    <cellStyle name="표준 10 2 3 4" xfId="14517" xr:uid="{00000000-0005-0000-0000-0000103A0000}"/>
    <cellStyle name="표준 10 2 4" xfId="14518" xr:uid="{00000000-0005-0000-0000-0000113A0000}"/>
    <cellStyle name="표준 10 2 5" xfId="14519" xr:uid="{00000000-0005-0000-0000-0000123A0000}"/>
    <cellStyle name="표준 10 2 6" xfId="14520" xr:uid="{00000000-0005-0000-0000-0000133A0000}"/>
    <cellStyle name="표준 10 2 7" xfId="14521" xr:uid="{00000000-0005-0000-0000-0000143A0000}"/>
    <cellStyle name="표준 10 2 8" xfId="14522" xr:uid="{00000000-0005-0000-0000-0000153A0000}"/>
    <cellStyle name="표준 10 2 9" xfId="14523" xr:uid="{00000000-0005-0000-0000-0000163A0000}"/>
    <cellStyle name="표준 10 20" xfId="14524" xr:uid="{00000000-0005-0000-0000-0000173A0000}"/>
    <cellStyle name="표준 10 21" xfId="14525" xr:uid="{00000000-0005-0000-0000-0000183A0000}"/>
    <cellStyle name="표준 10 22" xfId="14526" xr:uid="{00000000-0005-0000-0000-0000193A0000}"/>
    <cellStyle name="표준 10 23" xfId="14527" xr:uid="{00000000-0005-0000-0000-00001A3A0000}"/>
    <cellStyle name="표준 10 24" xfId="14528" xr:uid="{00000000-0005-0000-0000-00001B3A0000}"/>
    <cellStyle name="표준 10 25" xfId="14529" xr:uid="{00000000-0005-0000-0000-00001C3A0000}"/>
    <cellStyle name="표준 10 26" xfId="14530" xr:uid="{00000000-0005-0000-0000-00001D3A0000}"/>
    <cellStyle name="표준 10 27" xfId="14531" xr:uid="{00000000-0005-0000-0000-00001E3A0000}"/>
    <cellStyle name="표준 10 28" xfId="14532" xr:uid="{00000000-0005-0000-0000-00001F3A0000}"/>
    <cellStyle name="표준 10 29" xfId="14533" xr:uid="{00000000-0005-0000-0000-0000203A0000}"/>
    <cellStyle name="표준 10 3" xfId="14534" xr:uid="{00000000-0005-0000-0000-0000213A0000}"/>
    <cellStyle name="표준 10 3 10" xfId="14535" xr:uid="{00000000-0005-0000-0000-0000223A0000}"/>
    <cellStyle name="표준 10 3 11" xfId="14536" xr:uid="{00000000-0005-0000-0000-0000233A0000}"/>
    <cellStyle name="표준 10 3 12" xfId="14537" xr:uid="{00000000-0005-0000-0000-0000243A0000}"/>
    <cellStyle name="표준 10 3 13" xfId="14538" xr:uid="{00000000-0005-0000-0000-0000253A0000}"/>
    <cellStyle name="표준 10 3 14" xfId="14539" xr:uid="{00000000-0005-0000-0000-0000263A0000}"/>
    <cellStyle name="표준 10 3 15" xfId="14540" xr:uid="{00000000-0005-0000-0000-0000273A0000}"/>
    <cellStyle name="표준 10 3 16" xfId="14541" xr:uid="{00000000-0005-0000-0000-0000283A0000}"/>
    <cellStyle name="표준 10 3 17" xfId="14542" xr:uid="{00000000-0005-0000-0000-0000293A0000}"/>
    <cellStyle name="표준 10 3 18" xfId="14543" xr:uid="{00000000-0005-0000-0000-00002A3A0000}"/>
    <cellStyle name="표준 10 3 19" xfId="14544" xr:uid="{00000000-0005-0000-0000-00002B3A0000}"/>
    <cellStyle name="표준 10 3 2" xfId="14545" xr:uid="{00000000-0005-0000-0000-00002C3A0000}"/>
    <cellStyle name="표준 10 3 20" xfId="14546" xr:uid="{00000000-0005-0000-0000-00002D3A0000}"/>
    <cellStyle name="표준 10 3 21" xfId="14547" xr:uid="{00000000-0005-0000-0000-00002E3A0000}"/>
    <cellStyle name="표준 10 3 22" xfId="14548" xr:uid="{00000000-0005-0000-0000-00002F3A0000}"/>
    <cellStyle name="표준 10 3 3" xfId="14549" xr:uid="{00000000-0005-0000-0000-0000303A0000}"/>
    <cellStyle name="표준 10 3 4" xfId="14550" xr:uid="{00000000-0005-0000-0000-0000313A0000}"/>
    <cellStyle name="표준 10 3 5" xfId="14551" xr:uid="{00000000-0005-0000-0000-0000323A0000}"/>
    <cellStyle name="표준 10 3 6" xfId="14552" xr:uid="{00000000-0005-0000-0000-0000333A0000}"/>
    <cellStyle name="표준 10 3 7" xfId="14553" xr:uid="{00000000-0005-0000-0000-0000343A0000}"/>
    <cellStyle name="표준 10 3 8" xfId="14554" xr:uid="{00000000-0005-0000-0000-0000353A0000}"/>
    <cellStyle name="표준 10 3 9" xfId="14555" xr:uid="{00000000-0005-0000-0000-0000363A0000}"/>
    <cellStyle name="표준 10 30" xfId="14556" xr:uid="{00000000-0005-0000-0000-0000373A0000}"/>
    <cellStyle name="표준 10 31" xfId="11" xr:uid="{00000000-0005-0000-0000-0000383A0000}"/>
    <cellStyle name="표준 10 32" xfId="14557" xr:uid="{00000000-0005-0000-0000-0000393A0000}"/>
    <cellStyle name="표준 10 33" xfId="14558" xr:uid="{00000000-0005-0000-0000-00003A3A0000}"/>
    <cellStyle name="표준 10 34" xfId="14559" xr:uid="{00000000-0005-0000-0000-00003B3A0000}"/>
    <cellStyle name="표준 10 35" xfId="14560" xr:uid="{00000000-0005-0000-0000-00003C3A0000}"/>
    <cellStyle name="표준 10 36" xfId="14561" xr:uid="{00000000-0005-0000-0000-00003D3A0000}"/>
    <cellStyle name="표준 10 37" xfId="14562" xr:uid="{00000000-0005-0000-0000-00003E3A0000}"/>
    <cellStyle name="표준 10 38" xfId="14563" xr:uid="{00000000-0005-0000-0000-00003F3A0000}"/>
    <cellStyle name="표준 10 39" xfId="14564" xr:uid="{00000000-0005-0000-0000-0000403A0000}"/>
    <cellStyle name="표준 10 4" xfId="14565" xr:uid="{00000000-0005-0000-0000-0000413A0000}"/>
    <cellStyle name="표준 10 4 10" xfId="14566" xr:uid="{00000000-0005-0000-0000-0000423A0000}"/>
    <cellStyle name="표준 10 4 11" xfId="14567" xr:uid="{00000000-0005-0000-0000-0000433A0000}"/>
    <cellStyle name="표준 10 4 12" xfId="14568" xr:uid="{00000000-0005-0000-0000-0000443A0000}"/>
    <cellStyle name="표준 10 4 13" xfId="14569" xr:uid="{00000000-0005-0000-0000-0000453A0000}"/>
    <cellStyle name="표준 10 4 14" xfId="14570" xr:uid="{00000000-0005-0000-0000-0000463A0000}"/>
    <cellStyle name="표준 10 4 15" xfId="14571" xr:uid="{00000000-0005-0000-0000-0000473A0000}"/>
    <cellStyle name="표준 10 4 16" xfId="14572" xr:uid="{00000000-0005-0000-0000-0000483A0000}"/>
    <cellStyle name="표준 10 4 17" xfId="14573" xr:uid="{00000000-0005-0000-0000-0000493A0000}"/>
    <cellStyle name="표준 10 4 18" xfId="14574" xr:uid="{00000000-0005-0000-0000-00004A3A0000}"/>
    <cellStyle name="표준 10 4 19" xfId="14575" xr:uid="{00000000-0005-0000-0000-00004B3A0000}"/>
    <cellStyle name="표준 10 4 2" xfId="14576" xr:uid="{00000000-0005-0000-0000-00004C3A0000}"/>
    <cellStyle name="표준 10 4 20" xfId="14577" xr:uid="{00000000-0005-0000-0000-00004D3A0000}"/>
    <cellStyle name="표준 10 4 21" xfId="14578" xr:uid="{00000000-0005-0000-0000-00004E3A0000}"/>
    <cellStyle name="표준 10 4 22" xfId="14579" xr:uid="{00000000-0005-0000-0000-00004F3A0000}"/>
    <cellStyle name="표준 10 4 3" xfId="14580" xr:uid="{00000000-0005-0000-0000-0000503A0000}"/>
    <cellStyle name="표준 10 4 4" xfId="14581" xr:uid="{00000000-0005-0000-0000-0000513A0000}"/>
    <cellStyle name="표준 10 4 5" xfId="14582" xr:uid="{00000000-0005-0000-0000-0000523A0000}"/>
    <cellStyle name="표준 10 4 6" xfId="14583" xr:uid="{00000000-0005-0000-0000-0000533A0000}"/>
    <cellStyle name="표준 10 4 7" xfId="14584" xr:uid="{00000000-0005-0000-0000-0000543A0000}"/>
    <cellStyle name="표준 10 4 8" xfId="14585" xr:uid="{00000000-0005-0000-0000-0000553A0000}"/>
    <cellStyle name="표준 10 4 9" xfId="14586" xr:uid="{00000000-0005-0000-0000-0000563A0000}"/>
    <cellStyle name="표준 10 40" xfId="14587" xr:uid="{00000000-0005-0000-0000-0000573A0000}"/>
    <cellStyle name="표준 10 41" xfId="14588" xr:uid="{00000000-0005-0000-0000-0000583A0000}"/>
    <cellStyle name="표준 10 42" xfId="14589" xr:uid="{00000000-0005-0000-0000-0000593A0000}"/>
    <cellStyle name="표준 10 43" xfId="14590" xr:uid="{00000000-0005-0000-0000-00005A3A0000}"/>
    <cellStyle name="표준 10 44" xfId="14591" xr:uid="{00000000-0005-0000-0000-00005B3A0000}"/>
    <cellStyle name="표준 10 45" xfId="14592" xr:uid="{00000000-0005-0000-0000-00005C3A0000}"/>
    <cellStyle name="표준 10 46" xfId="14593" xr:uid="{00000000-0005-0000-0000-00005D3A0000}"/>
    <cellStyle name="표준 10 47" xfId="14594" xr:uid="{00000000-0005-0000-0000-00005E3A0000}"/>
    <cellStyle name="표준 10 48" xfId="14595" xr:uid="{00000000-0005-0000-0000-00005F3A0000}"/>
    <cellStyle name="표준 10 49" xfId="14596" xr:uid="{00000000-0005-0000-0000-0000603A0000}"/>
    <cellStyle name="표준 10 5" xfId="14597" xr:uid="{00000000-0005-0000-0000-0000613A0000}"/>
    <cellStyle name="표준 10 5 10" xfId="14598" xr:uid="{00000000-0005-0000-0000-0000623A0000}"/>
    <cellStyle name="표준 10 5 11" xfId="14599" xr:uid="{00000000-0005-0000-0000-0000633A0000}"/>
    <cellStyle name="표준 10 5 12" xfId="14600" xr:uid="{00000000-0005-0000-0000-0000643A0000}"/>
    <cellStyle name="표준 10 5 13" xfId="14601" xr:uid="{00000000-0005-0000-0000-0000653A0000}"/>
    <cellStyle name="표준 10 5 14" xfId="14602" xr:uid="{00000000-0005-0000-0000-0000663A0000}"/>
    <cellStyle name="표준 10 5 15" xfId="14603" xr:uid="{00000000-0005-0000-0000-0000673A0000}"/>
    <cellStyle name="표준 10 5 16" xfId="14604" xr:uid="{00000000-0005-0000-0000-0000683A0000}"/>
    <cellStyle name="표준 10 5 17" xfId="14605" xr:uid="{00000000-0005-0000-0000-0000693A0000}"/>
    <cellStyle name="표준 10 5 18" xfId="14606" xr:uid="{00000000-0005-0000-0000-00006A3A0000}"/>
    <cellStyle name="표준 10 5 19" xfId="14607" xr:uid="{00000000-0005-0000-0000-00006B3A0000}"/>
    <cellStyle name="표준 10 5 2" xfId="14608" xr:uid="{00000000-0005-0000-0000-00006C3A0000}"/>
    <cellStyle name="표준 10 5 20" xfId="14609" xr:uid="{00000000-0005-0000-0000-00006D3A0000}"/>
    <cellStyle name="표준 10 5 21" xfId="14610" xr:uid="{00000000-0005-0000-0000-00006E3A0000}"/>
    <cellStyle name="표준 10 5 22" xfId="14611" xr:uid="{00000000-0005-0000-0000-00006F3A0000}"/>
    <cellStyle name="표준 10 5 3" xfId="14612" xr:uid="{00000000-0005-0000-0000-0000703A0000}"/>
    <cellStyle name="표준 10 5 4" xfId="14613" xr:uid="{00000000-0005-0000-0000-0000713A0000}"/>
    <cellStyle name="표준 10 5 5" xfId="14614" xr:uid="{00000000-0005-0000-0000-0000723A0000}"/>
    <cellStyle name="표준 10 5 6" xfId="14615" xr:uid="{00000000-0005-0000-0000-0000733A0000}"/>
    <cellStyle name="표준 10 5 7" xfId="14616" xr:uid="{00000000-0005-0000-0000-0000743A0000}"/>
    <cellStyle name="표준 10 5 8" xfId="14617" xr:uid="{00000000-0005-0000-0000-0000753A0000}"/>
    <cellStyle name="표준 10 5 9" xfId="14618" xr:uid="{00000000-0005-0000-0000-0000763A0000}"/>
    <cellStyle name="표준 10 50" xfId="14619" xr:uid="{00000000-0005-0000-0000-0000773A0000}"/>
    <cellStyle name="표준 10 51" xfId="14620" xr:uid="{00000000-0005-0000-0000-0000783A0000}"/>
    <cellStyle name="표준 10 52" xfId="14621" xr:uid="{00000000-0005-0000-0000-0000793A0000}"/>
    <cellStyle name="표준 10 53" xfId="14622" xr:uid="{00000000-0005-0000-0000-00007A3A0000}"/>
    <cellStyle name="표준 10 6" xfId="14623" xr:uid="{00000000-0005-0000-0000-00007B3A0000}"/>
    <cellStyle name="표준 10 7" xfId="14624" xr:uid="{00000000-0005-0000-0000-00007C3A0000}"/>
    <cellStyle name="표준 10 8" xfId="14625" xr:uid="{00000000-0005-0000-0000-00007D3A0000}"/>
    <cellStyle name="표준 10 9" xfId="14626" xr:uid="{00000000-0005-0000-0000-00007E3A0000}"/>
    <cellStyle name="표준 11" xfId="14627" xr:uid="{00000000-0005-0000-0000-00007F3A0000}"/>
    <cellStyle name="표준 11 10" xfId="14628" xr:uid="{00000000-0005-0000-0000-0000803A0000}"/>
    <cellStyle name="표준 11 11" xfId="14629" xr:uid="{00000000-0005-0000-0000-0000813A0000}"/>
    <cellStyle name="표준 11 12" xfId="14630" xr:uid="{00000000-0005-0000-0000-0000823A0000}"/>
    <cellStyle name="표준 11 13" xfId="14631" xr:uid="{00000000-0005-0000-0000-0000833A0000}"/>
    <cellStyle name="표준 11 14" xfId="14632" xr:uid="{00000000-0005-0000-0000-0000843A0000}"/>
    <cellStyle name="표준 11 15" xfId="14633" xr:uid="{00000000-0005-0000-0000-0000853A0000}"/>
    <cellStyle name="표준 11 16" xfId="14634" xr:uid="{00000000-0005-0000-0000-0000863A0000}"/>
    <cellStyle name="표준 11 17" xfId="14635" xr:uid="{00000000-0005-0000-0000-0000873A0000}"/>
    <cellStyle name="표준 11 18" xfId="14636" xr:uid="{00000000-0005-0000-0000-0000883A0000}"/>
    <cellStyle name="표준 11 19" xfId="14637" xr:uid="{00000000-0005-0000-0000-0000893A0000}"/>
    <cellStyle name="표준 11 2" xfId="14638" xr:uid="{00000000-0005-0000-0000-00008A3A0000}"/>
    <cellStyle name="표준 11 2 2" xfId="14639" xr:uid="{00000000-0005-0000-0000-00008B3A0000}"/>
    <cellStyle name="표준 11 2 2 2" xfId="14640" xr:uid="{00000000-0005-0000-0000-00008C3A0000}"/>
    <cellStyle name="표준 11 2 2 2 2" xfId="14641" xr:uid="{00000000-0005-0000-0000-00008D3A0000}"/>
    <cellStyle name="표준 11 2 2 2 3" xfId="14642" xr:uid="{00000000-0005-0000-0000-00008E3A0000}"/>
    <cellStyle name="표준 11 2 2 3" xfId="14643" xr:uid="{00000000-0005-0000-0000-00008F3A0000}"/>
    <cellStyle name="표준 11 2 3" xfId="14644" xr:uid="{00000000-0005-0000-0000-0000903A0000}"/>
    <cellStyle name="표준 11 2 4" xfId="14645" xr:uid="{00000000-0005-0000-0000-0000913A0000}"/>
    <cellStyle name="표준 11 20" xfId="14646" xr:uid="{00000000-0005-0000-0000-0000923A0000}"/>
    <cellStyle name="표준 11 21" xfId="14647" xr:uid="{00000000-0005-0000-0000-0000933A0000}"/>
    <cellStyle name="표준 11 22" xfId="14648" xr:uid="{00000000-0005-0000-0000-0000943A0000}"/>
    <cellStyle name="표준 11 23" xfId="14649" xr:uid="{00000000-0005-0000-0000-0000953A0000}"/>
    <cellStyle name="표준 11 24" xfId="14650" xr:uid="{00000000-0005-0000-0000-0000963A0000}"/>
    <cellStyle name="표준 11 25" xfId="14651" xr:uid="{00000000-0005-0000-0000-0000973A0000}"/>
    <cellStyle name="표준 11 26" xfId="14652" xr:uid="{00000000-0005-0000-0000-0000983A0000}"/>
    <cellStyle name="표준 11 27" xfId="14653" xr:uid="{00000000-0005-0000-0000-0000993A0000}"/>
    <cellStyle name="표준 11 28" xfId="14654" xr:uid="{00000000-0005-0000-0000-00009A3A0000}"/>
    <cellStyle name="표준 11 29" xfId="14655" xr:uid="{00000000-0005-0000-0000-00009B3A0000}"/>
    <cellStyle name="표준 11 3" xfId="14656" xr:uid="{00000000-0005-0000-0000-00009C3A0000}"/>
    <cellStyle name="표준 11 3 10" xfId="14657" xr:uid="{00000000-0005-0000-0000-00009D3A0000}"/>
    <cellStyle name="표준 11 3 11" xfId="14658" xr:uid="{00000000-0005-0000-0000-00009E3A0000}"/>
    <cellStyle name="표준 11 3 12" xfId="14659" xr:uid="{00000000-0005-0000-0000-00009F3A0000}"/>
    <cellStyle name="표준 11 3 13" xfId="14660" xr:uid="{00000000-0005-0000-0000-0000A03A0000}"/>
    <cellStyle name="표준 11 3 14" xfId="14661" xr:uid="{00000000-0005-0000-0000-0000A13A0000}"/>
    <cellStyle name="표준 11 3 15" xfId="14662" xr:uid="{00000000-0005-0000-0000-0000A23A0000}"/>
    <cellStyle name="표준 11 3 16" xfId="14663" xr:uid="{00000000-0005-0000-0000-0000A33A0000}"/>
    <cellStyle name="표준 11 3 17" xfId="14664" xr:uid="{00000000-0005-0000-0000-0000A43A0000}"/>
    <cellStyle name="표준 11 3 18" xfId="14665" xr:uid="{00000000-0005-0000-0000-0000A53A0000}"/>
    <cellStyle name="표준 11 3 19" xfId="14666" xr:uid="{00000000-0005-0000-0000-0000A63A0000}"/>
    <cellStyle name="표준 11 3 2" xfId="14667" xr:uid="{00000000-0005-0000-0000-0000A73A0000}"/>
    <cellStyle name="표준 11 3 20" xfId="14668" xr:uid="{00000000-0005-0000-0000-0000A83A0000}"/>
    <cellStyle name="표준 11 3 21" xfId="14669" xr:uid="{00000000-0005-0000-0000-0000A93A0000}"/>
    <cellStyle name="표준 11 3 22" xfId="14670" xr:uid="{00000000-0005-0000-0000-0000AA3A0000}"/>
    <cellStyle name="표준 11 3 3" xfId="14671" xr:uid="{00000000-0005-0000-0000-0000AB3A0000}"/>
    <cellStyle name="표준 11 3 4" xfId="14672" xr:uid="{00000000-0005-0000-0000-0000AC3A0000}"/>
    <cellStyle name="표준 11 3 5" xfId="14673" xr:uid="{00000000-0005-0000-0000-0000AD3A0000}"/>
    <cellStyle name="표준 11 3 6" xfId="14674" xr:uid="{00000000-0005-0000-0000-0000AE3A0000}"/>
    <cellStyle name="표준 11 3 7" xfId="14675" xr:uid="{00000000-0005-0000-0000-0000AF3A0000}"/>
    <cellStyle name="표준 11 3 8" xfId="14676" xr:uid="{00000000-0005-0000-0000-0000B03A0000}"/>
    <cellStyle name="표준 11 3 9" xfId="14677" xr:uid="{00000000-0005-0000-0000-0000B13A0000}"/>
    <cellStyle name="표준 11 30" xfId="14678" xr:uid="{00000000-0005-0000-0000-0000B23A0000}"/>
    <cellStyle name="표준 11 31" xfId="14679" xr:uid="{00000000-0005-0000-0000-0000B33A0000}"/>
    <cellStyle name="표준 11 32" xfId="14680" xr:uid="{00000000-0005-0000-0000-0000B43A0000}"/>
    <cellStyle name="표준 11 33" xfId="14681" xr:uid="{00000000-0005-0000-0000-0000B53A0000}"/>
    <cellStyle name="표준 11 33 2" xfId="18467" xr:uid="{00000000-0005-0000-0000-0000B63A0000}"/>
    <cellStyle name="표준 11 33 2 2" xfId="18601" xr:uid="{00000000-0005-0000-0000-0000B73A0000}"/>
    <cellStyle name="표준 11 33 2 2 2" xfId="19196" xr:uid="{00000000-0005-0000-0000-0000B83A0000}"/>
    <cellStyle name="표준 11 33 2 2 3" xfId="18901" xr:uid="{00000000-0005-0000-0000-0000B93A0000}"/>
    <cellStyle name="표준 11 33 2 3" xfId="18534" xr:uid="{00000000-0005-0000-0000-0000BA3A0000}"/>
    <cellStyle name="표준 11 33 2 3 2" xfId="19129" xr:uid="{00000000-0005-0000-0000-0000BB3A0000}"/>
    <cellStyle name="표준 11 33 2 3 3" xfId="18834" xr:uid="{00000000-0005-0000-0000-0000BC3A0000}"/>
    <cellStyle name="표준 11 33 2 4" xfId="18668" xr:uid="{00000000-0005-0000-0000-0000BD3A0000}"/>
    <cellStyle name="표준 11 33 2 4 2" xfId="19263" xr:uid="{00000000-0005-0000-0000-0000BE3A0000}"/>
    <cellStyle name="표준 11 33 2 4 3" xfId="18968" xr:uid="{00000000-0005-0000-0000-0000BF3A0000}"/>
    <cellStyle name="표준 11 33 2 5" xfId="19062" xr:uid="{00000000-0005-0000-0000-0000C03A0000}"/>
    <cellStyle name="표준 11 33 2 6" xfId="18767" xr:uid="{00000000-0005-0000-0000-0000C13A0000}"/>
    <cellStyle name="표준 11 33 3" xfId="18568" xr:uid="{00000000-0005-0000-0000-0000C23A0000}"/>
    <cellStyle name="표준 11 33 3 2" xfId="19163" xr:uid="{00000000-0005-0000-0000-0000C33A0000}"/>
    <cellStyle name="표준 11 33 3 3" xfId="18868" xr:uid="{00000000-0005-0000-0000-0000C43A0000}"/>
    <cellStyle name="표준 11 33 4" xfId="18501" xr:uid="{00000000-0005-0000-0000-0000C53A0000}"/>
    <cellStyle name="표준 11 33 4 2" xfId="19096" xr:uid="{00000000-0005-0000-0000-0000C63A0000}"/>
    <cellStyle name="표준 11 33 4 3" xfId="18801" xr:uid="{00000000-0005-0000-0000-0000C73A0000}"/>
    <cellStyle name="표준 11 33 5" xfId="18635" xr:uid="{00000000-0005-0000-0000-0000C83A0000}"/>
    <cellStyle name="표준 11 33 5 2" xfId="19230" xr:uid="{00000000-0005-0000-0000-0000C93A0000}"/>
    <cellStyle name="표준 11 33 5 3" xfId="18935" xr:uid="{00000000-0005-0000-0000-0000CA3A0000}"/>
    <cellStyle name="표준 11 33 6" xfId="18710" xr:uid="{00000000-0005-0000-0000-0000CB3A0000}"/>
    <cellStyle name="표준 11 33 6 2" xfId="19005" xr:uid="{00000000-0005-0000-0000-0000CC3A0000}"/>
    <cellStyle name="표준 11 33 7" xfId="19029" xr:uid="{00000000-0005-0000-0000-0000CD3A0000}"/>
    <cellStyle name="표준 11 33 8" xfId="19300" xr:uid="{00000000-0005-0000-0000-0000CE3A0000}"/>
    <cellStyle name="표준 11 33 9" xfId="18734" xr:uid="{00000000-0005-0000-0000-0000CF3A0000}"/>
    <cellStyle name="표준 11 34" xfId="18466" xr:uid="{00000000-0005-0000-0000-0000D03A0000}"/>
    <cellStyle name="표준 11 34 2" xfId="18600" xr:uid="{00000000-0005-0000-0000-0000D13A0000}"/>
    <cellStyle name="표준 11 34 2 2" xfId="19195" xr:uid="{00000000-0005-0000-0000-0000D23A0000}"/>
    <cellStyle name="표준 11 34 2 3" xfId="18900" xr:uid="{00000000-0005-0000-0000-0000D33A0000}"/>
    <cellStyle name="표준 11 34 3" xfId="18533" xr:uid="{00000000-0005-0000-0000-0000D43A0000}"/>
    <cellStyle name="표준 11 34 3 2" xfId="19128" xr:uid="{00000000-0005-0000-0000-0000D53A0000}"/>
    <cellStyle name="표준 11 34 3 3" xfId="18833" xr:uid="{00000000-0005-0000-0000-0000D63A0000}"/>
    <cellStyle name="표준 11 34 4" xfId="18667" xr:uid="{00000000-0005-0000-0000-0000D73A0000}"/>
    <cellStyle name="표준 11 34 4 2" xfId="19262" xr:uid="{00000000-0005-0000-0000-0000D83A0000}"/>
    <cellStyle name="표준 11 34 4 3" xfId="18967" xr:uid="{00000000-0005-0000-0000-0000D93A0000}"/>
    <cellStyle name="표준 11 34 5" xfId="19061" xr:uid="{00000000-0005-0000-0000-0000DA3A0000}"/>
    <cellStyle name="표준 11 34 6" xfId="18766" xr:uid="{00000000-0005-0000-0000-0000DB3A0000}"/>
    <cellStyle name="표준 11 35" xfId="18567" xr:uid="{00000000-0005-0000-0000-0000DC3A0000}"/>
    <cellStyle name="표준 11 35 2" xfId="19162" xr:uid="{00000000-0005-0000-0000-0000DD3A0000}"/>
    <cellStyle name="표준 11 35 3" xfId="18867" xr:uid="{00000000-0005-0000-0000-0000DE3A0000}"/>
    <cellStyle name="표준 11 36" xfId="18500" xr:uid="{00000000-0005-0000-0000-0000DF3A0000}"/>
    <cellStyle name="표준 11 36 2" xfId="19095" xr:uid="{00000000-0005-0000-0000-0000E03A0000}"/>
    <cellStyle name="표준 11 36 3" xfId="18800" xr:uid="{00000000-0005-0000-0000-0000E13A0000}"/>
    <cellStyle name="표준 11 37" xfId="18634" xr:uid="{00000000-0005-0000-0000-0000E23A0000}"/>
    <cellStyle name="표준 11 37 2" xfId="19229" xr:uid="{00000000-0005-0000-0000-0000E33A0000}"/>
    <cellStyle name="표준 11 37 3" xfId="18934" xr:uid="{00000000-0005-0000-0000-0000E43A0000}"/>
    <cellStyle name="표준 11 38" xfId="18709" xr:uid="{00000000-0005-0000-0000-0000E53A0000}"/>
    <cellStyle name="표준 11 38 2" xfId="19004" xr:uid="{00000000-0005-0000-0000-0000E63A0000}"/>
    <cellStyle name="표준 11 39" xfId="19028" xr:uid="{00000000-0005-0000-0000-0000E73A0000}"/>
    <cellStyle name="표준 11 4" xfId="14682" xr:uid="{00000000-0005-0000-0000-0000E83A0000}"/>
    <cellStyle name="표준 11 4 10" xfId="14683" xr:uid="{00000000-0005-0000-0000-0000E93A0000}"/>
    <cellStyle name="표준 11 4 11" xfId="14684" xr:uid="{00000000-0005-0000-0000-0000EA3A0000}"/>
    <cellStyle name="표준 11 4 12" xfId="14685" xr:uid="{00000000-0005-0000-0000-0000EB3A0000}"/>
    <cellStyle name="표준 11 4 13" xfId="14686" xr:uid="{00000000-0005-0000-0000-0000EC3A0000}"/>
    <cellStyle name="표준 11 4 14" xfId="14687" xr:uid="{00000000-0005-0000-0000-0000ED3A0000}"/>
    <cellStyle name="표준 11 4 15" xfId="14688" xr:uid="{00000000-0005-0000-0000-0000EE3A0000}"/>
    <cellStyle name="표준 11 4 16" xfId="14689" xr:uid="{00000000-0005-0000-0000-0000EF3A0000}"/>
    <cellStyle name="표준 11 4 17" xfId="14690" xr:uid="{00000000-0005-0000-0000-0000F03A0000}"/>
    <cellStyle name="표준 11 4 18" xfId="14691" xr:uid="{00000000-0005-0000-0000-0000F13A0000}"/>
    <cellStyle name="표준 11 4 19" xfId="14692" xr:uid="{00000000-0005-0000-0000-0000F23A0000}"/>
    <cellStyle name="표준 11 4 2" xfId="14693" xr:uid="{00000000-0005-0000-0000-0000F33A0000}"/>
    <cellStyle name="표준 11 4 20" xfId="14694" xr:uid="{00000000-0005-0000-0000-0000F43A0000}"/>
    <cellStyle name="표준 11 4 21" xfId="14695" xr:uid="{00000000-0005-0000-0000-0000F53A0000}"/>
    <cellStyle name="표준 11 4 22" xfId="14696" xr:uid="{00000000-0005-0000-0000-0000F63A0000}"/>
    <cellStyle name="표준 11 4 3" xfId="14697" xr:uid="{00000000-0005-0000-0000-0000F73A0000}"/>
    <cellStyle name="표준 11 4 4" xfId="14698" xr:uid="{00000000-0005-0000-0000-0000F83A0000}"/>
    <cellStyle name="표준 11 4 5" xfId="14699" xr:uid="{00000000-0005-0000-0000-0000F93A0000}"/>
    <cellStyle name="표준 11 4 6" xfId="14700" xr:uid="{00000000-0005-0000-0000-0000FA3A0000}"/>
    <cellStyle name="표준 11 4 7" xfId="14701" xr:uid="{00000000-0005-0000-0000-0000FB3A0000}"/>
    <cellStyle name="표준 11 4 8" xfId="14702" xr:uid="{00000000-0005-0000-0000-0000FC3A0000}"/>
    <cellStyle name="표준 11 4 9" xfId="14703" xr:uid="{00000000-0005-0000-0000-0000FD3A0000}"/>
    <cellStyle name="표준 11 40" xfId="19299" xr:uid="{00000000-0005-0000-0000-0000FE3A0000}"/>
    <cellStyle name="표준 11 41" xfId="18733" xr:uid="{00000000-0005-0000-0000-0000FF3A0000}"/>
    <cellStyle name="표준 11 5" xfId="14704" xr:uid="{00000000-0005-0000-0000-0000003B0000}"/>
    <cellStyle name="표준 11 5 10" xfId="14705" xr:uid="{00000000-0005-0000-0000-0000013B0000}"/>
    <cellStyle name="표준 11 5 11" xfId="14706" xr:uid="{00000000-0005-0000-0000-0000023B0000}"/>
    <cellStyle name="표준 11 5 12" xfId="14707" xr:uid="{00000000-0005-0000-0000-0000033B0000}"/>
    <cellStyle name="표준 11 5 13" xfId="14708" xr:uid="{00000000-0005-0000-0000-0000043B0000}"/>
    <cellStyle name="표준 11 5 14" xfId="14709" xr:uid="{00000000-0005-0000-0000-0000053B0000}"/>
    <cellStyle name="표준 11 5 15" xfId="14710" xr:uid="{00000000-0005-0000-0000-0000063B0000}"/>
    <cellStyle name="표준 11 5 16" xfId="14711" xr:uid="{00000000-0005-0000-0000-0000073B0000}"/>
    <cellStyle name="표준 11 5 17" xfId="14712" xr:uid="{00000000-0005-0000-0000-0000083B0000}"/>
    <cellStyle name="표준 11 5 18" xfId="14713" xr:uid="{00000000-0005-0000-0000-0000093B0000}"/>
    <cellStyle name="표준 11 5 19" xfId="14714" xr:uid="{00000000-0005-0000-0000-00000A3B0000}"/>
    <cellStyle name="표준 11 5 2" xfId="14715" xr:uid="{00000000-0005-0000-0000-00000B3B0000}"/>
    <cellStyle name="표준 11 5 20" xfId="14716" xr:uid="{00000000-0005-0000-0000-00000C3B0000}"/>
    <cellStyle name="표준 11 5 21" xfId="14717" xr:uid="{00000000-0005-0000-0000-00000D3B0000}"/>
    <cellStyle name="표준 11 5 22" xfId="14718" xr:uid="{00000000-0005-0000-0000-00000E3B0000}"/>
    <cellStyle name="표준 11 5 3" xfId="14719" xr:uid="{00000000-0005-0000-0000-00000F3B0000}"/>
    <cellStyle name="표준 11 5 4" xfId="14720" xr:uid="{00000000-0005-0000-0000-0000103B0000}"/>
    <cellStyle name="표준 11 5 5" xfId="14721" xr:uid="{00000000-0005-0000-0000-0000113B0000}"/>
    <cellStyle name="표준 11 5 6" xfId="14722" xr:uid="{00000000-0005-0000-0000-0000123B0000}"/>
    <cellStyle name="표준 11 5 7" xfId="14723" xr:uid="{00000000-0005-0000-0000-0000133B0000}"/>
    <cellStyle name="표준 11 5 8" xfId="14724" xr:uid="{00000000-0005-0000-0000-0000143B0000}"/>
    <cellStyle name="표준 11 5 9" xfId="14725" xr:uid="{00000000-0005-0000-0000-0000153B0000}"/>
    <cellStyle name="표준 11 6" xfId="14726" xr:uid="{00000000-0005-0000-0000-0000163B0000}"/>
    <cellStyle name="표준 11 7" xfId="14727" xr:uid="{00000000-0005-0000-0000-0000173B0000}"/>
    <cellStyle name="표준 11 8" xfId="14728" xr:uid="{00000000-0005-0000-0000-0000183B0000}"/>
    <cellStyle name="표준 11 9" xfId="14729" xr:uid="{00000000-0005-0000-0000-0000193B0000}"/>
    <cellStyle name="표준 12" xfId="14730" xr:uid="{00000000-0005-0000-0000-00001A3B0000}"/>
    <cellStyle name="표준 12 10" xfId="14731" xr:uid="{00000000-0005-0000-0000-00001B3B0000}"/>
    <cellStyle name="표준 12 11" xfId="14732" xr:uid="{00000000-0005-0000-0000-00001C3B0000}"/>
    <cellStyle name="표준 12 12" xfId="14733" xr:uid="{00000000-0005-0000-0000-00001D3B0000}"/>
    <cellStyle name="표준 12 13" xfId="14734" xr:uid="{00000000-0005-0000-0000-00001E3B0000}"/>
    <cellStyle name="표준 12 14" xfId="14735" xr:uid="{00000000-0005-0000-0000-00001F3B0000}"/>
    <cellStyle name="표준 12 15" xfId="14736" xr:uid="{00000000-0005-0000-0000-0000203B0000}"/>
    <cellStyle name="표준 12 16" xfId="14737" xr:uid="{00000000-0005-0000-0000-0000213B0000}"/>
    <cellStyle name="표준 12 17" xfId="14738" xr:uid="{00000000-0005-0000-0000-0000223B0000}"/>
    <cellStyle name="표준 12 18" xfId="14739" xr:uid="{00000000-0005-0000-0000-0000233B0000}"/>
    <cellStyle name="표준 12 19" xfId="14740" xr:uid="{00000000-0005-0000-0000-0000243B0000}"/>
    <cellStyle name="표준 12 2" xfId="14741" xr:uid="{00000000-0005-0000-0000-0000253B0000}"/>
    <cellStyle name="표준 12 2 2" xfId="14742" xr:uid="{00000000-0005-0000-0000-0000263B0000}"/>
    <cellStyle name="표준 12 2 2 2" xfId="14743" xr:uid="{00000000-0005-0000-0000-0000273B0000}"/>
    <cellStyle name="표준 12 2 2 2 2" xfId="14744" xr:uid="{00000000-0005-0000-0000-0000283B0000}"/>
    <cellStyle name="표준 12 2 2 2 3" xfId="14745" xr:uid="{00000000-0005-0000-0000-0000293B0000}"/>
    <cellStyle name="표준 12 2 2 3" xfId="14746" xr:uid="{00000000-0005-0000-0000-00002A3B0000}"/>
    <cellStyle name="표준 12 2 3" xfId="14747" xr:uid="{00000000-0005-0000-0000-00002B3B0000}"/>
    <cellStyle name="표준 12 2 4" xfId="14748" xr:uid="{00000000-0005-0000-0000-00002C3B0000}"/>
    <cellStyle name="표준 12 20" xfId="14749" xr:uid="{00000000-0005-0000-0000-00002D3B0000}"/>
    <cellStyle name="표준 12 21" xfId="14750" xr:uid="{00000000-0005-0000-0000-00002E3B0000}"/>
    <cellStyle name="표준 12 22" xfId="14751" xr:uid="{00000000-0005-0000-0000-00002F3B0000}"/>
    <cellStyle name="표준 12 23" xfId="14752" xr:uid="{00000000-0005-0000-0000-0000303B0000}"/>
    <cellStyle name="표준 12 24" xfId="14753" xr:uid="{00000000-0005-0000-0000-0000313B0000}"/>
    <cellStyle name="표준 12 25" xfId="14754" xr:uid="{00000000-0005-0000-0000-0000323B0000}"/>
    <cellStyle name="표준 12 26" xfId="14755" xr:uid="{00000000-0005-0000-0000-0000333B0000}"/>
    <cellStyle name="표준 12 27" xfId="14756" xr:uid="{00000000-0005-0000-0000-0000343B0000}"/>
    <cellStyle name="표준 12 28" xfId="14757" xr:uid="{00000000-0005-0000-0000-0000353B0000}"/>
    <cellStyle name="표준 12 29" xfId="14758" xr:uid="{00000000-0005-0000-0000-0000363B0000}"/>
    <cellStyle name="표준 12 3" xfId="14759" xr:uid="{00000000-0005-0000-0000-0000373B0000}"/>
    <cellStyle name="표준 12 3 10" xfId="14760" xr:uid="{00000000-0005-0000-0000-0000383B0000}"/>
    <cellStyle name="표준 12 3 11" xfId="14761" xr:uid="{00000000-0005-0000-0000-0000393B0000}"/>
    <cellStyle name="표준 12 3 12" xfId="14762" xr:uid="{00000000-0005-0000-0000-00003A3B0000}"/>
    <cellStyle name="표준 12 3 13" xfId="14763" xr:uid="{00000000-0005-0000-0000-00003B3B0000}"/>
    <cellStyle name="표준 12 3 14" xfId="14764" xr:uid="{00000000-0005-0000-0000-00003C3B0000}"/>
    <cellStyle name="표준 12 3 15" xfId="14765" xr:uid="{00000000-0005-0000-0000-00003D3B0000}"/>
    <cellStyle name="표준 12 3 16" xfId="14766" xr:uid="{00000000-0005-0000-0000-00003E3B0000}"/>
    <cellStyle name="표준 12 3 17" xfId="14767" xr:uid="{00000000-0005-0000-0000-00003F3B0000}"/>
    <cellStyle name="표준 12 3 18" xfId="14768" xr:uid="{00000000-0005-0000-0000-0000403B0000}"/>
    <cellStyle name="표준 12 3 19" xfId="14769" xr:uid="{00000000-0005-0000-0000-0000413B0000}"/>
    <cellStyle name="표준 12 3 2" xfId="14770" xr:uid="{00000000-0005-0000-0000-0000423B0000}"/>
    <cellStyle name="표준 12 3 20" xfId="14771" xr:uid="{00000000-0005-0000-0000-0000433B0000}"/>
    <cellStyle name="표준 12 3 21" xfId="14772" xr:uid="{00000000-0005-0000-0000-0000443B0000}"/>
    <cellStyle name="표준 12 3 22" xfId="14773" xr:uid="{00000000-0005-0000-0000-0000453B0000}"/>
    <cellStyle name="표준 12 3 3" xfId="14774" xr:uid="{00000000-0005-0000-0000-0000463B0000}"/>
    <cellStyle name="표준 12 3 4" xfId="14775" xr:uid="{00000000-0005-0000-0000-0000473B0000}"/>
    <cellStyle name="표준 12 3 5" xfId="14776" xr:uid="{00000000-0005-0000-0000-0000483B0000}"/>
    <cellStyle name="표준 12 3 6" xfId="14777" xr:uid="{00000000-0005-0000-0000-0000493B0000}"/>
    <cellStyle name="표준 12 3 7" xfId="14778" xr:uid="{00000000-0005-0000-0000-00004A3B0000}"/>
    <cellStyle name="표준 12 3 8" xfId="14779" xr:uid="{00000000-0005-0000-0000-00004B3B0000}"/>
    <cellStyle name="표준 12 3 9" xfId="14780" xr:uid="{00000000-0005-0000-0000-00004C3B0000}"/>
    <cellStyle name="표준 12 30" xfId="14781" xr:uid="{00000000-0005-0000-0000-00004D3B0000}"/>
    <cellStyle name="표준 12 31" xfId="14782" xr:uid="{00000000-0005-0000-0000-00004E3B0000}"/>
    <cellStyle name="표준 12 32" xfId="14783" xr:uid="{00000000-0005-0000-0000-00004F3B0000}"/>
    <cellStyle name="표준 12 33" xfId="14784" xr:uid="{00000000-0005-0000-0000-0000503B0000}"/>
    <cellStyle name="표준 12 33 2" xfId="18469" xr:uid="{00000000-0005-0000-0000-0000513B0000}"/>
    <cellStyle name="표준 12 33 2 2" xfId="18603" xr:uid="{00000000-0005-0000-0000-0000523B0000}"/>
    <cellStyle name="표준 12 33 2 2 2" xfId="19198" xr:uid="{00000000-0005-0000-0000-0000533B0000}"/>
    <cellStyle name="표준 12 33 2 2 3" xfId="18903" xr:uid="{00000000-0005-0000-0000-0000543B0000}"/>
    <cellStyle name="표준 12 33 2 3" xfId="18536" xr:uid="{00000000-0005-0000-0000-0000553B0000}"/>
    <cellStyle name="표준 12 33 2 3 2" xfId="19131" xr:uid="{00000000-0005-0000-0000-0000563B0000}"/>
    <cellStyle name="표준 12 33 2 3 3" xfId="18836" xr:uid="{00000000-0005-0000-0000-0000573B0000}"/>
    <cellStyle name="표준 12 33 2 4" xfId="18670" xr:uid="{00000000-0005-0000-0000-0000583B0000}"/>
    <cellStyle name="표준 12 33 2 4 2" xfId="19265" xr:uid="{00000000-0005-0000-0000-0000593B0000}"/>
    <cellStyle name="표준 12 33 2 4 3" xfId="18970" xr:uid="{00000000-0005-0000-0000-00005A3B0000}"/>
    <cellStyle name="표준 12 33 2 5" xfId="19064" xr:uid="{00000000-0005-0000-0000-00005B3B0000}"/>
    <cellStyle name="표준 12 33 2 6" xfId="18769" xr:uid="{00000000-0005-0000-0000-00005C3B0000}"/>
    <cellStyle name="표준 12 33 3" xfId="18570" xr:uid="{00000000-0005-0000-0000-00005D3B0000}"/>
    <cellStyle name="표준 12 33 3 2" xfId="19165" xr:uid="{00000000-0005-0000-0000-00005E3B0000}"/>
    <cellStyle name="표준 12 33 3 3" xfId="18870" xr:uid="{00000000-0005-0000-0000-00005F3B0000}"/>
    <cellStyle name="표준 12 33 4" xfId="18503" xr:uid="{00000000-0005-0000-0000-0000603B0000}"/>
    <cellStyle name="표준 12 33 4 2" xfId="19098" xr:uid="{00000000-0005-0000-0000-0000613B0000}"/>
    <cellStyle name="표준 12 33 4 3" xfId="18803" xr:uid="{00000000-0005-0000-0000-0000623B0000}"/>
    <cellStyle name="표준 12 33 5" xfId="18637" xr:uid="{00000000-0005-0000-0000-0000633B0000}"/>
    <cellStyle name="표준 12 33 5 2" xfId="19232" xr:uid="{00000000-0005-0000-0000-0000643B0000}"/>
    <cellStyle name="표준 12 33 5 3" xfId="18937" xr:uid="{00000000-0005-0000-0000-0000653B0000}"/>
    <cellStyle name="표준 12 33 6" xfId="18712" xr:uid="{00000000-0005-0000-0000-0000663B0000}"/>
    <cellStyle name="표준 12 33 6 2" xfId="19007" xr:uid="{00000000-0005-0000-0000-0000673B0000}"/>
    <cellStyle name="표준 12 33 7" xfId="19031" xr:uid="{00000000-0005-0000-0000-0000683B0000}"/>
    <cellStyle name="표준 12 33 8" xfId="19302" xr:uid="{00000000-0005-0000-0000-0000693B0000}"/>
    <cellStyle name="표준 12 33 9" xfId="18736" xr:uid="{00000000-0005-0000-0000-00006A3B0000}"/>
    <cellStyle name="표준 12 34" xfId="18468" xr:uid="{00000000-0005-0000-0000-00006B3B0000}"/>
    <cellStyle name="표준 12 34 2" xfId="18602" xr:uid="{00000000-0005-0000-0000-00006C3B0000}"/>
    <cellStyle name="표준 12 34 2 2" xfId="19197" xr:uid="{00000000-0005-0000-0000-00006D3B0000}"/>
    <cellStyle name="표준 12 34 2 3" xfId="18902" xr:uid="{00000000-0005-0000-0000-00006E3B0000}"/>
    <cellStyle name="표준 12 34 3" xfId="18535" xr:uid="{00000000-0005-0000-0000-00006F3B0000}"/>
    <cellStyle name="표준 12 34 3 2" xfId="19130" xr:uid="{00000000-0005-0000-0000-0000703B0000}"/>
    <cellStyle name="표준 12 34 3 3" xfId="18835" xr:uid="{00000000-0005-0000-0000-0000713B0000}"/>
    <cellStyle name="표준 12 34 4" xfId="18669" xr:uid="{00000000-0005-0000-0000-0000723B0000}"/>
    <cellStyle name="표준 12 34 4 2" xfId="19264" xr:uid="{00000000-0005-0000-0000-0000733B0000}"/>
    <cellStyle name="표준 12 34 4 3" xfId="18969" xr:uid="{00000000-0005-0000-0000-0000743B0000}"/>
    <cellStyle name="표준 12 34 5" xfId="19063" xr:uid="{00000000-0005-0000-0000-0000753B0000}"/>
    <cellStyle name="표준 12 34 6" xfId="18768" xr:uid="{00000000-0005-0000-0000-0000763B0000}"/>
    <cellStyle name="표준 12 35" xfId="18569" xr:uid="{00000000-0005-0000-0000-0000773B0000}"/>
    <cellStyle name="표준 12 35 2" xfId="19164" xr:uid="{00000000-0005-0000-0000-0000783B0000}"/>
    <cellStyle name="표준 12 35 3" xfId="18869" xr:uid="{00000000-0005-0000-0000-0000793B0000}"/>
    <cellStyle name="표준 12 36" xfId="18502" xr:uid="{00000000-0005-0000-0000-00007A3B0000}"/>
    <cellStyle name="표준 12 36 2" xfId="19097" xr:uid="{00000000-0005-0000-0000-00007B3B0000}"/>
    <cellStyle name="표준 12 36 3" xfId="18802" xr:uid="{00000000-0005-0000-0000-00007C3B0000}"/>
    <cellStyle name="표준 12 37" xfId="18636" xr:uid="{00000000-0005-0000-0000-00007D3B0000}"/>
    <cellStyle name="표준 12 37 2" xfId="19231" xr:uid="{00000000-0005-0000-0000-00007E3B0000}"/>
    <cellStyle name="표준 12 37 3" xfId="18936" xr:uid="{00000000-0005-0000-0000-00007F3B0000}"/>
    <cellStyle name="표준 12 38" xfId="18711" xr:uid="{00000000-0005-0000-0000-0000803B0000}"/>
    <cellStyle name="표준 12 38 2" xfId="19006" xr:uid="{00000000-0005-0000-0000-0000813B0000}"/>
    <cellStyle name="표준 12 39" xfId="19030" xr:uid="{00000000-0005-0000-0000-0000823B0000}"/>
    <cellStyle name="표준 12 4" xfId="14785" xr:uid="{00000000-0005-0000-0000-0000833B0000}"/>
    <cellStyle name="표준 12 4 10" xfId="14786" xr:uid="{00000000-0005-0000-0000-0000843B0000}"/>
    <cellStyle name="표준 12 4 11" xfId="14787" xr:uid="{00000000-0005-0000-0000-0000853B0000}"/>
    <cellStyle name="표준 12 4 12" xfId="14788" xr:uid="{00000000-0005-0000-0000-0000863B0000}"/>
    <cellStyle name="표준 12 4 13" xfId="14789" xr:uid="{00000000-0005-0000-0000-0000873B0000}"/>
    <cellStyle name="표준 12 4 14" xfId="14790" xr:uid="{00000000-0005-0000-0000-0000883B0000}"/>
    <cellStyle name="표준 12 4 15" xfId="14791" xr:uid="{00000000-0005-0000-0000-0000893B0000}"/>
    <cellStyle name="표준 12 4 16" xfId="14792" xr:uid="{00000000-0005-0000-0000-00008A3B0000}"/>
    <cellStyle name="표준 12 4 17" xfId="14793" xr:uid="{00000000-0005-0000-0000-00008B3B0000}"/>
    <cellStyle name="표준 12 4 18" xfId="14794" xr:uid="{00000000-0005-0000-0000-00008C3B0000}"/>
    <cellStyle name="표준 12 4 19" xfId="14795" xr:uid="{00000000-0005-0000-0000-00008D3B0000}"/>
    <cellStyle name="표준 12 4 2" xfId="14796" xr:uid="{00000000-0005-0000-0000-00008E3B0000}"/>
    <cellStyle name="표준 12 4 20" xfId="14797" xr:uid="{00000000-0005-0000-0000-00008F3B0000}"/>
    <cellStyle name="표준 12 4 21" xfId="14798" xr:uid="{00000000-0005-0000-0000-0000903B0000}"/>
    <cellStyle name="표준 12 4 22" xfId="14799" xr:uid="{00000000-0005-0000-0000-0000913B0000}"/>
    <cellStyle name="표준 12 4 3" xfId="14800" xr:uid="{00000000-0005-0000-0000-0000923B0000}"/>
    <cellStyle name="표준 12 4 4" xfId="14801" xr:uid="{00000000-0005-0000-0000-0000933B0000}"/>
    <cellStyle name="표준 12 4 5" xfId="14802" xr:uid="{00000000-0005-0000-0000-0000943B0000}"/>
    <cellStyle name="표준 12 4 6" xfId="14803" xr:uid="{00000000-0005-0000-0000-0000953B0000}"/>
    <cellStyle name="표준 12 4 7" xfId="14804" xr:uid="{00000000-0005-0000-0000-0000963B0000}"/>
    <cellStyle name="표준 12 4 8" xfId="14805" xr:uid="{00000000-0005-0000-0000-0000973B0000}"/>
    <cellStyle name="표준 12 4 9" xfId="14806" xr:uid="{00000000-0005-0000-0000-0000983B0000}"/>
    <cellStyle name="표준 12 40" xfId="19301" xr:uid="{00000000-0005-0000-0000-0000993B0000}"/>
    <cellStyle name="표준 12 41" xfId="18735" xr:uid="{00000000-0005-0000-0000-00009A3B0000}"/>
    <cellStyle name="표준 12 5" xfId="14807" xr:uid="{00000000-0005-0000-0000-00009B3B0000}"/>
    <cellStyle name="표준 12 5 10" xfId="14808" xr:uid="{00000000-0005-0000-0000-00009C3B0000}"/>
    <cellStyle name="표준 12 5 11" xfId="14809" xr:uid="{00000000-0005-0000-0000-00009D3B0000}"/>
    <cellStyle name="표준 12 5 12" xfId="14810" xr:uid="{00000000-0005-0000-0000-00009E3B0000}"/>
    <cellStyle name="표준 12 5 13" xfId="14811" xr:uid="{00000000-0005-0000-0000-00009F3B0000}"/>
    <cellStyle name="표준 12 5 14" xfId="14812" xr:uid="{00000000-0005-0000-0000-0000A03B0000}"/>
    <cellStyle name="표준 12 5 15" xfId="14813" xr:uid="{00000000-0005-0000-0000-0000A13B0000}"/>
    <cellStyle name="표준 12 5 16" xfId="14814" xr:uid="{00000000-0005-0000-0000-0000A23B0000}"/>
    <cellStyle name="표준 12 5 17" xfId="14815" xr:uid="{00000000-0005-0000-0000-0000A33B0000}"/>
    <cellStyle name="표준 12 5 18" xfId="14816" xr:uid="{00000000-0005-0000-0000-0000A43B0000}"/>
    <cellStyle name="표준 12 5 19" xfId="14817" xr:uid="{00000000-0005-0000-0000-0000A53B0000}"/>
    <cellStyle name="표준 12 5 2" xfId="14818" xr:uid="{00000000-0005-0000-0000-0000A63B0000}"/>
    <cellStyle name="표준 12 5 20" xfId="14819" xr:uid="{00000000-0005-0000-0000-0000A73B0000}"/>
    <cellStyle name="표준 12 5 21" xfId="14820" xr:uid="{00000000-0005-0000-0000-0000A83B0000}"/>
    <cellStyle name="표준 12 5 22" xfId="14821" xr:uid="{00000000-0005-0000-0000-0000A93B0000}"/>
    <cellStyle name="표준 12 5 3" xfId="14822" xr:uid="{00000000-0005-0000-0000-0000AA3B0000}"/>
    <cellStyle name="표준 12 5 4" xfId="14823" xr:uid="{00000000-0005-0000-0000-0000AB3B0000}"/>
    <cellStyle name="표준 12 5 5" xfId="14824" xr:uid="{00000000-0005-0000-0000-0000AC3B0000}"/>
    <cellStyle name="표준 12 5 6" xfId="14825" xr:uid="{00000000-0005-0000-0000-0000AD3B0000}"/>
    <cellStyle name="표준 12 5 7" xfId="14826" xr:uid="{00000000-0005-0000-0000-0000AE3B0000}"/>
    <cellStyle name="표준 12 5 8" xfId="14827" xr:uid="{00000000-0005-0000-0000-0000AF3B0000}"/>
    <cellStyle name="표준 12 5 9" xfId="14828" xr:uid="{00000000-0005-0000-0000-0000B03B0000}"/>
    <cellStyle name="표준 12 6" xfId="14829" xr:uid="{00000000-0005-0000-0000-0000B13B0000}"/>
    <cellStyle name="표준 12 7" xfId="14830" xr:uid="{00000000-0005-0000-0000-0000B23B0000}"/>
    <cellStyle name="표준 12 8" xfId="14831" xr:uid="{00000000-0005-0000-0000-0000B33B0000}"/>
    <cellStyle name="표준 12 9" xfId="14832" xr:uid="{00000000-0005-0000-0000-0000B43B0000}"/>
    <cellStyle name="표준 13" xfId="14833" xr:uid="{00000000-0005-0000-0000-0000B53B0000}"/>
    <cellStyle name="표준 13 10" xfId="14834" xr:uid="{00000000-0005-0000-0000-0000B63B0000}"/>
    <cellStyle name="표준 13 11" xfId="14835" xr:uid="{00000000-0005-0000-0000-0000B73B0000}"/>
    <cellStyle name="표준 13 12" xfId="14836" xr:uid="{00000000-0005-0000-0000-0000B83B0000}"/>
    <cellStyle name="표준 13 13" xfId="14837" xr:uid="{00000000-0005-0000-0000-0000B93B0000}"/>
    <cellStyle name="표준 13 14" xfId="14838" xr:uid="{00000000-0005-0000-0000-0000BA3B0000}"/>
    <cellStyle name="표준 13 15" xfId="14839" xr:uid="{00000000-0005-0000-0000-0000BB3B0000}"/>
    <cellStyle name="표준 13 16" xfId="14840" xr:uid="{00000000-0005-0000-0000-0000BC3B0000}"/>
    <cellStyle name="표준 13 17" xfId="14841" xr:uid="{00000000-0005-0000-0000-0000BD3B0000}"/>
    <cellStyle name="표준 13 18" xfId="14842" xr:uid="{00000000-0005-0000-0000-0000BE3B0000}"/>
    <cellStyle name="표준 13 19" xfId="14843" xr:uid="{00000000-0005-0000-0000-0000BF3B0000}"/>
    <cellStyle name="표준 13 2" xfId="14844" xr:uid="{00000000-0005-0000-0000-0000C03B0000}"/>
    <cellStyle name="표준 13 2 10" xfId="14845" xr:uid="{00000000-0005-0000-0000-0000C13B0000}"/>
    <cellStyle name="표준 13 2 11" xfId="14846" xr:uid="{00000000-0005-0000-0000-0000C23B0000}"/>
    <cellStyle name="표준 13 2 12" xfId="14847" xr:uid="{00000000-0005-0000-0000-0000C33B0000}"/>
    <cellStyle name="표준 13 2 13" xfId="14848" xr:uid="{00000000-0005-0000-0000-0000C43B0000}"/>
    <cellStyle name="표준 13 2 14" xfId="14849" xr:uid="{00000000-0005-0000-0000-0000C53B0000}"/>
    <cellStyle name="표준 13 2 15" xfId="14850" xr:uid="{00000000-0005-0000-0000-0000C63B0000}"/>
    <cellStyle name="표준 13 2 16" xfId="14851" xr:uid="{00000000-0005-0000-0000-0000C73B0000}"/>
    <cellStyle name="표준 13 2 17" xfId="14852" xr:uid="{00000000-0005-0000-0000-0000C83B0000}"/>
    <cellStyle name="표준 13 2 18" xfId="14853" xr:uid="{00000000-0005-0000-0000-0000C93B0000}"/>
    <cellStyle name="표준 13 2 19" xfId="14854" xr:uid="{00000000-0005-0000-0000-0000CA3B0000}"/>
    <cellStyle name="표준 13 2 2" xfId="14855" xr:uid="{00000000-0005-0000-0000-0000CB3B0000}"/>
    <cellStyle name="표준 13 2 2 10" xfId="14856" xr:uid="{00000000-0005-0000-0000-0000CC3B0000}"/>
    <cellStyle name="표준 13 2 2 11" xfId="14857" xr:uid="{00000000-0005-0000-0000-0000CD3B0000}"/>
    <cellStyle name="표준 13 2 2 12" xfId="14858" xr:uid="{00000000-0005-0000-0000-0000CE3B0000}"/>
    <cellStyle name="표준 13 2 2 13" xfId="14859" xr:uid="{00000000-0005-0000-0000-0000CF3B0000}"/>
    <cellStyle name="표준 13 2 2 14" xfId="14860" xr:uid="{00000000-0005-0000-0000-0000D03B0000}"/>
    <cellStyle name="표준 13 2 2 15" xfId="14861" xr:uid="{00000000-0005-0000-0000-0000D13B0000}"/>
    <cellStyle name="표준 13 2 2 16" xfId="14862" xr:uid="{00000000-0005-0000-0000-0000D23B0000}"/>
    <cellStyle name="표준 13 2 2 17" xfId="14863" xr:uid="{00000000-0005-0000-0000-0000D33B0000}"/>
    <cellStyle name="표준 13 2 2 18" xfId="14864" xr:uid="{00000000-0005-0000-0000-0000D43B0000}"/>
    <cellStyle name="표준 13 2 2 19" xfId="14865" xr:uid="{00000000-0005-0000-0000-0000D53B0000}"/>
    <cellStyle name="표준 13 2 2 2" xfId="14866" xr:uid="{00000000-0005-0000-0000-0000D63B0000}"/>
    <cellStyle name="표준 13 2 2 2 10" xfId="14867" xr:uid="{00000000-0005-0000-0000-0000D73B0000}"/>
    <cellStyle name="표준 13 2 2 2 11" xfId="14868" xr:uid="{00000000-0005-0000-0000-0000D83B0000}"/>
    <cellStyle name="표준 13 2 2 2 12" xfId="14869" xr:uid="{00000000-0005-0000-0000-0000D93B0000}"/>
    <cellStyle name="표준 13 2 2 2 13" xfId="14870" xr:uid="{00000000-0005-0000-0000-0000DA3B0000}"/>
    <cellStyle name="표준 13 2 2 2 14" xfId="14871" xr:uid="{00000000-0005-0000-0000-0000DB3B0000}"/>
    <cellStyle name="표준 13 2 2 2 15" xfId="14872" xr:uid="{00000000-0005-0000-0000-0000DC3B0000}"/>
    <cellStyle name="표준 13 2 2 2 16" xfId="14873" xr:uid="{00000000-0005-0000-0000-0000DD3B0000}"/>
    <cellStyle name="표준 13 2 2 2 17" xfId="14874" xr:uid="{00000000-0005-0000-0000-0000DE3B0000}"/>
    <cellStyle name="표준 13 2 2 2 18" xfId="14875" xr:uid="{00000000-0005-0000-0000-0000DF3B0000}"/>
    <cellStyle name="표준 13 2 2 2 19" xfId="14876" xr:uid="{00000000-0005-0000-0000-0000E03B0000}"/>
    <cellStyle name="표준 13 2 2 2 2" xfId="14877" xr:uid="{00000000-0005-0000-0000-0000E13B0000}"/>
    <cellStyle name="표준 13 2 2 2 2 10" xfId="14878" xr:uid="{00000000-0005-0000-0000-0000E23B0000}"/>
    <cellStyle name="표준 13 2 2 2 2 11" xfId="14879" xr:uid="{00000000-0005-0000-0000-0000E33B0000}"/>
    <cellStyle name="표준 13 2 2 2 2 12" xfId="14880" xr:uid="{00000000-0005-0000-0000-0000E43B0000}"/>
    <cellStyle name="표준 13 2 2 2 2 13" xfId="14881" xr:uid="{00000000-0005-0000-0000-0000E53B0000}"/>
    <cellStyle name="표준 13 2 2 2 2 14" xfId="14882" xr:uid="{00000000-0005-0000-0000-0000E63B0000}"/>
    <cellStyle name="표준 13 2 2 2 2 15" xfId="14883" xr:uid="{00000000-0005-0000-0000-0000E73B0000}"/>
    <cellStyle name="표준 13 2 2 2 2 16" xfId="14884" xr:uid="{00000000-0005-0000-0000-0000E83B0000}"/>
    <cellStyle name="표준 13 2 2 2 2 17" xfId="14885" xr:uid="{00000000-0005-0000-0000-0000E93B0000}"/>
    <cellStyle name="표준 13 2 2 2 2 18" xfId="14886" xr:uid="{00000000-0005-0000-0000-0000EA3B0000}"/>
    <cellStyle name="표준 13 2 2 2 2 19" xfId="14887" xr:uid="{00000000-0005-0000-0000-0000EB3B0000}"/>
    <cellStyle name="표준 13 2 2 2 2 2" xfId="14888" xr:uid="{00000000-0005-0000-0000-0000EC3B0000}"/>
    <cellStyle name="표준 13 2 2 2 2 20" xfId="14889" xr:uid="{00000000-0005-0000-0000-0000ED3B0000}"/>
    <cellStyle name="표준 13 2 2 2 2 21" xfId="14890" xr:uid="{00000000-0005-0000-0000-0000EE3B0000}"/>
    <cellStyle name="표준 13 2 2 2 2 22" xfId="14891" xr:uid="{00000000-0005-0000-0000-0000EF3B0000}"/>
    <cellStyle name="표준 13 2 2 2 2 3" xfId="14892" xr:uid="{00000000-0005-0000-0000-0000F03B0000}"/>
    <cellStyle name="표준 13 2 2 2 2 4" xfId="14893" xr:uid="{00000000-0005-0000-0000-0000F13B0000}"/>
    <cellStyle name="표준 13 2 2 2 2 5" xfId="14894" xr:uid="{00000000-0005-0000-0000-0000F23B0000}"/>
    <cellStyle name="표준 13 2 2 2 2 6" xfId="14895" xr:uid="{00000000-0005-0000-0000-0000F33B0000}"/>
    <cellStyle name="표준 13 2 2 2 2 7" xfId="14896" xr:uid="{00000000-0005-0000-0000-0000F43B0000}"/>
    <cellStyle name="표준 13 2 2 2 2 8" xfId="14897" xr:uid="{00000000-0005-0000-0000-0000F53B0000}"/>
    <cellStyle name="표준 13 2 2 2 2 9" xfId="14898" xr:uid="{00000000-0005-0000-0000-0000F63B0000}"/>
    <cellStyle name="표준 13 2 2 2 20" xfId="14899" xr:uid="{00000000-0005-0000-0000-0000F73B0000}"/>
    <cellStyle name="표준 13 2 2 2 21" xfId="14900" xr:uid="{00000000-0005-0000-0000-0000F83B0000}"/>
    <cellStyle name="표준 13 2 2 2 22" xfId="14901" xr:uid="{00000000-0005-0000-0000-0000F93B0000}"/>
    <cellStyle name="표준 13 2 2 2 23" xfId="14902" xr:uid="{00000000-0005-0000-0000-0000FA3B0000}"/>
    <cellStyle name="표준 13 2 2 2 3" xfId="14903" xr:uid="{00000000-0005-0000-0000-0000FB3B0000}"/>
    <cellStyle name="표준 13 2 2 2 4" xfId="14904" xr:uid="{00000000-0005-0000-0000-0000FC3B0000}"/>
    <cellStyle name="표준 13 2 2 2 5" xfId="14905" xr:uid="{00000000-0005-0000-0000-0000FD3B0000}"/>
    <cellStyle name="표준 13 2 2 2 6" xfId="14906" xr:uid="{00000000-0005-0000-0000-0000FE3B0000}"/>
    <cellStyle name="표준 13 2 2 2 7" xfId="14907" xr:uid="{00000000-0005-0000-0000-0000FF3B0000}"/>
    <cellStyle name="표준 13 2 2 2 8" xfId="14908" xr:uid="{00000000-0005-0000-0000-0000003C0000}"/>
    <cellStyle name="표준 13 2 2 2 9" xfId="14909" xr:uid="{00000000-0005-0000-0000-0000013C0000}"/>
    <cellStyle name="표준 13 2 2 20" xfId="14910" xr:uid="{00000000-0005-0000-0000-0000023C0000}"/>
    <cellStyle name="표준 13 2 2 21" xfId="14911" xr:uid="{00000000-0005-0000-0000-0000033C0000}"/>
    <cellStyle name="표준 13 2 2 22" xfId="14912" xr:uid="{00000000-0005-0000-0000-0000043C0000}"/>
    <cellStyle name="표준 13 2 2 23" xfId="14913" xr:uid="{00000000-0005-0000-0000-0000053C0000}"/>
    <cellStyle name="표준 13 2 2 3" xfId="14914" xr:uid="{00000000-0005-0000-0000-0000063C0000}"/>
    <cellStyle name="표준 13 2 2 4" xfId="14915" xr:uid="{00000000-0005-0000-0000-0000073C0000}"/>
    <cellStyle name="표준 13 2 2 5" xfId="14916" xr:uid="{00000000-0005-0000-0000-0000083C0000}"/>
    <cellStyle name="표준 13 2 2 6" xfId="14917" xr:uid="{00000000-0005-0000-0000-0000093C0000}"/>
    <cellStyle name="표준 13 2 2 7" xfId="14918" xr:uid="{00000000-0005-0000-0000-00000A3C0000}"/>
    <cellStyle name="표준 13 2 2 8" xfId="14919" xr:uid="{00000000-0005-0000-0000-00000B3C0000}"/>
    <cellStyle name="표준 13 2 2 9" xfId="14920" xr:uid="{00000000-0005-0000-0000-00000C3C0000}"/>
    <cellStyle name="표준 13 2 20" xfId="14921" xr:uid="{00000000-0005-0000-0000-00000D3C0000}"/>
    <cellStyle name="표준 13 2 21" xfId="14922" xr:uid="{00000000-0005-0000-0000-00000E3C0000}"/>
    <cellStyle name="표준 13 2 22" xfId="14923" xr:uid="{00000000-0005-0000-0000-00000F3C0000}"/>
    <cellStyle name="표준 13 2 23" xfId="14924" xr:uid="{00000000-0005-0000-0000-0000103C0000}"/>
    <cellStyle name="표준 13 2 24" xfId="14925" xr:uid="{00000000-0005-0000-0000-0000113C0000}"/>
    <cellStyle name="표준 13 2 3" xfId="14926" xr:uid="{00000000-0005-0000-0000-0000123C0000}"/>
    <cellStyle name="표준 13 2 4" xfId="14927" xr:uid="{00000000-0005-0000-0000-0000133C0000}"/>
    <cellStyle name="표준 13 2 5" xfId="14928" xr:uid="{00000000-0005-0000-0000-0000143C0000}"/>
    <cellStyle name="표준 13 2 6" xfId="14929" xr:uid="{00000000-0005-0000-0000-0000153C0000}"/>
    <cellStyle name="표준 13 2 7" xfId="14930" xr:uid="{00000000-0005-0000-0000-0000163C0000}"/>
    <cellStyle name="표준 13 2 8" xfId="14931" xr:uid="{00000000-0005-0000-0000-0000173C0000}"/>
    <cellStyle name="표준 13 2 9" xfId="14932" xr:uid="{00000000-0005-0000-0000-0000183C0000}"/>
    <cellStyle name="표준 13 20" xfId="14933" xr:uid="{00000000-0005-0000-0000-0000193C0000}"/>
    <cellStyle name="표준 13 21" xfId="14934" xr:uid="{00000000-0005-0000-0000-00001A3C0000}"/>
    <cellStyle name="표준 13 22" xfId="14935" xr:uid="{00000000-0005-0000-0000-00001B3C0000}"/>
    <cellStyle name="표준 13 23" xfId="14936" xr:uid="{00000000-0005-0000-0000-00001C3C0000}"/>
    <cellStyle name="표준 13 24" xfId="14937" xr:uid="{00000000-0005-0000-0000-00001D3C0000}"/>
    <cellStyle name="표준 13 25" xfId="14938" xr:uid="{00000000-0005-0000-0000-00001E3C0000}"/>
    <cellStyle name="표준 13 26" xfId="14939" xr:uid="{00000000-0005-0000-0000-00001F3C0000}"/>
    <cellStyle name="표준 13 27" xfId="14940" xr:uid="{00000000-0005-0000-0000-0000203C0000}"/>
    <cellStyle name="표준 13 28" xfId="14941" xr:uid="{00000000-0005-0000-0000-0000213C0000}"/>
    <cellStyle name="표준 13 29" xfId="14942" xr:uid="{00000000-0005-0000-0000-0000223C0000}"/>
    <cellStyle name="표준 13 3" xfId="14943" xr:uid="{00000000-0005-0000-0000-0000233C0000}"/>
    <cellStyle name="표준 13 30" xfId="14944" xr:uid="{00000000-0005-0000-0000-0000243C0000}"/>
    <cellStyle name="표준 13 31" xfId="14945" xr:uid="{00000000-0005-0000-0000-0000253C0000}"/>
    <cellStyle name="표준 13 32" xfId="14946" xr:uid="{00000000-0005-0000-0000-0000263C0000}"/>
    <cellStyle name="표준 13 4" xfId="14947" xr:uid="{00000000-0005-0000-0000-0000273C0000}"/>
    <cellStyle name="표준 13 5" xfId="14948" xr:uid="{00000000-0005-0000-0000-0000283C0000}"/>
    <cellStyle name="표준 13 6" xfId="14949" xr:uid="{00000000-0005-0000-0000-0000293C0000}"/>
    <cellStyle name="표준 13 7" xfId="14950" xr:uid="{00000000-0005-0000-0000-00002A3C0000}"/>
    <cellStyle name="표준 13 8" xfId="14951" xr:uid="{00000000-0005-0000-0000-00002B3C0000}"/>
    <cellStyle name="표준 13 9" xfId="14952" xr:uid="{00000000-0005-0000-0000-00002C3C0000}"/>
    <cellStyle name="표준 14" xfId="14953" xr:uid="{00000000-0005-0000-0000-00002D3C0000}"/>
    <cellStyle name="표준 14 10" xfId="14954" xr:uid="{00000000-0005-0000-0000-00002E3C0000}"/>
    <cellStyle name="표준 14 11" xfId="14955" xr:uid="{00000000-0005-0000-0000-00002F3C0000}"/>
    <cellStyle name="표준 14 12" xfId="14956" xr:uid="{00000000-0005-0000-0000-0000303C0000}"/>
    <cellStyle name="표준 14 13" xfId="14957" xr:uid="{00000000-0005-0000-0000-0000313C0000}"/>
    <cellStyle name="표준 14 14" xfId="14958" xr:uid="{00000000-0005-0000-0000-0000323C0000}"/>
    <cellStyle name="표준 14 15" xfId="14959" xr:uid="{00000000-0005-0000-0000-0000333C0000}"/>
    <cellStyle name="표준 14 16" xfId="14960" xr:uid="{00000000-0005-0000-0000-0000343C0000}"/>
    <cellStyle name="표준 14 17" xfId="14961" xr:uid="{00000000-0005-0000-0000-0000353C0000}"/>
    <cellStyle name="표준 14 18" xfId="14962" xr:uid="{00000000-0005-0000-0000-0000363C0000}"/>
    <cellStyle name="표준 14 19" xfId="14963" xr:uid="{00000000-0005-0000-0000-0000373C0000}"/>
    <cellStyle name="표준 14 2" xfId="14964" xr:uid="{00000000-0005-0000-0000-0000383C0000}"/>
    <cellStyle name="표준 14 2 10" xfId="14965" xr:uid="{00000000-0005-0000-0000-0000393C0000}"/>
    <cellStyle name="표준 14 2 11" xfId="14966" xr:uid="{00000000-0005-0000-0000-00003A3C0000}"/>
    <cellStyle name="표준 14 2 12" xfId="14967" xr:uid="{00000000-0005-0000-0000-00003B3C0000}"/>
    <cellStyle name="표준 14 2 13" xfId="14968" xr:uid="{00000000-0005-0000-0000-00003C3C0000}"/>
    <cellStyle name="표준 14 2 14" xfId="14969" xr:uid="{00000000-0005-0000-0000-00003D3C0000}"/>
    <cellStyle name="표준 14 2 15" xfId="14970" xr:uid="{00000000-0005-0000-0000-00003E3C0000}"/>
    <cellStyle name="표준 14 2 16" xfId="14971" xr:uid="{00000000-0005-0000-0000-00003F3C0000}"/>
    <cellStyle name="표준 14 2 17" xfId="14972" xr:uid="{00000000-0005-0000-0000-0000403C0000}"/>
    <cellStyle name="표준 14 2 18" xfId="14973" xr:uid="{00000000-0005-0000-0000-0000413C0000}"/>
    <cellStyle name="표준 14 2 19" xfId="14974" xr:uid="{00000000-0005-0000-0000-0000423C0000}"/>
    <cellStyle name="표준 14 2 2" xfId="14975" xr:uid="{00000000-0005-0000-0000-0000433C0000}"/>
    <cellStyle name="표준 14 2 2 10" xfId="14976" xr:uid="{00000000-0005-0000-0000-0000443C0000}"/>
    <cellStyle name="표준 14 2 2 11" xfId="14977" xr:uid="{00000000-0005-0000-0000-0000453C0000}"/>
    <cellStyle name="표준 14 2 2 12" xfId="14978" xr:uid="{00000000-0005-0000-0000-0000463C0000}"/>
    <cellStyle name="표준 14 2 2 13" xfId="14979" xr:uid="{00000000-0005-0000-0000-0000473C0000}"/>
    <cellStyle name="표준 14 2 2 14" xfId="14980" xr:uid="{00000000-0005-0000-0000-0000483C0000}"/>
    <cellStyle name="표준 14 2 2 15" xfId="14981" xr:uid="{00000000-0005-0000-0000-0000493C0000}"/>
    <cellStyle name="표준 14 2 2 16" xfId="14982" xr:uid="{00000000-0005-0000-0000-00004A3C0000}"/>
    <cellStyle name="표준 14 2 2 17" xfId="14983" xr:uid="{00000000-0005-0000-0000-00004B3C0000}"/>
    <cellStyle name="표준 14 2 2 18" xfId="14984" xr:uid="{00000000-0005-0000-0000-00004C3C0000}"/>
    <cellStyle name="표준 14 2 2 19" xfId="14985" xr:uid="{00000000-0005-0000-0000-00004D3C0000}"/>
    <cellStyle name="표준 14 2 2 2" xfId="14986" xr:uid="{00000000-0005-0000-0000-00004E3C0000}"/>
    <cellStyle name="표준 14 2 2 2 10" xfId="14987" xr:uid="{00000000-0005-0000-0000-00004F3C0000}"/>
    <cellStyle name="표준 14 2 2 2 11" xfId="14988" xr:uid="{00000000-0005-0000-0000-0000503C0000}"/>
    <cellStyle name="표준 14 2 2 2 12" xfId="14989" xr:uid="{00000000-0005-0000-0000-0000513C0000}"/>
    <cellStyle name="표준 14 2 2 2 13" xfId="14990" xr:uid="{00000000-0005-0000-0000-0000523C0000}"/>
    <cellStyle name="표준 14 2 2 2 14" xfId="14991" xr:uid="{00000000-0005-0000-0000-0000533C0000}"/>
    <cellStyle name="표준 14 2 2 2 15" xfId="14992" xr:uid="{00000000-0005-0000-0000-0000543C0000}"/>
    <cellStyle name="표준 14 2 2 2 16" xfId="14993" xr:uid="{00000000-0005-0000-0000-0000553C0000}"/>
    <cellStyle name="표준 14 2 2 2 17" xfId="14994" xr:uid="{00000000-0005-0000-0000-0000563C0000}"/>
    <cellStyle name="표준 14 2 2 2 18" xfId="14995" xr:uid="{00000000-0005-0000-0000-0000573C0000}"/>
    <cellStyle name="표준 14 2 2 2 19" xfId="14996" xr:uid="{00000000-0005-0000-0000-0000583C0000}"/>
    <cellStyle name="표준 14 2 2 2 2" xfId="14997" xr:uid="{00000000-0005-0000-0000-0000593C0000}"/>
    <cellStyle name="표준 14 2 2 2 20" xfId="14998" xr:uid="{00000000-0005-0000-0000-00005A3C0000}"/>
    <cellStyle name="표준 14 2 2 2 21" xfId="14999" xr:uid="{00000000-0005-0000-0000-00005B3C0000}"/>
    <cellStyle name="표준 14 2 2 2 22" xfId="15000" xr:uid="{00000000-0005-0000-0000-00005C3C0000}"/>
    <cellStyle name="표준 14 2 2 2 3" xfId="15001" xr:uid="{00000000-0005-0000-0000-00005D3C0000}"/>
    <cellStyle name="표준 14 2 2 2 4" xfId="15002" xr:uid="{00000000-0005-0000-0000-00005E3C0000}"/>
    <cellStyle name="표준 14 2 2 2 5" xfId="15003" xr:uid="{00000000-0005-0000-0000-00005F3C0000}"/>
    <cellStyle name="표준 14 2 2 2 6" xfId="15004" xr:uid="{00000000-0005-0000-0000-0000603C0000}"/>
    <cellStyle name="표준 14 2 2 2 7" xfId="15005" xr:uid="{00000000-0005-0000-0000-0000613C0000}"/>
    <cellStyle name="표준 14 2 2 2 8" xfId="15006" xr:uid="{00000000-0005-0000-0000-0000623C0000}"/>
    <cellStyle name="표준 14 2 2 2 9" xfId="15007" xr:uid="{00000000-0005-0000-0000-0000633C0000}"/>
    <cellStyle name="표준 14 2 2 20" xfId="15008" xr:uid="{00000000-0005-0000-0000-0000643C0000}"/>
    <cellStyle name="표준 14 2 2 21" xfId="15009" xr:uid="{00000000-0005-0000-0000-0000653C0000}"/>
    <cellStyle name="표준 14 2 2 22" xfId="15010" xr:uid="{00000000-0005-0000-0000-0000663C0000}"/>
    <cellStyle name="표준 14 2 2 23" xfId="15011" xr:uid="{00000000-0005-0000-0000-0000673C0000}"/>
    <cellStyle name="표준 14 2 2 3" xfId="15012" xr:uid="{00000000-0005-0000-0000-0000683C0000}"/>
    <cellStyle name="표준 14 2 2 4" xfId="15013" xr:uid="{00000000-0005-0000-0000-0000693C0000}"/>
    <cellStyle name="표준 14 2 2 5" xfId="15014" xr:uid="{00000000-0005-0000-0000-00006A3C0000}"/>
    <cellStyle name="표준 14 2 2 6" xfId="15015" xr:uid="{00000000-0005-0000-0000-00006B3C0000}"/>
    <cellStyle name="표준 14 2 2 7" xfId="15016" xr:uid="{00000000-0005-0000-0000-00006C3C0000}"/>
    <cellStyle name="표준 14 2 2 8" xfId="15017" xr:uid="{00000000-0005-0000-0000-00006D3C0000}"/>
    <cellStyle name="표준 14 2 2 9" xfId="15018" xr:uid="{00000000-0005-0000-0000-00006E3C0000}"/>
    <cellStyle name="표준 14 2 20" xfId="15019" xr:uid="{00000000-0005-0000-0000-00006F3C0000}"/>
    <cellStyle name="표준 14 2 21" xfId="15020" xr:uid="{00000000-0005-0000-0000-0000703C0000}"/>
    <cellStyle name="표준 14 2 22" xfId="15021" xr:uid="{00000000-0005-0000-0000-0000713C0000}"/>
    <cellStyle name="표준 14 2 23" xfId="15022" xr:uid="{00000000-0005-0000-0000-0000723C0000}"/>
    <cellStyle name="표준 14 2 3" xfId="15023" xr:uid="{00000000-0005-0000-0000-0000733C0000}"/>
    <cellStyle name="표준 14 2 4" xfId="15024" xr:uid="{00000000-0005-0000-0000-0000743C0000}"/>
    <cellStyle name="표준 14 2 5" xfId="15025" xr:uid="{00000000-0005-0000-0000-0000753C0000}"/>
    <cellStyle name="표준 14 2 6" xfId="15026" xr:uid="{00000000-0005-0000-0000-0000763C0000}"/>
    <cellStyle name="표준 14 2 7" xfId="15027" xr:uid="{00000000-0005-0000-0000-0000773C0000}"/>
    <cellStyle name="표준 14 2 8" xfId="15028" xr:uid="{00000000-0005-0000-0000-0000783C0000}"/>
    <cellStyle name="표준 14 2 9" xfId="15029" xr:uid="{00000000-0005-0000-0000-0000793C0000}"/>
    <cellStyle name="표준 14 20" xfId="15030" xr:uid="{00000000-0005-0000-0000-00007A3C0000}"/>
    <cellStyle name="표준 14 21" xfId="15031" xr:uid="{00000000-0005-0000-0000-00007B3C0000}"/>
    <cellStyle name="표준 14 22" xfId="15032" xr:uid="{00000000-0005-0000-0000-00007C3C0000}"/>
    <cellStyle name="표준 14 23" xfId="15033" xr:uid="{00000000-0005-0000-0000-00007D3C0000}"/>
    <cellStyle name="표준 14 24" xfId="15034" xr:uid="{00000000-0005-0000-0000-00007E3C0000}"/>
    <cellStyle name="표준 14 25" xfId="18470" xr:uid="{00000000-0005-0000-0000-00007F3C0000}"/>
    <cellStyle name="표준 14 25 2" xfId="18604" xr:uid="{00000000-0005-0000-0000-0000803C0000}"/>
    <cellStyle name="표준 14 25 2 2" xfId="19199" xr:uid="{00000000-0005-0000-0000-0000813C0000}"/>
    <cellStyle name="표준 14 25 2 3" xfId="18904" xr:uid="{00000000-0005-0000-0000-0000823C0000}"/>
    <cellStyle name="표준 14 25 3" xfId="18537" xr:uid="{00000000-0005-0000-0000-0000833C0000}"/>
    <cellStyle name="표준 14 25 3 2" xfId="19132" xr:uid="{00000000-0005-0000-0000-0000843C0000}"/>
    <cellStyle name="표준 14 25 3 3" xfId="18837" xr:uid="{00000000-0005-0000-0000-0000853C0000}"/>
    <cellStyle name="표준 14 25 4" xfId="18671" xr:uid="{00000000-0005-0000-0000-0000863C0000}"/>
    <cellStyle name="표준 14 25 4 2" xfId="19266" xr:uid="{00000000-0005-0000-0000-0000873C0000}"/>
    <cellStyle name="표준 14 25 4 3" xfId="18971" xr:uid="{00000000-0005-0000-0000-0000883C0000}"/>
    <cellStyle name="표준 14 25 5" xfId="19065" xr:uid="{00000000-0005-0000-0000-0000893C0000}"/>
    <cellStyle name="표준 14 25 6" xfId="18770" xr:uid="{00000000-0005-0000-0000-00008A3C0000}"/>
    <cellStyle name="표준 14 26" xfId="18571" xr:uid="{00000000-0005-0000-0000-00008B3C0000}"/>
    <cellStyle name="표준 14 26 2" xfId="19166" xr:uid="{00000000-0005-0000-0000-00008C3C0000}"/>
    <cellStyle name="표준 14 26 3" xfId="18871" xr:uid="{00000000-0005-0000-0000-00008D3C0000}"/>
    <cellStyle name="표준 14 27" xfId="18504" xr:uid="{00000000-0005-0000-0000-00008E3C0000}"/>
    <cellStyle name="표준 14 27 2" xfId="19099" xr:uid="{00000000-0005-0000-0000-00008F3C0000}"/>
    <cellStyle name="표준 14 27 3" xfId="18804" xr:uid="{00000000-0005-0000-0000-0000903C0000}"/>
    <cellStyle name="표준 14 28" xfId="18638" xr:uid="{00000000-0005-0000-0000-0000913C0000}"/>
    <cellStyle name="표준 14 28 2" xfId="19233" xr:uid="{00000000-0005-0000-0000-0000923C0000}"/>
    <cellStyle name="표준 14 28 3" xfId="18938" xr:uid="{00000000-0005-0000-0000-0000933C0000}"/>
    <cellStyle name="표준 14 29" xfId="18713" xr:uid="{00000000-0005-0000-0000-0000943C0000}"/>
    <cellStyle name="표준 14 29 2" xfId="19008" xr:uid="{00000000-0005-0000-0000-0000953C0000}"/>
    <cellStyle name="표준 14 3" xfId="15035" xr:uid="{00000000-0005-0000-0000-0000963C0000}"/>
    <cellStyle name="표준 14 30" xfId="19032" xr:uid="{00000000-0005-0000-0000-0000973C0000}"/>
    <cellStyle name="표준 14 31" xfId="19303" xr:uid="{00000000-0005-0000-0000-0000983C0000}"/>
    <cellStyle name="표준 14 32" xfId="18737" xr:uid="{00000000-0005-0000-0000-0000993C0000}"/>
    <cellStyle name="표준 14 4" xfId="15036" xr:uid="{00000000-0005-0000-0000-00009A3C0000}"/>
    <cellStyle name="표준 14 5" xfId="15037" xr:uid="{00000000-0005-0000-0000-00009B3C0000}"/>
    <cellStyle name="표준 14 6" xfId="15038" xr:uid="{00000000-0005-0000-0000-00009C3C0000}"/>
    <cellStyle name="표준 14 7" xfId="15039" xr:uid="{00000000-0005-0000-0000-00009D3C0000}"/>
    <cellStyle name="표준 14 8" xfId="15040" xr:uid="{00000000-0005-0000-0000-00009E3C0000}"/>
    <cellStyle name="표준 14 9" xfId="15041" xr:uid="{00000000-0005-0000-0000-00009F3C0000}"/>
    <cellStyle name="표준 15" xfId="18690" xr:uid="{00000000-0005-0000-0000-0000A03C0000}"/>
    <cellStyle name="표준 15 10" xfId="15042" xr:uid="{00000000-0005-0000-0000-0000A13C0000}"/>
    <cellStyle name="표준 15 11" xfId="15043" xr:uid="{00000000-0005-0000-0000-0000A23C0000}"/>
    <cellStyle name="표준 15 12" xfId="15044" xr:uid="{00000000-0005-0000-0000-0000A33C0000}"/>
    <cellStyle name="표준 15 13" xfId="15045" xr:uid="{00000000-0005-0000-0000-0000A43C0000}"/>
    <cellStyle name="표준 15 14" xfId="15046" xr:uid="{00000000-0005-0000-0000-0000A53C0000}"/>
    <cellStyle name="표준 15 15" xfId="15047" xr:uid="{00000000-0005-0000-0000-0000A63C0000}"/>
    <cellStyle name="표준 15 16" xfId="15048" xr:uid="{00000000-0005-0000-0000-0000A73C0000}"/>
    <cellStyle name="표준 15 17" xfId="15049" xr:uid="{00000000-0005-0000-0000-0000A83C0000}"/>
    <cellStyle name="표준 15 18" xfId="15050" xr:uid="{00000000-0005-0000-0000-0000A93C0000}"/>
    <cellStyle name="표준 15 19" xfId="15051" xr:uid="{00000000-0005-0000-0000-0000AA3C0000}"/>
    <cellStyle name="표준 15 2" xfId="15052" xr:uid="{00000000-0005-0000-0000-0000AB3C0000}"/>
    <cellStyle name="표준 15 2 10" xfId="15053" xr:uid="{00000000-0005-0000-0000-0000AC3C0000}"/>
    <cellStyle name="표준 15 2 11" xfId="15054" xr:uid="{00000000-0005-0000-0000-0000AD3C0000}"/>
    <cellStyle name="표준 15 2 12" xfId="15055" xr:uid="{00000000-0005-0000-0000-0000AE3C0000}"/>
    <cellStyle name="표준 15 2 13" xfId="15056" xr:uid="{00000000-0005-0000-0000-0000AF3C0000}"/>
    <cellStyle name="표준 15 2 14" xfId="15057" xr:uid="{00000000-0005-0000-0000-0000B03C0000}"/>
    <cellStyle name="표준 15 2 15" xfId="15058" xr:uid="{00000000-0005-0000-0000-0000B13C0000}"/>
    <cellStyle name="표준 15 2 16" xfId="15059" xr:uid="{00000000-0005-0000-0000-0000B23C0000}"/>
    <cellStyle name="표준 15 2 17" xfId="15060" xr:uid="{00000000-0005-0000-0000-0000B33C0000}"/>
    <cellStyle name="표준 15 2 18" xfId="15061" xr:uid="{00000000-0005-0000-0000-0000B43C0000}"/>
    <cellStyle name="표준 15 2 19" xfId="15062" xr:uid="{00000000-0005-0000-0000-0000B53C0000}"/>
    <cellStyle name="표준 15 2 2" xfId="15063" xr:uid="{00000000-0005-0000-0000-0000B63C0000}"/>
    <cellStyle name="표준 15 2 2 10" xfId="15064" xr:uid="{00000000-0005-0000-0000-0000B73C0000}"/>
    <cellStyle name="표준 15 2 2 11" xfId="15065" xr:uid="{00000000-0005-0000-0000-0000B83C0000}"/>
    <cellStyle name="표준 15 2 2 12" xfId="15066" xr:uid="{00000000-0005-0000-0000-0000B93C0000}"/>
    <cellStyle name="표준 15 2 2 13" xfId="15067" xr:uid="{00000000-0005-0000-0000-0000BA3C0000}"/>
    <cellStyle name="표준 15 2 2 14" xfId="15068" xr:uid="{00000000-0005-0000-0000-0000BB3C0000}"/>
    <cellStyle name="표준 15 2 2 15" xfId="15069" xr:uid="{00000000-0005-0000-0000-0000BC3C0000}"/>
    <cellStyle name="표준 15 2 2 16" xfId="15070" xr:uid="{00000000-0005-0000-0000-0000BD3C0000}"/>
    <cellStyle name="표준 15 2 2 17" xfId="15071" xr:uid="{00000000-0005-0000-0000-0000BE3C0000}"/>
    <cellStyle name="표준 15 2 2 18" xfId="15072" xr:uid="{00000000-0005-0000-0000-0000BF3C0000}"/>
    <cellStyle name="표준 15 2 2 19" xfId="15073" xr:uid="{00000000-0005-0000-0000-0000C03C0000}"/>
    <cellStyle name="표준 15 2 2 2" xfId="15074" xr:uid="{00000000-0005-0000-0000-0000C13C0000}"/>
    <cellStyle name="표준 15 2 2 2 10" xfId="15075" xr:uid="{00000000-0005-0000-0000-0000C23C0000}"/>
    <cellStyle name="표준 15 2 2 2 11" xfId="15076" xr:uid="{00000000-0005-0000-0000-0000C33C0000}"/>
    <cellStyle name="표준 15 2 2 2 12" xfId="15077" xr:uid="{00000000-0005-0000-0000-0000C43C0000}"/>
    <cellStyle name="표준 15 2 2 2 13" xfId="15078" xr:uid="{00000000-0005-0000-0000-0000C53C0000}"/>
    <cellStyle name="표준 15 2 2 2 14" xfId="15079" xr:uid="{00000000-0005-0000-0000-0000C63C0000}"/>
    <cellStyle name="표준 15 2 2 2 15" xfId="15080" xr:uid="{00000000-0005-0000-0000-0000C73C0000}"/>
    <cellStyle name="표준 15 2 2 2 16" xfId="15081" xr:uid="{00000000-0005-0000-0000-0000C83C0000}"/>
    <cellStyle name="표준 15 2 2 2 17" xfId="15082" xr:uid="{00000000-0005-0000-0000-0000C93C0000}"/>
    <cellStyle name="표준 15 2 2 2 18" xfId="15083" xr:uid="{00000000-0005-0000-0000-0000CA3C0000}"/>
    <cellStyle name="표준 15 2 2 2 19" xfId="15084" xr:uid="{00000000-0005-0000-0000-0000CB3C0000}"/>
    <cellStyle name="표준 15 2 2 2 2" xfId="15085" xr:uid="{00000000-0005-0000-0000-0000CC3C0000}"/>
    <cellStyle name="표준 15 2 2 2 20" xfId="15086" xr:uid="{00000000-0005-0000-0000-0000CD3C0000}"/>
    <cellStyle name="표준 15 2 2 2 21" xfId="15087" xr:uid="{00000000-0005-0000-0000-0000CE3C0000}"/>
    <cellStyle name="표준 15 2 2 2 22" xfId="15088" xr:uid="{00000000-0005-0000-0000-0000CF3C0000}"/>
    <cellStyle name="표준 15 2 2 2 3" xfId="15089" xr:uid="{00000000-0005-0000-0000-0000D03C0000}"/>
    <cellStyle name="표준 15 2 2 2 4" xfId="15090" xr:uid="{00000000-0005-0000-0000-0000D13C0000}"/>
    <cellStyle name="표준 15 2 2 2 5" xfId="15091" xr:uid="{00000000-0005-0000-0000-0000D23C0000}"/>
    <cellStyle name="표준 15 2 2 2 6" xfId="15092" xr:uid="{00000000-0005-0000-0000-0000D33C0000}"/>
    <cellStyle name="표준 15 2 2 2 7" xfId="15093" xr:uid="{00000000-0005-0000-0000-0000D43C0000}"/>
    <cellStyle name="표준 15 2 2 2 8" xfId="15094" xr:uid="{00000000-0005-0000-0000-0000D53C0000}"/>
    <cellStyle name="표준 15 2 2 2 9" xfId="15095" xr:uid="{00000000-0005-0000-0000-0000D63C0000}"/>
    <cellStyle name="표준 15 2 2 20" xfId="15096" xr:uid="{00000000-0005-0000-0000-0000D73C0000}"/>
    <cellStyle name="표준 15 2 2 21" xfId="15097" xr:uid="{00000000-0005-0000-0000-0000D83C0000}"/>
    <cellStyle name="표준 15 2 2 22" xfId="15098" xr:uid="{00000000-0005-0000-0000-0000D93C0000}"/>
    <cellStyle name="표준 15 2 2 23" xfId="15099" xr:uid="{00000000-0005-0000-0000-0000DA3C0000}"/>
    <cellStyle name="표준 15 2 2 3" xfId="15100" xr:uid="{00000000-0005-0000-0000-0000DB3C0000}"/>
    <cellStyle name="표준 15 2 2 4" xfId="15101" xr:uid="{00000000-0005-0000-0000-0000DC3C0000}"/>
    <cellStyle name="표준 15 2 2 5" xfId="15102" xr:uid="{00000000-0005-0000-0000-0000DD3C0000}"/>
    <cellStyle name="표준 15 2 2 6" xfId="15103" xr:uid="{00000000-0005-0000-0000-0000DE3C0000}"/>
    <cellStyle name="표준 15 2 2 7" xfId="15104" xr:uid="{00000000-0005-0000-0000-0000DF3C0000}"/>
    <cellStyle name="표준 15 2 2 8" xfId="15105" xr:uid="{00000000-0005-0000-0000-0000E03C0000}"/>
    <cellStyle name="표준 15 2 2 9" xfId="15106" xr:uid="{00000000-0005-0000-0000-0000E13C0000}"/>
    <cellStyle name="표준 15 2 20" xfId="15107" xr:uid="{00000000-0005-0000-0000-0000E23C0000}"/>
    <cellStyle name="표준 15 2 21" xfId="15108" xr:uid="{00000000-0005-0000-0000-0000E33C0000}"/>
    <cellStyle name="표준 15 2 22" xfId="15109" xr:uid="{00000000-0005-0000-0000-0000E43C0000}"/>
    <cellStyle name="표준 15 2 23" xfId="15110" xr:uid="{00000000-0005-0000-0000-0000E53C0000}"/>
    <cellStyle name="표준 15 2 3" xfId="15111" xr:uid="{00000000-0005-0000-0000-0000E63C0000}"/>
    <cellStyle name="표준 15 2 4" xfId="15112" xr:uid="{00000000-0005-0000-0000-0000E73C0000}"/>
    <cellStyle name="표준 15 2 5" xfId="15113" xr:uid="{00000000-0005-0000-0000-0000E83C0000}"/>
    <cellStyle name="표준 15 2 6" xfId="15114" xr:uid="{00000000-0005-0000-0000-0000E93C0000}"/>
    <cellStyle name="표준 15 2 7" xfId="15115" xr:uid="{00000000-0005-0000-0000-0000EA3C0000}"/>
    <cellStyle name="표준 15 2 8" xfId="15116" xr:uid="{00000000-0005-0000-0000-0000EB3C0000}"/>
    <cellStyle name="표준 15 2 9" xfId="15117" xr:uid="{00000000-0005-0000-0000-0000EC3C0000}"/>
    <cellStyle name="표준 15 20" xfId="15118" xr:uid="{00000000-0005-0000-0000-0000ED3C0000}"/>
    <cellStyle name="표준 15 21" xfId="15119" xr:uid="{00000000-0005-0000-0000-0000EE3C0000}"/>
    <cellStyle name="표준 15 22" xfId="15120" xr:uid="{00000000-0005-0000-0000-0000EF3C0000}"/>
    <cellStyle name="표준 15 23" xfId="15121" xr:uid="{00000000-0005-0000-0000-0000F03C0000}"/>
    <cellStyle name="표준 15 24" xfId="15122" xr:uid="{00000000-0005-0000-0000-0000F13C0000}"/>
    <cellStyle name="표준 15 25" xfId="19311" xr:uid="{00000000-0005-0000-0000-0000F23C0000}"/>
    <cellStyle name="표준 15 3" xfId="15123" xr:uid="{00000000-0005-0000-0000-0000F33C0000}"/>
    <cellStyle name="표준 15 4" xfId="15124" xr:uid="{00000000-0005-0000-0000-0000F43C0000}"/>
    <cellStyle name="표준 15 5" xfId="15125" xr:uid="{00000000-0005-0000-0000-0000F53C0000}"/>
    <cellStyle name="표준 15 6" xfId="15126" xr:uid="{00000000-0005-0000-0000-0000F63C0000}"/>
    <cellStyle name="표준 15 7" xfId="15127" xr:uid="{00000000-0005-0000-0000-0000F73C0000}"/>
    <cellStyle name="표준 15 8" xfId="15128" xr:uid="{00000000-0005-0000-0000-0000F83C0000}"/>
    <cellStyle name="표준 15 9" xfId="15129" xr:uid="{00000000-0005-0000-0000-0000F93C0000}"/>
    <cellStyle name="표준 16 10" xfId="15130" xr:uid="{00000000-0005-0000-0000-0000FA3C0000}"/>
    <cellStyle name="표준 16 11" xfId="15131" xr:uid="{00000000-0005-0000-0000-0000FB3C0000}"/>
    <cellStyle name="표준 16 12" xfId="15132" xr:uid="{00000000-0005-0000-0000-0000FC3C0000}"/>
    <cellStyle name="표준 16 13" xfId="15133" xr:uid="{00000000-0005-0000-0000-0000FD3C0000}"/>
    <cellStyle name="표준 16 14" xfId="15134" xr:uid="{00000000-0005-0000-0000-0000FE3C0000}"/>
    <cellStyle name="표준 16 15" xfId="15135" xr:uid="{00000000-0005-0000-0000-0000FF3C0000}"/>
    <cellStyle name="표준 16 16" xfId="15136" xr:uid="{00000000-0005-0000-0000-0000003D0000}"/>
    <cellStyle name="표준 16 17" xfId="15137" xr:uid="{00000000-0005-0000-0000-0000013D0000}"/>
    <cellStyle name="표준 16 18" xfId="15138" xr:uid="{00000000-0005-0000-0000-0000023D0000}"/>
    <cellStyle name="표준 16 19" xfId="15139" xr:uid="{00000000-0005-0000-0000-0000033D0000}"/>
    <cellStyle name="표준 16 2" xfId="15140" xr:uid="{00000000-0005-0000-0000-0000043D0000}"/>
    <cellStyle name="표준 16 2 10" xfId="15141" xr:uid="{00000000-0005-0000-0000-0000053D0000}"/>
    <cellStyle name="표준 16 2 11" xfId="15142" xr:uid="{00000000-0005-0000-0000-0000063D0000}"/>
    <cellStyle name="표준 16 2 12" xfId="15143" xr:uid="{00000000-0005-0000-0000-0000073D0000}"/>
    <cellStyle name="표준 16 2 13" xfId="15144" xr:uid="{00000000-0005-0000-0000-0000083D0000}"/>
    <cellStyle name="표준 16 2 14" xfId="15145" xr:uid="{00000000-0005-0000-0000-0000093D0000}"/>
    <cellStyle name="표준 16 2 15" xfId="15146" xr:uid="{00000000-0005-0000-0000-00000A3D0000}"/>
    <cellStyle name="표준 16 2 16" xfId="15147" xr:uid="{00000000-0005-0000-0000-00000B3D0000}"/>
    <cellStyle name="표준 16 2 17" xfId="15148" xr:uid="{00000000-0005-0000-0000-00000C3D0000}"/>
    <cellStyle name="표준 16 2 18" xfId="15149" xr:uid="{00000000-0005-0000-0000-00000D3D0000}"/>
    <cellStyle name="표준 16 2 19" xfId="15150" xr:uid="{00000000-0005-0000-0000-00000E3D0000}"/>
    <cellStyle name="표준 16 2 2" xfId="15151" xr:uid="{00000000-0005-0000-0000-00000F3D0000}"/>
    <cellStyle name="표준 16 2 2 10" xfId="15152" xr:uid="{00000000-0005-0000-0000-0000103D0000}"/>
    <cellStyle name="표준 16 2 2 11" xfId="15153" xr:uid="{00000000-0005-0000-0000-0000113D0000}"/>
    <cellStyle name="표준 16 2 2 12" xfId="15154" xr:uid="{00000000-0005-0000-0000-0000123D0000}"/>
    <cellStyle name="표준 16 2 2 13" xfId="15155" xr:uid="{00000000-0005-0000-0000-0000133D0000}"/>
    <cellStyle name="표준 16 2 2 14" xfId="15156" xr:uid="{00000000-0005-0000-0000-0000143D0000}"/>
    <cellStyle name="표준 16 2 2 15" xfId="15157" xr:uid="{00000000-0005-0000-0000-0000153D0000}"/>
    <cellStyle name="표준 16 2 2 16" xfId="15158" xr:uid="{00000000-0005-0000-0000-0000163D0000}"/>
    <cellStyle name="표준 16 2 2 17" xfId="15159" xr:uid="{00000000-0005-0000-0000-0000173D0000}"/>
    <cellStyle name="표준 16 2 2 18" xfId="15160" xr:uid="{00000000-0005-0000-0000-0000183D0000}"/>
    <cellStyle name="표준 16 2 2 19" xfId="15161" xr:uid="{00000000-0005-0000-0000-0000193D0000}"/>
    <cellStyle name="표준 16 2 2 2" xfId="15162" xr:uid="{00000000-0005-0000-0000-00001A3D0000}"/>
    <cellStyle name="표준 16 2 2 2 10" xfId="15163" xr:uid="{00000000-0005-0000-0000-00001B3D0000}"/>
    <cellStyle name="표준 16 2 2 2 11" xfId="15164" xr:uid="{00000000-0005-0000-0000-00001C3D0000}"/>
    <cellStyle name="표준 16 2 2 2 12" xfId="15165" xr:uid="{00000000-0005-0000-0000-00001D3D0000}"/>
    <cellStyle name="표준 16 2 2 2 13" xfId="15166" xr:uid="{00000000-0005-0000-0000-00001E3D0000}"/>
    <cellStyle name="표준 16 2 2 2 14" xfId="15167" xr:uid="{00000000-0005-0000-0000-00001F3D0000}"/>
    <cellStyle name="표준 16 2 2 2 15" xfId="15168" xr:uid="{00000000-0005-0000-0000-0000203D0000}"/>
    <cellStyle name="표준 16 2 2 2 16" xfId="15169" xr:uid="{00000000-0005-0000-0000-0000213D0000}"/>
    <cellStyle name="표준 16 2 2 2 17" xfId="15170" xr:uid="{00000000-0005-0000-0000-0000223D0000}"/>
    <cellStyle name="표준 16 2 2 2 18" xfId="15171" xr:uid="{00000000-0005-0000-0000-0000233D0000}"/>
    <cellStyle name="표준 16 2 2 2 19" xfId="15172" xr:uid="{00000000-0005-0000-0000-0000243D0000}"/>
    <cellStyle name="표준 16 2 2 2 2" xfId="15173" xr:uid="{00000000-0005-0000-0000-0000253D0000}"/>
    <cellStyle name="표준 16 2 2 2 20" xfId="15174" xr:uid="{00000000-0005-0000-0000-0000263D0000}"/>
    <cellStyle name="표준 16 2 2 2 21" xfId="15175" xr:uid="{00000000-0005-0000-0000-0000273D0000}"/>
    <cellStyle name="표준 16 2 2 2 22" xfId="15176" xr:uid="{00000000-0005-0000-0000-0000283D0000}"/>
    <cellStyle name="표준 16 2 2 2 3" xfId="15177" xr:uid="{00000000-0005-0000-0000-0000293D0000}"/>
    <cellStyle name="표준 16 2 2 2 4" xfId="15178" xr:uid="{00000000-0005-0000-0000-00002A3D0000}"/>
    <cellStyle name="표준 16 2 2 2 5" xfId="15179" xr:uid="{00000000-0005-0000-0000-00002B3D0000}"/>
    <cellStyle name="표준 16 2 2 2 6" xfId="15180" xr:uid="{00000000-0005-0000-0000-00002C3D0000}"/>
    <cellStyle name="표준 16 2 2 2 7" xfId="15181" xr:uid="{00000000-0005-0000-0000-00002D3D0000}"/>
    <cellStyle name="표준 16 2 2 2 8" xfId="15182" xr:uid="{00000000-0005-0000-0000-00002E3D0000}"/>
    <cellStyle name="표준 16 2 2 2 9" xfId="15183" xr:uid="{00000000-0005-0000-0000-00002F3D0000}"/>
    <cellStyle name="표준 16 2 2 20" xfId="15184" xr:uid="{00000000-0005-0000-0000-0000303D0000}"/>
    <cellStyle name="표준 16 2 2 21" xfId="15185" xr:uid="{00000000-0005-0000-0000-0000313D0000}"/>
    <cellStyle name="표준 16 2 2 22" xfId="15186" xr:uid="{00000000-0005-0000-0000-0000323D0000}"/>
    <cellStyle name="표준 16 2 2 23" xfId="15187" xr:uid="{00000000-0005-0000-0000-0000333D0000}"/>
    <cellStyle name="표준 16 2 2 3" xfId="15188" xr:uid="{00000000-0005-0000-0000-0000343D0000}"/>
    <cellStyle name="표준 16 2 2 4" xfId="15189" xr:uid="{00000000-0005-0000-0000-0000353D0000}"/>
    <cellStyle name="표준 16 2 2 5" xfId="15190" xr:uid="{00000000-0005-0000-0000-0000363D0000}"/>
    <cellStyle name="표준 16 2 2 6" xfId="15191" xr:uid="{00000000-0005-0000-0000-0000373D0000}"/>
    <cellStyle name="표준 16 2 2 7" xfId="15192" xr:uid="{00000000-0005-0000-0000-0000383D0000}"/>
    <cellStyle name="표준 16 2 2 8" xfId="15193" xr:uid="{00000000-0005-0000-0000-0000393D0000}"/>
    <cellStyle name="표준 16 2 2 9" xfId="15194" xr:uid="{00000000-0005-0000-0000-00003A3D0000}"/>
    <cellStyle name="표준 16 2 20" xfId="15195" xr:uid="{00000000-0005-0000-0000-00003B3D0000}"/>
    <cellStyle name="표준 16 2 21" xfId="15196" xr:uid="{00000000-0005-0000-0000-00003C3D0000}"/>
    <cellStyle name="표준 16 2 22" xfId="15197" xr:uid="{00000000-0005-0000-0000-00003D3D0000}"/>
    <cellStyle name="표준 16 2 23" xfId="15198" xr:uid="{00000000-0005-0000-0000-00003E3D0000}"/>
    <cellStyle name="표준 16 2 3" xfId="15199" xr:uid="{00000000-0005-0000-0000-00003F3D0000}"/>
    <cellStyle name="표준 16 2 4" xfId="15200" xr:uid="{00000000-0005-0000-0000-0000403D0000}"/>
    <cellStyle name="표준 16 2 5" xfId="15201" xr:uid="{00000000-0005-0000-0000-0000413D0000}"/>
    <cellStyle name="표준 16 2 6" xfId="15202" xr:uid="{00000000-0005-0000-0000-0000423D0000}"/>
    <cellStyle name="표준 16 2 7" xfId="15203" xr:uid="{00000000-0005-0000-0000-0000433D0000}"/>
    <cellStyle name="표준 16 2 8" xfId="15204" xr:uid="{00000000-0005-0000-0000-0000443D0000}"/>
    <cellStyle name="표준 16 2 9" xfId="15205" xr:uid="{00000000-0005-0000-0000-0000453D0000}"/>
    <cellStyle name="표준 16 20" xfId="15206" xr:uid="{00000000-0005-0000-0000-0000463D0000}"/>
    <cellStyle name="표준 16 21" xfId="15207" xr:uid="{00000000-0005-0000-0000-0000473D0000}"/>
    <cellStyle name="표준 16 22" xfId="15208" xr:uid="{00000000-0005-0000-0000-0000483D0000}"/>
    <cellStyle name="표준 16 23" xfId="15209" xr:uid="{00000000-0005-0000-0000-0000493D0000}"/>
    <cellStyle name="표준 16 24" xfId="15210" xr:uid="{00000000-0005-0000-0000-00004A3D0000}"/>
    <cellStyle name="표준 16 3" xfId="15211" xr:uid="{00000000-0005-0000-0000-00004B3D0000}"/>
    <cellStyle name="표준 16 4" xfId="15212" xr:uid="{00000000-0005-0000-0000-00004C3D0000}"/>
    <cellStyle name="표준 16 5" xfId="15213" xr:uid="{00000000-0005-0000-0000-00004D3D0000}"/>
    <cellStyle name="표준 16 6" xfId="15214" xr:uid="{00000000-0005-0000-0000-00004E3D0000}"/>
    <cellStyle name="표준 16 7" xfId="15215" xr:uid="{00000000-0005-0000-0000-00004F3D0000}"/>
    <cellStyle name="표준 16 8" xfId="15216" xr:uid="{00000000-0005-0000-0000-0000503D0000}"/>
    <cellStyle name="표준 16 9" xfId="15217" xr:uid="{00000000-0005-0000-0000-0000513D0000}"/>
    <cellStyle name="표준 17 10" xfId="15218" xr:uid="{00000000-0005-0000-0000-0000523D0000}"/>
    <cellStyle name="표준 17 11" xfId="15219" xr:uid="{00000000-0005-0000-0000-0000533D0000}"/>
    <cellStyle name="표준 17 12" xfId="15220" xr:uid="{00000000-0005-0000-0000-0000543D0000}"/>
    <cellStyle name="표준 17 13" xfId="15221" xr:uid="{00000000-0005-0000-0000-0000553D0000}"/>
    <cellStyle name="표준 17 14" xfId="15222" xr:uid="{00000000-0005-0000-0000-0000563D0000}"/>
    <cellStyle name="표준 17 15" xfId="15223" xr:uid="{00000000-0005-0000-0000-0000573D0000}"/>
    <cellStyle name="표준 17 16" xfId="15224" xr:uid="{00000000-0005-0000-0000-0000583D0000}"/>
    <cellStyle name="표준 17 17" xfId="15225" xr:uid="{00000000-0005-0000-0000-0000593D0000}"/>
    <cellStyle name="표준 17 18" xfId="15226" xr:uid="{00000000-0005-0000-0000-00005A3D0000}"/>
    <cellStyle name="표준 17 19" xfId="15227" xr:uid="{00000000-0005-0000-0000-00005B3D0000}"/>
    <cellStyle name="표준 17 2" xfId="15228" xr:uid="{00000000-0005-0000-0000-00005C3D0000}"/>
    <cellStyle name="표준 17 20" xfId="15229" xr:uid="{00000000-0005-0000-0000-00005D3D0000}"/>
    <cellStyle name="표준 17 21" xfId="15230" xr:uid="{00000000-0005-0000-0000-00005E3D0000}"/>
    <cellStyle name="표준 17 22" xfId="15231" xr:uid="{00000000-0005-0000-0000-00005F3D0000}"/>
    <cellStyle name="표준 17 23" xfId="15232" xr:uid="{00000000-0005-0000-0000-0000603D0000}"/>
    <cellStyle name="표준 17 24" xfId="15233" xr:uid="{00000000-0005-0000-0000-0000613D0000}"/>
    <cellStyle name="표준 17 25" xfId="15234" xr:uid="{00000000-0005-0000-0000-0000623D0000}"/>
    <cellStyle name="표준 17 26" xfId="15235" xr:uid="{00000000-0005-0000-0000-0000633D0000}"/>
    <cellStyle name="표준 17 27" xfId="15236" xr:uid="{00000000-0005-0000-0000-0000643D0000}"/>
    <cellStyle name="표준 17 28" xfId="15237" xr:uid="{00000000-0005-0000-0000-0000653D0000}"/>
    <cellStyle name="표준 17 29" xfId="15238" xr:uid="{00000000-0005-0000-0000-0000663D0000}"/>
    <cellStyle name="표준 17 3" xfId="15239" xr:uid="{00000000-0005-0000-0000-0000673D0000}"/>
    <cellStyle name="표준 17 30" xfId="15240" xr:uid="{00000000-0005-0000-0000-0000683D0000}"/>
    <cellStyle name="표준 17 4" xfId="15241" xr:uid="{00000000-0005-0000-0000-0000693D0000}"/>
    <cellStyle name="표준 17 5" xfId="15242" xr:uid="{00000000-0005-0000-0000-00006A3D0000}"/>
    <cellStyle name="표준 17 6" xfId="15243" xr:uid="{00000000-0005-0000-0000-00006B3D0000}"/>
    <cellStyle name="표준 17 7" xfId="15244" xr:uid="{00000000-0005-0000-0000-00006C3D0000}"/>
    <cellStyle name="표준 17 8" xfId="15245" xr:uid="{00000000-0005-0000-0000-00006D3D0000}"/>
    <cellStyle name="표준 17 9" xfId="15246" xr:uid="{00000000-0005-0000-0000-00006E3D0000}"/>
    <cellStyle name="표준 18 10" xfId="15247" xr:uid="{00000000-0005-0000-0000-00006F3D0000}"/>
    <cellStyle name="표준 18 11" xfId="15248" xr:uid="{00000000-0005-0000-0000-0000703D0000}"/>
    <cellStyle name="표준 18 12" xfId="15249" xr:uid="{00000000-0005-0000-0000-0000713D0000}"/>
    <cellStyle name="표준 18 13" xfId="15250" xr:uid="{00000000-0005-0000-0000-0000723D0000}"/>
    <cellStyle name="표준 18 14" xfId="15251" xr:uid="{00000000-0005-0000-0000-0000733D0000}"/>
    <cellStyle name="표준 18 15" xfId="15252" xr:uid="{00000000-0005-0000-0000-0000743D0000}"/>
    <cellStyle name="표준 18 16" xfId="15253" xr:uid="{00000000-0005-0000-0000-0000753D0000}"/>
    <cellStyle name="표준 18 17" xfId="15254" xr:uid="{00000000-0005-0000-0000-0000763D0000}"/>
    <cellStyle name="표준 18 18" xfId="15255" xr:uid="{00000000-0005-0000-0000-0000773D0000}"/>
    <cellStyle name="표준 18 19" xfId="15256" xr:uid="{00000000-0005-0000-0000-0000783D0000}"/>
    <cellStyle name="표준 18 2" xfId="15257" xr:uid="{00000000-0005-0000-0000-0000793D0000}"/>
    <cellStyle name="표준 18 2 10" xfId="15258" xr:uid="{00000000-0005-0000-0000-00007A3D0000}"/>
    <cellStyle name="표준 18 2 11" xfId="15259" xr:uid="{00000000-0005-0000-0000-00007B3D0000}"/>
    <cellStyle name="표준 18 2 12" xfId="15260" xr:uid="{00000000-0005-0000-0000-00007C3D0000}"/>
    <cellStyle name="표준 18 2 13" xfId="15261" xr:uid="{00000000-0005-0000-0000-00007D3D0000}"/>
    <cellStyle name="표준 18 2 14" xfId="15262" xr:uid="{00000000-0005-0000-0000-00007E3D0000}"/>
    <cellStyle name="표준 18 2 15" xfId="15263" xr:uid="{00000000-0005-0000-0000-00007F3D0000}"/>
    <cellStyle name="표준 18 2 16" xfId="15264" xr:uid="{00000000-0005-0000-0000-0000803D0000}"/>
    <cellStyle name="표준 18 2 17" xfId="15265" xr:uid="{00000000-0005-0000-0000-0000813D0000}"/>
    <cellStyle name="표준 18 2 18" xfId="15266" xr:uid="{00000000-0005-0000-0000-0000823D0000}"/>
    <cellStyle name="표준 18 2 19" xfId="15267" xr:uid="{00000000-0005-0000-0000-0000833D0000}"/>
    <cellStyle name="표준 18 2 2" xfId="15268" xr:uid="{00000000-0005-0000-0000-0000843D0000}"/>
    <cellStyle name="표준 18 2 20" xfId="15269" xr:uid="{00000000-0005-0000-0000-0000853D0000}"/>
    <cellStyle name="표준 18 2 21" xfId="15270" xr:uid="{00000000-0005-0000-0000-0000863D0000}"/>
    <cellStyle name="표준 18 2 22" xfId="15271" xr:uid="{00000000-0005-0000-0000-0000873D0000}"/>
    <cellStyle name="표준 18 2 23" xfId="15272" xr:uid="{00000000-0005-0000-0000-0000883D0000}"/>
    <cellStyle name="표준 18 2 24" xfId="15273" xr:uid="{00000000-0005-0000-0000-0000893D0000}"/>
    <cellStyle name="표준 18 2 25" xfId="15274" xr:uid="{00000000-0005-0000-0000-00008A3D0000}"/>
    <cellStyle name="표준 18 2 26" xfId="15275" xr:uid="{00000000-0005-0000-0000-00008B3D0000}"/>
    <cellStyle name="표준 18 2 27" xfId="15276" xr:uid="{00000000-0005-0000-0000-00008C3D0000}"/>
    <cellStyle name="표준 18 2 28" xfId="15277" xr:uid="{00000000-0005-0000-0000-00008D3D0000}"/>
    <cellStyle name="표준 18 2 29" xfId="15278" xr:uid="{00000000-0005-0000-0000-00008E3D0000}"/>
    <cellStyle name="표준 18 2 3" xfId="15279" xr:uid="{00000000-0005-0000-0000-00008F3D0000}"/>
    <cellStyle name="표준 18 2 4" xfId="15280" xr:uid="{00000000-0005-0000-0000-0000903D0000}"/>
    <cellStyle name="표준 18 2 5" xfId="15281" xr:uid="{00000000-0005-0000-0000-0000913D0000}"/>
    <cellStyle name="표준 18 2 6" xfId="15282" xr:uid="{00000000-0005-0000-0000-0000923D0000}"/>
    <cellStyle name="표준 18 2 7" xfId="15283" xr:uid="{00000000-0005-0000-0000-0000933D0000}"/>
    <cellStyle name="표준 18 2 8" xfId="15284" xr:uid="{00000000-0005-0000-0000-0000943D0000}"/>
    <cellStyle name="표준 18 2 9" xfId="15285" xr:uid="{00000000-0005-0000-0000-0000953D0000}"/>
    <cellStyle name="표준 18 20" xfId="15286" xr:uid="{00000000-0005-0000-0000-0000963D0000}"/>
    <cellStyle name="표준 18 21" xfId="15287" xr:uid="{00000000-0005-0000-0000-0000973D0000}"/>
    <cellStyle name="표준 18 22" xfId="15288" xr:uid="{00000000-0005-0000-0000-0000983D0000}"/>
    <cellStyle name="표준 18 23" xfId="15289" xr:uid="{00000000-0005-0000-0000-0000993D0000}"/>
    <cellStyle name="표준 18 24" xfId="15290" xr:uid="{00000000-0005-0000-0000-00009A3D0000}"/>
    <cellStyle name="표준 18 3" xfId="15291" xr:uid="{00000000-0005-0000-0000-00009B3D0000}"/>
    <cellStyle name="표준 18 3 2" xfId="15292" xr:uid="{00000000-0005-0000-0000-00009C3D0000}"/>
    <cellStyle name="표준 18 3 3" xfId="15293" xr:uid="{00000000-0005-0000-0000-00009D3D0000}"/>
    <cellStyle name="표준 18 3 4" xfId="15294" xr:uid="{00000000-0005-0000-0000-00009E3D0000}"/>
    <cellStyle name="표준 18 3 5" xfId="15295" xr:uid="{00000000-0005-0000-0000-00009F3D0000}"/>
    <cellStyle name="표준 18 3 6" xfId="15296" xr:uid="{00000000-0005-0000-0000-0000A03D0000}"/>
    <cellStyle name="표준 18 3 7" xfId="15297" xr:uid="{00000000-0005-0000-0000-0000A13D0000}"/>
    <cellStyle name="표준 18 4" xfId="15298" xr:uid="{00000000-0005-0000-0000-0000A23D0000}"/>
    <cellStyle name="표준 18 4 2" xfId="15299" xr:uid="{00000000-0005-0000-0000-0000A33D0000}"/>
    <cellStyle name="표준 18 4 3" xfId="15300" xr:uid="{00000000-0005-0000-0000-0000A43D0000}"/>
    <cellStyle name="표준 18 4 4" xfId="15301" xr:uid="{00000000-0005-0000-0000-0000A53D0000}"/>
    <cellStyle name="표준 18 4 5" xfId="15302" xr:uid="{00000000-0005-0000-0000-0000A63D0000}"/>
    <cellStyle name="표준 18 4 6" xfId="15303" xr:uid="{00000000-0005-0000-0000-0000A73D0000}"/>
    <cellStyle name="표준 18 4 7" xfId="15304" xr:uid="{00000000-0005-0000-0000-0000A83D0000}"/>
    <cellStyle name="표준 18 5" xfId="15305" xr:uid="{00000000-0005-0000-0000-0000A93D0000}"/>
    <cellStyle name="표준 18 6" xfId="15306" xr:uid="{00000000-0005-0000-0000-0000AA3D0000}"/>
    <cellStyle name="표준 18 7" xfId="15307" xr:uid="{00000000-0005-0000-0000-0000AB3D0000}"/>
    <cellStyle name="표준 18 8" xfId="15308" xr:uid="{00000000-0005-0000-0000-0000AC3D0000}"/>
    <cellStyle name="표준 18 9" xfId="15309" xr:uid="{00000000-0005-0000-0000-0000AD3D0000}"/>
    <cellStyle name="표준 19 10" xfId="15310" xr:uid="{00000000-0005-0000-0000-0000AE3D0000}"/>
    <cellStyle name="표준 19 11" xfId="15311" xr:uid="{00000000-0005-0000-0000-0000AF3D0000}"/>
    <cellStyle name="표준 19 12" xfId="15312" xr:uid="{00000000-0005-0000-0000-0000B03D0000}"/>
    <cellStyle name="표준 19 13" xfId="15313" xr:uid="{00000000-0005-0000-0000-0000B13D0000}"/>
    <cellStyle name="표준 19 14" xfId="15314" xr:uid="{00000000-0005-0000-0000-0000B23D0000}"/>
    <cellStyle name="표준 19 15" xfId="15315" xr:uid="{00000000-0005-0000-0000-0000B33D0000}"/>
    <cellStyle name="표준 19 16" xfId="15316" xr:uid="{00000000-0005-0000-0000-0000B43D0000}"/>
    <cellStyle name="표준 19 17" xfId="15317" xr:uid="{00000000-0005-0000-0000-0000B53D0000}"/>
    <cellStyle name="표준 19 18" xfId="15318" xr:uid="{00000000-0005-0000-0000-0000B63D0000}"/>
    <cellStyle name="표준 19 19" xfId="15319" xr:uid="{00000000-0005-0000-0000-0000B73D0000}"/>
    <cellStyle name="표준 19 2" xfId="15320" xr:uid="{00000000-0005-0000-0000-0000B83D0000}"/>
    <cellStyle name="표준 19 2 10" xfId="15321" xr:uid="{00000000-0005-0000-0000-0000B93D0000}"/>
    <cellStyle name="표준 19 2 11" xfId="15322" xr:uid="{00000000-0005-0000-0000-0000BA3D0000}"/>
    <cellStyle name="표준 19 2 12" xfId="15323" xr:uid="{00000000-0005-0000-0000-0000BB3D0000}"/>
    <cellStyle name="표준 19 2 13" xfId="15324" xr:uid="{00000000-0005-0000-0000-0000BC3D0000}"/>
    <cellStyle name="표준 19 2 14" xfId="15325" xr:uid="{00000000-0005-0000-0000-0000BD3D0000}"/>
    <cellStyle name="표준 19 2 15" xfId="15326" xr:uid="{00000000-0005-0000-0000-0000BE3D0000}"/>
    <cellStyle name="표준 19 2 16" xfId="15327" xr:uid="{00000000-0005-0000-0000-0000BF3D0000}"/>
    <cellStyle name="표준 19 2 17" xfId="15328" xr:uid="{00000000-0005-0000-0000-0000C03D0000}"/>
    <cellStyle name="표준 19 2 18" xfId="15329" xr:uid="{00000000-0005-0000-0000-0000C13D0000}"/>
    <cellStyle name="표준 19 2 19" xfId="15330" xr:uid="{00000000-0005-0000-0000-0000C23D0000}"/>
    <cellStyle name="표준 19 2 2" xfId="15331" xr:uid="{00000000-0005-0000-0000-0000C33D0000}"/>
    <cellStyle name="표준 19 2 20" xfId="15332" xr:uid="{00000000-0005-0000-0000-0000C43D0000}"/>
    <cellStyle name="표준 19 2 21" xfId="15333" xr:uid="{00000000-0005-0000-0000-0000C53D0000}"/>
    <cellStyle name="표준 19 2 22" xfId="15334" xr:uid="{00000000-0005-0000-0000-0000C63D0000}"/>
    <cellStyle name="표준 19 2 23" xfId="15335" xr:uid="{00000000-0005-0000-0000-0000C73D0000}"/>
    <cellStyle name="표준 19 2 24" xfId="15336" xr:uid="{00000000-0005-0000-0000-0000C83D0000}"/>
    <cellStyle name="표준 19 2 25" xfId="15337" xr:uid="{00000000-0005-0000-0000-0000C93D0000}"/>
    <cellStyle name="표준 19 2 26" xfId="15338" xr:uid="{00000000-0005-0000-0000-0000CA3D0000}"/>
    <cellStyle name="표준 19 2 27" xfId="15339" xr:uid="{00000000-0005-0000-0000-0000CB3D0000}"/>
    <cellStyle name="표준 19 2 3" xfId="15340" xr:uid="{00000000-0005-0000-0000-0000CC3D0000}"/>
    <cellStyle name="표준 19 2 4" xfId="15341" xr:uid="{00000000-0005-0000-0000-0000CD3D0000}"/>
    <cellStyle name="표준 19 2 5" xfId="15342" xr:uid="{00000000-0005-0000-0000-0000CE3D0000}"/>
    <cellStyle name="표준 19 2 6" xfId="15343" xr:uid="{00000000-0005-0000-0000-0000CF3D0000}"/>
    <cellStyle name="표준 19 2 7" xfId="15344" xr:uid="{00000000-0005-0000-0000-0000D03D0000}"/>
    <cellStyle name="표준 19 2 8" xfId="15345" xr:uid="{00000000-0005-0000-0000-0000D13D0000}"/>
    <cellStyle name="표준 19 2 9" xfId="15346" xr:uid="{00000000-0005-0000-0000-0000D23D0000}"/>
    <cellStyle name="표준 19 20" xfId="15347" xr:uid="{00000000-0005-0000-0000-0000D33D0000}"/>
    <cellStyle name="표준 19 21" xfId="15348" xr:uid="{00000000-0005-0000-0000-0000D43D0000}"/>
    <cellStyle name="표준 19 22" xfId="15349" xr:uid="{00000000-0005-0000-0000-0000D53D0000}"/>
    <cellStyle name="표준 19 23" xfId="15350" xr:uid="{00000000-0005-0000-0000-0000D63D0000}"/>
    <cellStyle name="표준 19 24" xfId="15351" xr:uid="{00000000-0005-0000-0000-0000D73D0000}"/>
    <cellStyle name="표준 19 25" xfId="15352" xr:uid="{00000000-0005-0000-0000-0000D83D0000}"/>
    <cellStyle name="표준 19 26" xfId="15353" xr:uid="{00000000-0005-0000-0000-0000D93D0000}"/>
    <cellStyle name="표준 19 27" xfId="15354" xr:uid="{00000000-0005-0000-0000-0000DA3D0000}"/>
    <cellStyle name="표준 19 3" xfId="15355" xr:uid="{00000000-0005-0000-0000-0000DB3D0000}"/>
    <cellStyle name="표준 19 3 2" xfId="15356" xr:uid="{00000000-0005-0000-0000-0000DC3D0000}"/>
    <cellStyle name="표준 19 3 3" xfId="15357" xr:uid="{00000000-0005-0000-0000-0000DD3D0000}"/>
    <cellStyle name="표준 19 3 4" xfId="15358" xr:uid="{00000000-0005-0000-0000-0000DE3D0000}"/>
    <cellStyle name="표준 19 3 5" xfId="15359" xr:uid="{00000000-0005-0000-0000-0000DF3D0000}"/>
    <cellStyle name="표준 19 3 6" xfId="15360" xr:uid="{00000000-0005-0000-0000-0000E03D0000}"/>
    <cellStyle name="표준 19 3 7" xfId="15361" xr:uid="{00000000-0005-0000-0000-0000E13D0000}"/>
    <cellStyle name="표준 19 4" xfId="15362" xr:uid="{00000000-0005-0000-0000-0000E23D0000}"/>
    <cellStyle name="표준 19 4 2" xfId="15363" xr:uid="{00000000-0005-0000-0000-0000E33D0000}"/>
    <cellStyle name="표준 19 4 3" xfId="15364" xr:uid="{00000000-0005-0000-0000-0000E43D0000}"/>
    <cellStyle name="표준 19 4 4" xfId="15365" xr:uid="{00000000-0005-0000-0000-0000E53D0000}"/>
    <cellStyle name="표준 19 4 5" xfId="15366" xr:uid="{00000000-0005-0000-0000-0000E63D0000}"/>
    <cellStyle name="표준 19 4 6" xfId="15367" xr:uid="{00000000-0005-0000-0000-0000E73D0000}"/>
    <cellStyle name="표준 19 4 7" xfId="15368" xr:uid="{00000000-0005-0000-0000-0000E83D0000}"/>
    <cellStyle name="표준 19 5" xfId="15369" xr:uid="{00000000-0005-0000-0000-0000E93D0000}"/>
    <cellStyle name="표준 19 6" xfId="15370" xr:uid="{00000000-0005-0000-0000-0000EA3D0000}"/>
    <cellStyle name="표준 19 7" xfId="15371" xr:uid="{00000000-0005-0000-0000-0000EB3D0000}"/>
    <cellStyle name="표준 19 8" xfId="15372" xr:uid="{00000000-0005-0000-0000-0000EC3D0000}"/>
    <cellStyle name="표준 19 9" xfId="15373" xr:uid="{00000000-0005-0000-0000-0000ED3D0000}"/>
    <cellStyle name="표준 2" xfId="6" xr:uid="{00000000-0005-0000-0000-0000EE3D0000}"/>
    <cellStyle name="표준 2 10" xfId="15374" xr:uid="{00000000-0005-0000-0000-0000EF3D0000}"/>
    <cellStyle name="표준 2 10 5" xfId="8" xr:uid="{00000000-0005-0000-0000-0000F03D0000}"/>
    <cellStyle name="표준 2 11" xfId="15375" xr:uid="{00000000-0005-0000-0000-0000F13D0000}"/>
    <cellStyle name="표준 2 12" xfId="15376" xr:uid="{00000000-0005-0000-0000-0000F23D0000}"/>
    <cellStyle name="표준 2 13" xfId="15377" xr:uid="{00000000-0005-0000-0000-0000F33D0000}"/>
    <cellStyle name="표준 2 14" xfId="15378" xr:uid="{00000000-0005-0000-0000-0000F43D0000}"/>
    <cellStyle name="표준 2 15" xfId="15379" xr:uid="{00000000-0005-0000-0000-0000F53D0000}"/>
    <cellStyle name="표준 2 16" xfId="15380" xr:uid="{00000000-0005-0000-0000-0000F63D0000}"/>
    <cellStyle name="표준 2 16 2" xfId="15381" xr:uid="{00000000-0005-0000-0000-0000F73D0000}"/>
    <cellStyle name="표준 2 16 3" xfId="15382" xr:uid="{00000000-0005-0000-0000-0000F83D0000}"/>
    <cellStyle name="표준 2 16 4" xfId="15383" xr:uid="{00000000-0005-0000-0000-0000F93D0000}"/>
    <cellStyle name="표준 2 16 5" xfId="15384" xr:uid="{00000000-0005-0000-0000-0000FA3D0000}"/>
    <cellStyle name="표준 2 16 6" xfId="15385" xr:uid="{00000000-0005-0000-0000-0000FB3D0000}"/>
    <cellStyle name="표준 2 16 7" xfId="15386" xr:uid="{00000000-0005-0000-0000-0000FC3D0000}"/>
    <cellStyle name="표준 2 17" xfId="15387" xr:uid="{00000000-0005-0000-0000-0000FD3D0000}"/>
    <cellStyle name="표준 2 17 2" xfId="15388" xr:uid="{00000000-0005-0000-0000-0000FE3D0000}"/>
    <cellStyle name="표준 2 17 3" xfId="15389" xr:uid="{00000000-0005-0000-0000-0000FF3D0000}"/>
    <cellStyle name="표준 2 17 4" xfId="15390" xr:uid="{00000000-0005-0000-0000-0000003E0000}"/>
    <cellStyle name="표준 2 17 5" xfId="15391" xr:uid="{00000000-0005-0000-0000-0000013E0000}"/>
    <cellStyle name="표준 2 17 6" xfId="15392" xr:uid="{00000000-0005-0000-0000-0000023E0000}"/>
    <cellStyle name="표준 2 17 7" xfId="15393" xr:uid="{00000000-0005-0000-0000-0000033E0000}"/>
    <cellStyle name="표준 2 18" xfId="15394" xr:uid="{00000000-0005-0000-0000-0000043E0000}"/>
    <cellStyle name="표준 2 19" xfId="15395" xr:uid="{00000000-0005-0000-0000-0000053E0000}"/>
    <cellStyle name="표준 2 2" xfId="15396" xr:uid="{00000000-0005-0000-0000-0000063E0000}"/>
    <cellStyle name="표준 2 2 10" xfId="15397" xr:uid="{00000000-0005-0000-0000-0000073E0000}"/>
    <cellStyle name="표준 2 2 11" xfId="15398" xr:uid="{00000000-0005-0000-0000-0000083E0000}"/>
    <cellStyle name="표준 2 2 12" xfId="15399" xr:uid="{00000000-0005-0000-0000-0000093E0000}"/>
    <cellStyle name="표준 2 2 13" xfId="15400" xr:uid="{00000000-0005-0000-0000-00000A3E0000}"/>
    <cellStyle name="표준 2 2 14" xfId="15401" xr:uid="{00000000-0005-0000-0000-00000B3E0000}"/>
    <cellStyle name="표준 2 2 15" xfId="15402" xr:uid="{00000000-0005-0000-0000-00000C3E0000}"/>
    <cellStyle name="표준 2 2 15 2" xfId="15403" xr:uid="{00000000-0005-0000-0000-00000D3E0000}"/>
    <cellStyle name="표준 2 2 15 3" xfId="15404" xr:uid="{00000000-0005-0000-0000-00000E3E0000}"/>
    <cellStyle name="표준 2 2 15 4" xfId="15405" xr:uid="{00000000-0005-0000-0000-00000F3E0000}"/>
    <cellStyle name="표준 2 2 16" xfId="15406" xr:uid="{00000000-0005-0000-0000-0000103E0000}"/>
    <cellStyle name="표준 2 2 17" xfId="15407" xr:uid="{00000000-0005-0000-0000-0000113E0000}"/>
    <cellStyle name="표준 2 2 18" xfId="15408" xr:uid="{00000000-0005-0000-0000-0000123E0000}"/>
    <cellStyle name="표준 2 2 19" xfId="15409" xr:uid="{00000000-0005-0000-0000-0000133E0000}"/>
    <cellStyle name="표준 2 2 2" xfId="15410" xr:uid="{00000000-0005-0000-0000-0000143E0000}"/>
    <cellStyle name="표준 2 2 2 10" xfId="15411" xr:uid="{00000000-0005-0000-0000-0000153E0000}"/>
    <cellStyle name="표준 2 2 2 11" xfId="15412" xr:uid="{00000000-0005-0000-0000-0000163E0000}"/>
    <cellStyle name="표준 2 2 2 12" xfId="15413" xr:uid="{00000000-0005-0000-0000-0000173E0000}"/>
    <cellStyle name="표준 2 2 2 13" xfId="15414" xr:uid="{00000000-0005-0000-0000-0000183E0000}"/>
    <cellStyle name="표준 2 2 2 14" xfId="15415" xr:uid="{00000000-0005-0000-0000-0000193E0000}"/>
    <cellStyle name="표준 2 2 2 15" xfId="15416" xr:uid="{00000000-0005-0000-0000-00001A3E0000}"/>
    <cellStyle name="표준 2 2 2 16" xfId="15417" xr:uid="{00000000-0005-0000-0000-00001B3E0000}"/>
    <cellStyle name="표준 2 2 2 16 2" xfId="15418" xr:uid="{00000000-0005-0000-0000-00001C3E0000}"/>
    <cellStyle name="표준 2 2 2 17" xfId="15419" xr:uid="{00000000-0005-0000-0000-00001D3E0000}"/>
    <cellStyle name="표준 2 2 2 18" xfId="15420" xr:uid="{00000000-0005-0000-0000-00001E3E0000}"/>
    <cellStyle name="표준 2 2 2 18 2" xfId="15421" xr:uid="{00000000-0005-0000-0000-00001F3E0000}"/>
    <cellStyle name="표준 2 2 2 19" xfId="15422" xr:uid="{00000000-0005-0000-0000-0000203E0000}"/>
    <cellStyle name="표준 2 2 2 2" xfId="15423" xr:uid="{00000000-0005-0000-0000-0000213E0000}"/>
    <cellStyle name="표준 2 2 2 2 10" xfId="15424" xr:uid="{00000000-0005-0000-0000-0000223E0000}"/>
    <cellStyle name="표준 2 2 2 2 11" xfId="15425" xr:uid="{00000000-0005-0000-0000-0000233E0000}"/>
    <cellStyle name="표준 2 2 2 2 12" xfId="15426" xr:uid="{00000000-0005-0000-0000-0000243E0000}"/>
    <cellStyle name="표준 2 2 2 2 13" xfId="15427" xr:uid="{00000000-0005-0000-0000-0000253E0000}"/>
    <cellStyle name="표준 2 2 2 2 14" xfId="15428" xr:uid="{00000000-0005-0000-0000-0000263E0000}"/>
    <cellStyle name="표준 2 2 2 2 15" xfId="15429" xr:uid="{00000000-0005-0000-0000-0000273E0000}"/>
    <cellStyle name="표준 2 2 2 2 16" xfId="15430" xr:uid="{00000000-0005-0000-0000-0000283E0000}"/>
    <cellStyle name="표준 2 2 2 2 17" xfId="15431" xr:uid="{00000000-0005-0000-0000-0000293E0000}"/>
    <cellStyle name="표준 2 2 2 2 18" xfId="15432" xr:uid="{00000000-0005-0000-0000-00002A3E0000}"/>
    <cellStyle name="표준 2 2 2 2 19" xfId="15433" xr:uid="{00000000-0005-0000-0000-00002B3E0000}"/>
    <cellStyle name="표준 2 2 2 2 2" xfId="15434" xr:uid="{00000000-0005-0000-0000-00002C3E0000}"/>
    <cellStyle name="표준 2 2 2 2 2 10" xfId="15435" xr:uid="{00000000-0005-0000-0000-00002D3E0000}"/>
    <cellStyle name="표준 2 2 2 2 2 11" xfId="15436" xr:uid="{00000000-0005-0000-0000-00002E3E0000}"/>
    <cellStyle name="표준 2 2 2 2 2 12" xfId="15437" xr:uid="{00000000-0005-0000-0000-00002F3E0000}"/>
    <cellStyle name="표준 2 2 2 2 2 13" xfId="15438" xr:uid="{00000000-0005-0000-0000-0000303E0000}"/>
    <cellStyle name="표준 2 2 2 2 2 14" xfId="15439" xr:uid="{00000000-0005-0000-0000-0000313E0000}"/>
    <cellStyle name="표준 2 2 2 2 2 15" xfId="15440" xr:uid="{00000000-0005-0000-0000-0000323E0000}"/>
    <cellStyle name="표준 2 2 2 2 2 16" xfId="15441" xr:uid="{00000000-0005-0000-0000-0000333E0000}"/>
    <cellStyle name="표준 2 2 2 2 2 17" xfId="15442" xr:uid="{00000000-0005-0000-0000-0000343E0000}"/>
    <cellStyle name="표준 2 2 2 2 2 18" xfId="15443" xr:uid="{00000000-0005-0000-0000-0000353E0000}"/>
    <cellStyle name="표준 2 2 2 2 2 19" xfId="15444" xr:uid="{00000000-0005-0000-0000-0000363E0000}"/>
    <cellStyle name="표준 2 2 2 2 2 2" xfId="15445" xr:uid="{00000000-0005-0000-0000-0000373E0000}"/>
    <cellStyle name="표준 2 2 2 2 2 2 10" xfId="15446" xr:uid="{00000000-0005-0000-0000-0000383E0000}"/>
    <cellStyle name="표준 2 2 2 2 2 2 11" xfId="15447" xr:uid="{00000000-0005-0000-0000-0000393E0000}"/>
    <cellStyle name="표준 2 2 2 2 2 2 12" xfId="15448" xr:uid="{00000000-0005-0000-0000-00003A3E0000}"/>
    <cellStyle name="표준 2 2 2 2 2 2 13" xfId="15449" xr:uid="{00000000-0005-0000-0000-00003B3E0000}"/>
    <cellStyle name="표준 2 2 2 2 2 2 14" xfId="15450" xr:uid="{00000000-0005-0000-0000-00003C3E0000}"/>
    <cellStyle name="표준 2 2 2 2 2 2 15" xfId="15451" xr:uid="{00000000-0005-0000-0000-00003D3E0000}"/>
    <cellStyle name="표준 2 2 2 2 2 2 16" xfId="15452" xr:uid="{00000000-0005-0000-0000-00003E3E0000}"/>
    <cellStyle name="표준 2 2 2 2 2 2 17" xfId="15453" xr:uid="{00000000-0005-0000-0000-00003F3E0000}"/>
    <cellStyle name="표준 2 2 2 2 2 2 18" xfId="15454" xr:uid="{00000000-0005-0000-0000-0000403E0000}"/>
    <cellStyle name="표준 2 2 2 2 2 2 19" xfId="15455" xr:uid="{00000000-0005-0000-0000-0000413E0000}"/>
    <cellStyle name="표준 2 2 2 2 2 2 2" xfId="15456" xr:uid="{00000000-0005-0000-0000-0000423E0000}"/>
    <cellStyle name="표준 2 2 2 2 2 2 2 10" xfId="15457" xr:uid="{00000000-0005-0000-0000-0000433E0000}"/>
    <cellStyle name="표준 2 2 2 2 2 2 2 11" xfId="15458" xr:uid="{00000000-0005-0000-0000-0000443E0000}"/>
    <cellStyle name="표준 2 2 2 2 2 2 2 12" xfId="15459" xr:uid="{00000000-0005-0000-0000-0000453E0000}"/>
    <cellStyle name="표준 2 2 2 2 2 2 2 13" xfId="15460" xr:uid="{00000000-0005-0000-0000-0000463E0000}"/>
    <cellStyle name="표준 2 2 2 2 2 2 2 14" xfId="15461" xr:uid="{00000000-0005-0000-0000-0000473E0000}"/>
    <cellStyle name="표준 2 2 2 2 2 2 2 15" xfId="15462" xr:uid="{00000000-0005-0000-0000-0000483E0000}"/>
    <cellStyle name="표준 2 2 2 2 2 2 2 16" xfId="15463" xr:uid="{00000000-0005-0000-0000-0000493E0000}"/>
    <cellStyle name="표준 2 2 2 2 2 2 2 17" xfId="15464" xr:uid="{00000000-0005-0000-0000-00004A3E0000}"/>
    <cellStyle name="표준 2 2 2 2 2 2 2 18" xfId="15465" xr:uid="{00000000-0005-0000-0000-00004B3E0000}"/>
    <cellStyle name="표준 2 2 2 2 2 2 2 19" xfId="15466" xr:uid="{00000000-0005-0000-0000-00004C3E0000}"/>
    <cellStyle name="표준 2 2 2 2 2 2 2 2" xfId="15467" xr:uid="{00000000-0005-0000-0000-00004D3E0000}"/>
    <cellStyle name="표준 2 2 2 2 2 2 2 2 10" xfId="15468" xr:uid="{00000000-0005-0000-0000-00004E3E0000}"/>
    <cellStyle name="표준 2 2 2 2 2 2 2 2 11" xfId="15469" xr:uid="{00000000-0005-0000-0000-00004F3E0000}"/>
    <cellStyle name="표준 2 2 2 2 2 2 2 2 12" xfId="15470" xr:uid="{00000000-0005-0000-0000-0000503E0000}"/>
    <cellStyle name="표준 2 2 2 2 2 2 2 2 13" xfId="15471" xr:uid="{00000000-0005-0000-0000-0000513E0000}"/>
    <cellStyle name="표준 2 2 2 2 2 2 2 2 14" xfId="15472" xr:uid="{00000000-0005-0000-0000-0000523E0000}"/>
    <cellStyle name="표준 2 2 2 2 2 2 2 2 15" xfId="15473" xr:uid="{00000000-0005-0000-0000-0000533E0000}"/>
    <cellStyle name="표준 2 2 2 2 2 2 2 2 16" xfId="15474" xr:uid="{00000000-0005-0000-0000-0000543E0000}"/>
    <cellStyle name="표준 2 2 2 2 2 2 2 2 17" xfId="15475" xr:uid="{00000000-0005-0000-0000-0000553E0000}"/>
    <cellStyle name="표준 2 2 2 2 2 2 2 2 18" xfId="15476" xr:uid="{00000000-0005-0000-0000-0000563E0000}"/>
    <cellStyle name="표준 2 2 2 2 2 2 2 2 19" xfId="15477" xr:uid="{00000000-0005-0000-0000-0000573E0000}"/>
    <cellStyle name="표준 2 2 2 2 2 2 2 2 2" xfId="15478" xr:uid="{00000000-0005-0000-0000-0000583E0000}"/>
    <cellStyle name="표준 2 2 2 2 2 2 2 2 2 10" xfId="15479" xr:uid="{00000000-0005-0000-0000-0000593E0000}"/>
    <cellStyle name="표준 2 2 2 2 2 2 2 2 2 11" xfId="15480" xr:uid="{00000000-0005-0000-0000-00005A3E0000}"/>
    <cellStyle name="표준 2 2 2 2 2 2 2 2 2 12" xfId="15481" xr:uid="{00000000-0005-0000-0000-00005B3E0000}"/>
    <cellStyle name="표준 2 2 2 2 2 2 2 2 2 13" xfId="15482" xr:uid="{00000000-0005-0000-0000-00005C3E0000}"/>
    <cellStyle name="표준 2 2 2 2 2 2 2 2 2 14" xfId="15483" xr:uid="{00000000-0005-0000-0000-00005D3E0000}"/>
    <cellStyle name="표준 2 2 2 2 2 2 2 2 2 15" xfId="15484" xr:uid="{00000000-0005-0000-0000-00005E3E0000}"/>
    <cellStyle name="표준 2 2 2 2 2 2 2 2 2 16" xfId="15485" xr:uid="{00000000-0005-0000-0000-00005F3E0000}"/>
    <cellStyle name="표준 2 2 2 2 2 2 2 2 2 17" xfId="15486" xr:uid="{00000000-0005-0000-0000-0000603E0000}"/>
    <cellStyle name="표준 2 2 2 2 2 2 2 2 2 18" xfId="15487" xr:uid="{00000000-0005-0000-0000-0000613E0000}"/>
    <cellStyle name="표준 2 2 2 2 2 2 2 2 2 19" xfId="15488" xr:uid="{00000000-0005-0000-0000-0000623E0000}"/>
    <cellStyle name="표준 2 2 2 2 2 2 2 2 2 2" xfId="15489" xr:uid="{00000000-0005-0000-0000-0000633E0000}"/>
    <cellStyle name="표준 2 2 2 2 2 2 2 2 2 20" xfId="15490" xr:uid="{00000000-0005-0000-0000-0000643E0000}"/>
    <cellStyle name="표준 2 2 2 2 2 2 2 2 2 21" xfId="15491" xr:uid="{00000000-0005-0000-0000-0000653E0000}"/>
    <cellStyle name="표준 2 2 2 2 2 2 2 2 2 22" xfId="15492" xr:uid="{00000000-0005-0000-0000-0000663E0000}"/>
    <cellStyle name="표준 2 2 2 2 2 2 2 2 2 3" xfId="15493" xr:uid="{00000000-0005-0000-0000-0000673E0000}"/>
    <cellStyle name="표준 2 2 2 2 2 2 2 2 2 4" xfId="15494" xr:uid="{00000000-0005-0000-0000-0000683E0000}"/>
    <cellStyle name="표준 2 2 2 2 2 2 2 2 2 5" xfId="15495" xr:uid="{00000000-0005-0000-0000-0000693E0000}"/>
    <cellStyle name="표준 2 2 2 2 2 2 2 2 2 6" xfId="15496" xr:uid="{00000000-0005-0000-0000-00006A3E0000}"/>
    <cellStyle name="표준 2 2 2 2 2 2 2 2 2 7" xfId="15497" xr:uid="{00000000-0005-0000-0000-00006B3E0000}"/>
    <cellStyle name="표준 2 2 2 2 2 2 2 2 2 8" xfId="15498" xr:uid="{00000000-0005-0000-0000-00006C3E0000}"/>
    <cellStyle name="표준 2 2 2 2 2 2 2 2 2 9" xfId="15499" xr:uid="{00000000-0005-0000-0000-00006D3E0000}"/>
    <cellStyle name="표준 2 2 2 2 2 2 2 2 20" xfId="15500" xr:uid="{00000000-0005-0000-0000-00006E3E0000}"/>
    <cellStyle name="표준 2 2 2 2 2 2 2 2 21" xfId="15501" xr:uid="{00000000-0005-0000-0000-00006F3E0000}"/>
    <cellStyle name="표준 2 2 2 2 2 2 2 2 22" xfId="15502" xr:uid="{00000000-0005-0000-0000-0000703E0000}"/>
    <cellStyle name="표준 2 2 2 2 2 2 2 2 3" xfId="15503" xr:uid="{00000000-0005-0000-0000-0000713E0000}"/>
    <cellStyle name="표준 2 2 2 2 2 2 2 2 4" xfId="15504" xr:uid="{00000000-0005-0000-0000-0000723E0000}"/>
    <cellStyle name="표준 2 2 2 2 2 2 2 2 5" xfId="15505" xr:uid="{00000000-0005-0000-0000-0000733E0000}"/>
    <cellStyle name="표준 2 2 2 2 2 2 2 2 6" xfId="15506" xr:uid="{00000000-0005-0000-0000-0000743E0000}"/>
    <cellStyle name="표준 2 2 2 2 2 2 2 2 7" xfId="15507" xr:uid="{00000000-0005-0000-0000-0000753E0000}"/>
    <cellStyle name="표준 2 2 2 2 2 2 2 2 8" xfId="15508" xr:uid="{00000000-0005-0000-0000-0000763E0000}"/>
    <cellStyle name="표준 2 2 2 2 2 2 2 2 9" xfId="15509" xr:uid="{00000000-0005-0000-0000-0000773E0000}"/>
    <cellStyle name="표준 2 2 2 2 2 2 2 20" xfId="15510" xr:uid="{00000000-0005-0000-0000-0000783E0000}"/>
    <cellStyle name="표준 2 2 2 2 2 2 2 21" xfId="15511" xr:uid="{00000000-0005-0000-0000-0000793E0000}"/>
    <cellStyle name="표준 2 2 2 2 2 2 2 22" xfId="15512" xr:uid="{00000000-0005-0000-0000-00007A3E0000}"/>
    <cellStyle name="표준 2 2 2 2 2 2 2 3" xfId="15513" xr:uid="{00000000-0005-0000-0000-00007B3E0000}"/>
    <cellStyle name="표준 2 2 2 2 2 2 2 4" xfId="15514" xr:uid="{00000000-0005-0000-0000-00007C3E0000}"/>
    <cellStyle name="표준 2 2 2 2 2 2 2 5" xfId="15515" xr:uid="{00000000-0005-0000-0000-00007D3E0000}"/>
    <cellStyle name="표준 2 2 2 2 2 2 2 6" xfId="15516" xr:uid="{00000000-0005-0000-0000-00007E3E0000}"/>
    <cellStyle name="표준 2 2 2 2 2 2 2 7" xfId="15517" xr:uid="{00000000-0005-0000-0000-00007F3E0000}"/>
    <cellStyle name="표준 2 2 2 2 2 2 2 8" xfId="15518" xr:uid="{00000000-0005-0000-0000-0000803E0000}"/>
    <cellStyle name="표준 2 2 2 2 2 2 2 9" xfId="15519" xr:uid="{00000000-0005-0000-0000-0000813E0000}"/>
    <cellStyle name="표준 2 2 2 2 2 2 20" xfId="15520" xr:uid="{00000000-0005-0000-0000-0000823E0000}"/>
    <cellStyle name="표준 2 2 2 2 2 2 21" xfId="15521" xr:uid="{00000000-0005-0000-0000-0000833E0000}"/>
    <cellStyle name="표준 2 2 2 2 2 2 22" xfId="15522" xr:uid="{00000000-0005-0000-0000-0000843E0000}"/>
    <cellStyle name="표준 2 2 2 2 2 2 23" xfId="15523" xr:uid="{00000000-0005-0000-0000-0000853E0000}"/>
    <cellStyle name="표준 2 2 2 2 2 2 24" xfId="15524" xr:uid="{00000000-0005-0000-0000-0000863E0000}"/>
    <cellStyle name="표준 2 2 2 2 2 2 3" xfId="15525" xr:uid="{00000000-0005-0000-0000-0000873E0000}"/>
    <cellStyle name="표준 2 2 2 2 2 2 4" xfId="15526" xr:uid="{00000000-0005-0000-0000-0000883E0000}"/>
    <cellStyle name="표준 2 2 2 2 2 2 5" xfId="15527" xr:uid="{00000000-0005-0000-0000-0000893E0000}"/>
    <cellStyle name="표준 2 2 2 2 2 2 6" xfId="15528" xr:uid="{00000000-0005-0000-0000-00008A3E0000}"/>
    <cellStyle name="표준 2 2 2 2 2 2 7" xfId="15529" xr:uid="{00000000-0005-0000-0000-00008B3E0000}"/>
    <cellStyle name="표준 2 2 2 2 2 2 8" xfId="15530" xr:uid="{00000000-0005-0000-0000-00008C3E0000}"/>
    <cellStyle name="표준 2 2 2 2 2 2 9" xfId="15531" xr:uid="{00000000-0005-0000-0000-00008D3E0000}"/>
    <cellStyle name="표준 2 2 2 2 2 20" xfId="15532" xr:uid="{00000000-0005-0000-0000-00008E3E0000}"/>
    <cellStyle name="표준 2 2 2 2 2 21" xfId="15533" xr:uid="{00000000-0005-0000-0000-00008F3E0000}"/>
    <cellStyle name="표준 2 2 2 2 2 22" xfId="15534" xr:uid="{00000000-0005-0000-0000-0000903E0000}"/>
    <cellStyle name="표준 2 2 2 2 2 23" xfId="15535" xr:uid="{00000000-0005-0000-0000-0000913E0000}"/>
    <cellStyle name="표준 2 2 2 2 2 24" xfId="15536" xr:uid="{00000000-0005-0000-0000-0000923E0000}"/>
    <cellStyle name="표준 2 2 2 2 2 3" xfId="15537" xr:uid="{00000000-0005-0000-0000-0000933E0000}"/>
    <cellStyle name="표준 2 2 2 2 2 4" xfId="15538" xr:uid="{00000000-0005-0000-0000-0000943E0000}"/>
    <cellStyle name="표준 2 2 2 2 2 5" xfId="15539" xr:uid="{00000000-0005-0000-0000-0000953E0000}"/>
    <cellStyle name="표준 2 2 2 2 2 6" xfId="15540" xr:uid="{00000000-0005-0000-0000-0000963E0000}"/>
    <cellStyle name="표준 2 2 2 2 2 7" xfId="15541" xr:uid="{00000000-0005-0000-0000-0000973E0000}"/>
    <cellStyle name="표준 2 2 2 2 2 8" xfId="15542" xr:uid="{00000000-0005-0000-0000-0000983E0000}"/>
    <cellStyle name="표준 2 2 2 2 2 9" xfId="15543" xr:uid="{00000000-0005-0000-0000-0000993E0000}"/>
    <cellStyle name="표준 2 2 2 2 20" xfId="15544" xr:uid="{00000000-0005-0000-0000-00009A3E0000}"/>
    <cellStyle name="표준 2 2 2 2 21" xfId="15545" xr:uid="{00000000-0005-0000-0000-00009B3E0000}"/>
    <cellStyle name="표준 2 2 2 2 22" xfId="15546" xr:uid="{00000000-0005-0000-0000-00009C3E0000}"/>
    <cellStyle name="표준 2 2 2 2 23" xfId="15547" xr:uid="{00000000-0005-0000-0000-00009D3E0000}"/>
    <cellStyle name="표준 2 2 2 2 24" xfId="15548" xr:uid="{00000000-0005-0000-0000-00009E3E0000}"/>
    <cellStyle name="표준 2 2 2 2 25" xfId="15549" xr:uid="{00000000-0005-0000-0000-00009F3E0000}"/>
    <cellStyle name="표준 2 2 2 2 26" xfId="15550" xr:uid="{00000000-0005-0000-0000-0000A03E0000}"/>
    <cellStyle name="표준 2 2 2 2 27" xfId="15551" xr:uid="{00000000-0005-0000-0000-0000A13E0000}"/>
    <cellStyle name="표준 2 2 2 2 28" xfId="15552" xr:uid="{00000000-0005-0000-0000-0000A23E0000}"/>
    <cellStyle name="표준 2 2 2 2 29" xfId="15553" xr:uid="{00000000-0005-0000-0000-0000A33E0000}"/>
    <cellStyle name="표준 2 2 2 2 3" xfId="15554" xr:uid="{00000000-0005-0000-0000-0000A43E0000}"/>
    <cellStyle name="표준 2 2 2 2 30" xfId="15555" xr:uid="{00000000-0005-0000-0000-0000A53E0000}"/>
    <cellStyle name="표준 2 2 2 2 31" xfId="15556" xr:uid="{00000000-0005-0000-0000-0000A63E0000}"/>
    <cellStyle name="표준 2 2 2 2 32" xfId="15557" xr:uid="{00000000-0005-0000-0000-0000A73E0000}"/>
    <cellStyle name="표준 2 2 2 2 33" xfId="15558" xr:uid="{00000000-0005-0000-0000-0000A83E0000}"/>
    <cellStyle name="표준 2 2 2 2 34" xfId="15559" xr:uid="{00000000-0005-0000-0000-0000A93E0000}"/>
    <cellStyle name="표준 2 2 2 2 35" xfId="15560" xr:uid="{00000000-0005-0000-0000-0000AA3E0000}"/>
    <cellStyle name="표준 2 2 2 2 36" xfId="15561" xr:uid="{00000000-0005-0000-0000-0000AB3E0000}"/>
    <cellStyle name="표준 2 2 2 2 37" xfId="15562" xr:uid="{00000000-0005-0000-0000-0000AC3E0000}"/>
    <cellStyle name="표준 2 2 2 2 38" xfId="15563" xr:uid="{00000000-0005-0000-0000-0000AD3E0000}"/>
    <cellStyle name="표준 2 2 2 2 39" xfId="15564" xr:uid="{00000000-0005-0000-0000-0000AE3E0000}"/>
    <cellStyle name="표준 2 2 2 2 4" xfId="15565" xr:uid="{00000000-0005-0000-0000-0000AF3E0000}"/>
    <cellStyle name="표준 2 2 2 2 40" xfId="15566" xr:uid="{00000000-0005-0000-0000-0000B03E0000}"/>
    <cellStyle name="표준 2 2 2 2 41" xfId="15567" xr:uid="{00000000-0005-0000-0000-0000B13E0000}"/>
    <cellStyle name="표준 2 2 2 2 42" xfId="15568" xr:uid="{00000000-0005-0000-0000-0000B23E0000}"/>
    <cellStyle name="표준 2 2 2 2 43" xfId="15569" xr:uid="{00000000-0005-0000-0000-0000B33E0000}"/>
    <cellStyle name="표준 2 2 2 2 44" xfId="15570" xr:uid="{00000000-0005-0000-0000-0000B43E0000}"/>
    <cellStyle name="표준 2 2 2 2 45" xfId="15571" xr:uid="{00000000-0005-0000-0000-0000B53E0000}"/>
    <cellStyle name="표준 2 2 2 2 46" xfId="15572" xr:uid="{00000000-0005-0000-0000-0000B63E0000}"/>
    <cellStyle name="표준 2 2 2 2 5" xfId="15573" xr:uid="{00000000-0005-0000-0000-0000B73E0000}"/>
    <cellStyle name="표준 2 2 2 2 6" xfId="15574" xr:uid="{00000000-0005-0000-0000-0000B83E0000}"/>
    <cellStyle name="표준 2 2 2 2 7" xfId="15575" xr:uid="{00000000-0005-0000-0000-0000B93E0000}"/>
    <cellStyle name="표준 2 2 2 2 8" xfId="15576" xr:uid="{00000000-0005-0000-0000-0000BA3E0000}"/>
    <cellStyle name="표준 2 2 2 2 9" xfId="15577" xr:uid="{00000000-0005-0000-0000-0000BB3E0000}"/>
    <cellStyle name="표준 2 2 2 20" xfId="15578" xr:uid="{00000000-0005-0000-0000-0000BC3E0000}"/>
    <cellStyle name="표준 2 2 2 20 2" xfId="15579" xr:uid="{00000000-0005-0000-0000-0000BD3E0000}"/>
    <cellStyle name="표준 2 2 2 21" xfId="15580" xr:uid="{00000000-0005-0000-0000-0000BE3E0000}"/>
    <cellStyle name="표준 2 2 2 21 2" xfId="15581" xr:uid="{00000000-0005-0000-0000-0000BF3E0000}"/>
    <cellStyle name="표준 2 2 2 22" xfId="15582" xr:uid="{00000000-0005-0000-0000-0000C03E0000}"/>
    <cellStyle name="표준 2 2 2 22 2" xfId="15583" xr:uid="{00000000-0005-0000-0000-0000C13E0000}"/>
    <cellStyle name="표준 2 2 2 23" xfId="15584" xr:uid="{00000000-0005-0000-0000-0000C23E0000}"/>
    <cellStyle name="표준 2 2 2 23 2" xfId="15585" xr:uid="{00000000-0005-0000-0000-0000C33E0000}"/>
    <cellStyle name="표준 2 2 2 24" xfId="15586" xr:uid="{00000000-0005-0000-0000-0000C43E0000}"/>
    <cellStyle name="표준 2 2 2 24 2" xfId="15587" xr:uid="{00000000-0005-0000-0000-0000C53E0000}"/>
    <cellStyle name="표준 2 2 2 25" xfId="15588" xr:uid="{00000000-0005-0000-0000-0000C63E0000}"/>
    <cellStyle name="표준 2 2 2 25 2" xfId="15589" xr:uid="{00000000-0005-0000-0000-0000C73E0000}"/>
    <cellStyle name="표준 2 2 2 26" xfId="15590" xr:uid="{00000000-0005-0000-0000-0000C83E0000}"/>
    <cellStyle name="표준 2 2 2 27" xfId="15591" xr:uid="{00000000-0005-0000-0000-0000C93E0000}"/>
    <cellStyle name="표준 2 2 2 28" xfId="15592" xr:uid="{00000000-0005-0000-0000-0000CA3E0000}"/>
    <cellStyle name="표준 2 2 2 29" xfId="15593" xr:uid="{00000000-0005-0000-0000-0000CB3E0000}"/>
    <cellStyle name="표준 2 2 2 3" xfId="15594" xr:uid="{00000000-0005-0000-0000-0000CC3E0000}"/>
    <cellStyle name="표준 2 2 2 30" xfId="15595" xr:uid="{00000000-0005-0000-0000-0000CD3E0000}"/>
    <cellStyle name="표준 2 2 2 31" xfId="15596" xr:uid="{00000000-0005-0000-0000-0000CE3E0000}"/>
    <cellStyle name="표준 2 2 2 32" xfId="15597" xr:uid="{00000000-0005-0000-0000-0000CF3E0000}"/>
    <cellStyle name="표준 2 2 2 33" xfId="15598" xr:uid="{00000000-0005-0000-0000-0000D03E0000}"/>
    <cellStyle name="표준 2 2 2 34" xfId="15599" xr:uid="{00000000-0005-0000-0000-0000D13E0000}"/>
    <cellStyle name="표준 2 2 2 35" xfId="15600" xr:uid="{00000000-0005-0000-0000-0000D23E0000}"/>
    <cellStyle name="표준 2 2 2 36" xfId="15601" xr:uid="{00000000-0005-0000-0000-0000D33E0000}"/>
    <cellStyle name="표준 2 2 2 37" xfId="15602" xr:uid="{00000000-0005-0000-0000-0000D43E0000}"/>
    <cellStyle name="표준 2 2 2 38" xfId="15603" xr:uid="{00000000-0005-0000-0000-0000D53E0000}"/>
    <cellStyle name="표준 2 2 2 39" xfId="15604" xr:uid="{00000000-0005-0000-0000-0000D63E0000}"/>
    <cellStyle name="표준 2 2 2 4" xfId="15605" xr:uid="{00000000-0005-0000-0000-0000D73E0000}"/>
    <cellStyle name="표준 2 2 2 40" xfId="15606" xr:uid="{00000000-0005-0000-0000-0000D83E0000}"/>
    <cellStyle name="표준 2 2 2 41" xfId="15607" xr:uid="{00000000-0005-0000-0000-0000D93E0000}"/>
    <cellStyle name="표준 2 2 2 42" xfId="15608" xr:uid="{00000000-0005-0000-0000-0000DA3E0000}"/>
    <cellStyle name="표준 2 2 2 43" xfId="15609" xr:uid="{00000000-0005-0000-0000-0000DB3E0000}"/>
    <cellStyle name="표준 2 2 2 44" xfId="15610" xr:uid="{00000000-0005-0000-0000-0000DC3E0000}"/>
    <cellStyle name="표준 2 2 2 45" xfId="15611" xr:uid="{00000000-0005-0000-0000-0000DD3E0000}"/>
    <cellStyle name="표준 2 2 2 46" xfId="15612" xr:uid="{00000000-0005-0000-0000-0000DE3E0000}"/>
    <cellStyle name="표준 2 2 2 47" xfId="15613" xr:uid="{00000000-0005-0000-0000-0000DF3E0000}"/>
    <cellStyle name="표준 2 2 2 48" xfId="15614" xr:uid="{00000000-0005-0000-0000-0000E03E0000}"/>
    <cellStyle name="표준 2 2 2 5" xfId="15615" xr:uid="{00000000-0005-0000-0000-0000E13E0000}"/>
    <cellStyle name="표준 2 2 2 6" xfId="15616" xr:uid="{00000000-0005-0000-0000-0000E23E0000}"/>
    <cellStyle name="표준 2 2 2 7" xfId="15617" xr:uid="{00000000-0005-0000-0000-0000E33E0000}"/>
    <cellStyle name="표준 2 2 2 8" xfId="15618" xr:uid="{00000000-0005-0000-0000-0000E43E0000}"/>
    <cellStyle name="표준 2 2 2 9" xfId="15619" xr:uid="{00000000-0005-0000-0000-0000E53E0000}"/>
    <cellStyle name="표준 2 2 20" xfId="15620" xr:uid="{00000000-0005-0000-0000-0000E63E0000}"/>
    <cellStyle name="표준 2 2 21" xfId="15621" xr:uid="{00000000-0005-0000-0000-0000E73E0000}"/>
    <cellStyle name="표준 2 2 22" xfId="15622" xr:uid="{00000000-0005-0000-0000-0000E83E0000}"/>
    <cellStyle name="표준 2 2 23" xfId="15623" xr:uid="{00000000-0005-0000-0000-0000E93E0000}"/>
    <cellStyle name="표준 2 2 24" xfId="15624" xr:uid="{00000000-0005-0000-0000-0000EA3E0000}"/>
    <cellStyle name="표준 2 2 25" xfId="15625" xr:uid="{00000000-0005-0000-0000-0000EB3E0000}"/>
    <cellStyle name="표준 2 2 26" xfId="15626" xr:uid="{00000000-0005-0000-0000-0000EC3E0000}"/>
    <cellStyle name="표준 2 2 27" xfId="15627" xr:uid="{00000000-0005-0000-0000-0000ED3E0000}"/>
    <cellStyle name="표준 2 2 28" xfId="15628" xr:uid="{00000000-0005-0000-0000-0000EE3E0000}"/>
    <cellStyle name="표준 2 2 29" xfId="15629" xr:uid="{00000000-0005-0000-0000-0000EF3E0000}"/>
    <cellStyle name="표준 2 2 3" xfId="15630" xr:uid="{00000000-0005-0000-0000-0000F03E0000}"/>
    <cellStyle name="표준 2 2 30" xfId="15631" xr:uid="{00000000-0005-0000-0000-0000F13E0000}"/>
    <cellStyle name="표준 2 2 31" xfId="15632" xr:uid="{00000000-0005-0000-0000-0000F23E0000}"/>
    <cellStyle name="표준 2 2 32" xfId="15633" xr:uid="{00000000-0005-0000-0000-0000F33E0000}"/>
    <cellStyle name="표준 2 2 33" xfId="15634" xr:uid="{00000000-0005-0000-0000-0000F43E0000}"/>
    <cellStyle name="표준 2 2 34" xfId="15635" xr:uid="{00000000-0005-0000-0000-0000F53E0000}"/>
    <cellStyle name="표준 2 2 35" xfId="15636" xr:uid="{00000000-0005-0000-0000-0000F63E0000}"/>
    <cellStyle name="표준 2 2 36" xfId="15637" xr:uid="{00000000-0005-0000-0000-0000F73E0000}"/>
    <cellStyle name="표준 2 2 37" xfId="15638" xr:uid="{00000000-0005-0000-0000-0000F83E0000}"/>
    <cellStyle name="표준 2 2 38" xfId="15639" xr:uid="{00000000-0005-0000-0000-0000F93E0000}"/>
    <cellStyle name="표준 2 2 39" xfId="15640" xr:uid="{00000000-0005-0000-0000-0000FA3E0000}"/>
    <cellStyle name="표준 2 2 4" xfId="15641" xr:uid="{00000000-0005-0000-0000-0000FB3E0000}"/>
    <cellStyle name="표준 2 2 40" xfId="15642" xr:uid="{00000000-0005-0000-0000-0000FC3E0000}"/>
    <cellStyle name="표준 2 2 41" xfId="15643" xr:uid="{00000000-0005-0000-0000-0000FD3E0000}"/>
    <cellStyle name="표준 2 2 42" xfId="15644" xr:uid="{00000000-0005-0000-0000-0000FE3E0000}"/>
    <cellStyle name="표준 2 2 43" xfId="15645" xr:uid="{00000000-0005-0000-0000-0000FF3E0000}"/>
    <cellStyle name="표준 2 2 44" xfId="15646" xr:uid="{00000000-0005-0000-0000-0000003F0000}"/>
    <cellStyle name="표준 2 2 45" xfId="15647" xr:uid="{00000000-0005-0000-0000-0000013F0000}"/>
    <cellStyle name="표준 2 2 46" xfId="15648" xr:uid="{00000000-0005-0000-0000-0000023F0000}"/>
    <cellStyle name="표준 2 2 47" xfId="15649" xr:uid="{00000000-0005-0000-0000-0000033F0000}"/>
    <cellStyle name="표준 2 2 48" xfId="15650" xr:uid="{00000000-0005-0000-0000-0000043F0000}"/>
    <cellStyle name="표준 2 2 49" xfId="15651" xr:uid="{00000000-0005-0000-0000-0000053F0000}"/>
    <cellStyle name="표준 2 2 5" xfId="15652" xr:uid="{00000000-0005-0000-0000-0000063F0000}"/>
    <cellStyle name="표준 2 2 50" xfId="15653" xr:uid="{00000000-0005-0000-0000-0000073F0000}"/>
    <cellStyle name="표준 2 2 51" xfId="15654" xr:uid="{00000000-0005-0000-0000-0000083F0000}"/>
    <cellStyle name="표준 2 2 52" xfId="15655" xr:uid="{00000000-0005-0000-0000-0000093F0000}"/>
    <cellStyle name="표준 2 2 53" xfId="15656" xr:uid="{00000000-0005-0000-0000-00000A3F0000}"/>
    <cellStyle name="표준 2 2 6" xfId="15657" xr:uid="{00000000-0005-0000-0000-00000B3F0000}"/>
    <cellStyle name="표준 2 2 7" xfId="15658" xr:uid="{00000000-0005-0000-0000-00000C3F0000}"/>
    <cellStyle name="표준 2 2 8" xfId="15659" xr:uid="{00000000-0005-0000-0000-00000D3F0000}"/>
    <cellStyle name="표준 2 2 9" xfId="15660" xr:uid="{00000000-0005-0000-0000-00000E3F0000}"/>
    <cellStyle name="표준 2 20" xfId="15661" xr:uid="{00000000-0005-0000-0000-00000F3F0000}"/>
    <cellStyle name="표준 2 21" xfId="15662" xr:uid="{00000000-0005-0000-0000-0000103F0000}"/>
    <cellStyle name="표준 2 22" xfId="15663" xr:uid="{00000000-0005-0000-0000-0000113F0000}"/>
    <cellStyle name="표준 2 23" xfId="15664" xr:uid="{00000000-0005-0000-0000-0000123F0000}"/>
    <cellStyle name="표준 2 23 10" xfId="15665" xr:uid="{00000000-0005-0000-0000-0000133F0000}"/>
    <cellStyle name="표준 2 23 11" xfId="15666" xr:uid="{00000000-0005-0000-0000-0000143F0000}"/>
    <cellStyle name="표준 2 23 12" xfId="15667" xr:uid="{00000000-0005-0000-0000-0000153F0000}"/>
    <cellStyle name="표준 2 23 13" xfId="15668" xr:uid="{00000000-0005-0000-0000-0000163F0000}"/>
    <cellStyle name="표준 2 23 2" xfId="15669" xr:uid="{00000000-0005-0000-0000-0000173F0000}"/>
    <cellStyle name="표준 2 23 3" xfId="15670" xr:uid="{00000000-0005-0000-0000-0000183F0000}"/>
    <cellStyle name="표준 2 23 4" xfId="15671" xr:uid="{00000000-0005-0000-0000-0000193F0000}"/>
    <cellStyle name="표준 2 23 5" xfId="15672" xr:uid="{00000000-0005-0000-0000-00001A3F0000}"/>
    <cellStyle name="표준 2 23 6" xfId="15673" xr:uid="{00000000-0005-0000-0000-00001B3F0000}"/>
    <cellStyle name="표준 2 23 7" xfId="15674" xr:uid="{00000000-0005-0000-0000-00001C3F0000}"/>
    <cellStyle name="표준 2 23 8" xfId="15675" xr:uid="{00000000-0005-0000-0000-00001D3F0000}"/>
    <cellStyle name="표준 2 23 9" xfId="15676" xr:uid="{00000000-0005-0000-0000-00001E3F0000}"/>
    <cellStyle name="표준 2 24" xfId="15677" xr:uid="{00000000-0005-0000-0000-00001F3F0000}"/>
    <cellStyle name="표준 2 24 10" xfId="15678" xr:uid="{00000000-0005-0000-0000-0000203F0000}"/>
    <cellStyle name="표준 2 24 11" xfId="15679" xr:uid="{00000000-0005-0000-0000-0000213F0000}"/>
    <cellStyle name="표준 2 24 12" xfId="15680" xr:uid="{00000000-0005-0000-0000-0000223F0000}"/>
    <cellStyle name="표준 2 24 13" xfId="15681" xr:uid="{00000000-0005-0000-0000-0000233F0000}"/>
    <cellStyle name="표준 2 24 2" xfId="15682" xr:uid="{00000000-0005-0000-0000-0000243F0000}"/>
    <cellStyle name="표준 2 24 3" xfId="15683" xr:uid="{00000000-0005-0000-0000-0000253F0000}"/>
    <cellStyle name="표준 2 24 4" xfId="15684" xr:uid="{00000000-0005-0000-0000-0000263F0000}"/>
    <cellStyle name="표준 2 24 5" xfId="15685" xr:uid="{00000000-0005-0000-0000-0000273F0000}"/>
    <cellStyle name="표준 2 24 6" xfId="15686" xr:uid="{00000000-0005-0000-0000-0000283F0000}"/>
    <cellStyle name="표준 2 24 7" xfId="15687" xr:uid="{00000000-0005-0000-0000-0000293F0000}"/>
    <cellStyle name="표준 2 24 8" xfId="15688" xr:uid="{00000000-0005-0000-0000-00002A3F0000}"/>
    <cellStyle name="표준 2 24 9" xfId="15689" xr:uid="{00000000-0005-0000-0000-00002B3F0000}"/>
    <cellStyle name="표준 2 25" xfId="15690" xr:uid="{00000000-0005-0000-0000-00002C3F0000}"/>
    <cellStyle name="표준 2 26" xfId="15691" xr:uid="{00000000-0005-0000-0000-00002D3F0000}"/>
    <cellStyle name="표준 2 27" xfId="15692" xr:uid="{00000000-0005-0000-0000-00002E3F0000}"/>
    <cellStyle name="표준 2 28" xfId="15693" xr:uid="{00000000-0005-0000-0000-00002F3F0000}"/>
    <cellStyle name="표준 2 29" xfId="15694" xr:uid="{00000000-0005-0000-0000-0000303F0000}"/>
    <cellStyle name="표준 2 3" xfId="15695" xr:uid="{00000000-0005-0000-0000-0000313F0000}"/>
    <cellStyle name="표준 2 3 10" xfId="15696" xr:uid="{00000000-0005-0000-0000-0000323F0000}"/>
    <cellStyle name="표준 2 3 11" xfId="15697" xr:uid="{00000000-0005-0000-0000-0000333F0000}"/>
    <cellStyle name="표준 2 3 12" xfId="15698" xr:uid="{00000000-0005-0000-0000-0000343F0000}"/>
    <cellStyle name="표준 2 3 13" xfId="15699" xr:uid="{00000000-0005-0000-0000-0000353F0000}"/>
    <cellStyle name="표준 2 3 14" xfId="15700" xr:uid="{00000000-0005-0000-0000-0000363F0000}"/>
    <cellStyle name="표준 2 3 15" xfId="15701" xr:uid="{00000000-0005-0000-0000-0000373F0000}"/>
    <cellStyle name="표준 2 3 16" xfId="15702" xr:uid="{00000000-0005-0000-0000-0000383F0000}"/>
    <cellStyle name="표준 2 3 17" xfId="15703" xr:uid="{00000000-0005-0000-0000-0000393F0000}"/>
    <cellStyle name="표준 2 3 18" xfId="15704" xr:uid="{00000000-0005-0000-0000-00003A3F0000}"/>
    <cellStyle name="표준 2 3 19" xfId="15705" xr:uid="{00000000-0005-0000-0000-00003B3F0000}"/>
    <cellStyle name="표준 2 3 2" xfId="15706" xr:uid="{00000000-0005-0000-0000-00003C3F0000}"/>
    <cellStyle name="표준 2 3 2 2" xfId="15707" xr:uid="{00000000-0005-0000-0000-00003D3F0000}"/>
    <cellStyle name="표준 2 3 2 3" xfId="15708" xr:uid="{00000000-0005-0000-0000-00003E3F0000}"/>
    <cellStyle name="표준 2 3 2 4" xfId="15709" xr:uid="{00000000-0005-0000-0000-00003F3F0000}"/>
    <cellStyle name="표준 2 3 20" xfId="15710" xr:uid="{00000000-0005-0000-0000-0000403F0000}"/>
    <cellStyle name="표준 2 3 21" xfId="15711" xr:uid="{00000000-0005-0000-0000-0000413F0000}"/>
    <cellStyle name="표준 2 3 22" xfId="15712" xr:uid="{00000000-0005-0000-0000-0000423F0000}"/>
    <cellStyle name="표준 2 3 23" xfId="15713" xr:uid="{00000000-0005-0000-0000-0000433F0000}"/>
    <cellStyle name="표준 2 3 24" xfId="15714" xr:uid="{00000000-0005-0000-0000-0000443F0000}"/>
    <cellStyle name="표준 2 3 25" xfId="15715" xr:uid="{00000000-0005-0000-0000-0000453F0000}"/>
    <cellStyle name="표준 2 3 3" xfId="15716" xr:uid="{00000000-0005-0000-0000-0000463F0000}"/>
    <cellStyle name="표준 2 3 4" xfId="15717" xr:uid="{00000000-0005-0000-0000-0000473F0000}"/>
    <cellStyle name="표준 2 3 5" xfId="15718" xr:uid="{00000000-0005-0000-0000-0000483F0000}"/>
    <cellStyle name="표준 2 3 6" xfId="15719" xr:uid="{00000000-0005-0000-0000-0000493F0000}"/>
    <cellStyle name="표준 2 3 7" xfId="15720" xr:uid="{00000000-0005-0000-0000-00004A3F0000}"/>
    <cellStyle name="표준 2 3 8" xfId="15721" xr:uid="{00000000-0005-0000-0000-00004B3F0000}"/>
    <cellStyle name="표준 2 3 9" xfId="15722" xr:uid="{00000000-0005-0000-0000-00004C3F0000}"/>
    <cellStyle name="표준 2 30" xfId="15723" xr:uid="{00000000-0005-0000-0000-00004D3F0000}"/>
    <cellStyle name="표준 2 31" xfId="15724" xr:uid="{00000000-0005-0000-0000-00004E3F0000}"/>
    <cellStyle name="표준 2 32" xfId="15725" xr:uid="{00000000-0005-0000-0000-00004F3F0000}"/>
    <cellStyle name="표준 2 33" xfId="15726" xr:uid="{00000000-0005-0000-0000-0000503F0000}"/>
    <cellStyle name="표준 2 33 2" xfId="15727" xr:uid="{00000000-0005-0000-0000-0000513F0000}"/>
    <cellStyle name="표준 2 33 3" xfId="15728" xr:uid="{00000000-0005-0000-0000-0000523F0000}"/>
    <cellStyle name="표준 2 33 4" xfId="15729" xr:uid="{00000000-0005-0000-0000-0000533F0000}"/>
    <cellStyle name="표준 2 34" xfId="15730" xr:uid="{00000000-0005-0000-0000-0000543F0000}"/>
    <cellStyle name="표준 2 35" xfId="15731" xr:uid="{00000000-0005-0000-0000-0000553F0000}"/>
    <cellStyle name="표준 2 36" xfId="15732" xr:uid="{00000000-0005-0000-0000-0000563F0000}"/>
    <cellStyle name="표준 2 37" xfId="15733" xr:uid="{00000000-0005-0000-0000-0000573F0000}"/>
    <cellStyle name="표준 2 38" xfId="15734" xr:uid="{00000000-0005-0000-0000-0000583F0000}"/>
    <cellStyle name="표준 2 39" xfId="15735" xr:uid="{00000000-0005-0000-0000-0000593F0000}"/>
    <cellStyle name="표준 2 4" xfId="15736" xr:uid="{00000000-0005-0000-0000-00005A3F0000}"/>
    <cellStyle name="표준 2 4 10" xfId="15737" xr:uid="{00000000-0005-0000-0000-00005B3F0000}"/>
    <cellStyle name="표준 2 4 11" xfId="15738" xr:uid="{00000000-0005-0000-0000-00005C3F0000}"/>
    <cellStyle name="표준 2 4 12" xfId="15739" xr:uid="{00000000-0005-0000-0000-00005D3F0000}"/>
    <cellStyle name="표준 2 4 13" xfId="15740" xr:uid="{00000000-0005-0000-0000-00005E3F0000}"/>
    <cellStyle name="표준 2 4 14" xfId="15741" xr:uid="{00000000-0005-0000-0000-00005F3F0000}"/>
    <cellStyle name="표준 2 4 15" xfId="15742" xr:uid="{00000000-0005-0000-0000-0000603F0000}"/>
    <cellStyle name="표준 2 4 16" xfId="15743" xr:uid="{00000000-0005-0000-0000-0000613F0000}"/>
    <cellStyle name="표준 2 4 17" xfId="15744" xr:uid="{00000000-0005-0000-0000-0000623F0000}"/>
    <cellStyle name="표준 2 4 18" xfId="15745" xr:uid="{00000000-0005-0000-0000-0000633F0000}"/>
    <cellStyle name="표준 2 4 19" xfId="15746" xr:uid="{00000000-0005-0000-0000-0000643F0000}"/>
    <cellStyle name="표준 2 4 2" xfId="15747" xr:uid="{00000000-0005-0000-0000-0000653F0000}"/>
    <cellStyle name="표준 2 4 2 10" xfId="15748" xr:uid="{00000000-0005-0000-0000-0000663F0000}"/>
    <cellStyle name="표준 2 4 2 11" xfId="15749" xr:uid="{00000000-0005-0000-0000-0000673F0000}"/>
    <cellStyle name="표준 2 4 2 12" xfId="15750" xr:uid="{00000000-0005-0000-0000-0000683F0000}"/>
    <cellStyle name="표준 2 4 2 13" xfId="15751" xr:uid="{00000000-0005-0000-0000-0000693F0000}"/>
    <cellStyle name="표준 2 4 2 14" xfId="15752" xr:uid="{00000000-0005-0000-0000-00006A3F0000}"/>
    <cellStyle name="표준 2 4 2 15" xfId="15753" xr:uid="{00000000-0005-0000-0000-00006B3F0000}"/>
    <cellStyle name="표준 2 4 2 16" xfId="15754" xr:uid="{00000000-0005-0000-0000-00006C3F0000}"/>
    <cellStyle name="표준 2 4 2 17" xfId="15755" xr:uid="{00000000-0005-0000-0000-00006D3F0000}"/>
    <cellStyle name="표준 2 4 2 18" xfId="15756" xr:uid="{00000000-0005-0000-0000-00006E3F0000}"/>
    <cellStyle name="표준 2 4 2 19" xfId="15757" xr:uid="{00000000-0005-0000-0000-00006F3F0000}"/>
    <cellStyle name="표준 2 4 2 2" xfId="15758" xr:uid="{00000000-0005-0000-0000-0000703F0000}"/>
    <cellStyle name="표준 2 4 2 2 10" xfId="15759" xr:uid="{00000000-0005-0000-0000-0000713F0000}"/>
    <cellStyle name="표준 2 4 2 2 11" xfId="15760" xr:uid="{00000000-0005-0000-0000-0000723F0000}"/>
    <cellStyle name="표준 2 4 2 2 12" xfId="15761" xr:uid="{00000000-0005-0000-0000-0000733F0000}"/>
    <cellStyle name="표준 2 4 2 2 13" xfId="15762" xr:uid="{00000000-0005-0000-0000-0000743F0000}"/>
    <cellStyle name="표준 2 4 2 2 14" xfId="15763" xr:uid="{00000000-0005-0000-0000-0000753F0000}"/>
    <cellStyle name="표준 2 4 2 2 15" xfId="15764" xr:uid="{00000000-0005-0000-0000-0000763F0000}"/>
    <cellStyle name="표준 2 4 2 2 16" xfId="15765" xr:uid="{00000000-0005-0000-0000-0000773F0000}"/>
    <cellStyle name="표준 2 4 2 2 17" xfId="15766" xr:uid="{00000000-0005-0000-0000-0000783F0000}"/>
    <cellStyle name="표준 2 4 2 2 18" xfId="15767" xr:uid="{00000000-0005-0000-0000-0000793F0000}"/>
    <cellStyle name="표준 2 4 2 2 19" xfId="15768" xr:uid="{00000000-0005-0000-0000-00007A3F0000}"/>
    <cellStyle name="표준 2 4 2 2 2" xfId="15769" xr:uid="{00000000-0005-0000-0000-00007B3F0000}"/>
    <cellStyle name="표준 2 4 2 2 2 10" xfId="15770" xr:uid="{00000000-0005-0000-0000-00007C3F0000}"/>
    <cellStyle name="표준 2 4 2 2 2 11" xfId="15771" xr:uid="{00000000-0005-0000-0000-00007D3F0000}"/>
    <cellStyle name="표준 2 4 2 2 2 12" xfId="15772" xr:uid="{00000000-0005-0000-0000-00007E3F0000}"/>
    <cellStyle name="표준 2 4 2 2 2 13" xfId="15773" xr:uid="{00000000-0005-0000-0000-00007F3F0000}"/>
    <cellStyle name="표준 2 4 2 2 2 14" xfId="15774" xr:uid="{00000000-0005-0000-0000-0000803F0000}"/>
    <cellStyle name="표준 2 4 2 2 2 15" xfId="15775" xr:uid="{00000000-0005-0000-0000-0000813F0000}"/>
    <cellStyle name="표준 2 4 2 2 2 16" xfId="15776" xr:uid="{00000000-0005-0000-0000-0000823F0000}"/>
    <cellStyle name="표준 2 4 2 2 2 17" xfId="15777" xr:uid="{00000000-0005-0000-0000-0000833F0000}"/>
    <cellStyle name="표준 2 4 2 2 2 18" xfId="15778" xr:uid="{00000000-0005-0000-0000-0000843F0000}"/>
    <cellStyle name="표준 2 4 2 2 2 19" xfId="15779" xr:uid="{00000000-0005-0000-0000-0000853F0000}"/>
    <cellStyle name="표준 2 4 2 2 2 2" xfId="15780" xr:uid="{00000000-0005-0000-0000-0000863F0000}"/>
    <cellStyle name="표준 2 4 2 2 2 20" xfId="15781" xr:uid="{00000000-0005-0000-0000-0000873F0000}"/>
    <cellStyle name="표준 2 4 2 2 2 21" xfId="15782" xr:uid="{00000000-0005-0000-0000-0000883F0000}"/>
    <cellStyle name="표준 2 4 2 2 2 22" xfId="15783" xr:uid="{00000000-0005-0000-0000-0000893F0000}"/>
    <cellStyle name="표준 2 4 2 2 2 3" xfId="15784" xr:uid="{00000000-0005-0000-0000-00008A3F0000}"/>
    <cellStyle name="표준 2 4 2 2 2 4" xfId="15785" xr:uid="{00000000-0005-0000-0000-00008B3F0000}"/>
    <cellStyle name="표준 2 4 2 2 2 5" xfId="15786" xr:uid="{00000000-0005-0000-0000-00008C3F0000}"/>
    <cellStyle name="표준 2 4 2 2 2 6" xfId="15787" xr:uid="{00000000-0005-0000-0000-00008D3F0000}"/>
    <cellStyle name="표준 2 4 2 2 2 7" xfId="15788" xr:uid="{00000000-0005-0000-0000-00008E3F0000}"/>
    <cellStyle name="표준 2 4 2 2 2 8" xfId="15789" xr:uid="{00000000-0005-0000-0000-00008F3F0000}"/>
    <cellStyle name="표준 2 4 2 2 2 9" xfId="15790" xr:uid="{00000000-0005-0000-0000-0000903F0000}"/>
    <cellStyle name="표준 2 4 2 2 20" xfId="15791" xr:uid="{00000000-0005-0000-0000-0000913F0000}"/>
    <cellStyle name="표준 2 4 2 2 21" xfId="15792" xr:uid="{00000000-0005-0000-0000-0000923F0000}"/>
    <cellStyle name="표준 2 4 2 2 22" xfId="15793" xr:uid="{00000000-0005-0000-0000-0000933F0000}"/>
    <cellStyle name="표준 2 4 2 2 23" xfId="15794" xr:uid="{00000000-0005-0000-0000-0000943F0000}"/>
    <cellStyle name="표준 2 4 2 2 24" xfId="15795" xr:uid="{00000000-0005-0000-0000-0000953F0000}"/>
    <cellStyle name="표준 2 4 2 2 3" xfId="15796" xr:uid="{00000000-0005-0000-0000-0000963F0000}"/>
    <cellStyle name="표준 2 4 2 2 4" xfId="15797" xr:uid="{00000000-0005-0000-0000-0000973F0000}"/>
    <cellStyle name="표준 2 4 2 2 5" xfId="15798" xr:uid="{00000000-0005-0000-0000-0000983F0000}"/>
    <cellStyle name="표준 2 4 2 2 6" xfId="15799" xr:uid="{00000000-0005-0000-0000-0000993F0000}"/>
    <cellStyle name="표준 2 4 2 2 7" xfId="15800" xr:uid="{00000000-0005-0000-0000-00009A3F0000}"/>
    <cellStyle name="표준 2 4 2 2 8" xfId="15801" xr:uid="{00000000-0005-0000-0000-00009B3F0000}"/>
    <cellStyle name="표준 2 4 2 2 9" xfId="15802" xr:uid="{00000000-0005-0000-0000-00009C3F0000}"/>
    <cellStyle name="표준 2 4 2 20" xfId="15803" xr:uid="{00000000-0005-0000-0000-00009D3F0000}"/>
    <cellStyle name="표준 2 4 2 21" xfId="15804" xr:uid="{00000000-0005-0000-0000-00009E3F0000}"/>
    <cellStyle name="표준 2 4 2 22" xfId="15805" xr:uid="{00000000-0005-0000-0000-00009F3F0000}"/>
    <cellStyle name="표준 2 4 2 23" xfId="15806" xr:uid="{00000000-0005-0000-0000-0000A03F0000}"/>
    <cellStyle name="표준 2 4 2 24" xfId="15807" xr:uid="{00000000-0005-0000-0000-0000A13F0000}"/>
    <cellStyle name="표준 2 4 2 25" xfId="15808" xr:uid="{00000000-0005-0000-0000-0000A23F0000}"/>
    <cellStyle name="표준 2 4 2 26" xfId="15809" xr:uid="{00000000-0005-0000-0000-0000A33F0000}"/>
    <cellStyle name="표준 2 4 2 27" xfId="15810" xr:uid="{00000000-0005-0000-0000-0000A43F0000}"/>
    <cellStyle name="표준 2 4 2 28" xfId="15811" xr:uid="{00000000-0005-0000-0000-0000A53F0000}"/>
    <cellStyle name="표준 2 4 2 29" xfId="15812" xr:uid="{00000000-0005-0000-0000-0000A63F0000}"/>
    <cellStyle name="표준 2 4 2 3" xfId="15813" xr:uid="{00000000-0005-0000-0000-0000A73F0000}"/>
    <cellStyle name="표준 2 4 2 30" xfId="15814" xr:uid="{00000000-0005-0000-0000-0000A83F0000}"/>
    <cellStyle name="표준 2 4 2 31" xfId="15815" xr:uid="{00000000-0005-0000-0000-0000A93F0000}"/>
    <cellStyle name="표준 2 4 2 32" xfId="15816" xr:uid="{00000000-0005-0000-0000-0000AA3F0000}"/>
    <cellStyle name="표준 2 4 2 33" xfId="15817" xr:uid="{00000000-0005-0000-0000-0000AB3F0000}"/>
    <cellStyle name="표준 2 4 2 34" xfId="15818" xr:uid="{00000000-0005-0000-0000-0000AC3F0000}"/>
    <cellStyle name="표준 2 4 2 35" xfId="15819" xr:uid="{00000000-0005-0000-0000-0000AD3F0000}"/>
    <cellStyle name="표준 2 4 2 36" xfId="15820" xr:uid="{00000000-0005-0000-0000-0000AE3F0000}"/>
    <cellStyle name="표준 2 4 2 37" xfId="15821" xr:uid="{00000000-0005-0000-0000-0000AF3F0000}"/>
    <cellStyle name="표준 2 4 2 38" xfId="15822" xr:uid="{00000000-0005-0000-0000-0000B03F0000}"/>
    <cellStyle name="표준 2 4 2 39" xfId="15823" xr:uid="{00000000-0005-0000-0000-0000B13F0000}"/>
    <cellStyle name="표준 2 4 2 4" xfId="15824" xr:uid="{00000000-0005-0000-0000-0000B23F0000}"/>
    <cellStyle name="표준 2 4 2 40" xfId="15825" xr:uid="{00000000-0005-0000-0000-0000B33F0000}"/>
    <cellStyle name="표준 2 4 2 41" xfId="15826" xr:uid="{00000000-0005-0000-0000-0000B43F0000}"/>
    <cellStyle name="표준 2 4 2 42" xfId="15827" xr:uid="{00000000-0005-0000-0000-0000B53F0000}"/>
    <cellStyle name="표준 2 4 2 43" xfId="15828" xr:uid="{00000000-0005-0000-0000-0000B63F0000}"/>
    <cellStyle name="표준 2 4 2 44" xfId="15829" xr:uid="{00000000-0005-0000-0000-0000B73F0000}"/>
    <cellStyle name="표준 2 4 2 45" xfId="15830" xr:uid="{00000000-0005-0000-0000-0000B83F0000}"/>
    <cellStyle name="표준 2 4 2 5" xfId="15831" xr:uid="{00000000-0005-0000-0000-0000B93F0000}"/>
    <cellStyle name="표준 2 4 2 6" xfId="15832" xr:uid="{00000000-0005-0000-0000-0000BA3F0000}"/>
    <cellStyle name="표준 2 4 2 7" xfId="15833" xr:uid="{00000000-0005-0000-0000-0000BB3F0000}"/>
    <cellStyle name="표준 2 4 2 8" xfId="15834" xr:uid="{00000000-0005-0000-0000-0000BC3F0000}"/>
    <cellStyle name="표준 2 4 2 9" xfId="15835" xr:uid="{00000000-0005-0000-0000-0000BD3F0000}"/>
    <cellStyle name="표준 2 4 20" xfId="15836" xr:uid="{00000000-0005-0000-0000-0000BE3F0000}"/>
    <cellStyle name="표준 2 4 21" xfId="15837" xr:uid="{00000000-0005-0000-0000-0000BF3F0000}"/>
    <cellStyle name="표준 2 4 22" xfId="15838" xr:uid="{00000000-0005-0000-0000-0000C03F0000}"/>
    <cellStyle name="표준 2 4 23" xfId="15839" xr:uid="{00000000-0005-0000-0000-0000C13F0000}"/>
    <cellStyle name="표준 2 4 24" xfId="15840" xr:uid="{00000000-0005-0000-0000-0000C23F0000}"/>
    <cellStyle name="표준 2 4 25" xfId="15841" xr:uid="{00000000-0005-0000-0000-0000C33F0000}"/>
    <cellStyle name="표준 2 4 26" xfId="15842" xr:uid="{00000000-0005-0000-0000-0000C43F0000}"/>
    <cellStyle name="표준 2 4 27" xfId="15843" xr:uid="{00000000-0005-0000-0000-0000C53F0000}"/>
    <cellStyle name="표준 2 4 28" xfId="15844" xr:uid="{00000000-0005-0000-0000-0000C63F0000}"/>
    <cellStyle name="표준 2 4 29" xfId="15845" xr:uid="{00000000-0005-0000-0000-0000C73F0000}"/>
    <cellStyle name="표준 2 4 3" xfId="15846" xr:uid="{00000000-0005-0000-0000-0000C83F0000}"/>
    <cellStyle name="표준 2 4 30" xfId="15847" xr:uid="{00000000-0005-0000-0000-0000C93F0000}"/>
    <cellStyle name="표준 2 4 31" xfId="15848" xr:uid="{00000000-0005-0000-0000-0000CA3F0000}"/>
    <cellStyle name="표준 2 4 32" xfId="15849" xr:uid="{00000000-0005-0000-0000-0000CB3F0000}"/>
    <cellStyle name="표준 2 4 33" xfId="15850" xr:uid="{00000000-0005-0000-0000-0000CC3F0000}"/>
    <cellStyle name="표준 2 4 34" xfId="15851" xr:uid="{00000000-0005-0000-0000-0000CD3F0000}"/>
    <cellStyle name="표준 2 4 35" xfId="15852" xr:uid="{00000000-0005-0000-0000-0000CE3F0000}"/>
    <cellStyle name="표준 2 4 36" xfId="15853" xr:uid="{00000000-0005-0000-0000-0000CF3F0000}"/>
    <cellStyle name="표준 2 4 37" xfId="15854" xr:uid="{00000000-0005-0000-0000-0000D03F0000}"/>
    <cellStyle name="표준 2 4 38" xfId="15855" xr:uid="{00000000-0005-0000-0000-0000D13F0000}"/>
    <cellStyle name="표준 2 4 39" xfId="15856" xr:uid="{00000000-0005-0000-0000-0000D23F0000}"/>
    <cellStyle name="표준 2 4 4" xfId="15857" xr:uid="{00000000-0005-0000-0000-0000D33F0000}"/>
    <cellStyle name="표준 2 4 40" xfId="15858" xr:uid="{00000000-0005-0000-0000-0000D43F0000}"/>
    <cellStyle name="표준 2 4 41" xfId="15859" xr:uid="{00000000-0005-0000-0000-0000D53F0000}"/>
    <cellStyle name="표준 2 4 42" xfId="15860" xr:uid="{00000000-0005-0000-0000-0000D63F0000}"/>
    <cellStyle name="표준 2 4 43" xfId="15861" xr:uid="{00000000-0005-0000-0000-0000D73F0000}"/>
    <cellStyle name="표준 2 4 44" xfId="15862" xr:uid="{00000000-0005-0000-0000-0000D83F0000}"/>
    <cellStyle name="표준 2 4 45" xfId="15863" xr:uid="{00000000-0005-0000-0000-0000D93F0000}"/>
    <cellStyle name="표준 2 4 46" xfId="15864" xr:uid="{00000000-0005-0000-0000-0000DA3F0000}"/>
    <cellStyle name="표준 2 4 47" xfId="15865" xr:uid="{00000000-0005-0000-0000-0000DB3F0000}"/>
    <cellStyle name="표준 2 4 5" xfId="15866" xr:uid="{00000000-0005-0000-0000-0000DC3F0000}"/>
    <cellStyle name="표준 2 4 5 2" xfId="15867" xr:uid="{00000000-0005-0000-0000-0000DD3F0000}"/>
    <cellStyle name="표준 2 4 5 3" xfId="15868" xr:uid="{00000000-0005-0000-0000-0000DE3F0000}"/>
    <cellStyle name="표준 2 4 5 4" xfId="15869" xr:uid="{00000000-0005-0000-0000-0000DF3F0000}"/>
    <cellStyle name="표준 2 4 6" xfId="15870" xr:uid="{00000000-0005-0000-0000-0000E03F0000}"/>
    <cellStyle name="표준 2 4 7" xfId="15871" xr:uid="{00000000-0005-0000-0000-0000E13F0000}"/>
    <cellStyle name="표준 2 4 8" xfId="15872" xr:uid="{00000000-0005-0000-0000-0000E23F0000}"/>
    <cellStyle name="표준 2 4 9" xfId="15873" xr:uid="{00000000-0005-0000-0000-0000E33F0000}"/>
    <cellStyle name="표준 2 40" xfId="15874" xr:uid="{00000000-0005-0000-0000-0000E43F0000}"/>
    <cellStyle name="표준 2 41" xfId="15875" xr:uid="{00000000-0005-0000-0000-0000E53F0000}"/>
    <cellStyle name="표준 2 42" xfId="15876" xr:uid="{00000000-0005-0000-0000-0000E63F0000}"/>
    <cellStyle name="표준 2 43" xfId="15877" xr:uid="{00000000-0005-0000-0000-0000E73F0000}"/>
    <cellStyle name="표준 2 44" xfId="15878" xr:uid="{00000000-0005-0000-0000-0000E83F0000}"/>
    <cellStyle name="표준 2 44 2" xfId="15879" xr:uid="{00000000-0005-0000-0000-0000E93F0000}"/>
    <cellStyle name="표준 2 45" xfId="15880" xr:uid="{00000000-0005-0000-0000-0000EA3F0000}"/>
    <cellStyle name="표준 2 46" xfId="15881" xr:uid="{00000000-0005-0000-0000-0000EB3F0000}"/>
    <cellStyle name="표준 2 47" xfId="15882" xr:uid="{00000000-0005-0000-0000-0000EC3F0000}"/>
    <cellStyle name="표준 2 48" xfId="15883" xr:uid="{00000000-0005-0000-0000-0000ED3F0000}"/>
    <cellStyle name="표준 2 49" xfId="15884" xr:uid="{00000000-0005-0000-0000-0000EE3F0000}"/>
    <cellStyle name="표준 2 5" xfId="15885" xr:uid="{00000000-0005-0000-0000-0000EF3F0000}"/>
    <cellStyle name="표준 2 5 10" xfId="15886" xr:uid="{00000000-0005-0000-0000-0000F03F0000}"/>
    <cellStyle name="표준 2 5 11" xfId="15887" xr:uid="{00000000-0005-0000-0000-0000F13F0000}"/>
    <cellStyle name="표준 2 5 12" xfId="15888" xr:uid="{00000000-0005-0000-0000-0000F23F0000}"/>
    <cellStyle name="표준 2 5 13" xfId="15889" xr:uid="{00000000-0005-0000-0000-0000F33F0000}"/>
    <cellStyle name="표준 2 5 14" xfId="15890" xr:uid="{00000000-0005-0000-0000-0000F43F0000}"/>
    <cellStyle name="표준 2 5 15" xfId="15891" xr:uid="{00000000-0005-0000-0000-0000F53F0000}"/>
    <cellStyle name="표준 2 5 16" xfId="15892" xr:uid="{00000000-0005-0000-0000-0000F63F0000}"/>
    <cellStyle name="표준 2 5 17" xfId="15893" xr:uid="{00000000-0005-0000-0000-0000F73F0000}"/>
    <cellStyle name="표준 2 5 18" xfId="15894" xr:uid="{00000000-0005-0000-0000-0000F83F0000}"/>
    <cellStyle name="표준 2 5 19" xfId="15895" xr:uid="{00000000-0005-0000-0000-0000F93F0000}"/>
    <cellStyle name="표준 2 5 2" xfId="15896" xr:uid="{00000000-0005-0000-0000-0000FA3F0000}"/>
    <cellStyle name="표준 2 5 2 10" xfId="15897" xr:uid="{00000000-0005-0000-0000-0000FB3F0000}"/>
    <cellStyle name="표준 2 5 2 11" xfId="15898" xr:uid="{00000000-0005-0000-0000-0000FC3F0000}"/>
    <cellStyle name="표준 2 5 2 12" xfId="15899" xr:uid="{00000000-0005-0000-0000-0000FD3F0000}"/>
    <cellStyle name="표준 2 5 2 13" xfId="15900" xr:uid="{00000000-0005-0000-0000-0000FE3F0000}"/>
    <cellStyle name="표준 2 5 2 14" xfId="15901" xr:uid="{00000000-0005-0000-0000-0000FF3F0000}"/>
    <cellStyle name="표준 2 5 2 15" xfId="15902" xr:uid="{00000000-0005-0000-0000-000000400000}"/>
    <cellStyle name="표준 2 5 2 16" xfId="15903" xr:uid="{00000000-0005-0000-0000-000001400000}"/>
    <cellStyle name="표준 2 5 2 17" xfId="15904" xr:uid="{00000000-0005-0000-0000-000002400000}"/>
    <cellStyle name="표준 2 5 2 18" xfId="15905" xr:uid="{00000000-0005-0000-0000-000003400000}"/>
    <cellStyle name="표준 2 5 2 19" xfId="15906" xr:uid="{00000000-0005-0000-0000-000004400000}"/>
    <cellStyle name="표준 2 5 2 2" xfId="15907" xr:uid="{00000000-0005-0000-0000-000005400000}"/>
    <cellStyle name="표준 2 5 2 2 10" xfId="15908" xr:uid="{00000000-0005-0000-0000-000006400000}"/>
    <cellStyle name="표준 2 5 2 2 11" xfId="15909" xr:uid="{00000000-0005-0000-0000-000007400000}"/>
    <cellStyle name="표준 2 5 2 2 12" xfId="15910" xr:uid="{00000000-0005-0000-0000-000008400000}"/>
    <cellStyle name="표준 2 5 2 2 13" xfId="15911" xr:uid="{00000000-0005-0000-0000-000009400000}"/>
    <cellStyle name="표준 2 5 2 2 14" xfId="15912" xr:uid="{00000000-0005-0000-0000-00000A400000}"/>
    <cellStyle name="표준 2 5 2 2 15" xfId="15913" xr:uid="{00000000-0005-0000-0000-00000B400000}"/>
    <cellStyle name="표준 2 5 2 2 16" xfId="15914" xr:uid="{00000000-0005-0000-0000-00000C400000}"/>
    <cellStyle name="표준 2 5 2 2 17" xfId="15915" xr:uid="{00000000-0005-0000-0000-00000D400000}"/>
    <cellStyle name="표준 2 5 2 2 18" xfId="15916" xr:uid="{00000000-0005-0000-0000-00000E400000}"/>
    <cellStyle name="표준 2 5 2 2 19" xfId="15917" xr:uid="{00000000-0005-0000-0000-00000F400000}"/>
    <cellStyle name="표준 2 5 2 2 2" xfId="15918" xr:uid="{00000000-0005-0000-0000-000010400000}"/>
    <cellStyle name="표준 2 5 2 2 20" xfId="15919" xr:uid="{00000000-0005-0000-0000-000011400000}"/>
    <cellStyle name="표준 2 5 2 2 21" xfId="15920" xr:uid="{00000000-0005-0000-0000-000012400000}"/>
    <cellStyle name="표준 2 5 2 2 22" xfId="15921" xr:uid="{00000000-0005-0000-0000-000013400000}"/>
    <cellStyle name="표준 2 5 2 2 3" xfId="15922" xr:uid="{00000000-0005-0000-0000-000014400000}"/>
    <cellStyle name="표준 2 5 2 2 4" xfId="15923" xr:uid="{00000000-0005-0000-0000-000015400000}"/>
    <cellStyle name="표준 2 5 2 2 5" xfId="15924" xr:uid="{00000000-0005-0000-0000-000016400000}"/>
    <cellStyle name="표준 2 5 2 2 6" xfId="15925" xr:uid="{00000000-0005-0000-0000-000017400000}"/>
    <cellStyle name="표준 2 5 2 2 7" xfId="15926" xr:uid="{00000000-0005-0000-0000-000018400000}"/>
    <cellStyle name="표준 2 5 2 2 8" xfId="15927" xr:uid="{00000000-0005-0000-0000-000019400000}"/>
    <cellStyle name="표준 2 5 2 2 9" xfId="15928" xr:uid="{00000000-0005-0000-0000-00001A400000}"/>
    <cellStyle name="표준 2 5 2 20" xfId="15929" xr:uid="{00000000-0005-0000-0000-00001B400000}"/>
    <cellStyle name="표준 2 5 2 21" xfId="15930" xr:uid="{00000000-0005-0000-0000-00001C400000}"/>
    <cellStyle name="표준 2 5 2 22" xfId="15931" xr:uid="{00000000-0005-0000-0000-00001D400000}"/>
    <cellStyle name="표준 2 5 2 23" xfId="15932" xr:uid="{00000000-0005-0000-0000-00001E400000}"/>
    <cellStyle name="표준 2 5 2 24" xfId="15933" xr:uid="{00000000-0005-0000-0000-00001F400000}"/>
    <cellStyle name="표준 2 5 2 3" xfId="15934" xr:uid="{00000000-0005-0000-0000-000020400000}"/>
    <cellStyle name="표준 2 5 2 4" xfId="15935" xr:uid="{00000000-0005-0000-0000-000021400000}"/>
    <cellStyle name="표준 2 5 2 5" xfId="15936" xr:uid="{00000000-0005-0000-0000-000022400000}"/>
    <cellStyle name="표준 2 5 2 6" xfId="15937" xr:uid="{00000000-0005-0000-0000-000023400000}"/>
    <cellStyle name="표준 2 5 2 7" xfId="15938" xr:uid="{00000000-0005-0000-0000-000024400000}"/>
    <cellStyle name="표준 2 5 2 8" xfId="15939" xr:uid="{00000000-0005-0000-0000-000025400000}"/>
    <cellStyle name="표준 2 5 2 9" xfId="15940" xr:uid="{00000000-0005-0000-0000-000026400000}"/>
    <cellStyle name="표준 2 5 20" xfId="15941" xr:uid="{00000000-0005-0000-0000-000027400000}"/>
    <cellStyle name="표준 2 5 21" xfId="15942" xr:uid="{00000000-0005-0000-0000-000028400000}"/>
    <cellStyle name="표준 2 5 22" xfId="15943" xr:uid="{00000000-0005-0000-0000-000029400000}"/>
    <cellStyle name="표준 2 5 23" xfId="15944" xr:uid="{00000000-0005-0000-0000-00002A400000}"/>
    <cellStyle name="표준 2 5 24" xfId="15945" xr:uid="{00000000-0005-0000-0000-00002B400000}"/>
    <cellStyle name="표준 2 5 25" xfId="15946" xr:uid="{00000000-0005-0000-0000-00002C400000}"/>
    <cellStyle name="표준 2 5 26" xfId="15947" xr:uid="{00000000-0005-0000-0000-00002D400000}"/>
    <cellStyle name="표준 2 5 27" xfId="15948" xr:uid="{00000000-0005-0000-0000-00002E400000}"/>
    <cellStyle name="표준 2 5 28" xfId="15949" xr:uid="{00000000-0005-0000-0000-00002F400000}"/>
    <cellStyle name="표준 2 5 29" xfId="15950" xr:uid="{00000000-0005-0000-0000-000030400000}"/>
    <cellStyle name="표준 2 5 3" xfId="15951" xr:uid="{00000000-0005-0000-0000-000031400000}"/>
    <cellStyle name="표준 2 5 30" xfId="15952" xr:uid="{00000000-0005-0000-0000-000032400000}"/>
    <cellStyle name="표준 2 5 31" xfId="15953" xr:uid="{00000000-0005-0000-0000-000033400000}"/>
    <cellStyle name="표준 2 5 32" xfId="15954" xr:uid="{00000000-0005-0000-0000-000034400000}"/>
    <cellStyle name="표준 2 5 33" xfId="15955" xr:uid="{00000000-0005-0000-0000-000035400000}"/>
    <cellStyle name="표준 2 5 34" xfId="15956" xr:uid="{00000000-0005-0000-0000-000036400000}"/>
    <cellStyle name="표준 2 5 35" xfId="15957" xr:uid="{00000000-0005-0000-0000-000037400000}"/>
    <cellStyle name="표준 2 5 36" xfId="15958" xr:uid="{00000000-0005-0000-0000-000038400000}"/>
    <cellStyle name="표준 2 5 37" xfId="15959" xr:uid="{00000000-0005-0000-0000-000039400000}"/>
    <cellStyle name="표준 2 5 38" xfId="15960" xr:uid="{00000000-0005-0000-0000-00003A400000}"/>
    <cellStyle name="표준 2 5 39" xfId="15961" xr:uid="{00000000-0005-0000-0000-00003B400000}"/>
    <cellStyle name="표준 2 5 4" xfId="15962" xr:uid="{00000000-0005-0000-0000-00003C400000}"/>
    <cellStyle name="표준 2 5 40" xfId="15963" xr:uid="{00000000-0005-0000-0000-00003D400000}"/>
    <cellStyle name="표준 2 5 41" xfId="15964" xr:uid="{00000000-0005-0000-0000-00003E400000}"/>
    <cellStyle name="표준 2 5 42" xfId="15965" xr:uid="{00000000-0005-0000-0000-00003F400000}"/>
    <cellStyle name="표준 2 5 43" xfId="15966" xr:uid="{00000000-0005-0000-0000-000040400000}"/>
    <cellStyle name="표준 2 5 44" xfId="15967" xr:uid="{00000000-0005-0000-0000-000041400000}"/>
    <cellStyle name="표준 2 5 45" xfId="15968" xr:uid="{00000000-0005-0000-0000-000042400000}"/>
    <cellStyle name="표준 2 5 5" xfId="15969" xr:uid="{00000000-0005-0000-0000-000043400000}"/>
    <cellStyle name="표준 2 5 6" xfId="15970" xr:uid="{00000000-0005-0000-0000-000044400000}"/>
    <cellStyle name="표준 2 5 7" xfId="15971" xr:uid="{00000000-0005-0000-0000-000045400000}"/>
    <cellStyle name="표준 2 5 8" xfId="15972" xr:uid="{00000000-0005-0000-0000-000046400000}"/>
    <cellStyle name="표준 2 5 9" xfId="15973" xr:uid="{00000000-0005-0000-0000-000047400000}"/>
    <cellStyle name="표준 2 50" xfId="15974" xr:uid="{00000000-0005-0000-0000-000048400000}"/>
    <cellStyle name="표준 2 51" xfId="15975" xr:uid="{00000000-0005-0000-0000-000049400000}"/>
    <cellStyle name="표준 2 52" xfId="15976" xr:uid="{00000000-0005-0000-0000-00004A400000}"/>
    <cellStyle name="표준 2 53" xfId="15977" xr:uid="{00000000-0005-0000-0000-00004B400000}"/>
    <cellStyle name="표준 2 54" xfId="15978" xr:uid="{00000000-0005-0000-0000-00004C400000}"/>
    <cellStyle name="표준 2 55" xfId="15979" xr:uid="{00000000-0005-0000-0000-00004D400000}"/>
    <cellStyle name="표준 2 56" xfId="15980" xr:uid="{00000000-0005-0000-0000-00004E400000}"/>
    <cellStyle name="표준 2 57" xfId="15981" xr:uid="{00000000-0005-0000-0000-00004F400000}"/>
    <cellStyle name="표준 2 58" xfId="15982" xr:uid="{00000000-0005-0000-0000-000050400000}"/>
    <cellStyle name="표준 2 59" xfId="15983" xr:uid="{00000000-0005-0000-0000-000051400000}"/>
    <cellStyle name="표준 2 6" xfId="15984" xr:uid="{00000000-0005-0000-0000-000052400000}"/>
    <cellStyle name="표준 2 6 10" xfId="15985" xr:uid="{00000000-0005-0000-0000-000053400000}"/>
    <cellStyle name="표준 2 6 11" xfId="15986" xr:uid="{00000000-0005-0000-0000-000054400000}"/>
    <cellStyle name="표준 2 6 12" xfId="15987" xr:uid="{00000000-0005-0000-0000-000055400000}"/>
    <cellStyle name="표준 2 6 13" xfId="15988" xr:uid="{00000000-0005-0000-0000-000056400000}"/>
    <cellStyle name="표준 2 6 14" xfId="15989" xr:uid="{00000000-0005-0000-0000-000057400000}"/>
    <cellStyle name="표준 2 6 15" xfId="15990" xr:uid="{00000000-0005-0000-0000-000058400000}"/>
    <cellStyle name="표준 2 6 16" xfId="15991" xr:uid="{00000000-0005-0000-0000-000059400000}"/>
    <cellStyle name="표준 2 6 17" xfId="15992" xr:uid="{00000000-0005-0000-0000-00005A400000}"/>
    <cellStyle name="표준 2 6 18" xfId="15993" xr:uid="{00000000-0005-0000-0000-00005B400000}"/>
    <cellStyle name="표준 2 6 19" xfId="15994" xr:uid="{00000000-0005-0000-0000-00005C400000}"/>
    <cellStyle name="표준 2 6 2" xfId="15995" xr:uid="{00000000-0005-0000-0000-00005D400000}"/>
    <cellStyle name="표준 2 6 2 10" xfId="15996" xr:uid="{00000000-0005-0000-0000-00005E400000}"/>
    <cellStyle name="표준 2 6 2 11" xfId="15997" xr:uid="{00000000-0005-0000-0000-00005F400000}"/>
    <cellStyle name="표준 2 6 2 12" xfId="15998" xr:uid="{00000000-0005-0000-0000-000060400000}"/>
    <cellStyle name="표준 2 6 2 13" xfId="15999" xr:uid="{00000000-0005-0000-0000-000061400000}"/>
    <cellStyle name="표준 2 6 2 14" xfId="16000" xr:uid="{00000000-0005-0000-0000-000062400000}"/>
    <cellStyle name="표준 2 6 2 15" xfId="16001" xr:uid="{00000000-0005-0000-0000-000063400000}"/>
    <cellStyle name="표준 2 6 2 16" xfId="16002" xr:uid="{00000000-0005-0000-0000-000064400000}"/>
    <cellStyle name="표준 2 6 2 17" xfId="16003" xr:uid="{00000000-0005-0000-0000-000065400000}"/>
    <cellStyle name="표준 2 6 2 18" xfId="16004" xr:uid="{00000000-0005-0000-0000-000066400000}"/>
    <cellStyle name="표준 2 6 2 19" xfId="16005" xr:uid="{00000000-0005-0000-0000-000067400000}"/>
    <cellStyle name="표준 2 6 2 2" xfId="16006" xr:uid="{00000000-0005-0000-0000-000068400000}"/>
    <cellStyle name="표준 2 6 2 2 10" xfId="16007" xr:uid="{00000000-0005-0000-0000-000069400000}"/>
    <cellStyle name="표준 2 6 2 2 11" xfId="16008" xr:uid="{00000000-0005-0000-0000-00006A400000}"/>
    <cellStyle name="표준 2 6 2 2 12" xfId="16009" xr:uid="{00000000-0005-0000-0000-00006B400000}"/>
    <cellStyle name="표준 2 6 2 2 13" xfId="16010" xr:uid="{00000000-0005-0000-0000-00006C400000}"/>
    <cellStyle name="표준 2 6 2 2 14" xfId="16011" xr:uid="{00000000-0005-0000-0000-00006D400000}"/>
    <cellStyle name="표준 2 6 2 2 15" xfId="16012" xr:uid="{00000000-0005-0000-0000-00006E400000}"/>
    <cellStyle name="표준 2 6 2 2 16" xfId="16013" xr:uid="{00000000-0005-0000-0000-00006F400000}"/>
    <cellStyle name="표준 2 6 2 2 17" xfId="16014" xr:uid="{00000000-0005-0000-0000-000070400000}"/>
    <cellStyle name="표준 2 6 2 2 18" xfId="16015" xr:uid="{00000000-0005-0000-0000-000071400000}"/>
    <cellStyle name="표준 2 6 2 2 19" xfId="16016" xr:uid="{00000000-0005-0000-0000-000072400000}"/>
    <cellStyle name="표준 2 6 2 2 2" xfId="16017" xr:uid="{00000000-0005-0000-0000-000073400000}"/>
    <cellStyle name="표준 2 6 2 2 20" xfId="16018" xr:uid="{00000000-0005-0000-0000-000074400000}"/>
    <cellStyle name="표준 2 6 2 2 21" xfId="16019" xr:uid="{00000000-0005-0000-0000-000075400000}"/>
    <cellStyle name="표준 2 6 2 2 22" xfId="16020" xr:uid="{00000000-0005-0000-0000-000076400000}"/>
    <cellStyle name="표준 2 6 2 2 3" xfId="16021" xr:uid="{00000000-0005-0000-0000-000077400000}"/>
    <cellStyle name="표준 2 6 2 2 4" xfId="16022" xr:uid="{00000000-0005-0000-0000-000078400000}"/>
    <cellStyle name="표준 2 6 2 2 5" xfId="16023" xr:uid="{00000000-0005-0000-0000-000079400000}"/>
    <cellStyle name="표준 2 6 2 2 6" xfId="16024" xr:uid="{00000000-0005-0000-0000-00007A400000}"/>
    <cellStyle name="표준 2 6 2 2 7" xfId="16025" xr:uid="{00000000-0005-0000-0000-00007B400000}"/>
    <cellStyle name="표준 2 6 2 2 8" xfId="16026" xr:uid="{00000000-0005-0000-0000-00007C400000}"/>
    <cellStyle name="표준 2 6 2 2 9" xfId="16027" xr:uid="{00000000-0005-0000-0000-00007D400000}"/>
    <cellStyle name="표준 2 6 2 20" xfId="16028" xr:uid="{00000000-0005-0000-0000-00007E400000}"/>
    <cellStyle name="표준 2 6 2 21" xfId="16029" xr:uid="{00000000-0005-0000-0000-00007F400000}"/>
    <cellStyle name="표준 2 6 2 22" xfId="16030" xr:uid="{00000000-0005-0000-0000-000080400000}"/>
    <cellStyle name="표준 2 6 2 23" xfId="16031" xr:uid="{00000000-0005-0000-0000-000081400000}"/>
    <cellStyle name="표준 2 6 2 24" xfId="16032" xr:uid="{00000000-0005-0000-0000-000082400000}"/>
    <cellStyle name="표준 2 6 2 3" xfId="16033" xr:uid="{00000000-0005-0000-0000-000083400000}"/>
    <cellStyle name="표준 2 6 2 4" xfId="16034" xr:uid="{00000000-0005-0000-0000-000084400000}"/>
    <cellStyle name="표준 2 6 2 5" xfId="16035" xr:uid="{00000000-0005-0000-0000-000085400000}"/>
    <cellStyle name="표준 2 6 2 6" xfId="16036" xr:uid="{00000000-0005-0000-0000-000086400000}"/>
    <cellStyle name="표준 2 6 2 7" xfId="16037" xr:uid="{00000000-0005-0000-0000-000087400000}"/>
    <cellStyle name="표준 2 6 2 8" xfId="16038" xr:uid="{00000000-0005-0000-0000-000088400000}"/>
    <cellStyle name="표준 2 6 2 9" xfId="16039" xr:uid="{00000000-0005-0000-0000-000089400000}"/>
    <cellStyle name="표준 2 6 20" xfId="16040" xr:uid="{00000000-0005-0000-0000-00008A400000}"/>
    <cellStyle name="표준 2 6 21" xfId="16041" xr:uid="{00000000-0005-0000-0000-00008B400000}"/>
    <cellStyle name="표준 2 6 22" xfId="16042" xr:uid="{00000000-0005-0000-0000-00008C400000}"/>
    <cellStyle name="표준 2 6 23" xfId="16043" xr:uid="{00000000-0005-0000-0000-00008D400000}"/>
    <cellStyle name="표준 2 6 24" xfId="16044" xr:uid="{00000000-0005-0000-0000-00008E400000}"/>
    <cellStyle name="표준 2 6 25" xfId="16045" xr:uid="{00000000-0005-0000-0000-00008F400000}"/>
    <cellStyle name="표준 2 6 26" xfId="16046" xr:uid="{00000000-0005-0000-0000-000090400000}"/>
    <cellStyle name="표준 2 6 27" xfId="16047" xr:uid="{00000000-0005-0000-0000-000091400000}"/>
    <cellStyle name="표준 2 6 28" xfId="16048" xr:uid="{00000000-0005-0000-0000-000092400000}"/>
    <cellStyle name="표준 2 6 29" xfId="16049" xr:uid="{00000000-0005-0000-0000-000093400000}"/>
    <cellStyle name="표준 2 6 3" xfId="16050" xr:uid="{00000000-0005-0000-0000-000094400000}"/>
    <cellStyle name="표준 2 6 30" xfId="16051" xr:uid="{00000000-0005-0000-0000-000095400000}"/>
    <cellStyle name="표준 2 6 31" xfId="16052" xr:uid="{00000000-0005-0000-0000-000096400000}"/>
    <cellStyle name="표준 2 6 32" xfId="16053" xr:uid="{00000000-0005-0000-0000-000097400000}"/>
    <cellStyle name="표준 2 6 33" xfId="16054" xr:uid="{00000000-0005-0000-0000-000098400000}"/>
    <cellStyle name="표준 2 6 34" xfId="16055" xr:uid="{00000000-0005-0000-0000-000099400000}"/>
    <cellStyle name="표준 2 6 35" xfId="16056" xr:uid="{00000000-0005-0000-0000-00009A400000}"/>
    <cellStyle name="표준 2 6 36" xfId="16057" xr:uid="{00000000-0005-0000-0000-00009B400000}"/>
    <cellStyle name="표준 2 6 37" xfId="16058" xr:uid="{00000000-0005-0000-0000-00009C400000}"/>
    <cellStyle name="표준 2 6 38" xfId="16059" xr:uid="{00000000-0005-0000-0000-00009D400000}"/>
    <cellStyle name="표준 2 6 39" xfId="16060" xr:uid="{00000000-0005-0000-0000-00009E400000}"/>
    <cellStyle name="표준 2 6 4" xfId="16061" xr:uid="{00000000-0005-0000-0000-00009F400000}"/>
    <cellStyle name="표준 2 6 40" xfId="16062" xr:uid="{00000000-0005-0000-0000-0000A0400000}"/>
    <cellStyle name="표준 2 6 41" xfId="16063" xr:uid="{00000000-0005-0000-0000-0000A1400000}"/>
    <cellStyle name="표준 2 6 42" xfId="16064" xr:uid="{00000000-0005-0000-0000-0000A2400000}"/>
    <cellStyle name="표준 2 6 43" xfId="16065" xr:uid="{00000000-0005-0000-0000-0000A3400000}"/>
    <cellStyle name="표준 2 6 44" xfId="16066" xr:uid="{00000000-0005-0000-0000-0000A4400000}"/>
    <cellStyle name="표준 2 6 45" xfId="16067" xr:uid="{00000000-0005-0000-0000-0000A5400000}"/>
    <cellStyle name="표준 2 6 5" xfId="16068" xr:uid="{00000000-0005-0000-0000-0000A6400000}"/>
    <cellStyle name="표준 2 6 6" xfId="16069" xr:uid="{00000000-0005-0000-0000-0000A7400000}"/>
    <cellStyle name="표준 2 6 7" xfId="16070" xr:uid="{00000000-0005-0000-0000-0000A8400000}"/>
    <cellStyle name="표준 2 6 8" xfId="16071" xr:uid="{00000000-0005-0000-0000-0000A9400000}"/>
    <cellStyle name="표준 2 6 9" xfId="16072" xr:uid="{00000000-0005-0000-0000-0000AA400000}"/>
    <cellStyle name="표준 2 60" xfId="16073" xr:uid="{00000000-0005-0000-0000-0000AB400000}"/>
    <cellStyle name="표준 2 61" xfId="16074" xr:uid="{00000000-0005-0000-0000-0000AC400000}"/>
    <cellStyle name="표준 2 62" xfId="16075" xr:uid="{00000000-0005-0000-0000-0000AD400000}"/>
    <cellStyle name="표준 2 63" xfId="16076" xr:uid="{00000000-0005-0000-0000-0000AE400000}"/>
    <cellStyle name="표준 2 64" xfId="16077" xr:uid="{00000000-0005-0000-0000-0000AF400000}"/>
    <cellStyle name="표준 2 65" xfId="16078" xr:uid="{00000000-0005-0000-0000-0000B0400000}"/>
    <cellStyle name="표준 2 66" xfId="16079" xr:uid="{00000000-0005-0000-0000-0000B1400000}"/>
    <cellStyle name="표준 2 67" xfId="16080" xr:uid="{00000000-0005-0000-0000-0000B2400000}"/>
    <cellStyle name="표준 2 68" xfId="16081" xr:uid="{00000000-0005-0000-0000-0000B3400000}"/>
    <cellStyle name="표준 2 69" xfId="16082" xr:uid="{00000000-0005-0000-0000-0000B4400000}"/>
    <cellStyle name="표준 2 7" xfId="16083" xr:uid="{00000000-0005-0000-0000-0000B5400000}"/>
    <cellStyle name="표준 2 7 10" xfId="16084" xr:uid="{00000000-0005-0000-0000-0000B6400000}"/>
    <cellStyle name="표준 2 7 11" xfId="16085" xr:uid="{00000000-0005-0000-0000-0000B7400000}"/>
    <cellStyle name="표준 2 7 12" xfId="16086" xr:uid="{00000000-0005-0000-0000-0000B8400000}"/>
    <cellStyle name="표준 2 7 13" xfId="16087" xr:uid="{00000000-0005-0000-0000-0000B9400000}"/>
    <cellStyle name="표준 2 7 14" xfId="16088" xr:uid="{00000000-0005-0000-0000-0000BA400000}"/>
    <cellStyle name="표준 2 7 15" xfId="16089" xr:uid="{00000000-0005-0000-0000-0000BB400000}"/>
    <cellStyle name="표준 2 7 16" xfId="16090" xr:uid="{00000000-0005-0000-0000-0000BC400000}"/>
    <cellStyle name="표준 2 7 17" xfId="16091" xr:uid="{00000000-0005-0000-0000-0000BD400000}"/>
    <cellStyle name="표준 2 7 18" xfId="16092" xr:uid="{00000000-0005-0000-0000-0000BE400000}"/>
    <cellStyle name="표준 2 7 19" xfId="16093" xr:uid="{00000000-0005-0000-0000-0000BF400000}"/>
    <cellStyle name="표준 2 7 2" xfId="16094" xr:uid="{00000000-0005-0000-0000-0000C0400000}"/>
    <cellStyle name="표준 2 7 2 10" xfId="16095" xr:uid="{00000000-0005-0000-0000-0000C1400000}"/>
    <cellStyle name="표준 2 7 2 11" xfId="16096" xr:uid="{00000000-0005-0000-0000-0000C2400000}"/>
    <cellStyle name="표준 2 7 2 12" xfId="16097" xr:uid="{00000000-0005-0000-0000-0000C3400000}"/>
    <cellStyle name="표준 2 7 2 13" xfId="16098" xr:uid="{00000000-0005-0000-0000-0000C4400000}"/>
    <cellStyle name="표준 2 7 2 14" xfId="16099" xr:uid="{00000000-0005-0000-0000-0000C5400000}"/>
    <cellStyle name="표준 2 7 2 15" xfId="16100" xr:uid="{00000000-0005-0000-0000-0000C6400000}"/>
    <cellStyle name="표준 2 7 2 16" xfId="16101" xr:uid="{00000000-0005-0000-0000-0000C7400000}"/>
    <cellStyle name="표준 2 7 2 17" xfId="16102" xr:uid="{00000000-0005-0000-0000-0000C8400000}"/>
    <cellStyle name="표준 2 7 2 18" xfId="16103" xr:uid="{00000000-0005-0000-0000-0000C9400000}"/>
    <cellStyle name="표준 2 7 2 19" xfId="16104" xr:uid="{00000000-0005-0000-0000-0000CA400000}"/>
    <cellStyle name="표준 2 7 2 2" xfId="16105" xr:uid="{00000000-0005-0000-0000-0000CB400000}"/>
    <cellStyle name="표준 2 7 2 2 10" xfId="16106" xr:uid="{00000000-0005-0000-0000-0000CC400000}"/>
    <cellStyle name="표준 2 7 2 2 11" xfId="16107" xr:uid="{00000000-0005-0000-0000-0000CD400000}"/>
    <cellStyle name="표준 2 7 2 2 12" xfId="16108" xr:uid="{00000000-0005-0000-0000-0000CE400000}"/>
    <cellStyle name="표준 2 7 2 2 13" xfId="16109" xr:uid="{00000000-0005-0000-0000-0000CF400000}"/>
    <cellStyle name="표준 2 7 2 2 14" xfId="16110" xr:uid="{00000000-0005-0000-0000-0000D0400000}"/>
    <cellStyle name="표준 2 7 2 2 15" xfId="16111" xr:uid="{00000000-0005-0000-0000-0000D1400000}"/>
    <cellStyle name="표준 2 7 2 2 16" xfId="16112" xr:uid="{00000000-0005-0000-0000-0000D2400000}"/>
    <cellStyle name="표준 2 7 2 2 17" xfId="16113" xr:uid="{00000000-0005-0000-0000-0000D3400000}"/>
    <cellStyle name="표준 2 7 2 2 18" xfId="16114" xr:uid="{00000000-0005-0000-0000-0000D4400000}"/>
    <cellStyle name="표준 2 7 2 2 19" xfId="16115" xr:uid="{00000000-0005-0000-0000-0000D5400000}"/>
    <cellStyle name="표준 2 7 2 2 2" xfId="16116" xr:uid="{00000000-0005-0000-0000-0000D6400000}"/>
    <cellStyle name="표준 2 7 2 2 20" xfId="16117" xr:uid="{00000000-0005-0000-0000-0000D7400000}"/>
    <cellStyle name="표준 2 7 2 2 21" xfId="16118" xr:uid="{00000000-0005-0000-0000-0000D8400000}"/>
    <cellStyle name="표준 2 7 2 2 22" xfId="16119" xr:uid="{00000000-0005-0000-0000-0000D9400000}"/>
    <cellStyle name="표준 2 7 2 2 3" xfId="16120" xr:uid="{00000000-0005-0000-0000-0000DA400000}"/>
    <cellStyle name="표준 2 7 2 2 4" xfId="16121" xr:uid="{00000000-0005-0000-0000-0000DB400000}"/>
    <cellStyle name="표준 2 7 2 2 5" xfId="16122" xr:uid="{00000000-0005-0000-0000-0000DC400000}"/>
    <cellStyle name="표준 2 7 2 2 6" xfId="16123" xr:uid="{00000000-0005-0000-0000-0000DD400000}"/>
    <cellStyle name="표준 2 7 2 2 7" xfId="16124" xr:uid="{00000000-0005-0000-0000-0000DE400000}"/>
    <cellStyle name="표준 2 7 2 2 8" xfId="16125" xr:uid="{00000000-0005-0000-0000-0000DF400000}"/>
    <cellStyle name="표준 2 7 2 2 9" xfId="16126" xr:uid="{00000000-0005-0000-0000-0000E0400000}"/>
    <cellStyle name="표준 2 7 2 20" xfId="16127" xr:uid="{00000000-0005-0000-0000-0000E1400000}"/>
    <cellStyle name="표준 2 7 2 21" xfId="16128" xr:uid="{00000000-0005-0000-0000-0000E2400000}"/>
    <cellStyle name="표준 2 7 2 22" xfId="16129" xr:uid="{00000000-0005-0000-0000-0000E3400000}"/>
    <cellStyle name="표준 2 7 2 23" xfId="16130" xr:uid="{00000000-0005-0000-0000-0000E4400000}"/>
    <cellStyle name="표준 2 7 2 24" xfId="16131" xr:uid="{00000000-0005-0000-0000-0000E5400000}"/>
    <cellStyle name="표준 2 7 2 3" xfId="16132" xr:uid="{00000000-0005-0000-0000-0000E6400000}"/>
    <cellStyle name="표준 2 7 2 4" xfId="16133" xr:uid="{00000000-0005-0000-0000-0000E7400000}"/>
    <cellStyle name="표준 2 7 2 5" xfId="16134" xr:uid="{00000000-0005-0000-0000-0000E8400000}"/>
    <cellStyle name="표준 2 7 2 6" xfId="16135" xr:uid="{00000000-0005-0000-0000-0000E9400000}"/>
    <cellStyle name="표준 2 7 2 7" xfId="16136" xr:uid="{00000000-0005-0000-0000-0000EA400000}"/>
    <cellStyle name="표준 2 7 2 8" xfId="16137" xr:uid="{00000000-0005-0000-0000-0000EB400000}"/>
    <cellStyle name="표준 2 7 2 9" xfId="16138" xr:uid="{00000000-0005-0000-0000-0000EC400000}"/>
    <cellStyle name="표준 2 7 20" xfId="16139" xr:uid="{00000000-0005-0000-0000-0000ED400000}"/>
    <cellStyle name="표준 2 7 21" xfId="16140" xr:uid="{00000000-0005-0000-0000-0000EE400000}"/>
    <cellStyle name="표준 2 7 22" xfId="16141" xr:uid="{00000000-0005-0000-0000-0000EF400000}"/>
    <cellStyle name="표준 2 7 23" xfId="16142" xr:uid="{00000000-0005-0000-0000-0000F0400000}"/>
    <cellStyle name="표준 2 7 24" xfId="16143" xr:uid="{00000000-0005-0000-0000-0000F1400000}"/>
    <cellStyle name="표준 2 7 25" xfId="16144" xr:uid="{00000000-0005-0000-0000-0000F2400000}"/>
    <cellStyle name="표준 2 7 26" xfId="16145" xr:uid="{00000000-0005-0000-0000-0000F3400000}"/>
    <cellStyle name="표준 2 7 27" xfId="16146" xr:uid="{00000000-0005-0000-0000-0000F4400000}"/>
    <cellStyle name="표준 2 7 28" xfId="16147" xr:uid="{00000000-0005-0000-0000-0000F5400000}"/>
    <cellStyle name="표준 2 7 29" xfId="16148" xr:uid="{00000000-0005-0000-0000-0000F6400000}"/>
    <cellStyle name="표준 2 7 3" xfId="16149" xr:uid="{00000000-0005-0000-0000-0000F7400000}"/>
    <cellStyle name="표준 2 7 30" xfId="16150" xr:uid="{00000000-0005-0000-0000-0000F8400000}"/>
    <cellStyle name="표준 2 7 31" xfId="16151" xr:uid="{00000000-0005-0000-0000-0000F9400000}"/>
    <cellStyle name="표준 2 7 32" xfId="16152" xr:uid="{00000000-0005-0000-0000-0000FA400000}"/>
    <cellStyle name="표준 2 7 33" xfId="16153" xr:uid="{00000000-0005-0000-0000-0000FB400000}"/>
    <cellStyle name="표준 2 7 34" xfId="16154" xr:uid="{00000000-0005-0000-0000-0000FC400000}"/>
    <cellStyle name="표준 2 7 35" xfId="16155" xr:uid="{00000000-0005-0000-0000-0000FD400000}"/>
    <cellStyle name="표준 2 7 36" xfId="16156" xr:uid="{00000000-0005-0000-0000-0000FE400000}"/>
    <cellStyle name="표준 2 7 37" xfId="16157" xr:uid="{00000000-0005-0000-0000-0000FF400000}"/>
    <cellStyle name="표준 2 7 38" xfId="16158" xr:uid="{00000000-0005-0000-0000-000000410000}"/>
    <cellStyle name="표준 2 7 39" xfId="16159" xr:uid="{00000000-0005-0000-0000-000001410000}"/>
    <cellStyle name="표준 2 7 4" xfId="16160" xr:uid="{00000000-0005-0000-0000-000002410000}"/>
    <cellStyle name="표준 2 7 40" xfId="16161" xr:uid="{00000000-0005-0000-0000-000003410000}"/>
    <cellStyle name="표준 2 7 41" xfId="16162" xr:uid="{00000000-0005-0000-0000-000004410000}"/>
    <cellStyle name="표준 2 7 42" xfId="16163" xr:uid="{00000000-0005-0000-0000-000005410000}"/>
    <cellStyle name="표준 2 7 43" xfId="16164" xr:uid="{00000000-0005-0000-0000-000006410000}"/>
    <cellStyle name="표준 2 7 44" xfId="16165" xr:uid="{00000000-0005-0000-0000-000007410000}"/>
    <cellStyle name="표준 2 7 45" xfId="16166" xr:uid="{00000000-0005-0000-0000-000008410000}"/>
    <cellStyle name="표준 2 7 5" xfId="16167" xr:uid="{00000000-0005-0000-0000-000009410000}"/>
    <cellStyle name="표준 2 7 6" xfId="16168" xr:uid="{00000000-0005-0000-0000-00000A410000}"/>
    <cellStyle name="표준 2 7 7" xfId="16169" xr:uid="{00000000-0005-0000-0000-00000B410000}"/>
    <cellStyle name="표준 2 7 8" xfId="16170" xr:uid="{00000000-0005-0000-0000-00000C410000}"/>
    <cellStyle name="표준 2 7 9" xfId="16171" xr:uid="{00000000-0005-0000-0000-00000D410000}"/>
    <cellStyle name="표준 2 70" xfId="16172" xr:uid="{00000000-0005-0000-0000-00000E410000}"/>
    <cellStyle name="표준 2 71" xfId="16173" xr:uid="{00000000-0005-0000-0000-00000F410000}"/>
    <cellStyle name="표준 2 72" xfId="16174" xr:uid="{00000000-0005-0000-0000-000010410000}"/>
    <cellStyle name="표준 2 73" xfId="16175" xr:uid="{00000000-0005-0000-0000-000011410000}"/>
    <cellStyle name="표준 2 74" xfId="16176" xr:uid="{00000000-0005-0000-0000-000012410000}"/>
    <cellStyle name="표준 2 75" xfId="16177" xr:uid="{00000000-0005-0000-0000-000013410000}"/>
    <cellStyle name="표준 2 76" xfId="16178" xr:uid="{00000000-0005-0000-0000-000014410000}"/>
    <cellStyle name="표준 2 77" xfId="16179" xr:uid="{00000000-0005-0000-0000-000015410000}"/>
    <cellStyle name="표준 2 78" xfId="16180" xr:uid="{00000000-0005-0000-0000-000016410000}"/>
    <cellStyle name="표준 2 79" xfId="16181" xr:uid="{00000000-0005-0000-0000-000017410000}"/>
    <cellStyle name="표준 2 8" xfId="16182" xr:uid="{00000000-0005-0000-0000-000018410000}"/>
    <cellStyle name="표준 2 8 10" xfId="16183" xr:uid="{00000000-0005-0000-0000-000019410000}"/>
    <cellStyle name="표준 2 8 11" xfId="16184" xr:uid="{00000000-0005-0000-0000-00001A410000}"/>
    <cellStyle name="표준 2 8 12" xfId="16185" xr:uid="{00000000-0005-0000-0000-00001B410000}"/>
    <cellStyle name="표준 2 8 13" xfId="16186" xr:uid="{00000000-0005-0000-0000-00001C410000}"/>
    <cellStyle name="표준 2 8 14" xfId="16187" xr:uid="{00000000-0005-0000-0000-00001D410000}"/>
    <cellStyle name="표준 2 8 15" xfId="16188" xr:uid="{00000000-0005-0000-0000-00001E410000}"/>
    <cellStyle name="표준 2 8 16" xfId="16189" xr:uid="{00000000-0005-0000-0000-00001F410000}"/>
    <cellStyle name="표준 2 8 17" xfId="16190" xr:uid="{00000000-0005-0000-0000-000020410000}"/>
    <cellStyle name="표준 2 8 18" xfId="16191" xr:uid="{00000000-0005-0000-0000-000021410000}"/>
    <cellStyle name="표준 2 8 19" xfId="16192" xr:uid="{00000000-0005-0000-0000-000022410000}"/>
    <cellStyle name="표준 2 8 2" xfId="16193" xr:uid="{00000000-0005-0000-0000-000023410000}"/>
    <cellStyle name="표준 2 8 2 10" xfId="16194" xr:uid="{00000000-0005-0000-0000-000024410000}"/>
    <cellStyle name="표준 2 8 2 11" xfId="16195" xr:uid="{00000000-0005-0000-0000-000025410000}"/>
    <cellStyle name="표준 2 8 2 12" xfId="16196" xr:uid="{00000000-0005-0000-0000-000026410000}"/>
    <cellStyle name="표준 2 8 2 13" xfId="16197" xr:uid="{00000000-0005-0000-0000-000027410000}"/>
    <cellStyle name="표준 2 8 2 14" xfId="16198" xr:uid="{00000000-0005-0000-0000-000028410000}"/>
    <cellStyle name="표준 2 8 2 15" xfId="16199" xr:uid="{00000000-0005-0000-0000-000029410000}"/>
    <cellStyle name="표준 2 8 2 16" xfId="16200" xr:uid="{00000000-0005-0000-0000-00002A410000}"/>
    <cellStyle name="표준 2 8 2 17" xfId="16201" xr:uid="{00000000-0005-0000-0000-00002B410000}"/>
    <cellStyle name="표준 2 8 2 18" xfId="16202" xr:uid="{00000000-0005-0000-0000-00002C410000}"/>
    <cellStyle name="표준 2 8 2 19" xfId="16203" xr:uid="{00000000-0005-0000-0000-00002D410000}"/>
    <cellStyle name="표준 2 8 2 2" xfId="16204" xr:uid="{00000000-0005-0000-0000-00002E410000}"/>
    <cellStyle name="표준 2 8 2 2 10" xfId="16205" xr:uid="{00000000-0005-0000-0000-00002F410000}"/>
    <cellStyle name="표준 2 8 2 2 11" xfId="16206" xr:uid="{00000000-0005-0000-0000-000030410000}"/>
    <cellStyle name="표준 2 8 2 2 12" xfId="16207" xr:uid="{00000000-0005-0000-0000-000031410000}"/>
    <cellStyle name="표준 2 8 2 2 13" xfId="16208" xr:uid="{00000000-0005-0000-0000-000032410000}"/>
    <cellStyle name="표준 2 8 2 2 14" xfId="16209" xr:uid="{00000000-0005-0000-0000-000033410000}"/>
    <cellStyle name="표준 2 8 2 2 15" xfId="16210" xr:uid="{00000000-0005-0000-0000-000034410000}"/>
    <cellStyle name="표준 2 8 2 2 16" xfId="16211" xr:uid="{00000000-0005-0000-0000-000035410000}"/>
    <cellStyle name="표준 2 8 2 2 17" xfId="16212" xr:uid="{00000000-0005-0000-0000-000036410000}"/>
    <cellStyle name="표준 2 8 2 2 18" xfId="16213" xr:uid="{00000000-0005-0000-0000-000037410000}"/>
    <cellStyle name="표준 2 8 2 2 19" xfId="16214" xr:uid="{00000000-0005-0000-0000-000038410000}"/>
    <cellStyle name="표준 2 8 2 2 2" xfId="16215" xr:uid="{00000000-0005-0000-0000-000039410000}"/>
    <cellStyle name="표준 2 8 2 2 20" xfId="16216" xr:uid="{00000000-0005-0000-0000-00003A410000}"/>
    <cellStyle name="표준 2 8 2 2 21" xfId="16217" xr:uid="{00000000-0005-0000-0000-00003B410000}"/>
    <cellStyle name="표준 2 8 2 2 22" xfId="16218" xr:uid="{00000000-0005-0000-0000-00003C410000}"/>
    <cellStyle name="표준 2 8 2 2 3" xfId="16219" xr:uid="{00000000-0005-0000-0000-00003D410000}"/>
    <cellStyle name="표준 2 8 2 2 4" xfId="16220" xr:uid="{00000000-0005-0000-0000-00003E410000}"/>
    <cellStyle name="표준 2 8 2 2 5" xfId="16221" xr:uid="{00000000-0005-0000-0000-00003F410000}"/>
    <cellStyle name="표준 2 8 2 2 6" xfId="16222" xr:uid="{00000000-0005-0000-0000-000040410000}"/>
    <cellStyle name="표준 2 8 2 2 7" xfId="16223" xr:uid="{00000000-0005-0000-0000-000041410000}"/>
    <cellStyle name="표준 2 8 2 2 8" xfId="16224" xr:uid="{00000000-0005-0000-0000-000042410000}"/>
    <cellStyle name="표준 2 8 2 2 9" xfId="16225" xr:uid="{00000000-0005-0000-0000-000043410000}"/>
    <cellStyle name="표준 2 8 2 20" xfId="16226" xr:uid="{00000000-0005-0000-0000-000044410000}"/>
    <cellStyle name="표준 2 8 2 21" xfId="16227" xr:uid="{00000000-0005-0000-0000-000045410000}"/>
    <cellStyle name="표준 2 8 2 22" xfId="16228" xr:uid="{00000000-0005-0000-0000-000046410000}"/>
    <cellStyle name="표준 2 8 2 23" xfId="16229" xr:uid="{00000000-0005-0000-0000-000047410000}"/>
    <cellStyle name="표준 2 8 2 24" xfId="16230" xr:uid="{00000000-0005-0000-0000-000048410000}"/>
    <cellStyle name="표준 2 8 2 3" xfId="16231" xr:uid="{00000000-0005-0000-0000-000049410000}"/>
    <cellStyle name="표준 2 8 2 4" xfId="16232" xr:uid="{00000000-0005-0000-0000-00004A410000}"/>
    <cellStyle name="표준 2 8 2 5" xfId="16233" xr:uid="{00000000-0005-0000-0000-00004B410000}"/>
    <cellStyle name="표준 2 8 2 6" xfId="16234" xr:uid="{00000000-0005-0000-0000-00004C410000}"/>
    <cellStyle name="표준 2 8 2 7" xfId="16235" xr:uid="{00000000-0005-0000-0000-00004D410000}"/>
    <cellStyle name="표준 2 8 2 8" xfId="16236" xr:uid="{00000000-0005-0000-0000-00004E410000}"/>
    <cellStyle name="표준 2 8 2 9" xfId="16237" xr:uid="{00000000-0005-0000-0000-00004F410000}"/>
    <cellStyle name="표준 2 8 20" xfId="16238" xr:uid="{00000000-0005-0000-0000-000050410000}"/>
    <cellStyle name="표준 2 8 21" xfId="16239" xr:uid="{00000000-0005-0000-0000-000051410000}"/>
    <cellStyle name="표준 2 8 22" xfId="16240" xr:uid="{00000000-0005-0000-0000-000052410000}"/>
    <cellStyle name="표준 2 8 23" xfId="16241" xr:uid="{00000000-0005-0000-0000-000053410000}"/>
    <cellStyle name="표준 2 8 24" xfId="16242" xr:uid="{00000000-0005-0000-0000-000054410000}"/>
    <cellStyle name="표준 2 8 25" xfId="16243" xr:uid="{00000000-0005-0000-0000-000055410000}"/>
    <cellStyle name="표준 2 8 26" xfId="16244" xr:uid="{00000000-0005-0000-0000-000056410000}"/>
    <cellStyle name="표준 2 8 27" xfId="16245" xr:uid="{00000000-0005-0000-0000-000057410000}"/>
    <cellStyle name="표준 2 8 28" xfId="16246" xr:uid="{00000000-0005-0000-0000-000058410000}"/>
    <cellStyle name="표준 2 8 29" xfId="16247" xr:uid="{00000000-0005-0000-0000-000059410000}"/>
    <cellStyle name="표준 2 8 3" xfId="16248" xr:uid="{00000000-0005-0000-0000-00005A410000}"/>
    <cellStyle name="표준 2 8 30" xfId="16249" xr:uid="{00000000-0005-0000-0000-00005B410000}"/>
    <cellStyle name="표준 2 8 31" xfId="16250" xr:uid="{00000000-0005-0000-0000-00005C410000}"/>
    <cellStyle name="표준 2 8 32" xfId="16251" xr:uid="{00000000-0005-0000-0000-00005D410000}"/>
    <cellStyle name="표준 2 8 33" xfId="16252" xr:uid="{00000000-0005-0000-0000-00005E410000}"/>
    <cellStyle name="표준 2 8 34" xfId="16253" xr:uid="{00000000-0005-0000-0000-00005F410000}"/>
    <cellStyle name="표준 2 8 35" xfId="16254" xr:uid="{00000000-0005-0000-0000-000060410000}"/>
    <cellStyle name="표준 2 8 36" xfId="16255" xr:uid="{00000000-0005-0000-0000-000061410000}"/>
    <cellStyle name="표준 2 8 37" xfId="16256" xr:uid="{00000000-0005-0000-0000-000062410000}"/>
    <cellStyle name="표준 2 8 38" xfId="16257" xr:uid="{00000000-0005-0000-0000-000063410000}"/>
    <cellStyle name="표준 2 8 39" xfId="16258" xr:uid="{00000000-0005-0000-0000-000064410000}"/>
    <cellStyle name="표준 2 8 4" xfId="16259" xr:uid="{00000000-0005-0000-0000-000065410000}"/>
    <cellStyle name="표준 2 8 40" xfId="16260" xr:uid="{00000000-0005-0000-0000-000066410000}"/>
    <cellStyle name="표준 2 8 41" xfId="16261" xr:uid="{00000000-0005-0000-0000-000067410000}"/>
    <cellStyle name="표준 2 8 42" xfId="16262" xr:uid="{00000000-0005-0000-0000-000068410000}"/>
    <cellStyle name="표준 2 8 43" xfId="16263" xr:uid="{00000000-0005-0000-0000-000069410000}"/>
    <cellStyle name="표준 2 8 44" xfId="16264" xr:uid="{00000000-0005-0000-0000-00006A410000}"/>
    <cellStyle name="표준 2 8 45" xfId="16265" xr:uid="{00000000-0005-0000-0000-00006B410000}"/>
    <cellStyle name="표준 2 8 5" xfId="16266" xr:uid="{00000000-0005-0000-0000-00006C410000}"/>
    <cellStyle name="표준 2 8 6" xfId="16267" xr:uid="{00000000-0005-0000-0000-00006D410000}"/>
    <cellStyle name="표준 2 8 7" xfId="16268" xr:uid="{00000000-0005-0000-0000-00006E410000}"/>
    <cellStyle name="표준 2 8 8" xfId="16269" xr:uid="{00000000-0005-0000-0000-00006F410000}"/>
    <cellStyle name="표준 2 8 9" xfId="16270" xr:uid="{00000000-0005-0000-0000-000070410000}"/>
    <cellStyle name="표준 2 80" xfId="16271" xr:uid="{00000000-0005-0000-0000-000071410000}"/>
    <cellStyle name="표준 2 81" xfId="16272" xr:uid="{00000000-0005-0000-0000-000072410000}"/>
    <cellStyle name="표준 2 82" xfId="16273" xr:uid="{00000000-0005-0000-0000-000073410000}"/>
    <cellStyle name="표준 2 83" xfId="16274" xr:uid="{00000000-0005-0000-0000-000074410000}"/>
    <cellStyle name="표준 2 83 2" xfId="18471" xr:uid="{00000000-0005-0000-0000-000075410000}"/>
    <cellStyle name="표준 2 83 2 2" xfId="18605" xr:uid="{00000000-0005-0000-0000-000076410000}"/>
    <cellStyle name="표준 2 83 2 2 2" xfId="19200" xr:uid="{00000000-0005-0000-0000-000077410000}"/>
    <cellStyle name="표준 2 83 2 2 3" xfId="18905" xr:uid="{00000000-0005-0000-0000-000078410000}"/>
    <cellStyle name="표준 2 83 2 3" xfId="18538" xr:uid="{00000000-0005-0000-0000-000079410000}"/>
    <cellStyle name="표준 2 83 2 3 2" xfId="19133" xr:uid="{00000000-0005-0000-0000-00007A410000}"/>
    <cellStyle name="표준 2 83 2 3 3" xfId="18838" xr:uid="{00000000-0005-0000-0000-00007B410000}"/>
    <cellStyle name="표준 2 83 2 4" xfId="18672" xr:uid="{00000000-0005-0000-0000-00007C410000}"/>
    <cellStyle name="표준 2 83 2 4 2" xfId="19267" xr:uid="{00000000-0005-0000-0000-00007D410000}"/>
    <cellStyle name="표준 2 83 2 4 3" xfId="18972" xr:uid="{00000000-0005-0000-0000-00007E410000}"/>
    <cellStyle name="표준 2 83 2 5" xfId="19066" xr:uid="{00000000-0005-0000-0000-00007F410000}"/>
    <cellStyle name="표준 2 83 2 6" xfId="18771" xr:uid="{00000000-0005-0000-0000-000080410000}"/>
    <cellStyle name="표준 2 83 3" xfId="18572" xr:uid="{00000000-0005-0000-0000-000081410000}"/>
    <cellStyle name="표준 2 83 3 2" xfId="19167" xr:uid="{00000000-0005-0000-0000-000082410000}"/>
    <cellStyle name="표준 2 83 3 3" xfId="18872" xr:uid="{00000000-0005-0000-0000-000083410000}"/>
    <cellStyle name="표준 2 83 4" xfId="18505" xr:uid="{00000000-0005-0000-0000-000084410000}"/>
    <cellStyle name="표준 2 83 4 2" xfId="19100" xr:uid="{00000000-0005-0000-0000-000085410000}"/>
    <cellStyle name="표준 2 83 4 3" xfId="18805" xr:uid="{00000000-0005-0000-0000-000086410000}"/>
    <cellStyle name="표준 2 83 5" xfId="18639" xr:uid="{00000000-0005-0000-0000-000087410000}"/>
    <cellStyle name="표준 2 83 5 2" xfId="19234" xr:uid="{00000000-0005-0000-0000-000088410000}"/>
    <cellStyle name="표준 2 83 5 3" xfId="18939" xr:uid="{00000000-0005-0000-0000-000089410000}"/>
    <cellStyle name="표준 2 83 6" xfId="18714" xr:uid="{00000000-0005-0000-0000-00008A410000}"/>
    <cellStyle name="표준 2 83 6 2" xfId="19009" xr:uid="{00000000-0005-0000-0000-00008B410000}"/>
    <cellStyle name="표준 2 83 7" xfId="19033" xr:uid="{00000000-0005-0000-0000-00008C410000}"/>
    <cellStyle name="표준 2 83 8" xfId="19304" xr:uid="{00000000-0005-0000-0000-00008D410000}"/>
    <cellStyle name="표준 2 83 9" xfId="18738" xr:uid="{00000000-0005-0000-0000-00008E410000}"/>
    <cellStyle name="표준 2 84" xfId="10" xr:uid="{00000000-0005-0000-0000-00008F410000}"/>
    <cellStyle name="표준 2 84 2" xfId="18457" xr:uid="{00000000-0005-0000-0000-000090410000}"/>
    <cellStyle name="표준 2 84 2 2" xfId="18591" xr:uid="{00000000-0005-0000-0000-000091410000}"/>
    <cellStyle name="표준 2 84 2 2 2" xfId="19186" xr:uid="{00000000-0005-0000-0000-000092410000}"/>
    <cellStyle name="표준 2 84 2 2 3" xfId="18891" xr:uid="{00000000-0005-0000-0000-000093410000}"/>
    <cellStyle name="표준 2 84 2 3" xfId="18524" xr:uid="{00000000-0005-0000-0000-000094410000}"/>
    <cellStyle name="표준 2 84 2 3 2" xfId="19119" xr:uid="{00000000-0005-0000-0000-000095410000}"/>
    <cellStyle name="표준 2 84 2 3 3" xfId="18824" xr:uid="{00000000-0005-0000-0000-000096410000}"/>
    <cellStyle name="표준 2 84 2 4" xfId="18658" xr:uid="{00000000-0005-0000-0000-000097410000}"/>
    <cellStyle name="표준 2 84 2 4 2" xfId="19253" xr:uid="{00000000-0005-0000-0000-000098410000}"/>
    <cellStyle name="표준 2 84 2 4 3" xfId="18958" xr:uid="{00000000-0005-0000-0000-000099410000}"/>
    <cellStyle name="표준 2 84 2 5" xfId="19052" xr:uid="{00000000-0005-0000-0000-00009A410000}"/>
    <cellStyle name="표준 2 84 2 6" xfId="18757" xr:uid="{00000000-0005-0000-0000-00009B410000}"/>
    <cellStyle name="표준 2 84 3" xfId="18558" xr:uid="{00000000-0005-0000-0000-00009C410000}"/>
    <cellStyle name="표준 2 84 3 2" xfId="19153" xr:uid="{00000000-0005-0000-0000-00009D410000}"/>
    <cellStyle name="표준 2 84 3 3" xfId="18858" xr:uid="{00000000-0005-0000-0000-00009E410000}"/>
    <cellStyle name="표준 2 84 4" xfId="18491" xr:uid="{00000000-0005-0000-0000-00009F410000}"/>
    <cellStyle name="표준 2 84 4 2" xfId="19086" xr:uid="{00000000-0005-0000-0000-0000A0410000}"/>
    <cellStyle name="표준 2 84 4 3" xfId="18791" xr:uid="{00000000-0005-0000-0000-0000A1410000}"/>
    <cellStyle name="표준 2 84 5" xfId="18625" xr:uid="{00000000-0005-0000-0000-0000A2410000}"/>
    <cellStyle name="표준 2 84 5 2" xfId="19220" xr:uid="{00000000-0005-0000-0000-0000A3410000}"/>
    <cellStyle name="표준 2 84 5 3" xfId="18925" xr:uid="{00000000-0005-0000-0000-0000A4410000}"/>
    <cellStyle name="표준 2 84 6" xfId="18698" xr:uid="{00000000-0005-0000-0000-0000A5410000}"/>
    <cellStyle name="표준 2 84 6 2" xfId="18995" xr:uid="{00000000-0005-0000-0000-0000A6410000}"/>
    <cellStyle name="표준 2 84 7" xfId="19019" xr:uid="{00000000-0005-0000-0000-0000A7410000}"/>
    <cellStyle name="표준 2 84 8" xfId="19290" xr:uid="{00000000-0005-0000-0000-0000A8410000}"/>
    <cellStyle name="표준 2 84 9" xfId="18724" xr:uid="{00000000-0005-0000-0000-0000A9410000}"/>
    <cellStyle name="표준 2 85" xfId="18443" xr:uid="{00000000-0005-0000-0000-0000AA410000}"/>
    <cellStyle name="표준 2 85 2" xfId="18478" xr:uid="{00000000-0005-0000-0000-0000AB410000}"/>
    <cellStyle name="표준 2 85 2 2" xfId="18612" xr:uid="{00000000-0005-0000-0000-0000AC410000}"/>
    <cellStyle name="표준 2 85 2 2 2" xfId="19207" xr:uid="{00000000-0005-0000-0000-0000AD410000}"/>
    <cellStyle name="표준 2 85 2 2 3" xfId="18912" xr:uid="{00000000-0005-0000-0000-0000AE410000}"/>
    <cellStyle name="표준 2 85 2 3" xfId="18545" xr:uid="{00000000-0005-0000-0000-0000AF410000}"/>
    <cellStyle name="표준 2 85 2 3 2" xfId="19140" xr:uid="{00000000-0005-0000-0000-0000B0410000}"/>
    <cellStyle name="표준 2 85 2 3 3" xfId="18845" xr:uid="{00000000-0005-0000-0000-0000B1410000}"/>
    <cellStyle name="표준 2 85 2 4" xfId="18679" xr:uid="{00000000-0005-0000-0000-0000B2410000}"/>
    <cellStyle name="표준 2 85 2 4 2" xfId="19274" xr:uid="{00000000-0005-0000-0000-0000B3410000}"/>
    <cellStyle name="표준 2 85 2 4 3" xfId="18979" xr:uid="{00000000-0005-0000-0000-0000B4410000}"/>
    <cellStyle name="표준 2 85 2 5" xfId="19073" xr:uid="{00000000-0005-0000-0000-0000B5410000}"/>
    <cellStyle name="표준 2 85 2 6" xfId="18778" xr:uid="{00000000-0005-0000-0000-0000B6410000}"/>
    <cellStyle name="표준 2 85 3" xfId="18579" xr:uid="{00000000-0005-0000-0000-0000B7410000}"/>
    <cellStyle name="표준 2 85 3 2" xfId="19174" xr:uid="{00000000-0005-0000-0000-0000B8410000}"/>
    <cellStyle name="표준 2 85 3 3" xfId="18879" xr:uid="{00000000-0005-0000-0000-0000B9410000}"/>
    <cellStyle name="표준 2 85 4" xfId="18512" xr:uid="{00000000-0005-0000-0000-0000BA410000}"/>
    <cellStyle name="표준 2 85 4 2" xfId="19107" xr:uid="{00000000-0005-0000-0000-0000BB410000}"/>
    <cellStyle name="표준 2 85 4 3" xfId="18812" xr:uid="{00000000-0005-0000-0000-0000BC410000}"/>
    <cellStyle name="표준 2 85 5" xfId="18646" xr:uid="{00000000-0005-0000-0000-0000BD410000}"/>
    <cellStyle name="표준 2 85 5 2" xfId="19241" xr:uid="{00000000-0005-0000-0000-0000BE410000}"/>
    <cellStyle name="표준 2 85 5 3" xfId="18946" xr:uid="{00000000-0005-0000-0000-0000BF410000}"/>
    <cellStyle name="표준 2 85 6" xfId="18696" xr:uid="{00000000-0005-0000-0000-0000C0410000}"/>
    <cellStyle name="표준 2 85 6 2" xfId="18993" xr:uid="{00000000-0005-0000-0000-0000C1410000}"/>
    <cellStyle name="표준 2 85 7" xfId="19040" xr:uid="{00000000-0005-0000-0000-0000C2410000}"/>
    <cellStyle name="표준 2 85 8" xfId="19288" xr:uid="{00000000-0005-0000-0000-0000C3410000}"/>
    <cellStyle name="표준 2 85 9" xfId="18745" xr:uid="{00000000-0005-0000-0000-0000C4410000}"/>
    <cellStyle name="표준 2 86" xfId="18448" xr:uid="{00000000-0005-0000-0000-0000C5410000}"/>
    <cellStyle name="표준 2 86 2" xfId="18481" xr:uid="{00000000-0005-0000-0000-0000C6410000}"/>
    <cellStyle name="표준 2 86 2 2" xfId="18615" xr:uid="{00000000-0005-0000-0000-0000C7410000}"/>
    <cellStyle name="표준 2 86 2 2 2" xfId="19210" xr:uid="{00000000-0005-0000-0000-0000C8410000}"/>
    <cellStyle name="표준 2 86 2 2 3" xfId="18915" xr:uid="{00000000-0005-0000-0000-0000C9410000}"/>
    <cellStyle name="표준 2 86 2 3" xfId="18548" xr:uid="{00000000-0005-0000-0000-0000CA410000}"/>
    <cellStyle name="표준 2 86 2 3 2" xfId="19143" xr:uid="{00000000-0005-0000-0000-0000CB410000}"/>
    <cellStyle name="표준 2 86 2 3 3" xfId="18848" xr:uid="{00000000-0005-0000-0000-0000CC410000}"/>
    <cellStyle name="표준 2 86 2 4" xfId="18682" xr:uid="{00000000-0005-0000-0000-0000CD410000}"/>
    <cellStyle name="표준 2 86 2 4 2" xfId="19277" xr:uid="{00000000-0005-0000-0000-0000CE410000}"/>
    <cellStyle name="표준 2 86 2 4 3" xfId="18982" xr:uid="{00000000-0005-0000-0000-0000CF410000}"/>
    <cellStyle name="표준 2 86 2 5" xfId="19076" xr:uid="{00000000-0005-0000-0000-0000D0410000}"/>
    <cellStyle name="표준 2 86 2 6" xfId="18781" xr:uid="{00000000-0005-0000-0000-0000D1410000}"/>
    <cellStyle name="표준 2 86 3" xfId="18582" xr:uid="{00000000-0005-0000-0000-0000D2410000}"/>
    <cellStyle name="표준 2 86 3 2" xfId="19177" xr:uid="{00000000-0005-0000-0000-0000D3410000}"/>
    <cellStyle name="표준 2 86 3 3" xfId="18882" xr:uid="{00000000-0005-0000-0000-0000D4410000}"/>
    <cellStyle name="표준 2 86 4" xfId="18515" xr:uid="{00000000-0005-0000-0000-0000D5410000}"/>
    <cellStyle name="표준 2 86 4 2" xfId="19110" xr:uid="{00000000-0005-0000-0000-0000D6410000}"/>
    <cellStyle name="표준 2 86 4 3" xfId="18815" xr:uid="{00000000-0005-0000-0000-0000D7410000}"/>
    <cellStyle name="표준 2 86 5" xfId="18649" xr:uid="{00000000-0005-0000-0000-0000D8410000}"/>
    <cellStyle name="표준 2 86 5 2" xfId="19244" xr:uid="{00000000-0005-0000-0000-0000D9410000}"/>
    <cellStyle name="표준 2 86 5 3" xfId="18949" xr:uid="{00000000-0005-0000-0000-0000DA410000}"/>
    <cellStyle name="표준 2 86 6" xfId="19043" xr:uid="{00000000-0005-0000-0000-0000DB410000}"/>
    <cellStyle name="표준 2 86 7" xfId="18748" xr:uid="{00000000-0005-0000-0000-0000DC410000}"/>
    <cellStyle name="표준 2 87" xfId="18450" xr:uid="{00000000-0005-0000-0000-0000DD410000}"/>
    <cellStyle name="표준 2 87 2" xfId="18483" xr:uid="{00000000-0005-0000-0000-0000DE410000}"/>
    <cellStyle name="표준 2 87 2 2" xfId="18617" xr:uid="{00000000-0005-0000-0000-0000DF410000}"/>
    <cellStyle name="표준 2 87 2 2 2" xfId="19212" xr:uid="{00000000-0005-0000-0000-0000E0410000}"/>
    <cellStyle name="표준 2 87 2 2 3" xfId="18917" xr:uid="{00000000-0005-0000-0000-0000E1410000}"/>
    <cellStyle name="표준 2 87 2 3" xfId="18550" xr:uid="{00000000-0005-0000-0000-0000E2410000}"/>
    <cellStyle name="표준 2 87 2 3 2" xfId="19145" xr:uid="{00000000-0005-0000-0000-0000E3410000}"/>
    <cellStyle name="표준 2 87 2 3 3" xfId="18850" xr:uid="{00000000-0005-0000-0000-0000E4410000}"/>
    <cellStyle name="표준 2 87 2 4" xfId="18684" xr:uid="{00000000-0005-0000-0000-0000E5410000}"/>
    <cellStyle name="표준 2 87 2 4 2" xfId="19279" xr:uid="{00000000-0005-0000-0000-0000E6410000}"/>
    <cellStyle name="표준 2 87 2 4 3" xfId="18984" xr:uid="{00000000-0005-0000-0000-0000E7410000}"/>
    <cellStyle name="표준 2 87 2 5" xfId="19078" xr:uid="{00000000-0005-0000-0000-0000E8410000}"/>
    <cellStyle name="표준 2 87 2 6" xfId="18783" xr:uid="{00000000-0005-0000-0000-0000E9410000}"/>
    <cellStyle name="표준 2 87 3" xfId="18584" xr:uid="{00000000-0005-0000-0000-0000EA410000}"/>
    <cellStyle name="표준 2 87 3 2" xfId="19179" xr:uid="{00000000-0005-0000-0000-0000EB410000}"/>
    <cellStyle name="표준 2 87 3 3" xfId="18884" xr:uid="{00000000-0005-0000-0000-0000EC410000}"/>
    <cellStyle name="표준 2 87 4" xfId="18517" xr:uid="{00000000-0005-0000-0000-0000ED410000}"/>
    <cellStyle name="표준 2 87 4 2" xfId="19112" xr:uid="{00000000-0005-0000-0000-0000EE410000}"/>
    <cellStyle name="표준 2 87 4 3" xfId="18817" xr:uid="{00000000-0005-0000-0000-0000EF410000}"/>
    <cellStyle name="표준 2 87 5" xfId="18651" xr:uid="{00000000-0005-0000-0000-0000F0410000}"/>
    <cellStyle name="표준 2 87 5 2" xfId="19246" xr:uid="{00000000-0005-0000-0000-0000F1410000}"/>
    <cellStyle name="표준 2 87 5 3" xfId="18951" xr:uid="{00000000-0005-0000-0000-0000F2410000}"/>
    <cellStyle name="표준 2 87 6" xfId="19045" xr:uid="{00000000-0005-0000-0000-0000F3410000}"/>
    <cellStyle name="표준 2 87 7" xfId="18750" xr:uid="{00000000-0005-0000-0000-0000F4410000}"/>
    <cellStyle name="표준 2 88" xfId="18452" xr:uid="{00000000-0005-0000-0000-0000F5410000}"/>
    <cellStyle name="표준 2 88 2" xfId="18485" xr:uid="{00000000-0005-0000-0000-0000F6410000}"/>
    <cellStyle name="표준 2 88 2 2" xfId="18619" xr:uid="{00000000-0005-0000-0000-0000F7410000}"/>
    <cellStyle name="표준 2 88 2 2 2" xfId="19214" xr:uid="{00000000-0005-0000-0000-0000F8410000}"/>
    <cellStyle name="표준 2 88 2 2 3" xfId="18919" xr:uid="{00000000-0005-0000-0000-0000F9410000}"/>
    <cellStyle name="표준 2 88 2 3" xfId="18552" xr:uid="{00000000-0005-0000-0000-0000FA410000}"/>
    <cellStyle name="표준 2 88 2 3 2" xfId="19147" xr:uid="{00000000-0005-0000-0000-0000FB410000}"/>
    <cellStyle name="표준 2 88 2 3 3" xfId="18852" xr:uid="{00000000-0005-0000-0000-0000FC410000}"/>
    <cellStyle name="표준 2 88 2 4" xfId="18686" xr:uid="{00000000-0005-0000-0000-0000FD410000}"/>
    <cellStyle name="표준 2 88 2 4 2" xfId="19281" xr:uid="{00000000-0005-0000-0000-0000FE410000}"/>
    <cellStyle name="표준 2 88 2 4 3" xfId="18986" xr:uid="{00000000-0005-0000-0000-0000FF410000}"/>
    <cellStyle name="표준 2 88 2 5" xfId="19080" xr:uid="{00000000-0005-0000-0000-000000420000}"/>
    <cellStyle name="표준 2 88 2 6" xfId="18785" xr:uid="{00000000-0005-0000-0000-000001420000}"/>
    <cellStyle name="표준 2 88 3" xfId="18586" xr:uid="{00000000-0005-0000-0000-000002420000}"/>
    <cellStyle name="표준 2 88 3 2" xfId="19181" xr:uid="{00000000-0005-0000-0000-000003420000}"/>
    <cellStyle name="표준 2 88 3 3" xfId="18886" xr:uid="{00000000-0005-0000-0000-000004420000}"/>
    <cellStyle name="표준 2 88 4" xfId="18519" xr:uid="{00000000-0005-0000-0000-000005420000}"/>
    <cellStyle name="표준 2 88 4 2" xfId="19114" xr:uid="{00000000-0005-0000-0000-000006420000}"/>
    <cellStyle name="표준 2 88 4 3" xfId="18819" xr:uid="{00000000-0005-0000-0000-000007420000}"/>
    <cellStyle name="표준 2 88 5" xfId="18653" xr:uid="{00000000-0005-0000-0000-000008420000}"/>
    <cellStyle name="표준 2 88 5 2" xfId="19248" xr:uid="{00000000-0005-0000-0000-000009420000}"/>
    <cellStyle name="표준 2 88 5 3" xfId="18953" xr:uid="{00000000-0005-0000-0000-00000A420000}"/>
    <cellStyle name="표준 2 88 6" xfId="19047" xr:uid="{00000000-0005-0000-0000-00000B420000}"/>
    <cellStyle name="표준 2 88 7" xfId="18752" xr:uid="{00000000-0005-0000-0000-00000C420000}"/>
    <cellStyle name="표준 2 89" xfId="18455" xr:uid="{00000000-0005-0000-0000-00000D420000}"/>
    <cellStyle name="표준 2 89 2" xfId="18589" xr:uid="{00000000-0005-0000-0000-00000E420000}"/>
    <cellStyle name="표준 2 89 2 2" xfId="19184" xr:uid="{00000000-0005-0000-0000-00000F420000}"/>
    <cellStyle name="표준 2 89 2 3" xfId="18889" xr:uid="{00000000-0005-0000-0000-000010420000}"/>
    <cellStyle name="표준 2 89 3" xfId="18522" xr:uid="{00000000-0005-0000-0000-000011420000}"/>
    <cellStyle name="표준 2 89 3 2" xfId="19117" xr:uid="{00000000-0005-0000-0000-000012420000}"/>
    <cellStyle name="표준 2 89 3 3" xfId="18822" xr:uid="{00000000-0005-0000-0000-000013420000}"/>
    <cellStyle name="표준 2 89 4" xfId="18656" xr:uid="{00000000-0005-0000-0000-000014420000}"/>
    <cellStyle name="표준 2 89 4 2" xfId="19251" xr:uid="{00000000-0005-0000-0000-000015420000}"/>
    <cellStyle name="표준 2 89 4 3" xfId="18956" xr:uid="{00000000-0005-0000-0000-000016420000}"/>
    <cellStyle name="표준 2 89 5" xfId="19050" xr:uid="{00000000-0005-0000-0000-000017420000}"/>
    <cellStyle name="표준 2 89 6" xfId="18755" xr:uid="{00000000-0005-0000-0000-000018420000}"/>
    <cellStyle name="표준 2 9" xfId="16275" xr:uid="{00000000-0005-0000-0000-000019420000}"/>
    <cellStyle name="표준 2 90" xfId="18556" xr:uid="{00000000-0005-0000-0000-00001A420000}"/>
    <cellStyle name="표준 2 90 2" xfId="19151" xr:uid="{00000000-0005-0000-0000-00001B420000}"/>
    <cellStyle name="표준 2 90 3" xfId="18856" xr:uid="{00000000-0005-0000-0000-00001C420000}"/>
    <cellStyle name="표준 2 91" xfId="18489" xr:uid="{00000000-0005-0000-0000-00001D420000}"/>
    <cellStyle name="표준 2 91 2" xfId="19084" xr:uid="{00000000-0005-0000-0000-00001E420000}"/>
    <cellStyle name="표준 2 91 3" xfId="18789" xr:uid="{00000000-0005-0000-0000-00001F420000}"/>
    <cellStyle name="표준 2 92" xfId="18623" xr:uid="{00000000-0005-0000-0000-000020420000}"/>
    <cellStyle name="표준 2 92 2" xfId="19218" xr:uid="{00000000-0005-0000-0000-000021420000}"/>
    <cellStyle name="표준 2 92 3" xfId="18923" xr:uid="{00000000-0005-0000-0000-000022420000}"/>
    <cellStyle name="표준 2 93" xfId="18692" xr:uid="{00000000-0005-0000-0000-000023420000}"/>
    <cellStyle name="표준 2 93 2" xfId="18990" xr:uid="{00000000-0005-0000-0000-000024420000}"/>
    <cellStyle name="표준 2 94" xfId="19017" xr:uid="{00000000-0005-0000-0000-000025420000}"/>
    <cellStyle name="표준 2 95" xfId="19285" xr:uid="{00000000-0005-0000-0000-000026420000}"/>
    <cellStyle name="표준 2 96" xfId="18722" xr:uid="{00000000-0005-0000-0000-000027420000}"/>
    <cellStyle name="표준 20 10" xfId="16276" xr:uid="{00000000-0005-0000-0000-000028420000}"/>
    <cellStyle name="표준 20 11" xfId="16277" xr:uid="{00000000-0005-0000-0000-000029420000}"/>
    <cellStyle name="표준 20 12" xfId="16278" xr:uid="{00000000-0005-0000-0000-00002A420000}"/>
    <cellStyle name="표준 20 13" xfId="16279" xr:uid="{00000000-0005-0000-0000-00002B420000}"/>
    <cellStyle name="표준 20 14" xfId="16280" xr:uid="{00000000-0005-0000-0000-00002C420000}"/>
    <cellStyle name="표준 20 15" xfId="16281" xr:uid="{00000000-0005-0000-0000-00002D420000}"/>
    <cellStyle name="표준 20 16" xfId="16282" xr:uid="{00000000-0005-0000-0000-00002E420000}"/>
    <cellStyle name="표준 20 17" xfId="16283" xr:uid="{00000000-0005-0000-0000-00002F420000}"/>
    <cellStyle name="표준 20 18" xfId="16284" xr:uid="{00000000-0005-0000-0000-000030420000}"/>
    <cellStyle name="표준 20 19" xfId="16285" xr:uid="{00000000-0005-0000-0000-000031420000}"/>
    <cellStyle name="표준 20 2" xfId="16286" xr:uid="{00000000-0005-0000-0000-000032420000}"/>
    <cellStyle name="표준 20 20" xfId="16287" xr:uid="{00000000-0005-0000-0000-000033420000}"/>
    <cellStyle name="표준 20 21" xfId="16288" xr:uid="{00000000-0005-0000-0000-000034420000}"/>
    <cellStyle name="표준 20 22" xfId="16289" xr:uid="{00000000-0005-0000-0000-000035420000}"/>
    <cellStyle name="표준 20 23" xfId="16290" xr:uid="{00000000-0005-0000-0000-000036420000}"/>
    <cellStyle name="표준 20 24" xfId="16291" xr:uid="{00000000-0005-0000-0000-000037420000}"/>
    <cellStyle name="표준 20 25" xfId="16292" xr:uid="{00000000-0005-0000-0000-000038420000}"/>
    <cellStyle name="표준 20 26" xfId="16293" xr:uid="{00000000-0005-0000-0000-000039420000}"/>
    <cellStyle name="표준 20 27" xfId="16294" xr:uid="{00000000-0005-0000-0000-00003A420000}"/>
    <cellStyle name="표준 20 3" xfId="16295" xr:uid="{00000000-0005-0000-0000-00003B420000}"/>
    <cellStyle name="표준 20 4" xfId="16296" xr:uid="{00000000-0005-0000-0000-00003C420000}"/>
    <cellStyle name="표준 20 5" xfId="16297" xr:uid="{00000000-0005-0000-0000-00003D420000}"/>
    <cellStyle name="표준 20 6" xfId="16298" xr:uid="{00000000-0005-0000-0000-00003E420000}"/>
    <cellStyle name="표준 20 7" xfId="16299" xr:uid="{00000000-0005-0000-0000-00003F420000}"/>
    <cellStyle name="표준 20 8" xfId="16300" xr:uid="{00000000-0005-0000-0000-000040420000}"/>
    <cellStyle name="표준 20 9" xfId="16301" xr:uid="{00000000-0005-0000-0000-000041420000}"/>
    <cellStyle name="표준 21 10" xfId="16302" xr:uid="{00000000-0005-0000-0000-000042420000}"/>
    <cellStyle name="표준 21 11" xfId="16303" xr:uid="{00000000-0005-0000-0000-000043420000}"/>
    <cellStyle name="표준 21 12" xfId="16304" xr:uid="{00000000-0005-0000-0000-000044420000}"/>
    <cellStyle name="표준 21 13" xfId="16305" xr:uid="{00000000-0005-0000-0000-000045420000}"/>
    <cellStyle name="표준 21 14" xfId="16306" xr:uid="{00000000-0005-0000-0000-000046420000}"/>
    <cellStyle name="표준 21 15" xfId="16307" xr:uid="{00000000-0005-0000-0000-000047420000}"/>
    <cellStyle name="표준 21 16" xfId="16308" xr:uid="{00000000-0005-0000-0000-000048420000}"/>
    <cellStyle name="표준 21 17" xfId="16309" xr:uid="{00000000-0005-0000-0000-000049420000}"/>
    <cellStyle name="표준 21 18" xfId="16310" xr:uid="{00000000-0005-0000-0000-00004A420000}"/>
    <cellStyle name="표준 21 19" xfId="16311" xr:uid="{00000000-0005-0000-0000-00004B420000}"/>
    <cellStyle name="표준 21 2" xfId="16312" xr:uid="{00000000-0005-0000-0000-00004C420000}"/>
    <cellStyle name="표준 21 20" xfId="16313" xr:uid="{00000000-0005-0000-0000-00004D420000}"/>
    <cellStyle name="표준 21 21" xfId="16314" xr:uid="{00000000-0005-0000-0000-00004E420000}"/>
    <cellStyle name="표준 21 22" xfId="16315" xr:uid="{00000000-0005-0000-0000-00004F420000}"/>
    <cellStyle name="표준 21 23" xfId="16316" xr:uid="{00000000-0005-0000-0000-000050420000}"/>
    <cellStyle name="표준 21 24" xfId="16317" xr:uid="{00000000-0005-0000-0000-000051420000}"/>
    <cellStyle name="표준 21 25" xfId="16318" xr:uid="{00000000-0005-0000-0000-000052420000}"/>
    <cellStyle name="표준 21 26" xfId="16319" xr:uid="{00000000-0005-0000-0000-000053420000}"/>
    <cellStyle name="표준 21 27" xfId="16320" xr:uid="{00000000-0005-0000-0000-000054420000}"/>
    <cellStyle name="표준 21 3" xfId="16321" xr:uid="{00000000-0005-0000-0000-000055420000}"/>
    <cellStyle name="표준 21 4" xfId="16322" xr:uid="{00000000-0005-0000-0000-000056420000}"/>
    <cellStyle name="표준 21 5" xfId="16323" xr:uid="{00000000-0005-0000-0000-000057420000}"/>
    <cellStyle name="표준 21 6" xfId="16324" xr:uid="{00000000-0005-0000-0000-000058420000}"/>
    <cellStyle name="표준 21 7" xfId="16325" xr:uid="{00000000-0005-0000-0000-000059420000}"/>
    <cellStyle name="표준 21 8" xfId="16326" xr:uid="{00000000-0005-0000-0000-00005A420000}"/>
    <cellStyle name="표준 21 9" xfId="16327" xr:uid="{00000000-0005-0000-0000-00005B420000}"/>
    <cellStyle name="표준 22 10" xfId="16328" xr:uid="{00000000-0005-0000-0000-00005C420000}"/>
    <cellStyle name="표준 22 11" xfId="16329" xr:uid="{00000000-0005-0000-0000-00005D420000}"/>
    <cellStyle name="표준 22 12" xfId="16330" xr:uid="{00000000-0005-0000-0000-00005E420000}"/>
    <cellStyle name="표준 22 13" xfId="16331" xr:uid="{00000000-0005-0000-0000-00005F420000}"/>
    <cellStyle name="표준 22 14" xfId="16332" xr:uid="{00000000-0005-0000-0000-000060420000}"/>
    <cellStyle name="표준 22 15" xfId="16333" xr:uid="{00000000-0005-0000-0000-000061420000}"/>
    <cellStyle name="표준 22 16" xfId="16334" xr:uid="{00000000-0005-0000-0000-000062420000}"/>
    <cellStyle name="표준 22 17" xfId="16335" xr:uid="{00000000-0005-0000-0000-000063420000}"/>
    <cellStyle name="표준 22 18" xfId="16336" xr:uid="{00000000-0005-0000-0000-000064420000}"/>
    <cellStyle name="표준 22 19" xfId="16337" xr:uid="{00000000-0005-0000-0000-000065420000}"/>
    <cellStyle name="표준 22 2" xfId="16338" xr:uid="{00000000-0005-0000-0000-000066420000}"/>
    <cellStyle name="표준 22 20" xfId="16339" xr:uid="{00000000-0005-0000-0000-000067420000}"/>
    <cellStyle name="표준 22 21" xfId="16340" xr:uid="{00000000-0005-0000-0000-000068420000}"/>
    <cellStyle name="표준 22 22" xfId="16341" xr:uid="{00000000-0005-0000-0000-000069420000}"/>
    <cellStyle name="표준 22 23" xfId="16342" xr:uid="{00000000-0005-0000-0000-00006A420000}"/>
    <cellStyle name="표준 22 24" xfId="16343" xr:uid="{00000000-0005-0000-0000-00006B420000}"/>
    <cellStyle name="표준 22 25" xfId="16344" xr:uid="{00000000-0005-0000-0000-00006C420000}"/>
    <cellStyle name="표준 22 26" xfId="16345" xr:uid="{00000000-0005-0000-0000-00006D420000}"/>
    <cellStyle name="표준 22 27" xfId="16346" xr:uid="{00000000-0005-0000-0000-00006E420000}"/>
    <cellStyle name="표준 22 3" xfId="16347" xr:uid="{00000000-0005-0000-0000-00006F420000}"/>
    <cellStyle name="표준 22 4" xfId="16348" xr:uid="{00000000-0005-0000-0000-000070420000}"/>
    <cellStyle name="표준 22 5" xfId="16349" xr:uid="{00000000-0005-0000-0000-000071420000}"/>
    <cellStyle name="표준 22 6" xfId="16350" xr:uid="{00000000-0005-0000-0000-000072420000}"/>
    <cellStyle name="표준 22 7" xfId="16351" xr:uid="{00000000-0005-0000-0000-000073420000}"/>
    <cellStyle name="표준 22 8" xfId="16352" xr:uid="{00000000-0005-0000-0000-000074420000}"/>
    <cellStyle name="표준 22 9" xfId="16353" xr:uid="{00000000-0005-0000-0000-000075420000}"/>
    <cellStyle name="표준 23 10" xfId="16354" xr:uid="{00000000-0005-0000-0000-000076420000}"/>
    <cellStyle name="표준 23 11" xfId="16355" xr:uid="{00000000-0005-0000-0000-000077420000}"/>
    <cellStyle name="표준 23 12" xfId="16356" xr:uid="{00000000-0005-0000-0000-000078420000}"/>
    <cellStyle name="표준 23 13" xfId="16357" xr:uid="{00000000-0005-0000-0000-000079420000}"/>
    <cellStyle name="표준 23 14" xfId="16358" xr:uid="{00000000-0005-0000-0000-00007A420000}"/>
    <cellStyle name="표준 23 15" xfId="16359" xr:uid="{00000000-0005-0000-0000-00007B420000}"/>
    <cellStyle name="표준 23 16" xfId="16360" xr:uid="{00000000-0005-0000-0000-00007C420000}"/>
    <cellStyle name="표준 23 17" xfId="16361" xr:uid="{00000000-0005-0000-0000-00007D420000}"/>
    <cellStyle name="표준 23 18" xfId="16362" xr:uid="{00000000-0005-0000-0000-00007E420000}"/>
    <cellStyle name="표준 23 19" xfId="16363" xr:uid="{00000000-0005-0000-0000-00007F420000}"/>
    <cellStyle name="표준 23 2" xfId="16364" xr:uid="{00000000-0005-0000-0000-000080420000}"/>
    <cellStyle name="표준 23 20" xfId="16365" xr:uid="{00000000-0005-0000-0000-000081420000}"/>
    <cellStyle name="표준 23 21" xfId="16366" xr:uid="{00000000-0005-0000-0000-000082420000}"/>
    <cellStyle name="표준 23 22" xfId="16367" xr:uid="{00000000-0005-0000-0000-000083420000}"/>
    <cellStyle name="표준 23 23" xfId="16368" xr:uid="{00000000-0005-0000-0000-000084420000}"/>
    <cellStyle name="표준 23 24" xfId="16369" xr:uid="{00000000-0005-0000-0000-000085420000}"/>
    <cellStyle name="표준 23 25" xfId="16370" xr:uid="{00000000-0005-0000-0000-000086420000}"/>
    <cellStyle name="표준 23 26" xfId="16371" xr:uid="{00000000-0005-0000-0000-000087420000}"/>
    <cellStyle name="표준 23 27" xfId="16372" xr:uid="{00000000-0005-0000-0000-000088420000}"/>
    <cellStyle name="표준 23 3" xfId="16373" xr:uid="{00000000-0005-0000-0000-000089420000}"/>
    <cellStyle name="표준 23 4" xfId="16374" xr:uid="{00000000-0005-0000-0000-00008A420000}"/>
    <cellStyle name="표준 23 5" xfId="16375" xr:uid="{00000000-0005-0000-0000-00008B420000}"/>
    <cellStyle name="표준 23 6" xfId="16376" xr:uid="{00000000-0005-0000-0000-00008C420000}"/>
    <cellStyle name="표준 23 7" xfId="16377" xr:uid="{00000000-0005-0000-0000-00008D420000}"/>
    <cellStyle name="표준 23 8" xfId="16378" xr:uid="{00000000-0005-0000-0000-00008E420000}"/>
    <cellStyle name="표준 23 9" xfId="16379" xr:uid="{00000000-0005-0000-0000-00008F420000}"/>
    <cellStyle name="표준 24 10" xfId="16380" xr:uid="{00000000-0005-0000-0000-000090420000}"/>
    <cellStyle name="표준 24 11" xfId="16381" xr:uid="{00000000-0005-0000-0000-000091420000}"/>
    <cellStyle name="표준 24 12" xfId="16382" xr:uid="{00000000-0005-0000-0000-000092420000}"/>
    <cellStyle name="표준 24 13" xfId="16383" xr:uid="{00000000-0005-0000-0000-000093420000}"/>
    <cellStyle name="표준 24 14" xfId="16384" xr:uid="{00000000-0005-0000-0000-000094420000}"/>
    <cellStyle name="표준 24 15" xfId="16385" xr:uid="{00000000-0005-0000-0000-000095420000}"/>
    <cellStyle name="표준 24 16" xfId="16386" xr:uid="{00000000-0005-0000-0000-000096420000}"/>
    <cellStyle name="표준 24 17" xfId="16387" xr:uid="{00000000-0005-0000-0000-000097420000}"/>
    <cellStyle name="표준 24 18" xfId="16388" xr:uid="{00000000-0005-0000-0000-000098420000}"/>
    <cellStyle name="표준 24 19" xfId="16389" xr:uid="{00000000-0005-0000-0000-000099420000}"/>
    <cellStyle name="표준 24 2" xfId="16390" xr:uid="{00000000-0005-0000-0000-00009A420000}"/>
    <cellStyle name="표준 24 20" xfId="16391" xr:uid="{00000000-0005-0000-0000-00009B420000}"/>
    <cellStyle name="표준 24 21" xfId="16392" xr:uid="{00000000-0005-0000-0000-00009C420000}"/>
    <cellStyle name="표준 24 22" xfId="16393" xr:uid="{00000000-0005-0000-0000-00009D420000}"/>
    <cellStyle name="표준 24 23" xfId="16394" xr:uid="{00000000-0005-0000-0000-00009E420000}"/>
    <cellStyle name="표준 24 24" xfId="16395" xr:uid="{00000000-0005-0000-0000-00009F420000}"/>
    <cellStyle name="표준 24 25" xfId="16396" xr:uid="{00000000-0005-0000-0000-0000A0420000}"/>
    <cellStyle name="표준 24 26" xfId="16397" xr:uid="{00000000-0005-0000-0000-0000A1420000}"/>
    <cellStyle name="표준 24 27" xfId="16398" xr:uid="{00000000-0005-0000-0000-0000A2420000}"/>
    <cellStyle name="표준 24 3" xfId="16399" xr:uid="{00000000-0005-0000-0000-0000A3420000}"/>
    <cellStyle name="표준 24 4" xfId="16400" xr:uid="{00000000-0005-0000-0000-0000A4420000}"/>
    <cellStyle name="표준 24 5" xfId="16401" xr:uid="{00000000-0005-0000-0000-0000A5420000}"/>
    <cellStyle name="표준 24 6" xfId="16402" xr:uid="{00000000-0005-0000-0000-0000A6420000}"/>
    <cellStyle name="표준 24 7" xfId="16403" xr:uid="{00000000-0005-0000-0000-0000A7420000}"/>
    <cellStyle name="표준 24 8" xfId="16404" xr:uid="{00000000-0005-0000-0000-0000A8420000}"/>
    <cellStyle name="표준 24 9" xfId="16405" xr:uid="{00000000-0005-0000-0000-0000A9420000}"/>
    <cellStyle name="표준 25 10" xfId="16406" xr:uid="{00000000-0005-0000-0000-0000AA420000}"/>
    <cellStyle name="표준 25 11" xfId="16407" xr:uid="{00000000-0005-0000-0000-0000AB420000}"/>
    <cellStyle name="표준 25 12" xfId="16408" xr:uid="{00000000-0005-0000-0000-0000AC420000}"/>
    <cellStyle name="표준 25 13" xfId="16409" xr:uid="{00000000-0005-0000-0000-0000AD420000}"/>
    <cellStyle name="표준 25 14" xfId="16410" xr:uid="{00000000-0005-0000-0000-0000AE420000}"/>
    <cellStyle name="표준 25 15" xfId="16411" xr:uid="{00000000-0005-0000-0000-0000AF420000}"/>
    <cellStyle name="표준 25 16" xfId="16412" xr:uid="{00000000-0005-0000-0000-0000B0420000}"/>
    <cellStyle name="표준 25 17" xfId="16413" xr:uid="{00000000-0005-0000-0000-0000B1420000}"/>
    <cellStyle name="표준 25 18" xfId="16414" xr:uid="{00000000-0005-0000-0000-0000B2420000}"/>
    <cellStyle name="표준 25 19" xfId="16415" xr:uid="{00000000-0005-0000-0000-0000B3420000}"/>
    <cellStyle name="표준 25 2" xfId="16416" xr:uid="{00000000-0005-0000-0000-0000B4420000}"/>
    <cellStyle name="표준 25 20" xfId="16417" xr:uid="{00000000-0005-0000-0000-0000B5420000}"/>
    <cellStyle name="표준 25 21" xfId="16418" xr:uid="{00000000-0005-0000-0000-0000B6420000}"/>
    <cellStyle name="표준 25 22" xfId="16419" xr:uid="{00000000-0005-0000-0000-0000B7420000}"/>
    <cellStyle name="표준 25 3" xfId="16420" xr:uid="{00000000-0005-0000-0000-0000B8420000}"/>
    <cellStyle name="표준 25 4" xfId="16421" xr:uid="{00000000-0005-0000-0000-0000B9420000}"/>
    <cellStyle name="표준 25 5" xfId="16422" xr:uid="{00000000-0005-0000-0000-0000BA420000}"/>
    <cellStyle name="표준 25 6" xfId="16423" xr:uid="{00000000-0005-0000-0000-0000BB420000}"/>
    <cellStyle name="표준 25 7" xfId="16424" xr:uid="{00000000-0005-0000-0000-0000BC420000}"/>
    <cellStyle name="표준 25 8" xfId="16425" xr:uid="{00000000-0005-0000-0000-0000BD420000}"/>
    <cellStyle name="표준 25 9" xfId="16426" xr:uid="{00000000-0005-0000-0000-0000BE420000}"/>
    <cellStyle name="표준 26 10" xfId="16427" xr:uid="{00000000-0005-0000-0000-0000BF420000}"/>
    <cellStyle name="표준 26 11" xfId="16428" xr:uid="{00000000-0005-0000-0000-0000C0420000}"/>
    <cellStyle name="표준 26 12" xfId="16429" xr:uid="{00000000-0005-0000-0000-0000C1420000}"/>
    <cellStyle name="표준 26 13" xfId="16430" xr:uid="{00000000-0005-0000-0000-0000C2420000}"/>
    <cellStyle name="표준 26 14" xfId="16431" xr:uid="{00000000-0005-0000-0000-0000C3420000}"/>
    <cellStyle name="표준 26 15" xfId="16432" xr:uid="{00000000-0005-0000-0000-0000C4420000}"/>
    <cellStyle name="표준 26 16" xfId="16433" xr:uid="{00000000-0005-0000-0000-0000C5420000}"/>
    <cellStyle name="표준 26 17" xfId="16434" xr:uid="{00000000-0005-0000-0000-0000C6420000}"/>
    <cellStyle name="표준 26 18" xfId="16435" xr:uid="{00000000-0005-0000-0000-0000C7420000}"/>
    <cellStyle name="표준 26 19" xfId="16436" xr:uid="{00000000-0005-0000-0000-0000C8420000}"/>
    <cellStyle name="표준 26 2" xfId="16437" xr:uid="{00000000-0005-0000-0000-0000C9420000}"/>
    <cellStyle name="표준 26 20" xfId="16438" xr:uid="{00000000-0005-0000-0000-0000CA420000}"/>
    <cellStyle name="표준 26 21" xfId="16439" xr:uid="{00000000-0005-0000-0000-0000CB420000}"/>
    <cellStyle name="표준 26 22" xfId="16440" xr:uid="{00000000-0005-0000-0000-0000CC420000}"/>
    <cellStyle name="표준 26 23" xfId="16441" xr:uid="{00000000-0005-0000-0000-0000CD420000}"/>
    <cellStyle name="표준 26 24" xfId="16442" xr:uid="{00000000-0005-0000-0000-0000CE420000}"/>
    <cellStyle name="표준 26 25" xfId="16443" xr:uid="{00000000-0005-0000-0000-0000CF420000}"/>
    <cellStyle name="표준 26 26" xfId="16444" xr:uid="{00000000-0005-0000-0000-0000D0420000}"/>
    <cellStyle name="표준 26 27" xfId="16445" xr:uid="{00000000-0005-0000-0000-0000D1420000}"/>
    <cellStyle name="표준 26 3" xfId="16446" xr:uid="{00000000-0005-0000-0000-0000D2420000}"/>
    <cellStyle name="표준 26 4" xfId="16447" xr:uid="{00000000-0005-0000-0000-0000D3420000}"/>
    <cellStyle name="표준 26 5" xfId="16448" xr:uid="{00000000-0005-0000-0000-0000D4420000}"/>
    <cellStyle name="표준 26 6" xfId="16449" xr:uid="{00000000-0005-0000-0000-0000D5420000}"/>
    <cellStyle name="표준 26 7" xfId="16450" xr:uid="{00000000-0005-0000-0000-0000D6420000}"/>
    <cellStyle name="표준 26 8" xfId="16451" xr:uid="{00000000-0005-0000-0000-0000D7420000}"/>
    <cellStyle name="표준 26 9" xfId="16452" xr:uid="{00000000-0005-0000-0000-0000D8420000}"/>
    <cellStyle name="표준 27 2" xfId="16453" xr:uid="{00000000-0005-0000-0000-0000D9420000}"/>
    <cellStyle name="표준 27 3" xfId="16454" xr:uid="{00000000-0005-0000-0000-0000DA420000}"/>
    <cellStyle name="표준 27 4" xfId="16455" xr:uid="{00000000-0005-0000-0000-0000DB420000}"/>
    <cellStyle name="표준 27 5" xfId="16456" xr:uid="{00000000-0005-0000-0000-0000DC420000}"/>
    <cellStyle name="표준 27 6" xfId="16457" xr:uid="{00000000-0005-0000-0000-0000DD420000}"/>
    <cellStyle name="표준 27 7" xfId="16458" xr:uid="{00000000-0005-0000-0000-0000DE420000}"/>
    <cellStyle name="표준 27 8" xfId="16459" xr:uid="{00000000-0005-0000-0000-0000DF420000}"/>
    <cellStyle name="표준 28 2" xfId="16460" xr:uid="{00000000-0005-0000-0000-0000E0420000}"/>
    <cellStyle name="표준 28 3" xfId="16461" xr:uid="{00000000-0005-0000-0000-0000E1420000}"/>
    <cellStyle name="표준 28 4" xfId="16462" xr:uid="{00000000-0005-0000-0000-0000E2420000}"/>
    <cellStyle name="표준 28 5" xfId="16463" xr:uid="{00000000-0005-0000-0000-0000E3420000}"/>
    <cellStyle name="표준 28 6" xfId="16464" xr:uid="{00000000-0005-0000-0000-0000E4420000}"/>
    <cellStyle name="표준 28 7" xfId="16465" xr:uid="{00000000-0005-0000-0000-0000E5420000}"/>
    <cellStyle name="표준 28 8" xfId="16466" xr:uid="{00000000-0005-0000-0000-0000E6420000}"/>
    <cellStyle name="표준 29 2" xfId="16467" xr:uid="{00000000-0005-0000-0000-0000E7420000}"/>
    <cellStyle name="표준 29 3" xfId="16468" xr:uid="{00000000-0005-0000-0000-0000E8420000}"/>
    <cellStyle name="표준 29 4" xfId="16469" xr:uid="{00000000-0005-0000-0000-0000E9420000}"/>
    <cellStyle name="표준 29 5" xfId="16470" xr:uid="{00000000-0005-0000-0000-0000EA420000}"/>
    <cellStyle name="표준 29 6" xfId="16471" xr:uid="{00000000-0005-0000-0000-0000EB420000}"/>
    <cellStyle name="표준 29 7" xfId="16472" xr:uid="{00000000-0005-0000-0000-0000EC420000}"/>
    <cellStyle name="표준 3" xfId="14" xr:uid="{00000000-0005-0000-0000-0000ED420000}"/>
    <cellStyle name="표준 3 10" xfId="16473" xr:uid="{00000000-0005-0000-0000-0000EE420000}"/>
    <cellStyle name="표준 3 11" xfId="16474" xr:uid="{00000000-0005-0000-0000-0000EF420000}"/>
    <cellStyle name="표준 3 12" xfId="16475" xr:uid="{00000000-0005-0000-0000-0000F0420000}"/>
    <cellStyle name="표준 3 12 2" xfId="16476" xr:uid="{00000000-0005-0000-0000-0000F1420000}"/>
    <cellStyle name="표준 3 12 3" xfId="16477" xr:uid="{00000000-0005-0000-0000-0000F2420000}"/>
    <cellStyle name="표준 3 12 4" xfId="16478" xr:uid="{00000000-0005-0000-0000-0000F3420000}"/>
    <cellStyle name="표준 3 13" xfId="16479" xr:uid="{00000000-0005-0000-0000-0000F4420000}"/>
    <cellStyle name="표준 3 14" xfId="16480" xr:uid="{00000000-0005-0000-0000-0000F5420000}"/>
    <cellStyle name="표준 3 15" xfId="16481" xr:uid="{00000000-0005-0000-0000-0000F6420000}"/>
    <cellStyle name="표준 3 16" xfId="16482" xr:uid="{00000000-0005-0000-0000-0000F7420000}"/>
    <cellStyle name="표준 3 17" xfId="16483" xr:uid="{00000000-0005-0000-0000-0000F8420000}"/>
    <cellStyle name="표준 3 18" xfId="16484" xr:uid="{00000000-0005-0000-0000-0000F9420000}"/>
    <cellStyle name="표준 3 19" xfId="16485" xr:uid="{00000000-0005-0000-0000-0000FA420000}"/>
    <cellStyle name="표준 3 2" xfId="16486" xr:uid="{00000000-0005-0000-0000-0000FB420000}"/>
    <cellStyle name="표준 3 2 10" xfId="16487" xr:uid="{00000000-0005-0000-0000-0000FC420000}"/>
    <cellStyle name="표준 3 2 11" xfId="16488" xr:uid="{00000000-0005-0000-0000-0000FD420000}"/>
    <cellStyle name="표준 3 2 12" xfId="16489" xr:uid="{00000000-0005-0000-0000-0000FE420000}"/>
    <cellStyle name="표준 3 2 13" xfId="16490" xr:uid="{00000000-0005-0000-0000-0000FF420000}"/>
    <cellStyle name="표준 3 2 14" xfId="16491" xr:uid="{00000000-0005-0000-0000-000000430000}"/>
    <cellStyle name="표준 3 2 15" xfId="16492" xr:uid="{00000000-0005-0000-0000-000001430000}"/>
    <cellStyle name="표준 3 2 16" xfId="16493" xr:uid="{00000000-0005-0000-0000-000002430000}"/>
    <cellStyle name="표준 3 2 17" xfId="16494" xr:uid="{00000000-0005-0000-0000-000003430000}"/>
    <cellStyle name="표준 3 2 18" xfId="16495" xr:uid="{00000000-0005-0000-0000-000004430000}"/>
    <cellStyle name="표준 3 2 19" xfId="16496" xr:uid="{00000000-0005-0000-0000-000005430000}"/>
    <cellStyle name="표준 3 2 2" xfId="16497" xr:uid="{00000000-0005-0000-0000-000006430000}"/>
    <cellStyle name="표준 3 2 2 2" xfId="16498" xr:uid="{00000000-0005-0000-0000-000007430000}"/>
    <cellStyle name="표준 3 2 2 3" xfId="16499" xr:uid="{00000000-0005-0000-0000-000008430000}"/>
    <cellStyle name="표준 3 2 2 4" xfId="16500" xr:uid="{00000000-0005-0000-0000-000009430000}"/>
    <cellStyle name="표준 3 2 2 5" xfId="16501" xr:uid="{00000000-0005-0000-0000-00000A430000}"/>
    <cellStyle name="표준 3 2 20" xfId="16502" xr:uid="{00000000-0005-0000-0000-00000B430000}"/>
    <cellStyle name="표준 3 2 21" xfId="16503" xr:uid="{00000000-0005-0000-0000-00000C430000}"/>
    <cellStyle name="표준 3 2 22" xfId="16504" xr:uid="{00000000-0005-0000-0000-00000D430000}"/>
    <cellStyle name="표준 3 2 23" xfId="16505" xr:uid="{00000000-0005-0000-0000-00000E430000}"/>
    <cellStyle name="표준 3 2 24" xfId="16506" xr:uid="{00000000-0005-0000-0000-00000F430000}"/>
    <cellStyle name="표준 3 2 25" xfId="16507" xr:uid="{00000000-0005-0000-0000-000010430000}"/>
    <cellStyle name="표준 3 2 26" xfId="16508" xr:uid="{00000000-0005-0000-0000-000011430000}"/>
    <cellStyle name="표준 3 2 27" xfId="16509" xr:uid="{00000000-0005-0000-0000-000012430000}"/>
    <cellStyle name="표준 3 2 28" xfId="16510" xr:uid="{00000000-0005-0000-0000-000013430000}"/>
    <cellStyle name="표준 3 2 29" xfId="16511" xr:uid="{00000000-0005-0000-0000-000014430000}"/>
    <cellStyle name="표준 3 2 3" xfId="16512" xr:uid="{00000000-0005-0000-0000-000015430000}"/>
    <cellStyle name="표준 3 2 30" xfId="16513" xr:uid="{00000000-0005-0000-0000-000016430000}"/>
    <cellStyle name="표준 3 2 31" xfId="16514" xr:uid="{00000000-0005-0000-0000-000017430000}"/>
    <cellStyle name="표준 3 2 32" xfId="16515" xr:uid="{00000000-0005-0000-0000-000018430000}"/>
    <cellStyle name="표준 3 2 33" xfId="16516" xr:uid="{00000000-0005-0000-0000-000019430000}"/>
    <cellStyle name="표준 3 2 34" xfId="16517" xr:uid="{00000000-0005-0000-0000-00001A430000}"/>
    <cellStyle name="표준 3 2 35" xfId="16518" xr:uid="{00000000-0005-0000-0000-00001B430000}"/>
    <cellStyle name="표준 3 2 36" xfId="16519" xr:uid="{00000000-0005-0000-0000-00001C430000}"/>
    <cellStyle name="표준 3 2 37" xfId="16520" xr:uid="{00000000-0005-0000-0000-00001D430000}"/>
    <cellStyle name="표준 3 2 38" xfId="16521" xr:uid="{00000000-0005-0000-0000-00001E430000}"/>
    <cellStyle name="표준 3 2 39" xfId="16522" xr:uid="{00000000-0005-0000-0000-00001F430000}"/>
    <cellStyle name="표준 3 2 4" xfId="16523" xr:uid="{00000000-0005-0000-0000-000020430000}"/>
    <cellStyle name="표준 3 2 40" xfId="16524" xr:uid="{00000000-0005-0000-0000-000021430000}"/>
    <cellStyle name="표준 3 2 41" xfId="16525" xr:uid="{00000000-0005-0000-0000-000022430000}"/>
    <cellStyle name="표준 3 2 42" xfId="16526" xr:uid="{00000000-0005-0000-0000-000023430000}"/>
    <cellStyle name="표준 3 2 43" xfId="16527" xr:uid="{00000000-0005-0000-0000-000024430000}"/>
    <cellStyle name="표준 3 2 44" xfId="16528" xr:uid="{00000000-0005-0000-0000-000025430000}"/>
    <cellStyle name="표준 3 2 45" xfId="16529" xr:uid="{00000000-0005-0000-0000-000026430000}"/>
    <cellStyle name="표준 3 2 46" xfId="16530" xr:uid="{00000000-0005-0000-0000-000027430000}"/>
    <cellStyle name="표준 3 2 47" xfId="16531" xr:uid="{00000000-0005-0000-0000-000028430000}"/>
    <cellStyle name="표준 3 2 48" xfId="16532" xr:uid="{00000000-0005-0000-0000-000029430000}"/>
    <cellStyle name="표준 3 2 49" xfId="16533" xr:uid="{00000000-0005-0000-0000-00002A430000}"/>
    <cellStyle name="표준 3 2 5" xfId="16534" xr:uid="{00000000-0005-0000-0000-00002B430000}"/>
    <cellStyle name="표준 3 2 5 2" xfId="16535" xr:uid="{00000000-0005-0000-0000-00002C430000}"/>
    <cellStyle name="표준 3 2 5 3" xfId="16536" xr:uid="{00000000-0005-0000-0000-00002D430000}"/>
    <cellStyle name="표준 3 2 5 4" xfId="16537" xr:uid="{00000000-0005-0000-0000-00002E430000}"/>
    <cellStyle name="표준 3 2 50" xfId="16538" xr:uid="{00000000-0005-0000-0000-00002F430000}"/>
    <cellStyle name="표준 3 2 51" xfId="16539" xr:uid="{00000000-0005-0000-0000-000030430000}"/>
    <cellStyle name="표준 3 2 52" xfId="16540" xr:uid="{00000000-0005-0000-0000-000031430000}"/>
    <cellStyle name="표준 3 2 53" xfId="16541" xr:uid="{00000000-0005-0000-0000-000032430000}"/>
    <cellStyle name="표준 3 2 54" xfId="16542" xr:uid="{00000000-0005-0000-0000-000033430000}"/>
    <cellStyle name="표준 3 2 55" xfId="16543" xr:uid="{00000000-0005-0000-0000-000034430000}"/>
    <cellStyle name="표준 3 2 56" xfId="16544" xr:uid="{00000000-0005-0000-0000-000035430000}"/>
    <cellStyle name="표준 3 2 57" xfId="16545" xr:uid="{00000000-0005-0000-0000-000036430000}"/>
    <cellStyle name="표준 3 2 58" xfId="16546" xr:uid="{00000000-0005-0000-0000-000037430000}"/>
    <cellStyle name="표준 3 2 59" xfId="16547" xr:uid="{00000000-0005-0000-0000-000038430000}"/>
    <cellStyle name="표준 3 2 6" xfId="16548" xr:uid="{00000000-0005-0000-0000-000039430000}"/>
    <cellStyle name="표준 3 2 60" xfId="16549" xr:uid="{00000000-0005-0000-0000-00003A430000}"/>
    <cellStyle name="표준 3 2 61" xfId="16550" xr:uid="{00000000-0005-0000-0000-00003B430000}"/>
    <cellStyle name="표준 3 2 62" xfId="16551" xr:uid="{00000000-0005-0000-0000-00003C430000}"/>
    <cellStyle name="표준 3 2 63" xfId="16552" xr:uid="{00000000-0005-0000-0000-00003D430000}"/>
    <cellStyle name="표준 3 2 64" xfId="16553" xr:uid="{00000000-0005-0000-0000-00003E430000}"/>
    <cellStyle name="표준 3 2 65" xfId="16554" xr:uid="{00000000-0005-0000-0000-00003F430000}"/>
    <cellStyle name="표준 3 2 66" xfId="16555" xr:uid="{00000000-0005-0000-0000-000040430000}"/>
    <cellStyle name="표준 3 2 67" xfId="18445" xr:uid="{00000000-0005-0000-0000-000041430000}"/>
    <cellStyle name="표준 3 2 67 2" xfId="18480" xr:uid="{00000000-0005-0000-0000-000042430000}"/>
    <cellStyle name="표준 3 2 67 2 2" xfId="18614" xr:uid="{00000000-0005-0000-0000-000043430000}"/>
    <cellStyle name="표준 3 2 67 2 2 2" xfId="19209" xr:uid="{00000000-0005-0000-0000-000044430000}"/>
    <cellStyle name="표준 3 2 67 2 2 3" xfId="18914" xr:uid="{00000000-0005-0000-0000-000045430000}"/>
    <cellStyle name="표준 3 2 67 2 3" xfId="18547" xr:uid="{00000000-0005-0000-0000-000046430000}"/>
    <cellStyle name="표준 3 2 67 2 3 2" xfId="19142" xr:uid="{00000000-0005-0000-0000-000047430000}"/>
    <cellStyle name="표준 3 2 67 2 3 3" xfId="18847" xr:uid="{00000000-0005-0000-0000-000048430000}"/>
    <cellStyle name="표준 3 2 67 2 4" xfId="18681" xr:uid="{00000000-0005-0000-0000-000049430000}"/>
    <cellStyle name="표준 3 2 67 2 4 2" xfId="19276" xr:uid="{00000000-0005-0000-0000-00004A430000}"/>
    <cellStyle name="표준 3 2 67 2 4 3" xfId="18981" xr:uid="{00000000-0005-0000-0000-00004B430000}"/>
    <cellStyle name="표준 3 2 67 2 5" xfId="19075" xr:uid="{00000000-0005-0000-0000-00004C430000}"/>
    <cellStyle name="표준 3 2 67 2 6" xfId="18780" xr:uid="{00000000-0005-0000-0000-00004D430000}"/>
    <cellStyle name="표준 3 2 67 3" xfId="18581" xr:uid="{00000000-0005-0000-0000-00004E430000}"/>
    <cellStyle name="표준 3 2 67 3 2" xfId="19176" xr:uid="{00000000-0005-0000-0000-00004F430000}"/>
    <cellStyle name="표준 3 2 67 3 3" xfId="18881" xr:uid="{00000000-0005-0000-0000-000050430000}"/>
    <cellStyle name="표준 3 2 67 4" xfId="18514" xr:uid="{00000000-0005-0000-0000-000051430000}"/>
    <cellStyle name="표준 3 2 67 4 2" xfId="19109" xr:uid="{00000000-0005-0000-0000-000052430000}"/>
    <cellStyle name="표준 3 2 67 4 3" xfId="18814" xr:uid="{00000000-0005-0000-0000-000053430000}"/>
    <cellStyle name="표준 3 2 67 5" xfId="18648" xr:uid="{00000000-0005-0000-0000-000054430000}"/>
    <cellStyle name="표준 3 2 67 5 2" xfId="19243" xr:uid="{00000000-0005-0000-0000-000055430000}"/>
    <cellStyle name="표준 3 2 67 5 3" xfId="18948" xr:uid="{00000000-0005-0000-0000-000056430000}"/>
    <cellStyle name="표준 3 2 67 6" xfId="19042" xr:uid="{00000000-0005-0000-0000-000057430000}"/>
    <cellStyle name="표준 3 2 67 7" xfId="18747" xr:uid="{00000000-0005-0000-0000-000058430000}"/>
    <cellStyle name="표준 3 2 7" xfId="16556" xr:uid="{00000000-0005-0000-0000-000059430000}"/>
    <cellStyle name="표준 3 2 8" xfId="16557" xr:uid="{00000000-0005-0000-0000-00005A430000}"/>
    <cellStyle name="표준 3 2 9" xfId="16558" xr:uid="{00000000-0005-0000-0000-00005B430000}"/>
    <cellStyle name="표준 3 20" xfId="16559" xr:uid="{00000000-0005-0000-0000-00005C430000}"/>
    <cellStyle name="표준 3 21" xfId="16560" xr:uid="{00000000-0005-0000-0000-00005D430000}"/>
    <cellStyle name="표준 3 22" xfId="16561" xr:uid="{00000000-0005-0000-0000-00005E430000}"/>
    <cellStyle name="표준 3 23" xfId="16562" xr:uid="{00000000-0005-0000-0000-00005F430000}"/>
    <cellStyle name="표준 3 23 2" xfId="16563" xr:uid="{00000000-0005-0000-0000-000060430000}"/>
    <cellStyle name="표준 3 23 3" xfId="16564" xr:uid="{00000000-0005-0000-0000-000061430000}"/>
    <cellStyle name="표준 3 24" xfId="16565" xr:uid="{00000000-0005-0000-0000-000062430000}"/>
    <cellStyle name="표준 3 25" xfId="16566" xr:uid="{00000000-0005-0000-0000-000063430000}"/>
    <cellStyle name="표준 3 26" xfId="16567" xr:uid="{00000000-0005-0000-0000-000064430000}"/>
    <cellStyle name="표준 3 27" xfId="16568" xr:uid="{00000000-0005-0000-0000-000065430000}"/>
    <cellStyle name="표준 3 28" xfId="16569" xr:uid="{00000000-0005-0000-0000-000066430000}"/>
    <cellStyle name="표준 3 29" xfId="16570" xr:uid="{00000000-0005-0000-0000-000067430000}"/>
    <cellStyle name="표준 3 29 2" xfId="16571" xr:uid="{00000000-0005-0000-0000-000068430000}"/>
    <cellStyle name="표준 3 3" xfId="16572" xr:uid="{00000000-0005-0000-0000-000069430000}"/>
    <cellStyle name="표준 3 3 10" xfId="16573" xr:uid="{00000000-0005-0000-0000-00006A430000}"/>
    <cellStyle name="표준 3 3 11" xfId="16574" xr:uid="{00000000-0005-0000-0000-00006B430000}"/>
    <cellStyle name="표준 3 3 12" xfId="16575" xr:uid="{00000000-0005-0000-0000-00006C430000}"/>
    <cellStyle name="표준 3 3 13" xfId="16576" xr:uid="{00000000-0005-0000-0000-00006D430000}"/>
    <cellStyle name="표준 3 3 14" xfId="16577" xr:uid="{00000000-0005-0000-0000-00006E430000}"/>
    <cellStyle name="표준 3 3 15" xfId="16578" xr:uid="{00000000-0005-0000-0000-00006F430000}"/>
    <cellStyle name="표준 3 3 16" xfId="16579" xr:uid="{00000000-0005-0000-0000-000070430000}"/>
    <cellStyle name="표준 3 3 17" xfId="16580" xr:uid="{00000000-0005-0000-0000-000071430000}"/>
    <cellStyle name="표준 3 3 18" xfId="16581" xr:uid="{00000000-0005-0000-0000-000072430000}"/>
    <cellStyle name="표준 3 3 19" xfId="16582" xr:uid="{00000000-0005-0000-0000-000073430000}"/>
    <cellStyle name="표준 3 3 2" xfId="16583" xr:uid="{00000000-0005-0000-0000-000074430000}"/>
    <cellStyle name="표준 3 3 20" xfId="16584" xr:uid="{00000000-0005-0000-0000-000075430000}"/>
    <cellStyle name="표준 3 3 21" xfId="16585" xr:uid="{00000000-0005-0000-0000-000076430000}"/>
    <cellStyle name="표준 3 3 22" xfId="16586" xr:uid="{00000000-0005-0000-0000-000077430000}"/>
    <cellStyle name="표준 3 3 23" xfId="16587" xr:uid="{00000000-0005-0000-0000-000078430000}"/>
    <cellStyle name="표준 3 3 24" xfId="16588" xr:uid="{00000000-0005-0000-0000-000079430000}"/>
    <cellStyle name="표준 3 3 3" xfId="16589" xr:uid="{00000000-0005-0000-0000-00007A430000}"/>
    <cellStyle name="표준 3 3 4" xfId="16590" xr:uid="{00000000-0005-0000-0000-00007B430000}"/>
    <cellStyle name="표준 3 3 5" xfId="16591" xr:uid="{00000000-0005-0000-0000-00007C430000}"/>
    <cellStyle name="표준 3 3 6" xfId="16592" xr:uid="{00000000-0005-0000-0000-00007D430000}"/>
    <cellStyle name="표준 3 3 7" xfId="16593" xr:uid="{00000000-0005-0000-0000-00007E430000}"/>
    <cellStyle name="표준 3 3 8" xfId="16594" xr:uid="{00000000-0005-0000-0000-00007F430000}"/>
    <cellStyle name="표준 3 3 9" xfId="16595" xr:uid="{00000000-0005-0000-0000-000080430000}"/>
    <cellStyle name="표준 3 30" xfId="16596" xr:uid="{00000000-0005-0000-0000-000081430000}"/>
    <cellStyle name="표준 3 31" xfId="16597" xr:uid="{00000000-0005-0000-0000-000082430000}"/>
    <cellStyle name="표준 3 32" xfId="16598" xr:uid="{00000000-0005-0000-0000-000083430000}"/>
    <cellStyle name="표준 3 33" xfId="16599" xr:uid="{00000000-0005-0000-0000-000084430000}"/>
    <cellStyle name="표준 3 33 2" xfId="16600" xr:uid="{00000000-0005-0000-0000-000085430000}"/>
    <cellStyle name="표준 3 34" xfId="16601" xr:uid="{00000000-0005-0000-0000-000086430000}"/>
    <cellStyle name="표준 3 35" xfId="16602" xr:uid="{00000000-0005-0000-0000-000087430000}"/>
    <cellStyle name="표준 3 36" xfId="16603" xr:uid="{00000000-0005-0000-0000-000088430000}"/>
    <cellStyle name="표준 3 37" xfId="16604" xr:uid="{00000000-0005-0000-0000-000089430000}"/>
    <cellStyle name="표준 3 38" xfId="16605" xr:uid="{00000000-0005-0000-0000-00008A430000}"/>
    <cellStyle name="표준 3 39" xfId="16606" xr:uid="{00000000-0005-0000-0000-00008B430000}"/>
    <cellStyle name="표준 3 4" xfId="16607" xr:uid="{00000000-0005-0000-0000-00008C430000}"/>
    <cellStyle name="표준 3 4 10" xfId="16608" xr:uid="{00000000-0005-0000-0000-00008D430000}"/>
    <cellStyle name="표준 3 4 11" xfId="16609" xr:uid="{00000000-0005-0000-0000-00008E430000}"/>
    <cellStyle name="표준 3 4 12" xfId="16610" xr:uid="{00000000-0005-0000-0000-00008F430000}"/>
    <cellStyle name="표준 3 4 13" xfId="16611" xr:uid="{00000000-0005-0000-0000-000090430000}"/>
    <cellStyle name="표준 3 4 14" xfId="16612" xr:uid="{00000000-0005-0000-0000-000091430000}"/>
    <cellStyle name="표준 3 4 15" xfId="16613" xr:uid="{00000000-0005-0000-0000-000092430000}"/>
    <cellStyle name="표준 3 4 16" xfId="16614" xr:uid="{00000000-0005-0000-0000-000093430000}"/>
    <cellStyle name="표준 3 4 17" xfId="16615" xr:uid="{00000000-0005-0000-0000-000094430000}"/>
    <cellStyle name="표준 3 4 18" xfId="16616" xr:uid="{00000000-0005-0000-0000-000095430000}"/>
    <cellStyle name="표준 3 4 19" xfId="16617" xr:uid="{00000000-0005-0000-0000-000096430000}"/>
    <cellStyle name="표준 3 4 2" xfId="16618" xr:uid="{00000000-0005-0000-0000-000097430000}"/>
    <cellStyle name="표준 3 4 20" xfId="16619" xr:uid="{00000000-0005-0000-0000-000098430000}"/>
    <cellStyle name="표준 3 4 21" xfId="16620" xr:uid="{00000000-0005-0000-0000-000099430000}"/>
    <cellStyle name="표준 3 4 22" xfId="16621" xr:uid="{00000000-0005-0000-0000-00009A430000}"/>
    <cellStyle name="표준 3 4 23" xfId="16622" xr:uid="{00000000-0005-0000-0000-00009B430000}"/>
    <cellStyle name="표준 3 4 3" xfId="16623" xr:uid="{00000000-0005-0000-0000-00009C430000}"/>
    <cellStyle name="표준 3 4 4" xfId="16624" xr:uid="{00000000-0005-0000-0000-00009D430000}"/>
    <cellStyle name="표준 3 4 5" xfId="16625" xr:uid="{00000000-0005-0000-0000-00009E430000}"/>
    <cellStyle name="표준 3 4 6" xfId="16626" xr:uid="{00000000-0005-0000-0000-00009F430000}"/>
    <cellStyle name="표준 3 4 7" xfId="16627" xr:uid="{00000000-0005-0000-0000-0000A0430000}"/>
    <cellStyle name="표준 3 4 8" xfId="16628" xr:uid="{00000000-0005-0000-0000-0000A1430000}"/>
    <cellStyle name="표준 3 4 9" xfId="16629" xr:uid="{00000000-0005-0000-0000-0000A2430000}"/>
    <cellStyle name="표준 3 40" xfId="16630" xr:uid="{00000000-0005-0000-0000-0000A3430000}"/>
    <cellStyle name="표준 3 41" xfId="16631" xr:uid="{00000000-0005-0000-0000-0000A4430000}"/>
    <cellStyle name="표준 3 42" xfId="16632" xr:uid="{00000000-0005-0000-0000-0000A5430000}"/>
    <cellStyle name="표준 3 43" xfId="16633" xr:uid="{00000000-0005-0000-0000-0000A6430000}"/>
    <cellStyle name="표준 3 44" xfId="16634" xr:uid="{00000000-0005-0000-0000-0000A7430000}"/>
    <cellStyle name="표준 3 45" xfId="16635" xr:uid="{00000000-0005-0000-0000-0000A8430000}"/>
    <cellStyle name="표준 3 46" xfId="16636" xr:uid="{00000000-0005-0000-0000-0000A9430000}"/>
    <cellStyle name="표준 3 47" xfId="16637" xr:uid="{00000000-0005-0000-0000-0000AA430000}"/>
    <cellStyle name="표준 3 48" xfId="16638" xr:uid="{00000000-0005-0000-0000-0000AB430000}"/>
    <cellStyle name="표준 3 49" xfId="16639" xr:uid="{00000000-0005-0000-0000-0000AC430000}"/>
    <cellStyle name="표준 3 5" xfId="16640" xr:uid="{00000000-0005-0000-0000-0000AD430000}"/>
    <cellStyle name="표준 3 5 10" xfId="16641" xr:uid="{00000000-0005-0000-0000-0000AE430000}"/>
    <cellStyle name="표준 3 5 11" xfId="16642" xr:uid="{00000000-0005-0000-0000-0000AF430000}"/>
    <cellStyle name="표준 3 5 12" xfId="16643" xr:uid="{00000000-0005-0000-0000-0000B0430000}"/>
    <cellStyle name="표준 3 5 13" xfId="16644" xr:uid="{00000000-0005-0000-0000-0000B1430000}"/>
    <cellStyle name="표준 3 5 14" xfId="16645" xr:uid="{00000000-0005-0000-0000-0000B2430000}"/>
    <cellStyle name="표준 3 5 15" xfId="16646" xr:uid="{00000000-0005-0000-0000-0000B3430000}"/>
    <cellStyle name="표준 3 5 16" xfId="16647" xr:uid="{00000000-0005-0000-0000-0000B4430000}"/>
    <cellStyle name="표준 3 5 17" xfId="16648" xr:uid="{00000000-0005-0000-0000-0000B5430000}"/>
    <cellStyle name="표준 3 5 18" xfId="16649" xr:uid="{00000000-0005-0000-0000-0000B6430000}"/>
    <cellStyle name="표준 3 5 19" xfId="16650" xr:uid="{00000000-0005-0000-0000-0000B7430000}"/>
    <cellStyle name="표준 3 5 2" xfId="16651" xr:uid="{00000000-0005-0000-0000-0000B8430000}"/>
    <cellStyle name="표준 3 5 20" xfId="16652" xr:uid="{00000000-0005-0000-0000-0000B9430000}"/>
    <cellStyle name="표준 3 5 21" xfId="16653" xr:uid="{00000000-0005-0000-0000-0000BA430000}"/>
    <cellStyle name="표준 3 5 22" xfId="16654" xr:uid="{00000000-0005-0000-0000-0000BB430000}"/>
    <cellStyle name="표준 3 5 23" xfId="16655" xr:uid="{00000000-0005-0000-0000-0000BC430000}"/>
    <cellStyle name="표준 3 5 3" xfId="16656" xr:uid="{00000000-0005-0000-0000-0000BD430000}"/>
    <cellStyle name="표준 3 5 4" xfId="16657" xr:uid="{00000000-0005-0000-0000-0000BE430000}"/>
    <cellStyle name="표준 3 5 5" xfId="16658" xr:uid="{00000000-0005-0000-0000-0000BF430000}"/>
    <cellStyle name="표준 3 5 6" xfId="16659" xr:uid="{00000000-0005-0000-0000-0000C0430000}"/>
    <cellStyle name="표준 3 5 7" xfId="16660" xr:uid="{00000000-0005-0000-0000-0000C1430000}"/>
    <cellStyle name="표준 3 5 8" xfId="16661" xr:uid="{00000000-0005-0000-0000-0000C2430000}"/>
    <cellStyle name="표준 3 5 9" xfId="16662" xr:uid="{00000000-0005-0000-0000-0000C3430000}"/>
    <cellStyle name="표준 3 50" xfId="16663" xr:uid="{00000000-0005-0000-0000-0000C4430000}"/>
    <cellStyle name="표준 3 51" xfId="16664" xr:uid="{00000000-0005-0000-0000-0000C5430000}"/>
    <cellStyle name="표준 3 52" xfId="16665" xr:uid="{00000000-0005-0000-0000-0000C6430000}"/>
    <cellStyle name="표준 3 53" xfId="16666" xr:uid="{00000000-0005-0000-0000-0000C7430000}"/>
    <cellStyle name="표준 3 54" xfId="16667" xr:uid="{00000000-0005-0000-0000-0000C8430000}"/>
    <cellStyle name="표준 3 55" xfId="16668" xr:uid="{00000000-0005-0000-0000-0000C9430000}"/>
    <cellStyle name="표준 3 56" xfId="16669" xr:uid="{00000000-0005-0000-0000-0000CA430000}"/>
    <cellStyle name="표준 3 57" xfId="16670" xr:uid="{00000000-0005-0000-0000-0000CB430000}"/>
    <cellStyle name="표준 3 58" xfId="16671" xr:uid="{00000000-0005-0000-0000-0000CC430000}"/>
    <cellStyle name="표준 3 59" xfId="16672" xr:uid="{00000000-0005-0000-0000-0000CD430000}"/>
    <cellStyle name="표준 3 6" xfId="16673" xr:uid="{00000000-0005-0000-0000-0000CE430000}"/>
    <cellStyle name="표준 3 6 10" xfId="16674" xr:uid="{00000000-0005-0000-0000-0000CF430000}"/>
    <cellStyle name="표준 3 6 11" xfId="16675" xr:uid="{00000000-0005-0000-0000-0000D0430000}"/>
    <cellStyle name="표준 3 6 12" xfId="16676" xr:uid="{00000000-0005-0000-0000-0000D1430000}"/>
    <cellStyle name="표준 3 6 13" xfId="16677" xr:uid="{00000000-0005-0000-0000-0000D2430000}"/>
    <cellStyle name="표준 3 6 14" xfId="16678" xr:uid="{00000000-0005-0000-0000-0000D3430000}"/>
    <cellStyle name="표준 3 6 15" xfId="16679" xr:uid="{00000000-0005-0000-0000-0000D4430000}"/>
    <cellStyle name="표준 3 6 16" xfId="16680" xr:uid="{00000000-0005-0000-0000-0000D5430000}"/>
    <cellStyle name="표준 3 6 17" xfId="16681" xr:uid="{00000000-0005-0000-0000-0000D6430000}"/>
    <cellStyle name="표준 3 6 18" xfId="16682" xr:uid="{00000000-0005-0000-0000-0000D7430000}"/>
    <cellStyle name="표준 3 6 19" xfId="16683" xr:uid="{00000000-0005-0000-0000-0000D8430000}"/>
    <cellStyle name="표준 3 6 2" xfId="16684" xr:uid="{00000000-0005-0000-0000-0000D9430000}"/>
    <cellStyle name="표준 3 6 20" xfId="16685" xr:uid="{00000000-0005-0000-0000-0000DA430000}"/>
    <cellStyle name="표준 3 6 21" xfId="16686" xr:uid="{00000000-0005-0000-0000-0000DB430000}"/>
    <cellStyle name="표준 3 6 22" xfId="16687" xr:uid="{00000000-0005-0000-0000-0000DC430000}"/>
    <cellStyle name="표준 3 6 23" xfId="16688" xr:uid="{00000000-0005-0000-0000-0000DD430000}"/>
    <cellStyle name="표준 3 6 3" xfId="16689" xr:uid="{00000000-0005-0000-0000-0000DE430000}"/>
    <cellStyle name="표준 3 6 4" xfId="16690" xr:uid="{00000000-0005-0000-0000-0000DF430000}"/>
    <cellStyle name="표준 3 6 5" xfId="16691" xr:uid="{00000000-0005-0000-0000-0000E0430000}"/>
    <cellStyle name="표준 3 6 6" xfId="16692" xr:uid="{00000000-0005-0000-0000-0000E1430000}"/>
    <cellStyle name="표준 3 6 7" xfId="16693" xr:uid="{00000000-0005-0000-0000-0000E2430000}"/>
    <cellStyle name="표준 3 6 8" xfId="16694" xr:uid="{00000000-0005-0000-0000-0000E3430000}"/>
    <cellStyle name="표준 3 6 9" xfId="16695" xr:uid="{00000000-0005-0000-0000-0000E4430000}"/>
    <cellStyle name="표준 3 60" xfId="16696" xr:uid="{00000000-0005-0000-0000-0000E5430000}"/>
    <cellStyle name="표준 3 61" xfId="16697" xr:uid="{00000000-0005-0000-0000-0000E6430000}"/>
    <cellStyle name="표준 3 62" xfId="16698" xr:uid="{00000000-0005-0000-0000-0000E7430000}"/>
    <cellStyle name="표준 3 63" xfId="16699" xr:uid="{00000000-0005-0000-0000-0000E8430000}"/>
    <cellStyle name="표준 3 64" xfId="16700" xr:uid="{00000000-0005-0000-0000-0000E9430000}"/>
    <cellStyle name="표준 3 65" xfId="16701" xr:uid="{00000000-0005-0000-0000-0000EA430000}"/>
    <cellStyle name="표준 3 66" xfId="16702" xr:uid="{00000000-0005-0000-0000-0000EB430000}"/>
    <cellStyle name="표준 3 67" xfId="16703" xr:uid="{00000000-0005-0000-0000-0000EC430000}"/>
    <cellStyle name="표준 3 68" xfId="16704" xr:uid="{00000000-0005-0000-0000-0000ED430000}"/>
    <cellStyle name="표준 3 69" xfId="16705" xr:uid="{00000000-0005-0000-0000-0000EE430000}"/>
    <cellStyle name="표준 3 7" xfId="16706" xr:uid="{00000000-0005-0000-0000-0000EF430000}"/>
    <cellStyle name="표준 3 7 2" xfId="16707" xr:uid="{00000000-0005-0000-0000-0000F0430000}"/>
    <cellStyle name="표준 3 70" xfId="16708" xr:uid="{00000000-0005-0000-0000-0000F1430000}"/>
    <cellStyle name="표준 3 71" xfId="16709" xr:uid="{00000000-0005-0000-0000-0000F2430000}"/>
    <cellStyle name="표준 3 72" xfId="16710" xr:uid="{00000000-0005-0000-0000-0000F3430000}"/>
    <cellStyle name="표준 3 73" xfId="16711" xr:uid="{00000000-0005-0000-0000-0000F4430000}"/>
    <cellStyle name="표준 3 74" xfId="16712" xr:uid="{00000000-0005-0000-0000-0000F5430000}"/>
    <cellStyle name="표준 3 75" xfId="16713" xr:uid="{00000000-0005-0000-0000-0000F6430000}"/>
    <cellStyle name="표준 3 76" xfId="16714" xr:uid="{00000000-0005-0000-0000-0000F7430000}"/>
    <cellStyle name="표준 3 77" xfId="16715" xr:uid="{00000000-0005-0000-0000-0000F8430000}"/>
    <cellStyle name="표준 3 78" xfId="16716" xr:uid="{00000000-0005-0000-0000-0000F9430000}"/>
    <cellStyle name="표준 3 79" xfId="16717" xr:uid="{00000000-0005-0000-0000-0000FA430000}"/>
    <cellStyle name="표준 3 8" xfId="16718" xr:uid="{00000000-0005-0000-0000-0000FB430000}"/>
    <cellStyle name="표준 3 80" xfId="16719" xr:uid="{00000000-0005-0000-0000-0000FC430000}"/>
    <cellStyle name="표준 3 81" xfId="16720" xr:uid="{00000000-0005-0000-0000-0000FD430000}"/>
    <cellStyle name="표준 3 82" xfId="18444" xr:uid="{00000000-0005-0000-0000-0000FE430000}"/>
    <cellStyle name="표준 3 82 2" xfId="18479" xr:uid="{00000000-0005-0000-0000-0000FF430000}"/>
    <cellStyle name="표준 3 82 2 2" xfId="18613" xr:uid="{00000000-0005-0000-0000-000000440000}"/>
    <cellStyle name="표준 3 82 2 2 2" xfId="19208" xr:uid="{00000000-0005-0000-0000-000001440000}"/>
    <cellStyle name="표준 3 82 2 2 3" xfId="18913" xr:uid="{00000000-0005-0000-0000-000002440000}"/>
    <cellStyle name="표준 3 82 2 3" xfId="18546" xr:uid="{00000000-0005-0000-0000-000003440000}"/>
    <cellStyle name="표준 3 82 2 3 2" xfId="19141" xr:uid="{00000000-0005-0000-0000-000004440000}"/>
    <cellStyle name="표준 3 82 2 3 3" xfId="18846" xr:uid="{00000000-0005-0000-0000-000005440000}"/>
    <cellStyle name="표준 3 82 2 4" xfId="18680" xr:uid="{00000000-0005-0000-0000-000006440000}"/>
    <cellStyle name="표준 3 82 2 4 2" xfId="19275" xr:uid="{00000000-0005-0000-0000-000007440000}"/>
    <cellStyle name="표준 3 82 2 4 3" xfId="18980" xr:uid="{00000000-0005-0000-0000-000008440000}"/>
    <cellStyle name="표준 3 82 2 5" xfId="19074" xr:uid="{00000000-0005-0000-0000-000009440000}"/>
    <cellStyle name="표준 3 82 2 6" xfId="18779" xr:uid="{00000000-0005-0000-0000-00000A440000}"/>
    <cellStyle name="표준 3 82 3" xfId="18580" xr:uid="{00000000-0005-0000-0000-00000B440000}"/>
    <cellStyle name="표준 3 82 3 2" xfId="19175" xr:uid="{00000000-0005-0000-0000-00000C440000}"/>
    <cellStyle name="표준 3 82 3 3" xfId="18880" xr:uid="{00000000-0005-0000-0000-00000D440000}"/>
    <cellStyle name="표준 3 82 4" xfId="18513" xr:uid="{00000000-0005-0000-0000-00000E440000}"/>
    <cellStyle name="표준 3 82 4 2" xfId="19108" xr:uid="{00000000-0005-0000-0000-00000F440000}"/>
    <cellStyle name="표준 3 82 4 3" xfId="18813" xr:uid="{00000000-0005-0000-0000-000010440000}"/>
    <cellStyle name="표준 3 82 5" xfId="18647" xr:uid="{00000000-0005-0000-0000-000011440000}"/>
    <cellStyle name="표준 3 82 5 2" xfId="19242" xr:uid="{00000000-0005-0000-0000-000012440000}"/>
    <cellStyle name="표준 3 82 5 3" xfId="18947" xr:uid="{00000000-0005-0000-0000-000013440000}"/>
    <cellStyle name="표준 3 82 6" xfId="18701" xr:uid="{00000000-0005-0000-0000-000014440000}"/>
    <cellStyle name="표준 3 82 6 2" xfId="18996" xr:uid="{00000000-0005-0000-0000-000015440000}"/>
    <cellStyle name="표준 3 82 7" xfId="19041" xr:uid="{00000000-0005-0000-0000-000016440000}"/>
    <cellStyle name="표준 3 82 8" xfId="19291" xr:uid="{00000000-0005-0000-0000-000017440000}"/>
    <cellStyle name="표준 3 82 9" xfId="18746" xr:uid="{00000000-0005-0000-0000-000018440000}"/>
    <cellStyle name="표준 3 83" xfId="18446" xr:uid="{00000000-0005-0000-0000-000019440000}"/>
    <cellStyle name="표준 3 83 2" xfId="18720" xr:uid="{00000000-0005-0000-0000-00001A440000}"/>
    <cellStyle name="표준 3 83 2 2" xfId="19015" xr:uid="{00000000-0005-0000-0000-00001B440000}"/>
    <cellStyle name="표준 3 83 3" xfId="19310" xr:uid="{00000000-0005-0000-0000-00001C440000}"/>
    <cellStyle name="표준 3 84" xfId="18458" xr:uid="{00000000-0005-0000-0000-00001D440000}"/>
    <cellStyle name="표준 3 84 2" xfId="18592" xr:uid="{00000000-0005-0000-0000-00001E440000}"/>
    <cellStyle name="표준 3 84 2 2" xfId="19187" xr:uid="{00000000-0005-0000-0000-00001F440000}"/>
    <cellStyle name="표준 3 84 2 3" xfId="18892" xr:uid="{00000000-0005-0000-0000-000020440000}"/>
    <cellStyle name="표준 3 84 3" xfId="18525" xr:uid="{00000000-0005-0000-0000-000021440000}"/>
    <cellStyle name="표준 3 84 3 2" xfId="19120" xr:uid="{00000000-0005-0000-0000-000022440000}"/>
    <cellStyle name="표준 3 84 3 3" xfId="18825" xr:uid="{00000000-0005-0000-0000-000023440000}"/>
    <cellStyle name="표준 3 84 4" xfId="18659" xr:uid="{00000000-0005-0000-0000-000024440000}"/>
    <cellStyle name="표준 3 84 4 2" xfId="19254" xr:uid="{00000000-0005-0000-0000-000025440000}"/>
    <cellStyle name="표준 3 84 4 3" xfId="18959" xr:uid="{00000000-0005-0000-0000-000026440000}"/>
    <cellStyle name="표준 3 84 5" xfId="19053" xr:uid="{00000000-0005-0000-0000-000027440000}"/>
    <cellStyle name="표준 3 84 6" xfId="18758" xr:uid="{00000000-0005-0000-0000-000028440000}"/>
    <cellStyle name="표준 3 85" xfId="18559" xr:uid="{00000000-0005-0000-0000-000029440000}"/>
    <cellStyle name="표준 3 85 2" xfId="19154" xr:uid="{00000000-0005-0000-0000-00002A440000}"/>
    <cellStyle name="표준 3 85 3" xfId="18859" xr:uid="{00000000-0005-0000-0000-00002B440000}"/>
    <cellStyle name="표준 3 86" xfId="18492" xr:uid="{00000000-0005-0000-0000-00002C440000}"/>
    <cellStyle name="표준 3 86 2" xfId="19087" xr:uid="{00000000-0005-0000-0000-00002D440000}"/>
    <cellStyle name="표준 3 86 3" xfId="18792" xr:uid="{00000000-0005-0000-0000-00002E440000}"/>
    <cellStyle name="표준 3 87" xfId="18626" xr:uid="{00000000-0005-0000-0000-00002F440000}"/>
    <cellStyle name="표준 3 87 2" xfId="19221" xr:uid="{00000000-0005-0000-0000-000030440000}"/>
    <cellStyle name="표준 3 87 3" xfId="18926" xr:uid="{00000000-0005-0000-0000-000031440000}"/>
    <cellStyle name="표준 3 88" xfId="18693" xr:uid="{00000000-0005-0000-0000-000032440000}"/>
    <cellStyle name="표준 3 88 2" xfId="18991" xr:uid="{00000000-0005-0000-0000-000033440000}"/>
    <cellStyle name="표준 3 89" xfId="19020" xr:uid="{00000000-0005-0000-0000-000034440000}"/>
    <cellStyle name="표준 3 9" xfId="16721" xr:uid="{00000000-0005-0000-0000-000035440000}"/>
    <cellStyle name="표준 3 90" xfId="19286" xr:uid="{00000000-0005-0000-0000-000036440000}"/>
    <cellStyle name="표준 3 91" xfId="18725" xr:uid="{00000000-0005-0000-0000-000037440000}"/>
    <cellStyle name="표준 30 2" xfId="16722" xr:uid="{00000000-0005-0000-0000-000038440000}"/>
    <cellStyle name="표준 30 3" xfId="16723" xr:uid="{00000000-0005-0000-0000-000039440000}"/>
    <cellStyle name="표준 30 4" xfId="16724" xr:uid="{00000000-0005-0000-0000-00003A440000}"/>
    <cellStyle name="표준 30 5" xfId="16725" xr:uid="{00000000-0005-0000-0000-00003B440000}"/>
    <cellStyle name="표준 30 6" xfId="16726" xr:uid="{00000000-0005-0000-0000-00003C440000}"/>
    <cellStyle name="표준 30 7" xfId="16727" xr:uid="{00000000-0005-0000-0000-00003D440000}"/>
    <cellStyle name="표준 30 8" xfId="16728" xr:uid="{00000000-0005-0000-0000-00003E440000}"/>
    <cellStyle name="표준 31 2" xfId="16729" xr:uid="{00000000-0005-0000-0000-00003F440000}"/>
    <cellStyle name="표준 31 3" xfId="16730" xr:uid="{00000000-0005-0000-0000-000040440000}"/>
    <cellStyle name="표준 31 4" xfId="16731" xr:uid="{00000000-0005-0000-0000-000041440000}"/>
    <cellStyle name="표준 31 5" xfId="16732" xr:uid="{00000000-0005-0000-0000-000042440000}"/>
    <cellStyle name="표준 31 6" xfId="16733" xr:uid="{00000000-0005-0000-0000-000043440000}"/>
    <cellStyle name="표준 31 7" xfId="16734" xr:uid="{00000000-0005-0000-0000-000044440000}"/>
    <cellStyle name="표준 31 8" xfId="16735" xr:uid="{00000000-0005-0000-0000-000045440000}"/>
    <cellStyle name="표준 32 2" xfId="16736" xr:uid="{00000000-0005-0000-0000-000046440000}"/>
    <cellStyle name="표준 32 3" xfId="16737" xr:uid="{00000000-0005-0000-0000-000047440000}"/>
    <cellStyle name="표준 32 4" xfId="16738" xr:uid="{00000000-0005-0000-0000-000048440000}"/>
    <cellStyle name="표준 32 5" xfId="16739" xr:uid="{00000000-0005-0000-0000-000049440000}"/>
    <cellStyle name="표준 32 6" xfId="16740" xr:uid="{00000000-0005-0000-0000-00004A440000}"/>
    <cellStyle name="표준 32 7" xfId="16741" xr:uid="{00000000-0005-0000-0000-00004B440000}"/>
    <cellStyle name="표준 32 8" xfId="16742" xr:uid="{00000000-0005-0000-0000-00004C440000}"/>
    <cellStyle name="표준 33 2" xfId="16743" xr:uid="{00000000-0005-0000-0000-00004D440000}"/>
    <cellStyle name="표준 33 3" xfId="16744" xr:uid="{00000000-0005-0000-0000-00004E440000}"/>
    <cellStyle name="표준 33 4" xfId="16745" xr:uid="{00000000-0005-0000-0000-00004F440000}"/>
    <cellStyle name="표준 33 5" xfId="16746" xr:uid="{00000000-0005-0000-0000-000050440000}"/>
    <cellStyle name="표준 33 6" xfId="16747" xr:uid="{00000000-0005-0000-0000-000051440000}"/>
    <cellStyle name="표준 33 7" xfId="16748" xr:uid="{00000000-0005-0000-0000-000052440000}"/>
    <cellStyle name="표준 33 8" xfId="16749" xr:uid="{00000000-0005-0000-0000-000053440000}"/>
    <cellStyle name="표준 34 2" xfId="16750" xr:uid="{00000000-0005-0000-0000-000054440000}"/>
    <cellStyle name="표준 34 3" xfId="16751" xr:uid="{00000000-0005-0000-0000-000055440000}"/>
    <cellStyle name="표준 34 4" xfId="16752" xr:uid="{00000000-0005-0000-0000-000056440000}"/>
    <cellStyle name="표준 34 5" xfId="16753" xr:uid="{00000000-0005-0000-0000-000057440000}"/>
    <cellStyle name="표준 34 6" xfId="16754" xr:uid="{00000000-0005-0000-0000-000058440000}"/>
    <cellStyle name="표준 34 7" xfId="16755" xr:uid="{00000000-0005-0000-0000-000059440000}"/>
    <cellStyle name="표준 34 8" xfId="16756" xr:uid="{00000000-0005-0000-0000-00005A440000}"/>
    <cellStyle name="표준 35 2" xfId="16757" xr:uid="{00000000-0005-0000-0000-00005B440000}"/>
    <cellStyle name="표준 35 3" xfId="16758" xr:uid="{00000000-0005-0000-0000-00005C440000}"/>
    <cellStyle name="표준 35 4" xfId="16759" xr:uid="{00000000-0005-0000-0000-00005D440000}"/>
    <cellStyle name="표준 35 5" xfId="16760" xr:uid="{00000000-0005-0000-0000-00005E440000}"/>
    <cellStyle name="표준 35 6" xfId="16761" xr:uid="{00000000-0005-0000-0000-00005F440000}"/>
    <cellStyle name="표준 35 7" xfId="16762" xr:uid="{00000000-0005-0000-0000-000060440000}"/>
    <cellStyle name="표준 35 8" xfId="16763" xr:uid="{00000000-0005-0000-0000-000061440000}"/>
    <cellStyle name="표준 36 2" xfId="16764" xr:uid="{00000000-0005-0000-0000-000062440000}"/>
    <cellStyle name="표준 36 3" xfId="16765" xr:uid="{00000000-0005-0000-0000-000063440000}"/>
    <cellStyle name="표준 36 4" xfId="16766" xr:uid="{00000000-0005-0000-0000-000064440000}"/>
    <cellStyle name="표준 36 5" xfId="16767" xr:uid="{00000000-0005-0000-0000-000065440000}"/>
    <cellStyle name="표준 36 6" xfId="16768" xr:uid="{00000000-0005-0000-0000-000066440000}"/>
    <cellStyle name="표준 36 7" xfId="16769" xr:uid="{00000000-0005-0000-0000-000067440000}"/>
    <cellStyle name="표준 36 8" xfId="16770" xr:uid="{00000000-0005-0000-0000-000068440000}"/>
    <cellStyle name="표준 38 2" xfId="16771" xr:uid="{00000000-0005-0000-0000-000069440000}"/>
    <cellStyle name="표준 38 3" xfId="16772" xr:uid="{00000000-0005-0000-0000-00006A440000}"/>
    <cellStyle name="표준 38 4" xfId="16773" xr:uid="{00000000-0005-0000-0000-00006B440000}"/>
    <cellStyle name="표준 38 5" xfId="16774" xr:uid="{00000000-0005-0000-0000-00006C440000}"/>
    <cellStyle name="표준 38 6" xfId="16775" xr:uid="{00000000-0005-0000-0000-00006D440000}"/>
    <cellStyle name="표준 38 7" xfId="16776" xr:uid="{00000000-0005-0000-0000-00006E440000}"/>
    <cellStyle name="표준 4" xfId="16777" xr:uid="{00000000-0005-0000-0000-00006F440000}"/>
    <cellStyle name="표준 4 10" xfId="16778" xr:uid="{00000000-0005-0000-0000-000070440000}"/>
    <cellStyle name="표준 4 11" xfId="16779" xr:uid="{00000000-0005-0000-0000-000071440000}"/>
    <cellStyle name="표준 4 12" xfId="16780" xr:uid="{00000000-0005-0000-0000-000072440000}"/>
    <cellStyle name="표준 4 13" xfId="16781" xr:uid="{00000000-0005-0000-0000-000073440000}"/>
    <cellStyle name="표준 4 14" xfId="16782" xr:uid="{00000000-0005-0000-0000-000074440000}"/>
    <cellStyle name="표준 4 15" xfId="16783" xr:uid="{00000000-0005-0000-0000-000075440000}"/>
    <cellStyle name="표준 4 16" xfId="16784" xr:uid="{00000000-0005-0000-0000-000076440000}"/>
    <cellStyle name="표준 4 17" xfId="16785" xr:uid="{00000000-0005-0000-0000-000077440000}"/>
    <cellStyle name="표준 4 18" xfId="16786" xr:uid="{00000000-0005-0000-0000-000078440000}"/>
    <cellStyle name="표준 4 19" xfId="16787" xr:uid="{00000000-0005-0000-0000-000079440000}"/>
    <cellStyle name="표준 4 2" xfId="16788" xr:uid="{00000000-0005-0000-0000-00007A440000}"/>
    <cellStyle name="표준 4 2 10" xfId="16789" xr:uid="{00000000-0005-0000-0000-00007B440000}"/>
    <cellStyle name="표준 4 2 11" xfId="16790" xr:uid="{00000000-0005-0000-0000-00007C440000}"/>
    <cellStyle name="표준 4 2 12" xfId="16791" xr:uid="{00000000-0005-0000-0000-00007D440000}"/>
    <cellStyle name="표준 4 2 13" xfId="16792" xr:uid="{00000000-0005-0000-0000-00007E440000}"/>
    <cellStyle name="표준 4 2 14" xfId="16793" xr:uid="{00000000-0005-0000-0000-00007F440000}"/>
    <cellStyle name="표준 4 2 15" xfId="16794" xr:uid="{00000000-0005-0000-0000-000080440000}"/>
    <cellStyle name="표준 4 2 16" xfId="16795" xr:uid="{00000000-0005-0000-0000-000081440000}"/>
    <cellStyle name="표준 4 2 17" xfId="16796" xr:uid="{00000000-0005-0000-0000-000082440000}"/>
    <cellStyle name="표준 4 2 18" xfId="16797" xr:uid="{00000000-0005-0000-0000-000083440000}"/>
    <cellStyle name="표준 4 2 19" xfId="16798" xr:uid="{00000000-0005-0000-0000-000084440000}"/>
    <cellStyle name="표준 4 2 2" xfId="16799" xr:uid="{00000000-0005-0000-0000-000085440000}"/>
    <cellStyle name="표준 4 2 2 10" xfId="16800" xr:uid="{00000000-0005-0000-0000-000086440000}"/>
    <cellStyle name="표준 4 2 2 11" xfId="16801" xr:uid="{00000000-0005-0000-0000-000087440000}"/>
    <cellStyle name="표준 4 2 2 12" xfId="16802" xr:uid="{00000000-0005-0000-0000-000088440000}"/>
    <cellStyle name="표준 4 2 2 13" xfId="16803" xr:uid="{00000000-0005-0000-0000-000089440000}"/>
    <cellStyle name="표준 4 2 2 14" xfId="16804" xr:uid="{00000000-0005-0000-0000-00008A440000}"/>
    <cellStyle name="표준 4 2 2 15" xfId="16805" xr:uid="{00000000-0005-0000-0000-00008B440000}"/>
    <cellStyle name="표준 4 2 2 16" xfId="16806" xr:uid="{00000000-0005-0000-0000-00008C440000}"/>
    <cellStyle name="표준 4 2 2 17" xfId="16807" xr:uid="{00000000-0005-0000-0000-00008D440000}"/>
    <cellStyle name="표준 4 2 2 18" xfId="16808" xr:uid="{00000000-0005-0000-0000-00008E440000}"/>
    <cellStyle name="표준 4 2 2 19" xfId="16809" xr:uid="{00000000-0005-0000-0000-00008F440000}"/>
    <cellStyle name="표준 4 2 2 2" xfId="16810" xr:uid="{00000000-0005-0000-0000-000090440000}"/>
    <cellStyle name="표준 4 2 2 2 10" xfId="16811" xr:uid="{00000000-0005-0000-0000-000091440000}"/>
    <cellStyle name="표준 4 2 2 2 11" xfId="16812" xr:uid="{00000000-0005-0000-0000-000092440000}"/>
    <cellStyle name="표준 4 2 2 2 12" xfId="16813" xr:uid="{00000000-0005-0000-0000-000093440000}"/>
    <cellStyle name="표준 4 2 2 2 13" xfId="16814" xr:uid="{00000000-0005-0000-0000-000094440000}"/>
    <cellStyle name="표준 4 2 2 2 14" xfId="16815" xr:uid="{00000000-0005-0000-0000-000095440000}"/>
    <cellStyle name="표준 4 2 2 2 15" xfId="16816" xr:uid="{00000000-0005-0000-0000-000096440000}"/>
    <cellStyle name="표준 4 2 2 2 16" xfId="16817" xr:uid="{00000000-0005-0000-0000-000097440000}"/>
    <cellStyle name="표준 4 2 2 2 17" xfId="16818" xr:uid="{00000000-0005-0000-0000-000098440000}"/>
    <cellStyle name="표준 4 2 2 2 18" xfId="16819" xr:uid="{00000000-0005-0000-0000-000099440000}"/>
    <cellStyle name="표준 4 2 2 2 19" xfId="16820" xr:uid="{00000000-0005-0000-0000-00009A440000}"/>
    <cellStyle name="표준 4 2 2 2 2" xfId="16821" xr:uid="{00000000-0005-0000-0000-00009B440000}"/>
    <cellStyle name="표준 4 2 2 2 2 10" xfId="16822" xr:uid="{00000000-0005-0000-0000-00009C440000}"/>
    <cellStyle name="표준 4 2 2 2 2 11" xfId="16823" xr:uid="{00000000-0005-0000-0000-00009D440000}"/>
    <cellStyle name="표준 4 2 2 2 2 12" xfId="16824" xr:uid="{00000000-0005-0000-0000-00009E440000}"/>
    <cellStyle name="표준 4 2 2 2 2 13" xfId="16825" xr:uid="{00000000-0005-0000-0000-00009F440000}"/>
    <cellStyle name="표준 4 2 2 2 2 14" xfId="16826" xr:uid="{00000000-0005-0000-0000-0000A0440000}"/>
    <cellStyle name="표준 4 2 2 2 2 15" xfId="16827" xr:uid="{00000000-0005-0000-0000-0000A1440000}"/>
    <cellStyle name="표준 4 2 2 2 2 16" xfId="16828" xr:uid="{00000000-0005-0000-0000-0000A2440000}"/>
    <cellStyle name="표준 4 2 2 2 2 17" xfId="16829" xr:uid="{00000000-0005-0000-0000-0000A3440000}"/>
    <cellStyle name="표준 4 2 2 2 2 18" xfId="16830" xr:uid="{00000000-0005-0000-0000-0000A4440000}"/>
    <cellStyle name="표준 4 2 2 2 2 19" xfId="16831" xr:uid="{00000000-0005-0000-0000-0000A5440000}"/>
    <cellStyle name="표준 4 2 2 2 2 2" xfId="16832" xr:uid="{00000000-0005-0000-0000-0000A6440000}"/>
    <cellStyle name="표준 4 2 2 2 2 2 10" xfId="16833" xr:uid="{00000000-0005-0000-0000-0000A7440000}"/>
    <cellStyle name="표준 4 2 2 2 2 2 11" xfId="16834" xr:uid="{00000000-0005-0000-0000-0000A8440000}"/>
    <cellStyle name="표준 4 2 2 2 2 2 12" xfId="16835" xr:uid="{00000000-0005-0000-0000-0000A9440000}"/>
    <cellStyle name="표준 4 2 2 2 2 2 13" xfId="16836" xr:uid="{00000000-0005-0000-0000-0000AA440000}"/>
    <cellStyle name="표준 4 2 2 2 2 2 14" xfId="16837" xr:uid="{00000000-0005-0000-0000-0000AB440000}"/>
    <cellStyle name="표준 4 2 2 2 2 2 15" xfId="16838" xr:uid="{00000000-0005-0000-0000-0000AC440000}"/>
    <cellStyle name="표준 4 2 2 2 2 2 16" xfId="16839" xr:uid="{00000000-0005-0000-0000-0000AD440000}"/>
    <cellStyle name="표준 4 2 2 2 2 2 17" xfId="16840" xr:uid="{00000000-0005-0000-0000-0000AE440000}"/>
    <cellStyle name="표준 4 2 2 2 2 2 18" xfId="16841" xr:uid="{00000000-0005-0000-0000-0000AF440000}"/>
    <cellStyle name="표준 4 2 2 2 2 2 19" xfId="16842" xr:uid="{00000000-0005-0000-0000-0000B0440000}"/>
    <cellStyle name="표준 4 2 2 2 2 2 2" xfId="16843" xr:uid="{00000000-0005-0000-0000-0000B1440000}"/>
    <cellStyle name="표준 4 2 2 2 2 2 20" xfId="16844" xr:uid="{00000000-0005-0000-0000-0000B2440000}"/>
    <cellStyle name="표준 4 2 2 2 2 2 21" xfId="16845" xr:uid="{00000000-0005-0000-0000-0000B3440000}"/>
    <cellStyle name="표준 4 2 2 2 2 2 22" xfId="16846" xr:uid="{00000000-0005-0000-0000-0000B4440000}"/>
    <cellStyle name="표준 4 2 2 2 2 2 3" xfId="16847" xr:uid="{00000000-0005-0000-0000-0000B5440000}"/>
    <cellStyle name="표준 4 2 2 2 2 2 4" xfId="16848" xr:uid="{00000000-0005-0000-0000-0000B6440000}"/>
    <cellStyle name="표준 4 2 2 2 2 2 5" xfId="16849" xr:uid="{00000000-0005-0000-0000-0000B7440000}"/>
    <cellStyle name="표준 4 2 2 2 2 2 6" xfId="16850" xr:uid="{00000000-0005-0000-0000-0000B8440000}"/>
    <cellStyle name="표준 4 2 2 2 2 2 7" xfId="16851" xr:uid="{00000000-0005-0000-0000-0000B9440000}"/>
    <cellStyle name="표준 4 2 2 2 2 2 8" xfId="16852" xr:uid="{00000000-0005-0000-0000-0000BA440000}"/>
    <cellStyle name="표준 4 2 2 2 2 2 9" xfId="16853" xr:uid="{00000000-0005-0000-0000-0000BB440000}"/>
    <cellStyle name="표준 4 2 2 2 2 20" xfId="16854" xr:uid="{00000000-0005-0000-0000-0000BC440000}"/>
    <cellStyle name="표준 4 2 2 2 2 21" xfId="16855" xr:uid="{00000000-0005-0000-0000-0000BD440000}"/>
    <cellStyle name="표준 4 2 2 2 2 22" xfId="16856" xr:uid="{00000000-0005-0000-0000-0000BE440000}"/>
    <cellStyle name="표준 4 2 2 2 2 23" xfId="16857" xr:uid="{00000000-0005-0000-0000-0000BF440000}"/>
    <cellStyle name="표준 4 2 2 2 2 3" xfId="16858" xr:uid="{00000000-0005-0000-0000-0000C0440000}"/>
    <cellStyle name="표준 4 2 2 2 2 4" xfId="16859" xr:uid="{00000000-0005-0000-0000-0000C1440000}"/>
    <cellStyle name="표준 4 2 2 2 2 5" xfId="16860" xr:uid="{00000000-0005-0000-0000-0000C2440000}"/>
    <cellStyle name="표준 4 2 2 2 2 6" xfId="16861" xr:uid="{00000000-0005-0000-0000-0000C3440000}"/>
    <cellStyle name="표준 4 2 2 2 2 7" xfId="16862" xr:uid="{00000000-0005-0000-0000-0000C4440000}"/>
    <cellStyle name="표준 4 2 2 2 2 8" xfId="16863" xr:uid="{00000000-0005-0000-0000-0000C5440000}"/>
    <cellStyle name="표준 4 2 2 2 2 9" xfId="16864" xr:uid="{00000000-0005-0000-0000-0000C6440000}"/>
    <cellStyle name="표준 4 2 2 2 20" xfId="16865" xr:uid="{00000000-0005-0000-0000-0000C7440000}"/>
    <cellStyle name="표준 4 2 2 2 21" xfId="16866" xr:uid="{00000000-0005-0000-0000-0000C8440000}"/>
    <cellStyle name="표준 4 2 2 2 22" xfId="16867" xr:uid="{00000000-0005-0000-0000-0000C9440000}"/>
    <cellStyle name="표준 4 2 2 2 23" xfId="16868" xr:uid="{00000000-0005-0000-0000-0000CA440000}"/>
    <cellStyle name="표준 4 2 2 2 3" xfId="16869" xr:uid="{00000000-0005-0000-0000-0000CB440000}"/>
    <cellStyle name="표준 4 2 2 2 4" xfId="16870" xr:uid="{00000000-0005-0000-0000-0000CC440000}"/>
    <cellStyle name="표준 4 2 2 2 5" xfId="16871" xr:uid="{00000000-0005-0000-0000-0000CD440000}"/>
    <cellStyle name="표준 4 2 2 2 6" xfId="16872" xr:uid="{00000000-0005-0000-0000-0000CE440000}"/>
    <cellStyle name="표준 4 2 2 2 7" xfId="16873" xr:uid="{00000000-0005-0000-0000-0000CF440000}"/>
    <cellStyle name="표준 4 2 2 2 8" xfId="16874" xr:uid="{00000000-0005-0000-0000-0000D0440000}"/>
    <cellStyle name="표준 4 2 2 2 9" xfId="16875" xr:uid="{00000000-0005-0000-0000-0000D1440000}"/>
    <cellStyle name="표준 4 2 2 20" xfId="16876" xr:uid="{00000000-0005-0000-0000-0000D2440000}"/>
    <cellStyle name="표준 4 2 2 21" xfId="16877" xr:uid="{00000000-0005-0000-0000-0000D3440000}"/>
    <cellStyle name="표준 4 2 2 22" xfId="16878" xr:uid="{00000000-0005-0000-0000-0000D4440000}"/>
    <cellStyle name="표준 4 2 2 23" xfId="16879" xr:uid="{00000000-0005-0000-0000-0000D5440000}"/>
    <cellStyle name="표준 4 2 2 24" xfId="16880" xr:uid="{00000000-0005-0000-0000-0000D6440000}"/>
    <cellStyle name="표준 4 2 2 25" xfId="16881" xr:uid="{00000000-0005-0000-0000-0000D7440000}"/>
    <cellStyle name="표준 4 2 2 26" xfId="16882" xr:uid="{00000000-0005-0000-0000-0000D8440000}"/>
    <cellStyle name="표준 4 2 2 3" xfId="16883" xr:uid="{00000000-0005-0000-0000-0000D9440000}"/>
    <cellStyle name="표준 4 2 2 4" xfId="16884" xr:uid="{00000000-0005-0000-0000-0000DA440000}"/>
    <cellStyle name="표준 4 2 2 5" xfId="16885" xr:uid="{00000000-0005-0000-0000-0000DB440000}"/>
    <cellStyle name="표준 4 2 2 6" xfId="16886" xr:uid="{00000000-0005-0000-0000-0000DC440000}"/>
    <cellStyle name="표준 4 2 2 7" xfId="16887" xr:uid="{00000000-0005-0000-0000-0000DD440000}"/>
    <cellStyle name="표준 4 2 2 8" xfId="16888" xr:uid="{00000000-0005-0000-0000-0000DE440000}"/>
    <cellStyle name="표준 4 2 2 9" xfId="16889" xr:uid="{00000000-0005-0000-0000-0000DF440000}"/>
    <cellStyle name="표준 4 2 20" xfId="16890" xr:uid="{00000000-0005-0000-0000-0000E0440000}"/>
    <cellStyle name="표준 4 2 21" xfId="16891" xr:uid="{00000000-0005-0000-0000-0000E1440000}"/>
    <cellStyle name="표준 4 2 22" xfId="16892" xr:uid="{00000000-0005-0000-0000-0000E2440000}"/>
    <cellStyle name="표준 4 2 23" xfId="16893" xr:uid="{00000000-0005-0000-0000-0000E3440000}"/>
    <cellStyle name="표준 4 2 24" xfId="16894" xr:uid="{00000000-0005-0000-0000-0000E4440000}"/>
    <cellStyle name="표준 4 2 25" xfId="16895" xr:uid="{00000000-0005-0000-0000-0000E5440000}"/>
    <cellStyle name="표준 4 2 26" xfId="16896" xr:uid="{00000000-0005-0000-0000-0000E6440000}"/>
    <cellStyle name="표준 4 2 27" xfId="16897" xr:uid="{00000000-0005-0000-0000-0000E7440000}"/>
    <cellStyle name="표준 4 2 3" xfId="16898" xr:uid="{00000000-0005-0000-0000-0000E8440000}"/>
    <cellStyle name="표준 4 2 4" xfId="16899" xr:uid="{00000000-0005-0000-0000-0000E9440000}"/>
    <cellStyle name="표준 4 2 5" xfId="16900" xr:uid="{00000000-0005-0000-0000-0000EA440000}"/>
    <cellStyle name="표준 4 2 6" xfId="16901" xr:uid="{00000000-0005-0000-0000-0000EB440000}"/>
    <cellStyle name="표준 4 2 7" xfId="16902" xr:uid="{00000000-0005-0000-0000-0000EC440000}"/>
    <cellStyle name="표준 4 2 8" xfId="16903" xr:uid="{00000000-0005-0000-0000-0000ED440000}"/>
    <cellStyle name="표준 4 2 9" xfId="16904" xr:uid="{00000000-0005-0000-0000-0000EE440000}"/>
    <cellStyle name="표준 4 20" xfId="16905" xr:uid="{00000000-0005-0000-0000-0000EF440000}"/>
    <cellStyle name="표준 4 21" xfId="16906" xr:uid="{00000000-0005-0000-0000-0000F0440000}"/>
    <cellStyle name="표준 4 22" xfId="16907" xr:uid="{00000000-0005-0000-0000-0000F1440000}"/>
    <cellStyle name="표준 4 23" xfId="16908" xr:uid="{00000000-0005-0000-0000-0000F2440000}"/>
    <cellStyle name="표준 4 24" xfId="16909" xr:uid="{00000000-0005-0000-0000-0000F3440000}"/>
    <cellStyle name="표준 4 25" xfId="16910" xr:uid="{00000000-0005-0000-0000-0000F4440000}"/>
    <cellStyle name="표준 4 26" xfId="16911" xr:uid="{00000000-0005-0000-0000-0000F5440000}"/>
    <cellStyle name="표준 4 27" xfId="16912" xr:uid="{00000000-0005-0000-0000-0000F6440000}"/>
    <cellStyle name="표준 4 28" xfId="16913" xr:uid="{00000000-0005-0000-0000-0000F7440000}"/>
    <cellStyle name="표준 4 29" xfId="16914" xr:uid="{00000000-0005-0000-0000-0000F8440000}"/>
    <cellStyle name="표준 4 3" xfId="16915" xr:uid="{00000000-0005-0000-0000-0000F9440000}"/>
    <cellStyle name="표준 4 3 10" xfId="16916" xr:uid="{00000000-0005-0000-0000-0000FA440000}"/>
    <cellStyle name="표준 4 3 11" xfId="16917" xr:uid="{00000000-0005-0000-0000-0000FB440000}"/>
    <cellStyle name="표준 4 3 12" xfId="16918" xr:uid="{00000000-0005-0000-0000-0000FC440000}"/>
    <cellStyle name="표준 4 3 13" xfId="16919" xr:uid="{00000000-0005-0000-0000-0000FD440000}"/>
    <cellStyle name="표준 4 3 14" xfId="16920" xr:uid="{00000000-0005-0000-0000-0000FE440000}"/>
    <cellStyle name="표준 4 3 15" xfId="16921" xr:uid="{00000000-0005-0000-0000-0000FF440000}"/>
    <cellStyle name="표준 4 3 16" xfId="16922" xr:uid="{00000000-0005-0000-0000-000000450000}"/>
    <cellStyle name="표준 4 3 17" xfId="16923" xr:uid="{00000000-0005-0000-0000-000001450000}"/>
    <cellStyle name="표준 4 3 18" xfId="16924" xr:uid="{00000000-0005-0000-0000-000002450000}"/>
    <cellStyle name="표준 4 3 19" xfId="16925" xr:uid="{00000000-0005-0000-0000-000003450000}"/>
    <cellStyle name="표준 4 3 2" xfId="16926" xr:uid="{00000000-0005-0000-0000-000004450000}"/>
    <cellStyle name="표준 4 3 20" xfId="16927" xr:uid="{00000000-0005-0000-0000-000005450000}"/>
    <cellStyle name="표준 4 3 21" xfId="16928" xr:uid="{00000000-0005-0000-0000-000006450000}"/>
    <cellStyle name="표준 4 3 22" xfId="16929" xr:uid="{00000000-0005-0000-0000-000007450000}"/>
    <cellStyle name="표준 4 3 23" xfId="16930" xr:uid="{00000000-0005-0000-0000-000008450000}"/>
    <cellStyle name="표준 4 3 3" xfId="16931" xr:uid="{00000000-0005-0000-0000-000009450000}"/>
    <cellStyle name="표준 4 3 4" xfId="16932" xr:uid="{00000000-0005-0000-0000-00000A450000}"/>
    <cellStyle name="표준 4 3 5" xfId="16933" xr:uid="{00000000-0005-0000-0000-00000B450000}"/>
    <cellStyle name="표준 4 3 6" xfId="16934" xr:uid="{00000000-0005-0000-0000-00000C450000}"/>
    <cellStyle name="표준 4 3 7" xfId="16935" xr:uid="{00000000-0005-0000-0000-00000D450000}"/>
    <cellStyle name="표준 4 3 8" xfId="16936" xr:uid="{00000000-0005-0000-0000-00000E450000}"/>
    <cellStyle name="표준 4 3 9" xfId="16937" xr:uid="{00000000-0005-0000-0000-00000F450000}"/>
    <cellStyle name="표준 4 30" xfId="16938" xr:uid="{00000000-0005-0000-0000-000010450000}"/>
    <cellStyle name="표준 4 31" xfId="16939" xr:uid="{00000000-0005-0000-0000-000011450000}"/>
    <cellStyle name="표준 4 32" xfId="16940" xr:uid="{00000000-0005-0000-0000-000012450000}"/>
    <cellStyle name="표준 4 33" xfId="16941" xr:uid="{00000000-0005-0000-0000-000013450000}"/>
    <cellStyle name="표준 4 34" xfId="16942" xr:uid="{00000000-0005-0000-0000-000014450000}"/>
    <cellStyle name="표준 4 35" xfId="16943" xr:uid="{00000000-0005-0000-0000-000015450000}"/>
    <cellStyle name="표준 4 36" xfId="16944" xr:uid="{00000000-0005-0000-0000-000016450000}"/>
    <cellStyle name="표준 4 36 2" xfId="16945" xr:uid="{00000000-0005-0000-0000-000017450000}"/>
    <cellStyle name="표준 4 4" xfId="16946" xr:uid="{00000000-0005-0000-0000-000018450000}"/>
    <cellStyle name="표준 4 4 10" xfId="16947" xr:uid="{00000000-0005-0000-0000-000019450000}"/>
    <cellStyle name="표준 4 4 11" xfId="16948" xr:uid="{00000000-0005-0000-0000-00001A450000}"/>
    <cellStyle name="표준 4 4 12" xfId="16949" xr:uid="{00000000-0005-0000-0000-00001B450000}"/>
    <cellStyle name="표준 4 4 13" xfId="16950" xr:uid="{00000000-0005-0000-0000-00001C450000}"/>
    <cellStyle name="표준 4 4 14" xfId="16951" xr:uid="{00000000-0005-0000-0000-00001D450000}"/>
    <cellStyle name="표준 4 4 15" xfId="16952" xr:uid="{00000000-0005-0000-0000-00001E450000}"/>
    <cellStyle name="표준 4 4 16" xfId="16953" xr:uid="{00000000-0005-0000-0000-00001F450000}"/>
    <cellStyle name="표준 4 4 17" xfId="16954" xr:uid="{00000000-0005-0000-0000-000020450000}"/>
    <cellStyle name="표준 4 4 18" xfId="16955" xr:uid="{00000000-0005-0000-0000-000021450000}"/>
    <cellStyle name="표준 4 4 19" xfId="16956" xr:uid="{00000000-0005-0000-0000-000022450000}"/>
    <cellStyle name="표준 4 4 2" xfId="16957" xr:uid="{00000000-0005-0000-0000-000023450000}"/>
    <cellStyle name="표준 4 4 20" xfId="16958" xr:uid="{00000000-0005-0000-0000-000024450000}"/>
    <cellStyle name="표준 4 4 21" xfId="16959" xr:uid="{00000000-0005-0000-0000-000025450000}"/>
    <cellStyle name="표준 4 4 22" xfId="16960" xr:uid="{00000000-0005-0000-0000-000026450000}"/>
    <cellStyle name="표준 4 4 23" xfId="16961" xr:uid="{00000000-0005-0000-0000-000027450000}"/>
    <cellStyle name="표준 4 4 3" xfId="16962" xr:uid="{00000000-0005-0000-0000-000028450000}"/>
    <cellStyle name="표준 4 4 4" xfId="16963" xr:uid="{00000000-0005-0000-0000-000029450000}"/>
    <cellStyle name="표준 4 4 5" xfId="16964" xr:uid="{00000000-0005-0000-0000-00002A450000}"/>
    <cellStyle name="표준 4 4 6" xfId="16965" xr:uid="{00000000-0005-0000-0000-00002B450000}"/>
    <cellStyle name="표준 4 4 7" xfId="16966" xr:uid="{00000000-0005-0000-0000-00002C450000}"/>
    <cellStyle name="표준 4 4 8" xfId="16967" xr:uid="{00000000-0005-0000-0000-00002D450000}"/>
    <cellStyle name="표준 4 4 9" xfId="16968" xr:uid="{00000000-0005-0000-0000-00002E450000}"/>
    <cellStyle name="표준 4 5" xfId="16969" xr:uid="{00000000-0005-0000-0000-00002F450000}"/>
    <cellStyle name="표준 4 5 10" xfId="16970" xr:uid="{00000000-0005-0000-0000-000030450000}"/>
    <cellStyle name="표준 4 5 11" xfId="16971" xr:uid="{00000000-0005-0000-0000-000031450000}"/>
    <cellStyle name="표준 4 5 12" xfId="16972" xr:uid="{00000000-0005-0000-0000-000032450000}"/>
    <cellStyle name="표준 4 5 13" xfId="16973" xr:uid="{00000000-0005-0000-0000-000033450000}"/>
    <cellStyle name="표준 4 5 14" xfId="16974" xr:uid="{00000000-0005-0000-0000-000034450000}"/>
    <cellStyle name="표준 4 5 15" xfId="16975" xr:uid="{00000000-0005-0000-0000-000035450000}"/>
    <cellStyle name="표준 4 5 16" xfId="16976" xr:uid="{00000000-0005-0000-0000-000036450000}"/>
    <cellStyle name="표준 4 5 17" xfId="16977" xr:uid="{00000000-0005-0000-0000-000037450000}"/>
    <cellStyle name="표준 4 5 18" xfId="16978" xr:uid="{00000000-0005-0000-0000-000038450000}"/>
    <cellStyle name="표준 4 5 19" xfId="16979" xr:uid="{00000000-0005-0000-0000-000039450000}"/>
    <cellStyle name="표준 4 5 2" xfId="16980" xr:uid="{00000000-0005-0000-0000-00003A450000}"/>
    <cellStyle name="표준 4 5 20" xfId="16981" xr:uid="{00000000-0005-0000-0000-00003B450000}"/>
    <cellStyle name="표준 4 5 21" xfId="16982" xr:uid="{00000000-0005-0000-0000-00003C450000}"/>
    <cellStyle name="표준 4 5 22" xfId="16983" xr:uid="{00000000-0005-0000-0000-00003D450000}"/>
    <cellStyle name="표준 4 5 23" xfId="16984" xr:uid="{00000000-0005-0000-0000-00003E450000}"/>
    <cellStyle name="표준 4 5 3" xfId="16985" xr:uid="{00000000-0005-0000-0000-00003F450000}"/>
    <cellStyle name="표준 4 5 4" xfId="16986" xr:uid="{00000000-0005-0000-0000-000040450000}"/>
    <cellStyle name="표준 4 5 5" xfId="16987" xr:uid="{00000000-0005-0000-0000-000041450000}"/>
    <cellStyle name="표준 4 5 6" xfId="16988" xr:uid="{00000000-0005-0000-0000-000042450000}"/>
    <cellStyle name="표준 4 5 7" xfId="16989" xr:uid="{00000000-0005-0000-0000-000043450000}"/>
    <cellStyle name="표준 4 5 8" xfId="16990" xr:uid="{00000000-0005-0000-0000-000044450000}"/>
    <cellStyle name="표준 4 5 9" xfId="16991" xr:uid="{00000000-0005-0000-0000-000045450000}"/>
    <cellStyle name="표준 4 6" xfId="16992" xr:uid="{00000000-0005-0000-0000-000046450000}"/>
    <cellStyle name="표준 4 6 10" xfId="16993" xr:uid="{00000000-0005-0000-0000-000047450000}"/>
    <cellStyle name="표준 4 6 11" xfId="16994" xr:uid="{00000000-0005-0000-0000-000048450000}"/>
    <cellStyle name="표준 4 6 12" xfId="16995" xr:uid="{00000000-0005-0000-0000-000049450000}"/>
    <cellStyle name="표준 4 6 13" xfId="16996" xr:uid="{00000000-0005-0000-0000-00004A450000}"/>
    <cellStyle name="표준 4 6 14" xfId="16997" xr:uid="{00000000-0005-0000-0000-00004B450000}"/>
    <cellStyle name="표준 4 6 15" xfId="16998" xr:uid="{00000000-0005-0000-0000-00004C450000}"/>
    <cellStyle name="표준 4 6 16" xfId="16999" xr:uid="{00000000-0005-0000-0000-00004D450000}"/>
    <cellStyle name="표준 4 6 17" xfId="17000" xr:uid="{00000000-0005-0000-0000-00004E450000}"/>
    <cellStyle name="표준 4 6 18" xfId="17001" xr:uid="{00000000-0005-0000-0000-00004F450000}"/>
    <cellStyle name="표준 4 6 19" xfId="17002" xr:uid="{00000000-0005-0000-0000-000050450000}"/>
    <cellStyle name="표준 4 6 2" xfId="17003" xr:uid="{00000000-0005-0000-0000-000051450000}"/>
    <cellStyle name="표준 4 6 20" xfId="17004" xr:uid="{00000000-0005-0000-0000-000052450000}"/>
    <cellStyle name="표준 4 6 21" xfId="17005" xr:uid="{00000000-0005-0000-0000-000053450000}"/>
    <cellStyle name="표준 4 6 22" xfId="17006" xr:uid="{00000000-0005-0000-0000-000054450000}"/>
    <cellStyle name="표준 4 6 23" xfId="17007" xr:uid="{00000000-0005-0000-0000-000055450000}"/>
    <cellStyle name="표준 4 6 3" xfId="17008" xr:uid="{00000000-0005-0000-0000-000056450000}"/>
    <cellStyle name="표준 4 6 4" xfId="17009" xr:uid="{00000000-0005-0000-0000-000057450000}"/>
    <cellStyle name="표준 4 6 5" xfId="17010" xr:uid="{00000000-0005-0000-0000-000058450000}"/>
    <cellStyle name="표준 4 6 6" xfId="17011" xr:uid="{00000000-0005-0000-0000-000059450000}"/>
    <cellStyle name="표준 4 6 7" xfId="17012" xr:uid="{00000000-0005-0000-0000-00005A450000}"/>
    <cellStyle name="표준 4 6 8" xfId="17013" xr:uid="{00000000-0005-0000-0000-00005B450000}"/>
    <cellStyle name="표준 4 6 9" xfId="17014" xr:uid="{00000000-0005-0000-0000-00005C450000}"/>
    <cellStyle name="표준 4 7" xfId="17015" xr:uid="{00000000-0005-0000-0000-00005D450000}"/>
    <cellStyle name="표준 4 8" xfId="17016" xr:uid="{00000000-0005-0000-0000-00005E450000}"/>
    <cellStyle name="표준 4 9" xfId="17017" xr:uid="{00000000-0005-0000-0000-00005F450000}"/>
    <cellStyle name="표준 40 2" xfId="17018" xr:uid="{00000000-0005-0000-0000-000060450000}"/>
    <cellStyle name="표준 40 3" xfId="17019" xr:uid="{00000000-0005-0000-0000-000061450000}"/>
    <cellStyle name="표준 40 4" xfId="17020" xr:uid="{00000000-0005-0000-0000-000062450000}"/>
    <cellStyle name="표준 40 5" xfId="17021" xr:uid="{00000000-0005-0000-0000-000063450000}"/>
    <cellStyle name="표준 40 6" xfId="17022" xr:uid="{00000000-0005-0000-0000-000064450000}"/>
    <cellStyle name="표준 40 7" xfId="17023" xr:uid="{00000000-0005-0000-0000-000065450000}"/>
    <cellStyle name="표준 41 2" xfId="17024" xr:uid="{00000000-0005-0000-0000-000066450000}"/>
    <cellStyle name="표준 41 3" xfId="17025" xr:uid="{00000000-0005-0000-0000-000067450000}"/>
    <cellStyle name="표준 41 4" xfId="17026" xr:uid="{00000000-0005-0000-0000-000068450000}"/>
    <cellStyle name="표준 41 5" xfId="17027" xr:uid="{00000000-0005-0000-0000-000069450000}"/>
    <cellStyle name="표준 41 6" xfId="17028" xr:uid="{00000000-0005-0000-0000-00006A450000}"/>
    <cellStyle name="표준 41 7" xfId="17029" xr:uid="{00000000-0005-0000-0000-00006B450000}"/>
    <cellStyle name="표준 42 10" xfId="17030" xr:uid="{00000000-0005-0000-0000-00006C450000}"/>
    <cellStyle name="표준 42 11" xfId="17031" xr:uid="{00000000-0005-0000-0000-00006D450000}"/>
    <cellStyle name="표준 42 12" xfId="17032" xr:uid="{00000000-0005-0000-0000-00006E450000}"/>
    <cellStyle name="표준 42 13" xfId="17033" xr:uid="{00000000-0005-0000-0000-00006F450000}"/>
    <cellStyle name="표준 42 14" xfId="17034" xr:uid="{00000000-0005-0000-0000-000070450000}"/>
    <cellStyle name="표준 42 15" xfId="17035" xr:uid="{00000000-0005-0000-0000-000071450000}"/>
    <cellStyle name="표준 42 16" xfId="17036" xr:uid="{00000000-0005-0000-0000-000072450000}"/>
    <cellStyle name="표준 42 17" xfId="17037" xr:uid="{00000000-0005-0000-0000-000073450000}"/>
    <cellStyle name="표준 42 18" xfId="17038" xr:uid="{00000000-0005-0000-0000-000074450000}"/>
    <cellStyle name="표준 42 19" xfId="17039" xr:uid="{00000000-0005-0000-0000-000075450000}"/>
    <cellStyle name="표준 42 2" xfId="17040" xr:uid="{00000000-0005-0000-0000-000076450000}"/>
    <cellStyle name="표준 42 20" xfId="17041" xr:uid="{00000000-0005-0000-0000-000077450000}"/>
    <cellStyle name="표준 42 21" xfId="17042" xr:uid="{00000000-0005-0000-0000-000078450000}"/>
    <cellStyle name="표준 42 22" xfId="17043" xr:uid="{00000000-0005-0000-0000-000079450000}"/>
    <cellStyle name="표준 42 3" xfId="17044" xr:uid="{00000000-0005-0000-0000-00007A450000}"/>
    <cellStyle name="표준 42 4" xfId="17045" xr:uid="{00000000-0005-0000-0000-00007B450000}"/>
    <cellStyle name="표준 42 5" xfId="17046" xr:uid="{00000000-0005-0000-0000-00007C450000}"/>
    <cellStyle name="표준 42 6" xfId="17047" xr:uid="{00000000-0005-0000-0000-00007D450000}"/>
    <cellStyle name="표준 42 7" xfId="17048" xr:uid="{00000000-0005-0000-0000-00007E450000}"/>
    <cellStyle name="표준 42 8" xfId="17049" xr:uid="{00000000-0005-0000-0000-00007F450000}"/>
    <cellStyle name="표준 42 9" xfId="17050" xr:uid="{00000000-0005-0000-0000-000080450000}"/>
    <cellStyle name="표준 43 2" xfId="17051" xr:uid="{00000000-0005-0000-0000-000081450000}"/>
    <cellStyle name="표준 43 3" xfId="17052" xr:uid="{00000000-0005-0000-0000-000082450000}"/>
    <cellStyle name="표준 43 4" xfId="17053" xr:uid="{00000000-0005-0000-0000-000083450000}"/>
    <cellStyle name="표준 43 5" xfId="17054" xr:uid="{00000000-0005-0000-0000-000084450000}"/>
    <cellStyle name="표준 43 6" xfId="17055" xr:uid="{00000000-0005-0000-0000-000085450000}"/>
    <cellStyle name="표준 43 7" xfId="17056" xr:uid="{00000000-0005-0000-0000-000086450000}"/>
    <cellStyle name="표준 44 2" xfId="17057" xr:uid="{00000000-0005-0000-0000-000087450000}"/>
    <cellStyle name="표준 44 3" xfId="17058" xr:uid="{00000000-0005-0000-0000-000088450000}"/>
    <cellStyle name="표준 44 4" xfId="17059" xr:uid="{00000000-0005-0000-0000-000089450000}"/>
    <cellStyle name="표준 46 2" xfId="17060" xr:uid="{00000000-0005-0000-0000-00008A450000}"/>
    <cellStyle name="표준 5" xfId="17061" xr:uid="{00000000-0005-0000-0000-00008B450000}"/>
    <cellStyle name="표준 5 10" xfId="17062" xr:uid="{00000000-0005-0000-0000-00008C450000}"/>
    <cellStyle name="표준 5 11" xfId="17063" xr:uid="{00000000-0005-0000-0000-00008D450000}"/>
    <cellStyle name="표준 5 12" xfId="17064" xr:uid="{00000000-0005-0000-0000-00008E450000}"/>
    <cellStyle name="표준 5 13" xfId="17065" xr:uid="{00000000-0005-0000-0000-00008F450000}"/>
    <cellStyle name="표준 5 14" xfId="17066" xr:uid="{00000000-0005-0000-0000-000090450000}"/>
    <cellStyle name="표준 5 15" xfId="17067" xr:uid="{00000000-0005-0000-0000-000091450000}"/>
    <cellStyle name="표준 5 16" xfId="17068" xr:uid="{00000000-0005-0000-0000-000092450000}"/>
    <cellStyle name="표준 5 17" xfId="17069" xr:uid="{00000000-0005-0000-0000-000093450000}"/>
    <cellStyle name="표준 5 18" xfId="17070" xr:uid="{00000000-0005-0000-0000-000094450000}"/>
    <cellStyle name="표준 5 19" xfId="17071" xr:uid="{00000000-0005-0000-0000-000095450000}"/>
    <cellStyle name="표준 5 2" xfId="17072" xr:uid="{00000000-0005-0000-0000-000096450000}"/>
    <cellStyle name="표준 5 2 10" xfId="17073" xr:uid="{00000000-0005-0000-0000-000097450000}"/>
    <cellStyle name="표준 5 2 11" xfId="17074" xr:uid="{00000000-0005-0000-0000-000098450000}"/>
    <cellStyle name="표준 5 2 12" xfId="17075" xr:uid="{00000000-0005-0000-0000-000099450000}"/>
    <cellStyle name="표준 5 2 13" xfId="17076" xr:uid="{00000000-0005-0000-0000-00009A450000}"/>
    <cellStyle name="표준 5 2 14" xfId="17077" xr:uid="{00000000-0005-0000-0000-00009B450000}"/>
    <cellStyle name="표준 5 2 15" xfId="17078" xr:uid="{00000000-0005-0000-0000-00009C450000}"/>
    <cellStyle name="표준 5 2 16" xfId="17079" xr:uid="{00000000-0005-0000-0000-00009D450000}"/>
    <cellStyle name="표준 5 2 17" xfId="17080" xr:uid="{00000000-0005-0000-0000-00009E450000}"/>
    <cellStyle name="표준 5 2 18" xfId="17081" xr:uid="{00000000-0005-0000-0000-00009F450000}"/>
    <cellStyle name="표준 5 2 19" xfId="17082" xr:uid="{00000000-0005-0000-0000-0000A0450000}"/>
    <cellStyle name="표준 5 2 2" xfId="17083" xr:uid="{00000000-0005-0000-0000-0000A1450000}"/>
    <cellStyle name="표준 5 2 2 10" xfId="17084" xr:uid="{00000000-0005-0000-0000-0000A2450000}"/>
    <cellStyle name="표준 5 2 2 11" xfId="17085" xr:uid="{00000000-0005-0000-0000-0000A3450000}"/>
    <cellStyle name="표준 5 2 2 12" xfId="17086" xr:uid="{00000000-0005-0000-0000-0000A4450000}"/>
    <cellStyle name="표준 5 2 2 13" xfId="17087" xr:uid="{00000000-0005-0000-0000-0000A5450000}"/>
    <cellStyle name="표준 5 2 2 14" xfId="17088" xr:uid="{00000000-0005-0000-0000-0000A6450000}"/>
    <cellStyle name="표준 5 2 2 15" xfId="17089" xr:uid="{00000000-0005-0000-0000-0000A7450000}"/>
    <cellStyle name="표준 5 2 2 16" xfId="17090" xr:uid="{00000000-0005-0000-0000-0000A8450000}"/>
    <cellStyle name="표준 5 2 2 17" xfId="17091" xr:uid="{00000000-0005-0000-0000-0000A9450000}"/>
    <cellStyle name="표준 5 2 2 18" xfId="17092" xr:uid="{00000000-0005-0000-0000-0000AA450000}"/>
    <cellStyle name="표준 5 2 2 19" xfId="17093" xr:uid="{00000000-0005-0000-0000-0000AB450000}"/>
    <cellStyle name="표준 5 2 2 2" xfId="17094" xr:uid="{00000000-0005-0000-0000-0000AC450000}"/>
    <cellStyle name="표준 5 2 2 2 10" xfId="17095" xr:uid="{00000000-0005-0000-0000-0000AD450000}"/>
    <cellStyle name="표준 5 2 2 2 11" xfId="17096" xr:uid="{00000000-0005-0000-0000-0000AE450000}"/>
    <cellStyle name="표준 5 2 2 2 12" xfId="17097" xr:uid="{00000000-0005-0000-0000-0000AF450000}"/>
    <cellStyle name="표준 5 2 2 2 13" xfId="17098" xr:uid="{00000000-0005-0000-0000-0000B0450000}"/>
    <cellStyle name="표준 5 2 2 2 14" xfId="17099" xr:uid="{00000000-0005-0000-0000-0000B1450000}"/>
    <cellStyle name="표준 5 2 2 2 15" xfId="17100" xr:uid="{00000000-0005-0000-0000-0000B2450000}"/>
    <cellStyle name="표준 5 2 2 2 16" xfId="17101" xr:uid="{00000000-0005-0000-0000-0000B3450000}"/>
    <cellStyle name="표준 5 2 2 2 17" xfId="17102" xr:uid="{00000000-0005-0000-0000-0000B4450000}"/>
    <cellStyle name="표준 5 2 2 2 18" xfId="17103" xr:uid="{00000000-0005-0000-0000-0000B5450000}"/>
    <cellStyle name="표준 5 2 2 2 19" xfId="17104" xr:uid="{00000000-0005-0000-0000-0000B6450000}"/>
    <cellStyle name="표준 5 2 2 2 2" xfId="17105" xr:uid="{00000000-0005-0000-0000-0000B7450000}"/>
    <cellStyle name="표준 5 2 2 2 2 10" xfId="17106" xr:uid="{00000000-0005-0000-0000-0000B8450000}"/>
    <cellStyle name="표준 5 2 2 2 2 11" xfId="17107" xr:uid="{00000000-0005-0000-0000-0000B9450000}"/>
    <cellStyle name="표준 5 2 2 2 2 12" xfId="17108" xr:uid="{00000000-0005-0000-0000-0000BA450000}"/>
    <cellStyle name="표준 5 2 2 2 2 13" xfId="17109" xr:uid="{00000000-0005-0000-0000-0000BB450000}"/>
    <cellStyle name="표준 5 2 2 2 2 14" xfId="17110" xr:uid="{00000000-0005-0000-0000-0000BC450000}"/>
    <cellStyle name="표준 5 2 2 2 2 15" xfId="17111" xr:uid="{00000000-0005-0000-0000-0000BD450000}"/>
    <cellStyle name="표준 5 2 2 2 2 16" xfId="17112" xr:uid="{00000000-0005-0000-0000-0000BE450000}"/>
    <cellStyle name="표준 5 2 2 2 2 17" xfId="17113" xr:uid="{00000000-0005-0000-0000-0000BF450000}"/>
    <cellStyle name="표준 5 2 2 2 2 18" xfId="17114" xr:uid="{00000000-0005-0000-0000-0000C0450000}"/>
    <cellStyle name="표준 5 2 2 2 2 19" xfId="17115" xr:uid="{00000000-0005-0000-0000-0000C1450000}"/>
    <cellStyle name="표준 5 2 2 2 2 2" xfId="17116" xr:uid="{00000000-0005-0000-0000-0000C2450000}"/>
    <cellStyle name="표준 5 2 2 2 2 2 10" xfId="17117" xr:uid="{00000000-0005-0000-0000-0000C3450000}"/>
    <cellStyle name="표준 5 2 2 2 2 2 11" xfId="17118" xr:uid="{00000000-0005-0000-0000-0000C4450000}"/>
    <cellStyle name="표준 5 2 2 2 2 2 12" xfId="17119" xr:uid="{00000000-0005-0000-0000-0000C5450000}"/>
    <cellStyle name="표준 5 2 2 2 2 2 13" xfId="17120" xr:uid="{00000000-0005-0000-0000-0000C6450000}"/>
    <cellStyle name="표준 5 2 2 2 2 2 14" xfId="17121" xr:uid="{00000000-0005-0000-0000-0000C7450000}"/>
    <cellStyle name="표준 5 2 2 2 2 2 15" xfId="17122" xr:uid="{00000000-0005-0000-0000-0000C8450000}"/>
    <cellStyle name="표준 5 2 2 2 2 2 16" xfId="17123" xr:uid="{00000000-0005-0000-0000-0000C9450000}"/>
    <cellStyle name="표준 5 2 2 2 2 2 17" xfId="17124" xr:uid="{00000000-0005-0000-0000-0000CA450000}"/>
    <cellStyle name="표준 5 2 2 2 2 2 18" xfId="17125" xr:uid="{00000000-0005-0000-0000-0000CB450000}"/>
    <cellStyle name="표준 5 2 2 2 2 2 19" xfId="17126" xr:uid="{00000000-0005-0000-0000-0000CC450000}"/>
    <cellStyle name="표준 5 2 2 2 2 2 2" xfId="17127" xr:uid="{00000000-0005-0000-0000-0000CD450000}"/>
    <cellStyle name="표준 5 2 2 2 2 2 20" xfId="17128" xr:uid="{00000000-0005-0000-0000-0000CE450000}"/>
    <cellStyle name="표준 5 2 2 2 2 2 21" xfId="17129" xr:uid="{00000000-0005-0000-0000-0000CF450000}"/>
    <cellStyle name="표준 5 2 2 2 2 2 22" xfId="17130" xr:uid="{00000000-0005-0000-0000-0000D0450000}"/>
    <cellStyle name="표준 5 2 2 2 2 2 3" xfId="17131" xr:uid="{00000000-0005-0000-0000-0000D1450000}"/>
    <cellStyle name="표준 5 2 2 2 2 2 4" xfId="17132" xr:uid="{00000000-0005-0000-0000-0000D2450000}"/>
    <cellStyle name="표준 5 2 2 2 2 2 5" xfId="17133" xr:uid="{00000000-0005-0000-0000-0000D3450000}"/>
    <cellStyle name="표준 5 2 2 2 2 2 6" xfId="17134" xr:uid="{00000000-0005-0000-0000-0000D4450000}"/>
    <cellStyle name="표준 5 2 2 2 2 2 7" xfId="17135" xr:uid="{00000000-0005-0000-0000-0000D5450000}"/>
    <cellStyle name="표준 5 2 2 2 2 2 8" xfId="17136" xr:uid="{00000000-0005-0000-0000-0000D6450000}"/>
    <cellStyle name="표준 5 2 2 2 2 2 9" xfId="17137" xr:uid="{00000000-0005-0000-0000-0000D7450000}"/>
    <cellStyle name="표준 5 2 2 2 2 20" xfId="17138" xr:uid="{00000000-0005-0000-0000-0000D8450000}"/>
    <cellStyle name="표준 5 2 2 2 2 21" xfId="17139" xr:uid="{00000000-0005-0000-0000-0000D9450000}"/>
    <cellStyle name="표준 5 2 2 2 2 22" xfId="17140" xr:uid="{00000000-0005-0000-0000-0000DA450000}"/>
    <cellStyle name="표준 5 2 2 2 2 23" xfId="17141" xr:uid="{00000000-0005-0000-0000-0000DB450000}"/>
    <cellStyle name="표준 5 2 2 2 2 3" xfId="17142" xr:uid="{00000000-0005-0000-0000-0000DC450000}"/>
    <cellStyle name="표준 5 2 2 2 2 4" xfId="17143" xr:uid="{00000000-0005-0000-0000-0000DD450000}"/>
    <cellStyle name="표준 5 2 2 2 2 5" xfId="17144" xr:uid="{00000000-0005-0000-0000-0000DE450000}"/>
    <cellStyle name="표준 5 2 2 2 2 6" xfId="17145" xr:uid="{00000000-0005-0000-0000-0000DF450000}"/>
    <cellStyle name="표준 5 2 2 2 2 7" xfId="17146" xr:uid="{00000000-0005-0000-0000-0000E0450000}"/>
    <cellStyle name="표준 5 2 2 2 2 8" xfId="17147" xr:uid="{00000000-0005-0000-0000-0000E1450000}"/>
    <cellStyle name="표준 5 2 2 2 2 9" xfId="17148" xr:uid="{00000000-0005-0000-0000-0000E2450000}"/>
    <cellStyle name="표준 5 2 2 2 20" xfId="17149" xr:uid="{00000000-0005-0000-0000-0000E3450000}"/>
    <cellStyle name="표준 5 2 2 2 21" xfId="17150" xr:uid="{00000000-0005-0000-0000-0000E4450000}"/>
    <cellStyle name="표준 5 2 2 2 22" xfId="17151" xr:uid="{00000000-0005-0000-0000-0000E5450000}"/>
    <cellStyle name="표준 5 2 2 2 23" xfId="17152" xr:uid="{00000000-0005-0000-0000-0000E6450000}"/>
    <cellStyle name="표준 5 2 2 2 3" xfId="17153" xr:uid="{00000000-0005-0000-0000-0000E7450000}"/>
    <cellStyle name="표준 5 2 2 2 4" xfId="17154" xr:uid="{00000000-0005-0000-0000-0000E8450000}"/>
    <cellStyle name="표준 5 2 2 2 5" xfId="17155" xr:uid="{00000000-0005-0000-0000-0000E9450000}"/>
    <cellStyle name="표준 5 2 2 2 6" xfId="17156" xr:uid="{00000000-0005-0000-0000-0000EA450000}"/>
    <cellStyle name="표준 5 2 2 2 7" xfId="17157" xr:uid="{00000000-0005-0000-0000-0000EB450000}"/>
    <cellStyle name="표준 5 2 2 2 8" xfId="17158" xr:uid="{00000000-0005-0000-0000-0000EC450000}"/>
    <cellStyle name="표준 5 2 2 2 9" xfId="17159" xr:uid="{00000000-0005-0000-0000-0000ED450000}"/>
    <cellStyle name="표준 5 2 2 20" xfId="17160" xr:uid="{00000000-0005-0000-0000-0000EE450000}"/>
    <cellStyle name="표준 5 2 2 21" xfId="17161" xr:uid="{00000000-0005-0000-0000-0000EF450000}"/>
    <cellStyle name="표준 5 2 2 22" xfId="17162" xr:uid="{00000000-0005-0000-0000-0000F0450000}"/>
    <cellStyle name="표준 5 2 2 23" xfId="17163" xr:uid="{00000000-0005-0000-0000-0000F1450000}"/>
    <cellStyle name="표준 5 2 2 24" xfId="17164" xr:uid="{00000000-0005-0000-0000-0000F2450000}"/>
    <cellStyle name="표준 5 2 2 25" xfId="17165" xr:uid="{00000000-0005-0000-0000-0000F3450000}"/>
    <cellStyle name="표준 5 2 2 26" xfId="17166" xr:uid="{00000000-0005-0000-0000-0000F4450000}"/>
    <cellStyle name="표준 5 2 2 3" xfId="17167" xr:uid="{00000000-0005-0000-0000-0000F5450000}"/>
    <cellStyle name="표준 5 2 2 4" xfId="17168" xr:uid="{00000000-0005-0000-0000-0000F6450000}"/>
    <cellStyle name="표준 5 2 2 5" xfId="17169" xr:uid="{00000000-0005-0000-0000-0000F7450000}"/>
    <cellStyle name="표준 5 2 2 6" xfId="17170" xr:uid="{00000000-0005-0000-0000-0000F8450000}"/>
    <cellStyle name="표준 5 2 2 7" xfId="17171" xr:uid="{00000000-0005-0000-0000-0000F9450000}"/>
    <cellStyle name="표준 5 2 2 8" xfId="17172" xr:uid="{00000000-0005-0000-0000-0000FA450000}"/>
    <cellStyle name="표준 5 2 2 9" xfId="17173" xr:uid="{00000000-0005-0000-0000-0000FB450000}"/>
    <cellStyle name="표준 5 2 20" xfId="17174" xr:uid="{00000000-0005-0000-0000-0000FC450000}"/>
    <cellStyle name="표준 5 2 21" xfId="17175" xr:uid="{00000000-0005-0000-0000-0000FD450000}"/>
    <cellStyle name="표준 5 2 22" xfId="17176" xr:uid="{00000000-0005-0000-0000-0000FE450000}"/>
    <cellStyle name="표준 5 2 23" xfId="17177" xr:uid="{00000000-0005-0000-0000-0000FF450000}"/>
    <cellStyle name="표준 5 2 24" xfId="17178" xr:uid="{00000000-0005-0000-0000-000000460000}"/>
    <cellStyle name="표준 5 2 25" xfId="17179" xr:uid="{00000000-0005-0000-0000-000001460000}"/>
    <cellStyle name="표준 5 2 26" xfId="17180" xr:uid="{00000000-0005-0000-0000-000002460000}"/>
    <cellStyle name="표준 5 2 27" xfId="17181" xr:uid="{00000000-0005-0000-0000-000003460000}"/>
    <cellStyle name="표준 5 2 28" xfId="17182" xr:uid="{00000000-0005-0000-0000-000004460000}"/>
    <cellStyle name="표준 5 2 3" xfId="17183" xr:uid="{00000000-0005-0000-0000-000005460000}"/>
    <cellStyle name="표준 5 2 4" xfId="17184" xr:uid="{00000000-0005-0000-0000-000006460000}"/>
    <cellStyle name="표준 5 2 5" xfId="17185" xr:uid="{00000000-0005-0000-0000-000007460000}"/>
    <cellStyle name="표준 5 2 6" xfId="17186" xr:uid="{00000000-0005-0000-0000-000008460000}"/>
    <cellStyle name="표준 5 2 7" xfId="17187" xr:uid="{00000000-0005-0000-0000-000009460000}"/>
    <cellStyle name="표준 5 2 8" xfId="17188" xr:uid="{00000000-0005-0000-0000-00000A460000}"/>
    <cellStyle name="표준 5 2 9" xfId="17189" xr:uid="{00000000-0005-0000-0000-00000B460000}"/>
    <cellStyle name="표준 5 20" xfId="17190" xr:uid="{00000000-0005-0000-0000-00000C460000}"/>
    <cellStyle name="표준 5 21" xfId="17191" xr:uid="{00000000-0005-0000-0000-00000D460000}"/>
    <cellStyle name="표준 5 22" xfId="17192" xr:uid="{00000000-0005-0000-0000-00000E460000}"/>
    <cellStyle name="표준 5 23" xfId="17193" xr:uid="{00000000-0005-0000-0000-00000F460000}"/>
    <cellStyle name="표준 5 24" xfId="17194" xr:uid="{00000000-0005-0000-0000-000010460000}"/>
    <cellStyle name="표준 5 25" xfId="17195" xr:uid="{00000000-0005-0000-0000-000011460000}"/>
    <cellStyle name="표준 5 26" xfId="17196" xr:uid="{00000000-0005-0000-0000-000012460000}"/>
    <cellStyle name="표준 5 27" xfId="17197" xr:uid="{00000000-0005-0000-0000-000013460000}"/>
    <cellStyle name="표준 5 28" xfId="17198" xr:uid="{00000000-0005-0000-0000-000014460000}"/>
    <cellStyle name="표준 5 29" xfId="17199" xr:uid="{00000000-0005-0000-0000-000015460000}"/>
    <cellStyle name="표준 5 3" xfId="17200" xr:uid="{00000000-0005-0000-0000-000016460000}"/>
    <cellStyle name="표준 5 3 10" xfId="17201" xr:uid="{00000000-0005-0000-0000-000017460000}"/>
    <cellStyle name="표준 5 3 11" xfId="17202" xr:uid="{00000000-0005-0000-0000-000018460000}"/>
    <cellStyle name="표준 5 3 12" xfId="17203" xr:uid="{00000000-0005-0000-0000-000019460000}"/>
    <cellStyle name="표준 5 3 13" xfId="17204" xr:uid="{00000000-0005-0000-0000-00001A460000}"/>
    <cellStyle name="표준 5 3 14" xfId="17205" xr:uid="{00000000-0005-0000-0000-00001B460000}"/>
    <cellStyle name="표준 5 3 15" xfId="17206" xr:uid="{00000000-0005-0000-0000-00001C460000}"/>
    <cellStyle name="표준 5 3 16" xfId="17207" xr:uid="{00000000-0005-0000-0000-00001D460000}"/>
    <cellStyle name="표준 5 3 17" xfId="17208" xr:uid="{00000000-0005-0000-0000-00001E460000}"/>
    <cellStyle name="표준 5 3 18" xfId="17209" xr:uid="{00000000-0005-0000-0000-00001F460000}"/>
    <cellStyle name="표준 5 3 19" xfId="17210" xr:uid="{00000000-0005-0000-0000-000020460000}"/>
    <cellStyle name="표준 5 3 2" xfId="17211" xr:uid="{00000000-0005-0000-0000-000021460000}"/>
    <cellStyle name="표준 5 3 20" xfId="17212" xr:uid="{00000000-0005-0000-0000-000022460000}"/>
    <cellStyle name="표준 5 3 21" xfId="17213" xr:uid="{00000000-0005-0000-0000-000023460000}"/>
    <cellStyle name="표준 5 3 22" xfId="17214" xr:uid="{00000000-0005-0000-0000-000024460000}"/>
    <cellStyle name="표준 5 3 23" xfId="17215" xr:uid="{00000000-0005-0000-0000-000025460000}"/>
    <cellStyle name="표준 5 3 3" xfId="17216" xr:uid="{00000000-0005-0000-0000-000026460000}"/>
    <cellStyle name="표준 5 3 4" xfId="17217" xr:uid="{00000000-0005-0000-0000-000027460000}"/>
    <cellStyle name="표준 5 3 5" xfId="17218" xr:uid="{00000000-0005-0000-0000-000028460000}"/>
    <cellStyle name="표준 5 3 6" xfId="17219" xr:uid="{00000000-0005-0000-0000-000029460000}"/>
    <cellStyle name="표준 5 3 7" xfId="17220" xr:uid="{00000000-0005-0000-0000-00002A460000}"/>
    <cellStyle name="표준 5 3 8" xfId="17221" xr:uid="{00000000-0005-0000-0000-00002B460000}"/>
    <cellStyle name="표준 5 3 9" xfId="17222" xr:uid="{00000000-0005-0000-0000-00002C460000}"/>
    <cellStyle name="표준 5 30" xfId="17223" xr:uid="{00000000-0005-0000-0000-00002D460000}"/>
    <cellStyle name="표준 5 31" xfId="17224" xr:uid="{00000000-0005-0000-0000-00002E460000}"/>
    <cellStyle name="표준 5 32" xfId="17225" xr:uid="{00000000-0005-0000-0000-00002F460000}"/>
    <cellStyle name="표준 5 33" xfId="17226" xr:uid="{00000000-0005-0000-0000-000030460000}"/>
    <cellStyle name="표준 5 34" xfId="17227" xr:uid="{00000000-0005-0000-0000-000031460000}"/>
    <cellStyle name="표준 5 35" xfId="17228" xr:uid="{00000000-0005-0000-0000-000032460000}"/>
    <cellStyle name="표준 5 36" xfId="17229" xr:uid="{00000000-0005-0000-0000-000033460000}"/>
    <cellStyle name="표준 5 4" xfId="17230" xr:uid="{00000000-0005-0000-0000-000034460000}"/>
    <cellStyle name="표준 5 4 10" xfId="17231" xr:uid="{00000000-0005-0000-0000-000035460000}"/>
    <cellStyle name="표준 5 4 11" xfId="17232" xr:uid="{00000000-0005-0000-0000-000036460000}"/>
    <cellStyle name="표준 5 4 12" xfId="17233" xr:uid="{00000000-0005-0000-0000-000037460000}"/>
    <cellStyle name="표준 5 4 13" xfId="17234" xr:uid="{00000000-0005-0000-0000-000038460000}"/>
    <cellStyle name="표준 5 4 14" xfId="17235" xr:uid="{00000000-0005-0000-0000-000039460000}"/>
    <cellStyle name="표준 5 4 15" xfId="17236" xr:uid="{00000000-0005-0000-0000-00003A460000}"/>
    <cellStyle name="표준 5 4 16" xfId="17237" xr:uid="{00000000-0005-0000-0000-00003B460000}"/>
    <cellStyle name="표준 5 4 17" xfId="17238" xr:uid="{00000000-0005-0000-0000-00003C460000}"/>
    <cellStyle name="표준 5 4 18" xfId="17239" xr:uid="{00000000-0005-0000-0000-00003D460000}"/>
    <cellStyle name="표준 5 4 19" xfId="17240" xr:uid="{00000000-0005-0000-0000-00003E460000}"/>
    <cellStyle name="표준 5 4 2" xfId="17241" xr:uid="{00000000-0005-0000-0000-00003F460000}"/>
    <cellStyle name="표준 5 4 20" xfId="17242" xr:uid="{00000000-0005-0000-0000-000040460000}"/>
    <cellStyle name="표준 5 4 21" xfId="17243" xr:uid="{00000000-0005-0000-0000-000041460000}"/>
    <cellStyle name="표준 5 4 22" xfId="17244" xr:uid="{00000000-0005-0000-0000-000042460000}"/>
    <cellStyle name="표준 5 4 23" xfId="17245" xr:uid="{00000000-0005-0000-0000-000043460000}"/>
    <cellStyle name="표준 5 4 3" xfId="17246" xr:uid="{00000000-0005-0000-0000-000044460000}"/>
    <cellStyle name="표준 5 4 4" xfId="17247" xr:uid="{00000000-0005-0000-0000-000045460000}"/>
    <cellStyle name="표준 5 4 5" xfId="17248" xr:uid="{00000000-0005-0000-0000-000046460000}"/>
    <cellStyle name="표준 5 4 6" xfId="17249" xr:uid="{00000000-0005-0000-0000-000047460000}"/>
    <cellStyle name="표준 5 4 7" xfId="17250" xr:uid="{00000000-0005-0000-0000-000048460000}"/>
    <cellStyle name="표준 5 4 8" xfId="17251" xr:uid="{00000000-0005-0000-0000-000049460000}"/>
    <cellStyle name="표준 5 4 9" xfId="17252" xr:uid="{00000000-0005-0000-0000-00004A460000}"/>
    <cellStyle name="표준 5 5" xfId="17253" xr:uid="{00000000-0005-0000-0000-00004B460000}"/>
    <cellStyle name="표준 5 5 10" xfId="17254" xr:uid="{00000000-0005-0000-0000-00004C460000}"/>
    <cellStyle name="표준 5 5 11" xfId="17255" xr:uid="{00000000-0005-0000-0000-00004D460000}"/>
    <cellStyle name="표준 5 5 12" xfId="17256" xr:uid="{00000000-0005-0000-0000-00004E460000}"/>
    <cellStyle name="표준 5 5 13" xfId="17257" xr:uid="{00000000-0005-0000-0000-00004F460000}"/>
    <cellStyle name="표준 5 5 14" xfId="17258" xr:uid="{00000000-0005-0000-0000-000050460000}"/>
    <cellStyle name="표준 5 5 15" xfId="17259" xr:uid="{00000000-0005-0000-0000-000051460000}"/>
    <cellStyle name="표준 5 5 16" xfId="17260" xr:uid="{00000000-0005-0000-0000-000052460000}"/>
    <cellStyle name="표준 5 5 17" xfId="17261" xr:uid="{00000000-0005-0000-0000-000053460000}"/>
    <cellStyle name="표준 5 5 18" xfId="17262" xr:uid="{00000000-0005-0000-0000-000054460000}"/>
    <cellStyle name="표준 5 5 19" xfId="17263" xr:uid="{00000000-0005-0000-0000-000055460000}"/>
    <cellStyle name="표준 5 5 2" xfId="17264" xr:uid="{00000000-0005-0000-0000-000056460000}"/>
    <cellStyle name="표준 5 5 20" xfId="17265" xr:uid="{00000000-0005-0000-0000-000057460000}"/>
    <cellStyle name="표준 5 5 21" xfId="17266" xr:uid="{00000000-0005-0000-0000-000058460000}"/>
    <cellStyle name="표준 5 5 22" xfId="17267" xr:uid="{00000000-0005-0000-0000-000059460000}"/>
    <cellStyle name="표준 5 5 23" xfId="17268" xr:uid="{00000000-0005-0000-0000-00005A460000}"/>
    <cellStyle name="표준 5 5 3" xfId="17269" xr:uid="{00000000-0005-0000-0000-00005B460000}"/>
    <cellStyle name="표준 5 5 4" xfId="17270" xr:uid="{00000000-0005-0000-0000-00005C460000}"/>
    <cellStyle name="표준 5 5 5" xfId="17271" xr:uid="{00000000-0005-0000-0000-00005D460000}"/>
    <cellStyle name="표준 5 5 6" xfId="17272" xr:uid="{00000000-0005-0000-0000-00005E460000}"/>
    <cellStyle name="표준 5 5 7" xfId="17273" xr:uid="{00000000-0005-0000-0000-00005F460000}"/>
    <cellStyle name="표준 5 5 8" xfId="17274" xr:uid="{00000000-0005-0000-0000-000060460000}"/>
    <cellStyle name="표준 5 5 9" xfId="17275" xr:uid="{00000000-0005-0000-0000-000061460000}"/>
    <cellStyle name="표준 5 6" xfId="17276" xr:uid="{00000000-0005-0000-0000-000062460000}"/>
    <cellStyle name="표준 5 6 10" xfId="17277" xr:uid="{00000000-0005-0000-0000-000063460000}"/>
    <cellStyle name="표준 5 6 11" xfId="17278" xr:uid="{00000000-0005-0000-0000-000064460000}"/>
    <cellStyle name="표준 5 6 12" xfId="17279" xr:uid="{00000000-0005-0000-0000-000065460000}"/>
    <cellStyle name="표준 5 6 13" xfId="17280" xr:uid="{00000000-0005-0000-0000-000066460000}"/>
    <cellStyle name="표준 5 6 14" xfId="17281" xr:uid="{00000000-0005-0000-0000-000067460000}"/>
    <cellStyle name="표준 5 6 15" xfId="17282" xr:uid="{00000000-0005-0000-0000-000068460000}"/>
    <cellStyle name="표준 5 6 16" xfId="17283" xr:uid="{00000000-0005-0000-0000-000069460000}"/>
    <cellStyle name="표준 5 6 17" xfId="17284" xr:uid="{00000000-0005-0000-0000-00006A460000}"/>
    <cellStyle name="표준 5 6 18" xfId="17285" xr:uid="{00000000-0005-0000-0000-00006B460000}"/>
    <cellStyle name="표준 5 6 19" xfId="17286" xr:uid="{00000000-0005-0000-0000-00006C460000}"/>
    <cellStyle name="표준 5 6 2" xfId="17287" xr:uid="{00000000-0005-0000-0000-00006D460000}"/>
    <cellStyle name="표준 5 6 20" xfId="17288" xr:uid="{00000000-0005-0000-0000-00006E460000}"/>
    <cellStyle name="표준 5 6 21" xfId="17289" xr:uid="{00000000-0005-0000-0000-00006F460000}"/>
    <cellStyle name="표준 5 6 22" xfId="17290" xr:uid="{00000000-0005-0000-0000-000070460000}"/>
    <cellStyle name="표준 5 6 23" xfId="17291" xr:uid="{00000000-0005-0000-0000-000071460000}"/>
    <cellStyle name="표준 5 6 3" xfId="17292" xr:uid="{00000000-0005-0000-0000-000072460000}"/>
    <cellStyle name="표준 5 6 4" xfId="17293" xr:uid="{00000000-0005-0000-0000-000073460000}"/>
    <cellStyle name="표준 5 6 5" xfId="17294" xr:uid="{00000000-0005-0000-0000-000074460000}"/>
    <cellStyle name="표준 5 6 6" xfId="17295" xr:uid="{00000000-0005-0000-0000-000075460000}"/>
    <cellStyle name="표준 5 6 7" xfId="17296" xr:uid="{00000000-0005-0000-0000-000076460000}"/>
    <cellStyle name="표준 5 6 8" xfId="17297" xr:uid="{00000000-0005-0000-0000-000077460000}"/>
    <cellStyle name="표준 5 6 9" xfId="17298" xr:uid="{00000000-0005-0000-0000-000078460000}"/>
    <cellStyle name="표준 5 7" xfId="17299" xr:uid="{00000000-0005-0000-0000-000079460000}"/>
    <cellStyle name="표준 5 7 2" xfId="17300" xr:uid="{00000000-0005-0000-0000-00007A460000}"/>
    <cellStyle name="표준 5 8" xfId="17301" xr:uid="{00000000-0005-0000-0000-00007B460000}"/>
    <cellStyle name="표준 5 8 2" xfId="17302" xr:uid="{00000000-0005-0000-0000-00007C460000}"/>
    <cellStyle name="표준 5 9" xfId="17303" xr:uid="{00000000-0005-0000-0000-00007D460000}"/>
    <cellStyle name="표준 51 2" xfId="17304" xr:uid="{00000000-0005-0000-0000-00007E460000}"/>
    <cellStyle name="표준 52 2" xfId="17305" xr:uid="{00000000-0005-0000-0000-00007F460000}"/>
    <cellStyle name="표준 53 10" xfId="17306" xr:uid="{00000000-0005-0000-0000-000080460000}"/>
    <cellStyle name="표준 53 11" xfId="17307" xr:uid="{00000000-0005-0000-0000-000081460000}"/>
    <cellStyle name="표준 53 12" xfId="17308" xr:uid="{00000000-0005-0000-0000-000082460000}"/>
    <cellStyle name="표준 53 13" xfId="17309" xr:uid="{00000000-0005-0000-0000-000083460000}"/>
    <cellStyle name="표준 53 14" xfId="17310" xr:uid="{00000000-0005-0000-0000-000084460000}"/>
    <cellStyle name="표준 53 2" xfId="17311" xr:uid="{00000000-0005-0000-0000-000085460000}"/>
    <cellStyle name="표준 53 3" xfId="17312" xr:uid="{00000000-0005-0000-0000-000086460000}"/>
    <cellStyle name="표준 53 4" xfId="17313" xr:uid="{00000000-0005-0000-0000-000087460000}"/>
    <cellStyle name="표준 53 5" xfId="17314" xr:uid="{00000000-0005-0000-0000-000088460000}"/>
    <cellStyle name="표준 53 6" xfId="17315" xr:uid="{00000000-0005-0000-0000-000089460000}"/>
    <cellStyle name="표준 53 7" xfId="17316" xr:uid="{00000000-0005-0000-0000-00008A460000}"/>
    <cellStyle name="표준 53 8" xfId="17317" xr:uid="{00000000-0005-0000-0000-00008B460000}"/>
    <cellStyle name="표준 53 9" xfId="17318" xr:uid="{00000000-0005-0000-0000-00008C460000}"/>
    <cellStyle name="표준 54 2" xfId="17319" xr:uid="{00000000-0005-0000-0000-00008D460000}"/>
    <cellStyle name="표준 55 10" xfId="17320" xr:uid="{00000000-0005-0000-0000-00008E460000}"/>
    <cellStyle name="표준 55 11" xfId="17321" xr:uid="{00000000-0005-0000-0000-00008F460000}"/>
    <cellStyle name="표준 55 12" xfId="17322" xr:uid="{00000000-0005-0000-0000-000090460000}"/>
    <cellStyle name="표준 55 13" xfId="17323" xr:uid="{00000000-0005-0000-0000-000091460000}"/>
    <cellStyle name="표준 55 14" xfId="17324" xr:uid="{00000000-0005-0000-0000-000092460000}"/>
    <cellStyle name="표준 55 2" xfId="17325" xr:uid="{00000000-0005-0000-0000-000093460000}"/>
    <cellStyle name="표준 55 3" xfId="17326" xr:uid="{00000000-0005-0000-0000-000094460000}"/>
    <cellStyle name="표준 55 4" xfId="17327" xr:uid="{00000000-0005-0000-0000-000095460000}"/>
    <cellStyle name="표준 55 5" xfId="17328" xr:uid="{00000000-0005-0000-0000-000096460000}"/>
    <cellStyle name="표준 55 6" xfId="17329" xr:uid="{00000000-0005-0000-0000-000097460000}"/>
    <cellStyle name="표준 55 7" xfId="17330" xr:uid="{00000000-0005-0000-0000-000098460000}"/>
    <cellStyle name="표준 55 8" xfId="17331" xr:uid="{00000000-0005-0000-0000-000099460000}"/>
    <cellStyle name="표준 55 9" xfId="17332" xr:uid="{00000000-0005-0000-0000-00009A460000}"/>
    <cellStyle name="표준 56 2" xfId="17333" xr:uid="{00000000-0005-0000-0000-00009B460000}"/>
    <cellStyle name="표준 57 10" xfId="17334" xr:uid="{00000000-0005-0000-0000-00009C460000}"/>
    <cellStyle name="표준 57 11" xfId="17335" xr:uid="{00000000-0005-0000-0000-00009D460000}"/>
    <cellStyle name="표준 57 12" xfId="17336" xr:uid="{00000000-0005-0000-0000-00009E460000}"/>
    <cellStyle name="표준 57 13" xfId="17337" xr:uid="{00000000-0005-0000-0000-00009F460000}"/>
    <cellStyle name="표준 57 14" xfId="17338" xr:uid="{00000000-0005-0000-0000-0000A0460000}"/>
    <cellStyle name="표준 57 2" xfId="17339" xr:uid="{00000000-0005-0000-0000-0000A1460000}"/>
    <cellStyle name="표준 57 3" xfId="17340" xr:uid="{00000000-0005-0000-0000-0000A2460000}"/>
    <cellStyle name="표준 57 4" xfId="17341" xr:uid="{00000000-0005-0000-0000-0000A3460000}"/>
    <cellStyle name="표준 57 5" xfId="17342" xr:uid="{00000000-0005-0000-0000-0000A4460000}"/>
    <cellStyle name="표준 57 6" xfId="17343" xr:uid="{00000000-0005-0000-0000-0000A5460000}"/>
    <cellStyle name="표준 57 7" xfId="17344" xr:uid="{00000000-0005-0000-0000-0000A6460000}"/>
    <cellStyle name="표준 57 8" xfId="17345" xr:uid="{00000000-0005-0000-0000-0000A7460000}"/>
    <cellStyle name="표준 57 9" xfId="17346" xr:uid="{00000000-0005-0000-0000-0000A8460000}"/>
    <cellStyle name="표준 58 2" xfId="17347" xr:uid="{00000000-0005-0000-0000-0000A9460000}"/>
    <cellStyle name="표준 59 2" xfId="17348" xr:uid="{00000000-0005-0000-0000-0000AA460000}"/>
    <cellStyle name="표준 6" xfId="17349" xr:uid="{00000000-0005-0000-0000-0000AB460000}"/>
    <cellStyle name="표준 6 10" xfId="17350" xr:uid="{00000000-0005-0000-0000-0000AC460000}"/>
    <cellStyle name="표준 6 10 2" xfId="17351" xr:uid="{00000000-0005-0000-0000-0000AD460000}"/>
    <cellStyle name="표준 6 10 3" xfId="17352" xr:uid="{00000000-0005-0000-0000-0000AE460000}"/>
    <cellStyle name="표준 6 10 4" xfId="17353" xr:uid="{00000000-0005-0000-0000-0000AF460000}"/>
    <cellStyle name="표준 6 11" xfId="17354" xr:uid="{00000000-0005-0000-0000-0000B0460000}"/>
    <cellStyle name="표준 6 12" xfId="17355" xr:uid="{00000000-0005-0000-0000-0000B1460000}"/>
    <cellStyle name="표준 6 13" xfId="17356" xr:uid="{00000000-0005-0000-0000-0000B2460000}"/>
    <cellStyle name="표준 6 14" xfId="17357" xr:uid="{00000000-0005-0000-0000-0000B3460000}"/>
    <cellStyle name="표준 6 15" xfId="17358" xr:uid="{00000000-0005-0000-0000-0000B4460000}"/>
    <cellStyle name="표준 6 16" xfId="17359" xr:uid="{00000000-0005-0000-0000-0000B5460000}"/>
    <cellStyle name="표준 6 17" xfId="17360" xr:uid="{00000000-0005-0000-0000-0000B6460000}"/>
    <cellStyle name="표준 6 18" xfId="17361" xr:uid="{00000000-0005-0000-0000-0000B7460000}"/>
    <cellStyle name="표준 6 19" xfId="17362" xr:uid="{00000000-0005-0000-0000-0000B8460000}"/>
    <cellStyle name="표준 6 2" xfId="17363" xr:uid="{00000000-0005-0000-0000-0000B9460000}"/>
    <cellStyle name="표준 6 2 10" xfId="17364" xr:uid="{00000000-0005-0000-0000-0000BA460000}"/>
    <cellStyle name="표준 6 2 11" xfId="17365" xr:uid="{00000000-0005-0000-0000-0000BB460000}"/>
    <cellStyle name="표준 6 2 12" xfId="17366" xr:uid="{00000000-0005-0000-0000-0000BC460000}"/>
    <cellStyle name="표준 6 2 13" xfId="17367" xr:uid="{00000000-0005-0000-0000-0000BD460000}"/>
    <cellStyle name="표준 6 2 14" xfId="17368" xr:uid="{00000000-0005-0000-0000-0000BE460000}"/>
    <cellStyle name="표준 6 2 15" xfId="17369" xr:uid="{00000000-0005-0000-0000-0000BF460000}"/>
    <cellStyle name="표준 6 2 16" xfId="17370" xr:uid="{00000000-0005-0000-0000-0000C0460000}"/>
    <cellStyle name="표준 6 2 17" xfId="17371" xr:uid="{00000000-0005-0000-0000-0000C1460000}"/>
    <cellStyle name="표준 6 2 18" xfId="17372" xr:uid="{00000000-0005-0000-0000-0000C2460000}"/>
    <cellStyle name="표준 6 2 19" xfId="17373" xr:uid="{00000000-0005-0000-0000-0000C3460000}"/>
    <cellStyle name="표준 6 2 2" xfId="17374" xr:uid="{00000000-0005-0000-0000-0000C4460000}"/>
    <cellStyle name="표준 6 2 2 10" xfId="17375" xr:uid="{00000000-0005-0000-0000-0000C5460000}"/>
    <cellStyle name="표준 6 2 2 11" xfId="17376" xr:uid="{00000000-0005-0000-0000-0000C6460000}"/>
    <cellStyle name="표준 6 2 2 12" xfId="17377" xr:uid="{00000000-0005-0000-0000-0000C7460000}"/>
    <cellStyle name="표준 6 2 2 13" xfId="17378" xr:uid="{00000000-0005-0000-0000-0000C8460000}"/>
    <cellStyle name="표준 6 2 2 14" xfId="17379" xr:uid="{00000000-0005-0000-0000-0000C9460000}"/>
    <cellStyle name="표준 6 2 2 15" xfId="17380" xr:uid="{00000000-0005-0000-0000-0000CA460000}"/>
    <cellStyle name="표준 6 2 2 16" xfId="17381" xr:uid="{00000000-0005-0000-0000-0000CB460000}"/>
    <cellStyle name="표준 6 2 2 17" xfId="17382" xr:uid="{00000000-0005-0000-0000-0000CC460000}"/>
    <cellStyle name="표준 6 2 2 18" xfId="17383" xr:uid="{00000000-0005-0000-0000-0000CD460000}"/>
    <cellStyle name="표준 6 2 2 19" xfId="17384" xr:uid="{00000000-0005-0000-0000-0000CE460000}"/>
    <cellStyle name="표준 6 2 2 2" xfId="17385" xr:uid="{00000000-0005-0000-0000-0000CF460000}"/>
    <cellStyle name="표준 6 2 2 2 10" xfId="17386" xr:uid="{00000000-0005-0000-0000-0000D0460000}"/>
    <cellStyle name="표준 6 2 2 2 11" xfId="17387" xr:uid="{00000000-0005-0000-0000-0000D1460000}"/>
    <cellStyle name="표준 6 2 2 2 12" xfId="17388" xr:uid="{00000000-0005-0000-0000-0000D2460000}"/>
    <cellStyle name="표준 6 2 2 2 13" xfId="17389" xr:uid="{00000000-0005-0000-0000-0000D3460000}"/>
    <cellStyle name="표준 6 2 2 2 14" xfId="17390" xr:uid="{00000000-0005-0000-0000-0000D4460000}"/>
    <cellStyle name="표준 6 2 2 2 15" xfId="17391" xr:uid="{00000000-0005-0000-0000-0000D5460000}"/>
    <cellStyle name="표준 6 2 2 2 16" xfId="17392" xr:uid="{00000000-0005-0000-0000-0000D6460000}"/>
    <cellStyle name="표준 6 2 2 2 17" xfId="17393" xr:uid="{00000000-0005-0000-0000-0000D7460000}"/>
    <cellStyle name="표준 6 2 2 2 18" xfId="17394" xr:uid="{00000000-0005-0000-0000-0000D8460000}"/>
    <cellStyle name="표준 6 2 2 2 19" xfId="17395" xr:uid="{00000000-0005-0000-0000-0000D9460000}"/>
    <cellStyle name="표준 6 2 2 2 2" xfId="17396" xr:uid="{00000000-0005-0000-0000-0000DA460000}"/>
    <cellStyle name="표준 6 2 2 2 2 10" xfId="17397" xr:uid="{00000000-0005-0000-0000-0000DB460000}"/>
    <cellStyle name="표준 6 2 2 2 2 11" xfId="17398" xr:uid="{00000000-0005-0000-0000-0000DC460000}"/>
    <cellStyle name="표준 6 2 2 2 2 12" xfId="17399" xr:uid="{00000000-0005-0000-0000-0000DD460000}"/>
    <cellStyle name="표준 6 2 2 2 2 13" xfId="17400" xr:uid="{00000000-0005-0000-0000-0000DE460000}"/>
    <cellStyle name="표준 6 2 2 2 2 14" xfId="17401" xr:uid="{00000000-0005-0000-0000-0000DF460000}"/>
    <cellStyle name="표준 6 2 2 2 2 15" xfId="17402" xr:uid="{00000000-0005-0000-0000-0000E0460000}"/>
    <cellStyle name="표준 6 2 2 2 2 16" xfId="17403" xr:uid="{00000000-0005-0000-0000-0000E1460000}"/>
    <cellStyle name="표준 6 2 2 2 2 17" xfId="17404" xr:uid="{00000000-0005-0000-0000-0000E2460000}"/>
    <cellStyle name="표준 6 2 2 2 2 18" xfId="17405" xr:uid="{00000000-0005-0000-0000-0000E3460000}"/>
    <cellStyle name="표준 6 2 2 2 2 19" xfId="17406" xr:uid="{00000000-0005-0000-0000-0000E4460000}"/>
    <cellStyle name="표준 6 2 2 2 2 2" xfId="17407" xr:uid="{00000000-0005-0000-0000-0000E5460000}"/>
    <cellStyle name="표준 6 2 2 2 2 2 10" xfId="17408" xr:uid="{00000000-0005-0000-0000-0000E6460000}"/>
    <cellStyle name="표준 6 2 2 2 2 2 11" xfId="17409" xr:uid="{00000000-0005-0000-0000-0000E7460000}"/>
    <cellStyle name="표준 6 2 2 2 2 2 12" xfId="17410" xr:uid="{00000000-0005-0000-0000-0000E8460000}"/>
    <cellStyle name="표준 6 2 2 2 2 2 13" xfId="17411" xr:uid="{00000000-0005-0000-0000-0000E9460000}"/>
    <cellStyle name="표준 6 2 2 2 2 2 14" xfId="17412" xr:uid="{00000000-0005-0000-0000-0000EA460000}"/>
    <cellStyle name="표준 6 2 2 2 2 2 15" xfId="17413" xr:uid="{00000000-0005-0000-0000-0000EB460000}"/>
    <cellStyle name="표준 6 2 2 2 2 2 16" xfId="17414" xr:uid="{00000000-0005-0000-0000-0000EC460000}"/>
    <cellStyle name="표준 6 2 2 2 2 2 17" xfId="17415" xr:uid="{00000000-0005-0000-0000-0000ED460000}"/>
    <cellStyle name="표준 6 2 2 2 2 2 18" xfId="17416" xr:uid="{00000000-0005-0000-0000-0000EE460000}"/>
    <cellStyle name="표준 6 2 2 2 2 2 19" xfId="17417" xr:uid="{00000000-0005-0000-0000-0000EF460000}"/>
    <cellStyle name="표준 6 2 2 2 2 2 2" xfId="17418" xr:uid="{00000000-0005-0000-0000-0000F0460000}"/>
    <cellStyle name="표준 6 2 2 2 2 2 2 10" xfId="17419" xr:uid="{00000000-0005-0000-0000-0000F1460000}"/>
    <cellStyle name="표준 6 2 2 2 2 2 2 11" xfId="17420" xr:uid="{00000000-0005-0000-0000-0000F2460000}"/>
    <cellStyle name="표준 6 2 2 2 2 2 2 12" xfId="17421" xr:uid="{00000000-0005-0000-0000-0000F3460000}"/>
    <cellStyle name="표준 6 2 2 2 2 2 2 13" xfId="17422" xr:uid="{00000000-0005-0000-0000-0000F4460000}"/>
    <cellStyle name="표준 6 2 2 2 2 2 2 14" xfId="17423" xr:uid="{00000000-0005-0000-0000-0000F5460000}"/>
    <cellStyle name="표준 6 2 2 2 2 2 2 15" xfId="17424" xr:uid="{00000000-0005-0000-0000-0000F6460000}"/>
    <cellStyle name="표준 6 2 2 2 2 2 2 16" xfId="17425" xr:uid="{00000000-0005-0000-0000-0000F7460000}"/>
    <cellStyle name="표준 6 2 2 2 2 2 2 17" xfId="17426" xr:uid="{00000000-0005-0000-0000-0000F8460000}"/>
    <cellStyle name="표준 6 2 2 2 2 2 2 18" xfId="17427" xr:uid="{00000000-0005-0000-0000-0000F9460000}"/>
    <cellStyle name="표준 6 2 2 2 2 2 2 19" xfId="17428" xr:uid="{00000000-0005-0000-0000-0000FA460000}"/>
    <cellStyle name="표준 6 2 2 2 2 2 2 2" xfId="17429" xr:uid="{00000000-0005-0000-0000-0000FB460000}"/>
    <cellStyle name="표준 6 2 2 2 2 2 2 20" xfId="17430" xr:uid="{00000000-0005-0000-0000-0000FC460000}"/>
    <cellStyle name="표준 6 2 2 2 2 2 2 21" xfId="17431" xr:uid="{00000000-0005-0000-0000-0000FD460000}"/>
    <cellStyle name="표준 6 2 2 2 2 2 2 22" xfId="17432" xr:uid="{00000000-0005-0000-0000-0000FE460000}"/>
    <cellStyle name="표준 6 2 2 2 2 2 2 3" xfId="17433" xr:uid="{00000000-0005-0000-0000-0000FF460000}"/>
    <cellStyle name="표준 6 2 2 2 2 2 2 4" xfId="17434" xr:uid="{00000000-0005-0000-0000-000000470000}"/>
    <cellStyle name="표준 6 2 2 2 2 2 2 5" xfId="17435" xr:uid="{00000000-0005-0000-0000-000001470000}"/>
    <cellStyle name="표준 6 2 2 2 2 2 2 6" xfId="17436" xr:uid="{00000000-0005-0000-0000-000002470000}"/>
    <cellStyle name="표준 6 2 2 2 2 2 2 7" xfId="17437" xr:uid="{00000000-0005-0000-0000-000003470000}"/>
    <cellStyle name="표준 6 2 2 2 2 2 2 8" xfId="17438" xr:uid="{00000000-0005-0000-0000-000004470000}"/>
    <cellStyle name="표준 6 2 2 2 2 2 2 9" xfId="17439" xr:uid="{00000000-0005-0000-0000-000005470000}"/>
    <cellStyle name="표준 6 2 2 2 2 2 20" xfId="17440" xr:uid="{00000000-0005-0000-0000-000006470000}"/>
    <cellStyle name="표준 6 2 2 2 2 2 21" xfId="17441" xr:uid="{00000000-0005-0000-0000-000007470000}"/>
    <cellStyle name="표준 6 2 2 2 2 2 22" xfId="17442" xr:uid="{00000000-0005-0000-0000-000008470000}"/>
    <cellStyle name="표준 6 2 2 2 2 2 23" xfId="17443" xr:uid="{00000000-0005-0000-0000-000009470000}"/>
    <cellStyle name="표준 6 2 2 2 2 2 3" xfId="17444" xr:uid="{00000000-0005-0000-0000-00000A470000}"/>
    <cellStyle name="표준 6 2 2 2 2 2 4" xfId="17445" xr:uid="{00000000-0005-0000-0000-00000B470000}"/>
    <cellStyle name="표준 6 2 2 2 2 2 5" xfId="17446" xr:uid="{00000000-0005-0000-0000-00000C470000}"/>
    <cellStyle name="표준 6 2 2 2 2 2 6" xfId="17447" xr:uid="{00000000-0005-0000-0000-00000D470000}"/>
    <cellStyle name="표준 6 2 2 2 2 2 7" xfId="17448" xr:uid="{00000000-0005-0000-0000-00000E470000}"/>
    <cellStyle name="표준 6 2 2 2 2 2 8" xfId="17449" xr:uid="{00000000-0005-0000-0000-00000F470000}"/>
    <cellStyle name="표준 6 2 2 2 2 2 9" xfId="17450" xr:uid="{00000000-0005-0000-0000-000010470000}"/>
    <cellStyle name="표준 6 2 2 2 2 20" xfId="17451" xr:uid="{00000000-0005-0000-0000-000011470000}"/>
    <cellStyle name="표준 6 2 2 2 2 21" xfId="17452" xr:uid="{00000000-0005-0000-0000-000012470000}"/>
    <cellStyle name="표준 6 2 2 2 2 22" xfId="17453" xr:uid="{00000000-0005-0000-0000-000013470000}"/>
    <cellStyle name="표준 6 2 2 2 2 23" xfId="17454" xr:uid="{00000000-0005-0000-0000-000014470000}"/>
    <cellStyle name="표준 6 2 2 2 2 3" xfId="17455" xr:uid="{00000000-0005-0000-0000-000015470000}"/>
    <cellStyle name="표준 6 2 2 2 2 4" xfId="17456" xr:uid="{00000000-0005-0000-0000-000016470000}"/>
    <cellStyle name="표준 6 2 2 2 2 5" xfId="17457" xr:uid="{00000000-0005-0000-0000-000017470000}"/>
    <cellStyle name="표준 6 2 2 2 2 6" xfId="17458" xr:uid="{00000000-0005-0000-0000-000018470000}"/>
    <cellStyle name="표준 6 2 2 2 2 7" xfId="17459" xr:uid="{00000000-0005-0000-0000-000019470000}"/>
    <cellStyle name="표준 6 2 2 2 2 8" xfId="17460" xr:uid="{00000000-0005-0000-0000-00001A470000}"/>
    <cellStyle name="표준 6 2 2 2 2 9" xfId="17461" xr:uid="{00000000-0005-0000-0000-00001B470000}"/>
    <cellStyle name="표준 6 2 2 2 20" xfId="17462" xr:uid="{00000000-0005-0000-0000-00001C470000}"/>
    <cellStyle name="표준 6 2 2 2 21" xfId="17463" xr:uid="{00000000-0005-0000-0000-00001D470000}"/>
    <cellStyle name="표준 6 2 2 2 22" xfId="17464" xr:uid="{00000000-0005-0000-0000-00001E470000}"/>
    <cellStyle name="표준 6 2 2 2 23" xfId="17465" xr:uid="{00000000-0005-0000-0000-00001F470000}"/>
    <cellStyle name="표준 6 2 2 2 24" xfId="17466" xr:uid="{00000000-0005-0000-0000-000020470000}"/>
    <cellStyle name="표준 6 2 2 2 25" xfId="17467" xr:uid="{00000000-0005-0000-0000-000021470000}"/>
    <cellStyle name="표준 6 2 2 2 26" xfId="17468" xr:uid="{00000000-0005-0000-0000-000022470000}"/>
    <cellStyle name="표준 6 2 2 2 3" xfId="17469" xr:uid="{00000000-0005-0000-0000-000023470000}"/>
    <cellStyle name="표준 6 2 2 2 4" xfId="17470" xr:uid="{00000000-0005-0000-0000-000024470000}"/>
    <cellStyle name="표준 6 2 2 2 5" xfId="17471" xr:uid="{00000000-0005-0000-0000-000025470000}"/>
    <cellStyle name="표준 6 2 2 2 6" xfId="17472" xr:uid="{00000000-0005-0000-0000-000026470000}"/>
    <cellStyle name="표준 6 2 2 2 7" xfId="17473" xr:uid="{00000000-0005-0000-0000-000027470000}"/>
    <cellStyle name="표준 6 2 2 2 8" xfId="17474" xr:uid="{00000000-0005-0000-0000-000028470000}"/>
    <cellStyle name="표준 6 2 2 2 9" xfId="17475" xr:uid="{00000000-0005-0000-0000-000029470000}"/>
    <cellStyle name="표준 6 2 2 20" xfId="17476" xr:uid="{00000000-0005-0000-0000-00002A470000}"/>
    <cellStyle name="표준 6 2 2 21" xfId="17477" xr:uid="{00000000-0005-0000-0000-00002B470000}"/>
    <cellStyle name="표준 6 2 2 22" xfId="17478" xr:uid="{00000000-0005-0000-0000-00002C470000}"/>
    <cellStyle name="표준 6 2 2 23" xfId="17479" xr:uid="{00000000-0005-0000-0000-00002D470000}"/>
    <cellStyle name="표준 6 2 2 24" xfId="17480" xr:uid="{00000000-0005-0000-0000-00002E470000}"/>
    <cellStyle name="표준 6 2 2 25" xfId="17481" xr:uid="{00000000-0005-0000-0000-00002F470000}"/>
    <cellStyle name="표준 6 2 2 26" xfId="17482" xr:uid="{00000000-0005-0000-0000-000030470000}"/>
    <cellStyle name="표준 6 2 2 27" xfId="17483" xr:uid="{00000000-0005-0000-0000-000031470000}"/>
    <cellStyle name="표준 6 2 2 28" xfId="17484" xr:uid="{00000000-0005-0000-0000-000032470000}"/>
    <cellStyle name="표준 6 2 2 29" xfId="17485" xr:uid="{00000000-0005-0000-0000-000033470000}"/>
    <cellStyle name="표준 6 2 2 3" xfId="17486" xr:uid="{00000000-0005-0000-0000-000034470000}"/>
    <cellStyle name="표준 6 2 2 30" xfId="17487" xr:uid="{00000000-0005-0000-0000-000035470000}"/>
    <cellStyle name="표준 6 2 2 31" xfId="17488" xr:uid="{00000000-0005-0000-0000-000036470000}"/>
    <cellStyle name="표준 6 2 2 32" xfId="17489" xr:uid="{00000000-0005-0000-0000-000037470000}"/>
    <cellStyle name="표준 6 2 2 33" xfId="17490" xr:uid="{00000000-0005-0000-0000-000038470000}"/>
    <cellStyle name="표준 6 2 2 34" xfId="17491" xr:uid="{00000000-0005-0000-0000-000039470000}"/>
    <cellStyle name="표준 6 2 2 35" xfId="17492" xr:uid="{00000000-0005-0000-0000-00003A470000}"/>
    <cellStyle name="표준 6 2 2 36" xfId="17493" xr:uid="{00000000-0005-0000-0000-00003B470000}"/>
    <cellStyle name="표준 6 2 2 37" xfId="17494" xr:uid="{00000000-0005-0000-0000-00003C470000}"/>
    <cellStyle name="표준 6 2 2 38" xfId="17495" xr:uid="{00000000-0005-0000-0000-00003D470000}"/>
    <cellStyle name="표준 6 2 2 39" xfId="17496" xr:uid="{00000000-0005-0000-0000-00003E470000}"/>
    <cellStyle name="표준 6 2 2 4" xfId="17497" xr:uid="{00000000-0005-0000-0000-00003F470000}"/>
    <cellStyle name="표준 6 2 2 40" xfId="17498" xr:uid="{00000000-0005-0000-0000-000040470000}"/>
    <cellStyle name="표준 6 2 2 41" xfId="17499" xr:uid="{00000000-0005-0000-0000-000041470000}"/>
    <cellStyle name="표준 6 2 2 42" xfId="17500" xr:uid="{00000000-0005-0000-0000-000042470000}"/>
    <cellStyle name="표준 6 2 2 43" xfId="17501" xr:uid="{00000000-0005-0000-0000-000043470000}"/>
    <cellStyle name="표준 6 2 2 44" xfId="17502" xr:uid="{00000000-0005-0000-0000-000044470000}"/>
    <cellStyle name="표준 6 2 2 45" xfId="17503" xr:uid="{00000000-0005-0000-0000-000045470000}"/>
    <cellStyle name="표준 6 2 2 46" xfId="17504" xr:uid="{00000000-0005-0000-0000-000046470000}"/>
    <cellStyle name="표준 6 2 2 47" xfId="17505" xr:uid="{00000000-0005-0000-0000-000047470000}"/>
    <cellStyle name="표준 6 2 2 5" xfId="17506" xr:uid="{00000000-0005-0000-0000-000048470000}"/>
    <cellStyle name="표준 6 2 2 6" xfId="17507" xr:uid="{00000000-0005-0000-0000-000049470000}"/>
    <cellStyle name="표준 6 2 2 7" xfId="17508" xr:uid="{00000000-0005-0000-0000-00004A470000}"/>
    <cellStyle name="표준 6 2 2 8" xfId="17509" xr:uid="{00000000-0005-0000-0000-00004B470000}"/>
    <cellStyle name="표준 6 2 2 9" xfId="17510" xr:uid="{00000000-0005-0000-0000-00004C470000}"/>
    <cellStyle name="표준 6 2 20" xfId="17511" xr:uid="{00000000-0005-0000-0000-00004D470000}"/>
    <cellStyle name="표준 6 2 21" xfId="17512" xr:uid="{00000000-0005-0000-0000-00004E470000}"/>
    <cellStyle name="표준 6 2 22" xfId="17513" xr:uid="{00000000-0005-0000-0000-00004F470000}"/>
    <cellStyle name="표준 6 2 23" xfId="17514" xr:uid="{00000000-0005-0000-0000-000050470000}"/>
    <cellStyle name="표준 6 2 24" xfId="17515" xr:uid="{00000000-0005-0000-0000-000051470000}"/>
    <cellStyle name="표준 6 2 25" xfId="17516" xr:uid="{00000000-0005-0000-0000-000052470000}"/>
    <cellStyle name="표준 6 2 26" xfId="17517" xr:uid="{00000000-0005-0000-0000-000053470000}"/>
    <cellStyle name="표준 6 2 27" xfId="17518" xr:uid="{00000000-0005-0000-0000-000054470000}"/>
    <cellStyle name="표준 6 2 28" xfId="17519" xr:uid="{00000000-0005-0000-0000-000055470000}"/>
    <cellStyle name="표준 6 2 29" xfId="17520" xr:uid="{00000000-0005-0000-0000-000056470000}"/>
    <cellStyle name="표준 6 2 3" xfId="17521" xr:uid="{00000000-0005-0000-0000-000057470000}"/>
    <cellStyle name="표준 6 2 3 2" xfId="17522" xr:uid="{00000000-0005-0000-0000-000058470000}"/>
    <cellStyle name="표준 6 2 3 3" xfId="17523" xr:uid="{00000000-0005-0000-0000-000059470000}"/>
    <cellStyle name="표준 6 2 3 4" xfId="17524" xr:uid="{00000000-0005-0000-0000-00005A470000}"/>
    <cellStyle name="표준 6 2 30" xfId="17525" xr:uid="{00000000-0005-0000-0000-00005B470000}"/>
    <cellStyle name="표준 6 2 31" xfId="17526" xr:uid="{00000000-0005-0000-0000-00005C470000}"/>
    <cellStyle name="표준 6 2 32" xfId="17527" xr:uid="{00000000-0005-0000-0000-00005D470000}"/>
    <cellStyle name="표준 6 2 33" xfId="17528" xr:uid="{00000000-0005-0000-0000-00005E470000}"/>
    <cellStyle name="표준 6 2 34" xfId="17529" xr:uid="{00000000-0005-0000-0000-00005F470000}"/>
    <cellStyle name="표준 6 2 35" xfId="17530" xr:uid="{00000000-0005-0000-0000-000060470000}"/>
    <cellStyle name="표준 6 2 36" xfId="17531" xr:uid="{00000000-0005-0000-0000-000061470000}"/>
    <cellStyle name="표준 6 2 37" xfId="17532" xr:uid="{00000000-0005-0000-0000-000062470000}"/>
    <cellStyle name="표준 6 2 38" xfId="17533" xr:uid="{00000000-0005-0000-0000-000063470000}"/>
    <cellStyle name="표준 6 2 39" xfId="17534" xr:uid="{00000000-0005-0000-0000-000064470000}"/>
    <cellStyle name="표준 6 2 4" xfId="17535" xr:uid="{00000000-0005-0000-0000-000065470000}"/>
    <cellStyle name="표준 6 2 40" xfId="17536" xr:uid="{00000000-0005-0000-0000-000066470000}"/>
    <cellStyle name="표준 6 2 41" xfId="17537" xr:uid="{00000000-0005-0000-0000-000067470000}"/>
    <cellStyle name="표준 6 2 42" xfId="17538" xr:uid="{00000000-0005-0000-0000-000068470000}"/>
    <cellStyle name="표준 6 2 43" xfId="17539" xr:uid="{00000000-0005-0000-0000-000069470000}"/>
    <cellStyle name="표준 6 2 44" xfId="17540" xr:uid="{00000000-0005-0000-0000-00006A470000}"/>
    <cellStyle name="표준 6 2 45" xfId="17541" xr:uid="{00000000-0005-0000-0000-00006B470000}"/>
    <cellStyle name="표준 6 2 46" xfId="17542" xr:uid="{00000000-0005-0000-0000-00006C470000}"/>
    <cellStyle name="표준 6 2 47" xfId="17543" xr:uid="{00000000-0005-0000-0000-00006D470000}"/>
    <cellStyle name="표준 6 2 48" xfId="17544" xr:uid="{00000000-0005-0000-0000-00006E470000}"/>
    <cellStyle name="표준 6 2 49" xfId="17545" xr:uid="{00000000-0005-0000-0000-00006F470000}"/>
    <cellStyle name="표준 6 2 5" xfId="17546" xr:uid="{00000000-0005-0000-0000-000070470000}"/>
    <cellStyle name="표준 6 2 50" xfId="17547" xr:uid="{00000000-0005-0000-0000-000071470000}"/>
    <cellStyle name="표준 6 2 6" xfId="17548" xr:uid="{00000000-0005-0000-0000-000072470000}"/>
    <cellStyle name="표준 6 2 7" xfId="17549" xr:uid="{00000000-0005-0000-0000-000073470000}"/>
    <cellStyle name="표준 6 2 8" xfId="17550" xr:uid="{00000000-0005-0000-0000-000074470000}"/>
    <cellStyle name="표준 6 2 9" xfId="17551" xr:uid="{00000000-0005-0000-0000-000075470000}"/>
    <cellStyle name="표준 6 20" xfId="17552" xr:uid="{00000000-0005-0000-0000-000076470000}"/>
    <cellStyle name="표준 6 21" xfId="17553" xr:uid="{00000000-0005-0000-0000-000077470000}"/>
    <cellStyle name="표준 6 22" xfId="17554" xr:uid="{00000000-0005-0000-0000-000078470000}"/>
    <cellStyle name="표준 6 23" xfId="17555" xr:uid="{00000000-0005-0000-0000-000079470000}"/>
    <cellStyle name="표준 6 24" xfId="17556" xr:uid="{00000000-0005-0000-0000-00007A470000}"/>
    <cellStyle name="표준 6 25" xfId="17557" xr:uid="{00000000-0005-0000-0000-00007B470000}"/>
    <cellStyle name="표준 6 26" xfId="17558" xr:uid="{00000000-0005-0000-0000-00007C470000}"/>
    <cellStyle name="표준 6 27" xfId="17559" xr:uid="{00000000-0005-0000-0000-00007D470000}"/>
    <cellStyle name="표준 6 28" xfId="17560" xr:uid="{00000000-0005-0000-0000-00007E470000}"/>
    <cellStyle name="표준 6 29" xfId="17561" xr:uid="{00000000-0005-0000-0000-00007F470000}"/>
    <cellStyle name="표준 6 3" xfId="17562" xr:uid="{00000000-0005-0000-0000-000080470000}"/>
    <cellStyle name="표준 6 3 10" xfId="17563" xr:uid="{00000000-0005-0000-0000-000081470000}"/>
    <cellStyle name="표준 6 3 11" xfId="17564" xr:uid="{00000000-0005-0000-0000-000082470000}"/>
    <cellStyle name="표준 6 3 12" xfId="17565" xr:uid="{00000000-0005-0000-0000-000083470000}"/>
    <cellStyle name="표준 6 3 13" xfId="17566" xr:uid="{00000000-0005-0000-0000-000084470000}"/>
    <cellStyle name="표준 6 3 14" xfId="17567" xr:uid="{00000000-0005-0000-0000-000085470000}"/>
    <cellStyle name="표준 6 3 15" xfId="17568" xr:uid="{00000000-0005-0000-0000-000086470000}"/>
    <cellStyle name="표준 6 3 16" xfId="17569" xr:uid="{00000000-0005-0000-0000-000087470000}"/>
    <cellStyle name="표준 6 3 17" xfId="17570" xr:uid="{00000000-0005-0000-0000-000088470000}"/>
    <cellStyle name="표준 6 3 18" xfId="17571" xr:uid="{00000000-0005-0000-0000-000089470000}"/>
    <cellStyle name="표준 6 3 19" xfId="17572" xr:uid="{00000000-0005-0000-0000-00008A470000}"/>
    <cellStyle name="표준 6 3 2" xfId="17573" xr:uid="{00000000-0005-0000-0000-00008B470000}"/>
    <cellStyle name="표준 6 3 20" xfId="17574" xr:uid="{00000000-0005-0000-0000-00008C470000}"/>
    <cellStyle name="표준 6 3 21" xfId="17575" xr:uid="{00000000-0005-0000-0000-00008D470000}"/>
    <cellStyle name="표준 6 3 22" xfId="17576" xr:uid="{00000000-0005-0000-0000-00008E470000}"/>
    <cellStyle name="표준 6 3 23" xfId="17577" xr:uid="{00000000-0005-0000-0000-00008F470000}"/>
    <cellStyle name="표준 6 3 3" xfId="17578" xr:uid="{00000000-0005-0000-0000-000090470000}"/>
    <cellStyle name="표준 6 3 4" xfId="17579" xr:uid="{00000000-0005-0000-0000-000091470000}"/>
    <cellStyle name="표준 6 3 5" xfId="17580" xr:uid="{00000000-0005-0000-0000-000092470000}"/>
    <cellStyle name="표준 6 3 6" xfId="17581" xr:uid="{00000000-0005-0000-0000-000093470000}"/>
    <cellStyle name="표준 6 3 7" xfId="17582" xr:uid="{00000000-0005-0000-0000-000094470000}"/>
    <cellStyle name="표준 6 3 8" xfId="17583" xr:uid="{00000000-0005-0000-0000-000095470000}"/>
    <cellStyle name="표준 6 3 9" xfId="17584" xr:uid="{00000000-0005-0000-0000-000096470000}"/>
    <cellStyle name="표준 6 30" xfId="17585" xr:uid="{00000000-0005-0000-0000-000097470000}"/>
    <cellStyle name="표준 6 31" xfId="17586" xr:uid="{00000000-0005-0000-0000-000098470000}"/>
    <cellStyle name="표준 6 31 2" xfId="17587" xr:uid="{00000000-0005-0000-0000-000099470000}"/>
    <cellStyle name="표준 6 32" xfId="17588" xr:uid="{00000000-0005-0000-0000-00009A470000}"/>
    <cellStyle name="표준 6 33" xfId="17589" xr:uid="{00000000-0005-0000-0000-00009B470000}"/>
    <cellStyle name="표준 6 34" xfId="17590" xr:uid="{00000000-0005-0000-0000-00009C470000}"/>
    <cellStyle name="표준 6 35" xfId="17591" xr:uid="{00000000-0005-0000-0000-00009D470000}"/>
    <cellStyle name="표준 6 36" xfId="17592" xr:uid="{00000000-0005-0000-0000-00009E470000}"/>
    <cellStyle name="표준 6 37" xfId="17593" xr:uid="{00000000-0005-0000-0000-00009F470000}"/>
    <cellStyle name="표준 6 38" xfId="17594" xr:uid="{00000000-0005-0000-0000-0000A0470000}"/>
    <cellStyle name="표준 6 39" xfId="17595" xr:uid="{00000000-0005-0000-0000-0000A1470000}"/>
    <cellStyle name="표준 6 4" xfId="17596" xr:uid="{00000000-0005-0000-0000-0000A2470000}"/>
    <cellStyle name="표준 6 4 10" xfId="17597" xr:uid="{00000000-0005-0000-0000-0000A3470000}"/>
    <cellStyle name="표준 6 4 11" xfId="17598" xr:uid="{00000000-0005-0000-0000-0000A4470000}"/>
    <cellStyle name="표준 6 4 12" xfId="17599" xr:uid="{00000000-0005-0000-0000-0000A5470000}"/>
    <cellStyle name="표준 6 4 13" xfId="17600" xr:uid="{00000000-0005-0000-0000-0000A6470000}"/>
    <cellStyle name="표준 6 4 14" xfId="17601" xr:uid="{00000000-0005-0000-0000-0000A7470000}"/>
    <cellStyle name="표준 6 4 15" xfId="17602" xr:uid="{00000000-0005-0000-0000-0000A8470000}"/>
    <cellStyle name="표준 6 4 16" xfId="17603" xr:uid="{00000000-0005-0000-0000-0000A9470000}"/>
    <cellStyle name="표준 6 4 17" xfId="17604" xr:uid="{00000000-0005-0000-0000-0000AA470000}"/>
    <cellStyle name="표준 6 4 18" xfId="17605" xr:uid="{00000000-0005-0000-0000-0000AB470000}"/>
    <cellStyle name="표준 6 4 19" xfId="17606" xr:uid="{00000000-0005-0000-0000-0000AC470000}"/>
    <cellStyle name="표준 6 4 2" xfId="17607" xr:uid="{00000000-0005-0000-0000-0000AD470000}"/>
    <cellStyle name="표준 6 4 20" xfId="17608" xr:uid="{00000000-0005-0000-0000-0000AE470000}"/>
    <cellStyle name="표준 6 4 21" xfId="17609" xr:uid="{00000000-0005-0000-0000-0000AF470000}"/>
    <cellStyle name="표준 6 4 22" xfId="17610" xr:uid="{00000000-0005-0000-0000-0000B0470000}"/>
    <cellStyle name="표준 6 4 23" xfId="17611" xr:uid="{00000000-0005-0000-0000-0000B1470000}"/>
    <cellStyle name="표준 6 4 3" xfId="17612" xr:uid="{00000000-0005-0000-0000-0000B2470000}"/>
    <cellStyle name="표준 6 4 4" xfId="17613" xr:uid="{00000000-0005-0000-0000-0000B3470000}"/>
    <cellStyle name="표준 6 4 5" xfId="17614" xr:uid="{00000000-0005-0000-0000-0000B4470000}"/>
    <cellStyle name="표준 6 4 6" xfId="17615" xr:uid="{00000000-0005-0000-0000-0000B5470000}"/>
    <cellStyle name="표준 6 4 7" xfId="17616" xr:uid="{00000000-0005-0000-0000-0000B6470000}"/>
    <cellStyle name="표준 6 4 8" xfId="17617" xr:uid="{00000000-0005-0000-0000-0000B7470000}"/>
    <cellStyle name="표준 6 4 9" xfId="17618" xr:uid="{00000000-0005-0000-0000-0000B8470000}"/>
    <cellStyle name="표준 6 40" xfId="17619" xr:uid="{00000000-0005-0000-0000-0000B9470000}"/>
    <cellStyle name="표준 6 41" xfId="17620" xr:uid="{00000000-0005-0000-0000-0000BA470000}"/>
    <cellStyle name="표준 6 42" xfId="17621" xr:uid="{00000000-0005-0000-0000-0000BB470000}"/>
    <cellStyle name="표준 6 43" xfId="17622" xr:uid="{00000000-0005-0000-0000-0000BC470000}"/>
    <cellStyle name="표준 6 44" xfId="17623" xr:uid="{00000000-0005-0000-0000-0000BD470000}"/>
    <cellStyle name="표준 6 45" xfId="17624" xr:uid="{00000000-0005-0000-0000-0000BE470000}"/>
    <cellStyle name="표준 6 46" xfId="17625" xr:uid="{00000000-0005-0000-0000-0000BF470000}"/>
    <cellStyle name="표준 6 47" xfId="17626" xr:uid="{00000000-0005-0000-0000-0000C0470000}"/>
    <cellStyle name="표준 6 48" xfId="17627" xr:uid="{00000000-0005-0000-0000-0000C1470000}"/>
    <cellStyle name="표준 6 49" xfId="17628" xr:uid="{00000000-0005-0000-0000-0000C2470000}"/>
    <cellStyle name="표준 6 5" xfId="17629" xr:uid="{00000000-0005-0000-0000-0000C3470000}"/>
    <cellStyle name="표준 6 5 10" xfId="17630" xr:uid="{00000000-0005-0000-0000-0000C4470000}"/>
    <cellStyle name="표준 6 5 11" xfId="17631" xr:uid="{00000000-0005-0000-0000-0000C5470000}"/>
    <cellStyle name="표준 6 5 12" xfId="17632" xr:uid="{00000000-0005-0000-0000-0000C6470000}"/>
    <cellStyle name="표준 6 5 13" xfId="17633" xr:uid="{00000000-0005-0000-0000-0000C7470000}"/>
    <cellStyle name="표준 6 5 14" xfId="17634" xr:uid="{00000000-0005-0000-0000-0000C8470000}"/>
    <cellStyle name="표준 6 5 15" xfId="17635" xr:uid="{00000000-0005-0000-0000-0000C9470000}"/>
    <cellStyle name="표준 6 5 16" xfId="17636" xr:uid="{00000000-0005-0000-0000-0000CA470000}"/>
    <cellStyle name="표준 6 5 17" xfId="17637" xr:uid="{00000000-0005-0000-0000-0000CB470000}"/>
    <cellStyle name="표준 6 5 18" xfId="17638" xr:uid="{00000000-0005-0000-0000-0000CC470000}"/>
    <cellStyle name="표준 6 5 19" xfId="17639" xr:uid="{00000000-0005-0000-0000-0000CD470000}"/>
    <cellStyle name="표준 6 5 2" xfId="17640" xr:uid="{00000000-0005-0000-0000-0000CE470000}"/>
    <cellStyle name="표준 6 5 20" xfId="17641" xr:uid="{00000000-0005-0000-0000-0000CF470000}"/>
    <cellStyle name="표준 6 5 21" xfId="17642" xr:uid="{00000000-0005-0000-0000-0000D0470000}"/>
    <cellStyle name="표준 6 5 22" xfId="17643" xr:uid="{00000000-0005-0000-0000-0000D1470000}"/>
    <cellStyle name="표준 6 5 23" xfId="17644" xr:uid="{00000000-0005-0000-0000-0000D2470000}"/>
    <cellStyle name="표준 6 5 3" xfId="17645" xr:uid="{00000000-0005-0000-0000-0000D3470000}"/>
    <cellStyle name="표준 6 5 4" xfId="17646" xr:uid="{00000000-0005-0000-0000-0000D4470000}"/>
    <cellStyle name="표준 6 5 5" xfId="17647" xr:uid="{00000000-0005-0000-0000-0000D5470000}"/>
    <cellStyle name="표준 6 5 6" xfId="17648" xr:uid="{00000000-0005-0000-0000-0000D6470000}"/>
    <cellStyle name="표준 6 5 7" xfId="17649" xr:uid="{00000000-0005-0000-0000-0000D7470000}"/>
    <cellStyle name="표준 6 5 8" xfId="17650" xr:uid="{00000000-0005-0000-0000-0000D8470000}"/>
    <cellStyle name="표준 6 5 9" xfId="17651" xr:uid="{00000000-0005-0000-0000-0000D9470000}"/>
    <cellStyle name="표준 6 50" xfId="17652" xr:uid="{00000000-0005-0000-0000-0000DA470000}"/>
    <cellStyle name="표준 6 51" xfId="17653" xr:uid="{00000000-0005-0000-0000-0000DB470000}"/>
    <cellStyle name="표준 6 52" xfId="17654" xr:uid="{00000000-0005-0000-0000-0000DC470000}"/>
    <cellStyle name="표준 6 53" xfId="17655" xr:uid="{00000000-0005-0000-0000-0000DD470000}"/>
    <cellStyle name="표준 6 54" xfId="17656" xr:uid="{00000000-0005-0000-0000-0000DE470000}"/>
    <cellStyle name="표준 6 55" xfId="17657" xr:uid="{00000000-0005-0000-0000-0000DF470000}"/>
    <cellStyle name="표준 6 56" xfId="17658" xr:uid="{00000000-0005-0000-0000-0000E0470000}"/>
    <cellStyle name="표준 6 57" xfId="17659" xr:uid="{00000000-0005-0000-0000-0000E1470000}"/>
    <cellStyle name="표준 6 58" xfId="17660" xr:uid="{00000000-0005-0000-0000-0000E2470000}"/>
    <cellStyle name="표준 6 59" xfId="17661" xr:uid="{00000000-0005-0000-0000-0000E3470000}"/>
    <cellStyle name="표준 6 6" xfId="17662" xr:uid="{00000000-0005-0000-0000-0000E4470000}"/>
    <cellStyle name="표준 6 6 2" xfId="17663" xr:uid="{00000000-0005-0000-0000-0000E5470000}"/>
    <cellStyle name="표준 6 60" xfId="17664" xr:uid="{00000000-0005-0000-0000-0000E6470000}"/>
    <cellStyle name="표준 6 61" xfId="17665" xr:uid="{00000000-0005-0000-0000-0000E7470000}"/>
    <cellStyle name="표준 6 7" xfId="17666" xr:uid="{00000000-0005-0000-0000-0000E8470000}"/>
    <cellStyle name="표준 6 7 2" xfId="17667" xr:uid="{00000000-0005-0000-0000-0000E9470000}"/>
    <cellStyle name="표준 6 8" xfId="17668" xr:uid="{00000000-0005-0000-0000-0000EA470000}"/>
    <cellStyle name="표준 6 9" xfId="17669" xr:uid="{00000000-0005-0000-0000-0000EB470000}"/>
    <cellStyle name="표준 61 10" xfId="17670" xr:uid="{00000000-0005-0000-0000-0000EC470000}"/>
    <cellStyle name="표준 61 11" xfId="17671" xr:uid="{00000000-0005-0000-0000-0000ED470000}"/>
    <cellStyle name="표준 61 12" xfId="17672" xr:uid="{00000000-0005-0000-0000-0000EE470000}"/>
    <cellStyle name="표준 61 13" xfId="17673" xr:uid="{00000000-0005-0000-0000-0000EF470000}"/>
    <cellStyle name="표준 61 14" xfId="17674" xr:uid="{00000000-0005-0000-0000-0000F0470000}"/>
    <cellStyle name="표준 61 15" xfId="17675" xr:uid="{00000000-0005-0000-0000-0000F1470000}"/>
    <cellStyle name="표준 61 16" xfId="17676" xr:uid="{00000000-0005-0000-0000-0000F2470000}"/>
    <cellStyle name="표준 61 17" xfId="17677" xr:uid="{00000000-0005-0000-0000-0000F3470000}"/>
    <cellStyle name="표준 61 18" xfId="17678" xr:uid="{00000000-0005-0000-0000-0000F4470000}"/>
    <cellStyle name="표준 61 19" xfId="17679" xr:uid="{00000000-0005-0000-0000-0000F5470000}"/>
    <cellStyle name="표준 61 2" xfId="17680" xr:uid="{00000000-0005-0000-0000-0000F6470000}"/>
    <cellStyle name="표준 61 20" xfId="17681" xr:uid="{00000000-0005-0000-0000-0000F7470000}"/>
    <cellStyle name="표준 61 21" xfId="17682" xr:uid="{00000000-0005-0000-0000-0000F8470000}"/>
    <cellStyle name="표준 61 22" xfId="17683" xr:uid="{00000000-0005-0000-0000-0000F9470000}"/>
    <cellStyle name="표준 61 3" xfId="17684" xr:uid="{00000000-0005-0000-0000-0000FA470000}"/>
    <cellStyle name="표준 61 4" xfId="17685" xr:uid="{00000000-0005-0000-0000-0000FB470000}"/>
    <cellStyle name="표준 61 5" xfId="17686" xr:uid="{00000000-0005-0000-0000-0000FC470000}"/>
    <cellStyle name="표준 61 6" xfId="17687" xr:uid="{00000000-0005-0000-0000-0000FD470000}"/>
    <cellStyle name="표준 61 7" xfId="17688" xr:uid="{00000000-0005-0000-0000-0000FE470000}"/>
    <cellStyle name="표준 61 8" xfId="17689" xr:uid="{00000000-0005-0000-0000-0000FF470000}"/>
    <cellStyle name="표준 61 9" xfId="17690" xr:uid="{00000000-0005-0000-0000-000000480000}"/>
    <cellStyle name="표준 7" xfId="17691" xr:uid="{00000000-0005-0000-0000-000001480000}"/>
    <cellStyle name="표준 7 10" xfId="17692" xr:uid="{00000000-0005-0000-0000-000002480000}"/>
    <cellStyle name="표준 7 10 2" xfId="17693" xr:uid="{00000000-0005-0000-0000-000003480000}"/>
    <cellStyle name="표준 7 10 3" xfId="17694" xr:uid="{00000000-0005-0000-0000-000004480000}"/>
    <cellStyle name="표준 7 10 4" xfId="17695" xr:uid="{00000000-0005-0000-0000-000005480000}"/>
    <cellStyle name="표준 7 11" xfId="17696" xr:uid="{00000000-0005-0000-0000-000006480000}"/>
    <cellStyle name="표준 7 12" xfId="17697" xr:uid="{00000000-0005-0000-0000-000007480000}"/>
    <cellStyle name="표준 7 13" xfId="17698" xr:uid="{00000000-0005-0000-0000-000008480000}"/>
    <cellStyle name="표준 7 14" xfId="17699" xr:uid="{00000000-0005-0000-0000-000009480000}"/>
    <cellStyle name="표준 7 15" xfId="17700" xr:uid="{00000000-0005-0000-0000-00000A480000}"/>
    <cellStyle name="표준 7 16" xfId="17701" xr:uid="{00000000-0005-0000-0000-00000B480000}"/>
    <cellStyle name="표준 7 17" xfId="17702" xr:uid="{00000000-0005-0000-0000-00000C480000}"/>
    <cellStyle name="표준 7 18" xfId="17703" xr:uid="{00000000-0005-0000-0000-00000D480000}"/>
    <cellStyle name="표준 7 19" xfId="17704" xr:uid="{00000000-0005-0000-0000-00000E480000}"/>
    <cellStyle name="표준 7 2" xfId="17705" xr:uid="{00000000-0005-0000-0000-00000F480000}"/>
    <cellStyle name="표준 7 2 10" xfId="17706" xr:uid="{00000000-0005-0000-0000-000010480000}"/>
    <cellStyle name="표준 7 2 11" xfId="17707" xr:uid="{00000000-0005-0000-0000-000011480000}"/>
    <cellStyle name="표준 7 2 12" xfId="17708" xr:uid="{00000000-0005-0000-0000-000012480000}"/>
    <cellStyle name="표준 7 2 13" xfId="17709" xr:uid="{00000000-0005-0000-0000-000013480000}"/>
    <cellStyle name="표준 7 2 14" xfId="17710" xr:uid="{00000000-0005-0000-0000-000014480000}"/>
    <cellStyle name="표준 7 2 15" xfId="17711" xr:uid="{00000000-0005-0000-0000-000015480000}"/>
    <cellStyle name="표준 7 2 16" xfId="17712" xr:uid="{00000000-0005-0000-0000-000016480000}"/>
    <cellStyle name="표준 7 2 17" xfId="17713" xr:uid="{00000000-0005-0000-0000-000017480000}"/>
    <cellStyle name="표준 7 2 18" xfId="17714" xr:uid="{00000000-0005-0000-0000-000018480000}"/>
    <cellStyle name="표준 7 2 19" xfId="17715" xr:uid="{00000000-0005-0000-0000-000019480000}"/>
    <cellStyle name="표준 7 2 2" xfId="17716" xr:uid="{00000000-0005-0000-0000-00001A480000}"/>
    <cellStyle name="표준 7 2 2 10" xfId="17717" xr:uid="{00000000-0005-0000-0000-00001B480000}"/>
    <cellStyle name="표준 7 2 2 11" xfId="17718" xr:uid="{00000000-0005-0000-0000-00001C480000}"/>
    <cellStyle name="표준 7 2 2 12" xfId="17719" xr:uid="{00000000-0005-0000-0000-00001D480000}"/>
    <cellStyle name="표준 7 2 2 13" xfId="17720" xr:uid="{00000000-0005-0000-0000-00001E480000}"/>
    <cellStyle name="표준 7 2 2 14" xfId="17721" xr:uid="{00000000-0005-0000-0000-00001F480000}"/>
    <cellStyle name="표준 7 2 2 15" xfId="17722" xr:uid="{00000000-0005-0000-0000-000020480000}"/>
    <cellStyle name="표준 7 2 2 16" xfId="17723" xr:uid="{00000000-0005-0000-0000-000021480000}"/>
    <cellStyle name="표준 7 2 2 17" xfId="17724" xr:uid="{00000000-0005-0000-0000-000022480000}"/>
    <cellStyle name="표준 7 2 2 18" xfId="17725" xr:uid="{00000000-0005-0000-0000-000023480000}"/>
    <cellStyle name="표준 7 2 2 19" xfId="17726" xr:uid="{00000000-0005-0000-0000-000024480000}"/>
    <cellStyle name="표준 7 2 2 2" xfId="17727" xr:uid="{00000000-0005-0000-0000-000025480000}"/>
    <cellStyle name="표준 7 2 2 2 10" xfId="17728" xr:uid="{00000000-0005-0000-0000-000026480000}"/>
    <cellStyle name="표준 7 2 2 2 11" xfId="17729" xr:uid="{00000000-0005-0000-0000-000027480000}"/>
    <cellStyle name="표준 7 2 2 2 12" xfId="17730" xr:uid="{00000000-0005-0000-0000-000028480000}"/>
    <cellStyle name="표준 7 2 2 2 13" xfId="17731" xr:uid="{00000000-0005-0000-0000-000029480000}"/>
    <cellStyle name="표준 7 2 2 2 14" xfId="17732" xr:uid="{00000000-0005-0000-0000-00002A480000}"/>
    <cellStyle name="표준 7 2 2 2 15" xfId="17733" xr:uid="{00000000-0005-0000-0000-00002B480000}"/>
    <cellStyle name="표준 7 2 2 2 16" xfId="17734" xr:uid="{00000000-0005-0000-0000-00002C480000}"/>
    <cellStyle name="표준 7 2 2 2 17" xfId="17735" xr:uid="{00000000-0005-0000-0000-00002D480000}"/>
    <cellStyle name="표준 7 2 2 2 18" xfId="17736" xr:uid="{00000000-0005-0000-0000-00002E480000}"/>
    <cellStyle name="표준 7 2 2 2 19" xfId="17737" xr:uid="{00000000-0005-0000-0000-00002F480000}"/>
    <cellStyle name="표준 7 2 2 2 2" xfId="17738" xr:uid="{00000000-0005-0000-0000-000030480000}"/>
    <cellStyle name="표준 7 2 2 2 2 10" xfId="17739" xr:uid="{00000000-0005-0000-0000-000031480000}"/>
    <cellStyle name="표준 7 2 2 2 2 11" xfId="17740" xr:uid="{00000000-0005-0000-0000-000032480000}"/>
    <cellStyle name="표준 7 2 2 2 2 12" xfId="17741" xr:uid="{00000000-0005-0000-0000-000033480000}"/>
    <cellStyle name="표준 7 2 2 2 2 13" xfId="17742" xr:uid="{00000000-0005-0000-0000-000034480000}"/>
    <cellStyle name="표준 7 2 2 2 2 14" xfId="17743" xr:uid="{00000000-0005-0000-0000-000035480000}"/>
    <cellStyle name="표준 7 2 2 2 2 15" xfId="17744" xr:uid="{00000000-0005-0000-0000-000036480000}"/>
    <cellStyle name="표준 7 2 2 2 2 16" xfId="17745" xr:uid="{00000000-0005-0000-0000-000037480000}"/>
    <cellStyle name="표준 7 2 2 2 2 17" xfId="17746" xr:uid="{00000000-0005-0000-0000-000038480000}"/>
    <cellStyle name="표준 7 2 2 2 2 18" xfId="17747" xr:uid="{00000000-0005-0000-0000-000039480000}"/>
    <cellStyle name="표준 7 2 2 2 2 19" xfId="17748" xr:uid="{00000000-0005-0000-0000-00003A480000}"/>
    <cellStyle name="표준 7 2 2 2 2 2" xfId="17749" xr:uid="{00000000-0005-0000-0000-00003B480000}"/>
    <cellStyle name="표준 7 2 2 2 2 2 10" xfId="17750" xr:uid="{00000000-0005-0000-0000-00003C480000}"/>
    <cellStyle name="표준 7 2 2 2 2 2 11" xfId="17751" xr:uid="{00000000-0005-0000-0000-00003D480000}"/>
    <cellStyle name="표준 7 2 2 2 2 2 12" xfId="17752" xr:uid="{00000000-0005-0000-0000-00003E480000}"/>
    <cellStyle name="표준 7 2 2 2 2 2 13" xfId="17753" xr:uid="{00000000-0005-0000-0000-00003F480000}"/>
    <cellStyle name="표준 7 2 2 2 2 2 14" xfId="17754" xr:uid="{00000000-0005-0000-0000-000040480000}"/>
    <cellStyle name="표준 7 2 2 2 2 2 15" xfId="17755" xr:uid="{00000000-0005-0000-0000-000041480000}"/>
    <cellStyle name="표준 7 2 2 2 2 2 16" xfId="17756" xr:uid="{00000000-0005-0000-0000-000042480000}"/>
    <cellStyle name="표준 7 2 2 2 2 2 17" xfId="17757" xr:uid="{00000000-0005-0000-0000-000043480000}"/>
    <cellStyle name="표준 7 2 2 2 2 2 18" xfId="17758" xr:uid="{00000000-0005-0000-0000-000044480000}"/>
    <cellStyle name="표준 7 2 2 2 2 2 19" xfId="17759" xr:uid="{00000000-0005-0000-0000-000045480000}"/>
    <cellStyle name="표준 7 2 2 2 2 2 2" xfId="17760" xr:uid="{00000000-0005-0000-0000-000046480000}"/>
    <cellStyle name="표준 7 2 2 2 2 2 2 10" xfId="17761" xr:uid="{00000000-0005-0000-0000-000047480000}"/>
    <cellStyle name="표준 7 2 2 2 2 2 2 11" xfId="17762" xr:uid="{00000000-0005-0000-0000-000048480000}"/>
    <cellStyle name="표준 7 2 2 2 2 2 2 12" xfId="17763" xr:uid="{00000000-0005-0000-0000-000049480000}"/>
    <cellStyle name="표준 7 2 2 2 2 2 2 13" xfId="17764" xr:uid="{00000000-0005-0000-0000-00004A480000}"/>
    <cellStyle name="표준 7 2 2 2 2 2 2 14" xfId="17765" xr:uid="{00000000-0005-0000-0000-00004B480000}"/>
    <cellStyle name="표준 7 2 2 2 2 2 2 15" xfId="17766" xr:uid="{00000000-0005-0000-0000-00004C480000}"/>
    <cellStyle name="표준 7 2 2 2 2 2 2 16" xfId="17767" xr:uid="{00000000-0005-0000-0000-00004D480000}"/>
    <cellStyle name="표준 7 2 2 2 2 2 2 17" xfId="17768" xr:uid="{00000000-0005-0000-0000-00004E480000}"/>
    <cellStyle name="표준 7 2 2 2 2 2 2 18" xfId="17769" xr:uid="{00000000-0005-0000-0000-00004F480000}"/>
    <cellStyle name="표준 7 2 2 2 2 2 2 19" xfId="17770" xr:uid="{00000000-0005-0000-0000-000050480000}"/>
    <cellStyle name="표준 7 2 2 2 2 2 2 2" xfId="17771" xr:uid="{00000000-0005-0000-0000-000051480000}"/>
    <cellStyle name="표준 7 2 2 2 2 2 2 20" xfId="17772" xr:uid="{00000000-0005-0000-0000-000052480000}"/>
    <cellStyle name="표준 7 2 2 2 2 2 2 21" xfId="17773" xr:uid="{00000000-0005-0000-0000-000053480000}"/>
    <cellStyle name="표준 7 2 2 2 2 2 2 22" xfId="17774" xr:uid="{00000000-0005-0000-0000-000054480000}"/>
    <cellStyle name="표준 7 2 2 2 2 2 2 3" xfId="17775" xr:uid="{00000000-0005-0000-0000-000055480000}"/>
    <cellStyle name="표준 7 2 2 2 2 2 2 4" xfId="17776" xr:uid="{00000000-0005-0000-0000-000056480000}"/>
    <cellStyle name="표준 7 2 2 2 2 2 2 5" xfId="17777" xr:uid="{00000000-0005-0000-0000-000057480000}"/>
    <cellStyle name="표준 7 2 2 2 2 2 2 6" xfId="17778" xr:uid="{00000000-0005-0000-0000-000058480000}"/>
    <cellStyle name="표준 7 2 2 2 2 2 2 7" xfId="17779" xr:uid="{00000000-0005-0000-0000-000059480000}"/>
    <cellStyle name="표준 7 2 2 2 2 2 2 8" xfId="17780" xr:uid="{00000000-0005-0000-0000-00005A480000}"/>
    <cellStyle name="표준 7 2 2 2 2 2 2 9" xfId="17781" xr:uid="{00000000-0005-0000-0000-00005B480000}"/>
    <cellStyle name="표준 7 2 2 2 2 2 20" xfId="17782" xr:uid="{00000000-0005-0000-0000-00005C480000}"/>
    <cellStyle name="표준 7 2 2 2 2 2 21" xfId="17783" xr:uid="{00000000-0005-0000-0000-00005D480000}"/>
    <cellStyle name="표준 7 2 2 2 2 2 22" xfId="17784" xr:uid="{00000000-0005-0000-0000-00005E480000}"/>
    <cellStyle name="표준 7 2 2 2 2 2 23" xfId="17785" xr:uid="{00000000-0005-0000-0000-00005F480000}"/>
    <cellStyle name="표준 7 2 2 2 2 2 3" xfId="17786" xr:uid="{00000000-0005-0000-0000-000060480000}"/>
    <cellStyle name="표준 7 2 2 2 2 2 4" xfId="17787" xr:uid="{00000000-0005-0000-0000-000061480000}"/>
    <cellStyle name="표준 7 2 2 2 2 2 5" xfId="17788" xr:uid="{00000000-0005-0000-0000-000062480000}"/>
    <cellStyle name="표준 7 2 2 2 2 2 6" xfId="17789" xr:uid="{00000000-0005-0000-0000-000063480000}"/>
    <cellStyle name="표준 7 2 2 2 2 2 7" xfId="17790" xr:uid="{00000000-0005-0000-0000-000064480000}"/>
    <cellStyle name="표준 7 2 2 2 2 2 8" xfId="17791" xr:uid="{00000000-0005-0000-0000-000065480000}"/>
    <cellStyle name="표준 7 2 2 2 2 2 9" xfId="17792" xr:uid="{00000000-0005-0000-0000-000066480000}"/>
    <cellStyle name="표준 7 2 2 2 2 20" xfId="17793" xr:uid="{00000000-0005-0000-0000-000067480000}"/>
    <cellStyle name="표준 7 2 2 2 2 21" xfId="17794" xr:uid="{00000000-0005-0000-0000-000068480000}"/>
    <cellStyle name="표준 7 2 2 2 2 22" xfId="17795" xr:uid="{00000000-0005-0000-0000-000069480000}"/>
    <cellStyle name="표준 7 2 2 2 2 23" xfId="17796" xr:uid="{00000000-0005-0000-0000-00006A480000}"/>
    <cellStyle name="표준 7 2 2 2 2 3" xfId="17797" xr:uid="{00000000-0005-0000-0000-00006B480000}"/>
    <cellStyle name="표준 7 2 2 2 2 4" xfId="17798" xr:uid="{00000000-0005-0000-0000-00006C480000}"/>
    <cellStyle name="표준 7 2 2 2 2 5" xfId="17799" xr:uid="{00000000-0005-0000-0000-00006D480000}"/>
    <cellStyle name="표준 7 2 2 2 2 6" xfId="17800" xr:uid="{00000000-0005-0000-0000-00006E480000}"/>
    <cellStyle name="표준 7 2 2 2 2 7" xfId="17801" xr:uid="{00000000-0005-0000-0000-00006F480000}"/>
    <cellStyle name="표준 7 2 2 2 2 8" xfId="17802" xr:uid="{00000000-0005-0000-0000-000070480000}"/>
    <cellStyle name="표준 7 2 2 2 2 9" xfId="17803" xr:uid="{00000000-0005-0000-0000-000071480000}"/>
    <cellStyle name="표준 7 2 2 2 20" xfId="17804" xr:uid="{00000000-0005-0000-0000-000072480000}"/>
    <cellStyle name="표준 7 2 2 2 21" xfId="17805" xr:uid="{00000000-0005-0000-0000-000073480000}"/>
    <cellStyle name="표준 7 2 2 2 22" xfId="17806" xr:uid="{00000000-0005-0000-0000-000074480000}"/>
    <cellStyle name="표준 7 2 2 2 23" xfId="17807" xr:uid="{00000000-0005-0000-0000-000075480000}"/>
    <cellStyle name="표준 7 2 2 2 24" xfId="17808" xr:uid="{00000000-0005-0000-0000-000076480000}"/>
    <cellStyle name="표준 7 2 2 2 25" xfId="17809" xr:uid="{00000000-0005-0000-0000-000077480000}"/>
    <cellStyle name="표준 7 2 2 2 26" xfId="17810" xr:uid="{00000000-0005-0000-0000-000078480000}"/>
    <cellStyle name="표준 7 2 2 2 3" xfId="17811" xr:uid="{00000000-0005-0000-0000-000079480000}"/>
    <cellStyle name="표준 7 2 2 2 4" xfId="17812" xr:uid="{00000000-0005-0000-0000-00007A480000}"/>
    <cellStyle name="표준 7 2 2 2 5" xfId="17813" xr:uid="{00000000-0005-0000-0000-00007B480000}"/>
    <cellStyle name="표준 7 2 2 2 6" xfId="17814" xr:uid="{00000000-0005-0000-0000-00007C480000}"/>
    <cellStyle name="표준 7 2 2 2 7" xfId="17815" xr:uid="{00000000-0005-0000-0000-00007D480000}"/>
    <cellStyle name="표준 7 2 2 2 8" xfId="17816" xr:uid="{00000000-0005-0000-0000-00007E480000}"/>
    <cellStyle name="표준 7 2 2 2 9" xfId="17817" xr:uid="{00000000-0005-0000-0000-00007F480000}"/>
    <cellStyle name="표준 7 2 2 20" xfId="17818" xr:uid="{00000000-0005-0000-0000-000080480000}"/>
    <cellStyle name="표준 7 2 2 21" xfId="17819" xr:uid="{00000000-0005-0000-0000-000081480000}"/>
    <cellStyle name="표준 7 2 2 22" xfId="17820" xr:uid="{00000000-0005-0000-0000-000082480000}"/>
    <cellStyle name="표준 7 2 2 23" xfId="17821" xr:uid="{00000000-0005-0000-0000-000083480000}"/>
    <cellStyle name="표준 7 2 2 24" xfId="17822" xr:uid="{00000000-0005-0000-0000-000084480000}"/>
    <cellStyle name="표준 7 2 2 25" xfId="17823" xr:uid="{00000000-0005-0000-0000-000085480000}"/>
    <cellStyle name="표준 7 2 2 26" xfId="17824" xr:uid="{00000000-0005-0000-0000-000086480000}"/>
    <cellStyle name="표준 7 2 2 27" xfId="17825" xr:uid="{00000000-0005-0000-0000-000087480000}"/>
    <cellStyle name="표준 7 2 2 28" xfId="17826" xr:uid="{00000000-0005-0000-0000-000088480000}"/>
    <cellStyle name="표준 7 2 2 29" xfId="17827" xr:uid="{00000000-0005-0000-0000-000089480000}"/>
    <cellStyle name="표준 7 2 2 3" xfId="17828" xr:uid="{00000000-0005-0000-0000-00008A480000}"/>
    <cellStyle name="표준 7 2 2 30" xfId="17829" xr:uid="{00000000-0005-0000-0000-00008B480000}"/>
    <cellStyle name="표준 7 2 2 31" xfId="17830" xr:uid="{00000000-0005-0000-0000-00008C480000}"/>
    <cellStyle name="표준 7 2 2 32" xfId="17831" xr:uid="{00000000-0005-0000-0000-00008D480000}"/>
    <cellStyle name="표준 7 2 2 33" xfId="17832" xr:uid="{00000000-0005-0000-0000-00008E480000}"/>
    <cellStyle name="표준 7 2 2 34" xfId="17833" xr:uid="{00000000-0005-0000-0000-00008F480000}"/>
    <cellStyle name="표준 7 2 2 35" xfId="17834" xr:uid="{00000000-0005-0000-0000-000090480000}"/>
    <cellStyle name="표준 7 2 2 36" xfId="17835" xr:uid="{00000000-0005-0000-0000-000091480000}"/>
    <cellStyle name="표준 7 2 2 37" xfId="17836" xr:uid="{00000000-0005-0000-0000-000092480000}"/>
    <cellStyle name="표준 7 2 2 38" xfId="17837" xr:uid="{00000000-0005-0000-0000-000093480000}"/>
    <cellStyle name="표준 7 2 2 39" xfId="17838" xr:uid="{00000000-0005-0000-0000-000094480000}"/>
    <cellStyle name="표준 7 2 2 4" xfId="17839" xr:uid="{00000000-0005-0000-0000-000095480000}"/>
    <cellStyle name="표준 7 2 2 40" xfId="17840" xr:uid="{00000000-0005-0000-0000-000096480000}"/>
    <cellStyle name="표준 7 2 2 41" xfId="17841" xr:uid="{00000000-0005-0000-0000-000097480000}"/>
    <cellStyle name="표준 7 2 2 42" xfId="17842" xr:uid="{00000000-0005-0000-0000-000098480000}"/>
    <cellStyle name="표준 7 2 2 43" xfId="17843" xr:uid="{00000000-0005-0000-0000-000099480000}"/>
    <cellStyle name="표준 7 2 2 44" xfId="17844" xr:uid="{00000000-0005-0000-0000-00009A480000}"/>
    <cellStyle name="표준 7 2 2 45" xfId="17845" xr:uid="{00000000-0005-0000-0000-00009B480000}"/>
    <cellStyle name="표준 7 2 2 46" xfId="17846" xr:uid="{00000000-0005-0000-0000-00009C480000}"/>
    <cellStyle name="표준 7 2 2 47" xfId="17847" xr:uid="{00000000-0005-0000-0000-00009D480000}"/>
    <cellStyle name="표준 7 2 2 5" xfId="17848" xr:uid="{00000000-0005-0000-0000-00009E480000}"/>
    <cellStyle name="표준 7 2 2 6" xfId="17849" xr:uid="{00000000-0005-0000-0000-00009F480000}"/>
    <cellStyle name="표준 7 2 2 7" xfId="17850" xr:uid="{00000000-0005-0000-0000-0000A0480000}"/>
    <cellStyle name="표준 7 2 2 8" xfId="17851" xr:uid="{00000000-0005-0000-0000-0000A1480000}"/>
    <cellStyle name="표준 7 2 2 9" xfId="17852" xr:uid="{00000000-0005-0000-0000-0000A2480000}"/>
    <cellStyle name="표준 7 2 20" xfId="17853" xr:uid="{00000000-0005-0000-0000-0000A3480000}"/>
    <cellStyle name="표준 7 2 21" xfId="17854" xr:uid="{00000000-0005-0000-0000-0000A4480000}"/>
    <cellStyle name="표준 7 2 22" xfId="17855" xr:uid="{00000000-0005-0000-0000-0000A5480000}"/>
    <cellStyle name="표준 7 2 23" xfId="17856" xr:uid="{00000000-0005-0000-0000-0000A6480000}"/>
    <cellStyle name="표준 7 2 24" xfId="17857" xr:uid="{00000000-0005-0000-0000-0000A7480000}"/>
    <cellStyle name="표준 7 2 25" xfId="17858" xr:uid="{00000000-0005-0000-0000-0000A8480000}"/>
    <cellStyle name="표준 7 2 26" xfId="17859" xr:uid="{00000000-0005-0000-0000-0000A9480000}"/>
    <cellStyle name="표준 7 2 27" xfId="17860" xr:uid="{00000000-0005-0000-0000-0000AA480000}"/>
    <cellStyle name="표준 7 2 28" xfId="17861" xr:uid="{00000000-0005-0000-0000-0000AB480000}"/>
    <cellStyle name="표준 7 2 29" xfId="17862" xr:uid="{00000000-0005-0000-0000-0000AC480000}"/>
    <cellStyle name="표준 7 2 3" xfId="17863" xr:uid="{00000000-0005-0000-0000-0000AD480000}"/>
    <cellStyle name="표준 7 2 3 2" xfId="17864" xr:uid="{00000000-0005-0000-0000-0000AE480000}"/>
    <cellStyle name="표준 7 2 3 3" xfId="17865" xr:uid="{00000000-0005-0000-0000-0000AF480000}"/>
    <cellStyle name="표준 7 2 3 4" xfId="17866" xr:uid="{00000000-0005-0000-0000-0000B0480000}"/>
    <cellStyle name="표준 7 2 30" xfId="17867" xr:uid="{00000000-0005-0000-0000-0000B1480000}"/>
    <cellStyle name="표준 7 2 31" xfId="17868" xr:uid="{00000000-0005-0000-0000-0000B2480000}"/>
    <cellStyle name="표준 7 2 32" xfId="17869" xr:uid="{00000000-0005-0000-0000-0000B3480000}"/>
    <cellStyle name="표준 7 2 33" xfId="17870" xr:uid="{00000000-0005-0000-0000-0000B4480000}"/>
    <cellStyle name="표준 7 2 34" xfId="17871" xr:uid="{00000000-0005-0000-0000-0000B5480000}"/>
    <cellStyle name="표준 7 2 35" xfId="17872" xr:uid="{00000000-0005-0000-0000-0000B6480000}"/>
    <cellStyle name="표준 7 2 36" xfId="17873" xr:uid="{00000000-0005-0000-0000-0000B7480000}"/>
    <cellStyle name="표준 7 2 37" xfId="17874" xr:uid="{00000000-0005-0000-0000-0000B8480000}"/>
    <cellStyle name="표준 7 2 38" xfId="17875" xr:uid="{00000000-0005-0000-0000-0000B9480000}"/>
    <cellStyle name="표준 7 2 39" xfId="17876" xr:uid="{00000000-0005-0000-0000-0000BA480000}"/>
    <cellStyle name="표준 7 2 4" xfId="17877" xr:uid="{00000000-0005-0000-0000-0000BB480000}"/>
    <cellStyle name="표준 7 2 40" xfId="17878" xr:uid="{00000000-0005-0000-0000-0000BC480000}"/>
    <cellStyle name="표준 7 2 41" xfId="17879" xr:uid="{00000000-0005-0000-0000-0000BD480000}"/>
    <cellStyle name="표준 7 2 42" xfId="17880" xr:uid="{00000000-0005-0000-0000-0000BE480000}"/>
    <cellStyle name="표준 7 2 43" xfId="17881" xr:uid="{00000000-0005-0000-0000-0000BF480000}"/>
    <cellStyle name="표준 7 2 44" xfId="17882" xr:uid="{00000000-0005-0000-0000-0000C0480000}"/>
    <cellStyle name="표준 7 2 45" xfId="17883" xr:uid="{00000000-0005-0000-0000-0000C1480000}"/>
    <cellStyle name="표준 7 2 46" xfId="17884" xr:uid="{00000000-0005-0000-0000-0000C2480000}"/>
    <cellStyle name="표준 7 2 47" xfId="17885" xr:uid="{00000000-0005-0000-0000-0000C3480000}"/>
    <cellStyle name="표준 7 2 48" xfId="17886" xr:uid="{00000000-0005-0000-0000-0000C4480000}"/>
    <cellStyle name="표준 7 2 49" xfId="17887" xr:uid="{00000000-0005-0000-0000-0000C5480000}"/>
    <cellStyle name="표준 7 2 5" xfId="17888" xr:uid="{00000000-0005-0000-0000-0000C6480000}"/>
    <cellStyle name="표준 7 2 6" xfId="17889" xr:uid="{00000000-0005-0000-0000-0000C7480000}"/>
    <cellStyle name="표준 7 2 7" xfId="17890" xr:uid="{00000000-0005-0000-0000-0000C8480000}"/>
    <cellStyle name="표준 7 2 8" xfId="17891" xr:uid="{00000000-0005-0000-0000-0000C9480000}"/>
    <cellStyle name="표준 7 2 9" xfId="17892" xr:uid="{00000000-0005-0000-0000-0000CA480000}"/>
    <cellStyle name="표준 7 20" xfId="17893" xr:uid="{00000000-0005-0000-0000-0000CB480000}"/>
    <cellStyle name="표준 7 21" xfId="17894" xr:uid="{00000000-0005-0000-0000-0000CC480000}"/>
    <cellStyle name="표준 7 22" xfId="17895" xr:uid="{00000000-0005-0000-0000-0000CD480000}"/>
    <cellStyle name="표준 7 23" xfId="17896" xr:uid="{00000000-0005-0000-0000-0000CE480000}"/>
    <cellStyle name="표준 7 24" xfId="17897" xr:uid="{00000000-0005-0000-0000-0000CF480000}"/>
    <cellStyle name="표준 7 25" xfId="17898" xr:uid="{00000000-0005-0000-0000-0000D0480000}"/>
    <cellStyle name="표준 7 26" xfId="17899" xr:uid="{00000000-0005-0000-0000-0000D1480000}"/>
    <cellStyle name="표준 7 27" xfId="17900" xr:uid="{00000000-0005-0000-0000-0000D2480000}"/>
    <cellStyle name="표준 7 27 2" xfId="17901" xr:uid="{00000000-0005-0000-0000-0000D3480000}"/>
    <cellStyle name="표준 7 28" xfId="17902" xr:uid="{00000000-0005-0000-0000-0000D4480000}"/>
    <cellStyle name="표준 7 29" xfId="17903" xr:uid="{00000000-0005-0000-0000-0000D5480000}"/>
    <cellStyle name="표준 7 3" xfId="17904" xr:uid="{00000000-0005-0000-0000-0000D6480000}"/>
    <cellStyle name="표준 7 3 10" xfId="17905" xr:uid="{00000000-0005-0000-0000-0000D7480000}"/>
    <cellStyle name="표준 7 3 11" xfId="17906" xr:uid="{00000000-0005-0000-0000-0000D8480000}"/>
    <cellStyle name="표준 7 3 12" xfId="17907" xr:uid="{00000000-0005-0000-0000-0000D9480000}"/>
    <cellStyle name="표준 7 3 13" xfId="17908" xr:uid="{00000000-0005-0000-0000-0000DA480000}"/>
    <cellStyle name="표준 7 3 14" xfId="17909" xr:uid="{00000000-0005-0000-0000-0000DB480000}"/>
    <cellStyle name="표준 7 3 15" xfId="17910" xr:uid="{00000000-0005-0000-0000-0000DC480000}"/>
    <cellStyle name="표준 7 3 16" xfId="17911" xr:uid="{00000000-0005-0000-0000-0000DD480000}"/>
    <cellStyle name="표준 7 3 17" xfId="17912" xr:uid="{00000000-0005-0000-0000-0000DE480000}"/>
    <cellStyle name="표준 7 3 18" xfId="17913" xr:uid="{00000000-0005-0000-0000-0000DF480000}"/>
    <cellStyle name="표준 7 3 19" xfId="17914" xr:uid="{00000000-0005-0000-0000-0000E0480000}"/>
    <cellStyle name="표준 7 3 2" xfId="17915" xr:uid="{00000000-0005-0000-0000-0000E1480000}"/>
    <cellStyle name="표준 7 3 20" xfId="17916" xr:uid="{00000000-0005-0000-0000-0000E2480000}"/>
    <cellStyle name="표준 7 3 21" xfId="17917" xr:uid="{00000000-0005-0000-0000-0000E3480000}"/>
    <cellStyle name="표준 7 3 22" xfId="17918" xr:uid="{00000000-0005-0000-0000-0000E4480000}"/>
    <cellStyle name="표준 7 3 3" xfId="17919" xr:uid="{00000000-0005-0000-0000-0000E5480000}"/>
    <cellStyle name="표준 7 3 4" xfId="17920" xr:uid="{00000000-0005-0000-0000-0000E6480000}"/>
    <cellStyle name="표준 7 3 5" xfId="17921" xr:uid="{00000000-0005-0000-0000-0000E7480000}"/>
    <cellStyle name="표준 7 3 6" xfId="17922" xr:uid="{00000000-0005-0000-0000-0000E8480000}"/>
    <cellStyle name="표준 7 3 7" xfId="17923" xr:uid="{00000000-0005-0000-0000-0000E9480000}"/>
    <cellStyle name="표준 7 3 8" xfId="17924" xr:uid="{00000000-0005-0000-0000-0000EA480000}"/>
    <cellStyle name="표준 7 3 9" xfId="17925" xr:uid="{00000000-0005-0000-0000-0000EB480000}"/>
    <cellStyle name="표준 7 30" xfId="17926" xr:uid="{00000000-0005-0000-0000-0000EC480000}"/>
    <cellStyle name="표준 7 31" xfId="17927" xr:uid="{00000000-0005-0000-0000-0000ED480000}"/>
    <cellStyle name="표준 7 32" xfId="17928" xr:uid="{00000000-0005-0000-0000-0000EE480000}"/>
    <cellStyle name="표준 7 33" xfId="17929" xr:uid="{00000000-0005-0000-0000-0000EF480000}"/>
    <cellStyle name="표준 7 34" xfId="17930" xr:uid="{00000000-0005-0000-0000-0000F0480000}"/>
    <cellStyle name="표준 7 35" xfId="17931" xr:uid="{00000000-0005-0000-0000-0000F1480000}"/>
    <cellStyle name="표준 7 36" xfId="17932" xr:uid="{00000000-0005-0000-0000-0000F2480000}"/>
    <cellStyle name="표준 7 37" xfId="17933" xr:uid="{00000000-0005-0000-0000-0000F3480000}"/>
    <cellStyle name="표준 7 38" xfId="17934" xr:uid="{00000000-0005-0000-0000-0000F4480000}"/>
    <cellStyle name="표준 7 39" xfId="17935" xr:uid="{00000000-0005-0000-0000-0000F5480000}"/>
    <cellStyle name="표준 7 4" xfId="17936" xr:uid="{00000000-0005-0000-0000-0000F6480000}"/>
    <cellStyle name="표준 7 4 10" xfId="17937" xr:uid="{00000000-0005-0000-0000-0000F7480000}"/>
    <cellStyle name="표준 7 4 11" xfId="17938" xr:uid="{00000000-0005-0000-0000-0000F8480000}"/>
    <cellStyle name="표준 7 4 12" xfId="17939" xr:uid="{00000000-0005-0000-0000-0000F9480000}"/>
    <cellStyle name="표준 7 4 13" xfId="17940" xr:uid="{00000000-0005-0000-0000-0000FA480000}"/>
    <cellStyle name="표준 7 4 14" xfId="17941" xr:uid="{00000000-0005-0000-0000-0000FB480000}"/>
    <cellStyle name="표준 7 4 15" xfId="17942" xr:uid="{00000000-0005-0000-0000-0000FC480000}"/>
    <cellStyle name="표준 7 4 16" xfId="17943" xr:uid="{00000000-0005-0000-0000-0000FD480000}"/>
    <cellStyle name="표준 7 4 17" xfId="17944" xr:uid="{00000000-0005-0000-0000-0000FE480000}"/>
    <cellStyle name="표준 7 4 18" xfId="17945" xr:uid="{00000000-0005-0000-0000-0000FF480000}"/>
    <cellStyle name="표준 7 4 19" xfId="17946" xr:uid="{00000000-0005-0000-0000-000000490000}"/>
    <cellStyle name="표준 7 4 2" xfId="17947" xr:uid="{00000000-0005-0000-0000-000001490000}"/>
    <cellStyle name="표준 7 4 20" xfId="17948" xr:uid="{00000000-0005-0000-0000-000002490000}"/>
    <cellStyle name="표준 7 4 21" xfId="17949" xr:uid="{00000000-0005-0000-0000-000003490000}"/>
    <cellStyle name="표준 7 4 22" xfId="17950" xr:uid="{00000000-0005-0000-0000-000004490000}"/>
    <cellStyle name="표준 7 4 3" xfId="17951" xr:uid="{00000000-0005-0000-0000-000005490000}"/>
    <cellStyle name="표준 7 4 4" xfId="17952" xr:uid="{00000000-0005-0000-0000-000006490000}"/>
    <cellStyle name="표준 7 4 5" xfId="17953" xr:uid="{00000000-0005-0000-0000-000007490000}"/>
    <cellStyle name="표준 7 4 6" xfId="17954" xr:uid="{00000000-0005-0000-0000-000008490000}"/>
    <cellStyle name="표준 7 4 7" xfId="17955" xr:uid="{00000000-0005-0000-0000-000009490000}"/>
    <cellStyle name="표준 7 4 8" xfId="17956" xr:uid="{00000000-0005-0000-0000-00000A490000}"/>
    <cellStyle name="표준 7 4 9" xfId="17957" xr:uid="{00000000-0005-0000-0000-00000B490000}"/>
    <cellStyle name="표준 7 40" xfId="17958" xr:uid="{00000000-0005-0000-0000-00000C490000}"/>
    <cellStyle name="표준 7 41" xfId="17959" xr:uid="{00000000-0005-0000-0000-00000D490000}"/>
    <cellStyle name="표준 7 42" xfId="17960" xr:uid="{00000000-0005-0000-0000-00000E490000}"/>
    <cellStyle name="표준 7 43" xfId="17961" xr:uid="{00000000-0005-0000-0000-00000F490000}"/>
    <cellStyle name="표준 7 44" xfId="17962" xr:uid="{00000000-0005-0000-0000-000010490000}"/>
    <cellStyle name="표준 7 45" xfId="17963" xr:uid="{00000000-0005-0000-0000-000011490000}"/>
    <cellStyle name="표준 7 46" xfId="17964" xr:uid="{00000000-0005-0000-0000-000012490000}"/>
    <cellStyle name="표준 7 47" xfId="17965" xr:uid="{00000000-0005-0000-0000-000013490000}"/>
    <cellStyle name="표준 7 48" xfId="17966" xr:uid="{00000000-0005-0000-0000-000014490000}"/>
    <cellStyle name="표준 7 49" xfId="17967" xr:uid="{00000000-0005-0000-0000-000015490000}"/>
    <cellStyle name="표준 7 5" xfId="17968" xr:uid="{00000000-0005-0000-0000-000016490000}"/>
    <cellStyle name="표준 7 5 10" xfId="17969" xr:uid="{00000000-0005-0000-0000-000017490000}"/>
    <cellStyle name="표준 7 5 11" xfId="17970" xr:uid="{00000000-0005-0000-0000-000018490000}"/>
    <cellStyle name="표준 7 5 12" xfId="17971" xr:uid="{00000000-0005-0000-0000-000019490000}"/>
    <cellStyle name="표준 7 5 13" xfId="17972" xr:uid="{00000000-0005-0000-0000-00001A490000}"/>
    <cellStyle name="표준 7 5 14" xfId="17973" xr:uid="{00000000-0005-0000-0000-00001B490000}"/>
    <cellStyle name="표준 7 5 15" xfId="17974" xr:uid="{00000000-0005-0000-0000-00001C490000}"/>
    <cellStyle name="표준 7 5 16" xfId="17975" xr:uid="{00000000-0005-0000-0000-00001D490000}"/>
    <cellStyle name="표준 7 5 17" xfId="17976" xr:uid="{00000000-0005-0000-0000-00001E490000}"/>
    <cellStyle name="표준 7 5 18" xfId="17977" xr:uid="{00000000-0005-0000-0000-00001F490000}"/>
    <cellStyle name="표준 7 5 19" xfId="17978" xr:uid="{00000000-0005-0000-0000-000020490000}"/>
    <cellStyle name="표준 7 5 2" xfId="17979" xr:uid="{00000000-0005-0000-0000-000021490000}"/>
    <cellStyle name="표준 7 5 20" xfId="17980" xr:uid="{00000000-0005-0000-0000-000022490000}"/>
    <cellStyle name="표준 7 5 21" xfId="17981" xr:uid="{00000000-0005-0000-0000-000023490000}"/>
    <cellStyle name="표준 7 5 22" xfId="17982" xr:uid="{00000000-0005-0000-0000-000024490000}"/>
    <cellStyle name="표준 7 5 3" xfId="17983" xr:uid="{00000000-0005-0000-0000-000025490000}"/>
    <cellStyle name="표준 7 5 4" xfId="17984" xr:uid="{00000000-0005-0000-0000-000026490000}"/>
    <cellStyle name="표준 7 5 5" xfId="17985" xr:uid="{00000000-0005-0000-0000-000027490000}"/>
    <cellStyle name="표준 7 5 6" xfId="17986" xr:uid="{00000000-0005-0000-0000-000028490000}"/>
    <cellStyle name="표준 7 5 7" xfId="17987" xr:uid="{00000000-0005-0000-0000-000029490000}"/>
    <cellStyle name="표준 7 5 8" xfId="17988" xr:uid="{00000000-0005-0000-0000-00002A490000}"/>
    <cellStyle name="표준 7 5 9" xfId="17989" xr:uid="{00000000-0005-0000-0000-00002B490000}"/>
    <cellStyle name="표준 7 50" xfId="17990" xr:uid="{00000000-0005-0000-0000-00002C490000}"/>
    <cellStyle name="표준 7 51" xfId="17991" xr:uid="{00000000-0005-0000-0000-00002D490000}"/>
    <cellStyle name="표준 7 52" xfId="17992" xr:uid="{00000000-0005-0000-0000-00002E490000}"/>
    <cellStyle name="표준 7 53" xfId="17993" xr:uid="{00000000-0005-0000-0000-00002F490000}"/>
    <cellStyle name="표준 7 54" xfId="17994" xr:uid="{00000000-0005-0000-0000-000030490000}"/>
    <cellStyle name="표준 7 55" xfId="17995" xr:uid="{00000000-0005-0000-0000-000031490000}"/>
    <cellStyle name="표준 7 56" xfId="17996" xr:uid="{00000000-0005-0000-0000-000032490000}"/>
    <cellStyle name="표준 7 57" xfId="17997" xr:uid="{00000000-0005-0000-0000-000033490000}"/>
    <cellStyle name="표준 7 58" xfId="17998" xr:uid="{00000000-0005-0000-0000-000034490000}"/>
    <cellStyle name="표준 7 6" xfId="17999" xr:uid="{00000000-0005-0000-0000-000035490000}"/>
    <cellStyle name="표준 7 7" xfId="18000" xr:uid="{00000000-0005-0000-0000-000036490000}"/>
    <cellStyle name="표준 7 8" xfId="18001" xr:uid="{00000000-0005-0000-0000-000037490000}"/>
    <cellStyle name="표준 7 9" xfId="18002" xr:uid="{00000000-0005-0000-0000-000038490000}"/>
    <cellStyle name="표준 8" xfId="18003" xr:uid="{00000000-0005-0000-0000-000039490000}"/>
    <cellStyle name="표준 8 10" xfId="18004" xr:uid="{00000000-0005-0000-0000-00003A490000}"/>
    <cellStyle name="표준 8 10 2" xfId="18005" xr:uid="{00000000-0005-0000-0000-00003B490000}"/>
    <cellStyle name="표준 8 10 3" xfId="18006" xr:uid="{00000000-0005-0000-0000-00003C490000}"/>
    <cellStyle name="표준 8 10 4" xfId="18007" xr:uid="{00000000-0005-0000-0000-00003D490000}"/>
    <cellStyle name="표준 8 11" xfId="18008" xr:uid="{00000000-0005-0000-0000-00003E490000}"/>
    <cellStyle name="표준 8 12" xfId="18009" xr:uid="{00000000-0005-0000-0000-00003F490000}"/>
    <cellStyle name="표준 8 13" xfId="18010" xr:uid="{00000000-0005-0000-0000-000040490000}"/>
    <cellStyle name="표준 8 14" xfId="18011" xr:uid="{00000000-0005-0000-0000-000041490000}"/>
    <cellStyle name="표준 8 15" xfId="18012" xr:uid="{00000000-0005-0000-0000-000042490000}"/>
    <cellStyle name="표준 8 16" xfId="18013" xr:uid="{00000000-0005-0000-0000-000043490000}"/>
    <cellStyle name="표준 8 17" xfId="18014" xr:uid="{00000000-0005-0000-0000-000044490000}"/>
    <cellStyle name="표준 8 18" xfId="18015" xr:uid="{00000000-0005-0000-0000-000045490000}"/>
    <cellStyle name="표준 8 19" xfId="18016" xr:uid="{00000000-0005-0000-0000-000046490000}"/>
    <cellStyle name="표준 8 2" xfId="18017" xr:uid="{00000000-0005-0000-0000-000047490000}"/>
    <cellStyle name="표준 8 2 10" xfId="18018" xr:uid="{00000000-0005-0000-0000-000048490000}"/>
    <cellStyle name="표준 8 2 11" xfId="18019" xr:uid="{00000000-0005-0000-0000-000049490000}"/>
    <cellStyle name="표준 8 2 12" xfId="18020" xr:uid="{00000000-0005-0000-0000-00004A490000}"/>
    <cellStyle name="표준 8 2 13" xfId="18021" xr:uid="{00000000-0005-0000-0000-00004B490000}"/>
    <cellStyle name="표준 8 2 14" xfId="18022" xr:uid="{00000000-0005-0000-0000-00004C490000}"/>
    <cellStyle name="표준 8 2 15" xfId="18023" xr:uid="{00000000-0005-0000-0000-00004D490000}"/>
    <cellStyle name="표준 8 2 16" xfId="18024" xr:uid="{00000000-0005-0000-0000-00004E490000}"/>
    <cellStyle name="표준 8 2 17" xfId="18025" xr:uid="{00000000-0005-0000-0000-00004F490000}"/>
    <cellStyle name="표준 8 2 18" xfId="18026" xr:uid="{00000000-0005-0000-0000-000050490000}"/>
    <cellStyle name="표준 8 2 19" xfId="18027" xr:uid="{00000000-0005-0000-0000-000051490000}"/>
    <cellStyle name="표준 8 2 2" xfId="18028" xr:uid="{00000000-0005-0000-0000-000052490000}"/>
    <cellStyle name="표준 8 2 2 10" xfId="18029" xr:uid="{00000000-0005-0000-0000-000053490000}"/>
    <cellStyle name="표준 8 2 2 11" xfId="18030" xr:uid="{00000000-0005-0000-0000-000054490000}"/>
    <cellStyle name="표준 8 2 2 12" xfId="18031" xr:uid="{00000000-0005-0000-0000-000055490000}"/>
    <cellStyle name="표준 8 2 2 13" xfId="18032" xr:uid="{00000000-0005-0000-0000-000056490000}"/>
    <cellStyle name="표준 8 2 2 14" xfId="18033" xr:uid="{00000000-0005-0000-0000-000057490000}"/>
    <cellStyle name="표준 8 2 2 15" xfId="18034" xr:uid="{00000000-0005-0000-0000-000058490000}"/>
    <cellStyle name="표준 8 2 2 16" xfId="18035" xr:uid="{00000000-0005-0000-0000-000059490000}"/>
    <cellStyle name="표준 8 2 2 17" xfId="18036" xr:uid="{00000000-0005-0000-0000-00005A490000}"/>
    <cellStyle name="표준 8 2 2 18" xfId="18037" xr:uid="{00000000-0005-0000-0000-00005B490000}"/>
    <cellStyle name="표준 8 2 2 19" xfId="18038" xr:uid="{00000000-0005-0000-0000-00005C490000}"/>
    <cellStyle name="표준 8 2 2 2" xfId="18039" xr:uid="{00000000-0005-0000-0000-00005D490000}"/>
    <cellStyle name="표준 8 2 2 2 2" xfId="18040" xr:uid="{00000000-0005-0000-0000-00005E490000}"/>
    <cellStyle name="표준 8 2 2 2 2 2" xfId="18041" xr:uid="{00000000-0005-0000-0000-00005F490000}"/>
    <cellStyle name="표준 8 2 2 2 2 2 2" xfId="18042" xr:uid="{00000000-0005-0000-0000-000060490000}"/>
    <cellStyle name="표준 8 2 2 2 2 2 3" xfId="18043" xr:uid="{00000000-0005-0000-0000-000061490000}"/>
    <cellStyle name="표준 8 2 2 2 2 3" xfId="18044" xr:uid="{00000000-0005-0000-0000-000062490000}"/>
    <cellStyle name="표준 8 2 2 2 3" xfId="18045" xr:uid="{00000000-0005-0000-0000-000063490000}"/>
    <cellStyle name="표준 8 2 2 2 4" xfId="18046" xr:uid="{00000000-0005-0000-0000-000064490000}"/>
    <cellStyle name="표준 8 2 2 2 5" xfId="18047" xr:uid="{00000000-0005-0000-0000-000065490000}"/>
    <cellStyle name="표준 8 2 2 2 6" xfId="18048" xr:uid="{00000000-0005-0000-0000-000066490000}"/>
    <cellStyle name="표준 8 2 2 20" xfId="18049" xr:uid="{00000000-0005-0000-0000-000067490000}"/>
    <cellStyle name="표준 8 2 2 21" xfId="18050" xr:uid="{00000000-0005-0000-0000-000068490000}"/>
    <cellStyle name="표준 8 2 2 22" xfId="18051" xr:uid="{00000000-0005-0000-0000-000069490000}"/>
    <cellStyle name="표준 8 2 2 23" xfId="18052" xr:uid="{00000000-0005-0000-0000-00006A490000}"/>
    <cellStyle name="표준 8 2 2 24" xfId="18053" xr:uid="{00000000-0005-0000-0000-00006B490000}"/>
    <cellStyle name="표준 8 2 2 25" xfId="18054" xr:uid="{00000000-0005-0000-0000-00006C490000}"/>
    <cellStyle name="표준 8 2 2 26" xfId="18055" xr:uid="{00000000-0005-0000-0000-00006D490000}"/>
    <cellStyle name="표준 8 2 2 27" xfId="18056" xr:uid="{00000000-0005-0000-0000-00006E490000}"/>
    <cellStyle name="표준 8 2 2 3" xfId="18057" xr:uid="{00000000-0005-0000-0000-00006F490000}"/>
    <cellStyle name="표준 8 2 2 4" xfId="18058" xr:uid="{00000000-0005-0000-0000-000070490000}"/>
    <cellStyle name="표준 8 2 2 5" xfId="18059" xr:uid="{00000000-0005-0000-0000-000071490000}"/>
    <cellStyle name="표준 8 2 2 6" xfId="18060" xr:uid="{00000000-0005-0000-0000-000072490000}"/>
    <cellStyle name="표준 8 2 2 7" xfId="18061" xr:uid="{00000000-0005-0000-0000-000073490000}"/>
    <cellStyle name="표준 8 2 2 8" xfId="18062" xr:uid="{00000000-0005-0000-0000-000074490000}"/>
    <cellStyle name="표준 8 2 2 9" xfId="18063" xr:uid="{00000000-0005-0000-0000-000075490000}"/>
    <cellStyle name="표준 8 2 20" xfId="18064" xr:uid="{00000000-0005-0000-0000-000076490000}"/>
    <cellStyle name="표준 8 2 21" xfId="18065" xr:uid="{00000000-0005-0000-0000-000077490000}"/>
    <cellStyle name="표준 8 2 22" xfId="18066" xr:uid="{00000000-0005-0000-0000-000078490000}"/>
    <cellStyle name="표준 8 2 23" xfId="18067" xr:uid="{00000000-0005-0000-0000-000079490000}"/>
    <cellStyle name="표준 8 2 24" xfId="18068" xr:uid="{00000000-0005-0000-0000-00007A490000}"/>
    <cellStyle name="표준 8 2 25" xfId="18069" xr:uid="{00000000-0005-0000-0000-00007B490000}"/>
    <cellStyle name="표준 8 2 26" xfId="18070" xr:uid="{00000000-0005-0000-0000-00007C490000}"/>
    <cellStyle name="표준 8 2 27" xfId="18071" xr:uid="{00000000-0005-0000-0000-00007D490000}"/>
    <cellStyle name="표준 8 2 3" xfId="18072" xr:uid="{00000000-0005-0000-0000-00007E490000}"/>
    <cellStyle name="표준 8 2 3 2" xfId="18073" xr:uid="{00000000-0005-0000-0000-00007F490000}"/>
    <cellStyle name="표준 8 2 3 3" xfId="18074" xr:uid="{00000000-0005-0000-0000-000080490000}"/>
    <cellStyle name="표준 8 2 3 4" xfId="18075" xr:uid="{00000000-0005-0000-0000-000081490000}"/>
    <cellStyle name="표준 8 2 4" xfId="18076" xr:uid="{00000000-0005-0000-0000-000082490000}"/>
    <cellStyle name="표준 8 2 5" xfId="18077" xr:uid="{00000000-0005-0000-0000-000083490000}"/>
    <cellStyle name="표준 8 2 6" xfId="18078" xr:uid="{00000000-0005-0000-0000-000084490000}"/>
    <cellStyle name="표준 8 2 7" xfId="18079" xr:uid="{00000000-0005-0000-0000-000085490000}"/>
    <cellStyle name="표준 8 2 8" xfId="18080" xr:uid="{00000000-0005-0000-0000-000086490000}"/>
    <cellStyle name="표준 8 2 9" xfId="18081" xr:uid="{00000000-0005-0000-0000-000087490000}"/>
    <cellStyle name="표준 8 20" xfId="18082" xr:uid="{00000000-0005-0000-0000-000088490000}"/>
    <cellStyle name="표준 8 21" xfId="18083" xr:uid="{00000000-0005-0000-0000-000089490000}"/>
    <cellStyle name="표준 8 22" xfId="18084" xr:uid="{00000000-0005-0000-0000-00008A490000}"/>
    <cellStyle name="표준 8 23" xfId="18085" xr:uid="{00000000-0005-0000-0000-00008B490000}"/>
    <cellStyle name="표준 8 24" xfId="18086" xr:uid="{00000000-0005-0000-0000-00008C490000}"/>
    <cellStyle name="표준 8 25" xfId="18087" xr:uid="{00000000-0005-0000-0000-00008D490000}"/>
    <cellStyle name="표준 8 26" xfId="18088" xr:uid="{00000000-0005-0000-0000-00008E490000}"/>
    <cellStyle name="표준 8 27" xfId="18089" xr:uid="{00000000-0005-0000-0000-00008F490000}"/>
    <cellStyle name="표준 8 27 2" xfId="18090" xr:uid="{00000000-0005-0000-0000-000090490000}"/>
    <cellStyle name="표준 8 28" xfId="18091" xr:uid="{00000000-0005-0000-0000-000091490000}"/>
    <cellStyle name="표준 8 29" xfId="18092" xr:uid="{00000000-0005-0000-0000-000092490000}"/>
    <cellStyle name="표준 8 3" xfId="18093" xr:uid="{00000000-0005-0000-0000-000093490000}"/>
    <cellStyle name="표준 8 3 10" xfId="18094" xr:uid="{00000000-0005-0000-0000-000094490000}"/>
    <cellStyle name="표준 8 3 11" xfId="18095" xr:uid="{00000000-0005-0000-0000-000095490000}"/>
    <cellStyle name="표준 8 3 12" xfId="18096" xr:uid="{00000000-0005-0000-0000-000096490000}"/>
    <cellStyle name="표준 8 3 13" xfId="18097" xr:uid="{00000000-0005-0000-0000-000097490000}"/>
    <cellStyle name="표준 8 3 14" xfId="18098" xr:uid="{00000000-0005-0000-0000-000098490000}"/>
    <cellStyle name="표준 8 3 15" xfId="18099" xr:uid="{00000000-0005-0000-0000-000099490000}"/>
    <cellStyle name="표준 8 3 16" xfId="18100" xr:uid="{00000000-0005-0000-0000-00009A490000}"/>
    <cellStyle name="표준 8 3 17" xfId="18101" xr:uid="{00000000-0005-0000-0000-00009B490000}"/>
    <cellStyle name="표준 8 3 18" xfId="18102" xr:uid="{00000000-0005-0000-0000-00009C490000}"/>
    <cellStyle name="표준 8 3 19" xfId="18103" xr:uid="{00000000-0005-0000-0000-00009D490000}"/>
    <cellStyle name="표준 8 3 2" xfId="18104" xr:uid="{00000000-0005-0000-0000-00009E490000}"/>
    <cellStyle name="표준 8 3 20" xfId="18105" xr:uid="{00000000-0005-0000-0000-00009F490000}"/>
    <cellStyle name="표준 8 3 21" xfId="18106" xr:uid="{00000000-0005-0000-0000-0000A0490000}"/>
    <cellStyle name="표준 8 3 22" xfId="18107" xr:uid="{00000000-0005-0000-0000-0000A1490000}"/>
    <cellStyle name="표준 8 3 3" xfId="18108" xr:uid="{00000000-0005-0000-0000-0000A2490000}"/>
    <cellStyle name="표준 8 3 4" xfId="18109" xr:uid="{00000000-0005-0000-0000-0000A3490000}"/>
    <cellStyle name="표준 8 3 5" xfId="18110" xr:uid="{00000000-0005-0000-0000-0000A4490000}"/>
    <cellStyle name="표준 8 3 6" xfId="18111" xr:uid="{00000000-0005-0000-0000-0000A5490000}"/>
    <cellStyle name="표준 8 3 7" xfId="18112" xr:uid="{00000000-0005-0000-0000-0000A6490000}"/>
    <cellStyle name="표준 8 3 8" xfId="18113" xr:uid="{00000000-0005-0000-0000-0000A7490000}"/>
    <cellStyle name="표준 8 3 9" xfId="18114" xr:uid="{00000000-0005-0000-0000-0000A8490000}"/>
    <cellStyle name="표준 8 30" xfId="18115" xr:uid="{00000000-0005-0000-0000-0000A9490000}"/>
    <cellStyle name="표준 8 31" xfId="18116" xr:uid="{00000000-0005-0000-0000-0000AA490000}"/>
    <cellStyle name="표준 8 32" xfId="18117" xr:uid="{00000000-0005-0000-0000-0000AB490000}"/>
    <cellStyle name="표준 8 33" xfId="18118" xr:uid="{00000000-0005-0000-0000-0000AC490000}"/>
    <cellStyle name="표준 8 34" xfId="18119" xr:uid="{00000000-0005-0000-0000-0000AD490000}"/>
    <cellStyle name="표준 8 35" xfId="18120" xr:uid="{00000000-0005-0000-0000-0000AE490000}"/>
    <cellStyle name="표준 8 36" xfId="18121" xr:uid="{00000000-0005-0000-0000-0000AF490000}"/>
    <cellStyle name="표준 8 37" xfId="18122" xr:uid="{00000000-0005-0000-0000-0000B0490000}"/>
    <cellStyle name="표준 8 38" xfId="18123" xr:uid="{00000000-0005-0000-0000-0000B1490000}"/>
    <cellStyle name="표준 8 39" xfId="18124" xr:uid="{00000000-0005-0000-0000-0000B2490000}"/>
    <cellStyle name="표준 8 4" xfId="18125" xr:uid="{00000000-0005-0000-0000-0000B3490000}"/>
    <cellStyle name="표준 8 4 10" xfId="18126" xr:uid="{00000000-0005-0000-0000-0000B4490000}"/>
    <cellStyle name="표준 8 4 11" xfId="18127" xr:uid="{00000000-0005-0000-0000-0000B5490000}"/>
    <cellStyle name="표준 8 4 12" xfId="18128" xr:uid="{00000000-0005-0000-0000-0000B6490000}"/>
    <cellStyle name="표준 8 4 13" xfId="18129" xr:uid="{00000000-0005-0000-0000-0000B7490000}"/>
    <cellStyle name="표준 8 4 14" xfId="18130" xr:uid="{00000000-0005-0000-0000-0000B8490000}"/>
    <cellStyle name="표준 8 4 15" xfId="18131" xr:uid="{00000000-0005-0000-0000-0000B9490000}"/>
    <cellStyle name="표준 8 4 16" xfId="18132" xr:uid="{00000000-0005-0000-0000-0000BA490000}"/>
    <cellStyle name="표준 8 4 17" xfId="18133" xr:uid="{00000000-0005-0000-0000-0000BB490000}"/>
    <cellStyle name="표준 8 4 18" xfId="18134" xr:uid="{00000000-0005-0000-0000-0000BC490000}"/>
    <cellStyle name="표준 8 4 19" xfId="18135" xr:uid="{00000000-0005-0000-0000-0000BD490000}"/>
    <cellStyle name="표준 8 4 2" xfId="18136" xr:uid="{00000000-0005-0000-0000-0000BE490000}"/>
    <cellStyle name="표준 8 4 20" xfId="18137" xr:uid="{00000000-0005-0000-0000-0000BF490000}"/>
    <cellStyle name="표준 8 4 21" xfId="18138" xr:uid="{00000000-0005-0000-0000-0000C0490000}"/>
    <cellStyle name="표준 8 4 22" xfId="18139" xr:uid="{00000000-0005-0000-0000-0000C1490000}"/>
    <cellStyle name="표준 8 4 3" xfId="18140" xr:uid="{00000000-0005-0000-0000-0000C2490000}"/>
    <cellStyle name="표준 8 4 4" xfId="18141" xr:uid="{00000000-0005-0000-0000-0000C3490000}"/>
    <cellStyle name="표준 8 4 5" xfId="18142" xr:uid="{00000000-0005-0000-0000-0000C4490000}"/>
    <cellStyle name="표준 8 4 6" xfId="18143" xr:uid="{00000000-0005-0000-0000-0000C5490000}"/>
    <cellStyle name="표준 8 4 7" xfId="18144" xr:uid="{00000000-0005-0000-0000-0000C6490000}"/>
    <cellStyle name="표준 8 4 8" xfId="18145" xr:uid="{00000000-0005-0000-0000-0000C7490000}"/>
    <cellStyle name="표준 8 4 9" xfId="18146" xr:uid="{00000000-0005-0000-0000-0000C8490000}"/>
    <cellStyle name="표준 8 40" xfId="18147" xr:uid="{00000000-0005-0000-0000-0000C9490000}"/>
    <cellStyle name="표준 8 41" xfId="18148" xr:uid="{00000000-0005-0000-0000-0000CA490000}"/>
    <cellStyle name="표준 8 42" xfId="18149" xr:uid="{00000000-0005-0000-0000-0000CB490000}"/>
    <cellStyle name="표준 8 43" xfId="18150" xr:uid="{00000000-0005-0000-0000-0000CC490000}"/>
    <cellStyle name="표준 8 44" xfId="18151" xr:uid="{00000000-0005-0000-0000-0000CD490000}"/>
    <cellStyle name="표준 8 45" xfId="18152" xr:uid="{00000000-0005-0000-0000-0000CE490000}"/>
    <cellStyle name="표준 8 46" xfId="18153" xr:uid="{00000000-0005-0000-0000-0000CF490000}"/>
    <cellStyle name="표준 8 47" xfId="18154" xr:uid="{00000000-0005-0000-0000-0000D0490000}"/>
    <cellStyle name="표준 8 48" xfId="18155" xr:uid="{00000000-0005-0000-0000-0000D1490000}"/>
    <cellStyle name="표준 8 49" xfId="18156" xr:uid="{00000000-0005-0000-0000-0000D2490000}"/>
    <cellStyle name="표준 8 5" xfId="18157" xr:uid="{00000000-0005-0000-0000-0000D3490000}"/>
    <cellStyle name="표준 8 5 10" xfId="18158" xr:uid="{00000000-0005-0000-0000-0000D4490000}"/>
    <cellStyle name="표준 8 5 11" xfId="18159" xr:uid="{00000000-0005-0000-0000-0000D5490000}"/>
    <cellStyle name="표준 8 5 12" xfId="18160" xr:uid="{00000000-0005-0000-0000-0000D6490000}"/>
    <cellStyle name="표준 8 5 13" xfId="18161" xr:uid="{00000000-0005-0000-0000-0000D7490000}"/>
    <cellStyle name="표준 8 5 14" xfId="18162" xr:uid="{00000000-0005-0000-0000-0000D8490000}"/>
    <cellStyle name="표준 8 5 15" xfId="18163" xr:uid="{00000000-0005-0000-0000-0000D9490000}"/>
    <cellStyle name="표준 8 5 16" xfId="18164" xr:uid="{00000000-0005-0000-0000-0000DA490000}"/>
    <cellStyle name="표준 8 5 17" xfId="18165" xr:uid="{00000000-0005-0000-0000-0000DB490000}"/>
    <cellStyle name="표준 8 5 18" xfId="18166" xr:uid="{00000000-0005-0000-0000-0000DC490000}"/>
    <cellStyle name="표준 8 5 19" xfId="18167" xr:uid="{00000000-0005-0000-0000-0000DD490000}"/>
    <cellStyle name="표준 8 5 2" xfId="18168" xr:uid="{00000000-0005-0000-0000-0000DE490000}"/>
    <cellStyle name="표준 8 5 20" xfId="18169" xr:uid="{00000000-0005-0000-0000-0000DF490000}"/>
    <cellStyle name="표준 8 5 21" xfId="18170" xr:uid="{00000000-0005-0000-0000-0000E0490000}"/>
    <cellStyle name="표준 8 5 22" xfId="18171" xr:uid="{00000000-0005-0000-0000-0000E1490000}"/>
    <cellStyle name="표준 8 5 3" xfId="18172" xr:uid="{00000000-0005-0000-0000-0000E2490000}"/>
    <cellStyle name="표준 8 5 4" xfId="18173" xr:uid="{00000000-0005-0000-0000-0000E3490000}"/>
    <cellStyle name="표준 8 5 5" xfId="18174" xr:uid="{00000000-0005-0000-0000-0000E4490000}"/>
    <cellStyle name="표준 8 5 6" xfId="18175" xr:uid="{00000000-0005-0000-0000-0000E5490000}"/>
    <cellStyle name="표준 8 5 7" xfId="18176" xr:uid="{00000000-0005-0000-0000-0000E6490000}"/>
    <cellStyle name="표준 8 5 8" xfId="18177" xr:uid="{00000000-0005-0000-0000-0000E7490000}"/>
    <cellStyle name="표준 8 5 9" xfId="18178" xr:uid="{00000000-0005-0000-0000-0000E8490000}"/>
    <cellStyle name="표준 8 50" xfId="18179" xr:uid="{00000000-0005-0000-0000-0000E9490000}"/>
    <cellStyle name="표준 8 51" xfId="18180" xr:uid="{00000000-0005-0000-0000-0000EA490000}"/>
    <cellStyle name="표준 8 52" xfId="18181" xr:uid="{00000000-0005-0000-0000-0000EB490000}"/>
    <cellStyle name="표준 8 53" xfId="18182" xr:uid="{00000000-0005-0000-0000-0000EC490000}"/>
    <cellStyle name="표준 8 54" xfId="18183" xr:uid="{00000000-0005-0000-0000-0000ED490000}"/>
    <cellStyle name="표준 8 55" xfId="18184" xr:uid="{00000000-0005-0000-0000-0000EE490000}"/>
    <cellStyle name="표준 8 56" xfId="18185" xr:uid="{00000000-0005-0000-0000-0000EF490000}"/>
    <cellStyle name="표준 8 57" xfId="18186" xr:uid="{00000000-0005-0000-0000-0000F0490000}"/>
    <cellStyle name="표준 8 57 2" xfId="18472" xr:uid="{00000000-0005-0000-0000-0000F1490000}"/>
    <cellStyle name="표준 8 57 2 2" xfId="18606" xr:uid="{00000000-0005-0000-0000-0000F2490000}"/>
    <cellStyle name="표준 8 57 2 2 2" xfId="19201" xr:uid="{00000000-0005-0000-0000-0000F3490000}"/>
    <cellStyle name="표준 8 57 2 2 3" xfId="18906" xr:uid="{00000000-0005-0000-0000-0000F4490000}"/>
    <cellStyle name="표준 8 57 2 3" xfId="18539" xr:uid="{00000000-0005-0000-0000-0000F5490000}"/>
    <cellStyle name="표준 8 57 2 3 2" xfId="19134" xr:uid="{00000000-0005-0000-0000-0000F6490000}"/>
    <cellStyle name="표준 8 57 2 3 3" xfId="18839" xr:uid="{00000000-0005-0000-0000-0000F7490000}"/>
    <cellStyle name="표준 8 57 2 4" xfId="18673" xr:uid="{00000000-0005-0000-0000-0000F8490000}"/>
    <cellStyle name="표준 8 57 2 4 2" xfId="19268" xr:uid="{00000000-0005-0000-0000-0000F9490000}"/>
    <cellStyle name="표준 8 57 2 4 3" xfId="18973" xr:uid="{00000000-0005-0000-0000-0000FA490000}"/>
    <cellStyle name="표준 8 57 2 5" xfId="19067" xr:uid="{00000000-0005-0000-0000-0000FB490000}"/>
    <cellStyle name="표준 8 57 2 6" xfId="18772" xr:uid="{00000000-0005-0000-0000-0000FC490000}"/>
    <cellStyle name="표준 8 57 3" xfId="18573" xr:uid="{00000000-0005-0000-0000-0000FD490000}"/>
    <cellStyle name="표준 8 57 3 2" xfId="19168" xr:uid="{00000000-0005-0000-0000-0000FE490000}"/>
    <cellStyle name="표준 8 57 3 3" xfId="18873" xr:uid="{00000000-0005-0000-0000-0000FF490000}"/>
    <cellStyle name="표준 8 57 4" xfId="18506" xr:uid="{00000000-0005-0000-0000-0000004A0000}"/>
    <cellStyle name="표준 8 57 4 2" xfId="19101" xr:uid="{00000000-0005-0000-0000-0000014A0000}"/>
    <cellStyle name="표준 8 57 4 3" xfId="18806" xr:uid="{00000000-0005-0000-0000-0000024A0000}"/>
    <cellStyle name="표준 8 57 5" xfId="18640" xr:uid="{00000000-0005-0000-0000-0000034A0000}"/>
    <cellStyle name="표준 8 57 5 2" xfId="19235" xr:uid="{00000000-0005-0000-0000-0000044A0000}"/>
    <cellStyle name="표준 8 57 5 3" xfId="18940" xr:uid="{00000000-0005-0000-0000-0000054A0000}"/>
    <cellStyle name="표준 8 57 6" xfId="18715" xr:uid="{00000000-0005-0000-0000-0000064A0000}"/>
    <cellStyle name="표준 8 57 6 2" xfId="19010" xr:uid="{00000000-0005-0000-0000-0000074A0000}"/>
    <cellStyle name="표준 8 57 7" xfId="19034" xr:uid="{00000000-0005-0000-0000-0000084A0000}"/>
    <cellStyle name="표준 8 57 8" xfId="19305" xr:uid="{00000000-0005-0000-0000-0000094A0000}"/>
    <cellStyle name="표준 8 57 9" xfId="18739" xr:uid="{00000000-0005-0000-0000-00000A4A0000}"/>
    <cellStyle name="표준 8 6" xfId="18187" xr:uid="{00000000-0005-0000-0000-00000B4A0000}"/>
    <cellStyle name="표준 8 7" xfId="18188" xr:uid="{00000000-0005-0000-0000-00000C4A0000}"/>
    <cellStyle name="표준 8 8" xfId="18189" xr:uid="{00000000-0005-0000-0000-00000D4A0000}"/>
    <cellStyle name="표준 8 9" xfId="18190" xr:uid="{00000000-0005-0000-0000-00000E4A0000}"/>
    <cellStyle name="표준 9" xfId="18191" xr:uid="{00000000-0005-0000-0000-00000F4A0000}"/>
    <cellStyle name="표준 9 10" xfId="18192" xr:uid="{00000000-0005-0000-0000-0000104A0000}"/>
    <cellStyle name="표준 9 11" xfId="18193" xr:uid="{00000000-0005-0000-0000-0000114A0000}"/>
    <cellStyle name="표준 9 12" xfId="18194" xr:uid="{00000000-0005-0000-0000-0000124A0000}"/>
    <cellStyle name="표준 9 13" xfId="18195" xr:uid="{00000000-0005-0000-0000-0000134A0000}"/>
    <cellStyle name="표준 9 14" xfId="18196" xr:uid="{00000000-0005-0000-0000-0000144A0000}"/>
    <cellStyle name="표준 9 15" xfId="18197" xr:uid="{00000000-0005-0000-0000-0000154A0000}"/>
    <cellStyle name="표준 9 16" xfId="18198" xr:uid="{00000000-0005-0000-0000-0000164A0000}"/>
    <cellStyle name="표준 9 17" xfId="18199" xr:uid="{00000000-0005-0000-0000-0000174A0000}"/>
    <cellStyle name="표준 9 18" xfId="18200" xr:uid="{00000000-0005-0000-0000-0000184A0000}"/>
    <cellStyle name="표준 9 19" xfId="18201" xr:uid="{00000000-0005-0000-0000-0000194A0000}"/>
    <cellStyle name="표준 9 2" xfId="18202" xr:uid="{00000000-0005-0000-0000-00001A4A0000}"/>
    <cellStyle name="표준 9 2 10" xfId="18203" xr:uid="{00000000-0005-0000-0000-00001B4A0000}"/>
    <cellStyle name="표준 9 2 11" xfId="18204" xr:uid="{00000000-0005-0000-0000-00001C4A0000}"/>
    <cellStyle name="표준 9 2 12" xfId="18205" xr:uid="{00000000-0005-0000-0000-00001D4A0000}"/>
    <cellStyle name="표준 9 2 13" xfId="18206" xr:uid="{00000000-0005-0000-0000-00001E4A0000}"/>
    <cellStyle name="표준 9 2 14" xfId="18207" xr:uid="{00000000-0005-0000-0000-00001F4A0000}"/>
    <cellStyle name="표준 9 2 15" xfId="18208" xr:uid="{00000000-0005-0000-0000-0000204A0000}"/>
    <cellStyle name="표준 9 2 16" xfId="18209" xr:uid="{00000000-0005-0000-0000-0000214A0000}"/>
    <cellStyle name="표준 9 2 17" xfId="18210" xr:uid="{00000000-0005-0000-0000-0000224A0000}"/>
    <cellStyle name="표준 9 2 18" xfId="18211" xr:uid="{00000000-0005-0000-0000-0000234A0000}"/>
    <cellStyle name="표준 9 2 19" xfId="18212" xr:uid="{00000000-0005-0000-0000-0000244A0000}"/>
    <cellStyle name="표준 9 2 2" xfId="18213" xr:uid="{00000000-0005-0000-0000-0000254A0000}"/>
    <cellStyle name="표준 9 2 2 10" xfId="18214" xr:uid="{00000000-0005-0000-0000-0000264A0000}"/>
    <cellStyle name="표준 9 2 2 11" xfId="18215" xr:uid="{00000000-0005-0000-0000-0000274A0000}"/>
    <cellStyle name="표준 9 2 2 12" xfId="18216" xr:uid="{00000000-0005-0000-0000-0000284A0000}"/>
    <cellStyle name="표준 9 2 2 13" xfId="18217" xr:uid="{00000000-0005-0000-0000-0000294A0000}"/>
    <cellStyle name="표준 9 2 2 14" xfId="18218" xr:uid="{00000000-0005-0000-0000-00002A4A0000}"/>
    <cellStyle name="표준 9 2 2 15" xfId="18219" xr:uid="{00000000-0005-0000-0000-00002B4A0000}"/>
    <cellStyle name="표준 9 2 2 16" xfId="18220" xr:uid="{00000000-0005-0000-0000-00002C4A0000}"/>
    <cellStyle name="표준 9 2 2 17" xfId="18221" xr:uid="{00000000-0005-0000-0000-00002D4A0000}"/>
    <cellStyle name="표준 9 2 2 18" xfId="18222" xr:uid="{00000000-0005-0000-0000-00002E4A0000}"/>
    <cellStyle name="표준 9 2 2 19" xfId="18223" xr:uid="{00000000-0005-0000-0000-00002F4A0000}"/>
    <cellStyle name="표준 9 2 2 2" xfId="18224" xr:uid="{00000000-0005-0000-0000-0000304A0000}"/>
    <cellStyle name="표준 9 2 2 2 2" xfId="18225" xr:uid="{00000000-0005-0000-0000-0000314A0000}"/>
    <cellStyle name="표준 9 2 2 2 2 2" xfId="18226" xr:uid="{00000000-0005-0000-0000-0000324A0000}"/>
    <cellStyle name="표준 9 2 2 2 2 2 2" xfId="18227" xr:uid="{00000000-0005-0000-0000-0000334A0000}"/>
    <cellStyle name="표준 9 2 2 2 2 2 3" xfId="18228" xr:uid="{00000000-0005-0000-0000-0000344A0000}"/>
    <cellStyle name="표준 9 2 2 2 2 3" xfId="18229" xr:uid="{00000000-0005-0000-0000-0000354A0000}"/>
    <cellStyle name="표준 9 2 2 2 3" xfId="18230" xr:uid="{00000000-0005-0000-0000-0000364A0000}"/>
    <cellStyle name="표준 9 2 2 2 4" xfId="18231" xr:uid="{00000000-0005-0000-0000-0000374A0000}"/>
    <cellStyle name="표준 9 2 2 2 5" xfId="18232" xr:uid="{00000000-0005-0000-0000-0000384A0000}"/>
    <cellStyle name="표준 9 2 2 2 6" xfId="18233" xr:uid="{00000000-0005-0000-0000-0000394A0000}"/>
    <cellStyle name="표준 9 2 2 20" xfId="18234" xr:uid="{00000000-0005-0000-0000-00003A4A0000}"/>
    <cellStyle name="표준 9 2 2 21" xfId="18235" xr:uid="{00000000-0005-0000-0000-00003B4A0000}"/>
    <cellStyle name="표준 9 2 2 22" xfId="18236" xr:uid="{00000000-0005-0000-0000-00003C4A0000}"/>
    <cellStyle name="표준 9 2 2 23" xfId="18237" xr:uid="{00000000-0005-0000-0000-00003D4A0000}"/>
    <cellStyle name="표준 9 2 2 24" xfId="18238" xr:uid="{00000000-0005-0000-0000-00003E4A0000}"/>
    <cellStyle name="표준 9 2 2 25" xfId="18239" xr:uid="{00000000-0005-0000-0000-00003F4A0000}"/>
    <cellStyle name="표준 9 2 2 26" xfId="18240" xr:uid="{00000000-0005-0000-0000-0000404A0000}"/>
    <cellStyle name="표준 9 2 2 27" xfId="18241" xr:uid="{00000000-0005-0000-0000-0000414A0000}"/>
    <cellStyle name="표준 9 2 2 3" xfId="18242" xr:uid="{00000000-0005-0000-0000-0000424A0000}"/>
    <cellStyle name="표준 9 2 2 4" xfId="18243" xr:uid="{00000000-0005-0000-0000-0000434A0000}"/>
    <cellStyle name="표준 9 2 2 5" xfId="18244" xr:uid="{00000000-0005-0000-0000-0000444A0000}"/>
    <cellStyle name="표준 9 2 2 6" xfId="18245" xr:uid="{00000000-0005-0000-0000-0000454A0000}"/>
    <cellStyle name="표준 9 2 2 7" xfId="18246" xr:uid="{00000000-0005-0000-0000-0000464A0000}"/>
    <cellStyle name="표준 9 2 2 8" xfId="18247" xr:uid="{00000000-0005-0000-0000-0000474A0000}"/>
    <cellStyle name="표준 9 2 2 9" xfId="18248" xr:uid="{00000000-0005-0000-0000-0000484A0000}"/>
    <cellStyle name="표준 9 2 20" xfId="18249" xr:uid="{00000000-0005-0000-0000-0000494A0000}"/>
    <cellStyle name="표준 9 2 21" xfId="18250" xr:uid="{00000000-0005-0000-0000-00004A4A0000}"/>
    <cellStyle name="표준 9 2 22" xfId="18251" xr:uid="{00000000-0005-0000-0000-00004B4A0000}"/>
    <cellStyle name="표준 9 2 23" xfId="18252" xr:uid="{00000000-0005-0000-0000-00004C4A0000}"/>
    <cellStyle name="표준 9 2 24" xfId="18253" xr:uid="{00000000-0005-0000-0000-00004D4A0000}"/>
    <cellStyle name="표준 9 2 25" xfId="18254" xr:uid="{00000000-0005-0000-0000-00004E4A0000}"/>
    <cellStyle name="표준 9 2 26" xfId="18255" xr:uid="{00000000-0005-0000-0000-00004F4A0000}"/>
    <cellStyle name="표준 9 2 27" xfId="18256" xr:uid="{00000000-0005-0000-0000-0000504A0000}"/>
    <cellStyle name="표준 9 2 3" xfId="18257" xr:uid="{00000000-0005-0000-0000-0000514A0000}"/>
    <cellStyle name="표준 9 2 3 2" xfId="18258" xr:uid="{00000000-0005-0000-0000-0000524A0000}"/>
    <cellStyle name="표준 9 2 3 3" xfId="18259" xr:uid="{00000000-0005-0000-0000-0000534A0000}"/>
    <cellStyle name="표준 9 2 3 4" xfId="18260" xr:uid="{00000000-0005-0000-0000-0000544A0000}"/>
    <cellStyle name="표준 9 2 4" xfId="18261" xr:uid="{00000000-0005-0000-0000-0000554A0000}"/>
    <cellStyle name="표준 9 2 5" xfId="18262" xr:uid="{00000000-0005-0000-0000-0000564A0000}"/>
    <cellStyle name="표준 9 2 6" xfId="18263" xr:uid="{00000000-0005-0000-0000-0000574A0000}"/>
    <cellStyle name="표준 9 2 7" xfId="18264" xr:uid="{00000000-0005-0000-0000-0000584A0000}"/>
    <cellStyle name="표준 9 2 8" xfId="18265" xr:uid="{00000000-0005-0000-0000-0000594A0000}"/>
    <cellStyle name="표준 9 2 9" xfId="18266" xr:uid="{00000000-0005-0000-0000-00005A4A0000}"/>
    <cellStyle name="표준 9 20" xfId="18267" xr:uid="{00000000-0005-0000-0000-00005B4A0000}"/>
    <cellStyle name="표준 9 21" xfId="18268" xr:uid="{00000000-0005-0000-0000-00005C4A0000}"/>
    <cellStyle name="표준 9 22" xfId="18269" xr:uid="{00000000-0005-0000-0000-00005D4A0000}"/>
    <cellStyle name="표준 9 23" xfId="18270" xr:uid="{00000000-0005-0000-0000-00005E4A0000}"/>
    <cellStyle name="표준 9 24" xfId="18271" xr:uid="{00000000-0005-0000-0000-00005F4A0000}"/>
    <cellStyle name="표준 9 25" xfId="18272" xr:uid="{00000000-0005-0000-0000-0000604A0000}"/>
    <cellStyle name="표준 9 26" xfId="18273" xr:uid="{00000000-0005-0000-0000-0000614A0000}"/>
    <cellStyle name="표준 9 27" xfId="18274" xr:uid="{00000000-0005-0000-0000-0000624A0000}"/>
    <cellStyle name="표준 9 28" xfId="18275" xr:uid="{00000000-0005-0000-0000-0000634A0000}"/>
    <cellStyle name="표준 9 29" xfId="18276" xr:uid="{00000000-0005-0000-0000-0000644A0000}"/>
    <cellStyle name="표준 9 3" xfId="18277" xr:uid="{00000000-0005-0000-0000-0000654A0000}"/>
    <cellStyle name="표준 9 3 10" xfId="18278" xr:uid="{00000000-0005-0000-0000-0000664A0000}"/>
    <cellStyle name="표준 9 3 11" xfId="18279" xr:uid="{00000000-0005-0000-0000-0000674A0000}"/>
    <cellStyle name="표준 9 3 12" xfId="18280" xr:uid="{00000000-0005-0000-0000-0000684A0000}"/>
    <cellStyle name="표준 9 3 13" xfId="18281" xr:uid="{00000000-0005-0000-0000-0000694A0000}"/>
    <cellStyle name="표준 9 3 14" xfId="18282" xr:uid="{00000000-0005-0000-0000-00006A4A0000}"/>
    <cellStyle name="표준 9 3 15" xfId="18283" xr:uid="{00000000-0005-0000-0000-00006B4A0000}"/>
    <cellStyle name="표준 9 3 16" xfId="18284" xr:uid="{00000000-0005-0000-0000-00006C4A0000}"/>
    <cellStyle name="표준 9 3 17" xfId="18285" xr:uid="{00000000-0005-0000-0000-00006D4A0000}"/>
    <cellStyle name="표준 9 3 18" xfId="18286" xr:uid="{00000000-0005-0000-0000-00006E4A0000}"/>
    <cellStyle name="표준 9 3 19" xfId="18287" xr:uid="{00000000-0005-0000-0000-00006F4A0000}"/>
    <cellStyle name="표준 9 3 2" xfId="18288" xr:uid="{00000000-0005-0000-0000-0000704A0000}"/>
    <cellStyle name="표준 9 3 20" xfId="18289" xr:uid="{00000000-0005-0000-0000-0000714A0000}"/>
    <cellStyle name="표준 9 3 21" xfId="18290" xr:uid="{00000000-0005-0000-0000-0000724A0000}"/>
    <cellStyle name="표준 9 3 22" xfId="18291" xr:uid="{00000000-0005-0000-0000-0000734A0000}"/>
    <cellStyle name="표준 9 3 3" xfId="18292" xr:uid="{00000000-0005-0000-0000-0000744A0000}"/>
    <cellStyle name="표준 9 3 4" xfId="18293" xr:uid="{00000000-0005-0000-0000-0000754A0000}"/>
    <cellStyle name="표준 9 3 5" xfId="18294" xr:uid="{00000000-0005-0000-0000-0000764A0000}"/>
    <cellStyle name="표준 9 3 6" xfId="18295" xr:uid="{00000000-0005-0000-0000-0000774A0000}"/>
    <cellStyle name="표준 9 3 7" xfId="18296" xr:uid="{00000000-0005-0000-0000-0000784A0000}"/>
    <cellStyle name="표준 9 3 8" xfId="18297" xr:uid="{00000000-0005-0000-0000-0000794A0000}"/>
    <cellStyle name="표준 9 3 9" xfId="18298" xr:uid="{00000000-0005-0000-0000-00007A4A0000}"/>
    <cellStyle name="표준 9 30" xfId="18299" xr:uid="{00000000-0005-0000-0000-00007B4A0000}"/>
    <cellStyle name="표준 9 31" xfId="18300" xr:uid="{00000000-0005-0000-0000-00007C4A0000}"/>
    <cellStyle name="표준 9 32" xfId="18301" xr:uid="{00000000-0005-0000-0000-00007D4A0000}"/>
    <cellStyle name="표준 9 33" xfId="18302" xr:uid="{00000000-0005-0000-0000-00007E4A0000}"/>
    <cellStyle name="표준 9 34" xfId="18303" xr:uid="{00000000-0005-0000-0000-00007F4A0000}"/>
    <cellStyle name="표준 9 35" xfId="18304" xr:uid="{00000000-0005-0000-0000-0000804A0000}"/>
    <cellStyle name="표준 9 36" xfId="18305" xr:uid="{00000000-0005-0000-0000-0000814A0000}"/>
    <cellStyle name="표준 9 37" xfId="18306" xr:uid="{00000000-0005-0000-0000-0000824A0000}"/>
    <cellStyle name="표준 9 38" xfId="18307" xr:uid="{00000000-0005-0000-0000-0000834A0000}"/>
    <cellStyle name="표준 9 39" xfId="18308" xr:uid="{00000000-0005-0000-0000-0000844A0000}"/>
    <cellStyle name="표준 9 4" xfId="18309" xr:uid="{00000000-0005-0000-0000-0000854A0000}"/>
    <cellStyle name="표준 9 4 10" xfId="18310" xr:uid="{00000000-0005-0000-0000-0000864A0000}"/>
    <cellStyle name="표준 9 4 11" xfId="18311" xr:uid="{00000000-0005-0000-0000-0000874A0000}"/>
    <cellStyle name="표준 9 4 12" xfId="18312" xr:uid="{00000000-0005-0000-0000-0000884A0000}"/>
    <cellStyle name="표준 9 4 13" xfId="18313" xr:uid="{00000000-0005-0000-0000-0000894A0000}"/>
    <cellStyle name="표준 9 4 14" xfId="18314" xr:uid="{00000000-0005-0000-0000-00008A4A0000}"/>
    <cellStyle name="표준 9 4 15" xfId="18315" xr:uid="{00000000-0005-0000-0000-00008B4A0000}"/>
    <cellStyle name="표준 9 4 16" xfId="18316" xr:uid="{00000000-0005-0000-0000-00008C4A0000}"/>
    <cellStyle name="표준 9 4 17" xfId="18317" xr:uid="{00000000-0005-0000-0000-00008D4A0000}"/>
    <cellStyle name="표준 9 4 18" xfId="18318" xr:uid="{00000000-0005-0000-0000-00008E4A0000}"/>
    <cellStyle name="표준 9 4 19" xfId="18319" xr:uid="{00000000-0005-0000-0000-00008F4A0000}"/>
    <cellStyle name="표준 9 4 2" xfId="18320" xr:uid="{00000000-0005-0000-0000-0000904A0000}"/>
    <cellStyle name="표준 9 4 20" xfId="18321" xr:uid="{00000000-0005-0000-0000-0000914A0000}"/>
    <cellStyle name="표준 9 4 21" xfId="18322" xr:uid="{00000000-0005-0000-0000-0000924A0000}"/>
    <cellStyle name="표준 9 4 22" xfId="18323" xr:uid="{00000000-0005-0000-0000-0000934A0000}"/>
    <cellStyle name="표준 9 4 3" xfId="18324" xr:uid="{00000000-0005-0000-0000-0000944A0000}"/>
    <cellStyle name="표준 9 4 4" xfId="18325" xr:uid="{00000000-0005-0000-0000-0000954A0000}"/>
    <cellStyle name="표준 9 4 5" xfId="18326" xr:uid="{00000000-0005-0000-0000-0000964A0000}"/>
    <cellStyle name="표준 9 4 6" xfId="18327" xr:uid="{00000000-0005-0000-0000-0000974A0000}"/>
    <cellStyle name="표준 9 4 7" xfId="18328" xr:uid="{00000000-0005-0000-0000-0000984A0000}"/>
    <cellStyle name="표준 9 4 8" xfId="18329" xr:uid="{00000000-0005-0000-0000-0000994A0000}"/>
    <cellStyle name="표준 9 4 9" xfId="18330" xr:uid="{00000000-0005-0000-0000-00009A4A0000}"/>
    <cellStyle name="표준 9 40" xfId="18331" xr:uid="{00000000-0005-0000-0000-00009B4A0000}"/>
    <cellStyle name="표준 9 41" xfId="18332" xr:uid="{00000000-0005-0000-0000-00009C4A0000}"/>
    <cellStyle name="표준 9 42" xfId="18333" xr:uid="{00000000-0005-0000-0000-00009D4A0000}"/>
    <cellStyle name="표준 9 43" xfId="18334" xr:uid="{00000000-0005-0000-0000-00009E4A0000}"/>
    <cellStyle name="표준 9 44" xfId="18335" xr:uid="{00000000-0005-0000-0000-00009F4A0000}"/>
    <cellStyle name="표준 9 45" xfId="18336" xr:uid="{00000000-0005-0000-0000-0000A04A0000}"/>
    <cellStyle name="표준 9 46" xfId="18337" xr:uid="{00000000-0005-0000-0000-0000A14A0000}"/>
    <cellStyle name="표준 9 47" xfId="18338" xr:uid="{00000000-0005-0000-0000-0000A24A0000}"/>
    <cellStyle name="표준 9 48" xfId="18339" xr:uid="{00000000-0005-0000-0000-0000A34A0000}"/>
    <cellStyle name="표준 9 49" xfId="18340" xr:uid="{00000000-0005-0000-0000-0000A44A0000}"/>
    <cellStyle name="표준 9 5" xfId="18341" xr:uid="{00000000-0005-0000-0000-0000A54A0000}"/>
    <cellStyle name="표준 9 5 10" xfId="18342" xr:uid="{00000000-0005-0000-0000-0000A64A0000}"/>
    <cellStyle name="표준 9 5 11" xfId="18343" xr:uid="{00000000-0005-0000-0000-0000A74A0000}"/>
    <cellStyle name="표준 9 5 12" xfId="18344" xr:uid="{00000000-0005-0000-0000-0000A84A0000}"/>
    <cellStyle name="표준 9 5 13" xfId="18345" xr:uid="{00000000-0005-0000-0000-0000A94A0000}"/>
    <cellStyle name="표준 9 5 14" xfId="18346" xr:uid="{00000000-0005-0000-0000-0000AA4A0000}"/>
    <cellStyle name="표준 9 5 15" xfId="18347" xr:uid="{00000000-0005-0000-0000-0000AB4A0000}"/>
    <cellStyle name="표준 9 5 16" xfId="18348" xr:uid="{00000000-0005-0000-0000-0000AC4A0000}"/>
    <cellStyle name="표준 9 5 17" xfId="18349" xr:uid="{00000000-0005-0000-0000-0000AD4A0000}"/>
    <cellStyle name="표준 9 5 18" xfId="18350" xr:uid="{00000000-0005-0000-0000-0000AE4A0000}"/>
    <cellStyle name="표준 9 5 19" xfId="18351" xr:uid="{00000000-0005-0000-0000-0000AF4A0000}"/>
    <cellStyle name="표준 9 5 2" xfId="18352" xr:uid="{00000000-0005-0000-0000-0000B04A0000}"/>
    <cellStyle name="표준 9 5 20" xfId="18353" xr:uid="{00000000-0005-0000-0000-0000B14A0000}"/>
    <cellStyle name="표준 9 5 21" xfId="18354" xr:uid="{00000000-0005-0000-0000-0000B24A0000}"/>
    <cellStyle name="표준 9 5 22" xfId="18355" xr:uid="{00000000-0005-0000-0000-0000B34A0000}"/>
    <cellStyle name="표준 9 5 3" xfId="18356" xr:uid="{00000000-0005-0000-0000-0000B44A0000}"/>
    <cellStyle name="표준 9 5 4" xfId="18357" xr:uid="{00000000-0005-0000-0000-0000B54A0000}"/>
    <cellStyle name="표준 9 5 5" xfId="18358" xr:uid="{00000000-0005-0000-0000-0000B64A0000}"/>
    <cellStyle name="표준 9 5 6" xfId="18359" xr:uid="{00000000-0005-0000-0000-0000B74A0000}"/>
    <cellStyle name="표준 9 5 7" xfId="18360" xr:uid="{00000000-0005-0000-0000-0000B84A0000}"/>
    <cellStyle name="표준 9 5 8" xfId="18361" xr:uid="{00000000-0005-0000-0000-0000B94A0000}"/>
    <cellStyle name="표준 9 5 9" xfId="18362" xr:uid="{00000000-0005-0000-0000-0000BA4A0000}"/>
    <cellStyle name="표준 9 50" xfId="18363" xr:uid="{00000000-0005-0000-0000-0000BB4A0000}"/>
    <cellStyle name="표준 9 51" xfId="18364" xr:uid="{00000000-0005-0000-0000-0000BC4A0000}"/>
    <cellStyle name="표준 9 52" xfId="18365" xr:uid="{00000000-0005-0000-0000-0000BD4A0000}"/>
    <cellStyle name="표준 9 53" xfId="18366" xr:uid="{00000000-0005-0000-0000-0000BE4A0000}"/>
    <cellStyle name="표준 9 54" xfId="18367" xr:uid="{00000000-0005-0000-0000-0000BF4A0000}"/>
    <cellStyle name="표준 9 54 10" xfId="18741" xr:uid="{00000000-0005-0000-0000-0000C04A0000}"/>
    <cellStyle name="표준 9 54 2" xfId="18368" xr:uid="{00000000-0005-0000-0000-0000C14A0000}"/>
    <cellStyle name="표준 9 54 2 2" xfId="18475" xr:uid="{00000000-0005-0000-0000-0000C24A0000}"/>
    <cellStyle name="표준 9 54 2 2 2" xfId="18609" xr:uid="{00000000-0005-0000-0000-0000C34A0000}"/>
    <cellStyle name="표준 9 54 2 2 2 2" xfId="19204" xr:uid="{00000000-0005-0000-0000-0000C44A0000}"/>
    <cellStyle name="표준 9 54 2 2 2 3" xfId="18909" xr:uid="{00000000-0005-0000-0000-0000C54A0000}"/>
    <cellStyle name="표준 9 54 2 2 3" xfId="18542" xr:uid="{00000000-0005-0000-0000-0000C64A0000}"/>
    <cellStyle name="표준 9 54 2 2 3 2" xfId="19137" xr:uid="{00000000-0005-0000-0000-0000C74A0000}"/>
    <cellStyle name="표준 9 54 2 2 3 3" xfId="18842" xr:uid="{00000000-0005-0000-0000-0000C84A0000}"/>
    <cellStyle name="표준 9 54 2 2 4" xfId="18676" xr:uid="{00000000-0005-0000-0000-0000C94A0000}"/>
    <cellStyle name="표준 9 54 2 2 4 2" xfId="19271" xr:uid="{00000000-0005-0000-0000-0000CA4A0000}"/>
    <cellStyle name="표준 9 54 2 2 4 3" xfId="18976" xr:uid="{00000000-0005-0000-0000-0000CB4A0000}"/>
    <cellStyle name="표준 9 54 2 2 5" xfId="19070" xr:uid="{00000000-0005-0000-0000-0000CC4A0000}"/>
    <cellStyle name="표준 9 54 2 2 6" xfId="18775" xr:uid="{00000000-0005-0000-0000-0000CD4A0000}"/>
    <cellStyle name="표준 9 54 2 3" xfId="18576" xr:uid="{00000000-0005-0000-0000-0000CE4A0000}"/>
    <cellStyle name="표준 9 54 2 3 2" xfId="19171" xr:uid="{00000000-0005-0000-0000-0000CF4A0000}"/>
    <cellStyle name="표준 9 54 2 3 3" xfId="18876" xr:uid="{00000000-0005-0000-0000-0000D04A0000}"/>
    <cellStyle name="표준 9 54 2 4" xfId="18509" xr:uid="{00000000-0005-0000-0000-0000D14A0000}"/>
    <cellStyle name="표준 9 54 2 4 2" xfId="19104" xr:uid="{00000000-0005-0000-0000-0000D24A0000}"/>
    <cellStyle name="표준 9 54 2 4 3" xfId="18809" xr:uid="{00000000-0005-0000-0000-0000D34A0000}"/>
    <cellStyle name="표준 9 54 2 5" xfId="18643" xr:uid="{00000000-0005-0000-0000-0000D44A0000}"/>
    <cellStyle name="표준 9 54 2 5 2" xfId="19238" xr:uid="{00000000-0005-0000-0000-0000D54A0000}"/>
    <cellStyle name="표준 9 54 2 5 3" xfId="18943" xr:uid="{00000000-0005-0000-0000-0000D64A0000}"/>
    <cellStyle name="표준 9 54 2 6" xfId="18718" xr:uid="{00000000-0005-0000-0000-0000D74A0000}"/>
    <cellStyle name="표준 9 54 2 6 2" xfId="19013" xr:uid="{00000000-0005-0000-0000-0000D84A0000}"/>
    <cellStyle name="표준 9 54 2 7" xfId="19037" xr:uid="{00000000-0005-0000-0000-0000D94A0000}"/>
    <cellStyle name="표준 9 54 2 8" xfId="19308" xr:uid="{00000000-0005-0000-0000-0000DA4A0000}"/>
    <cellStyle name="표준 9 54 2 9" xfId="18742" xr:uid="{00000000-0005-0000-0000-0000DB4A0000}"/>
    <cellStyle name="표준 9 54 3" xfId="18474" xr:uid="{00000000-0005-0000-0000-0000DC4A0000}"/>
    <cellStyle name="표준 9 54 3 2" xfId="18608" xr:uid="{00000000-0005-0000-0000-0000DD4A0000}"/>
    <cellStyle name="표준 9 54 3 2 2" xfId="19203" xr:uid="{00000000-0005-0000-0000-0000DE4A0000}"/>
    <cellStyle name="표준 9 54 3 2 3" xfId="18908" xr:uid="{00000000-0005-0000-0000-0000DF4A0000}"/>
    <cellStyle name="표준 9 54 3 3" xfId="18541" xr:uid="{00000000-0005-0000-0000-0000E04A0000}"/>
    <cellStyle name="표준 9 54 3 3 2" xfId="19136" xr:uid="{00000000-0005-0000-0000-0000E14A0000}"/>
    <cellStyle name="표준 9 54 3 3 3" xfId="18841" xr:uid="{00000000-0005-0000-0000-0000E24A0000}"/>
    <cellStyle name="표준 9 54 3 4" xfId="18675" xr:uid="{00000000-0005-0000-0000-0000E34A0000}"/>
    <cellStyle name="표준 9 54 3 4 2" xfId="19270" xr:uid="{00000000-0005-0000-0000-0000E44A0000}"/>
    <cellStyle name="표준 9 54 3 4 3" xfId="18975" xr:uid="{00000000-0005-0000-0000-0000E54A0000}"/>
    <cellStyle name="표준 9 54 3 5" xfId="19069" xr:uid="{00000000-0005-0000-0000-0000E64A0000}"/>
    <cellStyle name="표준 9 54 3 6" xfId="18774" xr:uid="{00000000-0005-0000-0000-0000E74A0000}"/>
    <cellStyle name="표준 9 54 4" xfId="18575" xr:uid="{00000000-0005-0000-0000-0000E84A0000}"/>
    <cellStyle name="표준 9 54 4 2" xfId="19170" xr:uid="{00000000-0005-0000-0000-0000E94A0000}"/>
    <cellStyle name="표준 9 54 4 3" xfId="18875" xr:uid="{00000000-0005-0000-0000-0000EA4A0000}"/>
    <cellStyle name="표준 9 54 5" xfId="18508" xr:uid="{00000000-0005-0000-0000-0000EB4A0000}"/>
    <cellStyle name="표준 9 54 5 2" xfId="19103" xr:uid="{00000000-0005-0000-0000-0000EC4A0000}"/>
    <cellStyle name="표준 9 54 5 3" xfId="18808" xr:uid="{00000000-0005-0000-0000-0000ED4A0000}"/>
    <cellStyle name="표준 9 54 6" xfId="18642" xr:uid="{00000000-0005-0000-0000-0000EE4A0000}"/>
    <cellStyle name="표준 9 54 6 2" xfId="19237" xr:uid="{00000000-0005-0000-0000-0000EF4A0000}"/>
    <cellStyle name="표준 9 54 6 3" xfId="18942" xr:uid="{00000000-0005-0000-0000-0000F04A0000}"/>
    <cellStyle name="표준 9 54 7" xfId="18717" xr:uid="{00000000-0005-0000-0000-0000F14A0000}"/>
    <cellStyle name="표준 9 54 7 2" xfId="19012" xr:uid="{00000000-0005-0000-0000-0000F24A0000}"/>
    <cellStyle name="표준 9 54 8" xfId="19036" xr:uid="{00000000-0005-0000-0000-0000F34A0000}"/>
    <cellStyle name="표준 9 54 9" xfId="19307" xr:uid="{00000000-0005-0000-0000-0000F44A0000}"/>
    <cellStyle name="표준 9 55" xfId="18369" xr:uid="{00000000-0005-0000-0000-0000F54A0000}"/>
    <cellStyle name="표준 9 56" xfId="18370" xr:uid="{00000000-0005-0000-0000-0000F64A0000}"/>
    <cellStyle name="표준 9 56 2" xfId="18476" xr:uid="{00000000-0005-0000-0000-0000F74A0000}"/>
    <cellStyle name="표준 9 56 2 2" xfId="18610" xr:uid="{00000000-0005-0000-0000-0000F84A0000}"/>
    <cellStyle name="표준 9 56 2 2 2" xfId="19205" xr:uid="{00000000-0005-0000-0000-0000F94A0000}"/>
    <cellStyle name="표준 9 56 2 2 3" xfId="18910" xr:uid="{00000000-0005-0000-0000-0000FA4A0000}"/>
    <cellStyle name="표준 9 56 2 3" xfId="18543" xr:uid="{00000000-0005-0000-0000-0000FB4A0000}"/>
    <cellStyle name="표준 9 56 2 3 2" xfId="19138" xr:uid="{00000000-0005-0000-0000-0000FC4A0000}"/>
    <cellStyle name="표준 9 56 2 3 3" xfId="18843" xr:uid="{00000000-0005-0000-0000-0000FD4A0000}"/>
    <cellStyle name="표준 9 56 2 4" xfId="18677" xr:uid="{00000000-0005-0000-0000-0000FE4A0000}"/>
    <cellStyle name="표준 9 56 2 4 2" xfId="19272" xr:uid="{00000000-0005-0000-0000-0000FF4A0000}"/>
    <cellStyle name="표준 9 56 2 4 3" xfId="18977" xr:uid="{00000000-0005-0000-0000-0000004B0000}"/>
    <cellStyle name="표준 9 56 2 5" xfId="19071" xr:uid="{00000000-0005-0000-0000-0000014B0000}"/>
    <cellStyle name="표준 9 56 2 6" xfId="18776" xr:uid="{00000000-0005-0000-0000-0000024B0000}"/>
    <cellStyle name="표준 9 56 3" xfId="18577" xr:uid="{00000000-0005-0000-0000-0000034B0000}"/>
    <cellStyle name="표준 9 56 3 2" xfId="19172" xr:uid="{00000000-0005-0000-0000-0000044B0000}"/>
    <cellStyle name="표준 9 56 3 3" xfId="18877" xr:uid="{00000000-0005-0000-0000-0000054B0000}"/>
    <cellStyle name="표준 9 56 4" xfId="18510" xr:uid="{00000000-0005-0000-0000-0000064B0000}"/>
    <cellStyle name="표준 9 56 4 2" xfId="19105" xr:uid="{00000000-0005-0000-0000-0000074B0000}"/>
    <cellStyle name="표준 9 56 4 3" xfId="18810" xr:uid="{00000000-0005-0000-0000-0000084B0000}"/>
    <cellStyle name="표준 9 56 5" xfId="18644" xr:uid="{00000000-0005-0000-0000-0000094B0000}"/>
    <cellStyle name="표준 9 56 5 2" xfId="19239" xr:uid="{00000000-0005-0000-0000-00000A4B0000}"/>
    <cellStyle name="표준 9 56 5 3" xfId="18944" xr:uid="{00000000-0005-0000-0000-00000B4B0000}"/>
    <cellStyle name="표준 9 56 6" xfId="18719" xr:uid="{00000000-0005-0000-0000-00000C4B0000}"/>
    <cellStyle name="표준 9 56 6 2" xfId="19014" xr:uid="{00000000-0005-0000-0000-00000D4B0000}"/>
    <cellStyle name="표준 9 56 7" xfId="19038" xr:uid="{00000000-0005-0000-0000-00000E4B0000}"/>
    <cellStyle name="표준 9 56 8" xfId="19309" xr:uid="{00000000-0005-0000-0000-00000F4B0000}"/>
    <cellStyle name="표준 9 56 9" xfId="18743" xr:uid="{00000000-0005-0000-0000-0000104B0000}"/>
    <cellStyle name="표준 9 57" xfId="18473" xr:uid="{00000000-0005-0000-0000-0000114B0000}"/>
    <cellStyle name="표준 9 57 2" xfId="18607" xr:uid="{00000000-0005-0000-0000-0000124B0000}"/>
    <cellStyle name="표준 9 57 2 2" xfId="19202" xr:uid="{00000000-0005-0000-0000-0000134B0000}"/>
    <cellStyle name="표준 9 57 2 3" xfId="18907" xr:uid="{00000000-0005-0000-0000-0000144B0000}"/>
    <cellStyle name="표준 9 57 3" xfId="18540" xr:uid="{00000000-0005-0000-0000-0000154B0000}"/>
    <cellStyle name="표준 9 57 3 2" xfId="19135" xr:uid="{00000000-0005-0000-0000-0000164B0000}"/>
    <cellStyle name="표준 9 57 3 3" xfId="18840" xr:uid="{00000000-0005-0000-0000-0000174B0000}"/>
    <cellStyle name="표준 9 57 4" xfId="18674" xr:uid="{00000000-0005-0000-0000-0000184B0000}"/>
    <cellStyle name="표준 9 57 4 2" xfId="19269" xr:uid="{00000000-0005-0000-0000-0000194B0000}"/>
    <cellStyle name="표준 9 57 4 3" xfId="18974" xr:uid="{00000000-0005-0000-0000-00001A4B0000}"/>
    <cellStyle name="표준 9 57 5" xfId="19068" xr:uid="{00000000-0005-0000-0000-00001B4B0000}"/>
    <cellStyle name="표준 9 57 6" xfId="18773" xr:uid="{00000000-0005-0000-0000-00001C4B0000}"/>
    <cellStyle name="표준 9 58" xfId="18574" xr:uid="{00000000-0005-0000-0000-00001D4B0000}"/>
    <cellStyle name="표준 9 58 2" xfId="19169" xr:uid="{00000000-0005-0000-0000-00001E4B0000}"/>
    <cellStyle name="표준 9 58 3" xfId="18874" xr:uid="{00000000-0005-0000-0000-00001F4B0000}"/>
    <cellStyle name="표준 9 59" xfId="18507" xr:uid="{00000000-0005-0000-0000-0000204B0000}"/>
    <cellStyle name="표준 9 59 2" xfId="19102" xr:uid="{00000000-0005-0000-0000-0000214B0000}"/>
    <cellStyle name="표준 9 59 3" xfId="18807" xr:uid="{00000000-0005-0000-0000-0000224B0000}"/>
    <cellStyle name="표준 9 6" xfId="18371" xr:uid="{00000000-0005-0000-0000-0000234B0000}"/>
    <cellStyle name="표준 9 60" xfId="18641" xr:uid="{00000000-0005-0000-0000-0000244B0000}"/>
    <cellStyle name="표준 9 60 2" xfId="19236" xr:uid="{00000000-0005-0000-0000-0000254B0000}"/>
    <cellStyle name="표준 9 60 3" xfId="18941" xr:uid="{00000000-0005-0000-0000-0000264B0000}"/>
    <cellStyle name="표준 9 61" xfId="18716" xr:uid="{00000000-0005-0000-0000-0000274B0000}"/>
    <cellStyle name="표준 9 61 2" xfId="19011" xr:uid="{00000000-0005-0000-0000-0000284B0000}"/>
    <cellStyle name="표준 9 62" xfId="19035" xr:uid="{00000000-0005-0000-0000-0000294B0000}"/>
    <cellStyle name="표준 9 63" xfId="19306" xr:uid="{00000000-0005-0000-0000-00002A4B0000}"/>
    <cellStyle name="표준 9 64" xfId="18740" xr:uid="{00000000-0005-0000-0000-00002B4B0000}"/>
    <cellStyle name="표준 9 7" xfId="18372" xr:uid="{00000000-0005-0000-0000-00002C4B0000}"/>
    <cellStyle name="표준 9 8" xfId="18373" xr:uid="{00000000-0005-0000-0000-00002D4B0000}"/>
    <cellStyle name="표준 9 9" xfId="18374" xr:uid="{00000000-0005-0000-0000-00002E4B0000}"/>
    <cellStyle name="표준(중앙)" xfId="18375" xr:uid="{00000000-0005-0000-0000-00002F4B0000}"/>
    <cellStyle name="標準_Akia(F）-8" xfId="18376" xr:uid="{00000000-0005-0000-0000-0000304B0000}"/>
    <cellStyle name="표준_p1공장 외벽청소(08.03.17)" xfId="19314" xr:uid="{736B840D-7396-4D10-A9DB-A1414A1DFD85}"/>
    <cellStyle name="표준_P456 공장 및 복지동 전면 유리창 청소건 라상혁님_1129(최종)" xfId="19315" xr:uid="{DBD25FA3-2F90-4BFC-B600-3743F8833EA8}"/>
    <cellStyle name="표준_S&amp;D_MAIN VALVE_최빈_2" xfId="19313" xr:uid="{2148A61C-55A2-4C11-B8D6-10E3E0C3ED94}"/>
    <cellStyle name="표준1" xfId="18377" xr:uid="{00000000-0005-0000-0000-0000324B0000}"/>
    <cellStyle name="표쥰" xfId="18378" xr:uid="{00000000-0005-0000-0000-0000334B0000}"/>
    <cellStyle name="하이퍼링크 11 2" xfId="18379" xr:uid="{00000000-0005-0000-0000-0000344B0000}"/>
    <cellStyle name="하이퍼링크 12 2" xfId="18380" xr:uid="{00000000-0005-0000-0000-0000354B0000}"/>
    <cellStyle name="하이퍼링크 18 10" xfId="18381" xr:uid="{00000000-0005-0000-0000-0000364B0000}"/>
    <cellStyle name="하이퍼링크 18 11" xfId="18382" xr:uid="{00000000-0005-0000-0000-0000374B0000}"/>
    <cellStyle name="하이퍼링크 18 12" xfId="18383" xr:uid="{00000000-0005-0000-0000-0000384B0000}"/>
    <cellStyle name="하이퍼링크 18 13" xfId="18384" xr:uid="{00000000-0005-0000-0000-0000394B0000}"/>
    <cellStyle name="하이퍼링크 18 14" xfId="18385" xr:uid="{00000000-0005-0000-0000-00003A4B0000}"/>
    <cellStyle name="하이퍼링크 18 2" xfId="18386" xr:uid="{00000000-0005-0000-0000-00003B4B0000}"/>
    <cellStyle name="하이퍼링크 18 3" xfId="18387" xr:uid="{00000000-0005-0000-0000-00003C4B0000}"/>
    <cellStyle name="하이퍼링크 18 4" xfId="18388" xr:uid="{00000000-0005-0000-0000-00003D4B0000}"/>
    <cellStyle name="하이퍼링크 18 5" xfId="18389" xr:uid="{00000000-0005-0000-0000-00003E4B0000}"/>
    <cellStyle name="하이퍼링크 18 6" xfId="18390" xr:uid="{00000000-0005-0000-0000-00003F4B0000}"/>
    <cellStyle name="하이퍼링크 18 7" xfId="18391" xr:uid="{00000000-0005-0000-0000-0000404B0000}"/>
    <cellStyle name="하이퍼링크 18 8" xfId="18392" xr:uid="{00000000-0005-0000-0000-0000414B0000}"/>
    <cellStyle name="하이퍼링크 18 9" xfId="18393" xr:uid="{00000000-0005-0000-0000-0000424B0000}"/>
    <cellStyle name="하이퍼링크 2" xfId="18394" xr:uid="{00000000-0005-0000-0000-0000434B0000}"/>
    <cellStyle name="하이퍼링크 2 10" xfId="18395" xr:uid="{00000000-0005-0000-0000-0000444B0000}"/>
    <cellStyle name="하이퍼링크 2 11" xfId="18396" xr:uid="{00000000-0005-0000-0000-0000454B0000}"/>
    <cellStyle name="하이퍼링크 2 12" xfId="18397" xr:uid="{00000000-0005-0000-0000-0000464B0000}"/>
    <cellStyle name="하이퍼링크 2 13" xfId="18398" xr:uid="{00000000-0005-0000-0000-0000474B0000}"/>
    <cellStyle name="하이퍼링크 2 14" xfId="18399" xr:uid="{00000000-0005-0000-0000-0000484B0000}"/>
    <cellStyle name="하이퍼링크 2 15" xfId="18400" xr:uid="{00000000-0005-0000-0000-0000494B0000}"/>
    <cellStyle name="하이퍼링크 2 16" xfId="18401" xr:uid="{00000000-0005-0000-0000-00004A4B0000}"/>
    <cellStyle name="하이퍼링크 2 17" xfId="18402" xr:uid="{00000000-0005-0000-0000-00004B4B0000}"/>
    <cellStyle name="하이퍼링크 2 18" xfId="18403" xr:uid="{00000000-0005-0000-0000-00004C4B0000}"/>
    <cellStyle name="하이퍼링크 2 19" xfId="18404" xr:uid="{00000000-0005-0000-0000-00004D4B0000}"/>
    <cellStyle name="하이퍼링크 2 2" xfId="18405" xr:uid="{00000000-0005-0000-0000-00004E4B0000}"/>
    <cellStyle name="하이퍼링크 2 20" xfId="18406" xr:uid="{00000000-0005-0000-0000-00004F4B0000}"/>
    <cellStyle name="하이퍼링크 2 21" xfId="18407" xr:uid="{00000000-0005-0000-0000-0000504B0000}"/>
    <cellStyle name="하이퍼링크 2 22" xfId="18408" xr:uid="{00000000-0005-0000-0000-0000514B0000}"/>
    <cellStyle name="하이퍼링크 2 23" xfId="18409" xr:uid="{00000000-0005-0000-0000-0000524B0000}"/>
    <cellStyle name="하이퍼링크 2 24" xfId="18410" xr:uid="{00000000-0005-0000-0000-0000534B0000}"/>
    <cellStyle name="하이퍼링크 2 25" xfId="18411" xr:uid="{00000000-0005-0000-0000-0000544B0000}"/>
    <cellStyle name="하이퍼링크 2 26" xfId="18412" xr:uid="{00000000-0005-0000-0000-0000554B0000}"/>
    <cellStyle name="하이퍼링크 2 3" xfId="18413" xr:uid="{00000000-0005-0000-0000-0000564B0000}"/>
    <cellStyle name="하이퍼링크 2 4" xfId="18414" xr:uid="{00000000-0005-0000-0000-0000574B0000}"/>
    <cellStyle name="하이퍼링크 2 5" xfId="18415" xr:uid="{00000000-0005-0000-0000-0000584B0000}"/>
    <cellStyle name="하이퍼링크 2 6" xfId="18416" xr:uid="{00000000-0005-0000-0000-0000594B0000}"/>
    <cellStyle name="하이퍼링크 2 7" xfId="18417" xr:uid="{00000000-0005-0000-0000-00005A4B0000}"/>
    <cellStyle name="하이퍼링크 2 8" xfId="18418" xr:uid="{00000000-0005-0000-0000-00005B4B0000}"/>
    <cellStyle name="하이퍼링크 2 9" xfId="18419" xr:uid="{00000000-0005-0000-0000-00005C4B0000}"/>
    <cellStyle name="하이퍼링크 22 2" xfId="18420" xr:uid="{00000000-0005-0000-0000-00005D4B0000}"/>
    <cellStyle name="하이퍼링크 24 2" xfId="18421" xr:uid="{00000000-0005-0000-0000-00005E4B0000}"/>
    <cellStyle name="하이퍼링크 3 2" xfId="18422" xr:uid="{00000000-0005-0000-0000-00005F4B0000}"/>
    <cellStyle name="하이퍼링크 3 3" xfId="18423" xr:uid="{00000000-0005-0000-0000-0000604B0000}"/>
    <cellStyle name="하이퍼링크 3 4" xfId="18424" xr:uid="{00000000-0005-0000-0000-0000614B0000}"/>
    <cellStyle name="하이퍼링크 9 2" xfId="18425" xr:uid="{00000000-0005-0000-0000-0000624B0000}"/>
    <cellStyle name="하이퍼링크 9 3" xfId="18426" xr:uid="{00000000-0005-0000-0000-0000634B0000}"/>
    <cellStyle name="하이퍼링크 9 4" xfId="18427" xr:uid="{00000000-0005-0000-0000-0000644B0000}"/>
    <cellStyle name="하이퍼링크이퍼링크潳" xfId="18428" xr:uid="{00000000-0005-0000-0000-0000654B0000}"/>
    <cellStyle name="합   계" xfId="18429" xr:uid="{00000000-0005-0000-0000-0000664B0000}"/>
    <cellStyle name="합산" xfId="18430" xr:uid="{00000000-0005-0000-0000-0000674B0000}"/>
    <cellStyle name="합산 2" xfId="18431" xr:uid="{00000000-0005-0000-0000-0000684B0000}"/>
    <cellStyle name="해동양식" xfId="18432" xr:uid="{00000000-0005-0000-0000-0000694B0000}"/>
    <cellStyle name="허윤정" xfId="18433" xr:uid="{00000000-0005-0000-0000-00006A4B0000}"/>
    <cellStyle name="형철" xfId="18434" xr:uid="{00000000-0005-0000-0000-00006B4B0000}"/>
    <cellStyle name="화폐기호" xfId="18435" xr:uid="{00000000-0005-0000-0000-00006C4B0000}"/>
    <cellStyle name="화폐기호 2" xfId="18436" xr:uid="{00000000-0005-0000-0000-00006D4B0000}"/>
    <cellStyle name="화폐기호 3" xfId="18437" xr:uid="{00000000-0005-0000-0000-00006E4B0000}"/>
    <cellStyle name="화폐기호0" xfId="18438" xr:uid="{00000000-0005-0000-0000-00006F4B0000}"/>
    <cellStyle name="화폐기호0 2" xfId="18439" xr:uid="{00000000-0005-0000-0000-0000704B0000}"/>
    <cellStyle name="ㅏㅏㅏ" xfId="18440" xr:uid="{00000000-0005-0000-0000-0000714B0000}"/>
    <cellStyle name="ㅣ" xfId="18441" xr:uid="{00000000-0005-0000-0000-0000724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FD758-A5C8-4EF4-B876-EE7852A3A0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728383</xdr:colOff>
      <xdr:row>19</xdr:row>
      <xdr:rowOff>212364</xdr:rowOff>
    </xdr:from>
    <xdr:to>
      <xdr:col>3</xdr:col>
      <xdr:colOff>313765</xdr:colOff>
      <xdr:row>37</xdr:row>
      <xdr:rowOff>36806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696F408-CF6D-1232-A1CC-994CD42FD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99765" y="6431629"/>
          <a:ext cx="3204882" cy="3656853"/>
        </a:xfrm>
        <a:prstGeom prst="rect">
          <a:avLst/>
        </a:prstGeom>
      </xdr:spPr>
    </xdr:pic>
    <xdr:clientData/>
  </xdr:twoCellAnchor>
  <xdr:twoCellAnchor editAs="oneCell">
    <xdr:from>
      <xdr:col>6</xdr:col>
      <xdr:colOff>392206</xdr:colOff>
      <xdr:row>26</xdr:row>
      <xdr:rowOff>201706</xdr:rowOff>
    </xdr:from>
    <xdr:to>
      <xdr:col>12</xdr:col>
      <xdr:colOff>278060</xdr:colOff>
      <xdr:row>30</xdr:row>
      <xdr:rowOff>179294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564DB7-C48E-4308-922A-D11ED6743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94059" y="7911353"/>
          <a:ext cx="5006942" cy="8292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</xdr:row>
      <xdr:rowOff>175260</xdr:rowOff>
    </xdr:from>
    <xdr:to>
      <xdr:col>11</xdr:col>
      <xdr:colOff>406741</xdr:colOff>
      <xdr:row>26</xdr:row>
      <xdr:rowOff>59055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87680" y="384810"/>
          <a:ext cx="7462861" cy="5122545"/>
          <a:chOff x="114300" y="361950"/>
          <a:chExt cx="7447621" cy="5133975"/>
        </a:xfrm>
      </xdr:grpSpPr>
      <xdr:pic>
        <xdr:nvPicPr>
          <xdr:cNvPr id="6" name="그림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7" name="그림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825038" y="10900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>
    <xdr:from>
      <xdr:col>1</xdr:col>
      <xdr:colOff>621030</xdr:colOff>
      <xdr:row>20</xdr:row>
      <xdr:rowOff>80010</xdr:rowOff>
    </xdr:from>
    <xdr:to>
      <xdr:col>11</xdr:col>
      <xdr:colOff>356756</xdr:colOff>
      <xdr:row>21</xdr:row>
      <xdr:rowOff>92156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E0E99FC-587D-48B1-AEA7-850400E032C2}"/>
            </a:ext>
          </a:extLst>
        </xdr:cNvPr>
        <xdr:cNvSpPr/>
      </xdr:nvSpPr>
      <xdr:spPr>
        <a:xfrm>
          <a:off x="1306830" y="4271010"/>
          <a:ext cx="6593726" cy="221696"/>
        </a:xfrm>
        <a:prstGeom prst="rect">
          <a:avLst/>
        </a:prstGeom>
        <a:noFill/>
        <a:ln>
          <a:solidFill>
            <a:srgbClr val="C0000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/>
            <a:t>ㅗ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1313329</xdr:colOff>
      <xdr:row>34</xdr:row>
      <xdr:rowOff>40340</xdr:rowOff>
    </xdr:from>
    <xdr:to>
      <xdr:col>4</xdr:col>
      <xdr:colOff>750793</xdr:colOff>
      <xdr:row>34</xdr:row>
      <xdr:rowOff>614081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10000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1941" y="9471211"/>
          <a:ext cx="748552" cy="573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A444-3CE4-4B8B-833C-D38846A10FE4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124" customWidth="1"/>
    <col min="2" max="2" width="3.875" style="124" customWidth="1"/>
    <col min="3" max="3" width="5" style="124" customWidth="1"/>
    <col min="4" max="4" width="6.25" style="124" customWidth="1"/>
    <col min="5" max="5" width="2.875" style="124" customWidth="1"/>
    <col min="6" max="6" width="4" style="124" customWidth="1"/>
    <col min="7" max="7" width="4.75" style="124" customWidth="1"/>
    <col min="8" max="8" width="5.5" style="124" customWidth="1"/>
    <col min="9" max="9" width="5.375" style="124" customWidth="1"/>
    <col min="10" max="10" width="1.25" style="124" customWidth="1"/>
    <col min="11" max="11" width="4.375" style="124" customWidth="1"/>
    <col min="12" max="12" width="10.375" style="124" customWidth="1"/>
    <col min="13" max="13" width="20.25" style="124" bestFit="1" customWidth="1"/>
    <col min="14" max="14" width="12.875" style="124" customWidth="1"/>
    <col min="15" max="15" width="15.5" style="124" bestFit="1" customWidth="1"/>
    <col min="16" max="16" width="2.75" style="124" customWidth="1"/>
    <col min="17" max="17" width="12" style="124" bestFit="1" customWidth="1"/>
    <col min="18" max="243" width="9" style="124"/>
    <col min="244" max="244" width="5" style="124" customWidth="1"/>
    <col min="245" max="245" width="3.875" style="124" customWidth="1"/>
    <col min="246" max="246" width="5" style="124" customWidth="1"/>
    <col min="247" max="247" width="6.25" style="124" customWidth="1"/>
    <col min="248" max="248" width="2.875" style="124" customWidth="1"/>
    <col min="249" max="249" width="4" style="124" customWidth="1"/>
    <col min="250" max="250" width="4.75" style="124" customWidth="1"/>
    <col min="251" max="251" width="5.5" style="124" customWidth="1"/>
    <col min="252" max="252" width="5.375" style="124" customWidth="1"/>
    <col min="253" max="253" width="1.25" style="124" customWidth="1"/>
    <col min="254" max="254" width="4.375" style="124" customWidth="1"/>
    <col min="255" max="255" width="10.375" style="124" customWidth="1"/>
    <col min="256" max="256" width="16.625" style="124" customWidth="1"/>
    <col min="257" max="257" width="10.875" style="124" customWidth="1"/>
    <col min="258" max="258" width="18.75" style="124" customWidth="1"/>
    <col min="259" max="259" width="14.25" style="124" bestFit="1" customWidth="1"/>
    <col min="260" max="499" width="9" style="124"/>
    <col min="500" max="500" width="5" style="124" customWidth="1"/>
    <col min="501" max="501" width="3.875" style="124" customWidth="1"/>
    <col min="502" max="502" width="5" style="124" customWidth="1"/>
    <col min="503" max="503" width="6.25" style="124" customWidth="1"/>
    <col min="504" max="504" width="2.875" style="124" customWidth="1"/>
    <col min="505" max="505" width="4" style="124" customWidth="1"/>
    <col min="506" max="506" width="4.75" style="124" customWidth="1"/>
    <col min="507" max="507" width="5.5" style="124" customWidth="1"/>
    <col min="508" max="508" width="5.375" style="124" customWidth="1"/>
    <col min="509" max="509" width="1.25" style="124" customWidth="1"/>
    <col min="510" max="510" width="4.375" style="124" customWidth="1"/>
    <col min="511" max="511" width="10.375" style="124" customWidth="1"/>
    <col min="512" max="512" width="16.625" style="124" customWidth="1"/>
    <col min="513" max="513" width="10.875" style="124" customWidth="1"/>
    <col min="514" max="514" width="18.75" style="124" customWidth="1"/>
    <col min="515" max="515" width="14.25" style="124" bestFit="1" customWidth="1"/>
    <col min="516" max="755" width="9" style="124"/>
    <col min="756" max="756" width="5" style="124" customWidth="1"/>
    <col min="757" max="757" width="3.875" style="124" customWidth="1"/>
    <col min="758" max="758" width="5" style="124" customWidth="1"/>
    <col min="759" max="759" width="6.25" style="124" customWidth="1"/>
    <col min="760" max="760" width="2.875" style="124" customWidth="1"/>
    <col min="761" max="761" width="4" style="124" customWidth="1"/>
    <col min="762" max="762" width="4.75" style="124" customWidth="1"/>
    <col min="763" max="763" width="5.5" style="124" customWidth="1"/>
    <col min="764" max="764" width="5.375" style="124" customWidth="1"/>
    <col min="765" max="765" width="1.25" style="124" customWidth="1"/>
    <col min="766" max="766" width="4.375" style="124" customWidth="1"/>
    <col min="767" max="767" width="10.375" style="124" customWidth="1"/>
    <col min="768" max="768" width="16.625" style="124" customWidth="1"/>
    <col min="769" max="769" width="10.875" style="124" customWidth="1"/>
    <col min="770" max="770" width="18.75" style="124" customWidth="1"/>
    <col min="771" max="771" width="14.25" style="124" bestFit="1" customWidth="1"/>
    <col min="772" max="1011" width="9" style="124"/>
    <col min="1012" max="1012" width="5" style="124" customWidth="1"/>
    <col min="1013" max="1013" width="3.875" style="124" customWidth="1"/>
    <col min="1014" max="1014" width="5" style="124" customWidth="1"/>
    <col min="1015" max="1015" width="6.25" style="124" customWidth="1"/>
    <col min="1016" max="1016" width="2.875" style="124" customWidth="1"/>
    <col min="1017" max="1017" width="4" style="124" customWidth="1"/>
    <col min="1018" max="1018" width="4.75" style="124" customWidth="1"/>
    <col min="1019" max="1019" width="5.5" style="124" customWidth="1"/>
    <col min="1020" max="1020" width="5.375" style="124" customWidth="1"/>
    <col min="1021" max="1021" width="1.25" style="124" customWidth="1"/>
    <col min="1022" max="1022" width="4.375" style="124" customWidth="1"/>
    <col min="1023" max="1023" width="10.375" style="124" customWidth="1"/>
    <col min="1024" max="1024" width="16.625" style="124" customWidth="1"/>
    <col min="1025" max="1025" width="10.875" style="124" customWidth="1"/>
    <col min="1026" max="1026" width="18.75" style="124" customWidth="1"/>
    <col min="1027" max="1027" width="14.25" style="124" bestFit="1" customWidth="1"/>
    <col min="1028" max="1267" width="9" style="124"/>
    <col min="1268" max="1268" width="5" style="124" customWidth="1"/>
    <col min="1269" max="1269" width="3.875" style="124" customWidth="1"/>
    <col min="1270" max="1270" width="5" style="124" customWidth="1"/>
    <col min="1271" max="1271" width="6.25" style="124" customWidth="1"/>
    <col min="1272" max="1272" width="2.875" style="124" customWidth="1"/>
    <col min="1273" max="1273" width="4" style="124" customWidth="1"/>
    <col min="1274" max="1274" width="4.75" style="124" customWidth="1"/>
    <col min="1275" max="1275" width="5.5" style="124" customWidth="1"/>
    <col min="1276" max="1276" width="5.375" style="124" customWidth="1"/>
    <col min="1277" max="1277" width="1.25" style="124" customWidth="1"/>
    <col min="1278" max="1278" width="4.375" style="124" customWidth="1"/>
    <col min="1279" max="1279" width="10.375" style="124" customWidth="1"/>
    <col min="1280" max="1280" width="16.625" style="124" customWidth="1"/>
    <col min="1281" max="1281" width="10.875" style="124" customWidth="1"/>
    <col min="1282" max="1282" width="18.75" style="124" customWidth="1"/>
    <col min="1283" max="1283" width="14.25" style="124" bestFit="1" customWidth="1"/>
    <col min="1284" max="1523" width="9" style="124"/>
    <col min="1524" max="1524" width="5" style="124" customWidth="1"/>
    <col min="1525" max="1525" width="3.875" style="124" customWidth="1"/>
    <col min="1526" max="1526" width="5" style="124" customWidth="1"/>
    <col min="1527" max="1527" width="6.25" style="124" customWidth="1"/>
    <col min="1528" max="1528" width="2.875" style="124" customWidth="1"/>
    <col min="1529" max="1529" width="4" style="124" customWidth="1"/>
    <col min="1530" max="1530" width="4.75" style="124" customWidth="1"/>
    <col min="1531" max="1531" width="5.5" style="124" customWidth="1"/>
    <col min="1532" max="1532" width="5.375" style="124" customWidth="1"/>
    <col min="1533" max="1533" width="1.25" style="124" customWidth="1"/>
    <col min="1534" max="1534" width="4.375" style="124" customWidth="1"/>
    <col min="1535" max="1535" width="10.375" style="124" customWidth="1"/>
    <col min="1536" max="1536" width="16.625" style="124" customWidth="1"/>
    <col min="1537" max="1537" width="10.875" style="124" customWidth="1"/>
    <col min="1538" max="1538" width="18.75" style="124" customWidth="1"/>
    <col min="1539" max="1539" width="14.25" style="124" bestFit="1" customWidth="1"/>
    <col min="1540" max="1779" width="9" style="124"/>
    <col min="1780" max="1780" width="5" style="124" customWidth="1"/>
    <col min="1781" max="1781" width="3.875" style="124" customWidth="1"/>
    <col min="1782" max="1782" width="5" style="124" customWidth="1"/>
    <col min="1783" max="1783" width="6.25" style="124" customWidth="1"/>
    <col min="1784" max="1784" width="2.875" style="124" customWidth="1"/>
    <col min="1785" max="1785" width="4" style="124" customWidth="1"/>
    <col min="1786" max="1786" width="4.75" style="124" customWidth="1"/>
    <col min="1787" max="1787" width="5.5" style="124" customWidth="1"/>
    <col min="1788" max="1788" width="5.375" style="124" customWidth="1"/>
    <col min="1789" max="1789" width="1.25" style="124" customWidth="1"/>
    <col min="1790" max="1790" width="4.375" style="124" customWidth="1"/>
    <col min="1791" max="1791" width="10.375" style="124" customWidth="1"/>
    <col min="1792" max="1792" width="16.625" style="124" customWidth="1"/>
    <col min="1793" max="1793" width="10.875" style="124" customWidth="1"/>
    <col min="1794" max="1794" width="18.75" style="124" customWidth="1"/>
    <col min="1795" max="1795" width="14.25" style="124" bestFit="1" customWidth="1"/>
    <col min="1796" max="2035" width="9" style="124"/>
    <col min="2036" max="2036" width="5" style="124" customWidth="1"/>
    <col min="2037" max="2037" width="3.875" style="124" customWidth="1"/>
    <col min="2038" max="2038" width="5" style="124" customWidth="1"/>
    <col min="2039" max="2039" width="6.25" style="124" customWidth="1"/>
    <col min="2040" max="2040" width="2.875" style="124" customWidth="1"/>
    <col min="2041" max="2041" width="4" style="124" customWidth="1"/>
    <col min="2042" max="2042" width="4.75" style="124" customWidth="1"/>
    <col min="2043" max="2043" width="5.5" style="124" customWidth="1"/>
    <col min="2044" max="2044" width="5.375" style="124" customWidth="1"/>
    <col min="2045" max="2045" width="1.25" style="124" customWidth="1"/>
    <col min="2046" max="2046" width="4.375" style="124" customWidth="1"/>
    <col min="2047" max="2047" width="10.375" style="124" customWidth="1"/>
    <col min="2048" max="2048" width="16.625" style="124" customWidth="1"/>
    <col min="2049" max="2049" width="10.875" style="124" customWidth="1"/>
    <col min="2050" max="2050" width="18.75" style="124" customWidth="1"/>
    <col min="2051" max="2051" width="14.25" style="124" bestFit="1" customWidth="1"/>
    <col min="2052" max="2291" width="9" style="124"/>
    <col min="2292" max="2292" width="5" style="124" customWidth="1"/>
    <col min="2293" max="2293" width="3.875" style="124" customWidth="1"/>
    <col min="2294" max="2294" width="5" style="124" customWidth="1"/>
    <col min="2295" max="2295" width="6.25" style="124" customWidth="1"/>
    <col min="2296" max="2296" width="2.875" style="124" customWidth="1"/>
    <col min="2297" max="2297" width="4" style="124" customWidth="1"/>
    <col min="2298" max="2298" width="4.75" style="124" customWidth="1"/>
    <col min="2299" max="2299" width="5.5" style="124" customWidth="1"/>
    <col min="2300" max="2300" width="5.375" style="124" customWidth="1"/>
    <col min="2301" max="2301" width="1.25" style="124" customWidth="1"/>
    <col min="2302" max="2302" width="4.375" style="124" customWidth="1"/>
    <col min="2303" max="2303" width="10.375" style="124" customWidth="1"/>
    <col min="2304" max="2304" width="16.625" style="124" customWidth="1"/>
    <col min="2305" max="2305" width="10.875" style="124" customWidth="1"/>
    <col min="2306" max="2306" width="18.75" style="124" customWidth="1"/>
    <col min="2307" max="2307" width="14.25" style="124" bestFit="1" customWidth="1"/>
    <col min="2308" max="2547" width="9" style="124"/>
    <col min="2548" max="2548" width="5" style="124" customWidth="1"/>
    <col min="2549" max="2549" width="3.875" style="124" customWidth="1"/>
    <col min="2550" max="2550" width="5" style="124" customWidth="1"/>
    <col min="2551" max="2551" width="6.25" style="124" customWidth="1"/>
    <col min="2552" max="2552" width="2.875" style="124" customWidth="1"/>
    <col min="2553" max="2553" width="4" style="124" customWidth="1"/>
    <col min="2554" max="2554" width="4.75" style="124" customWidth="1"/>
    <col min="2555" max="2555" width="5.5" style="124" customWidth="1"/>
    <col min="2556" max="2556" width="5.375" style="124" customWidth="1"/>
    <col min="2557" max="2557" width="1.25" style="124" customWidth="1"/>
    <col min="2558" max="2558" width="4.375" style="124" customWidth="1"/>
    <col min="2559" max="2559" width="10.375" style="124" customWidth="1"/>
    <col min="2560" max="2560" width="16.625" style="124" customWidth="1"/>
    <col min="2561" max="2561" width="10.875" style="124" customWidth="1"/>
    <col min="2562" max="2562" width="18.75" style="124" customWidth="1"/>
    <col min="2563" max="2563" width="14.25" style="124" bestFit="1" customWidth="1"/>
    <col min="2564" max="2803" width="9" style="124"/>
    <col min="2804" max="2804" width="5" style="124" customWidth="1"/>
    <col min="2805" max="2805" width="3.875" style="124" customWidth="1"/>
    <col min="2806" max="2806" width="5" style="124" customWidth="1"/>
    <col min="2807" max="2807" width="6.25" style="124" customWidth="1"/>
    <col min="2808" max="2808" width="2.875" style="124" customWidth="1"/>
    <col min="2809" max="2809" width="4" style="124" customWidth="1"/>
    <col min="2810" max="2810" width="4.75" style="124" customWidth="1"/>
    <col min="2811" max="2811" width="5.5" style="124" customWidth="1"/>
    <col min="2812" max="2812" width="5.375" style="124" customWidth="1"/>
    <col min="2813" max="2813" width="1.25" style="124" customWidth="1"/>
    <col min="2814" max="2814" width="4.375" style="124" customWidth="1"/>
    <col min="2815" max="2815" width="10.375" style="124" customWidth="1"/>
    <col min="2816" max="2816" width="16.625" style="124" customWidth="1"/>
    <col min="2817" max="2817" width="10.875" style="124" customWidth="1"/>
    <col min="2818" max="2818" width="18.75" style="124" customWidth="1"/>
    <col min="2819" max="2819" width="14.25" style="124" bestFit="1" customWidth="1"/>
    <col min="2820" max="3059" width="9" style="124"/>
    <col min="3060" max="3060" width="5" style="124" customWidth="1"/>
    <col min="3061" max="3061" width="3.875" style="124" customWidth="1"/>
    <col min="3062" max="3062" width="5" style="124" customWidth="1"/>
    <col min="3063" max="3063" width="6.25" style="124" customWidth="1"/>
    <col min="3064" max="3064" width="2.875" style="124" customWidth="1"/>
    <col min="3065" max="3065" width="4" style="124" customWidth="1"/>
    <col min="3066" max="3066" width="4.75" style="124" customWidth="1"/>
    <col min="3067" max="3067" width="5.5" style="124" customWidth="1"/>
    <col min="3068" max="3068" width="5.375" style="124" customWidth="1"/>
    <col min="3069" max="3069" width="1.25" style="124" customWidth="1"/>
    <col min="3070" max="3070" width="4.375" style="124" customWidth="1"/>
    <col min="3071" max="3071" width="10.375" style="124" customWidth="1"/>
    <col min="3072" max="3072" width="16.625" style="124" customWidth="1"/>
    <col min="3073" max="3073" width="10.875" style="124" customWidth="1"/>
    <col min="3074" max="3074" width="18.75" style="124" customWidth="1"/>
    <col min="3075" max="3075" width="14.25" style="124" bestFit="1" customWidth="1"/>
    <col min="3076" max="3315" width="9" style="124"/>
    <col min="3316" max="3316" width="5" style="124" customWidth="1"/>
    <col min="3317" max="3317" width="3.875" style="124" customWidth="1"/>
    <col min="3318" max="3318" width="5" style="124" customWidth="1"/>
    <col min="3319" max="3319" width="6.25" style="124" customWidth="1"/>
    <col min="3320" max="3320" width="2.875" style="124" customWidth="1"/>
    <col min="3321" max="3321" width="4" style="124" customWidth="1"/>
    <col min="3322" max="3322" width="4.75" style="124" customWidth="1"/>
    <col min="3323" max="3323" width="5.5" style="124" customWidth="1"/>
    <col min="3324" max="3324" width="5.375" style="124" customWidth="1"/>
    <col min="3325" max="3325" width="1.25" style="124" customWidth="1"/>
    <col min="3326" max="3326" width="4.375" style="124" customWidth="1"/>
    <col min="3327" max="3327" width="10.375" style="124" customWidth="1"/>
    <col min="3328" max="3328" width="16.625" style="124" customWidth="1"/>
    <col min="3329" max="3329" width="10.875" style="124" customWidth="1"/>
    <col min="3330" max="3330" width="18.75" style="124" customWidth="1"/>
    <col min="3331" max="3331" width="14.25" style="124" bestFit="1" customWidth="1"/>
    <col min="3332" max="3571" width="9" style="124"/>
    <col min="3572" max="3572" width="5" style="124" customWidth="1"/>
    <col min="3573" max="3573" width="3.875" style="124" customWidth="1"/>
    <col min="3574" max="3574" width="5" style="124" customWidth="1"/>
    <col min="3575" max="3575" width="6.25" style="124" customWidth="1"/>
    <col min="3576" max="3576" width="2.875" style="124" customWidth="1"/>
    <col min="3577" max="3577" width="4" style="124" customWidth="1"/>
    <col min="3578" max="3578" width="4.75" style="124" customWidth="1"/>
    <col min="3579" max="3579" width="5.5" style="124" customWidth="1"/>
    <col min="3580" max="3580" width="5.375" style="124" customWidth="1"/>
    <col min="3581" max="3581" width="1.25" style="124" customWidth="1"/>
    <col min="3582" max="3582" width="4.375" style="124" customWidth="1"/>
    <col min="3583" max="3583" width="10.375" style="124" customWidth="1"/>
    <col min="3584" max="3584" width="16.625" style="124" customWidth="1"/>
    <col min="3585" max="3585" width="10.875" style="124" customWidth="1"/>
    <col min="3586" max="3586" width="18.75" style="124" customWidth="1"/>
    <col min="3587" max="3587" width="14.25" style="124" bestFit="1" customWidth="1"/>
    <col min="3588" max="3827" width="9" style="124"/>
    <col min="3828" max="3828" width="5" style="124" customWidth="1"/>
    <col min="3829" max="3829" width="3.875" style="124" customWidth="1"/>
    <col min="3830" max="3830" width="5" style="124" customWidth="1"/>
    <col min="3831" max="3831" width="6.25" style="124" customWidth="1"/>
    <col min="3832" max="3832" width="2.875" style="124" customWidth="1"/>
    <col min="3833" max="3833" width="4" style="124" customWidth="1"/>
    <col min="3834" max="3834" width="4.75" style="124" customWidth="1"/>
    <col min="3835" max="3835" width="5.5" style="124" customWidth="1"/>
    <col min="3836" max="3836" width="5.375" style="124" customWidth="1"/>
    <col min="3837" max="3837" width="1.25" style="124" customWidth="1"/>
    <col min="3838" max="3838" width="4.375" style="124" customWidth="1"/>
    <col min="3839" max="3839" width="10.375" style="124" customWidth="1"/>
    <col min="3840" max="3840" width="16.625" style="124" customWidth="1"/>
    <col min="3841" max="3841" width="10.875" style="124" customWidth="1"/>
    <col min="3842" max="3842" width="18.75" style="124" customWidth="1"/>
    <col min="3843" max="3843" width="14.25" style="124" bestFit="1" customWidth="1"/>
    <col min="3844" max="4083" width="9" style="124"/>
    <col min="4084" max="4084" width="5" style="124" customWidth="1"/>
    <col min="4085" max="4085" width="3.875" style="124" customWidth="1"/>
    <col min="4086" max="4086" width="5" style="124" customWidth="1"/>
    <col min="4087" max="4087" width="6.25" style="124" customWidth="1"/>
    <col min="4088" max="4088" width="2.875" style="124" customWidth="1"/>
    <col min="4089" max="4089" width="4" style="124" customWidth="1"/>
    <col min="4090" max="4090" width="4.75" style="124" customWidth="1"/>
    <col min="4091" max="4091" width="5.5" style="124" customWidth="1"/>
    <col min="4092" max="4092" width="5.375" style="124" customWidth="1"/>
    <col min="4093" max="4093" width="1.25" style="124" customWidth="1"/>
    <col min="4094" max="4094" width="4.375" style="124" customWidth="1"/>
    <col min="4095" max="4095" width="10.375" style="124" customWidth="1"/>
    <col min="4096" max="4096" width="16.625" style="124" customWidth="1"/>
    <col min="4097" max="4097" width="10.875" style="124" customWidth="1"/>
    <col min="4098" max="4098" width="18.75" style="124" customWidth="1"/>
    <col min="4099" max="4099" width="14.25" style="124" bestFit="1" customWidth="1"/>
    <col min="4100" max="4339" width="9" style="124"/>
    <col min="4340" max="4340" width="5" style="124" customWidth="1"/>
    <col min="4341" max="4341" width="3.875" style="124" customWidth="1"/>
    <col min="4342" max="4342" width="5" style="124" customWidth="1"/>
    <col min="4343" max="4343" width="6.25" style="124" customWidth="1"/>
    <col min="4344" max="4344" width="2.875" style="124" customWidth="1"/>
    <col min="4345" max="4345" width="4" style="124" customWidth="1"/>
    <col min="4346" max="4346" width="4.75" style="124" customWidth="1"/>
    <col min="4347" max="4347" width="5.5" style="124" customWidth="1"/>
    <col min="4348" max="4348" width="5.375" style="124" customWidth="1"/>
    <col min="4349" max="4349" width="1.25" style="124" customWidth="1"/>
    <col min="4350" max="4350" width="4.375" style="124" customWidth="1"/>
    <col min="4351" max="4351" width="10.375" style="124" customWidth="1"/>
    <col min="4352" max="4352" width="16.625" style="124" customWidth="1"/>
    <col min="4353" max="4353" width="10.875" style="124" customWidth="1"/>
    <col min="4354" max="4354" width="18.75" style="124" customWidth="1"/>
    <col min="4355" max="4355" width="14.25" style="124" bestFit="1" customWidth="1"/>
    <col min="4356" max="4595" width="9" style="124"/>
    <col min="4596" max="4596" width="5" style="124" customWidth="1"/>
    <col min="4597" max="4597" width="3.875" style="124" customWidth="1"/>
    <col min="4598" max="4598" width="5" style="124" customWidth="1"/>
    <col min="4599" max="4599" width="6.25" style="124" customWidth="1"/>
    <col min="4600" max="4600" width="2.875" style="124" customWidth="1"/>
    <col min="4601" max="4601" width="4" style="124" customWidth="1"/>
    <col min="4602" max="4602" width="4.75" style="124" customWidth="1"/>
    <col min="4603" max="4603" width="5.5" style="124" customWidth="1"/>
    <col min="4604" max="4604" width="5.375" style="124" customWidth="1"/>
    <col min="4605" max="4605" width="1.25" style="124" customWidth="1"/>
    <col min="4606" max="4606" width="4.375" style="124" customWidth="1"/>
    <col min="4607" max="4607" width="10.375" style="124" customWidth="1"/>
    <col min="4608" max="4608" width="16.625" style="124" customWidth="1"/>
    <col min="4609" max="4609" width="10.875" style="124" customWidth="1"/>
    <col min="4610" max="4610" width="18.75" style="124" customWidth="1"/>
    <col min="4611" max="4611" width="14.25" style="124" bestFit="1" customWidth="1"/>
    <col min="4612" max="4851" width="9" style="124"/>
    <col min="4852" max="4852" width="5" style="124" customWidth="1"/>
    <col min="4853" max="4853" width="3.875" style="124" customWidth="1"/>
    <col min="4854" max="4854" width="5" style="124" customWidth="1"/>
    <col min="4855" max="4855" width="6.25" style="124" customWidth="1"/>
    <col min="4856" max="4856" width="2.875" style="124" customWidth="1"/>
    <col min="4857" max="4857" width="4" style="124" customWidth="1"/>
    <col min="4858" max="4858" width="4.75" style="124" customWidth="1"/>
    <col min="4859" max="4859" width="5.5" style="124" customWidth="1"/>
    <col min="4860" max="4860" width="5.375" style="124" customWidth="1"/>
    <col min="4861" max="4861" width="1.25" style="124" customWidth="1"/>
    <col min="4862" max="4862" width="4.375" style="124" customWidth="1"/>
    <col min="4863" max="4863" width="10.375" style="124" customWidth="1"/>
    <col min="4864" max="4864" width="16.625" style="124" customWidth="1"/>
    <col min="4865" max="4865" width="10.875" style="124" customWidth="1"/>
    <col min="4866" max="4866" width="18.75" style="124" customWidth="1"/>
    <col min="4867" max="4867" width="14.25" style="124" bestFit="1" customWidth="1"/>
    <col min="4868" max="5107" width="9" style="124"/>
    <col min="5108" max="5108" width="5" style="124" customWidth="1"/>
    <col min="5109" max="5109" width="3.875" style="124" customWidth="1"/>
    <col min="5110" max="5110" width="5" style="124" customWidth="1"/>
    <col min="5111" max="5111" width="6.25" style="124" customWidth="1"/>
    <col min="5112" max="5112" width="2.875" style="124" customWidth="1"/>
    <col min="5113" max="5113" width="4" style="124" customWidth="1"/>
    <col min="5114" max="5114" width="4.75" style="124" customWidth="1"/>
    <col min="5115" max="5115" width="5.5" style="124" customWidth="1"/>
    <col min="5116" max="5116" width="5.375" style="124" customWidth="1"/>
    <col min="5117" max="5117" width="1.25" style="124" customWidth="1"/>
    <col min="5118" max="5118" width="4.375" style="124" customWidth="1"/>
    <col min="5119" max="5119" width="10.375" style="124" customWidth="1"/>
    <col min="5120" max="5120" width="16.625" style="124" customWidth="1"/>
    <col min="5121" max="5121" width="10.875" style="124" customWidth="1"/>
    <col min="5122" max="5122" width="18.75" style="124" customWidth="1"/>
    <col min="5123" max="5123" width="14.25" style="124" bestFit="1" customWidth="1"/>
    <col min="5124" max="5363" width="9" style="124"/>
    <col min="5364" max="5364" width="5" style="124" customWidth="1"/>
    <col min="5365" max="5365" width="3.875" style="124" customWidth="1"/>
    <col min="5366" max="5366" width="5" style="124" customWidth="1"/>
    <col min="5367" max="5367" width="6.25" style="124" customWidth="1"/>
    <col min="5368" max="5368" width="2.875" style="124" customWidth="1"/>
    <col min="5369" max="5369" width="4" style="124" customWidth="1"/>
    <col min="5370" max="5370" width="4.75" style="124" customWidth="1"/>
    <col min="5371" max="5371" width="5.5" style="124" customWidth="1"/>
    <col min="5372" max="5372" width="5.375" style="124" customWidth="1"/>
    <col min="5373" max="5373" width="1.25" style="124" customWidth="1"/>
    <col min="5374" max="5374" width="4.375" style="124" customWidth="1"/>
    <col min="5375" max="5375" width="10.375" style="124" customWidth="1"/>
    <col min="5376" max="5376" width="16.625" style="124" customWidth="1"/>
    <col min="5377" max="5377" width="10.875" style="124" customWidth="1"/>
    <col min="5378" max="5378" width="18.75" style="124" customWidth="1"/>
    <col min="5379" max="5379" width="14.25" style="124" bestFit="1" customWidth="1"/>
    <col min="5380" max="5619" width="9" style="124"/>
    <col min="5620" max="5620" width="5" style="124" customWidth="1"/>
    <col min="5621" max="5621" width="3.875" style="124" customWidth="1"/>
    <col min="5622" max="5622" width="5" style="124" customWidth="1"/>
    <col min="5623" max="5623" width="6.25" style="124" customWidth="1"/>
    <col min="5624" max="5624" width="2.875" style="124" customWidth="1"/>
    <col min="5625" max="5625" width="4" style="124" customWidth="1"/>
    <col min="5626" max="5626" width="4.75" style="124" customWidth="1"/>
    <col min="5627" max="5627" width="5.5" style="124" customWidth="1"/>
    <col min="5628" max="5628" width="5.375" style="124" customWidth="1"/>
    <col min="5629" max="5629" width="1.25" style="124" customWidth="1"/>
    <col min="5630" max="5630" width="4.375" style="124" customWidth="1"/>
    <col min="5631" max="5631" width="10.375" style="124" customWidth="1"/>
    <col min="5632" max="5632" width="16.625" style="124" customWidth="1"/>
    <col min="5633" max="5633" width="10.875" style="124" customWidth="1"/>
    <col min="5634" max="5634" width="18.75" style="124" customWidth="1"/>
    <col min="5635" max="5635" width="14.25" style="124" bestFit="1" customWidth="1"/>
    <col min="5636" max="5875" width="9" style="124"/>
    <col min="5876" max="5876" width="5" style="124" customWidth="1"/>
    <col min="5877" max="5877" width="3.875" style="124" customWidth="1"/>
    <col min="5878" max="5878" width="5" style="124" customWidth="1"/>
    <col min="5879" max="5879" width="6.25" style="124" customWidth="1"/>
    <col min="5880" max="5880" width="2.875" style="124" customWidth="1"/>
    <col min="5881" max="5881" width="4" style="124" customWidth="1"/>
    <col min="5882" max="5882" width="4.75" style="124" customWidth="1"/>
    <col min="5883" max="5883" width="5.5" style="124" customWidth="1"/>
    <col min="5884" max="5884" width="5.375" style="124" customWidth="1"/>
    <col min="5885" max="5885" width="1.25" style="124" customWidth="1"/>
    <col min="5886" max="5886" width="4.375" style="124" customWidth="1"/>
    <col min="5887" max="5887" width="10.375" style="124" customWidth="1"/>
    <col min="5888" max="5888" width="16.625" style="124" customWidth="1"/>
    <col min="5889" max="5889" width="10.875" style="124" customWidth="1"/>
    <col min="5890" max="5890" width="18.75" style="124" customWidth="1"/>
    <col min="5891" max="5891" width="14.25" style="124" bestFit="1" customWidth="1"/>
    <col min="5892" max="6131" width="9" style="124"/>
    <col min="6132" max="6132" width="5" style="124" customWidth="1"/>
    <col min="6133" max="6133" width="3.875" style="124" customWidth="1"/>
    <col min="6134" max="6134" width="5" style="124" customWidth="1"/>
    <col min="6135" max="6135" width="6.25" style="124" customWidth="1"/>
    <col min="6136" max="6136" width="2.875" style="124" customWidth="1"/>
    <col min="6137" max="6137" width="4" style="124" customWidth="1"/>
    <col min="6138" max="6138" width="4.75" style="124" customWidth="1"/>
    <col min="6139" max="6139" width="5.5" style="124" customWidth="1"/>
    <col min="6140" max="6140" width="5.375" style="124" customWidth="1"/>
    <col min="6141" max="6141" width="1.25" style="124" customWidth="1"/>
    <col min="6142" max="6142" width="4.375" style="124" customWidth="1"/>
    <col min="6143" max="6143" width="10.375" style="124" customWidth="1"/>
    <col min="6144" max="6144" width="16.625" style="124" customWidth="1"/>
    <col min="6145" max="6145" width="10.875" style="124" customWidth="1"/>
    <col min="6146" max="6146" width="18.75" style="124" customWidth="1"/>
    <col min="6147" max="6147" width="14.25" style="124" bestFit="1" customWidth="1"/>
    <col min="6148" max="6387" width="9" style="124"/>
    <col min="6388" max="6388" width="5" style="124" customWidth="1"/>
    <col min="6389" max="6389" width="3.875" style="124" customWidth="1"/>
    <col min="6390" max="6390" width="5" style="124" customWidth="1"/>
    <col min="6391" max="6391" width="6.25" style="124" customWidth="1"/>
    <col min="6392" max="6392" width="2.875" style="124" customWidth="1"/>
    <col min="6393" max="6393" width="4" style="124" customWidth="1"/>
    <col min="6394" max="6394" width="4.75" style="124" customWidth="1"/>
    <col min="6395" max="6395" width="5.5" style="124" customWidth="1"/>
    <col min="6396" max="6396" width="5.375" style="124" customWidth="1"/>
    <col min="6397" max="6397" width="1.25" style="124" customWidth="1"/>
    <col min="6398" max="6398" width="4.375" style="124" customWidth="1"/>
    <col min="6399" max="6399" width="10.375" style="124" customWidth="1"/>
    <col min="6400" max="6400" width="16.625" style="124" customWidth="1"/>
    <col min="6401" max="6401" width="10.875" style="124" customWidth="1"/>
    <col min="6402" max="6402" width="18.75" style="124" customWidth="1"/>
    <col min="6403" max="6403" width="14.25" style="124" bestFit="1" customWidth="1"/>
    <col min="6404" max="6643" width="9" style="124"/>
    <col min="6644" max="6644" width="5" style="124" customWidth="1"/>
    <col min="6645" max="6645" width="3.875" style="124" customWidth="1"/>
    <col min="6646" max="6646" width="5" style="124" customWidth="1"/>
    <col min="6647" max="6647" width="6.25" style="124" customWidth="1"/>
    <col min="6648" max="6648" width="2.875" style="124" customWidth="1"/>
    <col min="6649" max="6649" width="4" style="124" customWidth="1"/>
    <col min="6650" max="6650" width="4.75" style="124" customWidth="1"/>
    <col min="6651" max="6651" width="5.5" style="124" customWidth="1"/>
    <col min="6652" max="6652" width="5.375" style="124" customWidth="1"/>
    <col min="6653" max="6653" width="1.25" style="124" customWidth="1"/>
    <col min="6654" max="6654" width="4.375" style="124" customWidth="1"/>
    <col min="6655" max="6655" width="10.375" style="124" customWidth="1"/>
    <col min="6656" max="6656" width="16.625" style="124" customWidth="1"/>
    <col min="6657" max="6657" width="10.875" style="124" customWidth="1"/>
    <col min="6658" max="6658" width="18.75" style="124" customWidth="1"/>
    <col min="6659" max="6659" width="14.25" style="124" bestFit="1" customWidth="1"/>
    <col min="6660" max="6899" width="9" style="124"/>
    <col min="6900" max="6900" width="5" style="124" customWidth="1"/>
    <col min="6901" max="6901" width="3.875" style="124" customWidth="1"/>
    <col min="6902" max="6902" width="5" style="124" customWidth="1"/>
    <col min="6903" max="6903" width="6.25" style="124" customWidth="1"/>
    <col min="6904" max="6904" width="2.875" style="124" customWidth="1"/>
    <col min="6905" max="6905" width="4" style="124" customWidth="1"/>
    <col min="6906" max="6906" width="4.75" style="124" customWidth="1"/>
    <col min="6907" max="6907" width="5.5" style="124" customWidth="1"/>
    <col min="6908" max="6908" width="5.375" style="124" customWidth="1"/>
    <col min="6909" max="6909" width="1.25" style="124" customWidth="1"/>
    <col min="6910" max="6910" width="4.375" style="124" customWidth="1"/>
    <col min="6911" max="6911" width="10.375" style="124" customWidth="1"/>
    <col min="6912" max="6912" width="16.625" style="124" customWidth="1"/>
    <col min="6913" max="6913" width="10.875" style="124" customWidth="1"/>
    <col min="6914" max="6914" width="18.75" style="124" customWidth="1"/>
    <col min="6915" max="6915" width="14.25" style="124" bestFit="1" customWidth="1"/>
    <col min="6916" max="7155" width="9" style="124"/>
    <col min="7156" max="7156" width="5" style="124" customWidth="1"/>
    <col min="7157" max="7157" width="3.875" style="124" customWidth="1"/>
    <col min="7158" max="7158" width="5" style="124" customWidth="1"/>
    <col min="7159" max="7159" width="6.25" style="124" customWidth="1"/>
    <col min="7160" max="7160" width="2.875" style="124" customWidth="1"/>
    <col min="7161" max="7161" width="4" style="124" customWidth="1"/>
    <col min="7162" max="7162" width="4.75" style="124" customWidth="1"/>
    <col min="7163" max="7163" width="5.5" style="124" customWidth="1"/>
    <col min="7164" max="7164" width="5.375" style="124" customWidth="1"/>
    <col min="7165" max="7165" width="1.25" style="124" customWidth="1"/>
    <col min="7166" max="7166" width="4.375" style="124" customWidth="1"/>
    <col min="7167" max="7167" width="10.375" style="124" customWidth="1"/>
    <col min="7168" max="7168" width="16.625" style="124" customWidth="1"/>
    <col min="7169" max="7169" width="10.875" style="124" customWidth="1"/>
    <col min="7170" max="7170" width="18.75" style="124" customWidth="1"/>
    <col min="7171" max="7171" width="14.25" style="124" bestFit="1" customWidth="1"/>
    <col min="7172" max="7411" width="9" style="124"/>
    <col min="7412" max="7412" width="5" style="124" customWidth="1"/>
    <col min="7413" max="7413" width="3.875" style="124" customWidth="1"/>
    <col min="7414" max="7414" width="5" style="124" customWidth="1"/>
    <col min="7415" max="7415" width="6.25" style="124" customWidth="1"/>
    <col min="7416" max="7416" width="2.875" style="124" customWidth="1"/>
    <col min="7417" max="7417" width="4" style="124" customWidth="1"/>
    <col min="7418" max="7418" width="4.75" style="124" customWidth="1"/>
    <col min="7419" max="7419" width="5.5" style="124" customWidth="1"/>
    <col min="7420" max="7420" width="5.375" style="124" customWidth="1"/>
    <col min="7421" max="7421" width="1.25" style="124" customWidth="1"/>
    <col min="7422" max="7422" width="4.375" style="124" customWidth="1"/>
    <col min="7423" max="7423" width="10.375" style="124" customWidth="1"/>
    <col min="7424" max="7424" width="16.625" style="124" customWidth="1"/>
    <col min="7425" max="7425" width="10.875" style="124" customWidth="1"/>
    <col min="7426" max="7426" width="18.75" style="124" customWidth="1"/>
    <col min="7427" max="7427" width="14.25" style="124" bestFit="1" customWidth="1"/>
    <col min="7428" max="7667" width="9" style="124"/>
    <col min="7668" max="7668" width="5" style="124" customWidth="1"/>
    <col min="7669" max="7669" width="3.875" style="124" customWidth="1"/>
    <col min="7670" max="7670" width="5" style="124" customWidth="1"/>
    <col min="7671" max="7671" width="6.25" style="124" customWidth="1"/>
    <col min="7672" max="7672" width="2.875" style="124" customWidth="1"/>
    <col min="7673" max="7673" width="4" style="124" customWidth="1"/>
    <col min="7674" max="7674" width="4.75" style="124" customWidth="1"/>
    <col min="7675" max="7675" width="5.5" style="124" customWidth="1"/>
    <col min="7676" max="7676" width="5.375" style="124" customWidth="1"/>
    <col min="7677" max="7677" width="1.25" style="124" customWidth="1"/>
    <col min="7678" max="7678" width="4.375" style="124" customWidth="1"/>
    <col min="7679" max="7679" width="10.375" style="124" customWidth="1"/>
    <col min="7680" max="7680" width="16.625" style="124" customWidth="1"/>
    <col min="7681" max="7681" width="10.875" style="124" customWidth="1"/>
    <col min="7682" max="7682" width="18.75" style="124" customWidth="1"/>
    <col min="7683" max="7683" width="14.25" style="124" bestFit="1" customWidth="1"/>
    <col min="7684" max="7923" width="9" style="124"/>
    <col min="7924" max="7924" width="5" style="124" customWidth="1"/>
    <col min="7925" max="7925" width="3.875" style="124" customWidth="1"/>
    <col min="7926" max="7926" width="5" style="124" customWidth="1"/>
    <col min="7927" max="7927" width="6.25" style="124" customWidth="1"/>
    <col min="7928" max="7928" width="2.875" style="124" customWidth="1"/>
    <col min="7929" max="7929" width="4" style="124" customWidth="1"/>
    <col min="7930" max="7930" width="4.75" style="124" customWidth="1"/>
    <col min="7931" max="7931" width="5.5" style="124" customWidth="1"/>
    <col min="7932" max="7932" width="5.375" style="124" customWidth="1"/>
    <col min="7933" max="7933" width="1.25" style="124" customWidth="1"/>
    <col min="7934" max="7934" width="4.375" style="124" customWidth="1"/>
    <col min="7935" max="7935" width="10.375" style="124" customWidth="1"/>
    <col min="7936" max="7936" width="16.625" style="124" customWidth="1"/>
    <col min="7937" max="7937" width="10.875" style="124" customWidth="1"/>
    <col min="7938" max="7938" width="18.75" style="124" customWidth="1"/>
    <col min="7939" max="7939" width="14.25" style="124" bestFit="1" customWidth="1"/>
    <col min="7940" max="8179" width="9" style="124"/>
    <col min="8180" max="8180" width="5" style="124" customWidth="1"/>
    <col min="8181" max="8181" width="3.875" style="124" customWidth="1"/>
    <col min="8182" max="8182" width="5" style="124" customWidth="1"/>
    <col min="8183" max="8183" width="6.25" style="124" customWidth="1"/>
    <col min="8184" max="8184" width="2.875" style="124" customWidth="1"/>
    <col min="8185" max="8185" width="4" style="124" customWidth="1"/>
    <col min="8186" max="8186" width="4.75" style="124" customWidth="1"/>
    <col min="8187" max="8187" width="5.5" style="124" customWidth="1"/>
    <col min="8188" max="8188" width="5.375" style="124" customWidth="1"/>
    <col min="8189" max="8189" width="1.25" style="124" customWidth="1"/>
    <col min="8190" max="8190" width="4.375" style="124" customWidth="1"/>
    <col min="8191" max="8191" width="10.375" style="124" customWidth="1"/>
    <col min="8192" max="8192" width="16.625" style="124" customWidth="1"/>
    <col min="8193" max="8193" width="10.875" style="124" customWidth="1"/>
    <col min="8194" max="8194" width="18.75" style="124" customWidth="1"/>
    <col min="8195" max="8195" width="14.25" style="124" bestFit="1" customWidth="1"/>
    <col min="8196" max="8435" width="9" style="124"/>
    <col min="8436" max="8436" width="5" style="124" customWidth="1"/>
    <col min="8437" max="8437" width="3.875" style="124" customWidth="1"/>
    <col min="8438" max="8438" width="5" style="124" customWidth="1"/>
    <col min="8439" max="8439" width="6.25" style="124" customWidth="1"/>
    <col min="8440" max="8440" width="2.875" style="124" customWidth="1"/>
    <col min="8441" max="8441" width="4" style="124" customWidth="1"/>
    <col min="8442" max="8442" width="4.75" style="124" customWidth="1"/>
    <col min="8443" max="8443" width="5.5" style="124" customWidth="1"/>
    <col min="8444" max="8444" width="5.375" style="124" customWidth="1"/>
    <col min="8445" max="8445" width="1.25" style="124" customWidth="1"/>
    <col min="8446" max="8446" width="4.375" style="124" customWidth="1"/>
    <col min="8447" max="8447" width="10.375" style="124" customWidth="1"/>
    <col min="8448" max="8448" width="16.625" style="124" customWidth="1"/>
    <col min="8449" max="8449" width="10.875" style="124" customWidth="1"/>
    <col min="8450" max="8450" width="18.75" style="124" customWidth="1"/>
    <col min="8451" max="8451" width="14.25" style="124" bestFit="1" customWidth="1"/>
    <col min="8452" max="8691" width="9" style="124"/>
    <col min="8692" max="8692" width="5" style="124" customWidth="1"/>
    <col min="8693" max="8693" width="3.875" style="124" customWidth="1"/>
    <col min="8694" max="8694" width="5" style="124" customWidth="1"/>
    <col min="8695" max="8695" width="6.25" style="124" customWidth="1"/>
    <col min="8696" max="8696" width="2.875" style="124" customWidth="1"/>
    <col min="8697" max="8697" width="4" style="124" customWidth="1"/>
    <col min="8698" max="8698" width="4.75" style="124" customWidth="1"/>
    <col min="8699" max="8699" width="5.5" style="124" customWidth="1"/>
    <col min="8700" max="8700" width="5.375" style="124" customWidth="1"/>
    <col min="8701" max="8701" width="1.25" style="124" customWidth="1"/>
    <col min="8702" max="8702" width="4.375" style="124" customWidth="1"/>
    <col min="8703" max="8703" width="10.375" style="124" customWidth="1"/>
    <col min="8704" max="8704" width="16.625" style="124" customWidth="1"/>
    <col min="8705" max="8705" width="10.875" style="124" customWidth="1"/>
    <col min="8706" max="8706" width="18.75" style="124" customWidth="1"/>
    <col min="8707" max="8707" width="14.25" style="124" bestFit="1" customWidth="1"/>
    <col min="8708" max="8947" width="9" style="124"/>
    <col min="8948" max="8948" width="5" style="124" customWidth="1"/>
    <col min="8949" max="8949" width="3.875" style="124" customWidth="1"/>
    <col min="8950" max="8950" width="5" style="124" customWidth="1"/>
    <col min="8951" max="8951" width="6.25" style="124" customWidth="1"/>
    <col min="8952" max="8952" width="2.875" style="124" customWidth="1"/>
    <col min="8953" max="8953" width="4" style="124" customWidth="1"/>
    <col min="8954" max="8954" width="4.75" style="124" customWidth="1"/>
    <col min="8955" max="8955" width="5.5" style="124" customWidth="1"/>
    <col min="8956" max="8956" width="5.375" style="124" customWidth="1"/>
    <col min="8957" max="8957" width="1.25" style="124" customWidth="1"/>
    <col min="8958" max="8958" width="4.375" style="124" customWidth="1"/>
    <col min="8959" max="8959" width="10.375" style="124" customWidth="1"/>
    <col min="8960" max="8960" width="16.625" style="124" customWidth="1"/>
    <col min="8961" max="8961" width="10.875" style="124" customWidth="1"/>
    <col min="8962" max="8962" width="18.75" style="124" customWidth="1"/>
    <col min="8963" max="8963" width="14.25" style="124" bestFit="1" customWidth="1"/>
    <col min="8964" max="9203" width="9" style="124"/>
    <col min="9204" max="9204" width="5" style="124" customWidth="1"/>
    <col min="9205" max="9205" width="3.875" style="124" customWidth="1"/>
    <col min="9206" max="9206" width="5" style="124" customWidth="1"/>
    <col min="9207" max="9207" width="6.25" style="124" customWidth="1"/>
    <col min="9208" max="9208" width="2.875" style="124" customWidth="1"/>
    <col min="9209" max="9209" width="4" style="124" customWidth="1"/>
    <col min="9210" max="9210" width="4.75" style="124" customWidth="1"/>
    <col min="9211" max="9211" width="5.5" style="124" customWidth="1"/>
    <col min="9212" max="9212" width="5.375" style="124" customWidth="1"/>
    <col min="9213" max="9213" width="1.25" style="124" customWidth="1"/>
    <col min="9214" max="9214" width="4.375" style="124" customWidth="1"/>
    <col min="9215" max="9215" width="10.375" style="124" customWidth="1"/>
    <col min="9216" max="9216" width="16.625" style="124" customWidth="1"/>
    <col min="9217" max="9217" width="10.875" style="124" customWidth="1"/>
    <col min="9218" max="9218" width="18.75" style="124" customWidth="1"/>
    <col min="9219" max="9219" width="14.25" style="124" bestFit="1" customWidth="1"/>
    <col min="9220" max="9459" width="9" style="124"/>
    <col min="9460" max="9460" width="5" style="124" customWidth="1"/>
    <col min="9461" max="9461" width="3.875" style="124" customWidth="1"/>
    <col min="9462" max="9462" width="5" style="124" customWidth="1"/>
    <col min="9463" max="9463" width="6.25" style="124" customWidth="1"/>
    <col min="9464" max="9464" width="2.875" style="124" customWidth="1"/>
    <col min="9465" max="9465" width="4" style="124" customWidth="1"/>
    <col min="9466" max="9466" width="4.75" style="124" customWidth="1"/>
    <col min="9467" max="9467" width="5.5" style="124" customWidth="1"/>
    <col min="9468" max="9468" width="5.375" style="124" customWidth="1"/>
    <col min="9469" max="9469" width="1.25" style="124" customWidth="1"/>
    <col min="9470" max="9470" width="4.375" style="124" customWidth="1"/>
    <col min="9471" max="9471" width="10.375" style="124" customWidth="1"/>
    <col min="9472" max="9472" width="16.625" style="124" customWidth="1"/>
    <col min="9473" max="9473" width="10.875" style="124" customWidth="1"/>
    <col min="9474" max="9474" width="18.75" style="124" customWidth="1"/>
    <col min="9475" max="9475" width="14.25" style="124" bestFit="1" customWidth="1"/>
    <col min="9476" max="9715" width="9" style="124"/>
    <col min="9716" max="9716" width="5" style="124" customWidth="1"/>
    <col min="9717" max="9717" width="3.875" style="124" customWidth="1"/>
    <col min="9718" max="9718" width="5" style="124" customWidth="1"/>
    <col min="9719" max="9719" width="6.25" style="124" customWidth="1"/>
    <col min="9720" max="9720" width="2.875" style="124" customWidth="1"/>
    <col min="9721" max="9721" width="4" style="124" customWidth="1"/>
    <col min="9722" max="9722" width="4.75" style="124" customWidth="1"/>
    <col min="9723" max="9723" width="5.5" style="124" customWidth="1"/>
    <col min="9724" max="9724" width="5.375" style="124" customWidth="1"/>
    <col min="9725" max="9725" width="1.25" style="124" customWidth="1"/>
    <col min="9726" max="9726" width="4.375" style="124" customWidth="1"/>
    <col min="9727" max="9727" width="10.375" style="124" customWidth="1"/>
    <col min="9728" max="9728" width="16.625" style="124" customWidth="1"/>
    <col min="9729" max="9729" width="10.875" style="124" customWidth="1"/>
    <col min="9730" max="9730" width="18.75" style="124" customWidth="1"/>
    <col min="9731" max="9731" width="14.25" style="124" bestFit="1" customWidth="1"/>
    <col min="9732" max="9971" width="9" style="124"/>
    <col min="9972" max="9972" width="5" style="124" customWidth="1"/>
    <col min="9973" max="9973" width="3.875" style="124" customWidth="1"/>
    <col min="9974" max="9974" width="5" style="124" customWidth="1"/>
    <col min="9975" max="9975" width="6.25" style="124" customWidth="1"/>
    <col min="9976" max="9976" width="2.875" style="124" customWidth="1"/>
    <col min="9977" max="9977" width="4" style="124" customWidth="1"/>
    <col min="9978" max="9978" width="4.75" style="124" customWidth="1"/>
    <col min="9979" max="9979" width="5.5" style="124" customWidth="1"/>
    <col min="9980" max="9980" width="5.375" style="124" customWidth="1"/>
    <col min="9981" max="9981" width="1.25" style="124" customWidth="1"/>
    <col min="9982" max="9982" width="4.375" style="124" customWidth="1"/>
    <col min="9983" max="9983" width="10.375" style="124" customWidth="1"/>
    <col min="9984" max="9984" width="16.625" style="124" customWidth="1"/>
    <col min="9985" max="9985" width="10.875" style="124" customWidth="1"/>
    <col min="9986" max="9986" width="18.75" style="124" customWidth="1"/>
    <col min="9987" max="9987" width="14.25" style="124" bestFit="1" customWidth="1"/>
    <col min="9988" max="10227" width="9" style="124"/>
    <col min="10228" max="10228" width="5" style="124" customWidth="1"/>
    <col min="10229" max="10229" width="3.875" style="124" customWidth="1"/>
    <col min="10230" max="10230" width="5" style="124" customWidth="1"/>
    <col min="10231" max="10231" width="6.25" style="124" customWidth="1"/>
    <col min="10232" max="10232" width="2.875" style="124" customWidth="1"/>
    <col min="10233" max="10233" width="4" style="124" customWidth="1"/>
    <col min="10234" max="10234" width="4.75" style="124" customWidth="1"/>
    <col min="10235" max="10235" width="5.5" style="124" customWidth="1"/>
    <col min="10236" max="10236" width="5.375" style="124" customWidth="1"/>
    <col min="10237" max="10237" width="1.25" style="124" customWidth="1"/>
    <col min="10238" max="10238" width="4.375" style="124" customWidth="1"/>
    <col min="10239" max="10239" width="10.375" style="124" customWidth="1"/>
    <col min="10240" max="10240" width="16.625" style="124" customWidth="1"/>
    <col min="10241" max="10241" width="10.875" style="124" customWidth="1"/>
    <col min="10242" max="10242" width="18.75" style="124" customWidth="1"/>
    <col min="10243" max="10243" width="14.25" style="124" bestFit="1" customWidth="1"/>
    <col min="10244" max="10483" width="9" style="124"/>
    <col min="10484" max="10484" width="5" style="124" customWidth="1"/>
    <col min="10485" max="10485" width="3.875" style="124" customWidth="1"/>
    <col min="10486" max="10486" width="5" style="124" customWidth="1"/>
    <col min="10487" max="10487" width="6.25" style="124" customWidth="1"/>
    <col min="10488" max="10488" width="2.875" style="124" customWidth="1"/>
    <col min="10489" max="10489" width="4" style="124" customWidth="1"/>
    <col min="10490" max="10490" width="4.75" style="124" customWidth="1"/>
    <col min="10491" max="10491" width="5.5" style="124" customWidth="1"/>
    <col min="10492" max="10492" width="5.375" style="124" customWidth="1"/>
    <col min="10493" max="10493" width="1.25" style="124" customWidth="1"/>
    <col min="10494" max="10494" width="4.375" style="124" customWidth="1"/>
    <col min="10495" max="10495" width="10.375" style="124" customWidth="1"/>
    <col min="10496" max="10496" width="16.625" style="124" customWidth="1"/>
    <col min="10497" max="10497" width="10.875" style="124" customWidth="1"/>
    <col min="10498" max="10498" width="18.75" style="124" customWidth="1"/>
    <col min="10499" max="10499" width="14.25" style="124" bestFit="1" customWidth="1"/>
    <col min="10500" max="10739" width="9" style="124"/>
    <col min="10740" max="10740" width="5" style="124" customWidth="1"/>
    <col min="10741" max="10741" width="3.875" style="124" customWidth="1"/>
    <col min="10742" max="10742" width="5" style="124" customWidth="1"/>
    <col min="10743" max="10743" width="6.25" style="124" customWidth="1"/>
    <col min="10744" max="10744" width="2.875" style="124" customWidth="1"/>
    <col min="10745" max="10745" width="4" style="124" customWidth="1"/>
    <col min="10746" max="10746" width="4.75" style="124" customWidth="1"/>
    <col min="10747" max="10747" width="5.5" style="124" customWidth="1"/>
    <col min="10748" max="10748" width="5.375" style="124" customWidth="1"/>
    <col min="10749" max="10749" width="1.25" style="124" customWidth="1"/>
    <col min="10750" max="10750" width="4.375" style="124" customWidth="1"/>
    <col min="10751" max="10751" width="10.375" style="124" customWidth="1"/>
    <col min="10752" max="10752" width="16.625" style="124" customWidth="1"/>
    <col min="10753" max="10753" width="10.875" style="124" customWidth="1"/>
    <col min="10754" max="10754" width="18.75" style="124" customWidth="1"/>
    <col min="10755" max="10755" width="14.25" style="124" bestFit="1" customWidth="1"/>
    <col min="10756" max="10995" width="9" style="124"/>
    <col min="10996" max="10996" width="5" style="124" customWidth="1"/>
    <col min="10997" max="10997" width="3.875" style="124" customWidth="1"/>
    <col min="10998" max="10998" width="5" style="124" customWidth="1"/>
    <col min="10999" max="10999" width="6.25" style="124" customWidth="1"/>
    <col min="11000" max="11000" width="2.875" style="124" customWidth="1"/>
    <col min="11001" max="11001" width="4" style="124" customWidth="1"/>
    <col min="11002" max="11002" width="4.75" style="124" customWidth="1"/>
    <col min="11003" max="11003" width="5.5" style="124" customWidth="1"/>
    <col min="11004" max="11004" width="5.375" style="124" customWidth="1"/>
    <col min="11005" max="11005" width="1.25" style="124" customWidth="1"/>
    <col min="11006" max="11006" width="4.375" style="124" customWidth="1"/>
    <col min="11007" max="11007" width="10.375" style="124" customWidth="1"/>
    <col min="11008" max="11008" width="16.625" style="124" customWidth="1"/>
    <col min="11009" max="11009" width="10.875" style="124" customWidth="1"/>
    <col min="11010" max="11010" width="18.75" style="124" customWidth="1"/>
    <col min="11011" max="11011" width="14.25" style="124" bestFit="1" customWidth="1"/>
    <col min="11012" max="11251" width="9" style="124"/>
    <col min="11252" max="11252" width="5" style="124" customWidth="1"/>
    <col min="11253" max="11253" width="3.875" style="124" customWidth="1"/>
    <col min="11254" max="11254" width="5" style="124" customWidth="1"/>
    <col min="11255" max="11255" width="6.25" style="124" customWidth="1"/>
    <col min="11256" max="11256" width="2.875" style="124" customWidth="1"/>
    <col min="11257" max="11257" width="4" style="124" customWidth="1"/>
    <col min="11258" max="11258" width="4.75" style="124" customWidth="1"/>
    <col min="11259" max="11259" width="5.5" style="124" customWidth="1"/>
    <col min="11260" max="11260" width="5.375" style="124" customWidth="1"/>
    <col min="11261" max="11261" width="1.25" style="124" customWidth="1"/>
    <col min="11262" max="11262" width="4.375" style="124" customWidth="1"/>
    <col min="11263" max="11263" width="10.375" style="124" customWidth="1"/>
    <col min="11264" max="11264" width="16.625" style="124" customWidth="1"/>
    <col min="11265" max="11265" width="10.875" style="124" customWidth="1"/>
    <col min="11266" max="11266" width="18.75" style="124" customWidth="1"/>
    <col min="11267" max="11267" width="14.25" style="124" bestFit="1" customWidth="1"/>
    <col min="11268" max="11507" width="9" style="124"/>
    <col min="11508" max="11508" width="5" style="124" customWidth="1"/>
    <col min="11509" max="11509" width="3.875" style="124" customWidth="1"/>
    <col min="11510" max="11510" width="5" style="124" customWidth="1"/>
    <col min="11511" max="11511" width="6.25" style="124" customWidth="1"/>
    <col min="11512" max="11512" width="2.875" style="124" customWidth="1"/>
    <col min="11513" max="11513" width="4" style="124" customWidth="1"/>
    <col min="11514" max="11514" width="4.75" style="124" customWidth="1"/>
    <col min="11515" max="11515" width="5.5" style="124" customWidth="1"/>
    <col min="11516" max="11516" width="5.375" style="124" customWidth="1"/>
    <col min="11517" max="11517" width="1.25" style="124" customWidth="1"/>
    <col min="11518" max="11518" width="4.375" style="124" customWidth="1"/>
    <col min="11519" max="11519" width="10.375" style="124" customWidth="1"/>
    <col min="11520" max="11520" width="16.625" style="124" customWidth="1"/>
    <col min="11521" max="11521" width="10.875" style="124" customWidth="1"/>
    <col min="11522" max="11522" width="18.75" style="124" customWidth="1"/>
    <col min="11523" max="11523" width="14.25" style="124" bestFit="1" customWidth="1"/>
    <col min="11524" max="11763" width="9" style="124"/>
    <col min="11764" max="11764" width="5" style="124" customWidth="1"/>
    <col min="11765" max="11765" width="3.875" style="124" customWidth="1"/>
    <col min="11766" max="11766" width="5" style="124" customWidth="1"/>
    <col min="11767" max="11767" width="6.25" style="124" customWidth="1"/>
    <col min="11768" max="11768" width="2.875" style="124" customWidth="1"/>
    <col min="11769" max="11769" width="4" style="124" customWidth="1"/>
    <col min="11770" max="11770" width="4.75" style="124" customWidth="1"/>
    <col min="11771" max="11771" width="5.5" style="124" customWidth="1"/>
    <col min="11772" max="11772" width="5.375" style="124" customWidth="1"/>
    <col min="11773" max="11773" width="1.25" style="124" customWidth="1"/>
    <col min="11774" max="11774" width="4.375" style="124" customWidth="1"/>
    <col min="11775" max="11775" width="10.375" style="124" customWidth="1"/>
    <col min="11776" max="11776" width="16.625" style="124" customWidth="1"/>
    <col min="11777" max="11777" width="10.875" style="124" customWidth="1"/>
    <col min="11778" max="11778" width="18.75" style="124" customWidth="1"/>
    <col min="11779" max="11779" width="14.25" style="124" bestFit="1" customWidth="1"/>
    <col min="11780" max="12019" width="9" style="124"/>
    <col min="12020" max="12020" width="5" style="124" customWidth="1"/>
    <col min="12021" max="12021" width="3.875" style="124" customWidth="1"/>
    <col min="12022" max="12022" width="5" style="124" customWidth="1"/>
    <col min="12023" max="12023" width="6.25" style="124" customWidth="1"/>
    <col min="12024" max="12024" width="2.875" style="124" customWidth="1"/>
    <col min="12025" max="12025" width="4" style="124" customWidth="1"/>
    <col min="12026" max="12026" width="4.75" style="124" customWidth="1"/>
    <col min="12027" max="12027" width="5.5" style="124" customWidth="1"/>
    <col min="12028" max="12028" width="5.375" style="124" customWidth="1"/>
    <col min="12029" max="12029" width="1.25" style="124" customWidth="1"/>
    <col min="12030" max="12030" width="4.375" style="124" customWidth="1"/>
    <col min="12031" max="12031" width="10.375" style="124" customWidth="1"/>
    <col min="12032" max="12032" width="16.625" style="124" customWidth="1"/>
    <col min="12033" max="12033" width="10.875" style="124" customWidth="1"/>
    <col min="12034" max="12034" width="18.75" style="124" customWidth="1"/>
    <col min="12035" max="12035" width="14.25" style="124" bestFit="1" customWidth="1"/>
    <col min="12036" max="12275" width="9" style="124"/>
    <col min="12276" max="12276" width="5" style="124" customWidth="1"/>
    <col min="12277" max="12277" width="3.875" style="124" customWidth="1"/>
    <col min="12278" max="12278" width="5" style="124" customWidth="1"/>
    <col min="12279" max="12279" width="6.25" style="124" customWidth="1"/>
    <col min="12280" max="12280" width="2.875" style="124" customWidth="1"/>
    <col min="12281" max="12281" width="4" style="124" customWidth="1"/>
    <col min="12282" max="12282" width="4.75" style="124" customWidth="1"/>
    <col min="12283" max="12283" width="5.5" style="124" customWidth="1"/>
    <col min="12284" max="12284" width="5.375" style="124" customWidth="1"/>
    <col min="12285" max="12285" width="1.25" style="124" customWidth="1"/>
    <col min="12286" max="12286" width="4.375" style="124" customWidth="1"/>
    <col min="12287" max="12287" width="10.375" style="124" customWidth="1"/>
    <col min="12288" max="12288" width="16.625" style="124" customWidth="1"/>
    <col min="12289" max="12289" width="10.875" style="124" customWidth="1"/>
    <col min="12290" max="12290" width="18.75" style="124" customWidth="1"/>
    <col min="12291" max="12291" width="14.25" style="124" bestFit="1" customWidth="1"/>
    <col min="12292" max="12531" width="9" style="124"/>
    <col min="12532" max="12532" width="5" style="124" customWidth="1"/>
    <col min="12533" max="12533" width="3.875" style="124" customWidth="1"/>
    <col min="12534" max="12534" width="5" style="124" customWidth="1"/>
    <col min="12535" max="12535" width="6.25" style="124" customWidth="1"/>
    <col min="12536" max="12536" width="2.875" style="124" customWidth="1"/>
    <col min="12537" max="12537" width="4" style="124" customWidth="1"/>
    <col min="12538" max="12538" width="4.75" style="124" customWidth="1"/>
    <col min="12539" max="12539" width="5.5" style="124" customWidth="1"/>
    <col min="12540" max="12540" width="5.375" style="124" customWidth="1"/>
    <col min="12541" max="12541" width="1.25" style="124" customWidth="1"/>
    <col min="12542" max="12542" width="4.375" style="124" customWidth="1"/>
    <col min="12543" max="12543" width="10.375" style="124" customWidth="1"/>
    <col min="12544" max="12544" width="16.625" style="124" customWidth="1"/>
    <col min="12545" max="12545" width="10.875" style="124" customWidth="1"/>
    <col min="12546" max="12546" width="18.75" style="124" customWidth="1"/>
    <col min="12547" max="12547" width="14.25" style="124" bestFit="1" customWidth="1"/>
    <col min="12548" max="12787" width="9" style="124"/>
    <col min="12788" max="12788" width="5" style="124" customWidth="1"/>
    <col min="12789" max="12789" width="3.875" style="124" customWidth="1"/>
    <col min="12790" max="12790" width="5" style="124" customWidth="1"/>
    <col min="12791" max="12791" width="6.25" style="124" customWidth="1"/>
    <col min="12792" max="12792" width="2.875" style="124" customWidth="1"/>
    <col min="12793" max="12793" width="4" style="124" customWidth="1"/>
    <col min="12794" max="12794" width="4.75" style="124" customWidth="1"/>
    <col min="12795" max="12795" width="5.5" style="124" customWidth="1"/>
    <col min="12796" max="12796" width="5.375" style="124" customWidth="1"/>
    <col min="12797" max="12797" width="1.25" style="124" customWidth="1"/>
    <col min="12798" max="12798" width="4.375" style="124" customWidth="1"/>
    <col min="12799" max="12799" width="10.375" style="124" customWidth="1"/>
    <col min="12800" max="12800" width="16.625" style="124" customWidth="1"/>
    <col min="12801" max="12801" width="10.875" style="124" customWidth="1"/>
    <col min="12802" max="12802" width="18.75" style="124" customWidth="1"/>
    <col min="12803" max="12803" width="14.25" style="124" bestFit="1" customWidth="1"/>
    <col min="12804" max="13043" width="9" style="124"/>
    <col min="13044" max="13044" width="5" style="124" customWidth="1"/>
    <col min="13045" max="13045" width="3.875" style="124" customWidth="1"/>
    <col min="13046" max="13046" width="5" style="124" customWidth="1"/>
    <col min="13047" max="13047" width="6.25" style="124" customWidth="1"/>
    <col min="13048" max="13048" width="2.875" style="124" customWidth="1"/>
    <col min="13049" max="13049" width="4" style="124" customWidth="1"/>
    <col min="13050" max="13050" width="4.75" style="124" customWidth="1"/>
    <col min="13051" max="13051" width="5.5" style="124" customWidth="1"/>
    <col min="13052" max="13052" width="5.375" style="124" customWidth="1"/>
    <col min="13053" max="13053" width="1.25" style="124" customWidth="1"/>
    <col min="13054" max="13054" width="4.375" style="124" customWidth="1"/>
    <col min="13055" max="13055" width="10.375" style="124" customWidth="1"/>
    <col min="13056" max="13056" width="16.625" style="124" customWidth="1"/>
    <col min="13057" max="13057" width="10.875" style="124" customWidth="1"/>
    <col min="13058" max="13058" width="18.75" style="124" customWidth="1"/>
    <col min="13059" max="13059" width="14.25" style="124" bestFit="1" customWidth="1"/>
    <col min="13060" max="13299" width="9" style="124"/>
    <col min="13300" max="13300" width="5" style="124" customWidth="1"/>
    <col min="13301" max="13301" width="3.875" style="124" customWidth="1"/>
    <col min="13302" max="13302" width="5" style="124" customWidth="1"/>
    <col min="13303" max="13303" width="6.25" style="124" customWidth="1"/>
    <col min="13304" max="13304" width="2.875" style="124" customWidth="1"/>
    <col min="13305" max="13305" width="4" style="124" customWidth="1"/>
    <col min="13306" max="13306" width="4.75" style="124" customWidth="1"/>
    <col min="13307" max="13307" width="5.5" style="124" customWidth="1"/>
    <col min="13308" max="13308" width="5.375" style="124" customWidth="1"/>
    <col min="13309" max="13309" width="1.25" style="124" customWidth="1"/>
    <col min="13310" max="13310" width="4.375" style="124" customWidth="1"/>
    <col min="13311" max="13311" width="10.375" style="124" customWidth="1"/>
    <col min="13312" max="13312" width="16.625" style="124" customWidth="1"/>
    <col min="13313" max="13313" width="10.875" style="124" customWidth="1"/>
    <col min="13314" max="13314" width="18.75" style="124" customWidth="1"/>
    <col min="13315" max="13315" width="14.25" style="124" bestFit="1" customWidth="1"/>
    <col min="13316" max="13555" width="9" style="124"/>
    <col min="13556" max="13556" width="5" style="124" customWidth="1"/>
    <col min="13557" max="13557" width="3.875" style="124" customWidth="1"/>
    <col min="13558" max="13558" width="5" style="124" customWidth="1"/>
    <col min="13559" max="13559" width="6.25" style="124" customWidth="1"/>
    <col min="13560" max="13560" width="2.875" style="124" customWidth="1"/>
    <col min="13561" max="13561" width="4" style="124" customWidth="1"/>
    <col min="13562" max="13562" width="4.75" style="124" customWidth="1"/>
    <col min="13563" max="13563" width="5.5" style="124" customWidth="1"/>
    <col min="13564" max="13564" width="5.375" style="124" customWidth="1"/>
    <col min="13565" max="13565" width="1.25" style="124" customWidth="1"/>
    <col min="13566" max="13566" width="4.375" style="124" customWidth="1"/>
    <col min="13567" max="13567" width="10.375" style="124" customWidth="1"/>
    <col min="13568" max="13568" width="16.625" style="124" customWidth="1"/>
    <col min="13569" max="13569" width="10.875" style="124" customWidth="1"/>
    <col min="13570" max="13570" width="18.75" style="124" customWidth="1"/>
    <col min="13571" max="13571" width="14.25" style="124" bestFit="1" customWidth="1"/>
    <col min="13572" max="13811" width="9" style="124"/>
    <col min="13812" max="13812" width="5" style="124" customWidth="1"/>
    <col min="13813" max="13813" width="3.875" style="124" customWidth="1"/>
    <col min="13814" max="13814" width="5" style="124" customWidth="1"/>
    <col min="13815" max="13815" width="6.25" style="124" customWidth="1"/>
    <col min="13816" max="13816" width="2.875" style="124" customWidth="1"/>
    <col min="13817" max="13817" width="4" style="124" customWidth="1"/>
    <col min="13818" max="13818" width="4.75" style="124" customWidth="1"/>
    <col min="13819" max="13819" width="5.5" style="124" customWidth="1"/>
    <col min="13820" max="13820" width="5.375" style="124" customWidth="1"/>
    <col min="13821" max="13821" width="1.25" style="124" customWidth="1"/>
    <col min="13822" max="13822" width="4.375" style="124" customWidth="1"/>
    <col min="13823" max="13823" width="10.375" style="124" customWidth="1"/>
    <col min="13824" max="13824" width="16.625" style="124" customWidth="1"/>
    <col min="13825" max="13825" width="10.875" style="124" customWidth="1"/>
    <col min="13826" max="13826" width="18.75" style="124" customWidth="1"/>
    <col min="13827" max="13827" width="14.25" style="124" bestFit="1" customWidth="1"/>
    <col min="13828" max="14067" width="9" style="124"/>
    <col min="14068" max="14068" width="5" style="124" customWidth="1"/>
    <col min="14069" max="14069" width="3.875" style="124" customWidth="1"/>
    <col min="14070" max="14070" width="5" style="124" customWidth="1"/>
    <col min="14071" max="14071" width="6.25" style="124" customWidth="1"/>
    <col min="14072" max="14072" width="2.875" style="124" customWidth="1"/>
    <col min="14073" max="14073" width="4" style="124" customWidth="1"/>
    <col min="14074" max="14074" width="4.75" style="124" customWidth="1"/>
    <col min="14075" max="14075" width="5.5" style="124" customWidth="1"/>
    <col min="14076" max="14076" width="5.375" style="124" customWidth="1"/>
    <col min="14077" max="14077" width="1.25" style="124" customWidth="1"/>
    <col min="14078" max="14078" width="4.375" style="124" customWidth="1"/>
    <col min="14079" max="14079" width="10.375" style="124" customWidth="1"/>
    <col min="14080" max="14080" width="16.625" style="124" customWidth="1"/>
    <col min="14081" max="14081" width="10.875" style="124" customWidth="1"/>
    <col min="14082" max="14082" width="18.75" style="124" customWidth="1"/>
    <col min="14083" max="14083" width="14.25" style="124" bestFit="1" customWidth="1"/>
    <col min="14084" max="14323" width="9" style="124"/>
    <col min="14324" max="14324" width="5" style="124" customWidth="1"/>
    <col min="14325" max="14325" width="3.875" style="124" customWidth="1"/>
    <col min="14326" max="14326" width="5" style="124" customWidth="1"/>
    <col min="14327" max="14327" width="6.25" style="124" customWidth="1"/>
    <col min="14328" max="14328" width="2.875" style="124" customWidth="1"/>
    <col min="14329" max="14329" width="4" style="124" customWidth="1"/>
    <col min="14330" max="14330" width="4.75" style="124" customWidth="1"/>
    <col min="14331" max="14331" width="5.5" style="124" customWidth="1"/>
    <col min="14332" max="14332" width="5.375" style="124" customWidth="1"/>
    <col min="14333" max="14333" width="1.25" style="124" customWidth="1"/>
    <col min="14334" max="14334" width="4.375" style="124" customWidth="1"/>
    <col min="14335" max="14335" width="10.375" style="124" customWidth="1"/>
    <col min="14336" max="14336" width="16.625" style="124" customWidth="1"/>
    <col min="14337" max="14337" width="10.875" style="124" customWidth="1"/>
    <col min="14338" max="14338" width="18.75" style="124" customWidth="1"/>
    <col min="14339" max="14339" width="14.25" style="124" bestFit="1" customWidth="1"/>
    <col min="14340" max="14579" width="9" style="124"/>
    <col min="14580" max="14580" width="5" style="124" customWidth="1"/>
    <col min="14581" max="14581" width="3.875" style="124" customWidth="1"/>
    <col min="14582" max="14582" width="5" style="124" customWidth="1"/>
    <col min="14583" max="14583" width="6.25" style="124" customWidth="1"/>
    <col min="14584" max="14584" width="2.875" style="124" customWidth="1"/>
    <col min="14585" max="14585" width="4" style="124" customWidth="1"/>
    <col min="14586" max="14586" width="4.75" style="124" customWidth="1"/>
    <col min="14587" max="14587" width="5.5" style="124" customWidth="1"/>
    <col min="14588" max="14588" width="5.375" style="124" customWidth="1"/>
    <col min="14589" max="14589" width="1.25" style="124" customWidth="1"/>
    <col min="14590" max="14590" width="4.375" style="124" customWidth="1"/>
    <col min="14591" max="14591" width="10.375" style="124" customWidth="1"/>
    <col min="14592" max="14592" width="16.625" style="124" customWidth="1"/>
    <col min="14593" max="14593" width="10.875" style="124" customWidth="1"/>
    <col min="14594" max="14594" width="18.75" style="124" customWidth="1"/>
    <col min="14595" max="14595" width="14.25" style="124" bestFit="1" customWidth="1"/>
    <col min="14596" max="14835" width="9" style="124"/>
    <col min="14836" max="14836" width="5" style="124" customWidth="1"/>
    <col min="14837" max="14837" width="3.875" style="124" customWidth="1"/>
    <col min="14838" max="14838" width="5" style="124" customWidth="1"/>
    <col min="14839" max="14839" width="6.25" style="124" customWidth="1"/>
    <col min="14840" max="14840" width="2.875" style="124" customWidth="1"/>
    <col min="14841" max="14841" width="4" style="124" customWidth="1"/>
    <col min="14842" max="14842" width="4.75" style="124" customWidth="1"/>
    <col min="14843" max="14843" width="5.5" style="124" customWidth="1"/>
    <col min="14844" max="14844" width="5.375" style="124" customWidth="1"/>
    <col min="14845" max="14845" width="1.25" style="124" customWidth="1"/>
    <col min="14846" max="14846" width="4.375" style="124" customWidth="1"/>
    <col min="14847" max="14847" width="10.375" style="124" customWidth="1"/>
    <col min="14848" max="14848" width="16.625" style="124" customWidth="1"/>
    <col min="14849" max="14849" width="10.875" style="124" customWidth="1"/>
    <col min="14850" max="14850" width="18.75" style="124" customWidth="1"/>
    <col min="14851" max="14851" width="14.25" style="124" bestFit="1" customWidth="1"/>
    <col min="14852" max="15091" width="9" style="124"/>
    <col min="15092" max="15092" width="5" style="124" customWidth="1"/>
    <col min="15093" max="15093" width="3.875" style="124" customWidth="1"/>
    <col min="15094" max="15094" width="5" style="124" customWidth="1"/>
    <col min="15095" max="15095" width="6.25" style="124" customWidth="1"/>
    <col min="15096" max="15096" width="2.875" style="124" customWidth="1"/>
    <col min="15097" max="15097" width="4" style="124" customWidth="1"/>
    <col min="15098" max="15098" width="4.75" style="124" customWidth="1"/>
    <col min="15099" max="15099" width="5.5" style="124" customWidth="1"/>
    <col min="15100" max="15100" width="5.375" style="124" customWidth="1"/>
    <col min="15101" max="15101" width="1.25" style="124" customWidth="1"/>
    <col min="15102" max="15102" width="4.375" style="124" customWidth="1"/>
    <col min="15103" max="15103" width="10.375" style="124" customWidth="1"/>
    <col min="15104" max="15104" width="16.625" style="124" customWidth="1"/>
    <col min="15105" max="15105" width="10.875" style="124" customWidth="1"/>
    <col min="15106" max="15106" width="18.75" style="124" customWidth="1"/>
    <col min="15107" max="15107" width="14.25" style="124" bestFit="1" customWidth="1"/>
    <col min="15108" max="15347" width="9" style="124"/>
    <col min="15348" max="15348" width="5" style="124" customWidth="1"/>
    <col min="15349" max="15349" width="3.875" style="124" customWidth="1"/>
    <col min="15350" max="15350" width="5" style="124" customWidth="1"/>
    <col min="15351" max="15351" width="6.25" style="124" customWidth="1"/>
    <col min="15352" max="15352" width="2.875" style="124" customWidth="1"/>
    <col min="15353" max="15353" width="4" style="124" customWidth="1"/>
    <col min="15354" max="15354" width="4.75" style="124" customWidth="1"/>
    <col min="15355" max="15355" width="5.5" style="124" customWidth="1"/>
    <col min="15356" max="15356" width="5.375" style="124" customWidth="1"/>
    <col min="15357" max="15357" width="1.25" style="124" customWidth="1"/>
    <col min="15358" max="15358" width="4.375" style="124" customWidth="1"/>
    <col min="15359" max="15359" width="10.375" style="124" customWidth="1"/>
    <col min="15360" max="15360" width="16.625" style="124" customWidth="1"/>
    <col min="15361" max="15361" width="10.875" style="124" customWidth="1"/>
    <col min="15362" max="15362" width="18.75" style="124" customWidth="1"/>
    <col min="15363" max="15363" width="14.25" style="124" bestFit="1" customWidth="1"/>
    <col min="15364" max="15603" width="9" style="124"/>
    <col min="15604" max="15604" width="5" style="124" customWidth="1"/>
    <col min="15605" max="15605" width="3.875" style="124" customWidth="1"/>
    <col min="15606" max="15606" width="5" style="124" customWidth="1"/>
    <col min="15607" max="15607" width="6.25" style="124" customWidth="1"/>
    <col min="15608" max="15608" width="2.875" style="124" customWidth="1"/>
    <col min="15609" max="15609" width="4" style="124" customWidth="1"/>
    <col min="15610" max="15610" width="4.75" style="124" customWidth="1"/>
    <col min="15611" max="15611" width="5.5" style="124" customWidth="1"/>
    <col min="15612" max="15612" width="5.375" style="124" customWidth="1"/>
    <col min="15613" max="15613" width="1.25" style="124" customWidth="1"/>
    <col min="15614" max="15614" width="4.375" style="124" customWidth="1"/>
    <col min="15615" max="15615" width="10.375" style="124" customWidth="1"/>
    <col min="15616" max="15616" width="16.625" style="124" customWidth="1"/>
    <col min="15617" max="15617" width="10.875" style="124" customWidth="1"/>
    <col min="15618" max="15618" width="18.75" style="124" customWidth="1"/>
    <col min="15619" max="15619" width="14.25" style="124" bestFit="1" customWidth="1"/>
    <col min="15620" max="15859" width="9" style="124"/>
    <col min="15860" max="15860" width="5" style="124" customWidth="1"/>
    <col min="15861" max="15861" width="3.875" style="124" customWidth="1"/>
    <col min="15862" max="15862" width="5" style="124" customWidth="1"/>
    <col min="15863" max="15863" width="6.25" style="124" customWidth="1"/>
    <col min="15864" max="15864" width="2.875" style="124" customWidth="1"/>
    <col min="15865" max="15865" width="4" style="124" customWidth="1"/>
    <col min="15866" max="15866" width="4.75" style="124" customWidth="1"/>
    <col min="15867" max="15867" width="5.5" style="124" customWidth="1"/>
    <col min="15868" max="15868" width="5.375" style="124" customWidth="1"/>
    <col min="15869" max="15869" width="1.25" style="124" customWidth="1"/>
    <col min="15870" max="15870" width="4.375" style="124" customWidth="1"/>
    <col min="15871" max="15871" width="10.375" style="124" customWidth="1"/>
    <col min="15872" max="15872" width="16.625" style="124" customWidth="1"/>
    <col min="15873" max="15873" width="10.875" style="124" customWidth="1"/>
    <col min="15874" max="15874" width="18.75" style="124" customWidth="1"/>
    <col min="15875" max="15875" width="14.25" style="124" bestFit="1" customWidth="1"/>
    <col min="15876" max="16115" width="9" style="124"/>
    <col min="16116" max="16116" width="5" style="124" customWidth="1"/>
    <col min="16117" max="16117" width="3.875" style="124" customWidth="1"/>
    <col min="16118" max="16118" width="5" style="124" customWidth="1"/>
    <col min="16119" max="16119" width="6.25" style="124" customWidth="1"/>
    <col min="16120" max="16120" width="2.875" style="124" customWidth="1"/>
    <col min="16121" max="16121" width="4" style="124" customWidth="1"/>
    <col min="16122" max="16122" width="4.75" style="124" customWidth="1"/>
    <col min="16123" max="16123" width="5.5" style="124" customWidth="1"/>
    <col min="16124" max="16124" width="5.375" style="124" customWidth="1"/>
    <col min="16125" max="16125" width="1.25" style="124" customWidth="1"/>
    <col min="16126" max="16126" width="4.375" style="124" customWidth="1"/>
    <col min="16127" max="16127" width="10.375" style="124" customWidth="1"/>
    <col min="16128" max="16128" width="16.625" style="124" customWidth="1"/>
    <col min="16129" max="16129" width="10.875" style="124" customWidth="1"/>
    <col min="16130" max="16130" width="18.75" style="124" customWidth="1"/>
    <col min="16131" max="16131" width="14.25" style="124" bestFit="1" customWidth="1"/>
    <col min="16132" max="16384" width="9" style="124"/>
  </cols>
  <sheetData>
    <row r="1" spans="1:15" ht="9" customHeight="1">
      <c r="A1" s="275"/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7"/>
    </row>
    <row r="2" spans="1:15" ht="9.75" customHeight="1">
      <c r="A2" s="125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7"/>
    </row>
    <row r="3" spans="1:15" ht="45">
      <c r="A3" s="278" t="s">
        <v>153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/>
    </row>
    <row r="4" spans="1:15" ht="16.5" customHeight="1">
      <c r="A4" s="128" t="s">
        <v>154</v>
      </c>
      <c r="B4" s="129"/>
      <c r="C4" s="129"/>
      <c r="D4" s="129"/>
      <c r="E4" s="129"/>
      <c r="F4" s="129"/>
      <c r="G4" s="129"/>
      <c r="H4" s="129"/>
      <c r="I4" s="130"/>
      <c r="J4" s="130"/>
      <c r="K4" s="131"/>
      <c r="L4" s="131"/>
      <c r="M4" s="131"/>
      <c r="N4" s="131"/>
      <c r="O4" s="132"/>
    </row>
    <row r="5" spans="1:15" ht="21" customHeight="1">
      <c r="A5" s="133"/>
      <c r="B5" s="189" t="s">
        <v>218</v>
      </c>
      <c r="C5" s="189"/>
      <c r="D5" s="189"/>
      <c r="E5" s="189"/>
      <c r="F5" s="189"/>
      <c r="G5" s="190"/>
      <c r="H5" s="190"/>
      <c r="I5" s="134"/>
      <c r="J5" s="134"/>
      <c r="K5" s="134"/>
      <c r="L5" s="134"/>
      <c r="M5" s="135"/>
      <c r="N5" s="135"/>
      <c r="O5" s="136"/>
    </row>
    <row r="6" spans="1:15" ht="12" customHeight="1" thickBot="1">
      <c r="A6" s="137"/>
      <c r="B6" s="138"/>
      <c r="C6" s="138"/>
      <c r="D6" s="138"/>
      <c r="E6" s="138"/>
      <c r="F6" s="138"/>
      <c r="G6" s="138"/>
      <c r="H6" s="138"/>
      <c r="I6" s="138"/>
      <c r="J6" s="138"/>
      <c r="K6" s="139"/>
      <c r="L6" s="139"/>
      <c r="M6" s="139"/>
      <c r="N6" s="139"/>
      <c r="O6" s="140"/>
    </row>
    <row r="7" spans="1:15" ht="23.25" customHeight="1">
      <c r="A7" s="281" t="s">
        <v>155</v>
      </c>
      <c r="B7" s="282"/>
      <c r="C7" s="283"/>
      <c r="D7" s="191">
        <v>2025</v>
      </c>
      <c r="E7" s="141" t="s">
        <v>156</v>
      </c>
      <c r="F7" s="192">
        <v>10</v>
      </c>
      <c r="G7" s="141" t="s">
        <v>157</v>
      </c>
      <c r="H7" s="192">
        <v>1</v>
      </c>
      <c r="I7" s="141" t="s">
        <v>158</v>
      </c>
      <c r="J7" s="142"/>
      <c r="K7" s="284" t="s">
        <v>159</v>
      </c>
      <c r="L7" s="143" t="s">
        <v>160</v>
      </c>
      <c r="M7" s="143" t="s">
        <v>161</v>
      </c>
      <c r="N7" s="143" t="s">
        <v>162</v>
      </c>
      <c r="O7" s="144" t="s">
        <v>163</v>
      </c>
    </row>
    <row r="8" spans="1:15" ht="23.25" customHeight="1">
      <c r="A8" s="287" t="s">
        <v>164</v>
      </c>
      <c r="B8" s="288"/>
      <c r="C8" s="289"/>
      <c r="D8" s="290" t="s">
        <v>165</v>
      </c>
      <c r="E8" s="291"/>
      <c r="F8" s="291"/>
      <c r="G8" s="292"/>
      <c r="H8" s="293" t="s">
        <v>166</v>
      </c>
      <c r="I8" s="291"/>
      <c r="J8" s="294"/>
      <c r="K8" s="285"/>
      <c r="L8" s="145" t="s">
        <v>167</v>
      </c>
      <c r="M8" s="145" t="s">
        <v>168</v>
      </c>
      <c r="N8" s="145" t="s">
        <v>169</v>
      </c>
      <c r="O8" s="146" t="s">
        <v>170</v>
      </c>
    </row>
    <row r="9" spans="1:15" ht="23.25" customHeight="1">
      <c r="A9" s="287" t="s">
        <v>171</v>
      </c>
      <c r="B9" s="288"/>
      <c r="C9" s="289"/>
      <c r="D9" s="295" t="s">
        <v>172</v>
      </c>
      <c r="E9" s="296"/>
      <c r="F9" s="296"/>
      <c r="G9" s="296"/>
      <c r="H9" s="296"/>
      <c r="I9" s="296"/>
      <c r="J9" s="297"/>
      <c r="K9" s="285"/>
      <c r="L9" s="145" t="s">
        <v>173</v>
      </c>
      <c r="M9" s="298" t="s">
        <v>174</v>
      </c>
      <c r="N9" s="288"/>
      <c r="O9" s="289"/>
    </row>
    <row r="10" spans="1:15" ht="23.25" customHeight="1" thickBot="1">
      <c r="A10" s="299" t="s">
        <v>175</v>
      </c>
      <c r="B10" s="300"/>
      <c r="C10" s="301"/>
      <c r="D10" s="302" t="s">
        <v>176</v>
      </c>
      <c r="E10" s="303"/>
      <c r="F10" s="303"/>
      <c r="G10" s="303"/>
      <c r="H10" s="303"/>
      <c r="I10" s="303"/>
      <c r="J10" s="304"/>
      <c r="K10" s="286"/>
      <c r="L10" s="147" t="s">
        <v>177</v>
      </c>
      <c r="M10" s="147" t="s">
        <v>178</v>
      </c>
      <c r="N10" s="147" t="s">
        <v>179</v>
      </c>
      <c r="O10" s="148" t="s">
        <v>180</v>
      </c>
    </row>
    <row r="11" spans="1:15" ht="21.75" customHeight="1">
      <c r="A11" s="149"/>
      <c r="B11" s="150"/>
      <c r="C11" s="150"/>
      <c r="D11" s="151"/>
      <c r="E11" s="151"/>
      <c r="F11" s="151"/>
      <c r="G11" s="151"/>
      <c r="H11" s="151"/>
      <c r="I11" s="151"/>
      <c r="J11" s="151"/>
      <c r="K11" s="152"/>
      <c r="L11" s="152"/>
      <c r="M11" s="152"/>
      <c r="N11" s="152"/>
      <c r="O11" s="132"/>
    </row>
    <row r="12" spans="1:15" ht="21.75" customHeight="1">
      <c r="A12" s="153"/>
      <c r="B12" s="135"/>
      <c r="C12" s="135"/>
      <c r="D12" s="135"/>
      <c r="E12" s="135"/>
      <c r="F12" s="135"/>
      <c r="G12" s="135"/>
      <c r="H12" s="135"/>
      <c r="I12" s="152"/>
      <c r="J12" s="152"/>
      <c r="K12" s="152"/>
      <c r="L12" s="152"/>
      <c r="M12" s="152"/>
      <c r="N12" s="152"/>
      <c r="O12" s="154"/>
    </row>
    <row r="13" spans="1:15" ht="24" customHeight="1">
      <c r="A13" s="155"/>
      <c r="B13" s="274" t="s">
        <v>217</v>
      </c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156" t="s">
        <v>181</v>
      </c>
      <c r="O13" s="154"/>
    </row>
    <row r="14" spans="1:15" ht="9" customHeight="1">
      <c r="A14" s="155"/>
      <c r="B14" s="135"/>
      <c r="C14" s="135"/>
      <c r="D14" s="135"/>
      <c r="E14" s="135"/>
      <c r="F14" s="135"/>
      <c r="G14" s="135"/>
      <c r="H14" s="135"/>
      <c r="I14" s="152"/>
      <c r="J14" s="152"/>
      <c r="K14" s="152"/>
      <c r="L14" s="152"/>
      <c r="M14" s="152"/>
      <c r="N14" s="152"/>
      <c r="O14" s="154"/>
    </row>
    <row r="15" spans="1:15" ht="25.5" customHeight="1">
      <c r="A15" s="155"/>
      <c r="B15" s="257" t="str">
        <f>"견 적 금 액 : 一金"&amp;NUMBERSTRING(M32,1) &amp; "원정""(\"&amp; TEXT(M32,"#,###")&amp;"원) [VAT 별도]"</f>
        <v>견 적 금 액 : 一金일천이백팔십팔만칠천일백원정"(\12,887,100원) [VAT 별도]</v>
      </c>
      <c r="C15" s="257"/>
      <c r="D15" s="257"/>
      <c r="E15" s="257"/>
      <c r="F15" s="257"/>
      <c r="G15" s="257"/>
      <c r="H15" s="257"/>
      <c r="I15" s="257"/>
      <c r="J15" s="257"/>
      <c r="K15" s="257"/>
      <c r="L15" s="257"/>
      <c r="M15" s="257"/>
      <c r="N15" s="257"/>
      <c r="O15" s="258"/>
    </row>
    <row r="16" spans="1:15" ht="15" thickBot="1">
      <c r="A16" s="153"/>
      <c r="B16" s="152"/>
      <c r="C16" s="152"/>
      <c r="D16" s="152"/>
      <c r="E16" s="152"/>
      <c r="F16" s="152"/>
      <c r="G16" s="152"/>
      <c r="H16" s="152"/>
      <c r="I16" s="135"/>
      <c r="J16" s="135"/>
      <c r="K16" s="259"/>
      <c r="L16" s="259"/>
      <c r="M16" s="259"/>
      <c r="N16" s="259"/>
      <c r="O16" s="260"/>
    </row>
    <row r="17" spans="1:17" ht="27.75" customHeight="1" thickBot="1">
      <c r="A17" s="157" t="s">
        <v>182</v>
      </c>
      <c r="B17" s="267" t="s">
        <v>183</v>
      </c>
      <c r="C17" s="268"/>
      <c r="D17" s="268"/>
      <c r="E17" s="268"/>
      <c r="F17" s="268"/>
      <c r="G17" s="269"/>
      <c r="H17" s="158" t="s">
        <v>184</v>
      </c>
      <c r="I17" s="159" t="s">
        <v>185</v>
      </c>
      <c r="J17" s="270" t="s">
        <v>186</v>
      </c>
      <c r="K17" s="271"/>
      <c r="L17" s="271"/>
      <c r="M17" s="272"/>
      <c r="N17" s="267" t="s">
        <v>187</v>
      </c>
      <c r="O17" s="273"/>
    </row>
    <row r="18" spans="1:17" ht="28.5" customHeight="1">
      <c r="A18" s="160">
        <v>1</v>
      </c>
      <c r="B18" s="261" t="s">
        <v>188</v>
      </c>
      <c r="C18" s="262"/>
      <c r="D18" s="262"/>
      <c r="E18" s="262"/>
      <c r="F18" s="262"/>
      <c r="G18" s="263"/>
      <c r="H18" s="193">
        <v>1</v>
      </c>
      <c r="I18" s="194" t="s">
        <v>23</v>
      </c>
      <c r="J18" s="264">
        <f>IFERROR(LOOKUP(2, 1/(TRIM('내역서(표준단가)'!O4:O100)&lt;&gt;""), '내역서(표준단가)'!O4:O100), "-")</f>
        <v>473907.51999999996</v>
      </c>
      <c r="K18" s="264"/>
      <c r="L18" s="264"/>
      <c r="M18" s="264"/>
      <c r="N18" s="265"/>
      <c r="O18" s="266"/>
    </row>
    <row r="19" spans="1:17" ht="28.5" customHeight="1">
      <c r="A19" s="161">
        <v>2</v>
      </c>
      <c r="B19" s="241" t="s">
        <v>189</v>
      </c>
      <c r="C19" s="242"/>
      <c r="D19" s="242"/>
      <c r="E19" s="242"/>
      <c r="F19" s="242"/>
      <c r="G19" s="243"/>
      <c r="H19" s="195">
        <v>1</v>
      </c>
      <c r="I19" s="195" t="s">
        <v>23</v>
      </c>
      <c r="J19" s="244">
        <f>IFERROR(LOOKUP(2, 1/(TRIM('내역서(표준단가)'!Q4:Q100)&lt;&gt;""), '내역서(표준단가)'!Q4:Q100), "-")</f>
        <v>3692810.88</v>
      </c>
      <c r="K19" s="245"/>
      <c r="L19" s="245"/>
      <c r="M19" s="246"/>
      <c r="N19" s="247"/>
      <c r="O19" s="248"/>
    </row>
    <row r="20" spans="1:17" ht="28.5" customHeight="1">
      <c r="A20" s="161">
        <v>3</v>
      </c>
      <c r="B20" s="249" t="s">
        <v>190</v>
      </c>
      <c r="C20" s="250"/>
      <c r="D20" s="250"/>
      <c r="E20" s="250"/>
      <c r="F20" s="250"/>
      <c r="G20" s="251"/>
      <c r="H20" s="162">
        <v>1</v>
      </c>
      <c r="I20" s="162" t="s">
        <v>23</v>
      </c>
      <c r="J20" s="252">
        <f>IFERROR(SUM(J21:M29),"-")</f>
        <v>7616458.5472615138</v>
      </c>
      <c r="K20" s="253"/>
      <c r="L20" s="253"/>
      <c r="M20" s="254"/>
      <c r="N20" s="255"/>
      <c r="O20" s="256"/>
      <c r="P20" s="163"/>
    </row>
    <row r="21" spans="1:17" ht="28.5" customHeight="1">
      <c r="A21" s="160"/>
      <c r="B21" s="164"/>
      <c r="C21" s="233" t="s">
        <v>191</v>
      </c>
      <c r="D21" s="234"/>
      <c r="E21" s="234"/>
      <c r="F21" s="234"/>
      <c r="G21" s="235"/>
      <c r="H21" s="196">
        <v>1</v>
      </c>
      <c r="I21" s="196" t="s">
        <v>23</v>
      </c>
      <c r="J21" s="236">
        <f>IFERROR(LOOKUP(2, 1/(TRIM('내역서(표준단가)'!S4:S100)&lt;&gt;""), '내역서(표준단가)'!S4:S100) + LOOKUP(2, 1/(TRIM('내역서(표준단가)'!U4:U100)&lt;&gt;""), '내역서(표준단가)'!U4:U100), "-")</f>
        <v>6994536</v>
      </c>
      <c r="K21" s="237"/>
      <c r="L21" s="237"/>
      <c r="M21" s="238"/>
      <c r="N21" s="239" t="s">
        <v>192</v>
      </c>
      <c r="O21" s="240"/>
    </row>
    <row r="22" spans="1:17" ht="28.5" customHeight="1">
      <c r="A22" s="160"/>
      <c r="B22" s="164"/>
      <c r="C22" s="227" t="s">
        <v>89</v>
      </c>
      <c r="D22" s="228"/>
      <c r="E22" s="228"/>
      <c r="F22" s="228"/>
      <c r="G22" s="229"/>
      <c r="H22" s="165">
        <v>3.11</v>
      </c>
      <c r="I22" s="165" t="s">
        <v>193</v>
      </c>
      <c r="J22" s="230">
        <f>IFERROR((J18+J19)*H22%,"-")</f>
        <v>129584.94223999999</v>
      </c>
      <c r="K22" s="231"/>
      <c r="L22" s="231"/>
      <c r="M22" s="232"/>
      <c r="N22" s="223" t="s">
        <v>194</v>
      </c>
      <c r="O22" s="224"/>
    </row>
    <row r="23" spans="1:17" ht="28.5" customHeight="1">
      <c r="A23" s="160"/>
      <c r="B23" s="164"/>
      <c r="C23" s="227" t="s">
        <v>195</v>
      </c>
      <c r="D23" s="228"/>
      <c r="E23" s="228"/>
      <c r="F23" s="228"/>
      <c r="G23" s="229"/>
      <c r="H23" s="165">
        <v>3.56</v>
      </c>
      <c r="I23" s="165" t="s">
        <v>196</v>
      </c>
      <c r="J23" s="230">
        <f>IFERROR(J19*H23%,"-")</f>
        <v>131464.067328</v>
      </c>
      <c r="K23" s="231"/>
      <c r="L23" s="231"/>
      <c r="M23" s="232"/>
      <c r="N23" s="223" t="s">
        <v>197</v>
      </c>
      <c r="O23" s="224"/>
    </row>
    <row r="24" spans="1:17" ht="28.5" customHeight="1">
      <c r="A24" s="160"/>
      <c r="B24" s="164"/>
      <c r="C24" s="227" t="s">
        <v>198</v>
      </c>
      <c r="D24" s="228"/>
      <c r="E24" s="228"/>
      <c r="F24" s="228"/>
      <c r="G24" s="229"/>
      <c r="H24" s="165">
        <v>1.01</v>
      </c>
      <c r="I24" s="165" t="s">
        <v>196</v>
      </c>
      <c r="J24" s="230">
        <f>IFERROR(J19*H24%,"-")</f>
        <v>37297.389887999998</v>
      </c>
      <c r="K24" s="231"/>
      <c r="L24" s="231"/>
      <c r="M24" s="232"/>
      <c r="N24" s="223" t="s">
        <v>199</v>
      </c>
      <c r="O24" s="224"/>
    </row>
    <row r="25" spans="1:17" ht="28.5" customHeight="1">
      <c r="A25" s="160"/>
      <c r="B25" s="164"/>
      <c r="C25" s="227" t="s">
        <v>200</v>
      </c>
      <c r="D25" s="228"/>
      <c r="E25" s="228"/>
      <c r="F25" s="228"/>
      <c r="G25" s="229"/>
      <c r="H25" s="166">
        <v>3.5449999999999999</v>
      </c>
      <c r="I25" s="165" t="s">
        <v>196</v>
      </c>
      <c r="J25" s="230">
        <f>IFERROR(J19*H25%,"-")</f>
        <v>130910.14569600001</v>
      </c>
      <c r="K25" s="231"/>
      <c r="L25" s="231"/>
      <c r="M25" s="232"/>
      <c r="N25" s="223" t="s">
        <v>201</v>
      </c>
      <c r="O25" s="224"/>
      <c r="Q25" s="163"/>
    </row>
    <row r="26" spans="1:17" ht="28.5" customHeight="1">
      <c r="A26" s="160"/>
      <c r="B26" s="164"/>
      <c r="C26" s="227" t="s">
        <v>202</v>
      </c>
      <c r="D26" s="228"/>
      <c r="E26" s="228"/>
      <c r="F26" s="228"/>
      <c r="G26" s="229"/>
      <c r="H26" s="165">
        <v>4.5</v>
      </c>
      <c r="I26" s="165" t="s">
        <v>196</v>
      </c>
      <c r="J26" s="230">
        <f>IFERROR(J19*H26%,"-")</f>
        <v>166176.4896</v>
      </c>
      <c r="K26" s="231"/>
      <c r="L26" s="231"/>
      <c r="M26" s="232"/>
      <c r="N26" s="223" t="s">
        <v>203</v>
      </c>
      <c r="O26" s="224"/>
      <c r="Q26" s="167"/>
    </row>
    <row r="27" spans="1:17" ht="28.5" customHeight="1">
      <c r="A27" s="160"/>
      <c r="B27" s="164"/>
      <c r="C27" s="217" t="s">
        <v>90</v>
      </c>
      <c r="D27" s="218"/>
      <c r="E27" s="218"/>
      <c r="F27" s="218"/>
      <c r="G27" s="219"/>
      <c r="H27" s="168">
        <v>12.95</v>
      </c>
      <c r="I27" s="169" t="s">
        <v>196</v>
      </c>
      <c r="J27" s="220">
        <f>IFERROR($H$27*J25%,"-")</f>
        <v>16952.863867632001</v>
      </c>
      <c r="K27" s="221"/>
      <c r="L27" s="221"/>
      <c r="M27" s="222"/>
      <c r="N27" s="223" t="s">
        <v>204</v>
      </c>
      <c r="O27" s="224"/>
    </row>
    <row r="28" spans="1:17" ht="28.5" customHeight="1">
      <c r="A28" s="160"/>
      <c r="B28" s="164"/>
      <c r="C28" s="217" t="s">
        <v>205</v>
      </c>
      <c r="D28" s="218"/>
      <c r="E28" s="218"/>
      <c r="F28" s="218"/>
      <c r="G28" s="219"/>
      <c r="H28" s="168">
        <v>8.1000000000000003E-2</v>
      </c>
      <c r="I28" s="169" t="s">
        <v>196</v>
      </c>
      <c r="J28" s="220">
        <f>IFERROR(IF(SUM(J21:J27,J18:J19)&gt;=10000000,SUM(J21:J27,J18:J19)*H28%,"-"),"-")</f>
        <v>9536.6486418819022</v>
      </c>
      <c r="K28" s="221"/>
      <c r="L28" s="221"/>
      <c r="M28" s="222"/>
      <c r="N28" s="225" t="s">
        <v>206</v>
      </c>
      <c r="O28" s="226"/>
    </row>
    <row r="29" spans="1:17" ht="28.5" customHeight="1">
      <c r="A29" s="170"/>
      <c r="B29" s="171"/>
      <c r="C29" s="197" t="s">
        <v>207</v>
      </c>
      <c r="D29" s="198"/>
      <c r="E29" s="198"/>
      <c r="F29" s="198"/>
      <c r="G29" s="199"/>
      <c r="H29" s="172">
        <v>1</v>
      </c>
      <c r="I29" s="173" t="s">
        <v>208</v>
      </c>
      <c r="J29" s="200">
        <f>34*0</f>
        <v>0</v>
      </c>
      <c r="K29" s="201"/>
      <c r="L29" s="201"/>
      <c r="M29" s="202"/>
      <c r="N29" s="203" t="s">
        <v>209</v>
      </c>
      <c r="O29" s="204"/>
    </row>
    <row r="30" spans="1:17" ht="28.5" customHeight="1">
      <c r="A30" s="170">
        <v>4</v>
      </c>
      <c r="B30" s="171"/>
      <c r="C30" s="197" t="s">
        <v>210</v>
      </c>
      <c r="D30" s="198"/>
      <c r="E30" s="198"/>
      <c r="F30" s="198"/>
      <c r="G30" s="199"/>
      <c r="H30" s="173">
        <v>5</v>
      </c>
      <c r="I30" s="174" t="s">
        <v>211</v>
      </c>
      <c r="J30" s="210">
        <f>IFERROR(IF(ISNUMBER(H30), SUM(J18:M20) * (H30 / 100), "-"), "-")</f>
        <v>589158.84736307571</v>
      </c>
      <c r="K30" s="211"/>
      <c r="L30" s="211"/>
      <c r="M30" s="212"/>
      <c r="N30" s="213" t="s">
        <v>212</v>
      </c>
      <c r="O30" s="214"/>
    </row>
    <row r="31" spans="1:17" ht="28.5" customHeight="1" thickBot="1">
      <c r="A31" s="170">
        <v>5</v>
      </c>
      <c r="B31" s="171"/>
      <c r="C31" s="197" t="s">
        <v>213</v>
      </c>
      <c r="D31" s="198"/>
      <c r="E31" s="198"/>
      <c r="F31" s="198"/>
      <c r="G31" s="199"/>
      <c r="H31" s="173">
        <v>7.5</v>
      </c>
      <c r="I31" s="174" t="s">
        <v>196</v>
      </c>
      <c r="J31" s="200">
        <f>IFERROR(SUM(J18:M20, J30) * (H31 / 100), "-")+-413160</f>
        <v>514765.18459684413</v>
      </c>
      <c r="K31" s="201"/>
      <c r="L31" s="201"/>
      <c r="M31" s="202"/>
      <c r="N31" s="215" t="s">
        <v>214</v>
      </c>
      <c r="O31" s="216"/>
      <c r="Q31" s="175"/>
    </row>
    <row r="32" spans="1:17" ht="28.5" customHeight="1" thickBot="1">
      <c r="A32" s="205" t="s">
        <v>215</v>
      </c>
      <c r="B32" s="206"/>
      <c r="C32" s="206"/>
      <c r="D32" s="206"/>
      <c r="E32" s="206"/>
      <c r="F32" s="206"/>
      <c r="G32" s="206"/>
      <c r="H32" s="206"/>
      <c r="I32" s="207"/>
      <c r="J32" s="176"/>
      <c r="K32" s="177"/>
      <c r="L32" s="177"/>
      <c r="M32" s="178">
        <f>IFERROR(ROUNDDOWN(SUM(J18:M20)+J30+J31,0),"-")</f>
        <v>12887100</v>
      </c>
      <c r="N32" s="208"/>
      <c r="O32" s="209"/>
      <c r="P32" s="179"/>
    </row>
    <row r="33" spans="1:15">
      <c r="A33" s="180" t="s">
        <v>216</v>
      </c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2"/>
    </row>
    <row r="34" spans="1:15">
      <c r="A34" s="183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2"/>
    </row>
    <row r="35" spans="1:15">
      <c r="A35" s="183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2"/>
    </row>
    <row r="36" spans="1:15">
      <c r="A36" s="183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2"/>
    </row>
    <row r="37" spans="1:15" ht="15.75">
      <c r="A37" s="183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5"/>
    </row>
    <row r="38" spans="1:15" ht="15.75">
      <c r="A38" s="183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5"/>
    </row>
    <row r="39" spans="1:15" ht="15.75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5"/>
    </row>
    <row r="40" spans="1:15" ht="15" thickBot="1">
      <c r="A40" s="186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8"/>
    </row>
    <row r="42" spans="1:15">
      <c r="M42" s="175"/>
    </row>
    <row r="43" spans="1:15">
      <c r="M43" s="17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1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E1:AI1049"/>
  <sheetViews>
    <sheetView showGridLines="0" zoomScale="70" zoomScaleNormal="70" workbookViewId="0">
      <pane xSplit="9" topLeftCell="J1" activePane="topRight" state="frozen"/>
      <selection pane="topRight" activeCell="R24" sqref="R24"/>
    </sheetView>
  </sheetViews>
  <sheetFormatPr defaultColWidth="9" defaultRowHeight="33" customHeight="1"/>
  <cols>
    <col min="1" max="4" width="0" style="4" hidden="1" customWidth="1"/>
    <col min="5" max="5" width="19.375" style="21" bestFit="1" customWidth="1"/>
    <col min="6" max="6" width="11" style="4" hidden="1" customWidth="1"/>
    <col min="7" max="7" width="19.875" style="4" hidden="1" customWidth="1"/>
    <col min="8" max="8" width="17" style="4" hidden="1" customWidth="1"/>
    <col min="9" max="9" width="13.25" style="4" hidden="1" customWidth="1"/>
    <col min="10" max="10" width="47.125" style="44" customWidth="1"/>
    <col min="11" max="11" width="42.625" style="44" customWidth="1"/>
    <col min="12" max="12" width="8.375" style="4" customWidth="1"/>
    <col min="13" max="13" width="8.125" style="53" bestFit="1" customWidth="1"/>
    <col min="14" max="14" width="10.75" style="4" bestFit="1" customWidth="1"/>
    <col min="15" max="15" width="13" style="4" bestFit="1" customWidth="1"/>
    <col min="16" max="16" width="10.375" style="4" bestFit="1" customWidth="1"/>
    <col min="17" max="17" width="13" style="4" bestFit="1" customWidth="1"/>
    <col min="18" max="18" width="10.375" style="4" bestFit="1" customWidth="1"/>
    <col min="19" max="19" width="12.25" style="4" bestFit="1" customWidth="1"/>
    <col min="20" max="20" width="10.625" style="4" bestFit="1" customWidth="1"/>
    <col min="21" max="21" width="10.875" style="4" bestFit="1" customWidth="1"/>
    <col min="22" max="22" width="12.125" style="4" customWidth="1"/>
    <col min="23" max="23" width="11.875" style="5" customWidth="1"/>
    <col min="24" max="24" width="17.125" style="4" bestFit="1" customWidth="1"/>
    <col min="25" max="26" width="9" style="4"/>
    <col min="27" max="27" width="11.75" style="4" bestFit="1" customWidth="1"/>
    <col min="28" max="28" width="12.375" style="4" bestFit="1" customWidth="1"/>
    <col min="29" max="29" width="11.75" style="4" bestFit="1" customWidth="1"/>
    <col min="30" max="30" width="12.375" style="4" bestFit="1" customWidth="1"/>
    <col min="31" max="31" width="10.75" style="4" bestFit="1" customWidth="1"/>
    <col min="32" max="34" width="11.75" style="4" bestFit="1" customWidth="1"/>
    <col min="35" max="16384" width="9" style="4"/>
  </cols>
  <sheetData>
    <row r="1" spans="5:35" ht="18.600000000000001" customHeight="1">
      <c r="E1" s="20"/>
      <c r="N1" s="5"/>
      <c r="O1" s="6" t="s">
        <v>36</v>
      </c>
      <c r="Q1" s="6" t="s">
        <v>37</v>
      </c>
      <c r="S1" s="6" t="s">
        <v>29</v>
      </c>
      <c r="U1" s="6" t="s">
        <v>37</v>
      </c>
    </row>
    <row r="2" spans="5:35" ht="18.600000000000001" customHeight="1" thickBot="1">
      <c r="E2" s="308"/>
      <c r="F2" s="308"/>
      <c r="G2" s="308"/>
      <c r="H2" s="308"/>
      <c r="I2" s="308"/>
      <c r="N2" s="7"/>
      <c r="O2" s="2">
        <v>0.82</v>
      </c>
      <c r="Q2" s="2">
        <v>0.72</v>
      </c>
      <c r="S2" s="2">
        <v>1</v>
      </c>
      <c r="U2" s="2">
        <v>1</v>
      </c>
    </row>
    <row r="3" spans="5:35" ht="18.600000000000001" customHeight="1">
      <c r="E3" s="25"/>
      <c r="F3" s="25" t="s">
        <v>38</v>
      </c>
      <c r="G3" s="22"/>
      <c r="H3" s="22"/>
      <c r="I3" s="22"/>
      <c r="J3" s="319" t="s">
        <v>47</v>
      </c>
      <c r="K3" s="320"/>
      <c r="L3" s="315" t="s">
        <v>24</v>
      </c>
      <c r="M3" s="317" t="s">
        <v>25</v>
      </c>
      <c r="N3" s="311" t="s">
        <v>39</v>
      </c>
      <c r="O3" s="311"/>
      <c r="P3" s="311" t="s">
        <v>30</v>
      </c>
      <c r="Q3" s="311"/>
      <c r="R3" s="312" t="s">
        <v>26</v>
      </c>
      <c r="S3" s="312"/>
      <c r="T3" s="312" t="s">
        <v>31</v>
      </c>
      <c r="U3" s="312"/>
      <c r="V3" s="313" t="s">
        <v>40</v>
      </c>
      <c r="W3" s="309" t="s">
        <v>41</v>
      </c>
      <c r="X3" s="306" t="s">
        <v>61</v>
      </c>
      <c r="AD3" s="305"/>
      <c r="AE3" s="305"/>
      <c r="AF3" s="305"/>
      <c r="AG3" s="305"/>
      <c r="AH3" s="305"/>
      <c r="AI3" s="305"/>
    </row>
    <row r="4" spans="5:35" ht="18.600000000000001" customHeight="1">
      <c r="E4" s="26" t="s">
        <v>42</v>
      </c>
      <c r="F4" s="27" t="s">
        <v>63</v>
      </c>
      <c r="G4" s="27" t="s">
        <v>64</v>
      </c>
      <c r="H4" s="27" t="s">
        <v>65</v>
      </c>
      <c r="I4" s="27" t="s">
        <v>66</v>
      </c>
      <c r="J4" s="45" t="s">
        <v>43</v>
      </c>
      <c r="K4" s="45" t="s">
        <v>32</v>
      </c>
      <c r="L4" s="316"/>
      <c r="M4" s="318"/>
      <c r="N4" s="8" t="s">
        <v>67</v>
      </c>
      <c r="O4" s="9" t="s">
        <v>27</v>
      </c>
      <c r="P4" s="8" t="s">
        <v>44</v>
      </c>
      <c r="Q4" s="9" t="s">
        <v>27</v>
      </c>
      <c r="R4" s="9" t="s">
        <v>28</v>
      </c>
      <c r="S4" s="9" t="s">
        <v>27</v>
      </c>
      <c r="T4" s="9" t="s">
        <v>28</v>
      </c>
      <c r="U4" s="9" t="s">
        <v>27</v>
      </c>
      <c r="V4" s="314"/>
      <c r="W4" s="310"/>
      <c r="X4" s="307"/>
      <c r="AD4" s="305"/>
      <c r="AE4" s="305"/>
      <c r="AF4" s="305"/>
      <c r="AG4" s="305"/>
      <c r="AH4" s="305"/>
      <c r="AI4" s="305"/>
    </row>
    <row r="5" spans="5:35" ht="33" customHeight="1">
      <c r="E5" s="23"/>
      <c r="F5" s="56"/>
      <c r="G5" s="56"/>
      <c r="H5" s="56"/>
      <c r="I5" s="56"/>
      <c r="J5" s="65" t="s">
        <v>109</v>
      </c>
      <c r="K5" s="49"/>
      <c r="L5" s="78"/>
      <c r="M5" s="48"/>
      <c r="N5" s="50"/>
      <c r="O5" s="47"/>
      <c r="P5" s="50"/>
      <c r="Q5" s="3"/>
      <c r="R5" s="10"/>
      <c r="S5" s="3"/>
      <c r="T5" s="10"/>
      <c r="U5" s="3"/>
      <c r="V5" s="10"/>
      <c r="W5" s="41"/>
      <c r="X5" s="42"/>
    </row>
    <row r="6" spans="5:35" ht="33" customHeight="1">
      <c r="E6" s="23" t="str">
        <f t="shared" ref="E6:E18" si="0">F6&amp;G6&amp;H6&amp;I6</f>
        <v>999999</v>
      </c>
      <c r="F6" s="56"/>
      <c r="G6" s="56"/>
      <c r="H6" s="56">
        <v>999999</v>
      </c>
      <c r="I6" s="56"/>
      <c r="J6" s="117" t="s">
        <v>111</v>
      </c>
      <c r="K6" s="84" t="s">
        <v>113</v>
      </c>
      <c r="L6" s="85" t="s">
        <v>114</v>
      </c>
      <c r="M6" s="72">
        <f>20</f>
        <v>20</v>
      </c>
      <c r="N6" s="86"/>
      <c r="O6" s="3">
        <f>+M6*N6*$O$2</f>
        <v>0</v>
      </c>
      <c r="P6" s="86"/>
      <c r="Q6" s="3">
        <f>M6*P6*$Q$2*W6</f>
        <v>0</v>
      </c>
      <c r="R6" s="86">
        <v>340000</v>
      </c>
      <c r="S6" s="3">
        <f>ROUND(R6*M6*$S$2,0)</f>
        <v>6800000</v>
      </c>
      <c r="T6" s="87"/>
      <c r="U6" s="3">
        <f>ROUND(T6*M6*$U$2,0)</f>
        <v>0</v>
      </c>
      <c r="V6" s="10">
        <f>SUM(O6+Q6)+S6+U6</f>
        <v>6800000</v>
      </c>
      <c r="W6" s="41"/>
      <c r="X6" s="42"/>
    </row>
    <row r="7" spans="5:35" ht="33" customHeight="1">
      <c r="E7" s="23" t="str">
        <f t="shared" si="0"/>
        <v>E00000806004020402</v>
      </c>
      <c r="F7" s="56"/>
      <c r="G7" s="56" t="s">
        <v>115</v>
      </c>
      <c r="H7" s="56"/>
      <c r="I7" s="56"/>
      <c r="J7" s="84" t="s">
        <v>116</v>
      </c>
      <c r="K7" s="84" t="s">
        <v>117</v>
      </c>
      <c r="L7" s="85" t="s">
        <v>118</v>
      </c>
      <c r="M7" s="72">
        <f>20</f>
        <v>20</v>
      </c>
      <c r="N7" s="86">
        <v>0</v>
      </c>
      <c r="O7" s="3">
        <f t="shared" ref="O7:O18" si="1">+M7*N7*$O$2</f>
        <v>0</v>
      </c>
      <c r="P7" s="86">
        <v>87624</v>
      </c>
      <c r="Q7" s="3">
        <f t="shared" ref="Q7:Q18" si="2">M7*P7*$Q$2*W7</f>
        <v>1261785.5999999999</v>
      </c>
      <c r="R7" s="86">
        <v>0</v>
      </c>
      <c r="S7" s="3">
        <f t="shared" ref="S7:S18" si="3">ROUND(R7*M7*$S$2,0)</f>
        <v>0</v>
      </c>
      <c r="T7" s="87"/>
      <c r="U7" s="3">
        <f t="shared" ref="U7:U18" si="4">ROUND(T7*M7*$U$2,0)</f>
        <v>0</v>
      </c>
      <c r="V7" s="10">
        <f t="shared" ref="V7:V18" si="5">SUM(O7+Q7)+S7+U7</f>
        <v>1261785.5999999999</v>
      </c>
      <c r="W7" s="99">
        <v>1</v>
      </c>
      <c r="X7" s="42"/>
    </row>
    <row r="8" spans="5:35" ht="33" customHeight="1">
      <c r="E8" s="23" t="str">
        <f t="shared" si="0"/>
        <v>E00000806004020402</v>
      </c>
      <c r="F8" s="56"/>
      <c r="G8" s="56" t="s">
        <v>115</v>
      </c>
      <c r="H8" s="56"/>
      <c r="I8" s="56"/>
      <c r="J8" s="118" t="s">
        <v>119</v>
      </c>
      <c r="K8" s="84" t="s">
        <v>117</v>
      </c>
      <c r="L8" s="85" t="s">
        <v>118</v>
      </c>
      <c r="M8" s="72">
        <f>20</f>
        <v>20</v>
      </c>
      <c r="N8" s="86">
        <v>0</v>
      </c>
      <c r="O8" s="3">
        <f t="shared" si="1"/>
        <v>0</v>
      </c>
      <c r="P8" s="86">
        <v>87624</v>
      </c>
      <c r="Q8" s="3">
        <f t="shared" si="2"/>
        <v>630892.79999999993</v>
      </c>
      <c r="R8" s="86">
        <v>0</v>
      </c>
      <c r="S8" s="3">
        <f t="shared" si="3"/>
        <v>0</v>
      </c>
      <c r="T8" s="87"/>
      <c r="U8" s="3">
        <f t="shared" si="4"/>
        <v>0</v>
      </c>
      <c r="V8" s="10">
        <f t="shared" si="5"/>
        <v>630892.79999999993</v>
      </c>
      <c r="W8" s="99">
        <v>0.5</v>
      </c>
      <c r="X8" s="42" t="s">
        <v>120</v>
      </c>
    </row>
    <row r="9" spans="5:35" ht="33" customHeight="1">
      <c r="E9" s="23" t="str">
        <f t="shared" si="0"/>
        <v>M010332810030101</v>
      </c>
      <c r="F9" s="56"/>
      <c r="G9" s="56"/>
      <c r="H9" s="56" t="s">
        <v>121</v>
      </c>
      <c r="I9" s="56"/>
      <c r="J9" s="84" t="s">
        <v>122</v>
      </c>
      <c r="K9" s="84" t="s">
        <v>123</v>
      </c>
      <c r="L9" s="78" t="s">
        <v>94</v>
      </c>
      <c r="M9" s="119">
        <f>2*4*20</f>
        <v>160</v>
      </c>
      <c r="N9" s="50">
        <v>1226</v>
      </c>
      <c r="O9" s="3">
        <f t="shared" si="1"/>
        <v>160851.19999999998</v>
      </c>
      <c r="P9" s="98"/>
      <c r="Q9" s="3">
        <f t="shared" si="2"/>
        <v>0</v>
      </c>
      <c r="R9" s="10"/>
      <c r="S9" s="3">
        <f t="shared" si="3"/>
        <v>0</v>
      </c>
      <c r="T9" s="10"/>
      <c r="U9" s="3">
        <f t="shared" si="4"/>
        <v>0</v>
      </c>
      <c r="V9" s="10">
        <f t="shared" si="5"/>
        <v>160851.19999999998</v>
      </c>
      <c r="W9" s="99"/>
      <c r="X9" s="83"/>
    </row>
    <row r="10" spans="5:35" ht="33" customHeight="1">
      <c r="E10" s="23" t="str">
        <f t="shared" si="0"/>
        <v>M01525GR10400101</v>
      </c>
      <c r="F10" s="56"/>
      <c r="G10" s="56"/>
      <c r="H10" s="56" t="s">
        <v>124</v>
      </c>
      <c r="I10" s="56"/>
      <c r="J10" s="84" t="s">
        <v>125</v>
      </c>
      <c r="K10" s="84" t="s">
        <v>126</v>
      </c>
      <c r="L10" s="78" t="s">
        <v>94</v>
      </c>
      <c r="M10" s="119">
        <f>4*20</f>
        <v>80</v>
      </c>
      <c r="N10" s="90">
        <v>1400</v>
      </c>
      <c r="O10" s="3">
        <f t="shared" si="1"/>
        <v>91840</v>
      </c>
      <c r="P10" s="98"/>
      <c r="Q10" s="3">
        <f t="shared" si="2"/>
        <v>0</v>
      </c>
      <c r="R10" s="87"/>
      <c r="S10" s="3">
        <f t="shared" si="3"/>
        <v>0</v>
      </c>
      <c r="T10" s="10"/>
      <c r="U10" s="3">
        <f t="shared" si="4"/>
        <v>0</v>
      </c>
      <c r="V10" s="10">
        <f t="shared" si="5"/>
        <v>91840</v>
      </c>
      <c r="W10" s="99"/>
      <c r="X10" s="83"/>
    </row>
    <row r="11" spans="5:35" ht="33" customHeight="1">
      <c r="E11" s="23" t="str">
        <f t="shared" si="0"/>
        <v>E00000808374071205</v>
      </c>
      <c r="F11" s="56"/>
      <c r="G11" s="56" t="s">
        <v>127</v>
      </c>
      <c r="H11" s="56"/>
      <c r="I11" s="56"/>
      <c r="J11" s="84" t="s">
        <v>128</v>
      </c>
      <c r="K11" s="84" t="s">
        <v>129</v>
      </c>
      <c r="L11" s="78" t="s">
        <v>130</v>
      </c>
      <c r="M11" s="119">
        <f>4*20</f>
        <v>80</v>
      </c>
      <c r="N11" s="57"/>
      <c r="O11" s="3">
        <f t="shared" si="1"/>
        <v>0</v>
      </c>
      <c r="P11" s="50">
        <v>10691</v>
      </c>
      <c r="Q11" s="3">
        <f t="shared" si="2"/>
        <v>615801.59999999998</v>
      </c>
      <c r="R11" s="10"/>
      <c r="S11" s="3">
        <f t="shared" si="3"/>
        <v>0</v>
      </c>
      <c r="T11" s="10"/>
      <c r="U11" s="3">
        <f t="shared" si="4"/>
        <v>0</v>
      </c>
      <c r="V11" s="10">
        <f t="shared" si="5"/>
        <v>615801.59999999998</v>
      </c>
      <c r="W11" s="99">
        <v>1</v>
      </c>
      <c r="X11" s="83"/>
    </row>
    <row r="12" spans="5:35" ht="33" customHeight="1">
      <c r="E12" s="23" t="str">
        <f t="shared" si="0"/>
        <v>E00000808374071205</v>
      </c>
      <c r="F12" s="56"/>
      <c r="G12" s="56" t="s">
        <v>127</v>
      </c>
      <c r="H12" s="56"/>
      <c r="I12" s="56"/>
      <c r="J12" s="118" t="s">
        <v>131</v>
      </c>
      <c r="K12" s="84" t="s">
        <v>129</v>
      </c>
      <c r="L12" s="78" t="s">
        <v>130</v>
      </c>
      <c r="M12" s="119">
        <f>4*20</f>
        <v>80</v>
      </c>
      <c r="N12" s="57"/>
      <c r="O12" s="3">
        <f t="shared" si="1"/>
        <v>0</v>
      </c>
      <c r="P12" s="50">
        <v>10691</v>
      </c>
      <c r="Q12" s="3">
        <f t="shared" si="2"/>
        <v>307900.79999999999</v>
      </c>
      <c r="R12" s="10"/>
      <c r="S12" s="3">
        <f t="shared" si="3"/>
        <v>0</v>
      </c>
      <c r="T12" s="10"/>
      <c r="U12" s="3">
        <f t="shared" si="4"/>
        <v>0</v>
      </c>
      <c r="V12" s="10">
        <f t="shared" si="5"/>
        <v>307900.79999999999</v>
      </c>
      <c r="W12" s="99">
        <v>0.5</v>
      </c>
      <c r="X12" s="42" t="s">
        <v>120</v>
      </c>
    </row>
    <row r="13" spans="5:35" ht="33" customHeight="1">
      <c r="E13" s="23" t="str">
        <f t="shared" si="0"/>
        <v>M020251411610101</v>
      </c>
      <c r="F13" s="56"/>
      <c r="G13" s="56"/>
      <c r="H13" s="56" t="s">
        <v>99</v>
      </c>
      <c r="I13" s="56"/>
      <c r="J13" s="84" t="s">
        <v>100</v>
      </c>
      <c r="K13" s="84" t="s">
        <v>101</v>
      </c>
      <c r="L13" s="78" t="s">
        <v>102</v>
      </c>
      <c r="M13" s="72">
        <f>1</f>
        <v>1</v>
      </c>
      <c r="N13" s="90">
        <v>5000</v>
      </c>
      <c r="O13" s="3">
        <f t="shared" si="1"/>
        <v>4100</v>
      </c>
      <c r="P13" s="87"/>
      <c r="Q13" s="3">
        <f t="shared" si="2"/>
        <v>0</v>
      </c>
      <c r="R13" s="87"/>
      <c r="S13" s="3">
        <f t="shared" si="3"/>
        <v>0</v>
      </c>
      <c r="T13" s="10"/>
      <c r="U13" s="3">
        <f t="shared" si="4"/>
        <v>0</v>
      </c>
      <c r="V13" s="10">
        <f t="shared" si="5"/>
        <v>4100</v>
      </c>
      <c r="W13" s="99"/>
      <c r="X13" s="83"/>
    </row>
    <row r="14" spans="5:35" ht="33" customHeight="1">
      <c r="E14" s="23" t="str">
        <f t="shared" si="0"/>
        <v>E00000803051260301</v>
      </c>
      <c r="F14" s="56"/>
      <c r="G14" s="56" t="s">
        <v>103</v>
      </c>
      <c r="H14" s="56"/>
      <c r="I14" s="56"/>
      <c r="J14" s="84" t="s">
        <v>104</v>
      </c>
      <c r="K14" s="84" t="s">
        <v>104</v>
      </c>
      <c r="L14" s="85" t="s">
        <v>105</v>
      </c>
      <c r="M14" s="72">
        <f>1</f>
        <v>1</v>
      </c>
      <c r="N14" s="86">
        <v>0</v>
      </c>
      <c r="O14" s="3">
        <f t="shared" si="1"/>
        <v>0</v>
      </c>
      <c r="P14" s="86">
        <v>41678</v>
      </c>
      <c r="Q14" s="3">
        <f t="shared" si="2"/>
        <v>30008.16</v>
      </c>
      <c r="R14" s="86"/>
      <c r="S14" s="3">
        <f t="shared" si="3"/>
        <v>0</v>
      </c>
      <c r="T14" s="87"/>
      <c r="U14" s="3">
        <f t="shared" si="4"/>
        <v>0</v>
      </c>
      <c r="V14" s="10">
        <f t="shared" si="5"/>
        <v>30008.16</v>
      </c>
      <c r="W14" s="99">
        <v>1</v>
      </c>
      <c r="X14" s="83"/>
    </row>
    <row r="15" spans="5:35" ht="33" customHeight="1">
      <c r="E15" s="23" t="str">
        <f t="shared" si="0"/>
        <v>999999</v>
      </c>
      <c r="F15" s="56"/>
      <c r="G15" s="56"/>
      <c r="H15" s="56">
        <v>999999</v>
      </c>
      <c r="I15" s="56"/>
      <c r="J15" s="120" t="s">
        <v>132</v>
      </c>
      <c r="K15" s="85" t="s">
        <v>133</v>
      </c>
      <c r="L15" s="117" t="s">
        <v>134</v>
      </c>
      <c r="M15" s="119">
        <f>8</f>
        <v>8</v>
      </c>
      <c r="N15" s="10">
        <v>19461</v>
      </c>
      <c r="O15" s="3">
        <f t="shared" si="1"/>
        <v>127664.15999999999</v>
      </c>
      <c r="P15" s="87">
        <v>49479</v>
      </c>
      <c r="Q15" s="3">
        <f t="shared" si="2"/>
        <v>284999.03999999998</v>
      </c>
      <c r="R15" s="86">
        <v>15235</v>
      </c>
      <c r="S15" s="3">
        <f t="shared" si="3"/>
        <v>121880</v>
      </c>
      <c r="T15" s="10"/>
      <c r="U15" s="3">
        <f t="shared" si="4"/>
        <v>0</v>
      </c>
      <c r="V15" s="10">
        <f t="shared" si="5"/>
        <v>534543.19999999995</v>
      </c>
      <c r="W15" s="121">
        <v>1</v>
      </c>
      <c r="X15" s="83"/>
    </row>
    <row r="16" spans="5:35" ht="33" customHeight="1">
      <c r="E16" s="23" t="str">
        <f t="shared" si="0"/>
        <v>E00000805033430105</v>
      </c>
      <c r="F16" s="56"/>
      <c r="G16" s="56" t="s">
        <v>135</v>
      </c>
      <c r="H16" s="56"/>
      <c r="I16" s="56"/>
      <c r="J16" s="84" t="s">
        <v>136</v>
      </c>
      <c r="K16" s="84" t="s">
        <v>137</v>
      </c>
      <c r="L16" s="85" t="s">
        <v>138</v>
      </c>
      <c r="M16" s="119">
        <f>8</f>
        <v>8</v>
      </c>
      <c r="N16" s="86">
        <v>13636</v>
      </c>
      <c r="O16" s="3">
        <f t="shared" si="1"/>
        <v>89452.159999999989</v>
      </c>
      <c r="P16" s="86">
        <v>55699</v>
      </c>
      <c r="Q16" s="3">
        <f t="shared" si="2"/>
        <v>320826.23999999999</v>
      </c>
      <c r="R16" s="86">
        <v>9082</v>
      </c>
      <c r="S16" s="3">
        <f t="shared" si="3"/>
        <v>72656</v>
      </c>
      <c r="T16" s="87"/>
      <c r="U16" s="3">
        <f t="shared" si="4"/>
        <v>0</v>
      </c>
      <c r="V16" s="10">
        <f t="shared" si="5"/>
        <v>482934.39999999997</v>
      </c>
      <c r="W16" s="121">
        <v>1</v>
      </c>
      <c r="X16" s="83"/>
    </row>
    <row r="17" spans="5:24" ht="33" customHeight="1">
      <c r="E17" s="23" t="str">
        <f t="shared" si="0"/>
        <v>L002</v>
      </c>
      <c r="F17" s="56"/>
      <c r="G17" s="56"/>
      <c r="H17" s="56"/>
      <c r="I17" s="56" t="s">
        <v>92</v>
      </c>
      <c r="J17" s="63" t="s">
        <v>93</v>
      </c>
      <c r="K17" s="62" t="s">
        <v>95</v>
      </c>
      <c r="L17" s="81" t="s">
        <v>91</v>
      </c>
      <c r="M17" s="72">
        <v>1</v>
      </c>
      <c r="N17" s="50"/>
      <c r="O17" s="3">
        <f t="shared" si="1"/>
        <v>0</v>
      </c>
      <c r="P17" s="50">
        <v>167081</v>
      </c>
      <c r="Q17" s="3">
        <f t="shared" si="2"/>
        <v>120298.31999999999</v>
      </c>
      <c r="R17" s="10"/>
      <c r="S17" s="3">
        <f t="shared" si="3"/>
        <v>0</v>
      </c>
      <c r="T17" s="87"/>
      <c r="U17" s="3">
        <f t="shared" si="4"/>
        <v>0</v>
      </c>
      <c r="V17" s="10">
        <f t="shared" si="5"/>
        <v>120298.31999999999</v>
      </c>
      <c r="W17" s="99">
        <v>1</v>
      </c>
      <c r="X17" s="83"/>
    </row>
    <row r="18" spans="5:24" ht="33" customHeight="1">
      <c r="E18" s="23" t="str">
        <f t="shared" si="0"/>
        <v>L002</v>
      </c>
      <c r="F18" s="56"/>
      <c r="G18" s="56"/>
      <c r="H18" s="56"/>
      <c r="I18" s="56" t="s">
        <v>92</v>
      </c>
      <c r="J18" s="71" t="s">
        <v>93</v>
      </c>
      <c r="K18" s="91" t="s">
        <v>139</v>
      </c>
      <c r="L18" s="80" t="s">
        <v>91</v>
      </c>
      <c r="M18" s="72">
        <v>1</v>
      </c>
      <c r="N18" s="57"/>
      <c r="O18" s="3">
        <f t="shared" si="1"/>
        <v>0</v>
      </c>
      <c r="P18" s="50">
        <v>167081</v>
      </c>
      <c r="Q18" s="3">
        <f t="shared" si="2"/>
        <v>120298.31999999999</v>
      </c>
      <c r="R18" s="10"/>
      <c r="S18" s="3">
        <f t="shared" si="3"/>
        <v>0</v>
      </c>
      <c r="T18" s="87"/>
      <c r="U18" s="3">
        <f t="shared" si="4"/>
        <v>0</v>
      </c>
      <c r="V18" s="10">
        <f t="shared" si="5"/>
        <v>120298.31999999999</v>
      </c>
      <c r="W18" s="99">
        <v>1</v>
      </c>
      <c r="X18" s="83"/>
    </row>
    <row r="19" spans="5:24" ht="33" customHeight="1">
      <c r="E19" s="23" t="str">
        <f t="shared" ref="E19:E20" si="6">F19&amp;G19&amp;H19&amp;I19</f>
        <v/>
      </c>
      <c r="F19" s="56"/>
      <c r="G19" s="56"/>
      <c r="H19" s="56"/>
      <c r="I19" s="56"/>
      <c r="J19" s="71"/>
      <c r="K19" s="71"/>
      <c r="L19" s="80"/>
      <c r="M19" s="82"/>
      <c r="N19" s="57"/>
      <c r="O19" s="3"/>
      <c r="P19" s="50"/>
      <c r="Q19" s="3"/>
      <c r="R19" s="10"/>
      <c r="S19" s="3"/>
      <c r="T19" s="10"/>
      <c r="U19" s="3"/>
      <c r="V19" s="10"/>
      <c r="W19" s="58"/>
      <c r="X19" s="59"/>
    </row>
    <row r="20" spans="5:24" ht="33" customHeight="1">
      <c r="E20" s="23" t="str">
        <f t="shared" si="6"/>
        <v/>
      </c>
      <c r="F20" s="56"/>
      <c r="G20" s="56"/>
      <c r="H20" s="56"/>
      <c r="I20" s="56"/>
      <c r="J20" s="71"/>
      <c r="K20" s="71"/>
      <c r="L20" s="80"/>
      <c r="M20" s="82"/>
      <c r="N20" s="57"/>
      <c r="O20" s="3"/>
      <c r="P20" s="50"/>
      <c r="Q20" s="3"/>
      <c r="R20" s="10"/>
      <c r="S20" s="3"/>
      <c r="T20" s="10"/>
      <c r="U20" s="3"/>
      <c r="V20" s="10"/>
      <c r="W20" s="58"/>
      <c r="X20" s="59"/>
    </row>
    <row r="21" spans="5:24" ht="33" customHeight="1" thickBot="1">
      <c r="E21" s="92" t="str">
        <f t="shared" ref="E21" si="7">F21&amp;G21&amp;H21&amp;I21</f>
        <v/>
      </c>
      <c r="F21" s="24"/>
      <c r="G21" s="24"/>
      <c r="H21" s="24"/>
      <c r="I21" s="24"/>
      <c r="J21" s="46"/>
      <c r="K21" s="46"/>
      <c r="L21" s="14"/>
      <c r="M21" s="54"/>
      <c r="N21" s="15"/>
      <c r="O21" s="3"/>
      <c r="P21" s="15"/>
      <c r="Q21" s="3"/>
      <c r="R21" s="16"/>
      <c r="S21" s="3"/>
      <c r="T21" s="16"/>
      <c r="U21" s="88"/>
      <c r="V21" s="16"/>
      <c r="W21" s="89"/>
      <c r="X21" s="43"/>
    </row>
    <row r="22" spans="5:24" ht="33" customHeight="1">
      <c r="E22" s="4"/>
      <c r="O22" s="122">
        <f>SUM(O5:O21)</f>
        <v>473907.51999999996</v>
      </c>
      <c r="P22" s="20"/>
      <c r="Q22" s="122">
        <f>SUM(Q5:Q21)</f>
        <v>3692810.88</v>
      </c>
      <c r="R22" s="20"/>
      <c r="S22" s="122">
        <f>SUM(S5:S21)</f>
        <v>6994536</v>
      </c>
      <c r="T22" s="20"/>
      <c r="U22" s="19">
        <f>SUM(U5:U21)</f>
        <v>0</v>
      </c>
      <c r="V22" s="123">
        <f>SUM(O22+Q22)+S22+U22</f>
        <v>11161254.4</v>
      </c>
    </row>
    <row r="23" spans="5:24" ht="33" customHeight="1">
      <c r="E23" s="4"/>
      <c r="Q23" s="52"/>
    </row>
    <row r="24" spans="5:24" ht="33" customHeight="1">
      <c r="E24" s="4"/>
      <c r="O24" s="74"/>
      <c r="Q24" s="51"/>
      <c r="W24" s="4"/>
    </row>
    <row r="25" spans="5:24" ht="33" customHeight="1">
      <c r="E25" s="4"/>
      <c r="W25" s="4"/>
    </row>
    <row r="26" spans="5:24" ht="33" customHeight="1">
      <c r="E26" s="4"/>
      <c r="Q26" s="52"/>
      <c r="W26" s="4"/>
    </row>
    <row r="27" spans="5:24" ht="33" customHeight="1">
      <c r="E27" s="4"/>
      <c r="W27" s="4"/>
    </row>
    <row r="28" spans="5:24" ht="33" customHeight="1">
      <c r="E28" s="4"/>
      <c r="W28" s="4"/>
    </row>
    <row r="29" spans="5:24" ht="33" customHeight="1">
      <c r="E29" s="4"/>
      <c r="W29" s="4"/>
    </row>
    <row r="30" spans="5:24" ht="33" customHeight="1">
      <c r="E30" s="4"/>
      <c r="W30" s="4"/>
    </row>
    <row r="31" spans="5:24" ht="33" customHeight="1">
      <c r="E31" s="4"/>
      <c r="W31" s="4"/>
    </row>
    <row r="32" spans="5:24" ht="33" customHeight="1">
      <c r="E32" s="4"/>
      <c r="W32" s="4"/>
    </row>
    <row r="33" spans="5:23" ht="33" customHeight="1">
      <c r="E33" s="4"/>
      <c r="W33" s="4"/>
    </row>
    <row r="34" spans="5:23" ht="33" customHeight="1">
      <c r="E34" s="4"/>
      <c r="W34" s="4"/>
    </row>
    <row r="35" spans="5:23" ht="33" customHeight="1">
      <c r="E35" s="4"/>
      <c r="W35" s="4"/>
    </row>
    <row r="36" spans="5:23" ht="33" customHeight="1">
      <c r="E36" s="4"/>
      <c r="W36" s="4"/>
    </row>
    <row r="37" spans="5:23" ht="33" customHeight="1">
      <c r="E37" s="4"/>
      <c r="W37" s="4"/>
    </row>
    <row r="38" spans="5:23" ht="33" customHeight="1">
      <c r="E38" s="4"/>
      <c r="W38" s="4"/>
    </row>
    <row r="39" spans="5:23" ht="33" customHeight="1">
      <c r="E39" s="4"/>
      <c r="W39" s="4"/>
    </row>
    <row r="40" spans="5:23" s="4" customFormat="1" ht="33" customHeight="1">
      <c r="M40" s="55"/>
    </row>
    <row r="41" spans="5:23" s="4" customFormat="1" ht="33" customHeight="1">
      <c r="M41" s="55"/>
    </row>
    <row r="42" spans="5:23" s="4" customFormat="1" ht="33" customHeight="1">
      <c r="M42" s="55"/>
    </row>
    <row r="43" spans="5:23" s="4" customFormat="1" ht="33" customHeight="1">
      <c r="M43" s="55"/>
    </row>
    <row r="44" spans="5:23" s="4" customFormat="1" ht="33" customHeight="1">
      <c r="M44" s="55"/>
    </row>
    <row r="45" spans="5:23" s="4" customFormat="1" ht="33" customHeight="1">
      <c r="M45" s="55"/>
    </row>
    <row r="46" spans="5:23" s="4" customFormat="1" ht="33" customHeight="1">
      <c r="M46" s="55"/>
    </row>
    <row r="47" spans="5:23" s="4" customFormat="1" ht="33" customHeight="1">
      <c r="M47" s="55"/>
    </row>
    <row r="48" spans="5:23" s="4" customFormat="1" ht="33" customHeight="1">
      <c r="M48" s="55"/>
    </row>
    <row r="49" spans="13:13" s="4" customFormat="1" ht="33" customHeight="1">
      <c r="M49" s="55"/>
    </row>
    <row r="50" spans="13:13" s="4" customFormat="1" ht="33" customHeight="1">
      <c r="M50" s="55"/>
    </row>
    <row r="51" spans="13:13" s="4" customFormat="1" ht="33" customHeight="1">
      <c r="M51" s="55"/>
    </row>
    <row r="52" spans="13:13" s="4" customFormat="1" ht="33" customHeight="1">
      <c r="M52" s="55"/>
    </row>
    <row r="53" spans="13:13" s="4" customFormat="1" ht="33" customHeight="1">
      <c r="M53" s="55"/>
    </row>
    <row r="54" spans="13:13" s="4" customFormat="1" ht="33" customHeight="1">
      <c r="M54" s="55"/>
    </row>
    <row r="55" spans="13:13" s="4" customFormat="1" ht="33" customHeight="1">
      <c r="M55" s="55"/>
    </row>
    <row r="56" spans="13:13" s="4" customFormat="1" ht="33" customHeight="1">
      <c r="M56" s="55"/>
    </row>
    <row r="57" spans="13:13" s="4" customFormat="1" ht="33" customHeight="1">
      <c r="M57" s="55"/>
    </row>
    <row r="58" spans="13:13" s="4" customFormat="1" ht="33" customHeight="1">
      <c r="M58" s="55"/>
    </row>
    <row r="59" spans="13:13" s="4" customFormat="1" ht="33" customHeight="1">
      <c r="M59" s="55"/>
    </row>
    <row r="60" spans="13:13" s="4" customFormat="1" ht="33" customHeight="1">
      <c r="M60" s="55"/>
    </row>
    <row r="61" spans="13:13" s="4" customFormat="1" ht="33" customHeight="1">
      <c r="M61" s="55"/>
    </row>
    <row r="62" spans="13:13" s="4" customFormat="1" ht="33" customHeight="1">
      <c r="M62" s="55"/>
    </row>
    <row r="63" spans="13:13" s="4" customFormat="1" ht="33" customHeight="1">
      <c r="M63" s="55"/>
    </row>
    <row r="64" spans="13:13" s="4" customFormat="1" ht="33" customHeight="1">
      <c r="M64" s="55"/>
    </row>
    <row r="65" spans="13:13" s="4" customFormat="1" ht="33" customHeight="1">
      <c r="M65" s="55"/>
    </row>
    <row r="66" spans="13:13" s="4" customFormat="1" ht="33" customHeight="1">
      <c r="M66" s="55"/>
    </row>
    <row r="67" spans="13:13" s="4" customFormat="1" ht="33" customHeight="1">
      <c r="M67" s="55"/>
    </row>
    <row r="68" spans="13:13" s="4" customFormat="1" ht="33" customHeight="1">
      <c r="M68" s="55"/>
    </row>
    <row r="69" spans="13:13" s="4" customFormat="1" ht="33" customHeight="1">
      <c r="M69" s="55"/>
    </row>
    <row r="70" spans="13:13" s="4" customFormat="1" ht="33" customHeight="1">
      <c r="M70" s="55"/>
    </row>
    <row r="71" spans="13:13" s="4" customFormat="1" ht="33" customHeight="1">
      <c r="M71" s="55"/>
    </row>
    <row r="72" spans="13:13" s="4" customFormat="1" ht="33" customHeight="1">
      <c r="M72" s="55"/>
    </row>
    <row r="73" spans="13:13" s="4" customFormat="1" ht="33" customHeight="1">
      <c r="M73" s="55"/>
    </row>
    <row r="74" spans="13:13" s="4" customFormat="1" ht="33" customHeight="1">
      <c r="M74" s="55"/>
    </row>
    <row r="75" spans="13:13" s="4" customFormat="1" ht="33" customHeight="1">
      <c r="M75" s="55"/>
    </row>
    <row r="76" spans="13:13" s="4" customFormat="1" ht="33" customHeight="1">
      <c r="M76" s="55"/>
    </row>
    <row r="77" spans="13:13" s="4" customFormat="1" ht="33" customHeight="1">
      <c r="M77" s="55"/>
    </row>
    <row r="78" spans="13:13" s="4" customFormat="1" ht="33" customHeight="1">
      <c r="M78" s="55"/>
    </row>
    <row r="79" spans="13:13" s="4" customFormat="1" ht="33" customHeight="1">
      <c r="M79" s="55"/>
    </row>
    <row r="80" spans="13:13" s="4" customFormat="1" ht="33" customHeight="1">
      <c r="M80" s="55"/>
    </row>
    <row r="81" spans="13:13" s="4" customFormat="1" ht="33" customHeight="1">
      <c r="M81" s="55"/>
    </row>
    <row r="82" spans="13:13" s="4" customFormat="1" ht="33" customHeight="1">
      <c r="M82" s="55"/>
    </row>
    <row r="83" spans="13:13" s="4" customFormat="1" ht="33" customHeight="1">
      <c r="M83" s="55"/>
    </row>
    <row r="84" spans="13:13" s="4" customFormat="1" ht="33" customHeight="1">
      <c r="M84" s="55"/>
    </row>
    <row r="85" spans="13:13" s="4" customFormat="1" ht="33" customHeight="1">
      <c r="M85" s="55"/>
    </row>
    <row r="86" spans="13:13" s="4" customFormat="1" ht="33" customHeight="1">
      <c r="M86" s="55"/>
    </row>
    <row r="87" spans="13:13" s="4" customFormat="1" ht="33" customHeight="1">
      <c r="M87" s="55"/>
    </row>
    <row r="88" spans="13:13" s="4" customFormat="1" ht="33" customHeight="1">
      <c r="M88" s="55"/>
    </row>
    <row r="89" spans="13:13" s="4" customFormat="1" ht="33" customHeight="1">
      <c r="M89" s="55"/>
    </row>
    <row r="90" spans="13:13" s="4" customFormat="1" ht="33" customHeight="1">
      <c r="M90" s="55"/>
    </row>
    <row r="91" spans="13:13" s="4" customFormat="1" ht="33" customHeight="1">
      <c r="M91" s="55"/>
    </row>
    <row r="92" spans="13:13" s="4" customFormat="1" ht="33" customHeight="1">
      <c r="M92" s="55"/>
    </row>
    <row r="93" spans="13:13" s="4" customFormat="1" ht="33" customHeight="1">
      <c r="M93" s="55"/>
    </row>
    <row r="94" spans="13:13" s="4" customFormat="1" ht="33" customHeight="1">
      <c r="M94" s="55"/>
    </row>
    <row r="95" spans="13:13" s="4" customFormat="1" ht="33" customHeight="1">
      <c r="M95" s="55"/>
    </row>
    <row r="96" spans="13:13" s="4" customFormat="1" ht="33" customHeight="1">
      <c r="M96" s="55"/>
    </row>
    <row r="97" spans="5:23" ht="33" customHeight="1">
      <c r="E97" s="4"/>
      <c r="J97" s="4"/>
      <c r="K97" s="4"/>
      <c r="M97" s="55"/>
      <c r="W97" s="4"/>
    </row>
    <row r="98" spans="5:23" ht="33" customHeight="1">
      <c r="E98" s="4"/>
      <c r="J98" s="4"/>
      <c r="K98" s="4"/>
      <c r="M98" s="55"/>
      <c r="W98" s="4"/>
    </row>
    <row r="99" spans="5:23" ht="33" customHeight="1">
      <c r="E99" s="4"/>
      <c r="J99" s="4"/>
      <c r="K99" s="4"/>
      <c r="M99" s="55"/>
      <c r="W99" s="4"/>
    </row>
    <row r="100" spans="5:23" ht="33" customHeight="1">
      <c r="E100" s="4"/>
      <c r="J100" s="4"/>
      <c r="K100" s="4"/>
      <c r="M100" s="55"/>
      <c r="W100" s="4"/>
    </row>
    <row r="101" spans="5:23" ht="33" customHeight="1">
      <c r="E101" s="4"/>
      <c r="J101" s="4"/>
      <c r="K101" s="4"/>
      <c r="M101" s="55"/>
      <c r="W101" s="4"/>
    </row>
    <row r="102" spans="5:23" ht="33" customHeight="1">
      <c r="E102" s="4"/>
      <c r="J102" s="4"/>
      <c r="K102" s="4"/>
      <c r="M102" s="55"/>
      <c r="W102" s="4"/>
    </row>
    <row r="103" spans="5:23" ht="33" customHeight="1">
      <c r="E103" s="4"/>
      <c r="J103" s="4"/>
      <c r="K103" s="4"/>
      <c r="M103" s="55"/>
      <c r="W103" s="4"/>
    </row>
    <row r="104" spans="5:23" ht="33" customHeight="1">
      <c r="E104" s="4"/>
    </row>
    <row r="105" spans="5:23" ht="33" customHeight="1">
      <c r="E105" s="4"/>
    </row>
    <row r="106" spans="5:23" ht="33" customHeight="1">
      <c r="E106" s="4"/>
    </row>
    <row r="107" spans="5:23" ht="33" customHeight="1">
      <c r="E107" s="4"/>
    </row>
    <row r="108" spans="5:23" ht="33" customHeight="1">
      <c r="E108" s="4"/>
    </row>
    <row r="109" spans="5:23" ht="33" customHeight="1">
      <c r="E109" s="4"/>
    </row>
    <row r="110" spans="5:23" ht="33" customHeight="1">
      <c r="E110" s="4"/>
    </row>
    <row r="111" spans="5:23" ht="33" customHeight="1">
      <c r="E111" s="4"/>
    </row>
    <row r="112" spans="5:23" ht="33" customHeight="1">
      <c r="E112" s="4"/>
    </row>
    <row r="113" spans="5:5" ht="33" customHeight="1">
      <c r="E113" s="4"/>
    </row>
    <row r="114" spans="5:5" ht="33" customHeight="1">
      <c r="E114" s="4"/>
    </row>
    <row r="115" spans="5:5" ht="33" customHeight="1">
      <c r="E115" s="4"/>
    </row>
    <row r="116" spans="5:5" ht="33" customHeight="1">
      <c r="E116" s="4"/>
    </row>
    <row r="117" spans="5:5" ht="33" customHeight="1">
      <c r="E117" s="4"/>
    </row>
    <row r="118" spans="5:5" ht="33" customHeight="1">
      <c r="E118" s="4"/>
    </row>
    <row r="119" spans="5:5" ht="33" customHeight="1">
      <c r="E119" s="4"/>
    </row>
    <row r="120" spans="5:5" ht="33" customHeight="1">
      <c r="E120" s="4"/>
    </row>
    <row r="121" spans="5:5" ht="33" customHeight="1">
      <c r="E121" s="4"/>
    </row>
    <row r="122" spans="5:5" ht="33" customHeight="1">
      <c r="E122" s="4"/>
    </row>
    <row r="123" spans="5:5" ht="33" customHeight="1">
      <c r="E123" s="4"/>
    </row>
    <row r="124" spans="5:5" ht="33" customHeight="1">
      <c r="E124" s="4"/>
    </row>
    <row r="125" spans="5:5" ht="33" customHeight="1">
      <c r="E125" s="4"/>
    </row>
    <row r="126" spans="5:5" ht="33" customHeight="1">
      <c r="E126" s="4"/>
    </row>
    <row r="127" spans="5:5" ht="33" customHeight="1">
      <c r="E127" s="4"/>
    </row>
    <row r="128" spans="5:5" ht="33" customHeight="1">
      <c r="E128" s="4"/>
    </row>
    <row r="129" spans="5:5" ht="33" customHeight="1">
      <c r="E129" s="4"/>
    </row>
    <row r="130" spans="5:5" ht="33" customHeight="1">
      <c r="E130" s="4"/>
    </row>
    <row r="131" spans="5:5" ht="33" customHeight="1">
      <c r="E131" s="4"/>
    </row>
    <row r="132" spans="5:5" ht="33" customHeight="1">
      <c r="E132" s="4"/>
    </row>
    <row r="133" spans="5:5" ht="33" customHeight="1">
      <c r="E133" s="4"/>
    </row>
    <row r="134" spans="5:5" ht="33" customHeight="1">
      <c r="E134" s="4"/>
    </row>
    <row r="135" spans="5:5" ht="33" customHeight="1">
      <c r="E135" s="4"/>
    </row>
    <row r="136" spans="5:5" ht="33" customHeight="1">
      <c r="E136" s="4"/>
    </row>
    <row r="137" spans="5:5" ht="33" customHeight="1">
      <c r="E137" s="4"/>
    </row>
    <row r="138" spans="5:5" ht="33" customHeight="1">
      <c r="E138" s="4"/>
    </row>
    <row r="139" spans="5:5" ht="33" customHeight="1">
      <c r="E139" s="4"/>
    </row>
    <row r="140" spans="5:5" ht="33" customHeight="1">
      <c r="E140" s="4"/>
    </row>
    <row r="141" spans="5:5" ht="33" customHeight="1">
      <c r="E141" s="4"/>
    </row>
    <row r="142" spans="5:5" ht="33" customHeight="1">
      <c r="E142" s="4"/>
    </row>
    <row r="143" spans="5:5" ht="33" customHeight="1">
      <c r="E143" s="4"/>
    </row>
    <row r="144" spans="5:5" ht="33" customHeight="1">
      <c r="E144" s="4"/>
    </row>
    <row r="145" spans="5:5" ht="33" customHeight="1">
      <c r="E145" s="4"/>
    </row>
    <row r="146" spans="5:5" ht="33" customHeight="1">
      <c r="E146" s="4"/>
    </row>
    <row r="147" spans="5:5" ht="33" customHeight="1">
      <c r="E147" s="4"/>
    </row>
    <row r="148" spans="5:5" ht="33" customHeight="1">
      <c r="E148" s="4"/>
    </row>
    <row r="149" spans="5:5" ht="33" customHeight="1">
      <c r="E149" s="4"/>
    </row>
    <row r="150" spans="5:5" ht="33" customHeight="1">
      <c r="E150" s="4"/>
    </row>
    <row r="151" spans="5:5" ht="33" customHeight="1">
      <c r="E151" s="4"/>
    </row>
    <row r="152" spans="5:5" ht="33" customHeight="1">
      <c r="E152" s="4"/>
    </row>
    <row r="153" spans="5:5" ht="33" customHeight="1">
      <c r="E153" s="4"/>
    </row>
    <row r="154" spans="5:5" ht="33" customHeight="1">
      <c r="E154" s="4"/>
    </row>
    <row r="155" spans="5:5" ht="33" customHeight="1">
      <c r="E155" s="4"/>
    </row>
    <row r="156" spans="5:5" ht="33" customHeight="1">
      <c r="E156" s="4"/>
    </row>
    <row r="157" spans="5:5" ht="33" customHeight="1">
      <c r="E157" s="4"/>
    </row>
    <row r="158" spans="5:5" ht="33" customHeight="1">
      <c r="E158" s="4"/>
    </row>
    <row r="159" spans="5:5" ht="33" customHeight="1">
      <c r="E159" s="4"/>
    </row>
    <row r="160" spans="5:5" ht="33" customHeight="1">
      <c r="E160" s="4"/>
    </row>
    <row r="161" spans="5:5" ht="33" customHeight="1">
      <c r="E161" s="4"/>
    </row>
    <row r="162" spans="5:5" ht="33" customHeight="1">
      <c r="E162" s="4"/>
    </row>
    <row r="163" spans="5:5" ht="33" customHeight="1">
      <c r="E163" s="4"/>
    </row>
    <row r="164" spans="5:5" ht="33" customHeight="1">
      <c r="E164" s="4"/>
    </row>
    <row r="165" spans="5:5" ht="33" customHeight="1">
      <c r="E165" s="4"/>
    </row>
    <row r="166" spans="5:5" ht="33" customHeight="1">
      <c r="E166" s="4"/>
    </row>
    <row r="167" spans="5:5" ht="33" customHeight="1">
      <c r="E167" s="4"/>
    </row>
    <row r="168" spans="5:5" ht="33" customHeight="1">
      <c r="E168" s="4"/>
    </row>
    <row r="169" spans="5:5" ht="33" customHeight="1">
      <c r="E169" s="4"/>
    </row>
    <row r="170" spans="5:5" ht="33" customHeight="1">
      <c r="E170" s="4"/>
    </row>
    <row r="171" spans="5:5" ht="33" customHeight="1">
      <c r="E171" s="4"/>
    </row>
    <row r="172" spans="5:5" ht="33" customHeight="1">
      <c r="E172" s="4"/>
    </row>
    <row r="173" spans="5:5" ht="33" customHeight="1">
      <c r="E173" s="4"/>
    </row>
    <row r="174" spans="5:5" ht="33" customHeight="1">
      <c r="E174" s="4"/>
    </row>
    <row r="175" spans="5:5" ht="33" customHeight="1">
      <c r="E175" s="4"/>
    </row>
    <row r="176" spans="5:5" ht="33" customHeight="1">
      <c r="E176" s="4"/>
    </row>
    <row r="177" spans="5:5" ht="33" customHeight="1">
      <c r="E177" s="4"/>
    </row>
    <row r="178" spans="5:5" ht="33" customHeight="1">
      <c r="E178" s="4"/>
    </row>
    <row r="179" spans="5:5" ht="33" customHeight="1">
      <c r="E179" s="4"/>
    </row>
    <row r="180" spans="5:5" ht="33" customHeight="1">
      <c r="E180" s="4"/>
    </row>
    <row r="181" spans="5:5" ht="33" customHeight="1">
      <c r="E181" s="4"/>
    </row>
    <row r="182" spans="5:5" ht="33" customHeight="1">
      <c r="E182" s="4"/>
    </row>
    <row r="183" spans="5:5" ht="33" customHeight="1">
      <c r="E183" s="4"/>
    </row>
    <row r="184" spans="5:5" ht="33" customHeight="1">
      <c r="E184" s="4"/>
    </row>
    <row r="185" spans="5:5" ht="33" customHeight="1">
      <c r="E185" s="4"/>
    </row>
    <row r="186" spans="5:5" ht="33" customHeight="1">
      <c r="E186" s="4"/>
    </row>
    <row r="187" spans="5:5" ht="33" customHeight="1">
      <c r="E187" s="4"/>
    </row>
    <row r="188" spans="5:5" ht="33" customHeight="1">
      <c r="E188" s="4"/>
    </row>
    <row r="189" spans="5:5" ht="33" customHeight="1">
      <c r="E189" s="4"/>
    </row>
    <row r="190" spans="5:5" ht="33" customHeight="1">
      <c r="E190" s="4"/>
    </row>
    <row r="191" spans="5:5" ht="33" customHeight="1">
      <c r="E191" s="4"/>
    </row>
    <row r="192" spans="5:5" ht="33" customHeight="1">
      <c r="E192" s="4"/>
    </row>
    <row r="193" spans="5:5" ht="33" customHeight="1">
      <c r="E193" s="4"/>
    </row>
    <row r="194" spans="5:5" ht="33" customHeight="1">
      <c r="E194" s="4"/>
    </row>
    <row r="195" spans="5:5" ht="33" customHeight="1">
      <c r="E195" s="4"/>
    </row>
    <row r="196" spans="5:5" ht="33" customHeight="1">
      <c r="E196" s="4"/>
    </row>
    <row r="197" spans="5:5" ht="33" customHeight="1">
      <c r="E197" s="4"/>
    </row>
    <row r="198" spans="5:5" ht="33" customHeight="1">
      <c r="E198" s="4"/>
    </row>
    <row r="199" spans="5:5" ht="33" customHeight="1">
      <c r="E199" s="4"/>
    </row>
    <row r="200" spans="5:5" ht="33" customHeight="1">
      <c r="E200" s="4"/>
    </row>
    <row r="201" spans="5:5" ht="33" customHeight="1">
      <c r="E201" s="4"/>
    </row>
    <row r="202" spans="5:5" ht="33" customHeight="1">
      <c r="E202" s="4"/>
    </row>
    <row r="203" spans="5:5" ht="33" customHeight="1">
      <c r="E203" s="4"/>
    </row>
    <row r="204" spans="5:5" ht="33" customHeight="1">
      <c r="E204" s="4"/>
    </row>
    <row r="205" spans="5:5" ht="33" customHeight="1">
      <c r="E205" s="4"/>
    </row>
    <row r="206" spans="5:5" ht="33" customHeight="1">
      <c r="E206" s="4"/>
    </row>
    <row r="207" spans="5:5" ht="33" customHeight="1">
      <c r="E207" s="4"/>
    </row>
    <row r="208" spans="5:5" ht="33" customHeight="1">
      <c r="E208" s="4"/>
    </row>
    <row r="209" spans="5:5" ht="33" customHeight="1">
      <c r="E209" s="4"/>
    </row>
    <row r="210" spans="5:5" ht="33" customHeight="1">
      <c r="E210" s="4"/>
    </row>
    <row r="211" spans="5:5" ht="33" customHeight="1">
      <c r="E211" s="4"/>
    </row>
    <row r="212" spans="5:5" ht="33" customHeight="1">
      <c r="E212" s="4"/>
    </row>
    <row r="213" spans="5:5" ht="33" customHeight="1">
      <c r="E213" s="4"/>
    </row>
    <row r="214" spans="5:5" ht="33" customHeight="1">
      <c r="E214" s="4"/>
    </row>
    <row r="215" spans="5:5" ht="33" customHeight="1">
      <c r="E215" s="4"/>
    </row>
    <row r="216" spans="5:5" ht="33" customHeight="1">
      <c r="E216" s="4"/>
    </row>
    <row r="217" spans="5:5" ht="33" customHeight="1">
      <c r="E217" s="4"/>
    </row>
    <row r="218" spans="5:5" ht="33" customHeight="1">
      <c r="E218" s="4"/>
    </row>
    <row r="219" spans="5:5" ht="33" customHeight="1">
      <c r="E219" s="4"/>
    </row>
    <row r="220" spans="5:5" ht="33" customHeight="1">
      <c r="E220" s="4"/>
    </row>
    <row r="221" spans="5:5" ht="33" customHeight="1">
      <c r="E221" s="4"/>
    </row>
    <row r="222" spans="5:5" ht="33" customHeight="1">
      <c r="E222" s="4"/>
    </row>
    <row r="223" spans="5:5" ht="33" customHeight="1">
      <c r="E223" s="4"/>
    </row>
    <row r="224" spans="5:5" ht="33" customHeight="1">
      <c r="E224" s="4"/>
    </row>
    <row r="225" spans="5:5" ht="33" customHeight="1">
      <c r="E225" s="4"/>
    </row>
    <row r="226" spans="5:5" ht="33" customHeight="1">
      <c r="E226" s="4"/>
    </row>
    <row r="227" spans="5:5" ht="33" customHeight="1">
      <c r="E227" s="4"/>
    </row>
    <row r="228" spans="5:5" ht="33" customHeight="1">
      <c r="E228" s="4"/>
    </row>
    <row r="229" spans="5:5" ht="33" customHeight="1">
      <c r="E229" s="4"/>
    </row>
    <row r="230" spans="5:5" ht="33" customHeight="1">
      <c r="E230" s="4"/>
    </row>
    <row r="231" spans="5:5" ht="33" customHeight="1">
      <c r="E231" s="4"/>
    </row>
    <row r="232" spans="5:5" ht="33" customHeight="1">
      <c r="E232" s="4"/>
    </row>
    <row r="233" spans="5:5" ht="33" customHeight="1">
      <c r="E233" s="4"/>
    </row>
    <row r="234" spans="5:5" ht="33" customHeight="1">
      <c r="E234" s="4"/>
    </row>
    <row r="235" spans="5:5" ht="33" customHeight="1">
      <c r="E235" s="4"/>
    </row>
    <row r="236" spans="5:5" ht="33" customHeight="1">
      <c r="E236" s="4"/>
    </row>
    <row r="237" spans="5:5" ht="33" customHeight="1">
      <c r="E237" s="4"/>
    </row>
    <row r="238" spans="5:5" ht="33" customHeight="1">
      <c r="E238" s="4"/>
    </row>
    <row r="239" spans="5:5" ht="33" customHeight="1">
      <c r="E239" s="4"/>
    </row>
    <row r="240" spans="5:5" ht="33" customHeight="1">
      <c r="E240" s="4"/>
    </row>
    <row r="241" spans="5:5" ht="33" customHeight="1">
      <c r="E241" s="4"/>
    </row>
    <row r="242" spans="5:5" ht="33" customHeight="1">
      <c r="E242" s="4"/>
    </row>
    <row r="243" spans="5:5" ht="33" customHeight="1">
      <c r="E243" s="4"/>
    </row>
    <row r="244" spans="5:5" ht="33" customHeight="1">
      <c r="E244" s="4"/>
    </row>
    <row r="245" spans="5:5" ht="33" customHeight="1">
      <c r="E245" s="4"/>
    </row>
    <row r="246" spans="5:5" ht="33" customHeight="1">
      <c r="E246" s="4"/>
    </row>
    <row r="247" spans="5:5" ht="33" customHeight="1">
      <c r="E247" s="4"/>
    </row>
    <row r="248" spans="5:5" ht="33" customHeight="1">
      <c r="E248" s="4"/>
    </row>
    <row r="249" spans="5:5" ht="33" customHeight="1">
      <c r="E249" s="4"/>
    </row>
    <row r="250" spans="5:5" ht="33" customHeight="1">
      <c r="E250" s="4"/>
    </row>
    <row r="251" spans="5:5" ht="33" customHeight="1">
      <c r="E251" s="4"/>
    </row>
    <row r="252" spans="5:5" ht="33" customHeight="1">
      <c r="E252" s="4"/>
    </row>
    <row r="253" spans="5:5" ht="33" customHeight="1">
      <c r="E253" s="4"/>
    </row>
    <row r="254" spans="5:5" ht="33" customHeight="1">
      <c r="E254" s="4"/>
    </row>
    <row r="255" spans="5:5" ht="33" customHeight="1">
      <c r="E255" s="4"/>
    </row>
    <row r="256" spans="5:5" ht="33" customHeight="1">
      <c r="E256" s="4"/>
    </row>
    <row r="257" spans="5:5" ht="33" customHeight="1">
      <c r="E257" s="4"/>
    </row>
    <row r="258" spans="5:5" ht="33" customHeight="1">
      <c r="E258" s="4"/>
    </row>
    <row r="259" spans="5:5" ht="33" customHeight="1">
      <c r="E259" s="4"/>
    </row>
    <row r="260" spans="5:5" ht="33" customHeight="1">
      <c r="E260" s="4"/>
    </row>
    <row r="261" spans="5:5" ht="33" customHeight="1">
      <c r="E261" s="4"/>
    </row>
    <row r="262" spans="5:5" ht="33" customHeight="1">
      <c r="E262" s="4"/>
    </row>
    <row r="263" spans="5:5" ht="33" customHeight="1">
      <c r="E263" s="4"/>
    </row>
    <row r="264" spans="5:5" ht="33" customHeight="1">
      <c r="E264" s="4"/>
    </row>
    <row r="265" spans="5:5" ht="33" customHeight="1">
      <c r="E265" s="4"/>
    </row>
    <row r="266" spans="5:5" ht="33" customHeight="1">
      <c r="E266" s="4"/>
    </row>
    <row r="267" spans="5:5" ht="33" customHeight="1">
      <c r="E267" s="4"/>
    </row>
    <row r="268" spans="5:5" ht="33" customHeight="1">
      <c r="E268" s="4"/>
    </row>
    <row r="269" spans="5:5" ht="33" customHeight="1">
      <c r="E269" s="4"/>
    </row>
    <row r="270" spans="5:5" ht="33" customHeight="1">
      <c r="E270" s="4"/>
    </row>
    <row r="271" spans="5:5" ht="33" customHeight="1">
      <c r="E271" s="4"/>
    </row>
    <row r="272" spans="5:5" ht="33" customHeight="1">
      <c r="E272" s="4"/>
    </row>
    <row r="273" spans="5:5" ht="33" customHeight="1">
      <c r="E273" s="4"/>
    </row>
    <row r="274" spans="5:5" ht="33" customHeight="1">
      <c r="E274" s="4"/>
    </row>
    <row r="275" spans="5:5" ht="33" customHeight="1">
      <c r="E275" s="4"/>
    </row>
    <row r="276" spans="5:5" ht="33" customHeight="1">
      <c r="E276" s="4"/>
    </row>
    <row r="277" spans="5:5" ht="33" customHeight="1">
      <c r="E277" s="4"/>
    </row>
    <row r="278" spans="5:5" ht="33" customHeight="1">
      <c r="E278" s="4"/>
    </row>
    <row r="279" spans="5:5" ht="33" customHeight="1">
      <c r="E279" s="4"/>
    </row>
    <row r="280" spans="5:5" ht="33" customHeight="1">
      <c r="E280" s="4"/>
    </row>
    <row r="281" spans="5:5" ht="33" customHeight="1">
      <c r="E281" s="4"/>
    </row>
    <row r="282" spans="5:5" ht="33" customHeight="1">
      <c r="E282" s="4"/>
    </row>
    <row r="283" spans="5:5" ht="33" customHeight="1">
      <c r="E283" s="4"/>
    </row>
    <row r="284" spans="5:5" ht="33" customHeight="1">
      <c r="E284" s="4"/>
    </row>
    <row r="285" spans="5:5" ht="33" customHeight="1">
      <c r="E285" s="4"/>
    </row>
    <row r="286" spans="5:5" ht="33" customHeight="1">
      <c r="E286" s="4"/>
    </row>
    <row r="287" spans="5:5" ht="33" customHeight="1">
      <c r="E287" s="4"/>
    </row>
    <row r="288" spans="5:5" ht="33" customHeight="1">
      <c r="E288" s="4"/>
    </row>
    <row r="289" spans="5:5" ht="33" customHeight="1">
      <c r="E289" s="4"/>
    </row>
    <row r="290" spans="5:5" ht="33" customHeight="1">
      <c r="E290" s="4"/>
    </row>
    <row r="291" spans="5:5" ht="33" customHeight="1">
      <c r="E291" s="4"/>
    </row>
    <row r="292" spans="5:5" ht="33" customHeight="1">
      <c r="E292" s="4"/>
    </row>
    <row r="293" spans="5:5" ht="33" customHeight="1">
      <c r="E293" s="4"/>
    </row>
    <row r="294" spans="5:5" ht="33" customHeight="1">
      <c r="E294" s="4"/>
    </row>
    <row r="295" spans="5:5" ht="33" customHeight="1">
      <c r="E295" s="4"/>
    </row>
    <row r="296" spans="5:5" ht="33" customHeight="1">
      <c r="E296" s="4"/>
    </row>
    <row r="297" spans="5:5" ht="33" customHeight="1">
      <c r="E297" s="4"/>
    </row>
    <row r="298" spans="5:5" ht="33" customHeight="1">
      <c r="E298" s="4"/>
    </row>
    <row r="299" spans="5:5" ht="33" customHeight="1">
      <c r="E299" s="4"/>
    </row>
    <row r="300" spans="5:5" ht="33" customHeight="1">
      <c r="E300" s="4"/>
    </row>
    <row r="301" spans="5:5" ht="33" customHeight="1">
      <c r="E301" s="4"/>
    </row>
    <row r="302" spans="5:5" ht="33" customHeight="1">
      <c r="E302" s="4"/>
    </row>
    <row r="303" spans="5:5" ht="33" customHeight="1">
      <c r="E303" s="4"/>
    </row>
    <row r="304" spans="5:5" ht="33" customHeight="1">
      <c r="E304" s="4"/>
    </row>
    <row r="305" spans="5:5" ht="33" customHeight="1">
      <c r="E305" s="4"/>
    </row>
    <row r="306" spans="5:5" ht="33" customHeight="1">
      <c r="E306" s="4"/>
    </row>
    <row r="307" spans="5:5" ht="33" customHeight="1">
      <c r="E307" s="4"/>
    </row>
    <row r="308" spans="5:5" ht="33" customHeight="1">
      <c r="E308" s="4"/>
    </row>
    <row r="309" spans="5:5" ht="33" customHeight="1">
      <c r="E309" s="4"/>
    </row>
    <row r="310" spans="5:5" ht="33" customHeight="1">
      <c r="E310" s="4"/>
    </row>
    <row r="311" spans="5:5" ht="33" customHeight="1">
      <c r="E311" s="4"/>
    </row>
    <row r="312" spans="5:5" ht="33" customHeight="1">
      <c r="E312" s="4"/>
    </row>
    <row r="313" spans="5:5" ht="33" customHeight="1">
      <c r="E313" s="4"/>
    </row>
    <row r="314" spans="5:5" ht="33" customHeight="1">
      <c r="E314" s="4"/>
    </row>
    <row r="315" spans="5:5" ht="33" customHeight="1">
      <c r="E315" s="4"/>
    </row>
    <row r="316" spans="5:5" ht="33" customHeight="1">
      <c r="E316" s="4"/>
    </row>
    <row r="317" spans="5:5" ht="33" customHeight="1">
      <c r="E317" s="4"/>
    </row>
    <row r="318" spans="5:5" ht="33" customHeight="1">
      <c r="E318" s="4"/>
    </row>
    <row r="319" spans="5:5" ht="33" customHeight="1">
      <c r="E319" s="4"/>
    </row>
    <row r="320" spans="5:5" ht="33" customHeight="1">
      <c r="E320" s="4"/>
    </row>
    <row r="321" spans="5:5" ht="33" customHeight="1">
      <c r="E321" s="4"/>
    </row>
    <row r="322" spans="5:5" ht="33" customHeight="1">
      <c r="E322" s="4"/>
    </row>
    <row r="323" spans="5:5" ht="33" customHeight="1">
      <c r="E323" s="4"/>
    </row>
    <row r="324" spans="5:5" ht="33" customHeight="1">
      <c r="E324" s="4"/>
    </row>
    <row r="325" spans="5:5" ht="33" customHeight="1">
      <c r="E325" s="4"/>
    </row>
    <row r="326" spans="5:5" ht="33" customHeight="1">
      <c r="E326" s="4"/>
    </row>
    <row r="327" spans="5:5" ht="33" customHeight="1">
      <c r="E327" s="4"/>
    </row>
    <row r="328" spans="5:5" ht="33" customHeight="1">
      <c r="E328" s="4"/>
    </row>
    <row r="329" spans="5:5" ht="33" customHeight="1">
      <c r="E329" s="4"/>
    </row>
    <row r="330" spans="5:5" ht="33" customHeight="1">
      <c r="E330" s="4"/>
    </row>
    <row r="331" spans="5:5" ht="33" customHeight="1">
      <c r="E331" s="4"/>
    </row>
    <row r="332" spans="5:5" ht="33" customHeight="1">
      <c r="E332" s="4"/>
    </row>
    <row r="333" spans="5:5" ht="33" customHeight="1">
      <c r="E333" s="4"/>
    </row>
    <row r="334" spans="5:5" ht="33" customHeight="1">
      <c r="E334" s="4"/>
    </row>
    <row r="335" spans="5:5" ht="33" customHeight="1">
      <c r="E335" s="4"/>
    </row>
    <row r="336" spans="5:5" ht="33" customHeight="1">
      <c r="E336" s="4"/>
    </row>
    <row r="337" spans="5:5" ht="33" customHeight="1">
      <c r="E337" s="4"/>
    </row>
    <row r="338" spans="5:5" ht="33" customHeight="1">
      <c r="E338" s="4"/>
    </row>
    <row r="339" spans="5:5" ht="33" customHeight="1">
      <c r="E339" s="4"/>
    </row>
    <row r="340" spans="5:5" ht="33" customHeight="1">
      <c r="E340" s="4"/>
    </row>
    <row r="341" spans="5:5" ht="33" customHeight="1">
      <c r="E341" s="4"/>
    </row>
    <row r="342" spans="5:5" ht="33" customHeight="1">
      <c r="E342" s="4"/>
    </row>
    <row r="343" spans="5:5" ht="33" customHeight="1">
      <c r="E343" s="4"/>
    </row>
    <row r="344" spans="5:5" ht="33" customHeight="1">
      <c r="E344" s="4"/>
    </row>
    <row r="345" spans="5:5" ht="33" customHeight="1">
      <c r="E345" s="4"/>
    </row>
    <row r="346" spans="5:5" ht="33" customHeight="1">
      <c r="E346" s="4"/>
    </row>
    <row r="347" spans="5:5" ht="33" customHeight="1">
      <c r="E347" s="4"/>
    </row>
    <row r="348" spans="5:5" ht="33" customHeight="1">
      <c r="E348" s="4"/>
    </row>
    <row r="349" spans="5:5" ht="33" customHeight="1">
      <c r="E349" s="4"/>
    </row>
    <row r="350" spans="5:5" ht="33" customHeight="1">
      <c r="E350" s="4"/>
    </row>
    <row r="351" spans="5:5" ht="33" customHeight="1">
      <c r="E351" s="4"/>
    </row>
    <row r="352" spans="5:5" ht="33" customHeight="1">
      <c r="E352" s="4"/>
    </row>
    <row r="353" spans="5:5" ht="33" customHeight="1">
      <c r="E353" s="4"/>
    </row>
    <row r="354" spans="5:5" ht="33" customHeight="1">
      <c r="E354" s="4"/>
    </row>
    <row r="355" spans="5:5" ht="33" customHeight="1">
      <c r="E355" s="4"/>
    </row>
    <row r="356" spans="5:5" ht="33" customHeight="1">
      <c r="E356" s="4"/>
    </row>
    <row r="357" spans="5:5" ht="33" customHeight="1">
      <c r="E357" s="4"/>
    </row>
    <row r="358" spans="5:5" ht="33" customHeight="1">
      <c r="E358" s="4"/>
    </row>
    <row r="359" spans="5:5" ht="33" customHeight="1">
      <c r="E359" s="4"/>
    </row>
    <row r="360" spans="5:5" ht="33" customHeight="1">
      <c r="E360" s="4"/>
    </row>
    <row r="361" spans="5:5" ht="33" customHeight="1">
      <c r="E361" s="4"/>
    </row>
    <row r="362" spans="5:5" ht="33" customHeight="1">
      <c r="E362" s="4"/>
    </row>
    <row r="363" spans="5:5" ht="33" customHeight="1">
      <c r="E363" s="4"/>
    </row>
    <row r="364" spans="5:5" ht="33" customHeight="1">
      <c r="E364" s="4"/>
    </row>
    <row r="365" spans="5:5" ht="33" customHeight="1">
      <c r="E365" s="4"/>
    </row>
    <row r="366" spans="5:5" ht="33" customHeight="1">
      <c r="E366" s="4"/>
    </row>
    <row r="367" spans="5:5" ht="33" customHeight="1">
      <c r="E367" s="4"/>
    </row>
    <row r="368" spans="5:5" ht="33" customHeight="1">
      <c r="E368" s="4"/>
    </row>
    <row r="369" spans="5:5" ht="33" customHeight="1">
      <c r="E369" s="4"/>
    </row>
    <row r="370" spans="5:5" ht="33" customHeight="1">
      <c r="E370" s="4"/>
    </row>
    <row r="371" spans="5:5" ht="33" customHeight="1">
      <c r="E371" s="4"/>
    </row>
    <row r="372" spans="5:5" ht="33" customHeight="1">
      <c r="E372" s="4"/>
    </row>
    <row r="373" spans="5:5" ht="33" customHeight="1">
      <c r="E373" s="4"/>
    </row>
    <row r="374" spans="5:5" ht="33" customHeight="1">
      <c r="E374" s="4"/>
    </row>
    <row r="375" spans="5:5" ht="33" customHeight="1">
      <c r="E375" s="4"/>
    </row>
    <row r="376" spans="5:5" ht="33" customHeight="1">
      <c r="E376" s="4"/>
    </row>
    <row r="377" spans="5:5" ht="33" customHeight="1">
      <c r="E377" s="4"/>
    </row>
    <row r="378" spans="5:5" ht="33" customHeight="1">
      <c r="E378" s="4"/>
    </row>
    <row r="379" spans="5:5" ht="33" customHeight="1">
      <c r="E379" s="4"/>
    </row>
    <row r="380" spans="5:5" ht="33" customHeight="1">
      <c r="E380" s="4"/>
    </row>
    <row r="381" spans="5:5" ht="33" customHeight="1">
      <c r="E381" s="4"/>
    </row>
    <row r="382" spans="5:5" ht="33" customHeight="1">
      <c r="E382" s="4"/>
    </row>
    <row r="383" spans="5:5" ht="33" customHeight="1">
      <c r="E383" s="4"/>
    </row>
    <row r="384" spans="5:5" ht="33" customHeight="1">
      <c r="E384" s="4"/>
    </row>
    <row r="385" spans="5:5" ht="33" customHeight="1">
      <c r="E385" s="4"/>
    </row>
    <row r="386" spans="5:5" ht="33" customHeight="1">
      <c r="E386" s="4"/>
    </row>
    <row r="387" spans="5:5" ht="33" customHeight="1">
      <c r="E387" s="4"/>
    </row>
    <row r="388" spans="5:5" ht="33" customHeight="1">
      <c r="E388" s="4"/>
    </row>
    <row r="389" spans="5:5" ht="33" customHeight="1">
      <c r="E389" s="4"/>
    </row>
    <row r="390" spans="5:5" ht="33" customHeight="1">
      <c r="E390" s="4"/>
    </row>
    <row r="391" spans="5:5" ht="33" customHeight="1">
      <c r="E391" s="4"/>
    </row>
    <row r="392" spans="5:5" ht="33" customHeight="1">
      <c r="E392" s="4"/>
    </row>
    <row r="393" spans="5:5" ht="33" customHeight="1">
      <c r="E393" s="4"/>
    </row>
    <row r="394" spans="5:5" ht="33" customHeight="1">
      <c r="E394" s="4"/>
    </row>
    <row r="395" spans="5:5" ht="33" customHeight="1">
      <c r="E395" s="4"/>
    </row>
    <row r="396" spans="5:5" ht="33" customHeight="1">
      <c r="E396" s="4"/>
    </row>
    <row r="397" spans="5:5" ht="33" customHeight="1">
      <c r="E397" s="4"/>
    </row>
    <row r="398" spans="5:5" ht="33" customHeight="1">
      <c r="E398" s="4"/>
    </row>
    <row r="399" spans="5:5" ht="33" customHeight="1">
      <c r="E399" s="4"/>
    </row>
    <row r="400" spans="5:5" ht="33" customHeight="1">
      <c r="E400" s="4"/>
    </row>
    <row r="401" spans="5:5" ht="33" customHeight="1">
      <c r="E401" s="4"/>
    </row>
    <row r="402" spans="5:5" ht="33" customHeight="1">
      <c r="E402" s="4"/>
    </row>
    <row r="403" spans="5:5" ht="33" customHeight="1">
      <c r="E403" s="4"/>
    </row>
    <row r="404" spans="5:5" ht="33" customHeight="1">
      <c r="E404" s="4"/>
    </row>
    <row r="405" spans="5:5" ht="33" customHeight="1">
      <c r="E405" s="4"/>
    </row>
    <row r="406" spans="5:5" ht="33" customHeight="1">
      <c r="E406" s="4"/>
    </row>
    <row r="407" spans="5:5" ht="33" customHeight="1">
      <c r="E407" s="4"/>
    </row>
    <row r="408" spans="5:5" ht="33" customHeight="1">
      <c r="E408" s="4"/>
    </row>
    <row r="409" spans="5:5" ht="33" customHeight="1">
      <c r="E409" s="4"/>
    </row>
    <row r="410" spans="5:5" ht="33" customHeight="1">
      <c r="E410" s="4"/>
    </row>
    <row r="411" spans="5:5" ht="33" customHeight="1">
      <c r="E411" s="4"/>
    </row>
    <row r="412" spans="5:5" ht="33" customHeight="1">
      <c r="E412" s="4"/>
    </row>
    <row r="413" spans="5:5" ht="33" customHeight="1">
      <c r="E413" s="4"/>
    </row>
    <row r="414" spans="5:5" ht="33" customHeight="1">
      <c r="E414" s="4"/>
    </row>
    <row r="415" spans="5:5" ht="33" customHeight="1">
      <c r="E415" s="4"/>
    </row>
    <row r="416" spans="5:5" ht="33" customHeight="1">
      <c r="E416" s="4"/>
    </row>
    <row r="417" spans="5:5" ht="33" customHeight="1">
      <c r="E417" s="4"/>
    </row>
    <row r="418" spans="5:5" ht="33" customHeight="1">
      <c r="E418" s="4"/>
    </row>
    <row r="419" spans="5:5" ht="33" customHeight="1">
      <c r="E419" s="4"/>
    </row>
    <row r="420" spans="5:5" ht="33" customHeight="1">
      <c r="E420" s="4"/>
    </row>
    <row r="421" spans="5:5" ht="33" customHeight="1">
      <c r="E421" s="4"/>
    </row>
    <row r="422" spans="5:5" ht="33" customHeight="1">
      <c r="E422" s="4"/>
    </row>
    <row r="423" spans="5:5" ht="33" customHeight="1">
      <c r="E423" s="4"/>
    </row>
    <row r="424" spans="5:5" ht="33" customHeight="1">
      <c r="E424" s="4"/>
    </row>
    <row r="425" spans="5:5" ht="33" customHeight="1">
      <c r="E425" s="4"/>
    </row>
    <row r="426" spans="5:5" ht="33" customHeight="1">
      <c r="E426" s="4"/>
    </row>
    <row r="427" spans="5:5" ht="33" customHeight="1">
      <c r="E427" s="4"/>
    </row>
    <row r="428" spans="5:5" ht="33" customHeight="1">
      <c r="E428" s="4"/>
    </row>
    <row r="429" spans="5:5" ht="33" customHeight="1">
      <c r="E429" s="4"/>
    </row>
    <row r="430" spans="5:5" ht="33" customHeight="1">
      <c r="E430" s="4"/>
    </row>
    <row r="431" spans="5:5" ht="33" customHeight="1">
      <c r="E431" s="4"/>
    </row>
    <row r="432" spans="5:5" ht="33" customHeight="1">
      <c r="E432" s="4"/>
    </row>
    <row r="433" spans="5:5" ht="33" customHeight="1">
      <c r="E433" s="4"/>
    </row>
    <row r="434" spans="5:5" ht="33" customHeight="1">
      <c r="E434" s="4"/>
    </row>
    <row r="435" spans="5:5" ht="33" customHeight="1">
      <c r="E435" s="4"/>
    </row>
    <row r="436" spans="5:5" ht="33" customHeight="1">
      <c r="E436" s="4"/>
    </row>
    <row r="437" spans="5:5" ht="33" customHeight="1">
      <c r="E437" s="4"/>
    </row>
    <row r="438" spans="5:5" ht="33" customHeight="1">
      <c r="E438" s="4"/>
    </row>
    <row r="439" spans="5:5" ht="33" customHeight="1">
      <c r="E439" s="4"/>
    </row>
    <row r="440" spans="5:5" ht="33" customHeight="1">
      <c r="E440" s="4"/>
    </row>
    <row r="441" spans="5:5" ht="33" customHeight="1">
      <c r="E441" s="4"/>
    </row>
    <row r="442" spans="5:5" ht="33" customHeight="1">
      <c r="E442" s="4"/>
    </row>
    <row r="443" spans="5:5" ht="33" customHeight="1">
      <c r="E443" s="4"/>
    </row>
    <row r="444" spans="5:5" ht="33" customHeight="1">
      <c r="E444" s="4"/>
    </row>
    <row r="445" spans="5:5" ht="33" customHeight="1">
      <c r="E445" s="4"/>
    </row>
    <row r="446" spans="5:5" ht="33" customHeight="1">
      <c r="E446" s="4"/>
    </row>
    <row r="447" spans="5:5" ht="33" customHeight="1">
      <c r="E447" s="4"/>
    </row>
    <row r="448" spans="5:5" ht="33" customHeight="1">
      <c r="E448" s="4"/>
    </row>
    <row r="449" spans="5:5" ht="33" customHeight="1">
      <c r="E449" s="4"/>
    </row>
    <row r="450" spans="5:5" ht="33" customHeight="1">
      <c r="E450" s="4"/>
    </row>
    <row r="451" spans="5:5" ht="33" customHeight="1">
      <c r="E451" s="4"/>
    </row>
    <row r="452" spans="5:5" ht="33" customHeight="1">
      <c r="E452" s="4"/>
    </row>
    <row r="453" spans="5:5" ht="33" customHeight="1">
      <c r="E453" s="4"/>
    </row>
    <row r="454" spans="5:5" ht="33" customHeight="1">
      <c r="E454" s="4"/>
    </row>
    <row r="455" spans="5:5" ht="33" customHeight="1">
      <c r="E455" s="4"/>
    </row>
    <row r="456" spans="5:5" ht="33" customHeight="1">
      <c r="E456" s="4"/>
    </row>
    <row r="457" spans="5:5" ht="33" customHeight="1">
      <c r="E457" s="4"/>
    </row>
    <row r="458" spans="5:5" ht="33" customHeight="1">
      <c r="E458" s="4"/>
    </row>
    <row r="459" spans="5:5" ht="33" customHeight="1">
      <c r="E459" s="4"/>
    </row>
    <row r="460" spans="5:5" ht="33" customHeight="1">
      <c r="E460" s="4"/>
    </row>
    <row r="461" spans="5:5" ht="33" customHeight="1">
      <c r="E461" s="4"/>
    </row>
    <row r="462" spans="5:5" ht="33" customHeight="1">
      <c r="E462" s="4"/>
    </row>
    <row r="463" spans="5:5" ht="33" customHeight="1">
      <c r="E463" s="4"/>
    </row>
    <row r="464" spans="5:5" ht="33" customHeight="1">
      <c r="E464" s="4"/>
    </row>
    <row r="465" spans="5:5" ht="33" customHeight="1">
      <c r="E465" s="4"/>
    </row>
    <row r="466" spans="5:5" ht="33" customHeight="1">
      <c r="E466" s="4"/>
    </row>
    <row r="467" spans="5:5" ht="33" customHeight="1">
      <c r="E467" s="4"/>
    </row>
    <row r="468" spans="5:5" ht="33" customHeight="1">
      <c r="E468" s="4"/>
    </row>
    <row r="469" spans="5:5" ht="33" customHeight="1">
      <c r="E469" s="4"/>
    </row>
    <row r="470" spans="5:5" ht="33" customHeight="1">
      <c r="E470" s="4"/>
    </row>
    <row r="471" spans="5:5" ht="33" customHeight="1">
      <c r="E471" s="4"/>
    </row>
    <row r="472" spans="5:5" ht="33" customHeight="1">
      <c r="E472" s="4"/>
    </row>
    <row r="473" spans="5:5" ht="33" customHeight="1">
      <c r="E473" s="4"/>
    </row>
    <row r="474" spans="5:5" ht="33" customHeight="1">
      <c r="E474" s="4"/>
    </row>
    <row r="475" spans="5:5" ht="33" customHeight="1">
      <c r="E475" s="4"/>
    </row>
    <row r="476" spans="5:5" ht="33" customHeight="1">
      <c r="E476" s="4"/>
    </row>
    <row r="477" spans="5:5" ht="33" customHeight="1">
      <c r="E477" s="4"/>
    </row>
    <row r="478" spans="5:5" ht="33" customHeight="1">
      <c r="E478" s="4"/>
    </row>
    <row r="479" spans="5:5" ht="33" customHeight="1">
      <c r="E479" s="4"/>
    </row>
    <row r="480" spans="5:5" ht="33" customHeight="1">
      <c r="E480" s="4"/>
    </row>
    <row r="481" spans="5:5" ht="33" customHeight="1">
      <c r="E481" s="4"/>
    </row>
    <row r="482" spans="5:5" ht="33" customHeight="1">
      <c r="E482" s="4"/>
    </row>
    <row r="483" spans="5:5" ht="33" customHeight="1">
      <c r="E483" s="4"/>
    </row>
    <row r="484" spans="5:5" ht="33" customHeight="1">
      <c r="E484" s="4"/>
    </row>
    <row r="485" spans="5:5" ht="33" customHeight="1">
      <c r="E485" s="4"/>
    </row>
    <row r="486" spans="5:5" ht="33" customHeight="1">
      <c r="E486" s="4"/>
    </row>
    <row r="487" spans="5:5" ht="33" customHeight="1">
      <c r="E487" s="4"/>
    </row>
    <row r="488" spans="5:5" ht="33" customHeight="1">
      <c r="E488" s="4"/>
    </row>
    <row r="489" spans="5:5" ht="33" customHeight="1">
      <c r="E489" s="4"/>
    </row>
    <row r="490" spans="5:5" ht="33" customHeight="1">
      <c r="E490" s="4"/>
    </row>
    <row r="491" spans="5:5" ht="33" customHeight="1">
      <c r="E491" s="4"/>
    </row>
    <row r="492" spans="5:5" ht="33" customHeight="1">
      <c r="E492" s="4"/>
    </row>
    <row r="493" spans="5:5" ht="33" customHeight="1">
      <c r="E493" s="4"/>
    </row>
    <row r="494" spans="5:5" ht="33" customHeight="1">
      <c r="E494" s="4"/>
    </row>
    <row r="495" spans="5:5" ht="33" customHeight="1">
      <c r="E495" s="4"/>
    </row>
    <row r="496" spans="5:5" ht="33" customHeight="1">
      <c r="E496" s="4"/>
    </row>
    <row r="497" spans="5:5" ht="33" customHeight="1">
      <c r="E497" s="4"/>
    </row>
    <row r="498" spans="5:5" ht="33" customHeight="1">
      <c r="E498" s="4"/>
    </row>
    <row r="499" spans="5:5" ht="33" customHeight="1">
      <c r="E499" s="4"/>
    </row>
    <row r="500" spans="5:5" ht="33" customHeight="1">
      <c r="E500" s="4"/>
    </row>
    <row r="501" spans="5:5" ht="33" customHeight="1">
      <c r="E501" s="4"/>
    </row>
    <row r="502" spans="5:5" ht="33" customHeight="1">
      <c r="E502" s="4"/>
    </row>
    <row r="503" spans="5:5" ht="33" customHeight="1">
      <c r="E503" s="4"/>
    </row>
    <row r="504" spans="5:5" ht="33" customHeight="1">
      <c r="E504" s="4"/>
    </row>
    <row r="505" spans="5:5" ht="33" customHeight="1">
      <c r="E505" s="4"/>
    </row>
    <row r="506" spans="5:5" ht="33" customHeight="1">
      <c r="E506" s="4"/>
    </row>
    <row r="507" spans="5:5" ht="33" customHeight="1">
      <c r="E507" s="4"/>
    </row>
    <row r="508" spans="5:5" ht="33" customHeight="1">
      <c r="E508" s="4"/>
    </row>
    <row r="509" spans="5:5" ht="33" customHeight="1">
      <c r="E509" s="4"/>
    </row>
    <row r="510" spans="5:5" ht="33" customHeight="1">
      <c r="E510" s="4"/>
    </row>
    <row r="511" spans="5:5" ht="33" customHeight="1">
      <c r="E511" s="4"/>
    </row>
    <row r="512" spans="5:5" ht="33" customHeight="1">
      <c r="E512" s="4"/>
    </row>
    <row r="513" spans="5:5" ht="33" customHeight="1">
      <c r="E513" s="4"/>
    </row>
    <row r="514" spans="5:5" ht="33" customHeight="1">
      <c r="E514" s="4"/>
    </row>
    <row r="515" spans="5:5" ht="33" customHeight="1">
      <c r="E515" s="4"/>
    </row>
    <row r="516" spans="5:5" ht="33" customHeight="1">
      <c r="E516" s="4"/>
    </row>
    <row r="517" spans="5:5" ht="33" customHeight="1">
      <c r="E517" s="4"/>
    </row>
    <row r="518" spans="5:5" ht="33" customHeight="1">
      <c r="E518" s="4"/>
    </row>
    <row r="519" spans="5:5" ht="33" customHeight="1">
      <c r="E519" s="4"/>
    </row>
    <row r="520" spans="5:5" ht="33" customHeight="1">
      <c r="E520" s="4"/>
    </row>
    <row r="521" spans="5:5" ht="33" customHeight="1">
      <c r="E521" s="4"/>
    </row>
    <row r="522" spans="5:5" ht="33" customHeight="1">
      <c r="E522" s="4"/>
    </row>
    <row r="523" spans="5:5" ht="33" customHeight="1">
      <c r="E523" s="4"/>
    </row>
    <row r="524" spans="5:5" ht="33" customHeight="1">
      <c r="E524" s="4"/>
    </row>
    <row r="525" spans="5:5" ht="33" customHeight="1">
      <c r="E525" s="4"/>
    </row>
    <row r="526" spans="5:5" ht="33" customHeight="1">
      <c r="E526" s="4"/>
    </row>
    <row r="527" spans="5:5" ht="33" customHeight="1">
      <c r="E527" s="4"/>
    </row>
    <row r="528" spans="5:5" ht="33" customHeight="1">
      <c r="E528" s="4"/>
    </row>
    <row r="529" spans="5:5" ht="33" customHeight="1">
      <c r="E529" s="4"/>
    </row>
    <row r="530" spans="5:5" ht="33" customHeight="1">
      <c r="E530" s="4"/>
    </row>
    <row r="531" spans="5:5" ht="33" customHeight="1">
      <c r="E531" s="4"/>
    </row>
    <row r="532" spans="5:5" ht="33" customHeight="1">
      <c r="E532" s="4"/>
    </row>
    <row r="533" spans="5:5" ht="33" customHeight="1">
      <c r="E533" s="4"/>
    </row>
    <row r="534" spans="5:5" ht="33" customHeight="1">
      <c r="E534" s="4"/>
    </row>
    <row r="535" spans="5:5" ht="33" customHeight="1">
      <c r="E535" s="4"/>
    </row>
    <row r="536" spans="5:5" ht="33" customHeight="1">
      <c r="E536" s="4"/>
    </row>
    <row r="537" spans="5:5" ht="33" customHeight="1">
      <c r="E537" s="4"/>
    </row>
    <row r="538" spans="5:5" ht="33" customHeight="1">
      <c r="E538" s="4"/>
    </row>
    <row r="539" spans="5:5" ht="33" customHeight="1">
      <c r="E539" s="4"/>
    </row>
    <row r="540" spans="5:5" ht="33" customHeight="1">
      <c r="E540" s="4"/>
    </row>
    <row r="541" spans="5:5" ht="33" customHeight="1">
      <c r="E541" s="4"/>
    </row>
    <row r="542" spans="5:5" ht="33" customHeight="1">
      <c r="E542" s="4"/>
    </row>
    <row r="543" spans="5:5" ht="33" customHeight="1">
      <c r="E543" s="4"/>
    </row>
    <row r="544" spans="5:5" ht="33" customHeight="1">
      <c r="E544" s="4"/>
    </row>
    <row r="545" spans="5:5" ht="33" customHeight="1">
      <c r="E545" s="4"/>
    </row>
    <row r="546" spans="5:5" ht="33" customHeight="1">
      <c r="E546" s="4"/>
    </row>
    <row r="547" spans="5:5" ht="33" customHeight="1">
      <c r="E547" s="4"/>
    </row>
    <row r="548" spans="5:5" ht="33" customHeight="1">
      <c r="E548" s="4"/>
    </row>
    <row r="549" spans="5:5" ht="33" customHeight="1">
      <c r="E549" s="4"/>
    </row>
    <row r="550" spans="5:5" ht="33" customHeight="1">
      <c r="E550" s="4"/>
    </row>
    <row r="551" spans="5:5" ht="33" customHeight="1">
      <c r="E551" s="4"/>
    </row>
    <row r="552" spans="5:5" ht="33" customHeight="1">
      <c r="E552" s="4"/>
    </row>
    <row r="553" spans="5:5" ht="33" customHeight="1">
      <c r="E553" s="4"/>
    </row>
    <row r="554" spans="5:5" ht="33" customHeight="1">
      <c r="E554" s="4"/>
    </row>
    <row r="555" spans="5:5" ht="33" customHeight="1">
      <c r="E555" s="4"/>
    </row>
    <row r="556" spans="5:5" ht="33" customHeight="1">
      <c r="E556" s="4"/>
    </row>
    <row r="557" spans="5:5" ht="33" customHeight="1">
      <c r="E557" s="4"/>
    </row>
    <row r="558" spans="5:5" ht="33" customHeight="1">
      <c r="E558" s="4"/>
    </row>
    <row r="559" spans="5:5" ht="33" customHeight="1">
      <c r="E559" s="4"/>
    </row>
    <row r="560" spans="5:5" ht="33" customHeight="1">
      <c r="E560" s="4"/>
    </row>
    <row r="561" spans="5:5" ht="33" customHeight="1">
      <c r="E561" s="4"/>
    </row>
    <row r="562" spans="5:5" ht="33" customHeight="1">
      <c r="E562" s="4"/>
    </row>
    <row r="563" spans="5:5" ht="33" customHeight="1">
      <c r="E563" s="4"/>
    </row>
    <row r="564" spans="5:5" ht="33" customHeight="1">
      <c r="E564" s="4"/>
    </row>
    <row r="565" spans="5:5" ht="33" customHeight="1">
      <c r="E565" s="4"/>
    </row>
    <row r="566" spans="5:5" ht="33" customHeight="1">
      <c r="E566" s="4"/>
    </row>
    <row r="567" spans="5:5" ht="33" customHeight="1">
      <c r="E567" s="4"/>
    </row>
    <row r="568" spans="5:5" ht="33" customHeight="1">
      <c r="E568" s="4"/>
    </row>
    <row r="569" spans="5:5" ht="33" customHeight="1">
      <c r="E569" s="4"/>
    </row>
    <row r="570" spans="5:5" ht="33" customHeight="1">
      <c r="E570" s="4"/>
    </row>
    <row r="571" spans="5:5" ht="33" customHeight="1">
      <c r="E571" s="4"/>
    </row>
    <row r="572" spans="5:5" ht="33" customHeight="1">
      <c r="E572" s="4"/>
    </row>
    <row r="573" spans="5:5" ht="33" customHeight="1">
      <c r="E573" s="4"/>
    </row>
    <row r="574" spans="5:5" ht="33" customHeight="1">
      <c r="E574" s="4"/>
    </row>
    <row r="575" spans="5:5" ht="33" customHeight="1">
      <c r="E575" s="4"/>
    </row>
    <row r="576" spans="5:5" ht="33" customHeight="1">
      <c r="E576" s="4"/>
    </row>
    <row r="577" spans="5:5" ht="33" customHeight="1">
      <c r="E577" s="4"/>
    </row>
    <row r="578" spans="5:5" ht="33" customHeight="1">
      <c r="E578" s="4"/>
    </row>
    <row r="579" spans="5:5" ht="33" customHeight="1">
      <c r="E579" s="4"/>
    </row>
    <row r="580" spans="5:5" ht="33" customHeight="1">
      <c r="E580" s="4"/>
    </row>
    <row r="581" spans="5:5" ht="33" customHeight="1">
      <c r="E581" s="4"/>
    </row>
    <row r="582" spans="5:5" ht="33" customHeight="1">
      <c r="E582" s="4"/>
    </row>
    <row r="583" spans="5:5" ht="33" customHeight="1">
      <c r="E583" s="4"/>
    </row>
    <row r="584" spans="5:5" ht="33" customHeight="1">
      <c r="E584" s="4"/>
    </row>
    <row r="585" spans="5:5" ht="33" customHeight="1">
      <c r="E585" s="4"/>
    </row>
    <row r="586" spans="5:5" ht="33" customHeight="1">
      <c r="E586" s="4"/>
    </row>
    <row r="587" spans="5:5" ht="33" customHeight="1">
      <c r="E587" s="4"/>
    </row>
    <row r="588" spans="5:5" ht="33" customHeight="1">
      <c r="E588" s="4"/>
    </row>
    <row r="589" spans="5:5" ht="33" customHeight="1">
      <c r="E589" s="4"/>
    </row>
    <row r="590" spans="5:5" ht="33" customHeight="1">
      <c r="E590" s="4"/>
    </row>
    <row r="591" spans="5:5" ht="33" customHeight="1">
      <c r="E591" s="4"/>
    </row>
    <row r="592" spans="5:5" ht="33" customHeight="1">
      <c r="E592" s="4"/>
    </row>
    <row r="593" spans="5:5" ht="33" customHeight="1">
      <c r="E593" s="4"/>
    </row>
    <row r="594" spans="5:5" ht="33" customHeight="1">
      <c r="E594" s="4"/>
    </row>
    <row r="595" spans="5:5" ht="33" customHeight="1">
      <c r="E595" s="4"/>
    </row>
    <row r="596" spans="5:5" ht="33" customHeight="1">
      <c r="E596" s="4"/>
    </row>
    <row r="597" spans="5:5" ht="33" customHeight="1">
      <c r="E597" s="4"/>
    </row>
    <row r="598" spans="5:5" ht="33" customHeight="1">
      <c r="E598" s="4"/>
    </row>
    <row r="599" spans="5:5" ht="33" customHeight="1">
      <c r="E599" s="4"/>
    </row>
    <row r="600" spans="5:5" ht="33" customHeight="1">
      <c r="E600" s="4"/>
    </row>
    <row r="601" spans="5:5" ht="33" customHeight="1">
      <c r="E601" s="4"/>
    </row>
    <row r="602" spans="5:5" ht="33" customHeight="1">
      <c r="E602" s="4"/>
    </row>
    <row r="603" spans="5:5" ht="33" customHeight="1">
      <c r="E603" s="4"/>
    </row>
    <row r="604" spans="5:5" ht="33" customHeight="1">
      <c r="E604" s="4"/>
    </row>
    <row r="605" spans="5:5" ht="33" customHeight="1">
      <c r="E605" s="4"/>
    </row>
    <row r="606" spans="5:5" ht="33" customHeight="1">
      <c r="E606" s="4"/>
    </row>
    <row r="607" spans="5:5" ht="33" customHeight="1">
      <c r="E607" s="4"/>
    </row>
    <row r="608" spans="5:5" ht="33" customHeight="1">
      <c r="E608" s="4"/>
    </row>
    <row r="609" spans="5:5" ht="33" customHeight="1">
      <c r="E609" s="4"/>
    </row>
    <row r="610" spans="5:5" ht="33" customHeight="1">
      <c r="E610" s="4"/>
    </row>
    <row r="611" spans="5:5" ht="33" customHeight="1">
      <c r="E611" s="4"/>
    </row>
    <row r="612" spans="5:5" ht="33" customHeight="1">
      <c r="E612" s="4"/>
    </row>
    <row r="613" spans="5:5" ht="33" customHeight="1">
      <c r="E613" s="4"/>
    </row>
    <row r="614" spans="5:5" ht="33" customHeight="1">
      <c r="E614" s="4"/>
    </row>
    <row r="615" spans="5:5" ht="33" customHeight="1">
      <c r="E615" s="4"/>
    </row>
    <row r="616" spans="5:5" ht="33" customHeight="1">
      <c r="E616" s="4"/>
    </row>
    <row r="617" spans="5:5" ht="33" customHeight="1">
      <c r="E617" s="4"/>
    </row>
    <row r="618" spans="5:5" ht="33" customHeight="1">
      <c r="E618" s="4"/>
    </row>
    <row r="619" spans="5:5" ht="33" customHeight="1">
      <c r="E619" s="4"/>
    </row>
    <row r="620" spans="5:5" ht="33" customHeight="1">
      <c r="E620" s="4"/>
    </row>
    <row r="621" spans="5:5" ht="33" customHeight="1">
      <c r="E621" s="4"/>
    </row>
    <row r="622" spans="5:5" ht="33" customHeight="1">
      <c r="E622" s="4"/>
    </row>
    <row r="623" spans="5:5" ht="33" customHeight="1">
      <c r="E623" s="4"/>
    </row>
    <row r="624" spans="5:5" ht="33" customHeight="1">
      <c r="E624" s="4"/>
    </row>
    <row r="625" spans="5:5" ht="33" customHeight="1">
      <c r="E625" s="4"/>
    </row>
    <row r="626" spans="5:5" ht="33" customHeight="1">
      <c r="E626" s="4"/>
    </row>
    <row r="627" spans="5:5" ht="33" customHeight="1">
      <c r="E627" s="4"/>
    </row>
    <row r="628" spans="5:5" ht="33" customHeight="1">
      <c r="E628" s="4"/>
    </row>
    <row r="629" spans="5:5" ht="33" customHeight="1">
      <c r="E629" s="4"/>
    </row>
    <row r="630" spans="5:5" ht="33" customHeight="1">
      <c r="E630" s="4"/>
    </row>
    <row r="631" spans="5:5" ht="33" customHeight="1">
      <c r="E631" s="4"/>
    </row>
    <row r="632" spans="5:5" ht="33" customHeight="1">
      <c r="E632" s="4"/>
    </row>
    <row r="633" spans="5:5" ht="33" customHeight="1">
      <c r="E633" s="4"/>
    </row>
    <row r="634" spans="5:5" ht="33" customHeight="1">
      <c r="E634" s="4"/>
    </row>
    <row r="635" spans="5:5" ht="33" customHeight="1">
      <c r="E635" s="4"/>
    </row>
    <row r="636" spans="5:5" ht="33" customHeight="1">
      <c r="E636" s="4"/>
    </row>
    <row r="637" spans="5:5" ht="33" customHeight="1">
      <c r="E637" s="4"/>
    </row>
    <row r="638" spans="5:5" ht="33" customHeight="1">
      <c r="E638" s="4"/>
    </row>
    <row r="639" spans="5:5" ht="33" customHeight="1">
      <c r="E639" s="4"/>
    </row>
    <row r="640" spans="5:5" ht="33" customHeight="1">
      <c r="E640" s="4"/>
    </row>
    <row r="641" spans="5:5" ht="33" customHeight="1">
      <c r="E641" s="4"/>
    </row>
    <row r="642" spans="5:5" ht="33" customHeight="1">
      <c r="E642" s="4"/>
    </row>
    <row r="643" spans="5:5" ht="33" customHeight="1">
      <c r="E643" s="4"/>
    </row>
    <row r="644" spans="5:5" ht="33" customHeight="1">
      <c r="E644" s="4"/>
    </row>
    <row r="645" spans="5:5" ht="33" customHeight="1">
      <c r="E645" s="4"/>
    </row>
    <row r="646" spans="5:5" ht="33" customHeight="1">
      <c r="E646" s="4"/>
    </row>
    <row r="647" spans="5:5" ht="33" customHeight="1">
      <c r="E647" s="4"/>
    </row>
    <row r="648" spans="5:5" ht="33" customHeight="1">
      <c r="E648" s="4"/>
    </row>
    <row r="649" spans="5:5" ht="33" customHeight="1">
      <c r="E649" s="4"/>
    </row>
    <row r="650" spans="5:5" ht="33" customHeight="1">
      <c r="E650" s="4"/>
    </row>
    <row r="651" spans="5:5" ht="33" customHeight="1">
      <c r="E651" s="4"/>
    </row>
    <row r="652" spans="5:5" ht="33" customHeight="1">
      <c r="E652" s="4"/>
    </row>
    <row r="653" spans="5:5" ht="33" customHeight="1">
      <c r="E653" s="4"/>
    </row>
    <row r="654" spans="5:5" ht="33" customHeight="1">
      <c r="E654" s="4"/>
    </row>
    <row r="655" spans="5:5" ht="33" customHeight="1">
      <c r="E655" s="4"/>
    </row>
    <row r="656" spans="5:5" ht="33" customHeight="1">
      <c r="E656" s="4"/>
    </row>
    <row r="657" spans="5:5" ht="33" customHeight="1">
      <c r="E657" s="4"/>
    </row>
    <row r="658" spans="5:5" ht="33" customHeight="1">
      <c r="E658" s="4"/>
    </row>
    <row r="659" spans="5:5" ht="33" customHeight="1">
      <c r="E659" s="4"/>
    </row>
    <row r="660" spans="5:5" ht="33" customHeight="1">
      <c r="E660" s="4"/>
    </row>
    <row r="661" spans="5:5" ht="33" customHeight="1">
      <c r="E661" s="4"/>
    </row>
    <row r="662" spans="5:5" ht="33" customHeight="1">
      <c r="E662" s="4"/>
    </row>
    <row r="663" spans="5:5" ht="33" customHeight="1">
      <c r="E663" s="4"/>
    </row>
    <row r="664" spans="5:5" ht="33" customHeight="1">
      <c r="E664" s="4"/>
    </row>
    <row r="665" spans="5:5" ht="33" customHeight="1">
      <c r="E665" s="4"/>
    </row>
    <row r="666" spans="5:5" ht="33" customHeight="1">
      <c r="E666" s="4"/>
    </row>
    <row r="667" spans="5:5" ht="33" customHeight="1">
      <c r="E667" s="4"/>
    </row>
    <row r="668" spans="5:5" ht="33" customHeight="1">
      <c r="E668" s="4"/>
    </row>
    <row r="669" spans="5:5" ht="33" customHeight="1">
      <c r="E669" s="4"/>
    </row>
    <row r="670" spans="5:5" ht="33" customHeight="1">
      <c r="E670" s="4"/>
    </row>
    <row r="671" spans="5:5" ht="33" customHeight="1">
      <c r="E671" s="4"/>
    </row>
    <row r="672" spans="5:5" ht="33" customHeight="1">
      <c r="E672" s="4"/>
    </row>
    <row r="673" spans="5:5" ht="33" customHeight="1">
      <c r="E673" s="4"/>
    </row>
    <row r="674" spans="5:5" ht="33" customHeight="1">
      <c r="E674" s="4"/>
    </row>
    <row r="675" spans="5:5" ht="33" customHeight="1">
      <c r="E675" s="4"/>
    </row>
    <row r="676" spans="5:5" ht="33" customHeight="1">
      <c r="E676" s="4"/>
    </row>
    <row r="677" spans="5:5" ht="33" customHeight="1">
      <c r="E677" s="4"/>
    </row>
    <row r="678" spans="5:5" ht="33" customHeight="1">
      <c r="E678" s="4"/>
    </row>
    <row r="679" spans="5:5" ht="33" customHeight="1">
      <c r="E679" s="4"/>
    </row>
    <row r="680" spans="5:5" ht="33" customHeight="1">
      <c r="E680" s="4"/>
    </row>
    <row r="681" spans="5:5" ht="33" customHeight="1">
      <c r="E681" s="4"/>
    </row>
    <row r="682" spans="5:5" ht="33" customHeight="1">
      <c r="E682" s="4"/>
    </row>
    <row r="683" spans="5:5" ht="33" customHeight="1">
      <c r="E683" s="4"/>
    </row>
    <row r="684" spans="5:5" ht="33" customHeight="1">
      <c r="E684" s="4"/>
    </row>
    <row r="685" spans="5:5" ht="33" customHeight="1">
      <c r="E685" s="4"/>
    </row>
    <row r="686" spans="5:5" ht="33" customHeight="1">
      <c r="E686" s="4"/>
    </row>
    <row r="687" spans="5:5" ht="33" customHeight="1">
      <c r="E687" s="4"/>
    </row>
    <row r="688" spans="5:5" ht="33" customHeight="1">
      <c r="E688" s="4"/>
    </row>
    <row r="689" spans="5:5" ht="33" customHeight="1">
      <c r="E689" s="4"/>
    </row>
    <row r="690" spans="5:5" ht="33" customHeight="1">
      <c r="E690" s="4"/>
    </row>
    <row r="691" spans="5:5" ht="33" customHeight="1">
      <c r="E691" s="4"/>
    </row>
    <row r="692" spans="5:5" ht="33" customHeight="1">
      <c r="E692" s="4"/>
    </row>
    <row r="693" spans="5:5" ht="33" customHeight="1">
      <c r="E693" s="4"/>
    </row>
    <row r="694" spans="5:5" ht="33" customHeight="1">
      <c r="E694" s="4"/>
    </row>
    <row r="695" spans="5:5" ht="33" customHeight="1">
      <c r="E695" s="4"/>
    </row>
    <row r="696" spans="5:5" ht="33" customHeight="1">
      <c r="E696" s="4"/>
    </row>
    <row r="697" spans="5:5" ht="33" customHeight="1">
      <c r="E697" s="4"/>
    </row>
    <row r="698" spans="5:5" ht="33" customHeight="1">
      <c r="E698" s="4"/>
    </row>
    <row r="699" spans="5:5" ht="33" customHeight="1">
      <c r="E699" s="4"/>
    </row>
    <row r="700" spans="5:5" ht="33" customHeight="1">
      <c r="E700" s="4"/>
    </row>
    <row r="701" spans="5:5" ht="33" customHeight="1">
      <c r="E701" s="4"/>
    </row>
    <row r="702" spans="5:5" ht="33" customHeight="1">
      <c r="E702" s="4"/>
    </row>
    <row r="703" spans="5:5" ht="33" customHeight="1">
      <c r="E703" s="4"/>
    </row>
    <row r="704" spans="5:5" ht="33" customHeight="1">
      <c r="E704" s="4"/>
    </row>
    <row r="705" spans="5:5" ht="33" customHeight="1">
      <c r="E705" s="4"/>
    </row>
    <row r="706" spans="5:5" ht="33" customHeight="1">
      <c r="E706" s="4"/>
    </row>
    <row r="707" spans="5:5" ht="33" customHeight="1">
      <c r="E707" s="4"/>
    </row>
    <row r="708" spans="5:5" ht="33" customHeight="1">
      <c r="E708" s="4"/>
    </row>
    <row r="709" spans="5:5" ht="33" customHeight="1">
      <c r="E709" s="4"/>
    </row>
    <row r="710" spans="5:5" ht="33" customHeight="1">
      <c r="E710" s="4"/>
    </row>
    <row r="711" spans="5:5" ht="33" customHeight="1">
      <c r="E711" s="4"/>
    </row>
    <row r="712" spans="5:5" ht="33" customHeight="1">
      <c r="E712" s="4"/>
    </row>
    <row r="713" spans="5:5" ht="33" customHeight="1">
      <c r="E713" s="4"/>
    </row>
    <row r="714" spans="5:5" ht="33" customHeight="1">
      <c r="E714" s="4"/>
    </row>
    <row r="715" spans="5:5" ht="33" customHeight="1">
      <c r="E715" s="4"/>
    </row>
    <row r="716" spans="5:5" ht="33" customHeight="1">
      <c r="E716" s="4"/>
    </row>
    <row r="717" spans="5:5" ht="33" customHeight="1">
      <c r="E717" s="4"/>
    </row>
    <row r="718" spans="5:5" ht="33" customHeight="1">
      <c r="E718" s="4"/>
    </row>
    <row r="719" spans="5:5" ht="33" customHeight="1">
      <c r="E719" s="4"/>
    </row>
    <row r="720" spans="5:5" ht="33" customHeight="1">
      <c r="E720" s="4"/>
    </row>
    <row r="721" spans="5:5" ht="33" customHeight="1">
      <c r="E721" s="4"/>
    </row>
    <row r="722" spans="5:5" ht="33" customHeight="1">
      <c r="E722" s="4"/>
    </row>
    <row r="723" spans="5:5" ht="33" customHeight="1">
      <c r="E723" s="4"/>
    </row>
    <row r="724" spans="5:5" ht="33" customHeight="1">
      <c r="E724" s="4"/>
    </row>
    <row r="725" spans="5:5" ht="33" customHeight="1">
      <c r="E725" s="4"/>
    </row>
    <row r="726" spans="5:5" ht="33" customHeight="1">
      <c r="E726" s="4"/>
    </row>
    <row r="727" spans="5:5" ht="33" customHeight="1">
      <c r="E727" s="4"/>
    </row>
    <row r="728" spans="5:5" ht="33" customHeight="1">
      <c r="E728" s="4"/>
    </row>
    <row r="729" spans="5:5" ht="33" customHeight="1">
      <c r="E729" s="4"/>
    </row>
    <row r="730" spans="5:5" ht="33" customHeight="1">
      <c r="E730" s="4"/>
    </row>
    <row r="731" spans="5:5" ht="33" customHeight="1">
      <c r="E731" s="4"/>
    </row>
    <row r="732" spans="5:5" ht="33" customHeight="1">
      <c r="E732" s="4"/>
    </row>
    <row r="733" spans="5:5" ht="33" customHeight="1">
      <c r="E733" s="4"/>
    </row>
    <row r="734" spans="5:5" ht="33" customHeight="1">
      <c r="E734" s="4"/>
    </row>
    <row r="735" spans="5:5" ht="33" customHeight="1">
      <c r="E735" s="4"/>
    </row>
    <row r="736" spans="5:5" ht="33" customHeight="1">
      <c r="E736" s="4"/>
    </row>
    <row r="737" spans="5:5" ht="33" customHeight="1">
      <c r="E737" s="4"/>
    </row>
    <row r="738" spans="5:5" ht="33" customHeight="1">
      <c r="E738" s="4"/>
    </row>
    <row r="739" spans="5:5" ht="33" customHeight="1">
      <c r="E739" s="4"/>
    </row>
    <row r="740" spans="5:5" ht="33" customHeight="1">
      <c r="E740" s="4"/>
    </row>
    <row r="741" spans="5:5" ht="33" customHeight="1">
      <c r="E741" s="4"/>
    </row>
    <row r="742" spans="5:5" ht="33" customHeight="1">
      <c r="E742" s="4"/>
    </row>
    <row r="743" spans="5:5" ht="33" customHeight="1">
      <c r="E743" s="4"/>
    </row>
    <row r="744" spans="5:5" ht="33" customHeight="1">
      <c r="E744" s="4"/>
    </row>
    <row r="745" spans="5:5" ht="33" customHeight="1">
      <c r="E745" s="4"/>
    </row>
    <row r="746" spans="5:5" ht="33" customHeight="1">
      <c r="E746" s="4"/>
    </row>
    <row r="747" spans="5:5" ht="33" customHeight="1">
      <c r="E747" s="4"/>
    </row>
    <row r="748" spans="5:5" ht="33" customHeight="1">
      <c r="E748" s="4"/>
    </row>
    <row r="749" spans="5:5" ht="33" customHeight="1">
      <c r="E749" s="4"/>
    </row>
    <row r="750" spans="5:5" ht="33" customHeight="1">
      <c r="E750" s="4"/>
    </row>
    <row r="751" spans="5:5" ht="33" customHeight="1">
      <c r="E751" s="4"/>
    </row>
    <row r="752" spans="5:5" ht="33" customHeight="1">
      <c r="E752" s="4"/>
    </row>
    <row r="753" spans="5:5" ht="33" customHeight="1">
      <c r="E753" s="4"/>
    </row>
    <row r="754" spans="5:5" ht="33" customHeight="1">
      <c r="E754" s="4"/>
    </row>
    <row r="755" spans="5:5" ht="33" customHeight="1">
      <c r="E755" s="4"/>
    </row>
    <row r="756" spans="5:5" ht="33" customHeight="1">
      <c r="E756" s="4"/>
    </row>
    <row r="757" spans="5:5" ht="33" customHeight="1">
      <c r="E757" s="4"/>
    </row>
    <row r="758" spans="5:5" ht="33" customHeight="1">
      <c r="E758" s="4"/>
    </row>
    <row r="759" spans="5:5" ht="33" customHeight="1">
      <c r="E759" s="4"/>
    </row>
    <row r="760" spans="5:5" ht="33" customHeight="1">
      <c r="E760" s="4"/>
    </row>
    <row r="761" spans="5:5" ht="33" customHeight="1">
      <c r="E761" s="4"/>
    </row>
    <row r="762" spans="5:5" ht="33" customHeight="1">
      <c r="E762" s="4"/>
    </row>
    <row r="763" spans="5:5" ht="33" customHeight="1">
      <c r="E763" s="4"/>
    </row>
    <row r="764" spans="5:5" ht="33" customHeight="1">
      <c r="E764" s="4"/>
    </row>
    <row r="765" spans="5:5" ht="33" customHeight="1">
      <c r="E765" s="4"/>
    </row>
    <row r="766" spans="5:5" ht="33" customHeight="1">
      <c r="E766" s="4"/>
    </row>
    <row r="767" spans="5:5" ht="33" customHeight="1">
      <c r="E767" s="4"/>
    </row>
    <row r="768" spans="5:5" ht="33" customHeight="1">
      <c r="E768" s="4"/>
    </row>
    <row r="769" spans="5:5" ht="33" customHeight="1">
      <c r="E769" s="4"/>
    </row>
    <row r="770" spans="5:5" ht="33" customHeight="1">
      <c r="E770" s="4"/>
    </row>
    <row r="771" spans="5:5" ht="33" customHeight="1">
      <c r="E771" s="4"/>
    </row>
    <row r="772" spans="5:5" ht="33" customHeight="1">
      <c r="E772" s="4"/>
    </row>
    <row r="773" spans="5:5" ht="33" customHeight="1">
      <c r="E773" s="4"/>
    </row>
    <row r="774" spans="5:5" ht="33" customHeight="1">
      <c r="E774" s="4"/>
    </row>
    <row r="775" spans="5:5" ht="33" customHeight="1">
      <c r="E775" s="4"/>
    </row>
    <row r="776" spans="5:5" ht="33" customHeight="1">
      <c r="E776" s="4"/>
    </row>
    <row r="777" spans="5:5" ht="33" customHeight="1">
      <c r="E777" s="4"/>
    </row>
    <row r="778" spans="5:5" ht="33" customHeight="1">
      <c r="E778" s="4"/>
    </row>
    <row r="779" spans="5:5" ht="33" customHeight="1">
      <c r="E779" s="4"/>
    </row>
    <row r="780" spans="5:5" ht="33" customHeight="1">
      <c r="E780" s="4"/>
    </row>
    <row r="781" spans="5:5" ht="33" customHeight="1">
      <c r="E781" s="4"/>
    </row>
    <row r="782" spans="5:5" ht="33" customHeight="1">
      <c r="E782" s="4"/>
    </row>
    <row r="783" spans="5:5" ht="33" customHeight="1">
      <c r="E783" s="4"/>
    </row>
    <row r="784" spans="5:5" ht="33" customHeight="1">
      <c r="E784" s="4"/>
    </row>
    <row r="785" spans="5:5" ht="33" customHeight="1">
      <c r="E785" s="4"/>
    </row>
    <row r="786" spans="5:5" ht="33" customHeight="1">
      <c r="E786" s="4"/>
    </row>
    <row r="787" spans="5:5" ht="33" customHeight="1">
      <c r="E787" s="4"/>
    </row>
    <row r="788" spans="5:5" ht="33" customHeight="1">
      <c r="E788" s="4"/>
    </row>
    <row r="789" spans="5:5" ht="33" customHeight="1">
      <c r="E789" s="4"/>
    </row>
    <row r="790" spans="5:5" ht="33" customHeight="1">
      <c r="E790" s="4"/>
    </row>
    <row r="791" spans="5:5" ht="33" customHeight="1">
      <c r="E791" s="4"/>
    </row>
    <row r="792" spans="5:5" ht="33" customHeight="1">
      <c r="E792" s="4"/>
    </row>
    <row r="793" spans="5:5" ht="33" customHeight="1">
      <c r="E793" s="4"/>
    </row>
    <row r="794" spans="5:5" ht="33" customHeight="1">
      <c r="E794" s="4"/>
    </row>
    <row r="795" spans="5:5" ht="33" customHeight="1">
      <c r="E795" s="4"/>
    </row>
    <row r="796" spans="5:5" ht="33" customHeight="1">
      <c r="E796" s="4"/>
    </row>
    <row r="797" spans="5:5" ht="33" customHeight="1">
      <c r="E797" s="4"/>
    </row>
    <row r="798" spans="5:5" ht="33" customHeight="1">
      <c r="E798" s="4"/>
    </row>
    <row r="799" spans="5:5" ht="33" customHeight="1">
      <c r="E799" s="4"/>
    </row>
    <row r="800" spans="5:5" ht="33" customHeight="1">
      <c r="E800" s="4"/>
    </row>
    <row r="801" spans="5:5" ht="33" customHeight="1">
      <c r="E801" s="4"/>
    </row>
    <row r="802" spans="5:5" ht="33" customHeight="1">
      <c r="E802" s="4"/>
    </row>
    <row r="803" spans="5:5" ht="33" customHeight="1">
      <c r="E803" s="4"/>
    </row>
    <row r="804" spans="5:5" ht="33" customHeight="1">
      <c r="E804" s="4"/>
    </row>
    <row r="805" spans="5:5" ht="33" customHeight="1">
      <c r="E805" s="4"/>
    </row>
    <row r="806" spans="5:5" ht="33" customHeight="1">
      <c r="E806" s="4"/>
    </row>
    <row r="807" spans="5:5" ht="33" customHeight="1">
      <c r="E807" s="4"/>
    </row>
    <row r="808" spans="5:5" ht="33" customHeight="1">
      <c r="E808" s="4"/>
    </row>
    <row r="809" spans="5:5" ht="33" customHeight="1">
      <c r="E809" s="4"/>
    </row>
    <row r="810" spans="5:5" ht="33" customHeight="1">
      <c r="E810" s="4"/>
    </row>
    <row r="811" spans="5:5" ht="33" customHeight="1">
      <c r="E811" s="4"/>
    </row>
    <row r="812" spans="5:5" ht="33" customHeight="1">
      <c r="E812" s="4"/>
    </row>
    <row r="813" spans="5:5" ht="33" customHeight="1">
      <c r="E813" s="4"/>
    </row>
    <row r="814" spans="5:5" ht="33" customHeight="1">
      <c r="E814" s="4"/>
    </row>
    <row r="815" spans="5:5" ht="33" customHeight="1">
      <c r="E815" s="4"/>
    </row>
    <row r="816" spans="5:5" ht="33" customHeight="1">
      <c r="E816" s="4"/>
    </row>
    <row r="817" spans="5:5" ht="33" customHeight="1">
      <c r="E817" s="4"/>
    </row>
    <row r="818" spans="5:5" ht="33" customHeight="1">
      <c r="E818" s="4"/>
    </row>
    <row r="819" spans="5:5" ht="33" customHeight="1">
      <c r="E819" s="4"/>
    </row>
    <row r="820" spans="5:5" ht="33" customHeight="1">
      <c r="E820" s="4"/>
    </row>
    <row r="821" spans="5:5" ht="33" customHeight="1">
      <c r="E821" s="4"/>
    </row>
    <row r="822" spans="5:5" ht="33" customHeight="1">
      <c r="E822" s="4"/>
    </row>
    <row r="823" spans="5:5" ht="33" customHeight="1">
      <c r="E823" s="4"/>
    </row>
    <row r="824" spans="5:5" ht="33" customHeight="1">
      <c r="E824" s="4"/>
    </row>
    <row r="825" spans="5:5" ht="33" customHeight="1">
      <c r="E825" s="4"/>
    </row>
    <row r="826" spans="5:5" ht="33" customHeight="1">
      <c r="E826" s="4"/>
    </row>
    <row r="827" spans="5:5" ht="33" customHeight="1">
      <c r="E827" s="4"/>
    </row>
    <row r="828" spans="5:5" ht="33" customHeight="1">
      <c r="E828" s="4"/>
    </row>
    <row r="829" spans="5:5" ht="33" customHeight="1">
      <c r="E829" s="4"/>
    </row>
    <row r="830" spans="5:5" ht="33" customHeight="1">
      <c r="E830" s="4"/>
    </row>
    <row r="831" spans="5:5" ht="33" customHeight="1">
      <c r="E831" s="4"/>
    </row>
    <row r="832" spans="5:5" ht="33" customHeight="1">
      <c r="E832" s="4"/>
    </row>
    <row r="833" spans="5:5" ht="33" customHeight="1">
      <c r="E833" s="4"/>
    </row>
    <row r="834" spans="5:5" ht="33" customHeight="1">
      <c r="E834" s="4"/>
    </row>
    <row r="835" spans="5:5" ht="33" customHeight="1">
      <c r="E835" s="4"/>
    </row>
    <row r="836" spans="5:5" ht="33" customHeight="1">
      <c r="E836" s="4"/>
    </row>
    <row r="837" spans="5:5" ht="33" customHeight="1">
      <c r="E837" s="4"/>
    </row>
    <row r="838" spans="5:5" ht="33" customHeight="1">
      <c r="E838" s="4"/>
    </row>
    <row r="839" spans="5:5" ht="33" customHeight="1">
      <c r="E839" s="4"/>
    </row>
    <row r="840" spans="5:5" ht="33" customHeight="1">
      <c r="E840" s="4"/>
    </row>
    <row r="841" spans="5:5" ht="33" customHeight="1">
      <c r="E841" s="4"/>
    </row>
    <row r="842" spans="5:5" ht="33" customHeight="1">
      <c r="E842" s="4"/>
    </row>
    <row r="843" spans="5:5" ht="33" customHeight="1">
      <c r="E843" s="4"/>
    </row>
    <row r="844" spans="5:5" ht="33" customHeight="1">
      <c r="E844" s="4"/>
    </row>
    <row r="845" spans="5:5" ht="33" customHeight="1">
      <c r="E845" s="4"/>
    </row>
    <row r="846" spans="5:5" ht="33" customHeight="1">
      <c r="E846" s="4"/>
    </row>
    <row r="847" spans="5:5" ht="33" customHeight="1">
      <c r="E847" s="4"/>
    </row>
    <row r="848" spans="5:5" ht="33" customHeight="1">
      <c r="E848" s="4"/>
    </row>
    <row r="849" spans="5:5" ht="33" customHeight="1">
      <c r="E849" s="4"/>
    </row>
    <row r="850" spans="5:5" ht="33" customHeight="1">
      <c r="E850" s="4"/>
    </row>
    <row r="851" spans="5:5" ht="33" customHeight="1">
      <c r="E851" s="4"/>
    </row>
    <row r="852" spans="5:5" ht="33" customHeight="1">
      <c r="E852" s="4"/>
    </row>
    <row r="853" spans="5:5" ht="33" customHeight="1">
      <c r="E853" s="4"/>
    </row>
    <row r="854" spans="5:5" ht="33" customHeight="1">
      <c r="E854" s="4"/>
    </row>
    <row r="855" spans="5:5" ht="33" customHeight="1">
      <c r="E855" s="4"/>
    </row>
    <row r="856" spans="5:5" ht="33" customHeight="1">
      <c r="E856" s="4"/>
    </row>
    <row r="857" spans="5:5" ht="33" customHeight="1">
      <c r="E857" s="4"/>
    </row>
    <row r="858" spans="5:5" ht="33" customHeight="1">
      <c r="E858" s="4"/>
    </row>
    <row r="859" spans="5:5" ht="33" customHeight="1">
      <c r="E859" s="4"/>
    </row>
    <row r="860" spans="5:5" ht="33" customHeight="1">
      <c r="E860" s="4"/>
    </row>
    <row r="861" spans="5:5" ht="33" customHeight="1">
      <c r="E861" s="4"/>
    </row>
    <row r="862" spans="5:5" ht="33" customHeight="1">
      <c r="E862" s="4"/>
    </row>
    <row r="863" spans="5:5" ht="33" customHeight="1">
      <c r="E863" s="4"/>
    </row>
    <row r="864" spans="5:5" ht="33" customHeight="1">
      <c r="E864" s="4"/>
    </row>
    <row r="865" spans="5:5" ht="33" customHeight="1">
      <c r="E865" s="4"/>
    </row>
    <row r="866" spans="5:5" ht="33" customHeight="1">
      <c r="E866" s="4"/>
    </row>
    <row r="867" spans="5:5" ht="33" customHeight="1">
      <c r="E867" s="4"/>
    </row>
    <row r="868" spans="5:5" ht="33" customHeight="1">
      <c r="E868" s="4"/>
    </row>
    <row r="869" spans="5:5" ht="33" customHeight="1">
      <c r="E869" s="4"/>
    </row>
    <row r="870" spans="5:5" ht="33" customHeight="1">
      <c r="E870" s="4"/>
    </row>
    <row r="871" spans="5:5" ht="33" customHeight="1">
      <c r="E871" s="4"/>
    </row>
    <row r="872" spans="5:5" ht="33" customHeight="1">
      <c r="E872" s="4"/>
    </row>
    <row r="873" spans="5:5" ht="33" customHeight="1">
      <c r="E873" s="4"/>
    </row>
    <row r="874" spans="5:5" ht="33" customHeight="1">
      <c r="E874" s="4"/>
    </row>
    <row r="875" spans="5:5" ht="33" customHeight="1">
      <c r="E875" s="4"/>
    </row>
    <row r="876" spans="5:5" ht="33" customHeight="1">
      <c r="E876" s="4"/>
    </row>
    <row r="877" spans="5:5" ht="33" customHeight="1">
      <c r="E877" s="4"/>
    </row>
    <row r="878" spans="5:5" ht="33" customHeight="1">
      <c r="E878" s="4"/>
    </row>
    <row r="879" spans="5:5" ht="33" customHeight="1">
      <c r="E879" s="4"/>
    </row>
    <row r="880" spans="5:5" ht="33" customHeight="1">
      <c r="E880" s="4"/>
    </row>
    <row r="881" spans="5:5" ht="33" customHeight="1">
      <c r="E881" s="4"/>
    </row>
    <row r="882" spans="5:5" ht="33" customHeight="1">
      <c r="E882" s="4"/>
    </row>
    <row r="883" spans="5:5" ht="33" customHeight="1">
      <c r="E883" s="4"/>
    </row>
    <row r="884" spans="5:5" ht="33" customHeight="1">
      <c r="E884" s="4"/>
    </row>
    <row r="885" spans="5:5" ht="33" customHeight="1">
      <c r="E885" s="4"/>
    </row>
    <row r="886" spans="5:5" ht="33" customHeight="1">
      <c r="E886" s="4"/>
    </row>
    <row r="887" spans="5:5" ht="33" customHeight="1">
      <c r="E887" s="4"/>
    </row>
    <row r="888" spans="5:5" ht="33" customHeight="1">
      <c r="E888" s="4"/>
    </row>
    <row r="889" spans="5:5" ht="33" customHeight="1">
      <c r="E889" s="4"/>
    </row>
    <row r="890" spans="5:5" ht="33" customHeight="1">
      <c r="E890" s="4"/>
    </row>
    <row r="891" spans="5:5" ht="33" customHeight="1">
      <c r="E891" s="4"/>
    </row>
    <row r="892" spans="5:5" ht="33" customHeight="1">
      <c r="E892" s="4"/>
    </row>
    <row r="893" spans="5:5" ht="33" customHeight="1">
      <c r="E893" s="4"/>
    </row>
    <row r="894" spans="5:5" ht="33" customHeight="1">
      <c r="E894" s="4"/>
    </row>
    <row r="895" spans="5:5" ht="33" customHeight="1">
      <c r="E895" s="4"/>
    </row>
    <row r="896" spans="5:5" ht="33" customHeight="1">
      <c r="E896" s="4"/>
    </row>
    <row r="897" spans="5:5" ht="33" customHeight="1">
      <c r="E897" s="4"/>
    </row>
    <row r="898" spans="5:5" ht="33" customHeight="1">
      <c r="E898" s="4"/>
    </row>
    <row r="899" spans="5:5" ht="33" customHeight="1">
      <c r="E899" s="4"/>
    </row>
    <row r="900" spans="5:5" ht="33" customHeight="1">
      <c r="E900" s="4"/>
    </row>
    <row r="901" spans="5:5" ht="33" customHeight="1">
      <c r="E901" s="4"/>
    </row>
    <row r="902" spans="5:5" ht="33" customHeight="1">
      <c r="E902" s="4"/>
    </row>
    <row r="903" spans="5:5" ht="33" customHeight="1">
      <c r="E903" s="4"/>
    </row>
    <row r="904" spans="5:5" ht="33" customHeight="1">
      <c r="E904" s="4"/>
    </row>
    <row r="905" spans="5:5" ht="33" customHeight="1">
      <c r="E905" s="4"/>
    </row>
    <row r="906" spans="5:5" ht="33" customHeight="1">
      <c r="E906" s="4"/>
    </row>
    <row r="907" spans="5:5" ht="33" customHeight="1">
      <c r="E907" s="4"/>
    </row>
    <row r="908" spans="5:5" ht="33" customHeight="1">
      <c r="E908" s="4"/>
    </row>
    <row r="909" spans="5:5" ht="33" customHeight="1">
      <c r="E909" s="4"/>
    </row>
    <row r="910" spans="5:5" ht="33" customHeight="1">
      <c r="E910" s="4"/>
    </row>
    <row r="911" spans="5:5" ht="33" customHeight="1">
      <c r="E911" s="4"/>
    </row>
    <row r="912" spans="5:5" ht="33" customHeight="1">
      <c r="E912" s="4"/>
    </row>
    <row r="913" spans="5:5" ht="33" customHeight="1">
      <c r="E913" s="4"/>
    </row>
    <row r="914" spans="5:5" ht="33" customHeight="1">
      <c r="E914" s="4"/>
    </row>
    <row r="915" spans="5:5" ht="33" customHeight="1">
      <c r="E915" s="4"/>
    </row>
    <row r="916" spans="5:5" ht="33" customHeight="1">
      <c r="E916" s="4"/>
    </row>
    <row r="917" spans="5:5" ht="33" customHeight="1">
      <c r="E917" s="4"/>
    </row>
    <row r="918" spans="5:5" ht="33" customHeight="1">
      <c r="E918" s="4"/>
    </row>
    <row r="919" spans="5:5" ht="33" customHeight="1">
      <c r="E919" s="4"/>
    </row>
    <row r="920" spans="5:5" ht="33" customHeight="1">
      <c r="E920" s="4"/>
    </row>
    <row r="921" spans="5:5" ht="33" customHeight="1">
      <c r="E921" s="4"/>
    </row>
    <row r="922" spans="5:5" ht="33" customHeight="1">
      <c r="E922" s="4"/>
    </row>
    <row r="923" spans="5:5" ht="33" customHeight="1">
      <c r="E923" s="4"/>
    </row>
    <row r="924" spans="5:5" ht="33" customHeight="1">
      <c r="E924" s="4"/>
    </row>
    <row r="925" spans="5:5" ht="33" customHeight="1">
      <c r="E925" s="4"/>
    </row>
    <row r="926" spans="5:5" ht="33" customHeight="1">
      <c r="E926" s="4"/>
    </row>
    <row r="927" spans="5:5" ht="33" customHeight="1">
      <c r="E927" s="4"/>
    </row>
    <row r="928" spans="5:5" ht="33" customHeight="1">
      <c r="E928" s="4"/>
    </row>
    <row r="929" spans="5:5" ht="33" customHeight="1">
      <c r="E929" s="4"/>
    </row>
    <row r="930" spans="5:5" ht="33" customHeight="1">
      <c r="E930" s="4"/>
    </row>
    <row r="931" spans="5:5" ht="33" customHeight="1">
      <c r="E931" s="4"/>
    </row>
    <row r="932" spans="5:5" ht="33" customHeight="1">
      <c r="E932" s="4"/>
    </row>
    <row r="933" spans="5:5" ht="33" customHeight="1">
      <c r="E933" s="4"/>
    </row>
    <row r="934" spans="5:5" ht="33" customHeight="1">
      <c r="E934" s="4"/>
    </row>
    <row r="935" spans="5:5" ht="33" customHeight="1">
      <c r="E935" s="4"/>
    </row>
    <row r="936" spans="5:5" ht="33" customHeight="1">
      <c r="E936" s="4"/>
    </row>
    <row r="937" spans="5:5" ht="33" customHeight="1">
      <c r="E937" s="4"/>
    </row>
    <row r="938" spans="5:5" ht="33" customHeight="1">
      <c r="E938" s="4"/>
    </row>
    <row r="939" spans="5:5" ht="33" customHeight="1">
      <c r="E939" s="4"/>
    </row>
    <row r="940" spans="5:5" ht="33" customHeight="1">
      <c r="E940" s="4"/>
    </row>
    <row r="941" spans="5:5" ht="33" customHeight="1">
      <c r="E941" s="4"/>
    </row>
    <row r="942" spans="5:5" ht="33" customHeight="1">
      <c r="E942" s="4"/>
    </row>
    <row r="943" spans="5:5" ht="33" customHeight="1">
      <c r="E943" s="4"/>
    </row>
    <row r="944" spans="5:5" ht="33" customHeight="1">
      <c r="E944" s="4"/>
    </row>
    <row r="945" spans="5:5" ht="33" customHeight="1">
      <c r="E945" s="4"/>
    </row>
    <row r="946" spans="5:5" ht="33" customHeight="1">
      <c r="E946" s="4"/>
    </row>
    <row r="947" spans="5:5" ht="33" customHeight="1">
      <c r="E947" s="4"/>
    </row>
    <row r="948" spans="5:5" ht="33" customHeight="1">
      <c r="E948" s="4"/>
    </row>
    <row r="949" spans="5:5" ht="33" customHeight="1">
      <c r="E949" s="4"/>
    </row>
    <row r="950" spans="5:5" ht="33" customHeight="1">
      <c r="E950" s="4"/>
    </row>
    <row r="951" spans="5:5" ht="33" customHeight="1">
      <c r="E951" s="4"/>
    </row>
    <row r="952" spans="5:5" ht="33" customHeight="1">
      <c r="E952" s="4"/>
    </row>
    <row r="953" spans="5:5" ht="33" customHeight="1">
      <c r="E953" s="4"/>
    </row>
    <row r="954" spans="5:5" ht="33" customHeight="1">
      <c r="E954" s="4"/>
    </row>
    <row r="955" spans="5:5" ht="33" customHeight="1">
      <c r="E955" s="4"/>
    </row>
    <row r="956" spans="5:5" ht="33" customHeight="1">
      <c r="E956" s="4"/>
    </row>
    <row r="957" spans="5:5" ht="33" customHeight="1">
      <c r="E957" s="4"/>
    </row>
    <row r="958" spans="5:5" ht="33" customHeight="1">
      <c r="E958" s="4"/>
    </row>
    <row r="959" spans="5:5" ht="33" customHeight="1">
      <c r="E959" s="4"/>
    </row>
    <row r="960" spans="5:5" ht="33" customHeight="1">
      <c r="E960" s="4"/>
    </row>
    <row r="961" spans="5:5" ht="33" customHeight="1">
      <c r="E961" s="4"/>
    </row>
    <row r="962" spans="5:5" ht="33" customHeight="1">
      <c r="E962" s="4"/>
    </row>
    <row r="963" spans="5:5" ht="33" customHeight="1">
      <c r="E963" s="4"/>
    </row>
    <row r="964" spans="5:5" ht="33" customHeight="1">
      <c r="E964" s="4"/>
    </row>
    <row r="965" spans="5:5" ht="33" customHeight="1">
      <c r="E965" s="4"/>
    </row>
    <row r="966" spans="5:5" ht="33" customHeight="1">
      <c r="E966" s="4"/>
    </row>
    <row r="967" spans="5:5" ht="33" customHeight="1">
      <c r="E967" s="4"/>
    </row>
    <row r="968" spans="5:5" ht="33" customHeight="1">
      <c r="E968" s="4"/>
    </row>
    <row r="969" spans="5:5" ht="33" customHeight="1">
      <c r="E969" s="4"/>
    </row>
    <row r="970" spans="5:5" ht="33" customHeight="1">
      <c r="E970" s="4"/>
    </row>
    <row r="971" spans="5:5" ht="33" customHeight="1">
      <c r="E971" s="4"/>
    </row>
    <row r="972" spans="5:5" ht="33" customHeight="1">
      <c r="E972" s="4"/>
    </row>
    <row r="973" spans="5:5" ht="33" customHeight="1">
      <c r="E973" s="4"/>
    </row>
    <row r="974" spans="5:5" ht="33" customHeight="1">
      <c r="E974" s="4"/>
    </row>
    <row r="975" spans="5:5" ht="33" customHeight="1">
      <c r="E975" s="4"/>
    </row>
    <row r="976" spans="5:5" ht="33" customHeight="1">
      <c r="E976" s="4"/>
    </row>
    <row r="977" spans="5:5" ht="33" customHeight="1">
      <c r="E977" s="4"/>
    </row>
    <row r="978" spans="5:5" ht="33" customHeight="1">
      <c r="E978" s="4"/>
    </row>
    <row r="979" spans="5:5" ht="33" customHeight="1">
      <c r="E979" s="4"/>
    </row>
    <row r="980" spans="5:5" ht="33" customHeight="1">
      <c r="E980" s="4"/>
    </row>
    <row r="981" spans="5:5" ht="33" customHeight="1">
      <c r="E981" s="4"/>
    </row>
    <row r="982" spans="5:5" ht="33" customHeight="1">
      <c r="E982" s="4"/>
    </row>
    <row r="983" spans="5:5" ht="33" customHeight="1">
      <c r="E983" s="4"/>
    </row>
    <row r="984" spans="5:5" ht="33" customHeight="1">
      <c r="E984" s="4"/>
    </row>
    <row r="985" spans="5:5" ht="33" customHeight="1">
      <c r="E985" s="4"/>
    </row>
    <row r="986" spans="5:5" ht="33" customHeight="1">
      <c r="E986" s="4"/>
    </row>
    <row r="987" spans="5:5" ht="33" customHeight="1">
      <c r="E987" s="4"/>
    </row>
    <row r="988" spans="5:5" ht="33" customHeight="1">
      <c r="E988" s="4"/>
    </row>
    <row r="989" spans="5:5" ht="33" customHeight="1">
      <c r="E989" s="4"/>
    </row>
    <row r="990" spans="5:5" ht="33" customHeight="1">
      <c r="E990" s="4"/>
    </row>
    <row r="991" spans="5:5" ht="33" customHeight="1">
      <c r="E991" s="4"/>
    </row>
    <row r="992" spans="5:5" ht="33" customHeight="1">
      <c r="E992" s="4"/>
    </row>
    <row r="993" spans="5:5" ht="33" customHeight="1">
      <c r="E993" s="4"/>
    </row>
    <row r="994" spans="5:5" ht="33" customHeight="1">
      <c r="E994" s="4"/>
    </row>
    <row r="995" spans="5:5" ht="33" customHeight="1">
      <c r="E995" s="4"/>
    </row>
    <row r="996" spans="5:5" ht="33" customHeight="1">
      <c r="E996" s="4"/>
    </row>
    <row r="997" spans="5:5" ht="33" customHeight="1">
      <c r="E997" s="4"/>
    </row>
    <row r="998" spans="5:5" ht="33" customHeight="1">
      <c r="E998" s="4"/>
    </row>
    <row r="999" spans="5:5" ht="33" customHeight="1">
      <c r="E999" s="4"/>
    </row>
    <row r="1000" spans="5:5" ht="33" customHeight="1">
      <c r="E1000" s="4"/>
    </row>
    <row r="1001" spans="5:5" ht="33" customHeight="1">
      <c r="E1001" s="4"/>
    </row>
    <row r="1002" spans="5:5" ht="33" customHeight="1">
      <c r="E1002" s="4"/>
    </row>
    <row r="1003" spans="5:5" ht="33" customHeight="1">
      <c r="E1003" s="4"/>
    </row>
    <row r="1004" spans="5:5" ht="33" customHeight="1">
      <c r="E1004" s="4"/>
    </row>
    <row r="1005" spans="5:5" ht="33" customHeight="1">
      <c r="E1005" s="4"/>
    </row>
    <row r="1006" spans="5:5" ht="33" customHeight="1">
      <c r="E1006" s="4"/>
    </row>
    <row r="1007" spans="5:5" ht="33" customHeight="1">
      <c r="E1007" s="4"/>
    </row>
    <row r="1008" spans="5:5" ht="33" customHeight="1">
      <c r="E1008" s="4"/>
    </row>
    <row r="1009" spans="5:5" ht="33" customHeight="1">
      <c r="E1009" s="4"/>
    </row>
    <row r="1010" spans="5:5" ht="33" customHeight="1">
      <c r="E1010" s="4"/>
    </row>
    <row r="1011" spans="5:5" ht="33" customHeight="1">
      <c r="E1011" s="4"/>
    </row>
    <row r="1012" spans="5:5" ht="33" customHeight="1">
      <c r="E1012" s="4"/>
    </row>
    <row r="1013" spans="5:5" ht="33" customHeight="1">
      <c r="E1013" s="4"/>
    </row>
    <row r="1014" spans="5:5" ht="33" customHeight="1">
      <c r="E1014" s="4"/>
    </row>
    <row r="1015" spans="5:5" ht="33" customHeight="1">
      <c r="E1015" s="4"/>
    </row>
    <row r="1016" spans="5:5" ht="33" customHeight="1">
      <c r="E1016" s="4"/>
    </row>
    <row r="1017" spans="5:5" ht="33" customHeight="1">
      <c r="E1017" s="4"/>
    </row>
    <row r="1018" spans="5:5" ht="33" customHeight="1">
      <c r="E1018" s="4"/>
    </row>
    <row r="1019" spans="5:5" ht="33" customHeight="1">
      <c r="E1019" s="4"/>
    </row>
    <row r="1020" spans="5:5" ht="33" customHeight="1">
      <c r="E1020" s="4"/>
    </row>
    <row r="1021" spans="5:5" ht="33" customHeight="1">
      <c r="E1021" s="4"/>
    </row>
    <row r="1022" spans="5:5" ht="33" customHeight="1">
      <c r="E1022" s="4"/>
    </row>
    <row r="1023" spans="5:5" ht="33" customHeight="1">
      <c r="E1023" s="4"/>
    </row>
    <row r="1024" spans="5:5" ht="33" customHeight="1">
      <c r="E1024" s="4"/>
    </row>
    <row r="1025" spans="5:5" ht="33" customHeight="1">
      <c r="E1025" s="4"/>
    </row>
    <row r="1026" spans="5:5" ht="33" customHeight="1">
      <c r="E1026" s="4"/>
    </row>
    <row r="1027" spans="5:5" ht="33" customHeight="1">
      <c r="E1027" s="4"/>
    </row>
    <row r="1028" spans="5:5" ht="33" customHeight="1">
      <c r="E1028" s="4"/>
    </row>
    <row r="1029" spans="5:5" ht="33" customHeight="1">
      <c r="E1029" s="4"/>
    </row>
    <row r="1030" spans="5:5" ht="33" customHeight="1">
      <c r="E1030" s="4"/>
    </row>
    <row r="1031" spans="5:5" ht="33" customHeight="1">
      <c r="E1031" s="4"/>
    </row>
    <row r="1032" spans="5:5" ht="33" customHeight="1">
      <c r="E1032" s="4"/>
    </row>
    <row r="1033" spans="5:5" ht="33" customHeight="1">
      <c r="E1033" s="4"/>
    </row>
    <row r="1034" spans="5:5" ht="33" customHeight="1">
      <c r="E1034" s="4"/>
    </row>
    <row r="1035" spans="5:5" ht="33" customHeight="1">
      <c r="E1035" s="4"/>
    </row>
    <row r="1036" spans="5:5" ht="33" customHeight="1">
      <c r="E1036" s="4"/>
    </row>
    <row r="1037" spans="5:5" ht="33" customHeight="1">
      <c r="E1037" s="4"/>
    </row>
    <row r="1038" spans="5:5" ht="33" customHeight="1">
      <c r="E1038" s="4"/>
    </row>
    <row r="1039" spans="5:5" ht="33" customHeight="1">
      <c r="E1039" s="4"/>
    </row>
    <row r="1040" spans="5:5" ht="33" customHeight="1">
      <c r="E1040" s="4"/>
    </row>
    <row r="1041" spans="5:5" ht="33" customHeight="1">
      <c r="E1041" s="4"/>
    </row>
    <row r="1042" spans="5:5" ht="33" customHeight="1">
      <c r="E1042" s="4"/>
    </row>
    <row r="1043" spans="5:5" ht="33" customHeight="1">
      <c r="E1043" s="4"/>
    </row>
    <row r="1044" spans="5:5" ht="33" customHeight="1">
      <c r="E1044" s="4"/>
    </row>
    <row r="1045" spans="5:5" ht="33" customHeight="1">
      <c r="E1045" s="4"/>
    </row>
    <row r="1046" spans="5:5" ht="33" customHeight="1">
      <c r="E1046" s="4"/>
    </row>
    <row r="1047" spans="5:5" ht="33" customHeight="1">
      <c r="E1047" s="4"/>
    </row>
    <row r="1048" spans="5:5" ht="33" customHeight="1">
      <c r="E1048" s="4"/>
    </row>
    <row r="1049" spans="5:5" ht="33" customHeight="1">
      <c r="E1049" s="4"/>
    </row>
  </sheetData>
  <autoFilter ref="E4:Y103" xr:uid="{00000000-0009-0000-0000-000001000000}"/>
  <mergeCells count="12">
    <mergeCell ref="AD3:AI4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1"/>
  <sheetViews>
    <sheetView topLeftCell="A12" zoomScale="85" zoomScaleNormal="85" workbookViewId="0">
      <selection activeCell="I11" sqref="I11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1.5" bestFit="1" customWidth="1"/>
    <col min="12" max="12" width="11.875" customWidth="1"/>
    <col min="13" max="13" width="11.875" bestFit="1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60" t="s">
        <v>6</v>
      </c>
      <c r="B1" s="61" t="s">
        <v>7</v>
      </c>
      <c r="C1" s="61" t="s">
        <v>8</v>
      </c>
      <c r="D1" s="61" t="s">
        <v>9</v>
      </c>
      <c r="E1" s="61" t="s">
        <v>10</v>
      </c>
      <c r="F1" s="61" t="s">
        <v>5</v>
      </c>
      <c r="G1" s="61" t="s">
        <v>11</v>
      </c>
      <c r="H1" s="61" t="s">
        <v>12</v>
      </c>
      <c r="I1" s="61" t="s">
        <v>13</v>
      </c>
      <c r="J1" s="61" t="s">
        <v>14</v>
      </c>
      <c r="K1" s="61" t="s">
        <v>15</v>
      </c>
      <c r="L1" s="61" t="s">
        <v>16</v>
      </c>
      <c r="M1" s="61" t="s">
        <v>17</v>
      </c>
      <c r="N1" s="61" t="s">
        <v>18</v>
      </c>
      <c r="O1" s="61" t="s">
        <v>19</v>
      </c>
      <c r="P1" s="61" t="s">
        <v>20</v>
      </c>
      <c r="Q1" s="61" t="s">
        <v>21</v>
      </c>
      <c r="R1" s="61" t="s">
        <v>22</v>
      </c>
    </row>
    <row r="2" spans="1:18">
      <c r="B2">
        <v>999999</v>
      </c>
      <c r="C2" t="s">
        <v>110</v>
      </c>
      <c r="D2" t="s">
        <v>112</v>
      </c>
      <c r="E2" t="s">
        <v>107</v>
      </c>
      <c r="F2">
        <v>20</v>
      </c>
      <c r="G2" s="73"/>
      <c r="H2" s="64">
        <v>0</v>
      </c>
      <c r="I2" s="64"/>
      <c r="J2" s="64">
        <v>0</v>
      </c>
      <c r="K2" s="64">
        <v>340000</v>
      </c>
      <c r="L2" s="64">
        <f>K2*F2</f>
        <v>6800000</v>
      </c>
      <c r="M2" s="64"/>
      <c r="N2" s="64">
        <f t="shared" ref="N2:N16" si="0">M2*F2</f>
        <v>0</v>
      </c>
    </row>
    <row r="3" spans="1:18">
      <c r="B3">
        <v>999999</v>
      </c>
      <c r="C3" t="s">
        <v>140</v>
      </c>
      <c r="D3" t="s">
        <v>141</v>
      </c>
      <c r="E3" t="s">
        <v>142</v>
      </c>
      <c r="F3">
        <v>8</v>
      </c>
      <c r="G3">
        <v>19461</v>
      </c>
      <c r="H3" s="64">
        <v>127664.15999999999</v>
      </c>
      <c r="I3" s="64">
        <v>49479</v>
      </c>
      <c r="J3" s="64">
        <v>284999.03999999998</v>
      </c>
      <c r="K3" s="64">
        <v>15235</v>
      </c>
      <c r="L3" s="64">
        <v>121880</v>
      </c>
      <c r="N3" s="64">
        <f t="shared" si="0"/>
        <v>0</v>
      </c>
    </row>
    <row r="4" spans="1:18">
      <c r="H4" s="64">
        <f t="shared" ref="H4:H16" si="1">G4*F4</f>
        <v>0</v>
      </c>
      <c r="I4" s="64"/>
      <c r="J4" s="64">
        <f t="shared" ref="J4:J16" si="2">I4*F4</f>
        <v>0</v>
      </c>
      <c r="K4" s="64"/>
      <c r="L4" s="64">
        <f t="shared" ref="L4:L16" si="3">K4*F4</f>
        <v>0</v>
      </c>
      <c r="N4" s="64">
        <f t="shared" si="0"/>
        <v>0</v>
      </c>
    </row>
    <row r="5" spans="1:18">
      <c r="H5" s="64">
        <f t="shared" si="1"/>
        <v>0</v>
      </c>
      <c r="I5" s="64"/>
      <c r="J5" s="64">
        <f t="shared" si="2"/>
        <v>0</v>
      </c>
      <c r="K5" s="64"/>
      <c r="L5" s="64">
        <f t="shared" si="3"/>
        <v>0</v>
      </c>
      <c r="N5" s="64">
        <f t="shared" si="0"/>
        <v>0</v>
      </c>
    </row>
    <row r="6" spans="1:18">
      <c r="H6" s="64">
        <f t="shared" si="1"/>
        <v>0</v>
      </c>
      <c r="I6" s="64"/>
      <c r="J6" s="64">
        <f t="shared" si="2"/>
        <v>0</v>
      </c>
      <c r="K6" s="64"/>
      <c r="L6" s="64">
        <f t="shared" si="3"/>
        <v>0</v>
      </c>
      <c r="N6" s="64">
        <f t="shared" si="0"/>
        <v>0</v>
      </c>
    </row>
    <row r="7" spans="1:18">
      <c r="H7" s="64">
        <f t="shared" si="1"/>
        <v>0</v>
      </c>
      <c r="I7" s="64"/>
      <c r="J7" s="64">
        <f t="shared" si="2"/>
        <v>0</v>
      </c>
      <c r="K7" s="64"/>
      <c r="L7" s="64">
        <f t="shared" si="3"/>
        <v>0</v>
      </c>
      <c r="N7" s="64">
        <f t="shared" si="0"/>
        <v>0</v>
      </c>
    </row>
    <row r="8" spans="1:18">
      <c r="G8" s="73"/>
      <c r="H8" s="64">
        <f t="shared" si="1"/>
        <v>0</v>
      </c>
      <c r="I8" s="64"/>
      <c r="J8" s="64">
        <f t="shared" si="2"/>
        <v>0</v>
      </c>
      <c r="K8" s="64"/>
      <c r="L8" s="64">
        <f t="shared" si="3"/>
        <v>0</v>
      </c>
      <c r="M8" s="64"/>
      <c r="N8" s="64">
        <f t="shared" si="0"/>
        <v>0</v>
      </c>
    </row>
    <row r="9" spans="1:18">
      <c r="H9" s="64">
        <f t="shared" si="1"/>
        <v>0</v>
      </c>
      <c r="I9" s="64"/>
      <c r="J9" s="64">
        <f t="shared" si="2"/>
        <v>0</v>
      </c>
      <c r="K9" s="64"/>
      <c r="L9" s="64">
        <f t="shared" si="3"/>
        <v>0</v>
      </c>
      <c r="N9" s="64">
        <f t="shared" si="0"/>
        <v>0</v>
      </c>
    </row>
    <row r="10" spans="1:18">
      <c r="H10" s="64">
        <f t="shared" si="1"/>
        <v>0</v>
      </c>
      <c r="I10" s="64"/>
      <c r="J10" s="64">
        <f t="shared" si="2"/>
        <v>0</v>
      </c>
      <c r="K10" s="64"/>
      <c r="L10" s="64">
        <f t="shared" si="3"/>
        <v>0</v>
      </c>
      <c r="N10" s="64">
        <f t="shared" si="0"/>
        <v>0</v>
      </c>
    </row>
    <row r="11" spans="1:18">
      <c r="H11" s="64">
        <f t="shared" si="1"/>
        <v>0</v>
      </c>
      <c r="I11" s="64"/>
      <c r="J11" s="64">
        <f t="shared" si="2"/>
        <v>0</v>
      </c>
      <c r="K11" s="64"/>
      <c r="L11" s="64">
        <f t="shared" si="3"/>
        <v>0</v>
      </c>
      <c r="N11" s="64">
        <f t="shared" si="0"/>
        <v>0</v>
      </c>
    </row>
    <row r="12" spans="1:18">
      <c r="H12" s="64">
        <f t="shared" si="1"/>
        <v>0</v>
      </c>
      <c r="I12" s="64"/>
      <c r="J12" s="64">
        <f t="shared" si="2"/>
        <v>0</v>
      </c>
      <c r="K12" s="64"/>
      <c r="L12" s="64">
        <f t="shared" si="3"/>
        <v>0</v>
      </c>
      <c r="N12" s="64">
        <f t="shared" si="0"/>
        <v>0</v>
      </c>
    </row>
    <row r="13" spans="1:18">
      <c r="H13" s="64">
        <f t="shared" si="1"/>
        <v>0</v>
      </c>
      <c r="I13" s="64"/>
      <c r="J13" s="64">
        <f t="shared" si="2"/>
        <v>0</v>
      </c>
      <c r="K13" s="64"/>
      <c r="L13" s="64">
        <f t="shared" si="3"/>
        <v>0</v>
      </c>
      <c r="N13" s="64">
        <f t="shared" si="0"/>
        <v>0</v>
      </c>
    </row>
    <row r="14" spans="1:18">
      <c r="H14" s="64">
        <f t="shared" si="1"/>
        <v>0</v>
      </c>
      <c r="I14" s="64"/>
      <c r="J14" s="64">
        <f t="shared" si="2"/>
        <v>0</v>
      </c>
      <c r="K14" s="64"/>
      <c r="L14" s="64">
        <f t="shared" si="3"/>
        <v>0</v>
      </c>
      <c r="N14" s="64">
        <f t="shared" si="0"/>
        <v>0</v>
      </c>
    </row>
    <row r="15" spans="1:18">
      <c r="H15" s="64">
        <f t="shared" si="1"/>
        <v>0</v>
      </c>
      <c r="I15" s="64"/>
      <c r="J15" s="64">
        <f t="shared" si="2"/>
        <v>0</v>
      </c>
      <c r="K15" s="64"/>
      <c r="L15" s="64">
        <f t="shared" si="3"/>
        <v>0</v>
      </c>
      <c r="N15" s="64">
        <f t="shared" si="0"/>
        <v>0</v>
      </c>
    </row>
    <row r="16" spans="1:18">
      <c r="H16" s="64">
        <f t="shared" si="1"/>
        <v>0</v>
      </c>
      <c r="I16" s="64"/>
      <c r="J16" s="64">
        <f t="shared" si="2"/>
        <v>0</v>
      </c>
      <c r="K16" s="64"/>
      <c r="L16" s="64">
        <f t="shared" si="3"/>
        <v>0</v>
      </c>
      <c r="N16" s="64">
        <f t="shared" si="0"/>
        <v>0</v>
      </c>
    </row>
    <row r="17" spans="1:14">
      <c r="M17" s="64"/>
      <c r="N17" s="64"/>
    </row>
    <row r="18" spans="1:14" ht="186.6" customHeight="1" thickBot="1">
      <c r="A18" s="333" t="s">
        <v>88</v>
      </c>
      <c r="B18" s="333"/>
      <c r="C18" s="333"/>
      <c r="D18" s="333"/>
      <c r="E18" s="333"/>
      <c r="F18" s="333"/>
      <c r="G18" s="333"/>
      <c r="H18" s="333"/>
      <c r="I18" s="333"/>
      <c r="J18" s="333"/>
      <c r="K18" s="333"/>
      <c r="L18" s="333"/>
      <c r="M18" s="333"/>
    </row>
    <row r="19" spans="1:14" ht="17.25" thickTop="1">
      <c r="B19" s="324"/>
      <c r="C19" s="325"/>
      <c r="D19" s="325"/>
      <c r="E19" s="326"/>
      <c r="F19" s="324"/>
      <c r="G19" s="325"/>
      <c r="H19" s="325"/>
      <c r="I19" s="325"/>
      <c r="J19" s="325"/>
      <c r="K19" s="325"/>
      <c r="L19" s="325"/>
      <c r="M19" s="325"/>
      <c r="N19" s="326"/>
    </row>
    <row r="20" spans="1:14">
      <c r="B20" s="327"/>
      <c r="C20" s="328"/>
      <c r="D20" s="328"/>
      <c r="E20" s="329"/>
      <c r="F20" s="327"/>
      <c r="G20" s="328"/>
      <c r="H20" s="328"/>
      <c r="I20" s="328"/>
      <c r="J20" s="328"/>
      <c r="K20" s="328"/>
      <c r="L20" s="328"/>
      <c r="M20" s="328"/>
      <c r="N20" s="329"/>
    </row>
    <row r="21" spans="1:14">
      <c r="B21" s="327"/>
      <c r="C21" s="328"/>
      <c r="D21" s="328"/>
      <c r="E21" s="329"/>
      <c r="F21" s="327"/>
      <c r="G21" s="328"/>
      <c r="H21" s="328"/>
      <c r="I21" s="328"/>
      <c r="J21" s="328"/>
      <c r="K21" s="328"/>
      <c r="L21" s="328"/>
      <c r="M21" s="328"/>
      <c r="N21" s="329"/>
    </row>
    <row r="22" spans="1:14">
      <c r="B22" s="327"/>
      <c r="C22" s="328"/>
      <c r="D22" s="328"/>
      <c r="E22" s="329"/>
      <c r="F22" s="327"/>
      <c r="G22" s="328"/>
      <c r="H22" s="328"/>
      <c r="I22" s="328"/>
      <c r="J22" s="328"/>
      <c r="K22" s="328"/>
      <c r="L22" s="328"/>
      <c r="M22" s="328"/>
      <c r="N22" s="329"/>
    </row>
    <row r="23" spans="1:14">
      <c r="B23" s="327"/>
      <c r="C23" s="328"/>
      <c r="D23" s="328"/>
      <c r="E23" s="329"/>
      <c r="F23" s="327"/>
      <c r="G23" s="328"/>
      <c r="H23" s="328"/>
      <c r="I23" s="328"/>
      <c r="J23" s="328"/>
      <c r="K23" s="328"/>
      <c r="L23" s="328"/>
      <c r="M23" s="328"/>
      <c r="N23" s="329"/>
    </row>
    <row r="24" spans="1:14">
      <c r="B24" s="327"/>
      <c r="C24" s="328"/>
      <c r="D24" s="328"/>
      <c r="E24" s="329"/>
      <c r="F24" s="327"/>
      <c r="G24" s="328"/>
      <c r="H24" s="328"/>
      <c r="I24" s="328"/>
      <c r="J24" s="328"/>
      <c r="K24" s="328"/>
      <c r="L24" s="328"/>
      <c r="M24" s="328"/>
      <c r="N24" s="329"/>
    </row>
    <row r="25" spans="1:14">
      <c r="B25" s="327"/>
      <c r="C25" s="328"/>
      <c r="D25" s="328"/>
      <c r="E25" s="329"/>
      <c r="F25" s="327"/>
      <c r="G25" s="328"/>
      <c r="H25" s="328"/>
      <c r="I25" s="328"/>
      <c r="J25" s="328"/>
      <c r="K25" s="328"/>
      <c r="L25" s="328"/>
      <c r="M25" s="328"/>
      <c r="N25" s="329"/>
    </row>
    <row r="26" spans="1:14">
      <c r="B26" s="327"/>
      <c r="C26" s="328"/>
      <c r="D26" s="328"/>
      <c r="E26" s="329"/>
      <c r="F26" s="327"/>
      <c r="G26" s="328"/>
      <c r="H26" s="328"/>
      <c r="I26" s="328"/>
      <c r="J26" s="328"/>
      <c r="K26" s="328"/>
      <c r="L26" s="328"/>
      <c r="M26" s="328"/>
      <c r="N26" s="329"/>
    </row>
    <row r="27" spans="1:14">
      <c r="B27" s="327"/>
      <c r="C27" s="328"/>
      <c r="D27" s="328"/>
      <c r="E27" s="329"/>
      <c r="F27" s="327"/>
      <c r="G27" s="328"/>
      <c r="H27" s="328"/>
      <c r="I27" s="328"/>
      <c r="J27" s="328"/>
      <c r="K27" s="328"/>
      <c r="L27" s="328"/>
      <c r="M27" s="328"/>
      <c r="N27" s="329"/>
    </row>
    <row r="28" spans="1:14">
      <c r="B28" s="327"/>
      <c r="C28" s="328"/>
      <c r="D28" s="328"/>
      <c r="E28" s="329"/>
      <c r="F28" s="327"/>
      <c r="G28" s="328"/>
      <c r="H28" s="328"/>
      <c r="I28" s="328"/>
      <c r="J28" s="328"/>
      <c r="K28" s="328"/>
      <c r="L28" s="328"/>
      <c r="M28" s="328"/>
      <c r="N28" s="329"/>
    </row>
    <row r="29" spans="1:14">
      <c r="B29" s="327"/>
      <c r="C29" s="328"/>
      <c r="D29" s="328"/>
      <c r="E29" s="329"/>
      <c r="F29" s="327"/>
      <c r="G29" s="328"/>
      <c r="H29" s="328"/>
      <c r="I29" s="328"/>
      <c r="J29" s="328"/>
      <c r="K29" s="328"/>
      <c r="L29" s="328"/>
      <c r="M29" s="328"/>
      <c r="N29" s="329"/>
    </row>
    <row r="30" spans="1:14">
      <c r="B30" s="327"/>
      <c r="C30" s="328"/>
      <c r="D30" s="328"/>
      <c r="E30" s="329"/>
      <c r="F30" s="327"/>
      <c r="G30" s="328"/>
      <c r="H30" s="328"/>
      <c r="I30" s="328"/>
      <c r="J30" s="328"/>
      <c r="K30" s="328"/>
      <c r="L30" s="328"/>
      <c r="M30" s="328"/>
      <c r="N30" s="329"/>
    </row>
    <row r="31" spans="1:14">
      <c r="B31" s="327"/>
      <c r="C31" s="328"/>
      <c r="D31" s="328"/>
      <c r="E31" s="329"/>
      <c r="F31" s="327"/>
      <c r="G31" s="328"/>
      <c r="H31" s="328"/>
      <c r="I31" s="328"/>
      <c r="J31" s="328"/>
      <c r="K31" s="328"/>
      <c r="L31" s="328"/>
      <c r="M31" s="328"/>
      <c r="N31" s="329"/>
    </row>
    <row r="32" spans="1:14">
      <c r="B32" s="327"/>
      <c r="C32" s="328"/>
      <c r="D32" s="328"/>
      <c r="E32" s="329"/>
      <c r="F32" s="327"/>
      <c r="G32" s="328"/>
      <c r="H32" s="328"/>
      <c r="I32" s="328"/>
      <c r="J32" s="328"/>
      <c r="K32" s="328"/>
      <c r="L32" s="328"/>
      <c r="M32" s="328"/>
      <c r="N32" s="329"/>
    </row>
    <row r="33" spans="2:14">
      <c r="B33" s="327"/>
      <c r="C33" s="328"/>
      <c r="D33" s="328"/>
      <c r="E33" s="329"/>
      <c r="F33" s="327"/>
      <c r="G33" s="328"/>
      <c r="H33" s="328"/>
      <c r="I33" s="328"/>
      <c r="J33" s="328"/>
      <c r="K33" s="328"/>
      <c r="L33" s="328"/>
      <c r="M33" s="328"/>
      <c r="N33" s="329"/>
    </row>
    <row r="34" spans="2:14">
      <c r="B34" s="327"/>
      <c r="C34" s="328"/>
      <c r="D34" s="328"/>
      <c r="E34" s="329"/>
      <c r="F34" s="327"/>
      <c r="G34" s="328"/>
      <c r="H34" s="328"/>
      <c r="I34" s="328"/>
      <c r="J34" s="328"/>
      <c r="K34" s="328"/>
      <c r="L34" s="328"/>
      <c r="M34" s="328"/>
      <c r="N34" s="329"/>
    </row>
    <row r="35" spans="2:14">
      <c r="B35" s="327"/>
      <c r="C35" s="328"/>
      <c r="D35" s="328"/>
      <c r="E35" s="329"/>
      <c r="F35" s="327"/>
      <c r="G35" s="328"/>
      <c r="H35" s="328"/>
      <c r="I35" s="328"/>
      <c r="J35" s="328"/>
      <c r="K35" s="328"/>
      <c r="L35" s="328"/>
      <c r="M35" s="328"/>
      <c r="N35" s="329"/>
    </row>
    <row r="36" spans="2:14">
      <c r="B36" s="327"/>
      <c r="C36" s="328"/>
      <c r="D36" s="328"/>
      <c r="E36" s="329"/>
      <c r="F36" s="327"/>
      <c r="G36" s="328"/>
      <c r="H36" s="328"/>
      <c r="I36" s="328"/>
      <c r="J36" s="328"/>
      <c r="K36" s="328"/>
      <c r="L36" s="328"/>
      <c r="M36" s="328"/>
      <c r="N36" s="329"/>
    </row>
    <row r="37" spans="2:14">
      <c r="B37" s="327"/>
      <c r="C37" s="328"/>
      <c r="D37" s="328"/>
      <c r="E37" s="329"/>
      <c r="F37" s="327"/>
      <c r="G37" s="328"/>
      <c r="H37" s="328"/>
      <c r="I37" s="328"/>
      <c r="J37" s="328"/>
      <c r="K37" s="328"/>
      <c r="L37" s="328"/>
      <c r="M37" s="328"/>
      <c r="N37" s="329"/>
    </row>
    <row r="38" spans="2:14">
      <c r="B38" s="327"/>
      <c r="C38" s="328"/>
      <c r="D38" s="328"/>
      <c r="E38" s="329"/>
      <c r="F38" s="327"/>
      <c r="G38" s="328"/>
      <c r="H38" s="328"/>
      <c r="I38" s="328"/>
      <c r="J38" s="328"/>
      <c r="K38" s="328"/>
      <c r="L38" s="328"/>
      <c r="M38" s="328"/>
      <c r="N38" s="329"/>
    </row>
    <row r="39" spans="2:14" ht="17.25" thickBot="1">
      <c r="B39" s="330"/>
      <c r="C39" s="331"/>
      <c r="D39" s="331"/>
      <c r="E39" s="332"/>
      <c r="F39" s="330"/>
      <c r="G39" s="331"/>
      <c r="H39" s="331"/>
      <c r="I39" s="331"/>
      <c r="J39" s="331"/>
      <c r="K39" s="331"/>
      <c r="L39" s="331"/>
      <c r="M39" s="331"/>
      <c r="N39" s="332"/>
    </row>
    <row r="40" spans="2:14" ht="18" thickTop="1" thickBot="1">
      <c r="B40" s="321" t="s">
        <v>108</v>
      </c>
      <c r="C40" s="322"/>
      <c r="D40" s="322"/>
      <c r="E40" s="323"/>
      <c r="F40" s="321" t="s">
        <v>132</v>
      </c>
      <c r="G40" s="322"/>
      <c r="H40" s="322"/>
      <c r="I40" s="322"/>
      <c r="J40" s="322"/>
      <c r="K40" s="322"/>
      <c r="L40" s="322"/>
      <c r="M40" s="322"/>
      <c r="N40" s="323"/>
    </row>
    <row r="41" spans="2:14" ht="17.25" thickTop="1">
      <c r="B41" s="324"/>
      <c r="C41" s="325"/>
      <c r="D41" s="325"/>
      <c r="E41" s="326"/>
      <c r="F41" s="324"/>
      <c r="G41" s="325"/>
      <c r="H41" s="325"/>
      <c r="I41" s="325"/>
      <c r="J41" s="325"/>
      <c r="K41" s="325"/>
      <c r="L41" s="325"/>
      <c r="M41" s="325"/>
      <c r="N41" s="326"/>
    </row>
    <row r="42" spans="2:14">
      <c r="B42" s="327"/>
      <c r="C42" s="328"/>
      <c r="D42" s="328"/>
      <c r="E42" s="329"/>
      <c r="F42" s="327"/>
      <c r="G42" s="328"/>
      <c r="H42" s="328"/>
      <c r="I42" s="328"/>
      <c r="J42" s="328"/>
      <c r="K42" s="328"/>
      <c r="L42" s="328"/>
      <c r="M42" s="328"/>
      <c r="N42" s="329"/>
    </row>
    <row r="43" spans="2:14">
      <c r="B43" s="327"/>
      <c r="C43" s="328"/>
      <c r="D43" s="328"/>
      <c r="E43" s="329"/>
      <c r="F43" s="327"/>
      <c r="G43" s="328"/>
      <c r="H43" s="328"/>
      <c r="I43" s="328"/>
      <c r="J43" s="328"/>
      <c r="K43" s="328"/>
      <c r="L43" s="328"/>
      <c r="M43" s="328"/>
      <c r="N43" s="329"/>
    </row>
    <row r="44" spans="2:14">
      <c r="B44" s="327"/>
      <c r="C44" s="328"/>
      <c r="D44" s="328"/>
      <c r="E44" s="329"/>
      <c r="F44" s="327"/>
      <c r="G44" s="328"/>
      <c r="H44" s="328"/>
      <c r="I44" s="328"/>
      <c r="J44" s="328"/>
      <c r="K44" s="328"/>
      <c r="L44" s="328"/>
      <c r="M44" s="328"/>
      <c r="N44" s="329"/>
    </row>
    <row r="45" spans="2:14">
      <c r="B45" s="327"/>
      <c r="C45" s="328"/>
      <c r="D45" s="328"/>
      <c r="E45" s="329"/>
      <c r="F45" s="327"/>
      <c r="G45" s="328"/>
      <c r="H45" s="328"/>
      <c r="I45" s="328"/>
      <c r="J45" s="328"/>
      <c r="K45" s="328"/>
      <c r="L45" s="328"/>
      <c r="M45" s="328"/>
      <c r="N45" s="329"/>
    </row>
    <row r="46" spans="2:14">
      <c r="B46" s="327"/>
      <c r="C46" s="328"/>
      <c r="D46" s="328"/>
      <c r="E46" s="329"/>
      <c r="F46" s="327"/>
      <c r="G46" s="328"/>
      <c r="H46" s="328"/>
      <c r="I46" s="328"/>
      <c r="J46" s="328"/>
      <c r="K46" s="328"/>
      <c r="L46" s="328"/>
      <c r="M46" s="328"/>
      <c r="N46" s="329"/>
    </row>
    <row r="47" spans="2:14">
      <c r="B47" s="327"/>
      <c r="C47" s="328"/>
      <c r="D47" s="328"/>
      <c r="E47" s="329"/>
      <c r="F47" s="327"/>
      <c r="G47" s="328"/>
      <c r="H47" s="328"/>
      <c r="I47" s="328"/>
      <c r="J47" s="328"/>
      <c r="K47" s="328"/>
      <c r="L47" s="328"/>
      <c r="M47" s="328"/>
      <c r="N47" s="329"/>
    </row>
    <row r="48" spans="2:14">
      <c r="B48" s="327"/>
      <c r="C48" s="328"/>
      <c r="D48" s="328"/>
      <c r="E48" s="329"/>
      <c r="F48" s="327"/>
      <c r="G48" s="328"/>
      <c r="H48" s="328"/>
      <c r="I48" s="328"/>
      <c r="J48" s="328"/>
      <c r="K48" s="328"/>
      <c r="L48" s="328"/>
      <c r="M48" s="328"/>
      <c r="N48" s="329"/>
    </row>
    <row r="49" spans="2:14">
      <c r="B49" s="327"/>
      <c r="C49" s="328"/>
      <c r="D49" s="328"/>
      <c r="E49" s="329"/>
      <c r="F49" s="327"/>
      <c r="G49" s="328"/>
      <c r="H49" s="328"/>
      <c r="I49" s="328"/>
      <c r="J49" s="328"/>
      <c r="K49" s="328"/>
      <c r="L49" s="328"/>
      <c r="M49" s="328"/>
      <c r="N49" s="329"/>
    </row>
    <row r="50" spans="2:14">
      <c r="B50" s="327"/>
      <c r="C50" s="328"/>
      <c r="D50" s="328"/>
      <c r="E50" s="329"/>
      <c r="F50" s="327"/>
      <c r="G50" s="328"/>
      <c r="H50" s="328"/>
      <c r="I50" s="328"/>
      <c r="J50" s="328"/>
      <c r="K50" s="328"/>
      <c r="L50" s="328"/>
      <c r="M50" s="328"/>
      <c r="N50" s="329"/>
    </row>
    <row r="51" spans="2:14">
      <c r="B51" s="327"/>
      <c r="C51" s="328"/>
      <c r="D51" s="328"/>
      <c r="E51" s="329"/>
      <c r="F51" s="327"/>
      <c r="G51" s="328"/>
      <c r="H51" s="328"/>
      <c r="I51" s="328"/>
      <c r="J51" s="328"/>
      <c r="K51" s="328"/>
      <c r="L51" s="328"/>
      <c r="M51" s="328"/>
      <c r="N51" s="329"/>
    </row>
    <row r="52" spans="2:14">
      <c r="B52" s="327"/>
      <c r="C52" s="328"/>
      <c r="D52" s="328"/>
      <c r="E52" s="329"/>
      <c r="F52" s="327"/>
      <c r="G52" s="328"/>
      <c r="H52" s="328"/>
      <c r="I52" s="328"/>
      <c r="J52" s="328"/>
      <c r="K52" s="328"/>
      <c r="L52" s="328"/>
      <c r="M52" s="328"/>
      <c r="N52" s="329"/>
    </row>
    <row r="53" spans="2:14">
      <c r="B53" s="327"/>
      <c r="C53" s="328"/>
      <c r="D53" s="328"/>
      <c r="E53" s="329"/>
      <c r="F53" s="327"/>
      <c r="G53" s="328"/>
      <c r="H53" s="328"/>
      <c r="I53" s="328"/>
      <c r="J53" s="328"/>
      <c r="K53" s="328"/>
      <c r="L53" s="328"/>
      <c r="M53" s="328"/>
      <c r="N53" s="329"/>
    </row>
    <row r="54" spans="2:14">
      <c r="B54" s="327"/>
      <c r="C54" s="328"/>
      <c r="D54" s="328"/>
      <c r="E54" s="329"/>
      <c r="F54" s="327"/>
      <c r="G54" s="328"/>
      <c r="H54" s="328"/>
      <c r="I54" s="328"/>
      <c r="J54" s="328"/>
      <c r="K54" s="328"/>
      <c r="L54" s="328"/>
      <c r="M54" s="328"/>
      <c r="N54" s="329"/>
    </row>
    <row r="55" spans="2:14">
      <c r="B55" s="327"/>
      <c r="C55" s="328"/>
      <c r="D55" s="328"/>
      <c r="E55" s="329"/>
      <c r="F55" s="327"/>
      <c r="G55" s="328"/>
      <c r="H55" s="328"/>
      <c r="I55" s="328"/>
      <c r="J55" s="328"/>
      <c r="K55" s="328"/>
      <c r="L55" s="328"/>
      <c r="M55" s="328"/>
      <c r="N55" s="329"/>
    </row>
    <row r="56" spans="2:14">
      <c r="B56" s="327"/>
      <c r="C56" s="328"/>
      <c r="D56" s="328"/>
      <c r="E56" s="329"/>
      <c r="F56" s="327"/>
      <c r="G56" s="328"/>
      <c r="H56" s="328"/>
      <c r="I56" s="328"/>
      <c r="J56" s="328"/>
      <c r="K56" s="328"/>
      <c r="L56" s="328"/>
      <c r="M56" s="328"/>
      <c r="N56" s="329"/>
    </row>
    <row r="57" spans="2:14">
      <c r="B57" s="327"/>
      <c r="C57" s="328"/>
      <c r="D57" s="328"/>
      <c r="E57" s="329"/>
      <c r="F57" s="327"/>
      <c r="G57" s="328"/>
      <c r="H57" s="328"/>
      <c r="I57" s="328"/>
      <c r="J57" s="328"/>
      <c r="K57" s="328"/>
      <c r="L57" s="328"/>
      <c r="M57" s="328"/>
      <c r="N57" s="329"/>
    </row>
    <row r="58" spans="2:14">
      <c r="B58" s="327"/>
      <c r="C58" s="328"/>
      <c r="D58" s="328"/>
      <c r="E58" s="329"/>
      <c r="F58" s="327"/>
      <c r="G58" s="328"/>
      <c r="H58" s="328"/>
      <c r="I58" s="328"/>
      <c r="J58" s="328"/>
      <c r="K58" s="328"/>
      <c r="L58" s="328"/>
      <c r="M58" s="328"/>
      <c r="N58" s="329"/>
    </row>
    <row r="59" spans="2:14">
      <c r="B59" s="327"/>
      <c r="C59" s="328"/>
      <c r="D59" s="328"/>
      <c r="E59" s="329"/>
      <c r="F59" s="327"/>
      <c r="G59" s="328"/>
      <c r="H59" s="328"/>
      <c r="I59" s="328"/>
      <c r="J59" s="328"/>
      <c r="K59" s="328"/>
      <c r="L59" s="328"/>
      <c r="M59" s="328"/>
      <c r="N59" s="329"/>
    </row>
    <row r="60" spans="2:14">
      <c r="B60" s="327"/>
      <c r="C60" s="328"/>
      <c r="D60" s="328"/>
      <c r="E60" s="329"/>
      <c r="F60" s="327"/>
      <c r="G60" s="328"/>
      <c r="H60" s="328"/>
      <c r="I60" s="328"/>
      <c r="J60" s="328"/>
      <c r="K60" s="328"/>
      <c r="L60" s="328"/>
      <c r="M60" s="328"/>
      <c r="N60" s="329"/>
    </row>
    <row r="61" spans="2:14" ht="17.25" thickBot="1">
      <c r="B61" s="330"/>
      <c r="C61" s="331"/>
      <c r="D61" s="331"/>
      <c r="E61" s="332"/>
      <c r="F61" s="330"/>
      <c r="G61" s="331"/>
      <c r="H61" s="331"/>
      <c r="I61" s="331"/>
      <c r="J61" s="331"/>
      <c r="K61" s="331"/>
      <c r="L61" s="331"/>
      <c r="M61" s="331"/>
      <c r="N61" s="332"/>
    </row>
    <row r="62" spans="2:14" ht="18" thickTop="1" thickBot="1">
      <c r="B62" s="321"/>
      <c r="C62" s="322"/>
      <c r="D62" s="322"/>
      <c r="E62" s="323"/>
      <c r="F62" s="321"/>
      <c r="G62" s="322"/>
      <c r="H62" s="322"/>
      <c r="I62" s="322"/>
      <c r="J62" s="322"/>
      <c r="K62" s="322"/>
      <c r="L62" s="322"/>
      <c r="M62" s="322"/>
      <c r="N62" s="323"/>
    </row>
    <row r="63" spans="2:14" ht="17.25" thickTop="1">
      <c r="B63" s="324"/>
      <c r="C63" s="325"/>
      <c r="D63" s="325"/>
      <c r="E63" s="326"/>
      <c r="F63" s="324"/>
      <c r="G63" s="325"/>
      <c r="H63" s="325"/>
      <c r="I63" s="325"/>
      <c r="J63" s="325"/>
      <c r="K63" s="325"/>
      <c r="L63" s="325"/>
      <c r="M63" s="325"/>
      <c r="N63" s="326"/>
    </row>
    <row r="64" spans="2:14">
      <c r="B64" s="327"/>
      <c r="C64" s="328"/>
      <c r="D64" s="328"/>
      <c r="E64" s="329"/>
      <c r="F64" s="327"/>
      <c r="G64" s="328"/>
      <c r="H64" s="328"/>
      <c r="I64" s="328"/>
      <c r="J64" s="328"/>
      <c r="K64" s="328"/>
      <c r="L64" s="328"/>
      <c r="M64" s="328"/>
      <c r="N64" s="329"/>
    </row>
    <row r="65" spans="2:14">
      <c r="B65" s="327"/>
      <c r="C65" s="328"/>
      <c r="D65" s="328"/>
      <c r="E65" s="329"/>
      <c r="F65" s="327"/>
      <c r="G65" s="328"/>
      <c r="H65" s="328"/>
      <c r="I65" s="328"/>
      <c r="J65" s="328"/>
      <c r="K65" s="328"/>
      <c r="L65" s="328"/>
      <c r="M65" s="328"/>
      <c r="N65" s="329"/>
    </row>
    <row r="66" spans="2:14">
      <c r="B66" s="327"/>
      <c r="C66" s="328"/>
      <c r="D66" s="328"/>
      <c r="E66" s="329"/>
      <c r="F66" s="327"/>
      <c r="G66" s="328"/>
      <c r="H66" s="328"/>
      <c r="I66" s="328"/>
      <c r="J66" s="328"/>
      <c r="K66" s="328"/>
      <c r="L66" s="328"/>
      <c r="M66" s="328"/>
      <c r="N66" s="329"/>
    </row>
    <row r="67" spans="2:14">
      <c r="B67" s="327"/>
      <c r="C67" s="328"/>
      <c r="D67" s="328"/>
      <c r="E67" s="329"/>
      <c r="F67" s="327"/>
      <c r="G67" s="328"/>
      <c r="H67" s="328"/>
      <c r="I67" s="328"/>
      <c r="J67" s="328"/>
      <c r="K67" s="328"/>
      <c r="L67" s="328"/>
      <c r="M67" s="328"/>
      <c r="N67" s="329"/>
    </row>
    <row r="68" spans="2:14">
      <c r="B68" s="327"/>
      <c r="C68" s="328"/>
      <c r="D68" s="328"/>
      <c r="E68" s="329"/>
      <c r="F68" s="327"/>
      <c r="G68" s="328"/>
      <c r="H68" s="328"/>
      <c r="I68" s="328"/>
      <c r="J68" s="328"/>
      <c r="K68" s="328"/>
      <c r="L68" s="328"/>
      <c r="M68" s="328"/>
      <c r="N68" s="329"/>
    </row>
    <row r="69" spans="2:14">
      <c r="B69" s="327"/>
      <c r="C69" s="328"/>
      <c r="D69" s="328"/>
      <c r="E69" s="329"/>
      <c r="F69" s="327"/>
      <c r="G69" s="328"/>
      <c r="H69" s="328"/>
      <c r="I69" s="328"/>
      <c r="J69" s="328"/>
      <c r="K69" s="328"/>
      <c r="L69" s="328"/>
      <c r="M69" s="328"/>
      <c r="N69" s="329"/>
    </row>
    <row r="70" spans="2:14">
      <c r="B70" s="327"/>
      <c r="C70" s="328"/>
      <c r="D70" s="328"/>
      <c r="E70" s="329"/>
      <c r="F70" s="327"/>
      <c r="G70" s="328"/>
      <c r="H70" s="328"/>
      <c r="I70" s="328"/>
      <c r="J70" s="328"/>
      <c r="K70" s="328"/>
      <c r="L70" s="328"/>
      <c r="M70" s="328"/>
      <c r="N70" s="329"/>
    </row>
    <row r="71" spans="2:14">
      <c r="B71" s="327"/>
      <c r="C71" s="328"/>
      <c r="D71" s="328"/>
      <c r="E71" s="329"/>
      <c r="F71" s="327"/>
      <c r="G71" s="328"/>
      <c r="H71" s="328"/>
      <c r="I71" s="328"/>
      <c r="J71" s="328"/>
      <c r="K71" s="328"/>
      <c r="L71" s="328"/>
      <c r="M71" s="328"/>
      <c r="N71" s="329"/>
    </row>
    <row r="72" spans="2:14">
      <c r="B72" s="327"/>
      <c r="C72" s="328"/>
      <c r="D72" s="328"/>
      <c r="E72" s="329"/>
      <c r="F72" s="327"/>
      <c r="G72" s="328"/>
      <c r="H72" s="328"/>
      <c r="I72" s="328"/>
      <c r="J72" s="328"/>
      <c r="K72" s="328"/>
      <c r="L72" s="328"/>
      <c r="M72" s="328"/>
      <c r="N72" s="329"/>
    </row>
    <row r="73" spans="2:14">
      <c r="B73" s="327"/>
      <c r="C73" s="328"/>
      <c r="D73" s="328"/>
      <c r="E73" s="329"/>
      <c r="F73" s="327"/>
      <c r="G73" s="328"/>
      <c r="H73" s="328"/>
      <c r="I73" s="328"/>
      <c r="J73" s="328"/>
      <c r="K73" s="328"/>
      <c r="L73" s="328"/>
      <c r="M73" s="328"/>
      <c r="N73" s="329"/>
    </row>
    <row r="74" spans="2:14">
      <c r="B74" s="327"/>
      <c r="C74" s="328"/>
      <c r="D74" s="328"/>
      <c r="E74" s="329"/>
      <c r="F74" s="327"/>
      <c r="G74" s="328"/>
      <c r="H74" s="328"/>
      <c r="I74" s="328"/>
      <c r="J74" s="328"/>
      <c r="K74" s="328"/>
      <c r="L74" s="328"/>
      <c r="M74" s="328"/>
      <c r="N74" s="329"/>
    </row>
    <row r="75" spans="2:14">
      <c r="B75" s="327"/>
      <c r="C75" s="328"/>
      <c r="D75" s="328"/>
      <c r="E75" s="329"/>
      <c r="F75" s="327"/>
      <c r="G75" s="328"/>
      <c r="H75" s="328"/>
      <c r="I75" s="328"/>
      <c r="J75" s="328"/>
      <c r="K75" s="328"/>
      <c r="L75" s="328"/>
      <c r="M75" s="328"/>
      <c r="N75" s="329"/>
    </row>
    <row r="76" spans="2:14">
      <c r="B76" s="327"/>
      <c r="C76" s="328"/>
      <c r="D76" s="328"/>
      <c r="E76" s="329"/>
      <c r="F76" s="327"/>
      <c r="G76" s="328"/>
      <c r="H76" s="328"/>
      <c r="I76" s="328"/>
      <c r="J76" s="328"/>
      <c r="K76" s="328"/>
      <c r="L76" s="328"/>
      <c r="M76" s="328"/>
      <c r="N76" s="329"/>
    </row>
    <row r="77" spans="2:14">
      <c r="B77" s="327"/>
      <c r="C77" s="328"/>
      <c r="D77" s="328"/>
      <c r="E77" s="329"/>
      <c r="F77" s="327"/>
      <c r="G77" s="328"/>
      <c r="H77" s="328"/>
      <c r="I77" s="328"/>
      <c r="J77" s="328"/>
      <c r="K77" s="328"/>
      <c r="L77" s="328"/>
      <c r="M77" s="328"/>
      <c r="N77" s="329"/>
    </row>
    <row r="78" spans="2:14">
      <c r="B78" s="327"/>
      <c r="C78" s="328"/>
      <c r="D78" s="328"/>
      <c r="E78" s="329"/>
      <c r="F78" s="327"/>
      <c r="G78" s="328"/>
      <c r="H78" s="328"/>
      <c r="I78" s="328"/>
      <c r="J78" s="328"/>
      <c r="K78" s="328"/>
      <c r="L78" s="328"/>
      <c r="M78" s="328"/>
      <c r="N78" s="329"/>
    </row>
    <row r="79" spans="2:14">
      <c r="B79" s="327"/>
      <c r="C79" s="328"/>
      <c r="D79" s="328"/>
      <c r="E79" s="329"/>
      <c r="F79" s="327"/>
      <c r="G79" s="328"/>
      <c r="H79" s="328"/>
      <c r="I79" s="328"/>
      <c r="J79" s="328"/>
      <c r="K79" s="328"/>
      <c r="L79" s="328"/>
      <c r="M79" s="328"/>
      <c r="N79" s="329"/>
    </row>
    <row r="80" spans="2:14">
      <c r="B80" s="327"/>
      <c r="C80" s="328"/>
      <c r="D80" s="328"/>
      <c r="E80" s="329"/>
      <c r="F80" s="327"/>
      <c r="G80" s="328"/>
      <c r="H80" s="328"/>
      <c r="I80" s="328"/>
      <c r="J80" s="328"/>
      <c r="K80" s="328"/>
      <c r="L80" s="328"/>
      <c r="M80" s="328"/>
      <c r="N80" s="329"/>
    </row>
    <row r="81" spans="2:14">
      <c r="B81" s="327"/>
      <c r="C81" s="328"/>
      <c r="D81" s="328"/>
      <c r="E81" s="329"/>
      <c r="F81" s="327"/>
      <c r="G81" s="328"/>
      <c r="H81" s="328"/>
      <c r="I81" s="328"/>
      <c r="J81" s="328"/>
      <c r="K81" s="328"/>
      <c r="L81" s="328"/>
      <c r="M81" s="328"/>
      <c r="N81" s="329"/>
    </row>
    <row r="82" spans="2:14">
      <c r="B82" s="327"/>
      <c r="C82" s="328"/>
      <c r="D82" s="328"/>
      <c r="E82" s="329"/>
      <c r="F82" s="327"/>
      <c r="G82" s="328"/>
      <c r="H82" s="328"/>
      <c r="I82" s="328"/>
      <c r="J82" s="328"/>
      <c r="K82" s="328"/>
      <c r="L82" s="328"/>
      <c r="M82" s="328"/>
      <c r="N82" s="329"/>
    </row>
    <row r="83" spans="2:14" ht="17.25" thickBot="1">
      <c r="B83" s="330"/>
      <c r="C83" s="331"/>
      <c r="D83" s="331"/>
      <c r="E83" s="332"/>
      <c r="F83" s="330"/>
      <c r="G83" s="331"/>
      <c r="H83" s="331"/>
      <c r="I83" s="331"/>
      <c r="J83" s="331"/>
      <c r="K83" s="331"/>
      <c r="L83" s="331"/>
      <c r="M83" s="331"/>
      <c r="N83" s="332"/>
    </row>
    <row r="84" spans="2:14" ht="18" thickTop="1" thickBot="1">
      <c r="B84" s="321"/>
      <c r="C84" s="322"/>
      <c r="D84" s="322"/>
      <c r="E84" s="323"/>
      <c r="F84" s="321"/>
      <c r="G84" s="322"/>
      <c r="H84" s="322"/>
      <c r="I84" s="322"/>
      <c r="J84" s="322"/>
      <c r="K84" s="322"/>
      <c r="L84" s="322"/>
      <c r="M84" s="322"/>
      <c r="N84" s="323"/>
    </row>
    <row r="85" spans="2:14" ht="17.25" thickTop="1">
      <c r="B85" s="324"/>
      <c r="C85" s="325"/>
      <c r="D85" s="325"/>
      <c r="E85" s="326"/>
      <c r="F85" s="324"/>
      <c r="G85" s="325"/>
      <c r="H85" s="325"/>
      <c r="I85" s="325"/>
      <c r="J85" s="325"/>
      <c r="K85" s="325"/>
      <c r="L85" s="325"/>
      <c r="M85" s="325"/>
      <c r="N85" s="326"/>
    </row>
    <row r="86" spans="2:14">
      <c r="B86" s="327"/>
      <c r="C86" s="328"/>
      <c r="D86" s="328"/>
      <c r="E86" s="329"/>
      <c r="F86" s="327"/>
      <c r="G86" s="328"/>
      <c r="H86" s="328"/>
      <c r="I86" s="328"/>
      <c r="J86" s="328"/>
      <c r="K86" s="328"/>
      <c r="L86" s="328"/>
      <c r="M86" s="328"/>
      <c r="N86" s="329"/>
    </row>
    <row r="87" spans="2:14">
      <c r="B87" s="327"/>
      <c r="C87" s="328"/>
      <c r="D87" s="328"/>
      <c r="E87" s="329"/>
      <c r="F87" s="327"/>
      <c r="G87" s="328"/>
      <c r="H87" s="328"/>
      <c r="I87" s="328"/>
      <c r="J87" s="328"/>
      <c r="K87" s="328"/>
      <c r="L87" s="328"/>
      <c r="M87" s="328"/>
      <c r="N87" s="329"/>
    </row>
    <row r="88" spans="2:14">
      <c r="B88" s="327"/>
      <c r="C88" s="328"/>
      <c r="D88" s="328"/>
      <c r="E88" s="329"/>
      <c r="F88" s="327"/>
      <c r="G88" s="328"/>
      <c r="H88" s="328"/>
      <c r="I88" s="328"/>
      <c r="J88" s="328"/>
      <c r="K88" s="328"/>
      <c r="L88" s="328"/>
      <c r="M88" s="328"/>
      <c r="N88" s="329"/>
    </row>
    <row r="89" spans="2:14">
      <c r="B89" s="327"/>
      <c r="C89" s="328"/>
      <c r="D89" s="328"/>
      <c r="E89" s="329"/>
      <c r="F89" s="327"/>
      <c r="G89" s="328"/>
      <c r="H89" s="328"/>
      <c r="I89" s="328"/>
      <c r="J89" s="328"/>
      <c r="K89" s="328"/>
      <c r="L89" s="328"/>
      <c r="M89" s="328"/>
      <c r="N89" s="329"/>
    </row>
    <row r="90" spans="2:14">
      <c r="B90" s="327"/>
      <c r="C90" s="328"/>
      <c r="D90" s="328"/>
      <c r="E90" s="329"/>
      <c r="F90" s="327"/>
      <c r="G90" s="328"/>
      <c r="H90" s="328"/>
      <c r="I90" s="328"/>
      <c r="J90" s="328"/>
      <c r="K90" s="328"/>
      <c r="L90" s="328"/>
      <c r="M90" s="328"/>
      <c r="N90" s="329"/>
    </row>
    <row r="91" spans="2:14">
      <c r="B91" s="327"/>
      <c r="C91" s="328"/>
      <c r="D91" s="328"/>
      <c r="E91" s="329"/>
      <c r="F91" s="327"/>
      <c r="G91" s="328"/>
      <c r="H91" s="328"/>
      <c r="I91" s="328"/>
      <c r="J91" s="328"/>
      <c r="K91" s="328"/>
      <c r="L91" s="328"/>
      <c r="M91" s="328"/>
      <c r="N91" s="329"/>
    </row>
    <row r="92" spans="2:14">
      <c r="B92" s="327"/>
      <c r="C92" s="328"/>
      <c r="D92" s="328"/>
      <c r="E92" s="329"/>
      <c r="F92" s="327"/>
      <c r="G92" s="328"/>
      <c r="H92" s="328"/>
      <c r="I92" s="328"/>
      <c r="J92" s="328"/>
      <c r="K92" s="328"/>
      <c r="L92" s="328"/>
      <c r="M92" s="328"/>
      <c r="N92" s="329"/>
    </row>
    <row r="93" spans="2:14">
      <c r="B93" s="327"/>
      <c r="C93" s="328"/>
      <c r="D93" s="328"/>
      <c r="E93" s="329"/>
      <c r="F93" s="327"/>
      <c r="G93" s="328"/>
      <c r="H93" s="328"/>
      <c r="I93" s="328"/>
      <c r="J93" s="328"/>
      <c r="K93" s="328"/>
      <c r="L93" s="328"/>
      <c r="M93" s="328"/>
      <c r="N93" s="329"/>
    </row>
    <row r="94" spans="2:14">
      <c r="B94" s="327"/>
      <c r="C94" s="328"/>
      <c r="D94" s="328"/>
      <c r="E94" s="329"/>
      <c r="F94" s="327"/>
      <c r="G94" s="328"/>
      <c r="H94" s="328"/>
      <c r="I94" s="328"/>
      <c r="J94" s="328"/>
      <c r="K94" s="328"/>
      <c r="L94" s="328"/>
      <c r="M94" s="328"/>
      <c r="N94" s="329"/>
    </row>
    <row r="95" spans="2:14">
      <c r="B95" s="327"/>
      <c r="C95" s="328"/>
      <c r="D95" s="328"/>
      <c r="E95" s="329"/>
      <c r="F95" s="327"/>
      <c r="G95" s="328"/>
      <c r="H95" s="328"/>
      <c r="I95" s="328"/>
      <c r="J95" s="328"/>
      <c r="K95" s="328"/>
      <c r="L95" s="328"/>
      <c r="M95" s="328"/>
      <c r="N95" s="329"/>
    </row>
    <row r="96" spans="2:14">
      <c r="B96" s="327"/>
      <c r="C96" s="328"/>
      <c r="D96" s="328"/>
      <c r="E96" s="329"/>
      <c r="F96" s="327"/>
      <c r="G96" s="328"/>
      <c r="H96" s="328"/>
      <c r="I96" s="328"/>
      <c r="J96" s="328"/>
      <c r="K96" s="328"/>
      <c r="L96" s="328"/>
      <c r="M96" s="328"/>
      <c r="N96" s="329"/>
    </row>
    <row r="97" spans="2:14">
      <c r="B97" s="327"/>
      <c r="C97" s="328"/>
      <c r="D97" s="328"/>
      <c r="E97" s="329"/>
      <c r="F97" s="327"/>
      <c r="G97" s="328"/>
      <c r="H97" s="328"/>
      <c r="I97" s="328"/>
      <c r="J97" s="328"/>
      <c r="K97" s="328"/>
      <c r="L97" s="328"/>
      <c r="M97" s="328"/>
      <c r="N97" s="329"/>
    </row>
    <row r="98" spans="2:14">
      <c r="B98" s="327"/>
      <c r="C98" s="328"/>
      <c r="D98" s="328"/>
      <c r="E98" s="329"/>
      <c r="F98" s="327"/>
      <c r="G98" s="328"/>
      <c r="H98" s="328"/>
      <c r="I98" s="328"/>
      <c r="J98" s="328"/>
      <c r="K98" s="328"/>
      <c r="L98" s="328"/>
      <c r="M98" s="328"/>
      <c r="N98" s="329"/>
    </row>
    <row r="99" spans="2:14">
      <c r="B99" s="327"/>
      <c r="C99" s="328"/>
      <c r="D99" s="328"/>
      <c r="E99" s="329"/>
      <c r="F99" s="327"/>
      <c r="G99" s="328"/>
      <c r="H99" s="328"/>
      <c r="I99" s="328"/>
      <c r="J99" s="328"/>
      <c r="K99" s="328"/>
      <c r="L99" s="328"/>
      <c r="M99" s="328"/>
      <c r="N99" s="329"/>
    </row>
    <row r="100" spans="2:14">
      <c r="B100" s="327"/>
      <c r="C100" s="328"/>
      <c r="D100" s="328"/>
      <c r="E100" s="329"/>
      <c r="F100" s="327"/>
      <c r="G100" s="328"/>
      <c r="H100" s="328"/>
      <c r="I100" s="328"/>
      <c r="J100" s="328"/>
      <c r="K100" s="328"/>
      <c r="L100" s="328"/>
      <c r="M100" s="328"/>
      <c r="N100" s="329"/>
    </row>
    <row r="101" spans="2:14">
      <c r="B101" s="327"/>
      <c r="C101" s="328"/>
      <c r="D101" s="328"/>
      <c r="E101" s="329"/>
      <c r="F101" s="327"/>
      <c r="G101" s="328"/>
      <c r="H101" s="328"/>
      <c r="I101" s="328"/>
      <c r="J101" s="328"/>
      <c r="K101" s="328"/>
      <c r="L101" s="328"/>
      <c r="M101" s="328"/>
      <c r="N101" s="329"/>
    </row>
    <row r="102" spans="2:14">
      <c r="B102" s="327"/>
      <c r="C102" s="328"/>
      <c r="D102" s="328"/>
      <c r="E102" s="329"/>
      <c r="F102" s="327"/>
      <c r="G102" s="328"/>
      <c r="H102" s="328"/>
      <c r="I102" s="328"/>
      <c r="J102" s="328"/>
      <c r="K102" s="328"/>
      <c r="L102" s="328"/>
      <c r="M102" s="328"/>
      <c r="N102" s="329"/>
    </row>
    <row r="103" spans="2:14">
      <c r="B103" s="327"/>
      <c r="C103" s="328"/>
      <c r="D103" s="328"/>
      <c r="E103" s="329"/>
      <c r="F103" s="327"/>
      <c r="G103" s="328"/>
      <c r="H103" s="328"/>
      <c r="I103" s="328"/>
      <c r="J103" s="328"/>
      <c r="K103" s="328"/>
      <c r="L103" s="328"/>
      <c r="M103" s="328"/>
      <c r="N103" s="329"/>
    </row>
    <row r="104" spans="2:14">
      <c r="B104" s="327"/>
      <c r="C104" s="328"/>
      <c r="D104" s="328"/>
      <c r="E104" s="329"/>
      <c r="F104" s="327"/>
      <c r="G104" s="328"/>
      <c r="H104" s="328"/>
      <c r="I104" s="328"/>
      <c r="J104" s="328"/>
      <c r="K104" s="328"/>
      <c r="L104" s="328"/>
      <c r="M104" s="328"/>
      <c r="N104" s="329"/>
    </row>
    <row r="105" spans="2:14" ht="17.25" thickBot="1">
      <c r="B105" s="330"/>
      <c r="C105" s="331"/>
      <c r="D105" s="331"/>
      <c r="E105" s="332"/>
      <c r="F105" s="330"/>
      <c r="G105" s="331"/>
      <c r="H105" s="331"/>
      <c r="I105" s="331"/>
      <c r="J105" s="331"/>
      <c r="K105" s="331"/>
      <c r="L105" s="331"/>
      <c r="M105" s="331"/>
      <c r="N105" s="332"/>
    </row>
    <row r="106" spans="2:14" ht="18" thickTop="1" thickBot="1">
      <c r="B106" s="321"/>
      <c r="C106" s="322"/>
      <c r="D106" s="322"/>
      <c r="E106" s="323"/>
      <c r="F106" s="321"/>
      <c r="G106" s="322"/>
      <c r="H106" s="322"/>
      <c r="I106" s="322"/>
      <c r="J106" s="322"/>
      <c r="K106" s="322"/>
      <c r="L106" s="322"/>
      <c r="M106" s="322"/>
      <c r="N106" s="323"/>
    </row>
    <row r="107" spans="2:14" ht="17.25" thickTop="1">
      <c r="B107" s="324"/>
      <c r="C107" s="325"/>
      <c r="D107" s="325"/>
      <c r="E107" s="326"/>
      <c r="F107" s="324"/>
      <c r="G107" s="325"/>
      <c r="H107" s="325"/>
      <c r="I107" s="325"/>
      <c r="J107" s="325"/>
      <c r="K107" s="325"/>
      <c r="L107" s="325"/>
      <c r="M107" s="325"/>
      <c r="N107" s="326"/>
    </row>
    <row r="108" spans="2:14">
      <c r="B108" s="327"/>
      <c r="C108" s="328"/>
      <c r="D108" s="328"/>
      <c r="E108" s="329"/>
      <c r="F108" s="327"/>
      <c r="G108" s="328"/>
      <c r="H108" s="328"/>
      <c r="I108" s="328"/>
      <c r="J108" s="328"/>
      <c r="K108" s="328"/>
      <c r="L108" s="328"/>
      <c r="M108" s="328"/>
      <c r="N108" s="329"/>
    </row>
    <row r="109" spans="2:14">
      <c r="B109" s="327"/>
      <c r="C109" s="328"/>
      <c r="D109" s="328"/>
      <c r="E109" s="329"/>
      <c r="F109" s="327"/>
      <c r="G109" s="328"/>
      <c r="H109" s="328"/>
      <c r="I109" s="328"/>
      <c r="J109" s="328"/>
      <c r="K109" s="328"/>
      <c r="L109" s="328"/>
      <c r="M109" s="328"/>
      <c r="N109" s="329"/>
    </row>
    <row r="110" spans="2:14">
      <c r="B110" s="327"/>
      <c r="C110" s="328"/>
      <c r="D110" s="328"/>
      <c r="E110" s="329"/>
      <c r="F110" s="327"/>
      <c r="G110" s="328"/>
      <c r="H110" s="328"/>
      <c r="I110" s="328"/>
      <c r="J110" s="328"/>
      <c r="K110" s="328"/>
      <c r="L110" s="328"/>
      <c r="M110" s="328"/>
      <c r="N110" s="329"/>
    </row>
    <row r="111" spans="2:14">
      <c r="B111" s="327"/>
      <c r="C111" s="328"/>
      <c r="D111" s="328"/>
      <c r="E111" s="329"/>
      <c r="F111" s="327"/>
      <c r="G111" s="328"/>
      <c r="H111" s="328"/>
      <c r="I111" s="328"/>
      <c r="J111" s="328"/>
      <c r="K111" s="328"/>
      <c r="L111" s="328"/>
      <c r="M111" s="328"/>
      <c r="N111" s="329"/>
    </row>
    <row r="112" spans="2:14">
      <c r="B112" s="327"/>
      <c r="C112" s="328"/>
      <c r="D112" s="328"/>
      <c r="E112" s="329"/>
      <c r="F112" s="327"/>
      <c r="G112" s="328"/>
      <c r="H112" s="328"/>
      <c r="I112" s="328"/>
      <c r="J112" s="328"/>
      <c r="K112" s="328"/>
      <c r="L112" s="328"/>
      <c r="M112" s="328"/>
      <c r="N112" s="329"/>
    </row>
    <row r="113" spans="2:14">
      <c r="B113" s="327"/>
      <c r="C113" s="328"/>
      <c r="D113" s="328"/>
      <c r="E113" s="329"/>
      <c r="F113" s="327"/>
      <c r="G113" s="328"/>
      <c r="H113" s="328"/>
      <c r="I113" s="328"/>
      <c r="J113" s="328"/>
      <c r="K113" s="328"/>
      <c r="L113" s="328"/>
      <c r="M113" s="328"/>
      <c r="N113" s="329"/>
    </row>
    <row r="114" spans="2:14">
      <c r="B114" s="327"/>
      <c r="C114" s="328"/>
      <c r="D114" s="328"/>
      <c r="E114" s="329"/>
      <c r="F114" s="327"/>
      <c r="G114" s="328"/>
      <c r="H114" s="328"/>
      <c r="I114" s="328"/>
      <c r="J114" s="328"/>
      <c r="K114" s="328"/>
      <c r="L114" s="328"/>
      <c r="M114" s="328"/>
      <c r="N114" s="329"/>
    </row>
    <row r="115" spans="2:14">
      <c r="B115" s="327"/>
      <c r="C115" s="328"/>
      <c r="D115" s="328"/>
      <c r="E115" s="329"/>
      <c r="F115" s="327"/>
      <c r="G115" s="328"/>
      <c r="H115" s="328"/>
      <c r="I115" s="328"/>
      <c r="J115" s="328"/>
      <c r="K115" s="328"/>
      <c r="L115" s="328"/>
      <c r="M115" s="328"/>
      <c r="N115" s="329"/>
    </row>
    <row r="116" spans="2:14">
      <c r="B116" s="327"/>
      <c r="C116" s="328"/>
      <c r="D116" s="328"/>
      <c r="E116" s="329"/>
      <c r="F116" s="327"/>
      <c r="G116" s="328"/>
      <c r="H116" s="328"/>
      <c r="I116" s="328"/>
      <c r="J116" s="328"/>
      <c r="K116" s="328"/>
      <c r="L116" s="328"/>
      <c r="M116" s="328"/>
      <c r="N116" s="329"/>
    </row>
    <row r="117" spans="2:14">
      <c r="B117" s="327"/>
      <c r="C117" s="328"/>
      <c r="D117" s="328"/>
      <c r="E117" s="329"/>
      <c r="F117" s="327"/>
      <c r="G117" s="328"/>
      <c r="H117" s="328"/>
      <c r="I117" s="328"/>
      <c r="J117" s="328"/>
      <c r="K117" s="328"/>
      <c r="L117" s="328"/>
      <c r="M117" s="328"/>
      <c r="N117" s="329"/>
    </row>
    <row r="118" spans="2:14">
      <c r="B118" s="327"/>
      <c r="C118" s="328"/>
      <c r="D118" s="328"/>
      <c r="E118" s="329"/>
      <c r="F118" s="327"/>
      <c r="G118" s="328"/>
      <c r="H118" s="328"/>
      <c r="I118" s="328"/>
      <c r="J118" s="328"/>
      <c r="K118" s="328"/>
      <c r="L118" s="328"/>
      <c r="M118" s="328"/>
      <c r="N118" s="329"/>
    </row>
    <row r="119" spans="2:14">
      <c r="B119" s="327"/>
      <c r="C119" s="328"/>
      <c r="D119" s="328"/>
      <c r="E119" s="329"/>
      <c r="F119" s="327"/>
      <c r="G119" s="328"/>
      <c r="H119" s="328"/>
      <c r="I119" s="328"/>
      <c r="J119" s="328"/>
      <c r="K119" s="328"/>
      <c r="L119" s="328"/>
      <c r="M119" s="328"/>
      <c r="N119" s="329"/>
    </row>
    <row r="120" spans="2:14">
      <c r="B120" s="327"/>
      <c r="C120" s="328"/>
      <c r="D120" s="328"/>
      <c r="E120" s="329"/>
      <c r="F120" s="327"/>
      <c r="G120" s="328"/>
      <c r="H120" s="328"/>
      <c r="I120" s="328"/>
      <c r="J120" s="328"/>
      <c r="K120" s="328"/>
      <c r="L120" s="328"/>
      <c r="M120" s="328"/>
      <c r="N120" s="329"/>
    </row>
    <row r="121" spans="2:14">
      <c r="B121" s="327"/>
      <c r="C121" s="328"/>
      <c r="D121" s="328"/>
      <c r="E121" s="329"/>
      <c r="F121" s="327"/>
      <c r="G121" s="328"/>
      <c r="H121" s="328"/>
      <c r="I121" s="328"/>
      <c r="J121" s="328"/>
      <c r="K121" s="328"/>
      <c r="L121" s="328"/>
      <c r="M121" s="328"/>
      <c r="N121" s="329"/>
    </row>
    <row r="122" spans="2:14">
      <c r="B122" s="327"/>
      <c r="C122" s="328"/>
      <c r="D122" s="328"/>
      <c r="E122" s="329"/>
      <c r="F122" s="327"/>
      <c r="G122" s="328"/>
      <c r="H122" s="328"/>
      <c r="I122" s="328"/>
      <c r="J122" s="328"/>
      <c r="K122" s="328"/>
      <c r="L122" s="328"/>
      <c r="M122" s="328"/>
      <c r="N122" s="329"/>
    </row>
    <row r="123" spans="2:14">
      <c r="B123" s="327"/>
      <c r="C123" s="328"/>
      <c r="D123" s="328"/>
      <c r="E123" s="329"/>
      <c r="F123" s="327"/>
      <c r="G123" s="328"/>
      <c r="H123" s="328"/>
      <c r="I123" s="328"/>
      <c r="J123" s="328"/>
      <c r="K123" s="328"/>
      <c r="L123" s="328"/>
      <c r="M123" s="328"/>
      <c r="N123" s="329"/>
    </row>
    <row r="124" spans="2:14">
      <c r="B124" s="327"/>
      <c r="C124" s="328"/>
      <c r="D124" s="328"/>
      <c r="E124" s="329"/>
      <c r="F124" s="327"/>
      <c r="G124" s="328"/>
      <c r="H124" s="328"/>
      <c r="I124" s="328"/>
      <c r="J124" s="328"/>
      <c r="K124" s="328"/>
      <c r="L124" s="328"/>
      <c r="M124" s="328"/>
      <c r="N124" s="329"/>
    </row>
    <row r="125" spans="2:14">
      <c r="B125" s="327"/>
      <c r="C125" s="328"/>
      <c r="D125" s="328"/>
      <c r="E125" s="329"/>
      <c r="F125" s="327"/>
      <c r="G125" s="328"/>
      <c r="H125" s="328"/>
      <c r="I125" s="328"/>
      <c r="J125" s="328"/>
      <c r="K125" s="328"/>
      <c r="L125" s="328"/>
      <c r="M125" s="328"/>
      <c r="N125" s="329"/>
    </row>
    <row r="126" spans="2:14">
      <c r="B126" s="327"/>
      <c r="C126" s="328"/>
      <c r="D126" s="328"/>
      <c r="E126" s="329"/>
      <c r="F126" s="327"/>
      <c r="G126" s="328"/>
      <c r="H126" s="328"/>
      <c r="I126" s="328"/>
      <c r="J126" s="328"/>
      <c r="K126" s="328"/>
      <c r="L126" s="328"/>
      <c r="M126" s="328"/>
      <c r="N126" s="329"/>
    </row>
    <row r="127" spans="2:14" ht="17.25" thickBot="1">
      <c r="B127" s="330"/>
      <c r="C127" s="331"/>
      <c r="D127" s="331"/>
      <c r="E127" s="332"/>
      <c r="F127" s="330"/>
      <c r="G127" s="331"/>
      <c r="H127" s="331"/>
      <c r="I127" s="331"/>
      <c r="J127" s="331"/>
      <c r="K127" s="331"/>
      <c r="L127" s="331"/>
      <c r="M127" s="331"/>
      <c r="N127" s="332"/>
    </row>
    <row r="128" spans="2:14" ht="18" thickTop="1" thickBot="1">
      <c r="B128" s="321"/>
      <c r="C128" s="322"/>
      <c r="D128" s="322"/>
      <c r="E128" s="323"/>
      <c r="F128" s="321"/>
      <c r="G128" s="322"/>
      <c r="H128" s="322"/>
      <c r="I128" s="322"/>
      <c r="J128" s="322"/>
      <c r="K128" s="322"/>
      <c r="L128" s="322"/>
      <c r="M128" s="322"/>
      <c r="N128" s="323"/>
    </row>
    <row r="129" spans="2:14" ht="17.25" thickTop="1">
      <c r="B129" s="324"/>
      <c r="C129" s="325"/>
      <c r="D129" s="325"/>
      <c r="E129" s="326"/>
      <c r="F129" s="324"/>
      <c r="G129" s="325"/>
      <c r="H129" s="325"/>
      <c r="I129" s="325"/>
      <c r="J129" s="325"/>
      <c r="K129" s="325"/>
      <c r="L129" s="325"/>
      <c r="M129" s="325"/>
      <c r="N129" s="326"/>
    </row>
    <row r="130" spans="2:14">
      <c r="B130" s="327"/>
      <c r="C130" s="328"/>
      <c r="D130" s="328"/>
      <c r="E130" s="329"/>
      <c r="F130" s="327"/>
      <c r="G130" s="328"/>
      <c r="H130" s="328"/>
      <c r="I130" s="328"/>
      <c r="J130" s="328"/>
      <c r="K130" s="328"/>
      <c r="L130" s="328"/>
      <c r="M130" s="328"/>
      <c r="N130" s="329"/>
    </row>
    <row r="131" spans="2:14">
      <c r="B131" s="327"/>
      <c r="C131" s="328"/>
      <c r="D131" s="328"/>
      <c r="E131" s="329"/>
      <c r="F131" s="327"/>
      <c r="G131" s="328"/>
      <c r="H131" s="328"/>
      <c r="I131" s="328"/>
      <c r="J131" s="328"/>
      <c r="K131" s="328"/>
      <c r="L131" s="328"/>
      <c r="M131" s="328"/>
      <c r="N131" s="329"/>
    </row>
    <row r="132" spans="2:14">
      <c r="B132" s="327"/>
      <c r="C132" s="328"/>
      <c r="D132" s="328"/>
      <c r="E132" s="329"/>
      <c r="F132" s="327"/>
      <c r="G132" s="328"/>
      <c r="H132" s="328"/>
      <c r="I132" s="328"/>
      <c r="J132" s="328"/>
      <c r="K132" s="328"/>
      <c r="L132" s="328"/>
      <c r="M132" s="328"/>
      <c r="N132" s="329"/>
    </row>
    <row r="133" spans="2:14">
      <c r="B133" s="327"/>
      <c r="C133" s="328"/>
      <c r="D133" s="328"/>
      <c r="E133" s="329"/>
      <c r="F133" s="327"/>
      <c r="G133" s="328"/>
      <c r="H133" s="328"/>
      <c r="I133" s="328"/>
      <c r="J133" s="328"/>
      <c r="K133" s="328"/>
      <c r="L133" s="328"/>
      <c r="M133" s="328"/>
      <c r="N133" s="329"/>
    </row>
    <row r="134" spans="2:14">
      <c r="B134" s="327"/>
      <c r="C134" s="328"/>
      <c r="D134" s="328"/>
      <c r="E134" s="329"/>
      <c r="F134" s="327"/>
      <c r="G134" s="328"/>
      <c r="H134" s="328"/>
      <c r="I134" s="328"/>
      <c r="J134" s="328"/>
      <c r="K134" s="328"/>
      <c r="L134" s="328"/>
      <c r="M134" s="328"/>
      <c r="N134" s="329"/>
    </row>
    <row r="135" spans="2:14">
      <c r="B135" s="327"/>
      <c r="C135" s="328"/>
      <c r="D135" s="328"/>
      <c r="E135" s="329"/>
      <c r="F135" s="327"/>
      <c r="G135" s="328"/>
      <c r="H135" s="328"/>
      <c r="I135" s="328"/>
      <c r="J135" s="328"/>
      <c r="K135" s="328"/>
      <c r="L135" s="328"/>
      <c r="M135" s="328"/>
      <c r="N135" s="329"/>
    </row>
    <row r="136" spans="2:14">
      <c r="B136" s="327"/>
      <c r="C136" s="328"/>
      <c r="D136" s="328"/>
      <c r="E136" s="329"/>
      <c r="F136" s="327"/>
      <c r="G136" s="328"/>
      <c r="H136" s="328"/>
      <c r="I136" s="328"/>
      <c r="J136" s="328"/>
      <c r="K136" s="328"/>
      <c r="L136" s="328"/>
      <c r="M136" s="328"/>
      <c r="N136" s="329"/>
    </row>
    <row r="137" spans="2:14">
      <c r="B137" s="327"/>
      <c r="C137" s="328"/>
      <c r="D137" s="328"/>
      <c r="E137" s="329"/>
      <c r="F137" s="327"/>
      <c r="G137" s="328"/>
      <c r="H137" s="328"/>
      <c r="I137" s="328"/>
      <c r="J137" s="328"/>
      <c r="K137" s="328"/>
      <c r="L137" s="328"/>
      <c r="M137" s="328"/>
      <c r="N137" s="329"/>
    </row>
    <row r="138" spans="2:14">
      <c r="B138" s="327"/>
      <c r="C138" s="328"/>
      <c r="D138" s="328"/>
      <c r="E138" s="329"/>
      <c r="F138" s="327"/>
      <c r="G138" s="328"/>
      <c r="H138" s="328"/>
      <c r="I138" s="328"/>
      <c r="J138" s="328"/>
      <c r="K138" s="328"/>
      <c r="L138" s="328"/>
      <c r="M138" s="328"/>
      <c r="N138" s="329"/>
    </row>
    <row r="139" spans="2:14">
      <c r="B139" s="327"/>
      <c r="C139" s="328"/>
      <c r="D139" s="328"/>
      <c r="E139" s="329"/>
      <c r="F139" s="327"/>
      <c r="G139" s="328"/>
      <c r="H139" s="328"/>
      <c r="I139" s="328"/>
      <c r="J139" s="328"/>
      <c r="K139" s="328"/>
      <c r="L139" s="328"/>
      <c r="M139" s="328"/>
      <c r="N139" s="329"/>
    </row>
    <row r="140" spans="2:14">
      <c r="B140" s="327"/>
      <c r="C140" s="328"/>
      <c r="D140" s="328"/>
      <c r="E140" s="329"/>
      <c r="F140" s="327"/>
      <c r="G140" s="328"/>
      <c r="H140" s="328"/>
      <c r="I140" s="328"/>
      <c r="J140" s="328"/>
      <c r="K140" s="328"/>
      <c r="L140" s="328"/>
      <c r="M140" s="328"/>
      <c r="N140" s="329"/>
    </row>
    <row r="141" spans="2:14">
      <c r="B141" s="327"/>
      <c r="C141" s="328"/>
      <c r="D141" s="328"/>
      <c r="E141" s="329"/>
      <c r="F141" s="327"/>
      <c r="G141" s="328"/>
      <c r="H141" s="328"/>
      <c r="I141" s="328"/>
      <c r="J141" s="328"/>
      <c r="K141" s="328"/>
      <c r="L141" s="328"/>
      <c r="M141" s="328"/>
      <c r="N141" s="329"/>
    </row>
    <row r="142" spans="2:14">
      <c r="B142" s="327"/>
      <c r="C142" s="328"/>
      <c r="D142" s="328"/>
      <c r="E142" s="329"/>
      <c r="F142" s="327"/>
      <c r="G142" s="328"/>
      <c r="H142" s="328"/>
      <c r="I142" s="328"/>
      <c r="J142" s="328"/>
      <c r="K142" s="328"/>
      <c r="L142" s="328"/>
      <c r="M142" s="328"/>
      <c r="N142" s="329"/>
    </row>
    <row r="143" spans="2:14">
      <c r="B143" s="327"/>
      <c r="C143" s="328"/>
      <c r="D143" s="328"/>
      <c r="E143" s="329"/>
      <c r="F143" s="327"/>
      <c r="G143" s="328"/>
      <c r="H143" s="328"/>
      <c r="I143" s="328"/>
      <c r="J143" s="328"/>
      <c r="K143" s="328"/>
      <c r="L143" s="328"/>
      <c r="M143" s="328"/>
      <c r="N143" s="329"/>
    </row>
    <row r="144" spans="2:14">
      <c r="B144" s="327"/>
      <c r="C144" s="328"/>
      <c r="D144" s="328"/>
      <c r="E144" s="329"/>
      <c r="F144" s="327"/>
      <c r="G144" s="328"/>
      <c r="H144" s="328"/>
      <c r="I144" s="328"/>
      <c r="J144" s="328"/>
      <c r="K144" s="328"/>
      <c r="L144" s="328"/>
      <c r="M144" s="328"/>
      <c r="N144" s="329"/>
    </row>
    <row r="145" spans="2:14">
      <c r="B145" s="327"/>
      <c r="C145" s="328"/>
      <c r="D145" s="328"/>
      <c r="E145" s="329"/>
      <c r="F145" s="327"/>
      <c r="G145" s="328"/>
      <c r="H145" s="328"/>
      <c r="I145" s="328"/>
      <c r="J145" s="328"/>
      <c r="K145" s="328"/>
      <c r="L145" s="328"/>
      <c r="M145" s="328"/>
      <c r="N145" s="329"/>
    </row>
    <row r="146" spans="2:14">
      <c r="B146" s="327"/>
      <c r="C146" s="328"/>
      <c r="D146" s="328"/>
      <c r="E146" s="329"/>
      <c r="F146" s="327"/>
      <c r="G146" s="328"/>
      <c r="H146" s="328"/>
      <c r="I146" s="328"/>
      <c r="J146" s="328"/>
      <c r="K146" s="328"/>
      <c r="L146" s="328"/>
      <c r="M146" s="328"/>
      <c r="N146" s="329"/>
    </row>
    <row r="147" spans="2:14">
      <c r="B147" s="327"/>
      <c r="C147" s="328"/>
      <c r="D147" s="328"/>
      <c r="E147" s="329"/>
      <c r="F147" s="327"/>
      <c r="G147" s="328"/>
      <c r="H147" s="328"/>
      <c r="I147" s="328"/>
      <c r="J147" s="328"/>
      <c r="K147" s="328"/>
      <c r="L147" s="328"/>
      <c r="M147" s="328"/>
      <c r="N147" s="329"/>
    </row>
    <row r="148" spans="2:14">
      <c r="B148" s="327"/>
      <c r="C148" s="328"/>
      <c r="D148" s="328"/>
      <c r="E148" s="329"/>
      <c r="F148" s="327"/>
      <c r="G148" s="328"/>
      <c r="H148" s="328"/>
      <c r="I148" s="328"/>
      <c r="J148" s="328"/>
      <c r="K148" s="328"/>
      <c r="L148" s="328"/>
      <c r="M148" s="328"/>
      <c r="N148" s="329"/>
    </row>
    <row r="149" spans="2:14" ht="17.25" thickBot="1">
      <c r="B149" s="330"/>
      <c r="C149" s="331"/>
      <c r="D149" s="331"/>
      <c r="E149" s="332"/>
      <c r="F149" s="330"/>
      <c r="G149" s="331"/>
      <c r="H149" s="331"/>
      <c r="I149" s="331"/>
      <c r="J149" s="331"/>
      <c r="K149" s="331"/>
      <c r="L149" s="331"/>
      <c r="M149" s="331"/>
      <c r="N149" s="332"/>
    </row>
    <row r="150" spans="2:14" ht="18" thickTop="1" thickBot="1">
      <c r="B150" s="321"/>
      <c r="C150" s="322"/>
      <c r="D150" s="322"/>
      <c r="E150" s="323"/>
      <c r="F150" s="321"/>
      <c r="G150" s="322"/>
      <c r="H150" s="322"/>
      <c r="I150" s="322"/>
      <c r="J150" s="322"/>
      <c r="K150" s="322"/>
      <c r="L150" s="322"/>
      <c r="M150" s="322"/>
      <c r="N150" s="323"/>
    </row>
    <row r="151" spans="2:14" ht="17.25" thickTop="1"/>
  </sheetData>
  <mergeCells count="25">
    <mergeCell ref="A18:M18"/>
    <mergeCell ref="B19:E39"/>
    <mergeCell ref="B40:E40"/>
    <mergeCell ref="F19:N39"/>
    <mergeCell ref="F40:N40"/>
    <mergeCell ref="B41:E61"/>
    <mergeCell ref="F41:N61"/>
    <mergeCell ref="B62:E62"/>
    <mergeCell ref="F62:N62"/>
    <mergeCell ref="B63:E83"/>
    <mergeCell ref="F63:N83"/>
    <mergeCell ref="B84:E84"/>
    <mergeCell ref="F84:N84"/>
    <mergeCell ref="B85:E105"/>
    <mergeCell ref="F85:N105"/>
    <mergeCell ref="B106:E106"/>
    <mergeCell ref="F106:N106"/>
    <mergeCell ref="B150:E150"/>
    <mergeCell ref="F150:N150"/>
    <mergeCell ref="B107:E127"/>
    <mergeCell ref="F107:N127"/>
    <mergeCell ref="B128:E128"/>
    <mergeCell ref="F128:N128"/>
    <mergeCell ref="B129:E149"/>
    <mergeCell ref="F129:N149"/>
  </mergeCells>
  <phoneticPr fontId="1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7"/>
  <sheetViews>
    <sheetView showGridLines="0" zoomScale="115" zoomScaleNormal="115" workbookViewId="0">
      <selection activeCell="A15" sqref="A15:XFD15"/>
    </sheetView>
  </sheetViews>
  <sheetFormatPr defaultRowHeight="16.5"/>
  <cols>
    <col min="1" max="1" width="25.125" style="12" customWidth="1"/>
    <col min="2" max="2" width="16.25" style="12" customWidth="1"/>
    <col min="3" max="3" width="22.375" style="12" customWidth="1"/>
    <col min="4" max="4" width="24.125" style="12" customWidth="1"/>
    <col min="5" max="5" width="13" style="12" customWidth="1"/>
    <col min="6" max="6" width="7.5" style="29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8" t="s">
        <v>5</v>
      </c>
      <c r="H1" s="13" t="s">
        <v>34</v>
      </c>
    </row>
    <row r="2" spans="1:8">
      <c r="A2" s="17">
        <f>'내역서(표준단가)'!E5</f>
        <v>0</v>
      </c>
      <c r="B2" s="18">
        <f>'내역서(표준단가)'!F5</f>
        <v>0</v>
      </c>
      <c r="C2" s="18">
        <f>'내역서(표준단가)'!G5</f>
        <v>0</v>
      </c>
      <c r="D2" s="18">
        <f>'내역서(표준단가)'!H5</f>
        <v>0</v>
      </c>
      <c r="E2" s="18">
        <f>'내역서(표준단가)'!I5</f>
        <v>0</v>
      </c>
      <c r="F2" s="18">
        <f>'내역서(표준단가)'!M5</f>
        <v>0</v>
      </c>
      <c r="H2" t="s">
        <v>35</v>
      </c>
    </row>
    <row r="3" spans="1:8">
      <c r="A3" s="17" t="str">
        <f>'내역서(표준단가)'!E6</f>
        <v>999999</v>
      </c>
      <c r="B3" s="18">
        <f>'내역서(표준단가)'!F6</f>
        <v>0</v>
      </c>
      <c r="C3" s="18">
        <f>'내역서(표준단가)'!G6</f>
        <v>0</v>
      </c>
      <c r="D3" s="18">
        <f>'내역서(표준단가)'!H6</f>
        <v>999999</v>
      </c>
      <c r="E3" s="18">
        <f>'내역서(표준단가)'!I6</f>
        <v>0</v>
      </c>
      <c r="F3" s="18">
        <f>'내역서(표준단가)'!M6</f>
        <v>20</v>
      </c>
      <c r="H3" t="s">
        <v>45</v>
      </c>
    </row>
    <row r="4" spans="1:8">
      <c r="A4" s="17" t="str">
        <f>'내역서(표준단가)'!E7</f>
        <v>E00000806004020402</v>
      </c>
      <c r="B4" s="18">
        <f>'내역서(표준단가)'!F7</f>
        <v>0</v>
      </c>
      <c r="C4" s="18" t="str">
        <f>'내역서(표준단가)'!G7</f>
        <v>E00000806004020402</v>
      </c>
      <c r="D4" s="18">
        <f>'내역서(표준단가)'!H7</f>
        <v>0</v>
      </c>
      <c r="E4" s="18">
        <f>'내역서(표준단가)'!I7</f>
        <v>0</v>
      </c>
      <c r="F4" s="18">
        <f>'내역서(표준단가)'!M7</f>
        <v>20</v>
      </c>
    </row>
    <row r="5" spans="1:8">
      <c r="A5" s="17" t="str">
        <f>'내역서(표준단가)'!E8</f>
        <v>E00000806004020402</v>
      </c>
      <c r="B5" s="18">
        <f>'내역서(표준단가)'!F8</f>
        <v>0</v>
      </c>
      <c r="C5" s="18" t="str">
        <f>'내역서(표준단가)'!G8</f>
        <v>E00000806004020402</v>
      </c>
      <c r="D5" s="18">
        <f>'내역서(표준단가)'!H8</f>
        <v>0</v>
      </c>
      <c r="E5" s="18">
        <f>'내역서(표준단가)'!I8</f>
        <v>0</v>
      </c>
      <c r="F5" s="18">
        <f>'내역서(표준단가)'!M8</f>
        <v>20</v>
      </c>
    </row>
    <row r="6" spans="1:8">
      <c r="A6" s="17" t="str">
        <f>'내역서(표준단가)'!E9</f>
        <v>M010332810030101</v>
      </c>
      <c r="B6" s="18">
        <f>'내역서(표준단가)'!F9</f>
        <v>0</v>
      </c>
      <c r="C6" s="18">
        <f>'내역서(표준단가)'!G9</f>
        <v>0</v>
      </c>
      <c r="D6" s="18" t="str">
        <f>'내역서(표준단가)'!H9</f>
        <v>M010332810030101</v>
      </c>
      <c r="E6" s="18">
        <f>'내역서(표준단가)'!I9</f>
        <v>0</v>
      </c>
      <c r="F6" s="18">
        <f>'내역서(표준단가)'!M9</f>
        <v>160</v>
      </c>
    </row>
    <row r="7" spans="1:8">
      <c r="A7" s="17" t="str">
        <f>'내역서(표준단가)'!E10</f>
        <v>M01525GR10400101</v>
      </c>
      <c r="B7" s="18">
        <f>'내역서(표준단가)'!F10</f>
        <v>0</v>
      </c>
      <c r="C7" s="18">
        <f>'내역서(표준단가)'!G10</f>
        <v>0</v>
      </c>
      <c r="D7" s="18" t="str">
        <f>'내역서(표준단가)'!H10</f>
        <v>M01525GR10400101</v>
      </c>
      <c r="E7" s="18">
        <f>'내역서(표준단가)'!I10</f>
        <v>0</v>
      </c>
      <c r="F7" s="18">
        <f>'내역서(표준단가)'!M10</f>
        <v>80</v>
      </c>
    </row>
    <row r="8" spans="1:8">
      <c r="A8" s="17" t="str">
        <f>'내역서(표준단가)'!E11</f>
        <v>E00000808374071205</v>
      </c>
      <c r="B8" s="18">
        <f>'내역서(표준단가)'!F11</f>
        <v>0</v>
      </c>
      <c r="C8" s="18" t="str">
        <f>'내역서(표준단가)'!G11</f>
        <v>E00000808374071205</v>
      </c>
      <c r="D8" s="18">
        <f>'내역서(표준단가)'!H11</f>
        <v>0</v>
      </c>
      <c r="E8" s="18">
        <f>'내역서(표준단가)'!I11</f>
        <v>0</v>
      </c>
      <c r="F8" s="18">
        <f>'내역서(표준단가)'!M11</f>
        <v>80</v>
      </c>
    </row>
    <row r="9" spans="1:8">
      <c r="A9" s="17" t="str">
        <f>'내역서(표준단가)'!E12</f>
        <v>E00000808374071205</v>
      </c>
      <c r="B9" s="18">
        <f>'내역서(표준단가)'!F12</f>
        <v>0</v>
      </c>
      <c r="C9" s="18" t="str">
        <f>'내역서(표준단가)'!G12</f>
        <v>E00000808374071205</v>
      </c>
      <c r="D9" s="18">
        <f>'내역서(표준단가)'!H12</f>
        <v>0</v>
      </c>
      <c r="E9" s="18">
        <f>'내역서(표준단가)'!I12</f>
        <v>0</v>
      </c>
      <c r="F9" s="18">
        <f>'내역서(표준단가)'!M12</f>
        <v>80</v>
      </c>
    </row>
    <row r="10" spans="1:8">
      <c r="A10" s="17" t="str">
        <f>'내역서(표준단가)'!E13</f>
        <v>M020251411610101</v>
      </c>
      <c r="B10" s="18">
        <f>'내역서(표준단가)'!F13</f>
        <v>0</v>
      </c>
      <c r="C10" s="18">
        <f>'내역서(표준단가)'!G13</f>
        <v>0</v>
      </c>
      <c r="D10" s="18" t="str">
        <f>'내역서(표준단가)'!H13</f>
        <v>M020251411610101</v>
      </c>
      <c r="E10" s="18">
        <f>'내역서(표준단가)'!I13</f>
        <v>0</v>
      </c>
      <c r="F10" s="18">
        <f>'내역서(표준단가)'!M13</f>
        <v>1</v>
      </c>
    </row>
    <row r="11" spans="1:8">
      <c r="A11" s="17" t="str">
        <f>'내역서(표준단가)'!E14</f>
        <v>E00000803051260301</v>
      </c>
      <c r="B11" s="18">
        <f>'내역서(표준단가)'!F14</f>
        <v>0</v>
      </c>
      <c r="C11" s="18" t="str">
        <f>'내역서(표준단가)'!G14</f>
        <v>E00000803051260301</v>
      </c>
      <c r="D11" s="18">
        <f>'내역서(표준단가)'!H14</f>
        <v>0</v>
      </c>
      <c r="E11" s="18">
        <f>'내역서(표준단가)'!I14</f>
        <v>0</v>
      </c>
      <c r="F11" s="18">
        <f>'내역서(표준단가)'!M14</f>
        <v>1</v>
      </c>
    </row>
    <row r="12" spans="1:8">
      <c r="A12" s="17" t="str">
        <f>'내역서(표준단가)'!E15</f>
        <v>999999</v>
      </c>
      <c r="B12" s="18">
        <f>'내역서(표준단가)'!F15</f>
        <v>0</v>
      </c>
      <c r="C12" s="18">
        <f>'내역서(표준단가)'!G15</f>
        <v>0</v>
      </c>
      <c r="D12" s="18">
        <f>'내역서(표준단가)'!H15</f>
        <v>999999</v>
      </c>
      <c r="E12" s="18">
        <f>'내역서(표준단가)'!I15</f>
        <v>0</v>
      </c>
      <c r="F12" s="18">
        <f>'내역서(표준단가)'!M15</f>
        <v>8</v>
      </c>
    </row>
    <row r="13" spans="1:8">
      <c r="A13" s="17" t="str">
        <f>'내역서(표준단가)'!E16</f>
        <v>E00000805033430105</v>
      </c>
      <c r="B13" s="18">
        <f>'내역서(표준단가)'!F16</f>
        <v>0</v>
      </c>
      <c r="C13" s="18" t="str">
        <f>'내역서(표준단가)'!G16</f>
        <v>E00000805033430105</v>
      </c>
      <c r="D13" s="18">
        <f>'내역서(표준단가)'!H16</f>
        <v>0</v>
      </c>
      <c r="E13" s="18">
        <f>'내역서(표준단가)'!I16</f>
        <v>0</v>
      </c>
      <c r="F13" s="18">
        <f>'내역서(표준단가)'!M16</f>
        <v>8</v>
      </c>
    </row>
    <row r="14" spans="1:8">
      <c r="A14" s="17" t="str">
        <f>'내역서(표준단가)'!E17</f>
        <v>L002</v>
      </c>
      <c r="B14" s="18">
        <f>'내역서(표준단가)'!F17</f>
        <v>0</v>
      </c>
      <c r="C14" s="18">
        <f>'내역서(표준단가)'!G17</f>
        <v>0</v>
      </c>
      <c r="D14" s="18">
        <f>'내역서(표준단가)'!H17</f>
        <v>0</v>
      </c>
      <c r="E14" s="18" t="str">
        <f>'내역서(표준단가)'!I17</f>
        <v>L002</v>
      </c>
      <c r="F14" s="18">
        <f>'내역서(표준단가)'!M17</f>
        <v>1</v>
      </c>
    </row>
    <row r="15" spans="1:8">
      <c r="A15" s="17" t="str">
        <f>'내역서(표준단가)'!E18</f>
        <v>L002</v>
      </c>
      <c r="B15" s="18">
        <f>'내역서(표준단가)'!F18</f>
        <v>0</v>
      </c>
      <c r="C15" s="18">
        <f>'내역서(표준단가)'!G18</f>
        <v>0</v>
      </c>
      <c r="D15" s="18">
        <f>'내역서(표준단가)'!H18</f>
        <v>0</v>
      </c>
      <c r="E15" s="18" t="str">
        <f>'내역서(표준단가)'!I18</f>
        <v>L002</v>
      </c>
      <c r="F15" s="18">
        <f>'내역서(표준단가)'!M18</f>
        <v>1</v>
      </c>
    </row>
    <row r="16" spans="1:8">
      <c r="A16" s="17" t="str">
        <f>'내역서(표준단가)'!E19</f>
        <v/>
      </c>
      <c r="B16" s="18">
        <f>'내역서(표준단가)'!F19</f>
        <v>0</v>
      </c>
      <c r="C16" s="18">
        <f>'내역서(표준단가)'!G19</f>
        <v>0</v>
      </c>
      <c r="D16" s="18">
        <f>'내역서(표준단가)'!H19</f>
        <v>0</v>
      </c>
      <c r="E16" s="18">
        <f>'내역서(표준단가)'!I19</f>
        <v>0</v>
      </c>
      <c r="F16" s="18">
        <f>'내역서(표준단가)'!M19</f>
        <v>0</v>
      </c>
    </row>
    <row r="17" spans="1:6">
      <c r="A17" s="17" t="str">
        <f>'내역서(표준단가)'!E20</f>
        <v/>
      </c>
      <c r="B17" s="18">
        <f>'내역서(표준단가)'!F20</f>
        <v>0</v>
      </c>
      <c r="C17" s="18">
        <f>'내역서(표준단가)'!G20</f>
        <v>0</v>
      </c>
      <c r="D17" s="18">
        <f>'내역서(표준단가)'!H20</f>
        <v>0</v>
      </c>
      <c r="E17" s="18">
        <f>'내역서(표준단가)'!I20</f>
        <v>0</v>
      </c>
      <c r="F17" s="18">
        <f>'내역서(표준단가)'!M20</f>
        <v>0</v>
      </c>
    </row>
    <row r="18" spans="1:6">
      <c r="A18" s="17" t="str">
        <f>'내역서(표준단가)'!E21</f>
        <v/>
      </c>
      <c r="B18" s="18">
        <f>'내역서(표준단가)'!F21</f>
        <v>0</v>
      </c>
      <c r="C18" s="18">
        <f>'내역서(표준단가)'!G21</f>
        <v>0</v>
      </c>
      <c r="D18" s="18">
        <f>'내역서(표준단가)'!H21</f>
        <v>0</v>
      </c>
      <c r="E18" s="18">
        <f>'내역서(표준단가)'!I21</f>
        <v>0</v>
      </c>
      <c r="F18" s="18">
        <f>'내역서(표준단가)'!M21</f>
        <v>0</v>
      </c>
    </row>
    <row r="19" spans="1:6">
      <c r="A19" s="17">
        <f>'내역서(표준단가)'!E22</f>
        <v>0</v>
      </c>
      <c r="B19" s="18">
        <f>'내역서(표준단가)'!F22</f>
        <v>0</v>
      </c>
      <c r="C19" s="18">
        <f>'내역서(표준단가)'!G22</f>
        <v>0</v>
      </c>
      <c r="D19" s="18">
        <f>'내역서(표준단가)'!H22</f>
        <v>0</v>
      </c>
      <c r="E19" s="18">
        <f>'내역서(표준단가)'!I22</f>
        <v>0</v>
      </c>
      <c r="F19" s="18">
        <f>'내역서(표준단가)'!M22</f>
        <v>0</v>
      </c>
    </row>
    <row r="20" spans="1:6">
      <c r="A20" s="17">
        <f>'내역서(표준단가)'!E23</f>
        <v>0</v>
      </c>
      <c r="B20" s="18">
        <f>'내역서(표준단가)'!F23</f>
        <v>0</v>
      </c>
      <c r="C20" s="18">
        <f>'내역서(표준단가)'!G23</f>
        <v>0</v>
      </c>
      <c r="D20" s="18">
        <f>'내역서(표준단가)'!H23</f>
        <v>0</v>
      </c>
      <c r="E20" s="18">
        <f>'내역서(표준단가)'!I23</f>
        <v>0</v>
      </c>
      <c r="F20" s="18">
        <f>'내역서(표준단가)'!M23</f>
        <v>0</v>
      </c>
    </row>
    <row r="21" spans="1:6">
      <c r="A21" s="17">
        <f>'내역서(표준단가)'!E24</f>
        <v>0</v>
      </c>
      <c r="B21" s="18">
        <f>'내역서(표준단가)'!F24</f>
        <v>0</v>
      </c>
      <c r="C21" s="18">
        <f>'내역서(표준단가)'!G24</f>
        <v>0</v>
      </c>
      <c r="D21" s="18">
        <f>'내역서(표준단가)'!H24</f>
        <v>0</v>
      </c>
      <c r="E21" s="18">
        <f>'내역서(표준단가)'!I24</f>
        <v>0</v>
      </c>
      <c r="F21" s="18">
        <f>'내역서(표준단가)'!M24</f>
        <v>0</v>
      </c>
    </row>
    <row r="22" spans="1:6">
      <c r="A22" s="17">
        <f>'내역서(표준단가)'!E25</f>
        <v>0</v>
      </c>
      <c r="B22" s="18">
        <f>'내역서(표준단가)'!F25</f>
        <v>0</v>
      </c>
      <c r="C22" s="18">
        <f>'내역서(표준단가)'!G25</f>
        <v>0</v>
      </c>
      <c r="D22" s="18">
        <f>'내역서(표준단가)'!H25</f>
        <v>0</v>
      </c>
      <c r="E22" s="18">
        <f>'내역서(표준단가)'!I25</f>
        <v>0</v>
      </c>
      <c r="F22" s="18">
        <f>'내역서(표준단가)'!M25</f>
        <v>0</v>
      </c>
    </row>
    <row r="23" spans="1:6">
      <c r="A23" s="17">
        <f>'내역서(표준단가)'!E26</f>
        <v>0</v>
      </c>
      <c r="B23" s="18">
        <f>'내역서(표준단가)'!F26</f>
        <v>0</v>
      </c>
      <c r="C23" s="18">
        <f>'내역서(표준단가)'!G26</f>
        <v>0</v>
      </c>
      <c r="D23" s="18">
        <f>'내역서(표준단가)'!H26</f>
        <v>0</v>
      </c>
      <c r="E23" s="18">
        <f>'내역서(표준단가)'!I26</f>
        <v>0</v>
      </c>
      <c r="F23" s="18">
        <f>'내역서(표준단가)'!M26</f>
        <v>0</v>
      </c>
    </row>
    <row r="24" spans="1:6">
      <c r="A24" s="17">
        <f>'내역서(표준단가)'!E27</f>
        <v>0</v>
      </c>
      <c r="B24" s="18">
        <f>'내역서(표준단가)'!F27</f>
        <v>0</v>
      </c>
      <c r="C24" s="18">
        <f>'내역서(표준단가)'!G27</f>
        <v>0</v>
      </c>
      <c r="D24" s="18">
        <f>'내역서(표준단가)'!H27</f>
        <v>0</v>
      </c>
      <c r="E24" s="18">
        <f>'내역서(표준단가)'!I27</f>
        <v>0</v>
      </c>
      <c r="F24" s="18">
        <f>'내역서(표준단가)'!M27</f>
        <v>0</v>
      </c>
    </row>
    <row r="25" spans="1:6">
      <c r="A25" s="17">
        <f>'내역서(표준단가)'!E24</f>
        <v>0</v>
      </c>
      <c r="B25" s="18">
        <f>'내역서(표준단가)'!F24</f>
        <v>0</v>
      </c>
      <c r="C25" s="18">
        <f>'내역서(표준단가)'!G24</f>
        <v>0</v>
      </c>
      <c r="D25" s="18">
        <f>'내역서(표준단가)'!H24</f>
        <v>0</v>
      </c>
      <c r="E25" s="18">
        <f>'내역서(표준단가)'!I24</f>
        <v>0</v>
      </c>
      <c r="F25" s="18">
        <f>'내역서(표준단가)'!M24</f>
        <v>0</v>
      </c>
    </row>
    <row r="26" spans="1:6">
      <c r="A26" s="17">
        <f>'내역서(표준단가)'!E25</f>
        <v>0</v>
      </c>
      <c r="B26" s="18">
        <f>'내역서(표준단가)'!F25</f>
        <v>0</v>
      </c>
      <c r="C26" s="18">
        <f>'내역서(표준단가)'!G25</f>
        <v>0</v>
      </c>
      <c r="D26" s="18">
        <f>'내역서(표준단가)'!H25</f>
        <v>0</v>
      </c>
      <c r="E26" s="18">
        <f>'내역서(표준단가)'!I25</f>
        <v>0</v>
      </c>
      <c r="F26" s="18">
        <f>'내역서(표준단가)'!M25</f>
        <v>0</v>
      </c>
    </row>
    <row r="27" spans="1:6">
      <c r="A27" s="17">
        <f>'내역서(표준단가)'!E32</f>
        <v>0</v>
      </c>
      <c r="B27" s="18">
        <f>'내역서(표준단가)'!F32</f>
        <v>0</v>
      </c>
      <c r="C27" s="18">
        <f>'내역서(표준단가)'!G32</f>
        <v>0</v>
      </c>
      <c r="D27" s="18">
        <f>'내역서(표준단가)'!H32</f>
        <v>0</v>
      </c>
      <c r="E27" s="18">
        <f>'내역서(표준단가)'!I32</f>
        <v>0</v>
      </c>
      <c r="F27" s="18">
        <f>'내역서(표준단가)'!M32</f>
        <v>0</v>
      </c>
    </row>
    <row r="28" spans="1:6">
      <c r="A28" s="17">
        <f>'내역서(표준단가)'!E33</f>
        <v>0</v>
      </c>
      <c r="B28" s="18">
        <f>'내역서(표준단가)'!F33</f>
        <v>0</v>
      </c>
      <c r="C28" s="18">
        <f>'내역서(표준단가)'!G33</f>
        <v>0</v>
      </c>
      <c r="D28" s="18">
        <f>'내역서(표준단가)'!H33</f>
        <v>0</v>
      </c>
      <c r="E28" s="18">
        <f>'내역서(표준단가)'!I33</f>
        <v>0</v>
      </c>
      <c r="F28" s="18">
        <f>'내역서(표준단가)'!M33</f>
        <v>0</v>
      </c>
    </row>
    <row r="29" spans="1:6">
      <c r="A29" s="17">
        <f>'내역서(표준단가)'!E34</f>
        <v>0</v>
      </c>
      <c r="B29" s="18">
        <f>'내역서(표준단가)'!F34</f>
        <v>0</v>
      </c>
      <c r="C29" s="18">
        <f>'내역서(표준단가)'!G34</f>
        <v>0</v>
      </c>
      <c r="D29" s="18">
        <f>'내역서(표준단가)'!H34</f>
        <v>0</v>
      </c>
      <c r="E29" s="18">
        <f>'내역서(표준단가)'!I34</f>
        <v>0</v>
      </c>
      <c r="F29" s="18">
        <f>'내역서(표준단가)'!M34</f>
        <v>0</v>
      </c>
    </row>
    <row r="30" spans="1:6">
      <c r="A30" s="17">
        <f>'내역서(표준단가)'!E35</f>
        <v>0</v>
      </c>
      <c r="B30" s="18">
        <f>'내역서(표준단가)'!F35</f>
        <v>0</v>
      </c>
      <c r="C30" s="18">
        <f>'내역서(표준단가)'!G35</f>
        <v>0</v>
      </c>
      <c r="D30" s="18">
        <f>'내역서(표준단가)'!H35</f>
        <v>0</v>
      </c>
      <c r="E30" s="18">
        <f>'내역서(표준단가)'!I35</f>
        <v>0</v>
      </c>
      <c r="F30" s="18">
        <f>'내역서(표준단가)'!M35</f>
        <v>0</v>
      </c>
    </row>
    <row r="31" spans="1:6">
      <c r="A31" s="17">
        <f>'내역서(표준단가)'!E36</f>
        <v>0</v>
      </c>
      <c r="B31" s="18">
        <f>'내역서(표준단가)'!F36</f>
        <v>0</v>
      </c>
      <c r="C31" s="18">
        <f>'내역서(표준단가)'!G36</f>
        <v>0</v>
      </c>
      <c r="D31" s="18">
        <f>'내역서(표준단가)'!H36</f>
        <v>0</v>
      </c>
      <c r="E31" s="18">
        <f>'내역서(표준단가)'!I36</f>
        <v>0</v>
      </c>
      <c r="F31" s="18">
        <f>'내역서(표준단가)'!M36</f>
        <v>0</v>
      </c>
    </row>
    <row r="32" spans="1:6">
      <c r="A32" s="17">
        <f>'내역서(표준단가)'!E37</f>
        <v>0</v>
      </c>
      <c r="B32" s="18">
        <f>'내역서(표준단가)'!F37</f>
        <v>0</v>
      </c>
      <c r="C32" s="18">
        <f>'내역서(표준단가)'!G37</f>
        <v>0</v>
      </c>
      <c r="D32" s="18">
        <f>'내역서(표준단가)'!H37</f>
        <v>0</v>
      </c>
      <c r="E32" s="18">
        <f>'내역서(표준단가)'!I37</f>
        <v>0</v>
      </c>
      <c r="F32" s="18">
        <f>'내역서(표준단가)'!M37</f>
        <v>0</v>
      </c>
    </row>
    <row r="33" spans="1:6">
      <c r="A33" s="17">
        <f>'내역서(표준단가)'!E38</f>
        <v>0</v>
      </c>
      <c r="B33" s="18">
        <f>'내역서(표준단가)'!F38</f>
        <v>0</v>
      </c>
      <c r="C33" s="18">
        <f>'내역서(표준단가)'!G38</f>
        <v>0</v>
      </c>
      <c r="D33" s="18">
        <f>'내역서(표준단가)'!H38</f>
        <v>0</v>
      </c>
      <c r="E33" s="18">
        <f>'내역서(표준단가)'!I38</f>
        <v>0</v>
      </c>
      <c r="F33" s="18">
        <f>'내역서(표준단가)'!M38</f>
        <v>0</v>
      </c>
    </row>
    <row r="34" spans="1:6">
      <c r="A34" s="17">
        <f>'내역서(표준단가)'!E39</f>
        <v>0</v>
      </c>
      <c r="B34" s="18">
        <f>'내역서(표준단가)'!F39</f>
        <v>0</v>
      </c>
      <c r="C34" s="18">
        <f>'내역서(표준단가)'!G39</f>
        <v>0</v>
      </c>
      <c r="D34" s="18">
        <f>'내역서(표준단가)'!H39</f>
        <v>0</v>
      </c>
      <c r="E34" s="18">
        <f>'내역서(표준단가)'!I39</f>
        <v>0</v>
      </c>
      <c r="F34" s="18">
        <f>'내역서(표준단가)'!M39</f>
        <v>0</v>
      </c>
    </row>
    <row r="35" spans="1:6">
      <c r="A35" s="17">
        <f>'내역서(표준단가)'!E40</f>
        <v>0</v>
      </c>
      <c r="B35" s="18">
        <f>'내역서(표준단가)'!F40</f>
        <v>0</v>
      </c>
      <c r="C35" s="18">
        <f>'내역서(표준단가)'!G40</f>
        <v>0</v>
      </c>
      <c r="D35" s="18">
        <f>'내역서(표준단가)'!H40</f>
        <v>0</v>
      </c>
      <c r="E35" s="18">
        <f>'내역서(표준단가)'!I40</f>
        <v>0</v>
      </c>
      <c r="F35" s="18">
        <f>'내역서(표준단가)'!M40</f>
        <v>0</v>
      </c>
    </row>
    <row r="36" spans="1:6">
      <c r="A36" s="17">
        <f>'내역서(표준단가)'!E41</f>
        <v>0</v>
      </c>
      <c r="B36" s="18">
        <f>'내역서(표준단가)'!F41</f>
        <v>0</v>
      </c>
      <c r="C36" s="18">
        <f>'내역서(표준단가)'!G41</f>
        <v>0</v>
      </c>
      <c r="D36" s="18">
        <f>'내역서(표준단가)'!H41</f>
        <v>0</v>
      </c>
      <c r="E36" s="18">
        <f>'내역서(표준단가)'!I41</f>
        <v>0</v>
      </c>
      <c r="F36" s="18">
        <f>'내역서(표준단가)'!M41</f>
        <v>0</v>
      </c>
    </row>
    <row r="37" spans="1:6">
      <c r="A37" s="17">
        <f>'내역서(표준단가)'!E42</f>
        <v>0</v>
      </c>
      <c r="B37" s="18">
        <f>'내역서(표준단가)'!F42</f>
        <v>0</v>
      </c>
      <c r="C37" s="18">
        <f>'내역서(표준단가)'!G42</f>
        <v>0</v>
      </c>
      <c r="D37" s="18">
        <f>'내역서(표준단가)'!H42</f>
        <v>0</v>
      </c>
      <c r="E37" s="18">
        <f>'내역서(표준단가)'!I42</f>
        <v>0</v>
      </c>
      <c r="F37" s="18">
        <f>'내역서(표준단가)'!M42</f>
        <v>0</v>
      </c>
    </row>
    <row r="38" spans="1:6">
      <c r="A38" s="17">
        <f>'내역서(표준단가)'!E43</f>
        <v>0</v>
      </c>
      <c r="B38" s="18">
        <f>'내역서(표준단가)'!F43</f>
        <v>0</v>
      </c>
      <c r="C38" s="18">
        <f>'내역서(표준단가)'!G43</f>
        <v>0</v>
      </c>
      <c r="D38" s="18">
        <f>'내역서(표준단가)'!H43</f>
        <v>0</v>
      </c>
      <c r="E38" s="18">
        <f>'내역서(표준단가)'!I43</f>
        <v>0</v>
      </c>
      <c r="F38" s="18">
        <f>'내역서(표준단가)'!M43</f>
        <v>0</v>
      </c>
    </row>
    <row r="39" spans="1:6">
      <c r="A39" s="17">
        <f>'내역서(표준단가)'!E44</f>
        <v>0</v>
      </c>
      <c r="B39" s="18">
        <f>'내역서(표준단가)'!F44</f>
        <v>0</v>
      </c>
      <c r="C39" s="18">
        <f>'내역서(표준단가)'!G44</f>
        <v>0</v>
      </c>
      <c r="D39" s="18">
        <f>'내역서(표준단가)'!H44</f>
        <v>0</v>
      </c>
      <c r="E39" s="18">
        <f>'내역서(표준단가)'!I44</f>
        <v>0</v>
      </c>
      <c r="F39" s="18">
        <f>'내역서(표준단가)'!M44</f>
        <v>0</v>
      </c>
    </row>
    <row r="40" spans="1:6">
      <c r="A40" s="17">
        <f>'내역서(표준단가)'!E45</f>
        <v>0</v>
      </c>
      <c r="B40" s="18">
        <f>'내역서(표준단가)'!F45</f>
        <v>0</v>
      </c>
      <c r="C40" s="18">
        <f>'내역서(표준단가)'!G45</f>
        <v>0</v>
      </c>
      <c r="D40" s="18">
        <f>'내역서(표준단가)'!H45</f>
        <v>0</v>
      </c>
      <c r="E40" s="18">
        <f>'내역서(표준단가)'!I45</f>
        <v>0</v>
      </c>
      <c r="F40" s="18">
        <f>'내역서(표준단가)'!M45</f>
        <v>0</v>
      </c>
    </row>
    <row r="41" spans="1:6">
      <c r="A41" s="17">
        <f>'내역서(표준단가)'!E46</f>
        <v>0</v>
      </c>
      <c r="B41" s="18">
        <f>'내역서(표준단가)'!F46</f>
        <v>0</v>
      </c>
      <c r="C41" s="18">
        <f>'내역서(표준단가)'!G46</f>
        <v>0</v>
      </c>
      <c r="D41" s="18">
        <f>'내역서(표준단가)'!H46</f>
        <v>0</v>
      </c>
      <c r="E41" s="18">
        <f>'내역서(표준단가)'!I46</f>
        <v>0</v>
      </c>
      <c r="F41" s="18">
        <f>'내역서(표준단가)'!M46</f>
        <v>0</v>
      </c>
    </row>
    <row r="42" spans="1:6">
      <c r="A42" s="17">
        <f>'내역서(표준단가)'!E47</f>
        <v>0</v>
      </c>
      <c r="B42" s="18">
        <f>'내역서(표준단가)'!F47</f>
        <v>0</v>
      </c>
      <c r="C42" s="18">
        <f>'내역서(표준단가)'!G47</f>
        <v>0</v>
      </c>
      <c r="D42" s="18">
        <f>'내역서(표준단가)'!H47</f>
        <v>0</v>
      </c>
      <c r="E42" s="18">
        <f>'내역서(표준단가)'!I47</f>
        <v>0</v>
      </c>
      <c r="F42" s="18">
        <f>'내역서(표준단가)'!M47</f>
        <v>0</v>
      </c>
    </row>
    <row r="43" spans="1:6">
      <c r="A43" s="17">
        <f>'내역서(표준단가)'!E48</f>
        <v>0</v>
      </c>
      <c r="B43" s="18">
        <f>'내역서(표준단가)'!F48</f>
        <v>0</v>
      </c>
      <c r="C43" s="18">
        <f>'내역서(표준단가)'!G48</f>
        <v>0</v>
      </c>
      <c r="D43" s="18">
        <f>'내역서(표준단가)'!H48</f>
        <v>0</v>
      </c>
      <c r="E43" s="18">
        <f>'내역서(표준단가)'!I48</f>
        <v>0</v>
      </c>
      <c r="F43" s="18">
        <f>'내역서(표준단가)'!M48</f>
        <v>0</v>
      </c>
    </row>
    <row r="44" spans="1:6">
      <c r="A44" s="17">
        <f>'내역서(표준단가)'!E49</f>
        <v>0</v>
      </c>
      <c r="B44" s="18">
        <f>'내역서(표준단가)'!F49</f>
        <v>0</v>
      </c>
      <c r="C44" s="18">
        <f>'내역서(표준단가)'!G49</f>
        <v>0</v>
      </c>
      <c r="D44" s="18">
        <f>'내역서(표준단가)'!H49</f>
        <v>0</v>
      </c>
      <c r="E44" s="18">
        <f>'내역서(표준단가)'!I49</f>
        <v>0</v>
      </c>
      <c r="F44" s="18">
        <f>'내역서(표준단가)'!M49</f>
        <v>0</v>
      </c>
    </row>
    <row r="45" spans="1:6">
      <c r="A45" s="17">
        <f>'내역서(표준단가)'!E50</f>
        <v>0</v>
      </c>
      <c r="B45" s="18">
        <f>'내역서(표준단가)'!F50</f>
        <v>0</v>
      </c>
      <c r="C45" s="18">
        <f>'내역서(표준단가)'!G50</f>
        <v>0</v>
      </c>
      <c r="D45" s="18">
        <f>'내역서(표준단가)'!H50</f>
        <v>0</v>
      </c>
      <c r="E45" s="18">
        <f>'내역서(표준단가)'!I50</f>
        <v>0</v>
      </c>
      <c r="F45" s="18">
        <f>'내역서(표준단가)'!M50</f>
        <v>0</v>
      </c>
    </row>
    <row r="46" spans="1:6">
      <c r="A46" s="17">
        <f>'내역서(표준단가)'!E51</f>
        <v>0</v>
      </c>
      <c r="B46" s="18">
        <f>'내역서(표준단가)'!F51</f>
        <v>0</v>
      </c>
      <c r="C46" s="18">
        <f>'내역서(표준단가)'!G51</f>
        <v>0</v>
      </c>
      <c r="D46" s="18">
        <f>'내역서(표준단가)'!H51</f>
        <v>0</v>
      </c>
      <c r="E46" s="18">
        <f>'내역서(표준단가)'!I51</f>
        <v>0</v>
      </c>
      <c r="F46" s="18">
        <f>'내역서(표준단가)'!M51</f>
        <v>0</v>
      </c>
    </row>
    <row r="47" spans="1:6">
      <c r="A47" s="17">
        <f>'내역서(표준단가)'!E52</f>
        <v>0</v>
      </c>
      <c r="B47" s="18">
        <f>'내역서(표준단가)'!F52</f>
        <v>0</v>
      </c>
      <c r="C47" s="18">
        <f>'내역서(표준단가)'!G52</f>
        <v>0</v>
      </c>
      <c r="D47" s="18">
        <f>'내역서(표준단가)'!H52</f>
        <v>0</v>
      </c>
      <c r="E47" s="18">
        <f>'내역서(표준단가)'!I52</f>
        <v>0</v>
      </c>
      <c r="F47" s="18">
        <f>'내역서(표준단가)'!M52</f>
        <v>0</v>
      </c>
    </row>
    <row r="48" spans="1:6">
      <c r="A48" s="17">
        <f>'내역서(표준단가)'!E53</f>
        <v>0</v>
      </c>
      <c r="B48" s="18">
        <f>'내역서(표준단가)'!F53</f>
        <v>0</v>
      </c>
      <c r="C48" s="18">
        <f>'내역서(표준단가)'!G53</f>
        <v>0</v>
      </c>
      <c r="D48" s="18">
        <f>'내역서(표준단가)'!H53</f>
        <v>0</v>
      </c>
      <c r="E48" s="18">
        <f>'내역서(표준단가)'!I53</f>
        <v>0</v>
      </c>
      <c r="F48" s="18">
        <f>'내역서(표준단가)'!M53</f>
        <v>0</v>
      </c>
    </row>
    <row r="49" spans="1:6">
      <c r="A49" s="17">
        <f>'내역서(표준단가)'!E54</f>
        <v>0</v>
      </c>
      <c r="B49" s="18">
        <f>'내역서(표준단가)'!F54</f>
        <v>0</v>
      </c>
      <c r="C49" s="18">
        <f>'내역서(표준단가)'!G54</f>
        <v>0</v>
      </c>
      <c r="D49" s="18">
        <f>'내역서(표준단가)'!H54</f>
        <v>0</v>
      </c>
      <c r="E49" s="18">
        <f>'내역서(표준단가)'!I54</f>
        <v>0</v>
      </c>
      <c r="F49" s="18">
        <f>'내역서(표준단가)'!M54</f>
        <v>0</v>
      </c>
    </row>
    <row r="50" spans="1:6">
      <c r="A50" s="17">
        <f>'내역서(표준단가)'!E55</f>
        <v>0</v>
      </c>
      <c r="B50" s="18">
        <f>'내역서(표준단가)'!F55</f>
        <v>0</v>
      </c>
      <c r="C50" s="18">
        <f>'내역서(표준단가)'!G55</f>
        <v>0</v>
      </c>
      <c r="D50" s="18">
        <f>'내역서(표준단가)'!H55</f>
        <v>0</v>
      </c>
      <c r="E50" s="18">
        <f>'내역서(표준단가)'!I55</f>
        <v>0</v>
      </c>
      <c r="F50" s="18">
        <f>'내역서(표준단가)'!M55</f>
        <v>0</v>
      </c>
    </row>
    <row r="51" spans="1:6">
      <c r="A51" s="17">
        <f>'내역서(표준단가)'!E56</f>
        <v>0</v>
      </c>
      <c r="B51" s="18">
        <f>'내역서(표준단가)'!F56</f>
        <v>0</v>
      </c>
      <c r="C51" s="18">
        <f>'내역서(표준단가)'!G56</f>
        <v>0</v>
      </c>
      <c r="D51" s="18">
        <f>'내역서(표준단가)'!H56</f>
        <v>0</v>
      </c>
      <c r="E51" s="18">
        <f>'내역서(표준단가)'!I56</f>
        <v>0</v>
      </c>
      <c r="F51" s="18">
        <f>'내역서(표준단가)'!M56</f>
        <v>0</v>
      </c>
    </row>
    <row r="52" spans="1:6">
      <c r="A52" s="17">
        <f>'내역서(표준단가)'!E57</f>
        <v>0</v>
      </c>
      <c r="B52" s="18">
        <f>'내역서(표준단가)'!F57</f>
        <v>0</v>
      </c>
      <c r="C52" s="18">
        <f>'내역서(표준단가)'!G57</f>
        <v>0</v>
      </c>
      <c r="D52" s="18">
        <f>'내역서(표준단가)'!H57</f>
        <v>0</v>
      </c>
      <c r="E52" s="18">
        <f>'내역서(표준단가)'!I57</f>
        <v>0</v>
      </c>
      <c r="F52" s="18">
        <f>'내역서(표준단가)'!M57</f>
        <v>0</v>
      </c>
    </row>
    <row r="53" spans="1:6">
      <c r="A53" s="17">
        <f>'내역서(표준단가)'!E58</f>
        <v>0</v>
      </c>
      <c r="B53" s="18">
        <f>'내역서(표준단가)'!F58</f>
        <v>0</v>
      </c>
      <c r="C53" s="18">
        <f>'내역서(표준단가)'!G58</f>
        <v>0</v>
      </c>
      <c r="D53" s="18">
        <f>'내역서(표준단가)'!H58</f>
        <v>0</v>
      </c>
      <c r="E53" s="18">
        <f>'내역서(표준단가)'!I58</f>
        <v>0</v>
      </c>
      <c r="F53" s="18">
        <f>'내역서(표준단가)'!M58</f>
        <v>0</v>
      </c>
    </row>
    <row r="54" spans="1:6">
      <c r="A54" s="17">
        <f>'내역서(표준단가)'!E59</f>
        <v>0</v>
      </c>
      <c r="B54" s="18">
        <f>'내역서(표준단가)'!F59</f>
        <v>0</v>
      </c>
      <c r="C54" s="18">
        <f>'내역서(표준단가)'!G59</f>
        <v>0</v>
      </c>
      <c r="D54" s="18">
        <f>'내역서(표준단가)'!H59</f>
        <v>0</v>
      </c>
      <c r="E54" s="18">
        <f>'내역서(표준단가)'!I59</f>
        <v>0</v>
      </c>
      <c r="F54" s="18">
        <f>'내역서(표준단가)'!M59</f>
        <v>0</v>
      </c>
    </row>
    <row r="55" spans="1:6">
      <c r="A55" s="17">
        <f>'내역서(표준단가)'!E60</f>
        <v>0</v>
      </c>
      <c r="B55" s="18">
        <f>'내역서(표준단가)'!F60</f>
        <v>0</v>
      </c>
      <c r="C55" s="18">
        <f>'내역서(표준단가)'!G60</f>
        <v>0</v>
      </c>
      <c r="D55" s="18">
        <f>'내역서(표준단가)'!H60</f>
        <v>0</v>
      </c>
      <c r="E55" s="18">
        <f>'내역서(표준단가)'!I60</f>
        <v>0</v>
      </c>
      <c r="F55" s="18">
        <f>'내역서(표준단가)'!M60</f>
        <v>0</v>
      </c>
    </row>
    <row r="56" spans="1:6">
      <c r="A56" s="17">
        <f>'내역서(표준단가)'!E61</f>
        <v>0</v>
      </c>
      <c r="B56" s="18">
        <f>'내역서(표준단가)'!F61</f>
        <v>0</v>
      </c>
      <c r="C56" s="18">
        <f>'내역서(표준단가)'!G61</f>
        <v>0</v>
      </c>
      <c r="D56" s="18">
        <f>'내역서(표준단가)'!H61</f>
        <v>0</v>
      </c>
      <c r="E56" s="18">
        <f>'내역서(표준단가)'!I61</f>
        <v>0</v>
      </c>
      <c r="F56" s="18">
        <f>'내역서(표준단가)'!M61</f>
        <v>0</v>
      </c>
    </row>
    <row r="57" spans="1:6">
      <c r="A57" s="17">
        <f>'내역서(표준단가)'!E62</f>
        <v>0</v>
      </c>
      <c r="B57" s="18">
        <f>'내역서(표준단가)'!F62</f>
        <v>0</v>
      </c>
      <c r="C57" s="18">
        <f>'내역서(표준단가)'!G62</f>
        <v>0</v>
      </c>
      <c r="D57" s="18">
        <f>'내역서(표준단가)'!H62</f>
        <v>0</v>
      </c>
      <c r="E57" s="18">
        <f>'내역서(표준단가)'!I62</f>
        <v>0</v>
      </c>
      <c r="F57" s="18">
        <f>'내역서(표준단가)'!M62</f>
        <v>0</v>
      </c>
    </row>
    <row r="58" spans="1:6">
      <c r="A58" s="17">
        <f>'내역서(표준단가)'!E63</f>
        <v>0</v>
      </c>
      <c r="B58" s="18">
        <f>'내역서(표준단가)'!F63</f>
        <v>0</v>
      </c>
      <c r="C58" s="18">
        <f>'내역서(표준단가)'!G63</f>
        <v>0</v>
      </c>
      <c r="D58" s="18">
        <f>'내역서(표준단가)'!H63</f>
        <v>0</v>
      </c>
      <c r="E58" s="18">
        <f>'내역서(표준단가)'!I63</f>
        <v>0</v>
      </c>
      <c r="F58" s="18">
        <f>'내역서(표준단가)'!M63</f>
        <v>0</v>
      </c>
    </row>
    <row r="59" spans="1:6">
      <c r="A59" s="17">
        <f>'내역서(표준단가)'!E64</f>
        <v>0</v>
      </c>
      <c r="B59" s="18">
        <f>'내역서(표준단가)'!F64</f>
        <v>0</v>
      </c>
      <c r="C59" s="18">
        <f>'내역서(표준단가)'!G64</f>
        <v>0</v>
      </c>
      <c r="D59" s="18">
        <f>'내역서(표준단가)'!H64</f>
        <v>0</v>
      </c>
      <c r="E59" s="18">
        <f>'내역서(표준단가)'!I64</f>
        <v>0</v>
      </c>
      <c r="F59" s="18">
        <f>'내역서(표준단가)'!M64</f>
        <v>0</v>
      </c>
    </row>
    <row r="60" spans="1:6">
      <c r="A60" s="17">
        <f>'내역서(표준단가)'!E65</f>
        <v>0</v>
      </c>
      <c r="B60" s="18">
        <f>'내역서(표준단가)'!F65</f>
        <v>0</v>
      </c>
      <c r="C60" s="18">
        <f>'내역서(표준단가)'!G65</f>
        <v>0</v>
      </c>
      <c r="D60" s="18">
        <f>'내역서(표준단가)'!H65</f>
        <v>0</v>
      </c>
      <c r="E60" s="18">
        <f>'내역서(표준단가)'!I65</f>
        <v>0</v>
      </c>
      <c r="F60" s="18">
        <f>'내역서(표준단가)'!M65</f>
        <v>0</v>
      </c>
    </row>
    <row r="61" spans="1:6">
      <c r="A61" s="17">
        <f>'내역서(표준단가)'!E66</f>
        <v>0</v>
      </c>
      <c r="B61" s="18">
        <f>'내역서(표준단가)'!F66</f>
        <v>0</v>
      </c>
      <c r="C61" s="18">
        <f>'내역서(표준단가)'!G66</f>
        <v>0</v>
      </c>
      <c r="D61" s="18">
        <f>'내역서(표준단가)'!H66</f>
        <v>0</v>
      </c>
      <c r="E61" s="18">
        <f>'내역서(표준단가)'!I66</f>
        <v>0</v>
      </c>
      <c r="F61" s="18">
        <f>'내역서(표준단가)'!M66</f>
        <v>0</v>
      </c>
    </row>
    <row r="62" spans="1:6">
      <c r="A62" s="17">
        <f>'내역서(표준단가)'!E67</f>
        <v>0</v>
      </c>
      <c r="B62" s="18">
        <f>'내역서(표준단가)'!F67</f>
        <v>0</v>
      </c>
      <c r="C62" s="18">
        <f>'내역서(표준단가)'!G67</f>
        <v>0</v>
      </c>
      <c r="D62" s="18">
        <f>'내역서(표준단가)'!H67</f>
        <v>0</v>
      </c>
      <c r="E62" s="18">
        <f>'내역서(표준단가)'!I67</f>
        <v>0</v>
      </c>
      <c r="F62" s="18">
        <f>'내역서(표준단가)'!M67</f>
        <v>0</v>
      </c>
    </row>
    <row r="63" spans="1:6">
      <c r="A63" s="17">
        <f>'내역서(표준단가)'!E68</f>
        <v>0</v>
      </c>
      <c r="B63" s="18">
        <f>'내역서(표준단가)'!F68</f>
        <v>0</v>
      </c>
      <c r="C63" s="18">
        <f>'내역서(표준단가)'!G68</f>
        <v>0</v>
      </c>
      <c r="D63" s="18">
        <f>'내역서(표준단가)'!H68</f>
        <v>0</v>
      </c>
      <c r="E63" s="18">
        <f>'내역서(표준단가)'!I68</f>
        <v>0</v>
      </c>
      <c r="F63" s="18">
        <f>'내역서(표준단가)'!M68</f>
        <v>0</v>
      </c>
    </row>
    <row r="64" spans="1:6">
      <c r="A64" s="17">
        <f>'내역서(표준단가)'!E69</f>
        <v>0</v>
      </c>
      <c r="B64" s="18">
        <f>'내역서(표준단가)'!F69</f>
        <v>0</v>
      </c>
      <c r="C64" s="18">
        <f>'내역서(표준단가)'!G69</f>
        <v>0</v>
      </c>
      <c r="D64" s="18">
        <f>'내역서(표준단가)'!H69</f>
        <v>0</v>
      </c>
      <c r="E64" s="18">
        <f>'내역서(표준단가)'!I69</f>
        <v>0</v>
      </c>
      <c r="F64" s="18">
        <f>'내역서(표준단가)'!M69</f>
        <v>0</v>
      </c>
    </row>
    <row r="65" spans="1:6">
      <c r="A65" s="17">
        <f>'내역서(표준단가)'!E70</f>
        <v>0</v>
      </c>
      <c r="B65" s="18">
        <f>'내역서(표준단가)'!F70</f>
        <v>0</v>
      </c>
      <c r="C65" s="18">
        <f>'내역서(표준단가)'!G70</f>
        <v>0</v>
      </c>
      <c r="D65" s="18">
        <f>'내역서(표준단가)'!H70</f>
        <v>0</v>
      </c>
      <c r="E65" s="18">
        <f>'내역서(표준단가)'!I70</f>
        <v>0</v>
      </c>
      <c r="F65" s="18">
        <f>'내역서(표준단가)'!M70</f>
        <v>0</v>
      </c>
    </row>
    <row r="66" spans="1:6">
      <c r="A66" s="17">
        <f>'내역서(표준단가)'!E71</f>
        <v>0</v>
      </c>
      <c r="B66" s="18">
        <f>'내역서(표준단가)'!F71</f>
        <v>0</v>
      </c>
      <c r="C66" s="18">
        <f>'내역서(표준단가)'!G71</f>
        <v>0</v>
      </c>
      <c r="D66" s="18">
        <f>'내역서(표준단가)'!H71</f>
        <v>0</v>
      </c>
      <c r="E66" s="18">
        <f>'내역서(표준단가)'!I71</f>
        <v>0</v>
      </c>
      <c r="F66" s="18">
        <f>'내역서(표준단가)'!M71</f>
        <v>0</v>
      </c>
    </row>
    <row r="67" spans="1:6">
      <c r="A67" s="17">
        <f>'내역서(표준단가)'!E72</f>
        <v>0</v>
      </c>
      <c r="B67" s="18">
        <f>'내역서(표준단가)'!F72</f>
        <v>0</v>
      </c>
      <c r="C67" s="18">
        <f>'내역서(표준단가)'!G72</f>
        <v>0</v>
      </c>
      <c r="D67" s="18">
        <f>'내역서(표준단가)'!H72</f>
        <v>0</v>
      </c>
      <c r="E67" s="18">
        <f>'내역서(표준단가)'!I72</f>
        <v>0</v>
      </c>
      <c r="F67" s="18">
        <f>'내역서(표준단가)'!M72</f>
        <v>0</v>
      </c>
    </row>
    <row r="68" spans="1:6">
      <c r="A68" s="17">
        <f>'내역서(표준단가)'!E73</f>
        <v>0</v>
      </c>
      <c r="B68" s="18">
        <f>'내역서(표준단가)'!F73</f>
        <v>0</v>
      </c>
      <c r="C68" s="18">
        <f>'내역서(표준단가)'!G73</f>
        <v>0</v>
      </c>
      <c r="D68" s="18">
        <f>'내역서(표준단가)'!H73</f>
        <v>0</v>
      </c>
      <c r="E68" s="18">
        <f>'내역서(표준단가)'!I73</f>
        <v>0</v>
      </c>
      <c r="F68" s="18">
        <f>'내역서(표준단가)'!M73</f>
        <v>0</v>
      </c>
    </row>
    <row r="69" spans="1:6">
      <c r="A69" s="17">
        <f>'내역서(표준단가)'!E74</f>
        <v>0</v>
      </c>
      <c r="B69" s="18">
        <f>'내역서(표준단가)'!F74</f>
        <v>0</v>
      </c>
      <c r="C69" s="18">
        <f>'내역서(표준단가)'!G74</f>
        <v>0</v>
      </c>
      <c r="D69" s="18">
        <f>'내역서(표준단가)'!H74</f>
        <v>0</v>
      </c>
      <c r="E69" s="18">
        <f>'내역서(표준단가)'!I74</f>
        <v>0</v>
      </c>
      <c r="F69" s="18">
        <f>'내역서(표준단가)'!M74</f>
        <v>0</v>
      </c>
    </row>
    <row r="70" spans="1:6">
      <c r="A70" s="17">
        <f>'내역서(표준단가)'!E75</f>
        <v>0</v>
      </c>
      <c r="B70" s="18">
        <f>'내역서(표준단가)'!F75</f>
        <v>0</v>
      </c>
      <c r="C70" s="18">
        <f>'내역서(표준단가)'!G75</f>
        <v>0</v>
      </c>
      <c r="D70" s="18">
        <f>'내역서(표준단가)'!H75</f>
        <v>0</v>
      </c>
      <c r="E70" s="18">
        <f>'내역서(표준단가)'!I75</f>
        <v>0</v>
      </c>
      <c r="F70" s="18">
        <f>'내역서(표준단가)'!M75</f>
        <v>0</v>
      </c>
    </row>
    <row r="71" spans="1:6">
      <c r="A71" s="17">
        <f>'내역서(표준단가)'!E76</f>
        <v>0</v>
      </c>
      <c r="B71" s="18">
        <f>'내역서(표준단가)'!F76</f>
        <v>0</v>
      </c>
      <c r="C71" s="18">
        <f>'내역서(표준단가)'!G76</f>
        <v>0</v>
      </c>
      <c r="D71" s="18">
        <f>'내역서(표준단가)'!H76</f>
        <v>0</v>
      </c>
      <c r="E71" s="18">
        <f>'내역서(표준단가)'!I76</f>
        <v>0</v>
      </c>
      <c r="F71" s="18">
        <f>'내역서(표준단가)'!M76</f>
        <v>0</v>
      </c>
    </row>
    <row r="72" spans="1:6">
      <c r="A72" s="17">
        <f>'내역서(표준단가)'!E77</f>
        <v>0</v>
      </c>
      <c r="B72" s="18">
        <f>'내역서(표준단가)'!F77</f>
        <v>0</v>
      </c>
      <c r="C72" s="18">
        <f>'내역서(표준단가)'!G77</f>
        <v>0</v>
      </c>
      <c r="D72" s="18">
        <f>'내역서(표준단가)'!H77</f>
        <v>0</v>
      </c>
      <c r="E72" s="18">
        <f>'내역서(표준단가)'!I77</f>
        <v>0</v>
      </c>
      <c r="F72" s="18">
        <f>'내역서(표준단가)'!M77</f>
        <v>0</v>
      </c>
    </row>
    <row r="73" spans="1:6">
      <c r="A73" s="17">
        <f>'내역서(표준단가)'!E78</f>
        <v>0</v>
      </c>
      <c r="B73" s="18">
        <f>'내역서(표준단가)'!F78</f>
        <v>0</v>
      </c>
      <c r="C73" s="18">
        <f>'내역서(표준단가)'!G78</f>
        <v>0</v>
      </c>
      <c r="D73" s="18">
        <f>'내역서(표준단가)'!H78</f>
        <v>0</v>
      </c>
      <c r="E73" s="18">
        <f>'내역서(표준단가)'!I78</f>
        <v>0</v>
      </c>
      <c r="F73" s="18">
        <f>'내역서(표준단가)'!M78</f>
        <v>0</v>
      </c>
    </row>
    <row r="74" spans="1:6">
      <c r="A74" s="17">
        <f>'내역서(표준단가)'!E79</f>
        <v>0</v>
      </c>
      <c r="B74" s="18">
        <f>'내역서(표준단가)'!F79</f>
        <v>0</v>
      </c>
      <c r="C74" s="18">
        <f>'내역서(표준단가)'!G79</f>
        <v>0</v>
      </c>
      <c r="D74" s="18">
        <f>'내역서(표준단가)'!H79</f>
        <v>0</v>
      </c>
      <c r="E74" s="18">
        <f>'내역서(표준단가)'!I79</f>
        <v>0</v>
      </c>
      <c r="F74" s="18">
        <f>'내역서(표준단가)'!M79</f>
        <v>0</v>
      </c>
    </row>
    <row r="75" spans="1:6">
      <c r="A75" s="17">
        <f>'내역서(표준단가)'!E80</f>
        <v>0</v>
      </c>
      <c r="B75" s="18">
        <f>'내역서(표준단가)'!F80</f>
        <v>0</v>
      </c>
      <c r="C75" s="18">
        <f>'내역서(표준단가)'!G80</f>
        <v>0</v>
      </c>
      <c r="D75" s="18">
        <f>'내역서(표준단가)'!H80</f>
        <v>0</v>
      </c>
      <c r="E75" s="18">
        <f>'내역서(표준단가)'!I80</f>
        <v>0</v>
      </c>
      <c r="F75" s="18">
        <f>'내역서(표준단가)'!M80</f>
        <v>0</v>
      </c>
    </row>
    <row r="76" spans="1:6">
      <c r="A76" s="17">
        <f>'내역서(표준단가)'!E81</f>
        <v>0</v>
      </c>
      <c r="B76" s="18">
        <f>'내역서(표준단가)'!F81</f>
        <v>0</v>
      </c>
      <c r="C76" s="18">
        <f>'내역서(표준단가)'!G81</f>
        <v>0</v>
      </c>
      <c r="D76" s="18">
        <f>'내역서(표준단가)'!H81</f>
        <v>0</v>
      </c>
      <c r="E76" s="18">
        <f>'내역서(표준단가)'!I81</f>
        <v>0</v>
      </c>
      <c r="F76" s="18">
        <f>'내역서(표준단가)'!M81</f>
        <v>0</v>
      </c>
    </row>
    <row r="77" spans="1:6">
      <c r="A77" s="17">
        <f>'내역서(표준단가)'!E82</f>
        <v>0</v>
      </c>
      <c r="B77" s="18">
        <f>'내역서(표준단가)'!F82</f>
        <v>0</v>
      </c>
      <c r="C77" s="18">
        <f>'내역서(표준단가)'!G82</f>
        <v>0</v>
      </c>
      <c r="D77" s="18">
        <f>'내역서(표준단가)'!H82</f>
        <v>0</v>
      </c>
      <c r="E77" s="18">
        <f>'내역서(표준단가)'!I82</f>
        <v>0</v>
      </c>
      <c r="F77" s="18">
        <f>'내역서(표준단가)'!M82</f>
        <v>0</v>
      </c>
    </row>
    <row r="78" spans="1:6">
      <c r="A78" s="17">
        <f>'내역서(표준단가)'!E83</f>
        <v>0</v>
      </c>
      <c r="B78" s="18">
        <f>'내역서(표준단가)'!F83</f>
        <v>0</v>
      </c>
      <c r="C78" s="18">
        <f>'내역서(표준단가)'!G83</f>
        <v>0</v>
      </c>
      <c r="D78" s="18">
        <f>'내역서(표준단가)'!H83</f>
        <v>0</v>
      </c>
      <c r="E78" s="18">
        <f>'내역서(표준단가)'!I83</f>
        <v>0</v>
      </c>
      <c r="F78" s="18">
        <f>'내역서(표준단가)'!M83</f>
        <v>0</v>
      </c>
    </row>
    <row r="79" spans="1:6">
      <c r="A79" s="17">
        <f>'내역서(표준단가)'!E84</f>
        <v>0</v>
      </c>
      <c r="B79" s="18">
        <f>'내역서(표준단가)'!F84</f>
        <v>0</v>
      </c>
      <c r="C79" s="18">
        <f>'내역서(표준단가)'!G84</f>
        <v>0</v>
      </c>
      <c r="D79" s="18">
        <f>'내역서(표준단가)'!H84</f>
        <v>0</v>
      </c>
      <c r="E79" s="18">
        <f>'내역서(표준단가)'!I84</f>
        <v>0</v>
      </c>
      <c r="F79" s="18">
        <f>'내역서(표준단가)'!M84</f>
        <v>0</v>
      </c>
    </row>
    <row r="80" spans="1:6">
      <c r="A80" s="17">
        <f>'내역서(표준단가)'!E85</f>
        <v>0</v>
      </c>
      <c r="B80" s="18">
        <f>'내역서(표준단가)'!F85</f>
        <v>0</v>
      </c>
      <c r="C80" s="18">
        <f>'내역서(표준단가)'!G85</f>
        <v>0</v>
      </c>
      <c r="D80" s="18">
        <f>'내역서(표준단가)'!H85</f>
        <v>0</v>
      </c>
      <c r="E80" s="18">
        <f>'내역서(표준단가)'!I85</f>
        <v>0</v>
      </c>
      <c r="F80" s="18">
        <f>'내역서(표준단가)'!M85</f>
        <v>0</v>
      </c>
    </row>
    <row r="81" spans="1:6">
      <c r="A81" s="17">
        <f>'내역서(표준단가)'!E86</f>
        <v>0</v>
      </c>
      <c r="B81" s="18">
        <f>'내역서(표준단가)'!F86</f>
        <v>0</v>
      </c>
      <c r="C81" s="18">
        <f>'내역서(표준단가)'!G86</f>
        <v>0</v>
      </c>
      <c r="D81" s="18">
        <f>'내역서(표준단가)'!H86</f>
        <v>0</v>
      </c>
      <c r="E81" s="18">
        <f>'내역서(표준단가)'!I86</f>
        <v>0</v>
      </c>
      <c r="F81" s="18">
        <f>'내역서(표준단가)'!M86</f>
        <v>0</v>
      </c>
    </row>
    <row r="82" spans="1:6">
      <c r="A82" s="17">
        <f>'내역서(표준단가)'!E87</f>
        <v>0</v>
      </c>
      <c r="B82" s="18">
        <f>'내역서(표준단가)'!F87</f>
        <v>0</v>
      </c>
      <c r="C82" s="18">
        <f>'내역서(표준단가)'!G87</f>
        <v>0</v>
      </c>
      <c r="D82" s="18">
        <f>'내역서(표준단가)'!H87</f>
        <v>0</v>
      </c>
      <c r="E82" s="18">
        <f>'내역서(표준단가)'!I87</f>
        <v>0</v>
      </c>
      <c r="F82" s="18">
        <f>'내역서(표준단가)'!M87</f>
        <v>0</v>
      </c>
    </row>
    <row r="83" spans="1:6">
      <c r="A83" s="17">
        <f>'내역서(표준단가)'!E88</f>
        <v>0</v>
      </c>
      <c r="B83" s="18">
        <f>'내역서(표준단가)'!F88</f>
        <v>0</v>
      </c>
      <c r="C83" s="18">
        <f>'내역서(표준단가)'!G88</f>
        <v>0</v>
      </c>
      <c r="D83" s="18">
        <f>'내역서(표준단가)'!H88</f>
        <v>0</v>
      </c>
      <c r="E83" s="18">
        <f>'내역서(표준단가)'!I88</f>
        <v>0</v>
      </c>
      <c r="F83" s="18">
        <f>'내역서(표준단가)'!M88</f>
        <v>0</v>
      </c>
    </row>
    <row r="84" spans="1:6">
      <c r="A84" s="17">
        <f>'내역서(표준단가)'!E89</f>
        <v>0</v>
      </c>
      <c r="B84" s="18">
        <f>'내역서(표준단가)'!F89</f>
        <v>0</v>
      </c>
      <c r="C84" s="18">
        <f>'내역서(표준단가)'!G89</f>
        <v>0</v>
      </c>
      <c r="D84" s="18">
        <f>'내역서(표준단가)'!H89</f>
        <v>0</v>
      </c>
      <c r="E84" s="18">
        <f>'내역서(표준단가)'!I89</f>
        <v>0</v>
      </c>
      <c r="F84" s="18">
        <f>'내역서(표준단가)'!M89</f>
        <v>0</v>
      </c>
    </row>
    <row r="85" spans="1:6">
      <c r="A85" s="17">
        <f>'내역서(표준단가)'!E90</f>
        <v>0</v>
      </c>
      <c r="B85" s="18">
        <f>'내역서(표준단가)'!F90</f>
        <v>0</v>
      </c>
      <c r="C85" s="18">
        <f>'내역서(표준단가)'!G90</f>
        <v>0</v>
      </c>
      <c r="D85" s="18">
        <f>'내역서(표준단가)'!H90</f>
        <v>0</v>
      </c>
      <c r="E85" s="18">
        <f>'내역서(표준단가)'!I90</f>
        <v>0</v>
      </c>
      <c r="F85" s="18">
        <f>'내역서(표준단가)'!M90</f>
        <v>0</v>
      </c>
    </row>
    <row r="86" spans="1:6">
      <c r="A86" s="17">
        <f>'내역서(표준단가)'!E91</f>
        <v>0</v>
      </c>
      <c r="B86" s="18">
        <f>'내역서(표준단가)'!F91</f>
        <v>0</v>
      </c>
      <c r="C86" s="18">
        <f>'내역서(표준단가)'!G91</f>
        <v>0</v>
      </c>
      <c r="D86" s="18">
        <f>'내역서(표준단가)'!H91</f>
        <v>0</v>
      </c>
      <c r="E86" s="18">
        <f>'내역서(표준단가)'!I91</f>
        <v>0</v>
      </c>
      <c r="F86" s="18">
        <f>'내역서(표준단가)'!M91</f>
        <v>0</v>
      </c>
    </row>
    <row r="87" spans="1:6">
      <c r="A87" s="17">
        <f>'내역서(표준단가)'!E92</f>
        <v>0</v>
      </c>
      <c r="B87" s="18">
        <f>'내역서(표준단가)'!F92</f>
        <v>0</v>
      </c>
      <c r="C87" s="18">
        <f>'내역서(표준단가)'!G92</f>
        <v>0</v>
      </c>
      <c r="D87" s="18">
        <f>'내역서(표준단가)'!H92</f>
        <v>0</v>
      </c>
      <c r="E87" s="18">
        <f>'내역서(표준단가)'!I92</f>
        <v>0</v>
      </c>
      <c r="F87" s="18">
        <f>'내역서(표준단가)'!M92</f>
        <v>0</v>
      </c>
    </row>
    <row r="88" spans="1:6">
      <c r="A88" s="17">
        <f>'내역서(표준단가)'!E93</f>
        <v>0</v>
      </c>
      <c r="B88" s="18">
        <f>'내역서(표준단가)'!F93</f>
        <v>0</v>
      </c>
      <c r="C88" s="18">
        <f>'내역서(표준단가)'!G93</f>
        <v>0</v>
      </c>
      <c r="D88" s="18">
        <f>'내역서(표준단가)'!H93</f>
        <v>0</v>
      </c>
      <c r="E88" s="18">
        <f>'내역서(표준단가)'!I93</f>
        <v>0</v>
      </c>
      <c r="F88" s="18">
        <f>'내역서(표준단가)'!M93</f>
        <v>0</v>
      </c>
    </row>
    <row r="89" spans="1:6">
      <c r="A89" s="17">
        <f>'내역서(표준단가)'!E94</f>
        <v>0</v>
      </c>
      <c r="B89" s="18">
        <f>'내역서(표준단가)'!F94</f>
        <v>0</v>
      </c>
      <c r="C89" s="18">
        <f>'내역서(표준단가)'!G94</f>
        <v>0</v>
      </c>
      <c r="D89" s="18">
        <f>'내역서(표준단가)'!H94</f>
        <v>0</v>
      </c>
      <c r="E89" s="18">
        <f>'내역서(표준단가)'!I94</f>
        <v>0</v>
      </c>
      <c r="F89" s="18">
        <f>'내역서(표준단가)'!M94</f>
        <v>0</v>
      </c>
    </row>
    <row r="90" spans="1:6">
      <c r="A90" s="17">
        <f>'내역서(표준단가)'!E95</f>
        <v>0</v>
      </c>
      <c r="B90" s="18">
        <f>'내역서(표준단가)'!F95</f>
        <v>0</v>
      </c>
      <c r="C90" s="18">
        <f>'내역서(표준단가)'!G95</f>
        <v>0</v>
      </c>
      <c r="D90" s="18">
        <f>'내역서(표준단가)'!H95</f>
        <v>0</v>
      </c>
      <c r="E90" s="18">
        <f>'내역서(표준단가)'!I95</f>
        <v>0</v>
      </c>
      <c r="F90" s="18">
        <f>'내역서(표준단가)'!M95</f>
        <v>0</v>
      </c>
    </row>
    <row r="91" spans="1:6">
      <c r="A91" s="17">
        <f>'내역서(표준단가)'!E96</f>
        <v>0</v>
      </c>
      <c r="B91" s="18">
        <f>'내역서(표준단가)'!F96</f>
        <v>0</v>
      </c>
      <c r="C91" s="18">
        <f>'내역서(표준단가)'!G96</f>
        <v>0</v>
      </c>
      <c r="D91" s="18">
        <f>'내역서(표준단가)'!H96</f>
        <v>0</v>
      </c>
      <c r="E91" s="18">
        <f>'내역서(표준단가)'!I96</f>
        <v>0</v>
      </c>
      <c r="F91" s="18">
        <f>'내역서(표준단가)'!M96</f>
        <v>0</v>
      </c>
    </row>
    <row r="92" spans="1:6">
      <c r="A92" s="17">
        <f>'내역서(표준단가)'!E97</f>
        <v>0</v>
      </c>
      <c r="B92" s="18">
        <f>'내역서(표준단가)'!F97</f>
        <v>0</v>
      </c>
      <c r="C92" s="18">
        <f>'내역서(표준단가)'!G97</f>
        <v>0</v>
      </c>
      <c r="D92" s="18">
        <f>'내역서(표준단가)'!H97</f>
        <v>0</v>
      </c>
      <c r="E92" s="18">
        <f>'내역서(표준단가)'!I97</f>
        <v>0</v>
      </c>
      <c r="F92" s="18">
        <f>'내역서(표준단가)'!M97</f>
        <v>0</v>
      </c>
    </row>
    <row r="93" spans="1:6">
      <c r="A93" s="17">
        <f>'내역서(표준단가)'!E98</f>
        <v>0</v>
      </c>
      <c r="B93" s="18">
        <f>'내역서(표준단가)'!F98</f>
        <v>0</v>
      </c>
      <c r="C93" s="18">
        <f>'내역서(표준단가)'!G98</f>
        <v>0</v>
      </c>
      <c r="D93" s="18">
        <f>'내역서(표준단가)'!H98</f>
        <v>0</v>
      </c>
      <c r="E93" s="18">
        <f>'내역서(표준단가)'!I98</f>
        <v>0</v>
      </c>
      <c r="F93" s="18">
        <f>'내역서(표준단가)'!M98</f>
        <v>0</v>
      </c>
    </row>
    <row r="94" spans="1:6">
      <c r="A94" s="17">
        <f>'내역서(표준단가)'!E99</f>
        <v>0</v>
      </c>
      <c r="B94" s="18">
        <f>'내역서(표준단가)'!F99</f>
        <v>0</v>
      </c>
      <c r="C94" s="18">
        <f>'내역서(표준단가)'!G99</f>
        <v>0</v>
      </c>
      <c r="D94" s="18">
        <f>'내역서(표준단가)'!H99</f>
        <v>0</v>
      </c>
      <c r="E94" s="18">
        <f>'내역서(표준단가)'!I99</f>
        <v>0</v>
      </c>
      <c r="F94" s="18">
        <f>'내역서(표준단가)'!M99</f>
        <v>0</v>
      </c>
    </row>
    <row r="95" spans="1:6">
      <c r="A95" s="17">
        <f>'내역서(표준단가)'!E100</f>
        <v>0</v>
      </c>
      <c r="B95" s="18">
        <f>'내역서(표준단가)'!F100</f>
        <v>0</v>
      </c>
      <c r="C95" s="18">
        <f>'내역서(표준단가)'!G100</f>
        <v>0</v>
      </c>
      <c r="D95" s="18">
        <f>'내역서(표준단가)'!H100</f>
        <v>0</v>
      </c>
      <c r="E95" s="18">
        <f>'내역서(표준단가)'!I100</f>
        <v>0</v>
      </c>
      <c r="F95" s="18">
        <f>'내역서(표준단가)'!M100</f>
        <v>0</v>
      </c>
    </row>
    <row r="96" spans="1:6">
      <c r="A96" s="17">
        <f>'내역서(표준단가)'!E101</f>
        <v>0</v>
      </c>
      <c r="B96" s="18">
        <f>'내역서(표준단가)'!F101</f>
        <v>0</v>
      </c>
      <c r="C96" s="18">
        <f>'내역서(표준단가)'!G101</f>
        <v>0</v>
      </c>
      <c r="D96" s="18">
        <f>'내역서(표준단가)'!H101</f>
        <v>0</v>
      </c>
      <c r="E96" s="18">
        <f>'내역서(표준단가)'!I101</f>
        <v>0</v>
      </c>
      <c r="F96" s="18">
        <f>'내역서(표준단가)'!M101</f>
        <v>0</v>
      </c>
    </row>
    <row r="97" spans="1:6">
      <c r="A97" s="17">
        <f>'내역서(표준단가)'!E102</f>
        <v>0</v>
      </c>
      <c r="B97" s="18">
        <f>'내역서(표준단가)'!F102</f>
        <v>0</v>
      </c>
      <c r="C97" s="18">
        <f>'내역서(표준단가)'!G102</f>
        <v>0</v>
      </c>
      <c r="D97" s="18">
        <f>'내역서(표준단가)'!H102</f>
        <v>0</v>
      </c>
      <c r="E97" s="18">
        <f>'내역서(표준단가)'!I102</f>
        <v>0</v>
      </c>
      <c r="F97" s="18">
        <f>'내역서(표준단가)'!M102</f>
        <v>0</v>
      </c>
    </row>
    <row r="98" spans="1:6">
      <c r="A98" s="17">
        <f>'내역서(표준단가)'!E103</f>
        <v>0</v>
      </c>
      <c r="B98" s="18">
        <f>'내역서(표준단가)'!F103</f>
        <v>0</v>
      </c>
      <c r="C98" s="18">
        <f>'내역서(표준단가)'!G103</f>
        <v>0</v>
      </c>
      <c r="D98" s="18">
        <f>'내역서(표준단가)'!H103</f>
        <v>0</v>
      </c>
      <c r="E98" s="18">
        <f>'내역서(표준단가)'!I103</f>
        <v>0</v>
      </c>
      <c r="F98" s="18">
        <f>'내역서(표준단가)'!M103</f>
        <v>0</v>
      </c>
    </row>
    <row r="99" spans="1:6">
      <c r="A99" s="17">
        <f>'내역서(표준단가)'!E104</f>
        <v>0</v>
      </c>
      <c r="B99" s="18">
        <f>'내역서(표준단가)'!F104</f>
        <v>0</v>
      </c>
      <c r="C99" s="18">
        <f>'내역서(표준단가)'!G104</f>
        <v>0</v>
      </c>
      <c r="D99" s="18">
        <f>'내역서(표준단가)'!H104</f>
        <v>0</v>
      </c>
      <c r="E99" s="18">
        <f>'내역서(표준단가)'!I104</f>
        <v>0</v>
      </c>
      <c r="F99" s="18">
        <f>'내역서(표준단가)'!M104</f>
        <v>0</v>
      </c>
    </row>
    <row r="100" spans="1:6">
      <c r="A100" s="17">
        <f>'내역서(표준단가)'!E105</f>
        <v>0</v>
      </c>
      <c r="B100" s="18">
        <f>'내역서(표준단가)'!F105</f>
        <v>0</v>
      </c>
      <c r="C100" s="18">
        <f>'내역서(표준단가)'!G105</f>
        <v>0</v>
      </c>
      <c r="D100" s="18">
        <f>'내역서(표준단가)'!H105</f>
        <v>0</v>
      </c>
      <c r="E100" s="18">
        <f>'내역서(표준단가)'!I105</f>
        <v>0</v>
      </c>
      <c r="F100" s="18">
        <f>'내역서(표준단가)'!M105</f>
        <v>0</v>
      </c>
    </row>
    <row r="101" spans="1:6">
      <c r="A101" s="17">
        <f>'내역서(표준단가)'!E106</f>
        <v>0</v>
      </c>
      <c r="B101" s="18">
        <f>'내역서(표준단가)'!F106</f>
        <v>0</v>
      </c>
      <c r="C101" s="18">
        <f>'내역서(표준단가)'!G106</f>
        <v>0</v>
      </c>
      <c r="D101" s="18">
        <f>'내역서(표준단가)'!H106</f>
        <v>0</v>
      </c>
      <c r="E101" s="18">
        <f>'내역서(표준단가)'!I106</f>
        <v>0</v>
      </c>
      <c r="F101" s="18">
        <f>'내역서(표준단가)'!M106</f>
        <v>0</v>
      </c>
    </row>
    <row r="102" spans="1:6">
      <c r="A102" s="17">
        <f>'내역서(표준단가)'!E107</f>
        <v>0</v>
      </c>
      <c r="B102" s="18">
        <f>'내역서(표준단가)'!F107</f>
        <v>0</v>
      </c>
      <c r="C102" s="18">
        <f>'내역서(표준단가)'!G107</f>
        <v>0</v>
      </c>
      <c r="D102" s="18">
        <f>'내역서(표준단가)'!H107</f>
        <v>0</v>
      </c>
      <c r="E102" s="18">
        <f>'내역서(표준단가)'!I107</f>
        <v>0</v>
      </c>
      <c r="F102" s="18">
        <f>'내역서(표준단가)'!M107</f>
        <v>0</v>
      </c>
    </row>
    <row r="103" spans="1:6">
      <c r="A103" s="17">
        <f>'내역서(표준단가)'!E108</f>
        <v>0</v>
      </c>
      <c r="B103" s="18">
        <f>'내역서(표준단가)'!F108</f>
        <v>0</v>
      </c>
      <c r="C103" s="18">
        <f>'내역서(표준단가)'!G108</f>
        <v>0</v>
      </c>
      <c r="D103" s="18">
        <f>'내역서(표준단가)'!H108</f>
        <v>0</v>
      </c>
      <c r="E103" s="18">
        <f>'내역서(표준단가)'!I108</f>
        <v>0</v>
      </c>
      <c r="F103" s="18">
        <f>'내역서(표준단가)'!M108</f>
        <v>0</v>
      </c>
    </row>
    <row r="104" spans="1:6">
      <c r="A104" s="17">
        <f>'내역서(표준단가)'!E109</f>
        <v>0</v>
      </c>
      <c r="B104" s="18">
        <f>'내역서(표준단가)'!F109</f>
        <v>0</v>
      </c>
      <c r="C104" s="18">
        <f>'내역서(표준단가)'!G109</f>
        <v>0</v>
      </c>
      <c r="D104" s="18">
        <f>'내역서(표준단가)'!H109</f>
        <v>0</v>
      </c>
      <c r="E104" s="18">
        <f>'내역서(표준단가)'!I109</f>
        <v>0</v>
      </c>
      <c r="F104" s="18">
        <f>'내역서(표준단가)'!M109</f>
        <v>0</v>
      </c>
    </row>
    <row r="105" spans="1:6">
      <c r="A105" s="17">
        <f>'내역서(표준단가)'!E110</f>
        <v>0</v>
      </c>
      <c r="B105" s="18">
        <f>'내역서(표준단가)'!F110</f>
        <v>0</v>
      </c>
      <c r="C105" s="18">
        <f>'내역서(표준단가)'!G110</f>
        <v>0</v>
      </c>
      <c r="D105" s="18">
        <f>'내역서(표준단가)'!H110</f>
        <v>0</v>
      </c>
      <c r="E105" s="18">
        <f>'내역서(표준단가)'!I110</f>
        <v>0</v>
      </c>
      <c r="F105" s="18">
        <f>'내역서(표준단가)'!M110</f>
        <v>0</v>
      </c>
    </row>
    <row r="106" spans="1:6">
      <c r="A106" s="17">
        <f>'내역서(표준단가)'!E111</f>
        <v>0</v>
      </c>
      <c r="B106" s="18">
        <f>'내역서(표준단가)'!F111</f>
        <v>0</v>
      </c>
      <c r="C106" s="18">
        <f>'내역서(표준단가)'!G111</f>
        <v>0</v>
      </c>
      <c r="D106" s="18">
        <f>'내역서(표준단가)'!H111</f>
        <v>0</v>
      </c>
      <c r="E106" s="18">
        <f>'내역서(표준단가)'!I111</f>
        <v>0</v>
      </c>
      <c r="F106" s="18">
        <f>'내역서(표준단가)'!M111</f>
        <v>0</v>
      </c>
    </row>
    <row r="107" spans="1:6">
      <c r="A107" s="17">
        <f>'내역서(표준단가)'!E112</f>
        <v>0</v>
      </c>
      <c r="B107" s="18">
        <f>'내역서(표준단가)'!F112</f>
        <v>0</v>
      </c>
      <c r="C107" s="18">
        <f>'내역서(표준단가)'!G112</f>
        <v>0</v>
      </c>
      <c r="D107" s="18">
        <f>'내역서(표준단가)'!H112</f>
        <v>0</v>
      </c>
      <c r="E107" s="18">
        <f>'내역서(표준단가)'!I112</f>
        <v>0</v>
      </c>
      <c r="F107" s="18">
        <f>'내역서(표준단가)'!M112</f>
        <v>0</v>
      </c>
    </row>
    <row r="108" spans="1:6">
      <c r="A108" s="17">
        <f>'내역서(표준단가)'!E113</f>
        <v>0</v>
      </c>
      <c r="B108" s="18">
        <f>'내역서(표준단가)'!F113</f>
        <v>0</v>
      </c>
      <c r="C108" s="18">
        <f>'내역서(표준단가)'!G113</f>
        <v>0</v>
      </c>
      <c r="D108" s="18">
        <f>'내역서(표준단가)'!H113</f>
        <v>0</v>
      </c>
      <c r="E108" s="18">
        <f>'내역서(표준단가)'!I113</f>
        <v>0</v>
      </c>
      <c r="F108" s="18">
        <f>'내역서(표준단가)'!M113</f>
        <v>0</v>
      </c>
    </row>
    <row r="109" spans="1:6">
      <c r="A109" s="17">
        <f>'내역서(표준단가)'!E114</f>
        <v>0</v>
      </c>
      <c r="B109" s="18">
        <f>'내역서(표준단가)'!F114</f>
        <v>0</v>
      </c>
      <c r="C109" s="18">
        <f>'내역서(표준단가)'!G114</f>
        <v>0</v>
      </c>
      <c r="D109" s="18">
        <f>'내역서(표준단가)'!H114</f>
        <v>0</v>
      </c>
      <c r="E109" s="18">
        <f>'내역서(표준단가)'!I114</f>
        <v>0</v>
      </c>
      <c r="F109" s="18">
        <f>'내역서(표준단가)'!M114</f>
        <v>0</v>
      </c>
    </row>
    <row r="110" spans="1:6">
      <c r="A110" s="17">
        <f>'내역서(표준단가)'!E115</f>
        <v>0</v>
      </c>
      <c r="B110" s="18">
        <f>'내역서(표준단가)'!F115</f>
        <v>0</v>
      </c>
      <c r="C110" s="18">
        <f>'내역서(표준단가)'!G115</f>
        <v>0</v>
      </c>
      <c r="D110" s="18">
        <f>'내역서(표준단가)'!H115</f>
        <v>0</v>
      </c>
      <c r="E110" s="18">
        <f>'내역서(표준단가)'!I115</f>
        <v>0</v>
      </c>
      <c r="F110" s="18">
        <f>'내역서(표준단가)'!M115</f>
        <v>0</v>
      </c>
    </row>
    <row r="111" spans="1:6">
      <c r="A111" s="17">
        <f>'내역서(표준단가)'!E116</f>
        <v>0</v>
      </c>
      <c r="B111" s="18">
        <f>'내역서(표준단가)'!F116</f>
        <v>0</v>
      </c>
      <c r="C111" s="18">
        <f>'내역서(표준단가)'!G116</f>
        <v>0</v>
      </c>
      <c r="D111" s="18">
        <f>'내역서(표준단가)'!H116</f>
        <v>0</v>
      </c>
      <c r="E111" s="18">
        <f>'내역서(표준단가)'!I116</f>
        <v>0</v>
      </c>
      <c r="F111" s="18">
        <f>'내역서(표준단가)'!M116</f>
        <v>0</v>
      </c>
    </row>
    <row r="112" spans="1:6">
      <c r="A112" s="17">
        <f>'내역서(표준단가)'!E117</f>
        <v>0</v>
      </c>
      <c r="B112" s="18">
        <f>'내역서(표준단가)'!F117</f>
        <v>0</v>
      </c>
      <c r="C112" s="18">
        <f>'내역서(표준단가)'!G117</f>
        <v>0</v>
      </c>
      <c r="D112" s="18">
        <f>'내역서(표준단가)'!H117</f>
        <v>0</v>
      </c>
      <c r="E112" s="18">
        <f>'내역서(표준단가)'!I117</f>
        <v>0</v>
      </c>
      <c r="F112" s="18">
        <f>'내역서(표준단가)'!M117</f>
        <v>0</v>
      </c>
    </row>
    <row r="113" spans="1:6">
      <c r="A113" s="17">
        <f>'내역서(표준단가)'!E118</f>
        <v>0</v>
      </c>
      <c r="B113" s="18">
        <f>'내역서(표준단가)'!F118</f>
        <v>0</v>
      </c>
      <c r="C113" s="18">
        <f>'내역서(표준단가)'!G118</f>
        <v>0</v>
      </c>
      <c r="D113" s="18">
        <f>'내역서(표준단가)'!H118</f>
        <v>0</v>
      </c>
      <c r="E113" s="18">
        <f>'내역서(표준단가)'!I118</f>
        <v>0</v>
      </c>
      <c r="F113" s="18">
        <f>'내역서(표준단가)'!M118</f>
        <v>0</v>
      </c>
    </row>
    <row r="114" spans="1:6">
      <c r="A114" s="17">
        <f>'내역서(표준단가)'!E119</f>
        <v>0</v>
      </c>
      <c r="B114" s="18">
        <f>'내역서(표준단가)'!F119</f>
        <v>0</v>
      </c>
      <c r="C114" s="18">
        <f>'내역서(표준단가)'!G119</f>
        <v>0</v>
      </c>
      <c r="D114" s="18">
        <f>'내역서(표준단가)'!H119</f>
        <v>0</v>
      </c>
      <c r="E114" s="18">
        <f>'내역서(표준단가)'!I119</f>
        <v>0</v>
      </c>
      <c r="F114" s="18">
        <f>'내역서(표준단가)'!M119</f>
        <v>0</v>
      </c>
    </row>
    <row r="115" spans="1:6">
      <c r="A115" s="17">
        <f>'내역서(표준단가)'!E120</f>
        <v>0</v>
      </c>
      <c r="B115" s="18">
        <f>'내역서(표준단가)'!F120</f>
        <v>0</v>
      </c>
      <c r="C115" s="18">
        <f>'내역서(표준단가)'!G120</f>
        <v>0</v>
      </c>
      <c r="D115" s="18">
        <f>'내역서(표준단가)'!H120</f>
        <v>0</v>
      </c>
      <c r="E115" s="18">
        <f>'내역서(표준단가)'!I120</f>
        <v>0</v>
      </c>
      <c r="F115" s="18">
        <f>'내역서(표준단가)'!M120</f>
        <v>0</v>
      </c>
    </row>
    <row r="116" spans="1:6">
      <c r="A116" s="17">
        <f>'내역서(표준단가)'!E121</f>
        <v>0</v>
      </c>
      <c r="B116" s="18">
        <f>'내역서(표준단가)'!F121</f>
        <v>0</v>
      </c>
      <c r="C116" s="18">
        <f>'내역서(표준단가)'!G121</f>
        <v>0</v>
      </c>
      <c r="D116" s="18">
        <f>'내역서(표준단가)'!H121</f>
        <v>0</v>
      </c>
      <c r="E116" s="18">
        <f>'내역서(표준단가)'!I121</f>
        <v>0</v>
      </c>
      <c r="F116" s="18">
        <f>'내역서(표준단가)'!M121</f>
        <v>0</v>
      </c>
    </row>
    <row r="117" spans="1:6">
      <c r="A117" s="17">
        <f>'내역서(표준단가)'!E122</f>
        <v>0</v>
      </c>
      <c r="B117" s="18">
        <f>'내역서(표준단가)'!F122</f>
        <v>0</v>
      </c>
      <c r="C117" s="18">
        <f>'내역서(표준단가)'!G122</f>
        <v>0</v>
      </c>
      <c r="D117" s="18">
        <f>'내역서(표준단가)'!H122</f>
        <v>0</v>
      </c>
      <c r="E117" s="18">
        <f>'내역서(표준단가)'!I122</f>
        <v>0</v>
      </c>
      <c r="F117" s="18">
        <f>'내역서(표준단가)'!M122</f>
        <v>0</v>
      </c>
    </row>
    <row r="118" spans="1:6">
      <c r="A118" s="17">
        <f>'내역서(표준단가)'!E123</f>
        <v>0</v>
      </c>
      <c r="B118" s="18">
        <f>'내역서(표준단가)'!F123</f>
        <v>0</v>
      </c>
      <c r="C118" s="18">
        <f>'내역서(표준단가)'!G123</f>
        <v>0</v>
      </c>
      <c r="D118" s="18">
        <f>'내역서(표준단가)'!H123</f>
        <v>0</v>
      </c>
      <c r="E118" s="18">
        <f>'내역서(표준단가)'!I123</f>
        <v>0</v>
      </c>
      <c r="F118" s="18">
        <f>'내역서(표준단가)'!M123</f>
        <v>0</v>
      </c>
    </row>
    <row r="119" spans="1:6">
      <c r="A119" s="17">
        <f>'내역서(표준단가)'!E124</f>
        <v>0</v>
      </c>
      <c r="B119" s="18">
        <f>'내역서(표준단가)'!F124</f>
        <v>0</v>
      </c>
      <c r="C119" s="18">
        <f>'내역서(표준단가)'!G124</f>
        <v>0</v>
      </c>
      <c r="D119" s="18">
        <f>'내역서(표준단가)'!H124</f>
        <v>0</v>
      </c>
      <c r="E119" s="18">
        <f>'내역서(표준단가)'!I124</f>
        <v>0</v>
      </c>
      <c r="F119" s="18">
        <f>'내역서(표준단가)'!M124</f>
        <v>0</v>
      </c>
    </row>
    <row r="120" spans="1:6">
      <c r="A120" s="17">
        <f>'내역서(표준단가)'!E125</f>
        <v>0</v>
      </c>
      <c r="B120" s="18">
        <f>'내역서(표준단가)'!F125</f>
        <v>0</v>
      </c>
      <c r="C120" s="18">
        <f>'내역서(표준단가)'!G125</f>
        <v>0</v>
      </c>
      <c r="D120" s="18">
        <f>'내역서(표준단가)'!H125</f>
        <v>0</v>
      </c>
      <c r="E120" s="18">
        <f>'내역서(표준단가)'!I125</f>
        <v>0</v>
      </c>
      <c r="F120" s="18">
        <f>'내역서(표준단가)'!M125</f>
        <v>0</v>
      </c>
    </row>
    <row r="121" spans="1:6">
      <c r="A121" s="17">
        <f>'내역서(표준단가)'!E126</f>
        <v>0</v>
      </c>
      <c r="B121" s="18">
        <f>'내역서(표준단가)'!F126</f>
        <v>0</v>
      </c>
      <c r="C121" s="18">
        <f>'내역서(표준단가)'!G126</f>
        <v>0</v>
      </c>
      <c r="D121" s="18">
        <f>'내역서(표준단가)'!H126</f>
        <v>0</v>
      </c>
      <c r="E121" s="18">
        <f>'내역서(표준단가)'!I126</f>
        <v>0</v>
      </c>
      <c r="F121" s="18">
        <f>'내역서(표준단가)'!M126</f>
        <v>0</v>
      </c>
    </row>
    <row r="122" spans="1:6">
      <c r="A122" s="17">
        <f>'내역서(표준단가)'!E127</f>
        <v>0</v>
      </c>
      <c r="B122" s="18">
        <f>'내역서(표준단가)'!F127</f>
        <v>0</v>
      </c>
      <c r="C122" s="18">
        <f>'내역서(표준단가)'!G127</f>
        <v>0</v>
      </c>
      <c r="D122" s="18">
        <f>'내역서(표준단가)'!H127</f>
        <v>0</v>
      </c>
      <c r="E122" s="18">
        <f>'내역서(표준단가)'!I127</f>
        <v>0</v>
      </c>
      <c r="F122" s="18">
        <f>'내역서(표준단가)'!M127</f>
        <v>0</v>
      </c>
    </row>
    <row r="123" spans="1:6">
      <c r="A123" s="17">
        <f>'내역서(표준단가)'!E128</f>
        <v>0</v>
      </c>
      <c r="B123" s="18">
        <f>'내역서(표준단가)'!F128</f>
        <v>0</v>
      </c>
      <c r="C123" s="18">
        <f>'내역서(표준단가)'!G128</f>
        <v>0</v>
      </c>
      <c r="D123" s="18">
        <f>'내역서(표준단가)'!H128</f>
        <v>0</v>
      </c>
      <c r="E123" s="18">
        <f>'내역서(표준단가)'!I128</f>
        <v>0</v>
      </c>
      <c r="F123" s="18">
        <f>'내역서(표준단가)'!M128</f>
        <v>0</v>
      </c>
    </row>
    <row r="124" spans="1:6">
      <c r="A124" s="17">
        <f>'내역서(표준단가)'!E129</f>
        <v>0</v>
      </c>
      <c r="B124" s="18">
        <f>'내역서(표준단가)'!F129</f>
        <v>0</v>
      </c>
      <c r="C124" s="18">
        <f>'내역서(표준단가)'!G129</f>
        <v>0</v>
      </c>
      <c r="D124" s="18">
        <f>'내역서(표준단가)'!H129</f>
        <v>0</v>
      </c>
      <c r="E124" s="18">
        <f>'내역서(표준단가)'!I129</f>
        <v>0</v>
      </c>
      <c r="F124" s="18">
        <f>'내역서(표준단가)'!M129</f>
        <v>0</v>
      </c>
    </row>
    <row r="125" spans="1:6">
      <c r="A125" s="17">
        <f>'내역서(표준단가)'!E130</f>
        <v>0</v>
      </c>
      <c r="B125" s="18">
        <f>'내역서(표준단가)'!F130</f>
        <v>0</v>
      </c>
      <c r="C125" s="18">
        <f>'내역서(표준단가)'!G130</f>
        <v>0</v>
      </c>
      <c r="D125" s="18">
        <f>'내역서(표준단가)'!H130</f>
        <v>0</v>
      </c>
      <c r="E125" s="18">
        <f>'내역서(표준단가)'!I130</f>
        <v>0</v>
      </c>
      <c r="F125" s="18">
        <f>'내역서(표준단가)'!M130</f>
        <v>0</v>
      </c>
    </row>
    <row r="126" spans="1:6">
      <c r="A126" s="17">
        <f>'내역서(표준단가)'!E131</f>
        <v>0</v>
      </c>
      <c r="B126" s="18">
        <f>'내역서(표준단가)'!F131</f>
        <v>0</v>
      </c>
      <c r="C126" s="18">
        <f>'내역서(표준단가)'!G131</f>
        <v>0</v>
      </c>
      <c r="D126" s="18">
        <f>'내역서(표준단가)'!H131</f>
        <v>0</v>
      </c>
      <c r="E126" s="18">
        <f>'내역서(표준단가)'!I131</f>
        <v>0</v>
      </c>
      <c r="F126" s="18">
        <f>'내역서(표준단가)'!M131</f>
        <v>0</v>
      </c>
    </row>
    <row r="127" spans="1:6">
      <c r="A127" s="17">
        <f>'내역서(표준단가)'!E132</f>
        <v>0</v>
      </c>
      <c r="B127" s="18">
        <f>'내역서(표준단가)'!F132</f>
        <v>0</v>
      </c>
      <c r="C127" s="18">
        <f>'내역서(표준단가)'!G132</f>
        <v>0</v>
      </c>
      <c r="D127" s="18">
        <f>'내역서(표준단가)'!H132</f>
        <v>0</v>
      </c>
      <c r="E127" s="18">
        <f>'내역서(표준단가)'!I132</f>
        <v>0</v>
      </c>
      <c r="F127" s="18">
        <f>'내역서(표준단가)'!M132</f>
        <v>0</v>
      </c>
    </row>
    <row r="128" spans="1:6">
      <c r="A128" s="17">
        <f>'내역서(표준단가)'!E133</f>
        <v>0</v>
      </c>
      <c r="B128" s="18">
        <f>'내역서(표준단가)'!F133</f>
        <v>0</v>
      </c>
      <c r="C128" s="18">
        <f>'내역서(표준단가)'!G133</f>
        <v>0</v>
      </c>
      <c r="D128" s="18">
        <f>'내역서(표준단가)'!H133</f>
        <v>0</v>
      </c>
      <c r="E128" s="18">
        <f>'내역서(표준단가)'!I133</f>
        <v>0</v>
      </c>
      <c r="F128" s="18">
        <f>'내역서(표준단가)'!M133</f>
        <v>0</v>
      </c>
    </row>
    <row r="129" spans="1:6">
      <c r="A129" s="17">
        <f>'내역서(표준단가)'!E134</f>
        <v>0</v>
      </c>
      <c r="B129" s="18">
        <f>'내역서(표준단가)'!F134</f>
        <v>0</v>
      </c>
      <c r="C129" s="18">
        <f>'내역서(표준단가)'!G134</f>
        <v>0</v>
      </c>
      <c r="D129" s="18">
        <f>'내역서(표준단가)'!H134</f>
        <v>0</v>
      </c>
      <c r="E129" s="18">
        <f>'내역서(표준단가)'!I134</f>
        <v>0</v>
      </c>
      <c r="F129" s="18">
        <f>'내역서(표준단가)'!M134</f>
        <v>0</v>
      </c>
    </row>
    <row r="130" spans="1:6">
      <c r="A130" s="17">
        <f>'내역서(표준단가)'!E135</f>
        <v>0</v>
      </c>
      <c r="B130" s="18">
        <f>'내역서(표준단가)'!F135</f>
        <v>0</v>
      </c>
      <c r="C130" s="18">
        <f>'내역서(표준단가)'!G135</f>
        <v>0</v>
      </c>
      <c r="D130" s="18">
        <f>'내역서(표준단가)'!H135</f>
        <v>0</v>
      </c>
      <c r="E130" s="18">
        <f>'내역서(표준단가)'!I135</f>
        <v>0</v>
      </c>
      <c r="F130" s="18">
        <f>'내역서(표준단가)'!M135</f>
        <v>0</v>
      </c>
    </row>
    <row r="131" spans="1:6">
      <c r="A131" s="17">
        <f>'내역서(표준단가)'!E136</f>
        <v>0</v>
      </c>
      <c r="B131" s="18">
        <f>'내역서(표준단가)'!F136</f>
        <v>0</v>
      </c>
      <c r="C131" s="18">
        <f>'내역서(표준단가)'!G136</f>
        <v>0</v>
      </c>
      <c r="D131" s="18">
        <f>'내역서(표준단가)'!H136</f>
        <v>0</v>
      </c>
      <c r="E131" s="18">
        <f>'내역서(표준단가)'!I136</f>
        <v>0</v>
      </c>
      <c r="F131" s="18">
        <f>'내역서(표준단가)'!M136</f>
        <v>0</v>
      </c>
    </row>
    <row r="132" spans="1:6">
      <c r="A132" s="17">
        <f>'내역서(표준단가)'!E137</f>
        <v>0</v>
      </c>
      <c r="B132" s="18">
        <f>'내역서(표준단가)'!F137</f>
        <v>0</v>
      </c>
      <c r="C132" s="18">
        <f>'내역서(표준단가)'!G137</f>
        <v>0</v>
      </c>
      <c r="D132" s="18">
        <f>'내역서(표준단가)'!H137</f>
        <v>0</v>
      </c>
      <c r="E132" s="18">
        <f>'내역서(표준단가)'!I137</f>
        <v>0</v>
      </c>
      <c r="F132" s="18">
        <f>'내역서(표준단가)'!M137</f>
        <v>0</v>
      </c>
    </row>
    <row r="133" spans="1:6">
      <c r="A133" s="17">
        <f>'내역서(표준단가)'!E138</f>
        <v>0</v>
      </c>
      <c r="B133" s="18">
        <f>'내역서(표준단가)'!F138</f>
        <v>0</v>
      </c>
      <c r="C133" s="18">
        <f>'내역서(표준단가)'!G138</f>
        <v>0</v>
      </c>
      <c r="D133" s="18">
        <f>'내역서(표준단가)'!H138</f>
        <v>0</v>
      </c>
      <c r="E133" s="18">
        <f>'내역서(표준단가)'!I138</f>
        <v>0</v>
      </c>
      <c r="F133" s="18">
        <f>'내역서(표준단가)'!M138</f>
        <v>0</v>
      </c>
    </row>
    <row r="134" spans="1:6">
      <c r="A134" s="17">
        <f>'내역서(표준단가)'!E139</f>
        <v>0</v>
      </c>
      <c r="B134" s="18">
        <f>'내역서(표준단가)'!F139</f>
        <v>0</v>
      </c>
      <c r="C134" s="18">
        <f>'내역서(표준단가)'!G139</f>
        <v>0</v>
      </c>
      <c r="D134" s="18">
        <f>'내역서(표준단가)'!H139</f>
        <v>0</v>
      </c>
      <c r="E134" s="18">
        <f>'내역서(표준단가)'!I139</f>
        <v>0</v>
      </c>
      <c r="F134" s="18">
        <f>'내역서(표준단가)'!M139</f>
        <v>0</v>
      </c>
    </row>
    <row r="135" spans="1:6">
      <c r="A135" s="17">
        <f>'내역서(표준단가)'!E140</f>
        <v>0</v>
      </c>
      <c r="B135" s="18">
        <f>'내역서(표준단가)'!F140</f>
        <v>0</v>
      </c>
      <c r="C135" s="18">
        <f>'내역서(표준단가)'!G140</f>
        <v>0</v>
      </c>
      <c r="D135" s="18">
        <f>'내역서(표준단가)'!H140</f>
        <v>0</v>
      </c>
      <c r="E135" s="18">
        <f>'내역서(표준단가)'!I140</f>
        <v>0</v>
      </c>
      <c r="F135" s="18">
        <f>'내역서(표준단가)'!M140</f>
        <v>0</v>
      </c>
    </row>
    <row r="136" spans="1:6">
      <c r="A136" s="17">
        <f>'내역서(표준단가)'!E141</f>
        <v>0</v>
      </c>
      <c r="B136" s="18">
        <f>'내역서(표준단가)'!F141</f>
        <v>0</v>
      </c>
      <c r="C136" s="18">
        <f>'내역서(표준단가)'!G141</f>
        <v>0</v>
      </c>
      <c r="D136" s="18">
        <f>'내역서(표준단가)'!H141</f>
        <v>0</v>
      </c>
      <c r="E136" s="18">
        <f>'내역서(표준단가)'!I141</f>
        <v>0</v>
      </c>
      <c r="F136" s="18">
        <f>'내역서(표준단가)'!M141</f>
        <v>0</v>
      </c>
    </row>
    <row r="137" spans="1:6">
      <c r="A137" s="17">
        <f>'내역서(표준단가)'!E142</f>
        <v>0</v>
      </c>
      <c r="B137" s="18">
        <f>'내역서(표준단가)'!F142</f>
        <v>0</v>
      </c>
      <c r="C137" s="18">
        <f>'내역서(표준단가)'!G142</f>
        <v>0</v>
      </c>
      <c r="D137" s="18">
        <f>'내역서(표준단가)'!H142</f>
        <v>0</v>
      </c>
      <c r="E137" s="18">
        <f>'내역서(표준단가)'!I142</f>
        <v>0</v>
      </c>
      <c r="F137" s="18">
        <f>'내역서(표준단가)'!M142</f>
        <v>0</v>
      </c>
    </row>
    <row r="138" spans="1:6">
      <c r="A138" s="17">
        <f>'내역서(표준단가)'!E143</f>
        <v>0</v>
      </c>
      <c r="B138" s="18">
        <f>'내역서(표준단가)'!F143</f>
        <v>0</v>
      </c>
      <c r="C138" s="18">
        <f>'내역서(표준단가)'!G143</f>
        <v>0</v>
      </c>
      <c r="D138" s="18">
        <f>'내역서(표준단가)'!H143</f>
        <v>0</v>
      </c>
      <c r="E138" s="18">
        <f>'내역서(표준단가)'!I143</f>
        <v>0</v>
      </c>
      <c r="F138" s="18">
        <f>'내역서(표준단가)'!M143</f>
        <v>0</v>
      </c>
    </row>
    <row r="139" spans="1:6">
      <c r="A139" s="17">
        <f>'내역서(표준단가)'!E144</f>
        <v>0</v>
      </c>
      <c r="B139" s="18">
        <f>'내역서(표준단가)'!F144</f>
        <v>0</v>
      </c>
      <c r="C139" s="18">
        <f>'내역서(표준단가)'!G144</f>
        <v>0</v>
      </c>
      <c r="D139" s="18">
        <f>'내역서(표준단가)'!H144</f>
        <v>0</v>
      </c>
      <c r="E139" s="18">
        <f>'내역서(표준단가)'!I144</f>
        <v>0</v>
      </c>
      <c r="F139" s="18">
        <f>'내역서(표준단가)'!M144</f>
        <v>0</v>
      </c>
    </row>
    <row r="140" spans="1:6">
      <c r="A140" s="17">
        <f>'내역서(표준단가)'!E145</f>
        <v>0</v>
      </c>
      <c r="B140" s="18">
        <f>'내역서(표준단가)'!F145</f>
        <v>0</v>
      </c>
      <c r="C140" s="18">
        <f>'내역서(표준단가)'!G145</f>
        <v>0</v>
      </c>
      <c r="D140" s="18">
        <f>'내역서(표준단가)'!H145</f>
        <v>0</v>
      </c>
      <c r="E140" s="18">
        <f>'내역서(표준단가)'!I145</f>
        <v>0</v>
      </c>
      <c r="F140" s="18">
        <f>'내역서(표준단가)'!M145</f>
        <v>0</v>
      </c>
    </row>
    <row r="141" spans="1:6">
      <c r="A141" s="17">
        <f>'내역서(표준단가)'!E146</f>
        <v>0</v>
      </c>
      <c r="B141" s="18">
        <f>'내역서(표준단가)'!F146</f>
        <v>0</v>
      </c>
      <c r="C141" s="18">
        <f>'내역서(표준단가)'!G146</f>
        <v>0</v>
      </c>
      <c r="D141" s="18">
        <f>'내역서(표준단가)'!H146</f>
        <v>0</v>
      </c>
      <c r="E141" s="18">
        <f>'내역서(표준단가)'!I146</f>
        <v>0</v>
      </c>
      <c r="F141" s="18">
        <f>'내역서(표준단가)'!M146</f>
        <v>0</v>
      </c>
    </row>
    <row r="142" spans="1:6">
      <c r="A142" s="17">
        <f>'내역서(표준단가)'!E147</f>
        <v>0</v>
      </c>
      <c r="B142" s="18">
        <f>'내역서(표준단가)'!F147</f>
        <v>0</v>
      </c>
      <c r="C142" s="18">
        <f>'내역서(표준단가)'!G147</f>
        <v>0</v>
      </c>
      <c r="D142" s="18">
        <f>'내역서(표준단가)'!H147</f>
        <v>0</v>
      </c>
      <c r="E142" s="18">
        <f>'내역서(표준단가)'!I147</f>
        <v>0</v>
      </c>
      <c r="F142" s="18">
        <f>'내역서(표준단가)'!M147</f>
        <v>0</v>
      </c>
    </row>
    <row r="143" spans="1:6">
      <c r="A143" s="17">
        <f>'내역서(표준단가)'!E148</f>
        <v>0</v>
      </c>
      <c r="B143" s="18">
        <f>'내역서(표준단가)'!F148</f>
        <v>0</v>
      </c>
      <c r="C143" s="18">
        <f>'내역서(표준단가)'!G148</f>
        <v>0</v>
      </c>
      <c r="D143" s="18">
        <f>'내역서(표준단가)'!H148</f>
        <v>0</v>
      </c>
      <c r="E143" s="18">
        <f>'내역서(표준단가)'!I148</f>
        <v>0</v>
      </c>
      <c r="F143" s="18">
        <f>'내역서(표준단가)'!M148</f>
        <v>0</v>
      </c>
    </row>
    <row r="144" spans="1:6">
      <c r="A144" s="17">
        <f>'내역서(표준단가)'!E149</f>
        <v>0</v>
      </c>
      <c r="B144" s="18">
        <f>'내역서(표준단가)'!F149</f>
        <v>0</v>
      </c>
      <c r="C144" s="18">
        <f>'내역서(표준단가)'!G149</f>
        <v>0</v>
      </c>
      <c r="D144" s="18">
        <f>'내역서(표준단가)'!H149</f>
        <v>0</v>
      </c>
      <c r="E144" s="18">
        <f>'내역서(표준단가)'!I149</f>
        <v>0</v>
      </c>
      <c r="F144" s="18">
        <f>'내역서(표준단가)'!M149</f>
        <v>0</v>
      </c>
    </row>
    <row r="145" spans="1:6">
      <c r="A145" s="17">
        <f>'내역서(표준단가)'!E150</f>
        <v>0</v>
      </c>
      <c r="B145" s="18">
        <f>'내역서(표준단가)'!F150</f>
        <v>0</v>
      </c>
      <c r="C145" s="18">
        <f>'내역서(표준단가)'!G150</f>
        <v>0</v>
      </c>
      <c r="D145" s="18">
        <f>'내역서(표준단가)'!H150</f>
        <v>0</v>
      </c>
      <c r="E145" s="18">
        <f>'내역서(표준단가)'!I150</f>
        <v>0</v>
      </c>
      <c r="F145" s="18">
        <f>'내역서(표준단가)'!M150</f>
        <v>0</v>
      </c>
    </row>
    <row r="146" spans="1:6">
      <c r="A146" s="17">
        <f>'내역서(표준단가)'!E151</f>
        <v>0</v>
      </c>
      <c r="B146" s="18">
        <f>'내역서(표준단가)'!F151</f>
        <v>0</v>
      </c>
      <c r="C146" s="18">
        <f>'내역서(표준단가)'!G151</f>
        <v>0</v>
      </c>
      <c r="D146" s="18">
        <f>'내역서(표준단가)'!H151</f>
        <v>0</v>
      </c>
      <c r="E146" s="18">
        <f>'내역서(표준단가)'!I151</f>
        <v>0</v>
      </c>
      <c r="F146" s="18">
        <f>'내역서(표준단가)'!M151</f>
        <v>0</v>
      </c>
    </row>
    <row r="147" spans="1:6">
      <c r="A147" s="17">
        <f>'내역서(표준단가)'!E152</f>
        <v>0</v>
      </c>
      <c r="B147" s="18">
        <f>'내역서(표준단가)'!F152</f>
        <v>0</v>
      </c>
      <c r="C147" s="18">
        <f>'내역서(표준단가)'!G152</f>
        <v>0</v>
      </c>
      <c r="D147" s="18">
        <f>'내역서(표준단가)'!H152</f>
        <v>0</v>
      </c>
      <c r="E147" s="18">
        <f>'내역서(표준단가)'!I152</f>
        <v>0</v>
      </c>
      <c r="F147" s="18">
        <f>'내역서(표준단가)'!M152</f>
        <v>0</v>
      </c>
    </row>
    <row r="148" spans="1:6">
      <c r="A148" s="17">
        <f>'내역서(표준단가)'!E153</f>
        <v>0</v>
      </c>
      <c r="B148" s="18">
        <f>'내역서(표준단가)'!F153</f>
        <v>0</v>
      </c>
      <c r="C148" s="18">
        <f>'내역서(표준단가)'!G153</f>
        <v>0</v>
      </c>
      <c r="D148" s="18">
        <f>'내역서(표준단가)'!H153</f>
        <v>0</v>
      </c>
      <c r="E148" s="18">
        <f>'내역서(표준단가)'!I153</f>
        <v>0</v>
      </c>
      <c r="F148" s="18">
        <f>'내역서(표준단가)'!M153</f>
        <v>0</v>
      </c>
    </row>
    <row r="149" spans="1:6">
      <c r="A149" s="17">
        <f>'내역서(표준단가)'!E154</f>
        <v>0</v>
      </c>
      <c r="B149" s="18">
        <f>'내역서(표준단가)'!F154</f>
        <v>0</v>
      </c>
      <c r="C149" s="18">
        <f>'내역서(표준단가)'!G154</f>
        <v>0</v>
      </c>
      <c r="D149" s="18">
        <f>'내역서(표준단가)'!H154</f>
        <v>0</v>
      </c>
      <c r="E149" s="18">
        <f>'내역서(표준단가)'!I154</f>
        <v>0</v>
      </c>
      <c r="F149" s="18">
        <f>'내역서(표준단가)'!M154</f>
        <v>0</v>
      </c>
    </row>
    <row r="150" spans="1:6">
      <c r="A150" s="17">
        <f>'내역서(표준단가)'!E155</f>
        <v>0</v>
      </c>
      <c r="B150" s="18">
        <f>'내역서(표준단가)'!F155</f>
        <v>0</v>
      </c>
      <c r="C150" s="18">
        <f>'내역서(표준단가)'!G155</f>
        <v>0</v>
      </c>
      <c r="D150" s="18">
        <f>'내역서(표준단가)'!H155</f>
        <v>0</v>
      </c>
      <c r="E150" s="18">
        <f>'내역서(표준단가)'!I155</f>
        <v>0</v>
      </c>
      <c r="F150" s="18">
        <f>'내역서(표준단가)'!M155</f>
        <v>0</v>
      </c>
    </row>
    <row r="151" spans="1:6">
      <c r="A151" s="17">
        <f>'내역서(표준단가)'!E156</f>
        <v>0</v>
      </c>
      <c r="B151" s="18">
        <f>'내역서(표준단가)'!F156</f>
        <v>0</v>
      </c>
      <c r="C151" s="18">
        <f>'내역서(표준단가)'!G156</f>
        <v>0</v>
      </c>
      <c r="D151" s="18">
        <f>'내역서(표준단가)'!H156</f>
        <v>0</v>
      </c>
      <c r="E151" s="18">
        <f>'내역서(표준단가)'!I156</f>
        <v>0</v>
      </c>
      <c r="F151" s="18">
        <f>'내역서(표준단가)'!M156</f>
        <v>0</v>
      </c>
    </row>
    <row r="152" spans="1:6">
      <c r="A152" s="17">
        <f>'내역서(표준단가)'!E157</f>
        <v>0</v>
      </c>
      <c r="B152" s="18">
        <f>'내역서(표준단가)'!F157</f>
        <v>0</v>
      </c>
      <c r="C152" s="18">
        <f>'내역서(표준단가)'!G157</f>
        <v>0</v>
      </c>
      <c r="D152" s="18">
        <f>'내역서(표준단가)'!H157</f>
        <v>0</v>
      </c>
      <c r="E152" s="18">
        <f>'내역서(표준단가)'!I157</f>
        <v>0</v>
      </c>
      <c r="F152" s="18">
        <f>'내역서(표준단가)'!M157</f>
        <v>0</v>
      </c>
    </row>
    <row r="153" spans="1:6">
      <c r="A153" s="17">
        <f>'내역서(표준단가)'!E158</f>
        <v>0</v>
      </c>
      <c r="B153" s="18">
        <f>'내역서(표준단가)'!F158</f>
        <v>0</v>
      </c>
      <c r="C153" s="18">
        <f>'내역서(표준단가)'!G158</f>
        <v>0</v>
      </c>
      <c r="D153" s="18">
        <f>'내역서(표준단가)'!H158</f>
        <v>0</v>
      </c>
      <c r="E153" s="18">
        <f>'내역서(표준단가)'!I158</f>
        <v>0</v>
      </c>
      <c r="F153" s="18">
        <f>'내역서(표준단가)'!M158</f>
        <v>0</v>
      </c>
    </row>
    <row r="154" spans="1:6">
      <c r="A154" s="17">
        <f>'내역서(표준단가)'!E159</f>
        <v>0</v>
      </c>
      <c r="B154" s="18">
        <f>'내역서(표준단가)'!F159</f>
        <v>0</v>
      </c>
      <c r="C154" s="18">
        <f>'내역서(표준단가)'!G159</f>
        <v>0</v>
      </c>
      <c r="D154" s="18">
        <f>'내역서(표준단가)'!H159</f>
        <v>0</v>
      </c>
      <c r="E154" s="18">
        <f>'내역서(표준단가)'!I159</f>
        <v>0</v>
      </c>
      <c r="F154" s="18">
        <f>'내역서(표준단가)'!M159</f>
        <v>0</v>
      </c>
    </row>
    <row r="155" spans="1:6">
      <c r="A155" s="17">
        <f>'내역서(표준단가)'!E160</f>
        <v>0</v>
      </c>
      <c r="B155" s="18">
        <f>'내역서(표준단가)'!F160</f>
        <v>0</v>
      </c>
      <c r="C155" s="18">
        <f>'내역서(표준단가)'!G160</f>
        <v>0</v>
      </c>
      <c r="D155" s="18">
        <f>'내역서(표준단가)'!H160</f>
        <v>0</v>
      </c>
      <c r="E155" s="18">
        <f>'내역서(표준단가)'!I160</f>
        <v>0</v>
      </c>
      <c r="F155" s="18">
        <f>'내역서(표준단가)'!M160</f>
        <v>0</v>
      </c>
    </row>
    <row r="156" spans="1:6">
      <c r="A156" s="17">
        <f>'내역서(표준단가)'!E161</f>
        <v>0</v>
      </c>
      <c r="B156" s="18">
        <f>'내역서(표준단가)'!F161</f>
        <v>0</v>
      </c>
      <c r="C156" s="18">
        <f>'내역서(표준단가)'!G161</f>
        <v>0</v>
      </c>
      <c r="D156" s="18">
        <f>'내역서(표준단가)'!H161</f>
        <v>0</v>
      </c>
      <c r="E156" s="18">
        <f>'내역서(표준단가)'!I161</f>
        <v>0</v>
      </c>
      <c r="F156" s="18">
        <f>'내역서(표준단가)'!M161</f>
        <v>0</v>
      </c>
    </row>
    <row r="157" spans="1:6">
      <c r="A157" s="17">
        <f>'내역서(표준단가)'!E162</f>
        <v>0</v>
      </c>
      <c r="B157" s="18">
        <f>'내역서(표준단가)'!F162</f>
        <v>0</v>
      </c>
      <c r="C157" s="18">
        <f>'내역서(표준단가)'!G162</f>
        <v>0</v>
      </c>
      <c r="D157" s="18">
        <f>'내역서(표준단가)'!H162</f>
        <v>0</v>
      </c>
      <c r="E157" s="18">
        <f>'내역서(표준단가)'!I162</f>
        <v>0</v>
      </c>
      <c r="F157" s="18">
        <f>'내역서(표준단가)'!M162</f>
        <v>0</v>
      </c>
    </row>
    <row r="158" spans="1:6">
      <c r="A158" s="17">
        <f>'내역서(표준단가)'!E163</f>
        <v>0</v>
      </c>
      <c r="B158" s="18">
        <f>'내역서(표준단가)'!F163</f>
        <v>0</v>
      </c>
      <c r="C158" s="18">
        <f>'내역서(표준단가)'!G163</f>
        <v>0</v>
      </c>
      <c r="D158" s="18">
        <f>'내역서(표준단가)'!H163</f>
        <v>0</v>
      </c>
      <c r="E158" s="18">
        <f>'내역서(표준단가)'!I163</f>
        <v>0</v>
      </c>
      <c r="F158" s="18">
        <f>'내역서(표준단가)'!M163</f>
        <v>0</v>
      </c>
    </row>
    <row r="159" spans="1:6">
      <c r="A159" s="17">
        <f>'내역서(표준단가)'!E164</f>
        <v>0</v>
      </c>
      <c r="B159" s="18">
        <f>'내역서(표준단가)'!F164</f>
        <v>0</v>
      </c>
      <c r="C159" s="18">
        <f>'내역서(표준단가)'!G164</f>
        <v>0</v>
      </c>
      <c r="D159" s="18">
        <f>'내역서(표준단가)'!H164</f>
        <v>0</v>
      </c>
      <c r="E159" s="18">
        <f>'내역서(표준단가)'!I164</f>
        <v>0</v>
      </c>
      <c r="F159" s="18">
        <f>'내역서(표준단가)'!M164</f>
        <v>0</v>
      </c>
    </row>
    <row r="160" spans="1:6">
      <c r="A160" s="17">
        <f>'내역서(표준단가)'!E165</f>
        <v>0</v>
      </c>
      <c r="B160" s="18">
        <f>'내역서(표준단가)'!F165</f>
        <v>0</v>
      </c>
      <c r="C160" s="18">
        <f>'내역서(표준단가)'!G165</f>
        <v>0</v>
      </c>
      <c r="D160" s="18">
        <f>'내역서(표준단가)'!H165</f>
        <v>0</v>
      </c>
      <c r="E160" s="18">
        <f>'내역서(표준단가)'!I165</f>
        <v>0</v>
      </c>
      <c r="F160" s="18">
        <f>'내역서(표준단가)'!M165</f>
        <v>0</v>
      </c>
    </row>
    <row r="161" spans="1:6">
      <c r="A161" s="17">
        <f>'내역서(표준단가)'!E166</f>
        <v>0</v>
      </c>
      <c r="B161" s="18">
        <f>'내역서(표준단가)'!F166</f>
        <v>0</v>
      </c>
      <c r="C161" s="18">
        <f>'내역서(표준단가)'!G166</f>
        <v>0</v>
      </c>
      <c r="D161" s="18">
        <f>'내역서(표준단가)'!H166</f>
        <v>0</v>
      </c>
      <c r="E161" s="18">
        <f>'내역서(표준단가)'!I166</f>
        <v>0</v>
      </c>
      <c r="F161" s="18">
        <f>'내역서(표준단가)'!M166</f>
        <v>0</v>
      </c>
    </row>
    <row r="162" spans="1:6">
      <c r="A162" s="17">
        <f>'내역서(표준단가)'!E167</f>
        <v>0</v>
      </c>
      <c r="B162" s="18">
        <f>'내역서(표준단가)'!F167</f>
        <v>0</v>
      </c>
      <c r="C162" s="18">
        <f>'내역서(표준단가)'!G167</f>
        <v>0</v>
      </c>
      <c r="D162" s="18">
        <f>'내역서(표준단가)'!H167</f>
        <v>0</v>
      </c>
      <c r="E162" s="18">
        <f>'내역서(표준단가)'!I167</f>
        <v>0</v>
      </c>
      <c r="F162" s="18">
        <f>'내역서(표준단가)'!M167</f>
        <v>0</v>
      </c>
    </row>
    <row r="163" spans="1:6">
      <c r="A163" s="17">
        <f>'내역서(표준단가)'!E168</f>
        <v>0</v>
      </c>
      <c r="B163" s="18">
        <f>'내역서(표준단가)'!F168</f>
        <v>0</v>
      </c>
      <c r="C163" s="18">
        <f>'내역서(표준단가)'!G168</f>
        <v>0</v>
      </c>
      <c r="D163" s="18">
        <f>'내역서(표준단가)'!H168</f>
        <v>0</v>
      </c>
      <c r="E163" s="18">
        <f>'내역서(표준단가)'!I168</f>
        <v>0</v>
      </c>
      <c r="F163" s="18">
        <f>'내역서(표준단가)'!M168</f>
        <v>0</v>
      </c>
    </row>
    <row r="164" spans="1:6">
      <c r="A164" s="17">
        <f>'내역서(표준단가)'!E169</f>
        <v>0</v>
      </c>
      <c r="B164" s="18">
        <f>'내역서(표준단가)'!F169</f>
        <v>0</v>
      </c>
      <c r="C164" s="18">
        <f>'내역서(표준단가)'!G169</f>
        <v>0</v>
      </c>
      <c r="D164" s="18">
        <f>'내역서(표준단가)'!H169</f>
        <v>0</v>
      </c>
      <c r="E164" s="18">
        <f>'내역서(표준단가)'!I169</f>
        <v>0</v>
      </c>
      <c r="F164" s="18">
        <f>'내역서(표준단가)'!M169</f>
        <v>0</v>
      </c>
    </row>
    <row r="165" spans="1:6">
      <c r="A165" s="17">
        <f>'내역서(표준단가)'!E170</f>
        <v>0</v>
      </c>
      <c r="B165" s="18">
        <f>'내역서(표준단가)'!F170</f>
        <v>0</v>
      </c>
      <c r="C165" s="18">
        <f>'내역서(표준단가)'!G170</f>
        <v>0</v>
      </c>
      <c r="D165" s="18">
        <f>'내역서(표준단가)'!H170</f>
        <v>0</v>
      </c>
      <c r="E165" s="18">
        <f>'내역서(표준단가)'!I170</f>
        <v>0</v>
      </c>
      <c r="F165" s="18">
        <f>'내역서(표준단가)'!M170</f>
        <v>0</v>
      </c>
    </row>
    <row r="166" spans="1:6">
      <c r="A166" s="17">
        <f>'내역서(표준단가)'!E171</f>
        <v>0</v>
      </c>
      <c r="B166" s="18">
        <f>'내역서(표준단가)'!F171</f>
        <v>0</v>
      </c>
      <c r="C166" s="18">
        <f>'내역서(표준단가)'!G171</f>
        <v>0</v>
      </c>
      <c r="D166" s="18">
        <f>'내역서(표준단가)'!H171</f>
        <v>0</v>
      </c>
      <c r="E166" s="18">
        <f>'내역서(표준단가)'!I171</f>
        <v>0</v>
      </c>
      <c r="F166" s="18">
        <f>'내역서(표준단가)'!M171</f>
        <v>0</v>
      </c>
    </row>
    <row r="167" spans="1:6">
      <c r="A167" s="17">
        <f>'내역서(표준단가)'!E172</f>
        <v>0</v>
      </c>
      <c r="B167" s="18">
        <f>'내역서(표준단가)'!F172</f>
        <v>0</v>
      </c>
      <c r="C167" s="18">
        <f>'내역서(표준단가)'!G172</f>
        <v>0</v>
      </c>
      <c r="D167" s="18">
        <f>'내역서(표준단가)'!H172</f>
        <v>0</v>
      </c>
      <c r="E167" s="18">
        <f>'내역서(표준단가)'!I172</f>
        <v>0</v>
      </c>
      <c r="F167" s="18">
        <f>'내역서(표준단가)'!M172</f>
        <v>0</v>
      </c>
    </row>
    <row r="168" spans="1:6">
      <c r="A168" s="17">
        <f>'내역서(표준단가)'!E173</f>
        <v>0</v>
      </c>
      <c r="B168" s="18">
        <f>'내역서(표준단가)'!F173</f>
        <v>0</v>
      </c>
      <c r="C168" s="18">
        <f>'내역서(표준단가)'!G173</f>
        <v>0</v>
      </c>
      <c r="D168" s="18">
        <f>'내역서(표준단가)'!H173</f>
        <v>0</v>
      </c>
      <c r="E168" s="18">
        <f>'내역서(표준단가)'!I173</f>
        <v>0</v>
      </c>
      <c r="F168" s="18">
        <f>'내역서(표준단가)'!M173</f>
        <v>0</v>
      </c>
    </row>
    <row r="169" spans="1:6">
      <c r="A169" s="17">
        <f>'내역서(표준단가)'!E174</f>
        <v>0</v>
      </c>
      <c r="B169" s="18">
        <f>'내역서(표준단가)'!F174</f>
        <v>0</v>
      </c>
      <c r="C169" s="18">
        <f>'내역서(표준단가)'!G174</f>
        <v>0</v>
      </c>
      <c r="D169" s="18">
        <f>'내역서(표준단가)'!H174</f>
        <v>0</v>
      </c>
      <c r="E169" s="18">
        <f>'내역서(표준단가)'!I174</f>
        <v>0</v>
      </c>
      <c r="F169" s="18">
        <f>'내역서(표준단가)'!M174</f>
        <v>0</v>
      </c>
    </row>
    <row r="170" spans="1:6">
      <c r="A170" s="17">
        <f>'내역서(표준단가)'!E175</f>
        <v>0</v>
      </c>
      <c r="B170" s="18">
        <f>'내역서(표준단가)'!F175</f>
        <v>0</v>
      </c>
      <c r="C170" s="18">
        <f>'내역서(표준단가)'!G175</f>
        <v>0</v>
      </c>
      <c r="D170" s="18">
        <f>'내역서(표준단가)'!H175</f>
        <v>0</v>
      </c>
      <c r="E170" s="18">
        <f>'내역서(표준단가)'!I175</f>
        <v>0</v>
      </c>
      <c r="F170" s="18">
        <f>'내역서(표준단가)'!M175</f>
        <v>0</v>
      </c>
    </row>
    <row r="171" spans="1:6">
      <c r="A171" s="17">
        <f>'내역서(표준단가)'!E176</f>
        <v>0</v>
      </c>
      <c r="B171" s="18">
        <f>'내역서(표준단가)'!F176</f>
        <v>0</v>
      </c>
      <c r="C171" s="18">
        <f>'내역서(표준단가)'!G176</f>
        <v>0</v>
      </c>
      <c r="D171" s="18">
        <f>'내역서(표준단가)'!H176</f>
        <v>0</v>
      </c>
      <c r="E171" s="18">
        <f>'내역서(표준단가)'!I176</f>
        <v>0</v>
      </c>
      <c r="F171" s="18">
        <f>'내역서(표준단가)'!M176</f>
        <v>0</v>
      </c>
    </row>
    <row r="172" spans="1:6">
      <c r="A172" s="17">
        <f>'내역서(표준단가)'!E177</f>
        <v>0</v>
      </c>
      <c r="B172" s="18">
        <f>'내역서(표준단가)'!F177</f>
        <v>0</v>
      </c>
      <c r="C172" s="18">
        <f>'내역서(표준단가)'!G177</f>
        <v>0</v>
      </c>
      <c r="D172" s="18">
        <f>'내역서(표준단가)'!H177</f>
        <v>0</v>
      </c>
      <c r="E172" s="18">
        <f>'내역서(표준단가)'!I177</f>
        <v>0</v>
      </c>
      <c r="F172" s="18">
        <f>'내역서(표준단가)'!M177</f>
        <v>0</v>
      </c>
    </row>
    <row r="173" spans="1:6">
      <c r="A173" s="17">
        <f>'내역서(표준단가)'!E178</f>
        <v>0</v>
      </c>
      <c r="B173" s="18">
        <f>'내역서(표준단가)'!F178</f>
        <v>0</v>
      </c>
      <c r="C173" s="18">
        <f>'내역서(표준단가)'!G178</f>
        <v>0</v>
      </c>
      <c r="D173" s="18">
        <f>'내역서(표준단가)'!H178</f>
        <v>0</v>
      </c>
      <c r="E173" s="18">
        <f>'내역서(표준단가)'!I178</f>
        <v>0</v>
      </c>
      <c r="F173" s="18">
        <f>'내역서(표준단가)'!M178</f>
        <v>0</v>
      </c>
    </row>
    <row r="174" spans="1:6">
      <c r="A174" s="17">
        <f>'내역서(표준단가)'!E179</f>
        <v>0</v>
      </c>
      <c r="B174" s="18">
        <f>'내역서(표준단가)'!F179</f>
        <v>0</v>
      </c>
      <c r="C174" s="18">
        <f>'내역서(표준단가)'!G179</f>
        <v>0</v>
      </c>
      <c r="D174" s="18">
        <f>'내역서(표준단가)'!H179</f>
        <v>0</v>
      </c>
      <c r="E174" s="18">
        <f>'내역서(표준단가)'!I179</f>
        <v>0</v>
      </c>
      <c r="F174" s="18">
        <f>'내역서(표준단가)'!M179</f>
        <v>0</v>
      </c>
    </row>
    <row r="175" spans="1:6">
      <c r="A175" s="17">
        <f>'내역서(표준단가)'!E180</f>
        <v>0</v>
      </c>
      <c r="B175" s="18">
        <f>'내역서(표준단가)'!F180</f>
        <v>0</v>
      </c>
      <c r="C175" s="18">
        <f>'내역서(표준단가)'!G180</f>
        <v>0</v>
      </c>
      <c r="D175" s="18">
        <f>'내역서(표준단가)'!H180</f>
        <v>0</v>
      </c>
      <c r="E175" s="18">
        <f>'내역서(표준단가)'!I180</f>
        <v>0</v>
      </c>
      <c r="F175" s="18">
        <f>'내역서(표준단가)'!M180</f>
        <v>0</v>
      </c>
    </row>
    <row r="176" spans="1:6">
      <c r="A176" s="17">
        <f>'내역서(표준단가)'!E181</f>
        <v>0</v>
      </c>
      <c r="B176" s="18">
        <f>'내역서(표준단가)'!F181</f>
        <v>0</v>
      </c>
      <c r="C176" s="18">
        <f>'내역서(표준단가)'!G181</f>
        <v>0</v>
      </c>
      <c r="D176" s="18">
        <f>'내역서(표준단가)'!H181</f>
        <v>0</v>
      </c>
      <c r="E176" s="18">
        <f>'내역서(표준단가)'!I181</f>
        <v>0</v>
      </c>
      <c r="F176" s="18">
        <f>'내역서(표준단가)'!M181</f>
        <v>0</v>
      </c>
    </row>
    <row r="177" spans="1:6">
      <c r="A177" s="17">
        <f>'내역서(표준단가)'!E182</f>
        <v>0</v>
      </c>
      <c r="B177" s="18">
        <f>'내역서(표준단가)'!F182</f>
        <v>0</v>
      </c>
      <c r="C177" s="18">
        <f>'내역서(표준단가)'!G182</f>
        <v>0</v>
      </c>
      <c r="D177" s="18">
        <f>'내역서(표준단가)'!H182</f>
        <v>0</v>
      </c>
      <c r="E177" s="18">
        <f>'내역서(표준단가)'!I182</f>
        <v>0</v>
      </c>
      <c r="F177" s="18">
        <f>'내역서(표준단가)'!M182</f>
        <v>0</v>
      </c>
    </row>
    <row r="178" spans="1:6">
      <c r="A178" s="17">
        <f>'내역서(표준단가)'!E183</f>
        <v>0</v>
      </c>
      <c r="B178" s="18">
        <f>'내역서(표준단가)'!F183</f>
        <v>0</v>
      </c>
      <c r="C178" s="18">
        <f>'내역서(표준단가)'!G183</f>
        <v>0</v>
      </c>
      <c r="D178" s="18">
        <f>'내역서(표준단가)'!H183</f>
        <v>0</v>
      </c>
      <c r="E178" s="18">
        <f>'내역서(표준단가)'!I183</f>
        <v>0</v>
      </c>
      <c r="F178" s="18">
        <f>'내역서(표준단가)'!M183</f>
        <v>0</v>
      </c>
    </row>
    <row r="179" spans="1:6">
      <c r="A179" s="17">
        <f>'내역서(표준단가)'!E184</f>
        <v>0</v>
      </c>
      <c r="B179" s="18">
        <f>'내역서(표준단가)'!F184</f>
        <v>0</v>
      </c>
      <c r="C179" s="18">
        <f>'내역서(표준단가)'!G184</f>
        <v>0</v>
      </c>
      <c r="D179" s="18">
        <f>'내역서(표준단가)'!H184</f>
        <v>0</v>
      </c>
      <c r="E179" s="18">
        <f>'내역서(표준단가)'!I184</f>
        <v>0</v>
      </c>
      <c r="F179" s="18">
        <f>'내역서(표준단가)'!M184</f>
        <v>0</v>
      </c>
    </row>
    <row r="180" spans="1:6">
      <c r="A180" s="17">
        <f>'내역서(표준단가)'!E185</f>
        <v>0</v>
      </c>
      <c r="B180" s="18">
        <f>'내역서(표준단가)'!F185</f>
        <v>0</v>
      </c>
      <c r="C180" s="18">
        <f>'내역서(표준단가)'!G185</f>
        <v>0</v>
      </c>
      <c r="D180" s="18">
        <f>'내역서(표준단가)'!H185</f>
        <v>0</v>
      </c>
      <c r="E180" s="18">
        <f>'내역서(표준단가)'!I185</f>
        <v>0</v>
      </c>
      <c r="F180" s="18">
        <f>'내역서(표준단가)'!M185</f>
        <v>0</v>
      </c>
    </row>
    <row r="181" spans="1:6">
      <c r="A181" s="17">
        <f>'내역서(표준단가)'!E186</f>
        <v>0</v>
      </c>
      <c r="B181" s="18">
        <f>'내역서(표준단가)'!F186</f>
        <v>0</v>
      </c>
      <c r="C181" s="18">
        <f>'내역서(표준단가)'!G186</f>
        <v>0</v>
      </c>
      <c r="D181" s="18">
        <f>'내역서(표준단가)'!H186</f>
        <v>0</v>
      </c>
      <c r="E181" s="18">
        <f>'내역서(표준단가)'!I186</f>
        <v>0</v>
      </c>
      <c r="F181" s="18">
        <f>'내역서(표준단가)'!M186</f>
        <v>0</v>
      </c>
    </row>
    <row r="182" spans="1:6">
      <c r="A182" s="17">
        <f>'내역서(표준단가)'!E187</f>
        <v>0</v>
      </c>
      <c r="B182" s="18">
        <f>'내역서(표준단가)'!F187</f>
        <v>0</v>
      </c>
      <c r="C182" s="18">
        <f>'내역서(표준단가)'!G187</f>
        <v>0</v>
      </c>
      <c r="D182" s="18">
        <f>'내역서(표준단가)'!H187</f>
        <v>0</v>
      </c>
      <c r="E182" s="18">
        <f>'내역서(표준단가)'!I187</f>
        <v>0</v>
      </c>
      <c r="F182" s="18">
        <f>'내역서(표준단가)'!M187</f>
        <v>0</v>
      </c>
    </row>
    <row r="183" spans="1:6">
      <c r="A183" s="17">
        <f>'내역서(표준단가)'!E188</f>
        <v>0</v>
      </c>
      <c r="B183" s="18">
        <f>'내역서(표준단가)'!F188</f>
        <v>0</v>
      </c>
      <c r="C183" s="18">
        <f>'내역서(표준단가)'!G188</f>
        <v>0</v>
      </c>
      <c r="D183" s="18">
        <f>'내역서(표준단가)'!H188</f>
        <v>0</v>
      </c>
      <c r="E183" s="18">
        <f>'내역서(표준단가)'!I188</f>
        <v>0</v>
      </c>
      <c r="F183" s="18">
        <f>'내역서(표준단가)'!M188</f>
        <v>0</v>
      </c>
    </row>
    <row r="184" spans="1:6">
      <c r="A184" s="17">
        <f>'내역서(표준단가)'!E189</f>
        <v>0</v>
      </c>
      <c r="B184" s="18">
        <f>'내역서(표준단가)'!F189</f>
        <v>0</v>
      </c>
      <c r="C184" s="18">
        <f>'내역서(표준단가)'!G189</f>
        <v>0</v>
      </c>
      <c r="D184" s="18">
        <f>'내역서(표준단가)'!H189</f>
        <v>0</v>
      </c>
      <c r="E184" s="18">
        <f>'내역서(표준단가)'!I189</f>
        <v>0</v>
      </c>
      <c r="F184" s="18">
        <f>'내역서(표준단가)'!M189</f>
        <v>0</v>
      </c>
    </row>
    <row r="185" spans="1:6">
      <c r="A185" s="17">
        <f>'내역서(표준단가)'!E190</f>
        <v>0</v>
      </c>
      <c r="B185" s="18">
        <f>'내역서(표준단가)'!F190</f>
        <v>0</v>
      </c>
      <c r="C185" s="18">
        <f>'내역서(표준단가)'!G190</f>
        <v>0</v>
      </c>
      <c r="D185" s="18">
        <f>'내역서(표준단가)'!H190</f>
        <v>0</v>
      </c>
      <c r="E185" s="18">
        <f>'내역서(표준단가)'!I190</f>
        <v>0</v>
      </c>
      <c r="F185" s="18">
        <f>'내역서(표준단가)'!M190</f>
        <v>0</v>
      </c>
    </row>
    <row r="186" spans="1:6">
      <c r="A186" s="17">
        <f>'내역서(표준단가)'!E191</f>
        <v>0</v>
      </c>
      <c r="B186" s="18">
        <f>'내역서(표준단가)'!F191</f>
        <v>0</v>
      </c>
      <c r="C186" s="18">
        <f>'내역서(표준단가)'!G191</f>
        <v>0</v>
      </c>
      <c r="D186" s="18">
        <f>'내역서(표준단가)'!H191</f>
        <v>0</v>
      </c>
      <c r="E186" s="18">
        <f>'내역서(표준단가)'!I191</f>
        <v>0</v>
      </c>
      <c r="F186" s="18">
        <f>'내역서(표준단가)'!M191</f>
        <v>0</v>
      </c>
    </row>
    <row r="187" spans="1:6">
      <c r="A187" s="17">
        <f>'내역서(표준단가)'!E192</f>
        <v>0</v>
      </c>
      <c r="B187" s="18">
        <f>'내역서(표준단가)'!F192</f>
        <v>0</v>
      </c>
      <c r="C187" s="18">
        <f>'내역서(표준단가)'!G192</f>
        <v>0</v>
      </c>
      <c r="D187" s="18">
        <f>'내역서(표준단가)'!H192</f>
        <v>0</v>
      </c>
      <c r="E187" s="18">
        <f>'내역서(표준단가)'!I192</f>
        <v>0</v>
      </c>
      <c r="F187" s="18">
        <f>'내역서(표준단가)'!M192</f>
        <v>0</v>
      </c>
    </row>
    <row r="188" spans="1:6">
      <c r="A188" s="17">
        <f>'내역서(표준단가)'!E193</f>
        <v>0</v>
      </c>
      <c r="B188" s="18">
        <f>'내역서(표준단가)'!F193</f>
        <v>0</v>
      </c>
      <c r="C188" s="18">
        <f>'내역서(표준단가)'!G193</f>
        <v>0</v>
      </c>
      <c r="D188" s="18">
        <f>'내역서(표준단가)'!H193</f>
        <v>0</v>
      </c>
      <c r="E188" s="18">
        <f>'내역서(표준단가)'!I193</f>
        <v>0</v>
      </c>
      <c r="F188" s="18">
        <f>'내역서(표준단가)'!M193</f>
        <v>0</v>
      </c>
    </row>
    <row r="189" spans="1:6">
      <c r="A189" s="17">
        <f>'내역서(표준단가)'!E194</f>
        <v>0</v>
      </c>
      <c r="B189" s="18">
        <f>'내역서(표준단가)'!F194</f>
        <v>0</v>
      </c>
      <c r="C189" s="18">
        <f>'내역서(표준단가)'!G194</f>
        <v>0</v>
      </c>
      <c r="D189" s="18">
        <f>'내역서(표준단가)'!H194</f>
        <v>0</v>
      </c>
      <c r="E189" s="18">
        <f>'내역서(표준단가)'!I194</f>
        <v>0</v>
      </c>
      <c r="F189" s="18">
        <f>'내역서(표준단가)'!M194</f>
        <v>0</v>
      </c>
    </row>
    <row r="190" spans="1:6">
      <c r="A190" s="17">
        <f>'내역서(표준단가)'!E195</f>
        <v>0</v>
      </c>
      <c r="B190" s="18">
        <f>'내역서(표준단가)'!F195</f>
        <v>0</v>
      </c>
      <c r="C190" s="18">
        <f>'내역서(표준단가)'!G195</f>
        <v>0</v>
      </c>
      <c r="D190" s="18">
        <f>'내역서(표준단가)'!H195</f>
        <v>0</v>
      </c>
      <c r="E190" s="18">
        <f>'내역서(표준단가)'!I195</f>
        <v>0</v>
      </c>
      <c r="F190" s="18">
        <f>'내역서(표준단가)'!M195</f>
        <v>0</v>
      </c>
    </row>
    <row r="191" spans="1:6">
      <c r="A191" s="17">
        <f>'내역서(표준단가)'!E196</f>
        <v>0</v>
      </c>
      <c r="B191" s="18">
        <f>'내역서(표준단가)'!F196</f>
        <v>0</v>
      </c>
      <c r="C191" s="18">
        <f>'내역서(표준단가)'!G196</f>
        <v>0</v>
      </c>
      <c r="D191" s="18">
        <f>'내역서(표준단가)'!H196</f>
        <v>0</v>
      </c>
      <c r="E191" s="18">
        <f>'내역서(표준단가)'!I196</f>
        <v>0</v>
      </c>
      <c r="F191" s="18">
        <f>'내역서(표준단가)'!M196</f>
        <v>0</v>
      </c>
    </row>
    <row r="192" spans="1:6">
      <c r="A192" s="17">
        <f>'내역서(표준단가)'!E197</f>
        <v>0</v>
      </c>
      <c r="B192" s="18">
        <f>'내역서(표준단가)'!F197</f>
        <v>0</v>
      </c>
      <c r="C192" s="18">
        <f>'내역서(표준단가)'!G197</f>
        <v>0</v>
      </c>
      <c r="D192" s="18">
        <f>'내역서(표준단가)'!H197</f>
        <v>0</v>
      </c>
      <c r="E192" s="18">
        <f>'내역서(표준단가)'!I197</f>
        <v>0</v>
      </c>
      <c r="F192" s="18">
        <f>'내역서(표준단가)'!M197</f>
        <v>0</v>
      </c>
    </row>
    <row r="193" spans="1:6">
      <c r="A193" s="17">
        <f>'내역서(표준단가)'!E198</f>
        <v>0</v>
      </c>
      <c r="B193" s="18">
        <f>'내역서(표준단가)'!F198</f>
        <v>0</v>
      </c>
      <c r="C193" s="18">
        <f>'내역서(표준단가)'!G198</f>
        <v>0</v>
      </c>
      <c r="D193" s="18">
        <f>'내역서(표준단가)'!H198</f>
        <v>0</v>
      </c>
      <c r="E193" s="18">
        <f>'내역서(표준단가)'!I198</f>
        <v>0</v>
      </c>
      <c r="F193" s="18">
        <f>'내역서(표준단가)'!M198</f>
        <v>0</v>
      </c>
    </row>
    <row r="194" spans="1:6">
      <c r="A194" s="17">
        <f>'내역서(표준단가)'!E199</f>
        <v>0</v>
      </c>
      <c r="B194" s="18">
        <f>'내역서(표준단가)'!F199</f>
        <v>0</v>
      </c>
      <c r="C194" s="18">
        <f>'내역서(표준단가)'!G199</f>
        <v>0</v>
      </c>
      <c r="D194" s="18">
        <f>'내역서(표준단가)'!H199</f>
        <v>0</v>
      </c>
      <c r="E194" s="18">
        <f>'내역서(표준단가)'!I199</f>
        <v>0</v>
      </c>
      <c r="F194" s="18">
        <f>'내역서(표준단가)'!M199</f>
        <v>0</v>
      </c>
    </row>
    <row r="195" spans="1:6">
      <c r="A195" s="17">
        <f>'내역서(표준단가)'!E200</f>
        <v>0</v>
      </c>
      <c r="B195" s="18">
        <f>'내역서(표준단가)'!F200</f>
        <v>0</v>
      </c>
      <c r="C195" s="18">
        <f>'내역서(표준단가)'!G200</f>
        <v>0</v>
      </c>
      <c r="D195" s="18">
        <f>'내역서(표준단가)'!H200</f>
        <v>0</v>
      </c>
      <c r="E195" s="18">
        <f>'내역서(표준단가)'!I200</f>
        <v>0</v>
      </c>
      <c r="F195" s="18">
        <f>'내역서(표준단가)'!M200</f>
        <v>0</v>
      </c>
    </row>
    <row r="196" spans="1:6">
      <c r="A196" s="17">
        <f>'내역서(표준단가)'!E201</f>
        <v>0</v>
      </c>
      <c r="B196" s="18">
        <f>'내역서(표준단가)'!F201</f>
        <v>0</v>
      </c>
      <c r="C196" s="18">
        <f>'내역서(표준단가)'!G201</f>
        <v>0</v>
      </c>
      <c r="D196" s="18">
        <f>'내역서(표준단가)'!H201</f>
        <v>0</v>
      </c>
      <c r="E196" s="18">
        <f>'내역서(표준단가)'!I201</f>
        <v>0</v>
      </c>
      <c r="F196" s="18">
        <f>'내역서(표준단가)'!M201</f>
        <v>0</v>
      </c>
    </row>
    <row r="197" spans="1:6">
      <c r="A197" s="17">
        <f>'내역서(표준단가)'!E202</f>
        <v>0</v>
      </c>
      <c r="B197" s="18">
        <f>'내역서(표준단가)'!F202</f>
        <v>0</v>
      </c>
      <c r="C197" s="18">
        <f>'내역서(표준단가)'!G202</f>
        <v>0</v>
      </c>
      <c r="D197" s="18">
        <f>'내역서(표준단가)'!H202</f>
        <v>0</v>
      </c>
      <c r="E197" s="18">
        <f>'내역서(표준단가)'!I202</f>
        <v>0</v>
      </c>
      <c r="F197" s="18">
        <f>'내역서(표준단가)'!M202</f>
        <v>0</v>
      </c>
    </row>
    <row r="198" spans="1:6">
      <c r="A198" s="17">
        <f>'내역서(표준단가)'!E203</f>
        <v>0</v>
      </c>
      <c r="B198" s="18">
        <f>'내역서(표준단가)'!F203</f>
        <v>0</v>
      </c>
      <c r="C198" s="18">
        <f>'내역서(표준단가)'!G203</f>
        <v>0</v>
      </c>
      <c r="D198" s="18">
        <f>'내역서(표준단가)'!H203</f>
        <v>0</v>
      </c>
      <c r="E198" s="18">
        <f>'내역서(표준단가)'!I203</f>
        <v>0</v>
      </c>
      <c r="F198" s="18">
        <f>'내역서(표준단가)'!M203</f>
        <v>0</v>
      </c>
    </row>
    <row r="199" spans="1:6">
      <c r="A199" s="17">
        <f>'내역서(표준단가)'!E204</f>
        <v>0</v>
      </c>
      <c r="B199" s="18">
        <f>'내역서(표준단가)'!F204</f>
        <v>0</v>
      </c>
      <c r="C199" s="18">
        <f>'내역서(표준단가)'!G204</f>
        <v>0</v>
      </c>
      <c r="D199" s="18">
        <f>'내역서(표준단가)'!H204</f>
        <v>0</v>
      </c>
      <c r="E199" s="18">
        <f>'내역서(표준단가)'!I204</f>
        <v>0</v>
      </c>
      <c r="F199" s="18">
        <f>'내역서(표준단가)'!M204</f>
        <v>0</v>
      </c>
    </row>
    <row r="200" spans="1:6">
      <c r="A200" s="17">
        <f>'내역서(표준단가)'!E205</f>
        <v>0</v>
      </c>
      <c r="B200" s="18">
        <f>'내역서(표준단가)'!F205</f>
        <v>0</v>
      </c>
      <c r="C200" s="18">
        <f>'내역서(표준단가)'!G205</f>
        <v>0</v>
      </c>
      <c r="D200" s="18">
        <f>'내역서(표준단가)'!H205</f>
        <v>0</v>
      </c>
      <c r="E200" s="18">
        <f>'내역서(표준단가)'!I205</f>
        <v>0</v>
      </c>
      <c r="F200" s="18">
        <f>'내역서(표준단가)'!M205</f>
        <v>0</v>
      </c>
    </row>
    <row r="201" spans="1:6">
      <c r="A201" s="17">
        <f>'내역서(표준단가)'!E206</f>
        <v>0</v>
      </c>
      <c r="B201" s="18">
        <f>'내역서(표준단가)'!F206</f>
        <v>0</v>
      </c>
      <c r="C201" s="18">
        <f>'내역서(표준단가)'!G206</f>
        <v>0</v>
      </c>
      <c r="D201" s="18">
        <f>'내역서(표준단가)'!H206</f>
        <v>0</v>
      </c>
      <c r="E201" s="18">
        <f>'내역서(표준단가)'!I206</f>
        <v>0</v>
      </c>
      <c r="F201" s="18">
        <f>'내역서(표준단가)'!M206</f>
        <v>0</v>
      </c>
    </row>
    <row r="202" spans="1:6">
      <c r="A202" s="17">
        <f>'내역서(표준단가)'!E207</f>
        <v>0</v>
      </c>
      <c r="B202" s="18">
        <f>'내역서(표준단가)'!F207</f>
        <v>0</v>
      </c>
      <c r="C202" s="18">
        <f>'내역서(표준단가)'!G207</f>
        <v>0</v>
      </c>
      <c r="D202" s="18">
        <f>'내역서(표준단가)'!H207</f>
        <v>0</v>
      </c>
      <c r="E202" s="18">
        <f>'내역서(표준단가)'!I207</f>
        <v>0</v>
      </c>
      <c r="F202" s="18">
        <f>'내역서(표준단가)'!M207</f>
        <v>0</v>
      </c>
    </row>
    <row r="203" spans="1:6">
      <c r="A203" s="17">
        <f>'내역서(표준단가)'!E208</f>
        <v>0</v>
      </c>
      <c r="B203" s="18">
        <f>'내역서(표준단가)'!F208</f>
        <v>0</v>
      </c>
      <c r="C203" s="18">
        <f>'내역서(표준단가)'!G208</f>
        <v>0</v>
      </c>
      <c r="D203" s="18">
        <f>'내역서(표준단가)'!H208</f>
        <v>0</v>
      </c>
      <c r="E203" s="18">
        <f>'내역서(표준단가)'!I208</f>
        <v>0</v>
      </c>
      <c r="F203" s="18">
        <f>'내역서(표준단가)'!M208</f>
        <v>0</v>
      </c>
    </row>
    <row r="204" spans="1:6">
      <c r="A204" s="17">
        <f>'내역서(표준단가)'!E209</f>
        <v>0</v>
      </c>
      <c r="B204" s="18">
        <f>'내역서(표준단가)'!F209</f>
        <v>0</v>
      </c>
      <c r="C204" s="18">
        <f>'내역서(표준단가)'!G209</f>
        <v>0</v>
      </c>
      <c r="D204" s="18">
        <f>'내역서(표준단가)'!H209</f>
        <v>0</v>
      </c>
      <c r="E204" s="18">
        <f>'내역서(표준단가)'!I209</f>
        <v>0</v>
      </c>
      <c r="F204" s="18">
        <f>'내역서(표준단가)'!M209</f>
        <v>0</v>
      </c>
    </row>
    <row r="205" spans="1:6">
      <c r="A205" s="17">
        <f>'내역서(표준단가)'!E210</f>
        <v>0</v>
      </c>
      <c r="B205" s="18">
        <f>'내역서(표준단가)'!F210</f>
        <v>0</v>
      </c>
      <c r="C205" s="18">
        <f>'내역서(표준단가)'!G210</f>
        <v>0</v>
      </c>
      <c r="D205" s="18">
        <f>'내역서(표준단가)'!H210</f>
        <v>0</v>
      </c>
      <c r="E205" s="18">
        <f>'내역서(표준단가)'!I210</f>
        <v>0</v>
      </c>
      <c r="F205" s="18">
        <f>'내역서(표준단가)'!M210</f>
        <v>0</v>
      </c>
    </row>
    <row r="206" spans="1:6">
      <c r="A206" s="17">
        <f>'내역서(표준단가)'!E211</f>
        <v>0</v>
      </c>
      <c r="B206" s="18">
        <f>'내역서(표준단가)'!F211</f>
        <v>0</v>
      </c>
      <c r="C206" s="18">
        <f>'내역서(표준단가)'!G211</f>
        <v>0</v>
      </c>
      <c r="D206" s="18">
        <f>'내역서(표준단가)'!H211</f>
        <v>0</v>
      </c>
      <c r="E206" s="18">
        <f>'내역서(표준단가)'!I211</f>
        <v>0</v>
      </c>
      <c r="F206" s="18">
        <f>'내역서(표준단가)'!M211</f>
        <v>0</v>
      </c>
    </row>
    <row r="207" spans="1:6">
      <c r="A207" s="17">
        <f>'내역서(표준단가)'!E212</f>
        <v>0</v>
      </c>
      <c r="B207" s="18">
        <f>'내역서(표준단가)'!F212</f>
        <v>0</v>
      </c>
      <c r="C207" s="18">
        <f>'내역서(표준단가)'!G212</f>
        <v>0</v>
      </c>
      <c r="D207" s="18">
        <f>'내역서(표준단가)'!H212</f>
        <v>0</v>
      </c>
      <c r="E207" s="18">
        <f>'내역서(표준단가)'!I212</f>
        <v>0</v>
      </c>
      <c r="F207" s="18">
        <f>'내역서(표준단가)'!M212</f>
        <v>0</v>
      </c>
    </row>
    <row r="208" spans="1:6">
      <c r="A208" s="17">
        <f>'내역서(표준단가)'!E213</f>
        <v>0</v>
      </c>
      <c r="B208" s="18">
        <f>'내역서(표준단가)'!F213</f>
        <v>0</v>
      </c>
      <c r="C208" s="18">
        <f>'내역서(표준단가)'!G213</f>
        <v>0</v>
      </c>
      <c r="D208" s="18">
        <f>'내역서(표준단가)'!H213</f>
        <v>0</v>
      </c>
      <c r="E208" s="18">
        <f>'내역서(표준단가)'!I213</f>
        <v>0</v>
      </c>
      <c r="F208" s="18">
        <f>'내역서(표준단가)'!M213</f>
        <v>0</v>
      </c>
    </row>
    <row r="209" spans="1:6">
      <c r="A209" s="17">
        <f>'내역서(표준단가)'!E214</f>
        <v>0</v>
      </c>
      <c r="B209" s="18">
        <f>'내역서(표준단가)'!F214</f>
        <v>0</v>
      </c>
      <c r="C209" s="18">
        <f>'내역서(표준단가)'!G214</f>
        <v>0</v>
      </c>
      <c r="D209" s="18">
        <f>'내역서(표준단가)'!H214</f>
        <v>0</v>
      </c>
      <c r="E209" s="18">
        <f>'내역서(표준단가)'!I214</f>
        <v>0</v>
      </c>
      <c r="F209" s="18">
        <f>'내역서(표준단가)'!M214</f>
        <v>0</v>
      </c>
    </row>
    <row r="210" spans="1:6">
      <c r="A210" s="17">
        <f>'내역서(표준단가)'!E215</f>
        <v>0</v>
      </c>
      <c r="B210" s="18">
        <f>'내역서(표준단가)'!F215</f>
        <v>0</v>
      </c>
      <c r="C210" s="18">
        <f>'내역서(표준단가)'!G215</f>
        <v>0</v>
      </c>
      <c r="D210" s="18">
        <f>'내역서(표준단가)'!H215</f>
        <v>0</v>
      </c>
      <c r="E210" s="18">
        <f>'내역서(표준단가)'!I215</f>
        <v>0</v>
      </c>
      <c r="F210" s="18">
        <f>'내역서(표준단가)'!M215</f>
        <v>0</v>
      </c>
    </row>
    <row r="211" spans="1:6">
      <c r="A211" s="17">
        <f>'내역서(표준단가)'!E216</f>
        <v>0</v>
      </c>
      <c r="B211" s="18">
        <f>'내역서(표준단가)'!F216</f>
        <v>0</v>
      </c>
      <c r="C211" s="18">
        <f>'내역서(표준단가)'!G216</f>
        <v>0</v>
      </c>
      <c r="D211" s="18">
        <f>'내역서(표준단가)'!H216</f>
        <v>0</v>
      </c>
      <c r="E211" s="18">
        <f>'내역서(표준단가)'!I216</f>
        <v>0</v>
      </c>
      <c r="F211" s="18">
        <f>'내역서(표준단가)'!M216</f>
        <v>0</v>
      </c>
    </row>
    <row r="212" spans="1:6">
      <c r="A212" s="17">
        <f>'내역서(표준단가)'!E217</f>
        <v>0</v>
      </c>
      <c r="B212" s="18">
        <f>'내역서(표준단가)'!F217</f>
        <v>0</v>
      </c>
      <c r="C212" s="18">
        <f>'내역서(표준단가)'!G217</f>
        <v>0</v>
      </c>
      <c r="D212" s="18">
        <f>'내역서(표준단가)'!H217</f>
        <v>0</v>
      </c>
      <c r="E212" s="18">
        <f>'내역서(표준단가)'!I217</f>
        <v>0</v>
      </c>
      <c r="F212" s="18">
        <f>'내역서(표준단가)'!M217</f>
        <v>0</v>
      </c>
    </row>
    <row r="213" spans="1:6">
      <c r="A213" s="17">
        <f>'내역서(표준단가)'!E218</f>
        <v>0</v>
      </c>
      <c r="B213" s="18">
        <f>'내역서(표준단가)'!F218</f>
        <v>0</v>
      </c>
      <c r="C213" s="18">
        <f>'내역서(표준단가)'!G218</f>
        <v>0</v>
      </c>
      <c r="D213" s="18">
        <f>'내역서(표준단가)'!H218</f>
        <v>0</v>
      </c>
      <c r="E213" s="18">
        <f>'내역서(표준단가)'!I218</f>
        <v>0</v>
      </c>
      <c r="F213" s="18">
        <f>'내역서(표준단가)'!M218</f>
        <v>0</v>
      </c>
    </row>
    <row r="214" spans="1:6">
      <c r="A214" s="17">
        <f>'내역서(표준단가)'!E219</f>
        <v>0</v>
      </c>
      <c r="B214" s="18">
        <f>'내역서(표준단가)'!F219</f>
        <v>0</v>
      </c>
      <c r="C214" s="18">
        <f>'내역서(표준단가)'!G219</f>
        <v>0</v>
      </c>
      <c r="D214" s="18">
        <f>'내역서(표준단가)'!H219</f>
        <v>0</v>
      </c>
      <c r="E214" s="18">
        <f>'내역서(표준단가)'!I219</f>
        <v>0</v>
      </c>
      <c r="F214" s="18">
        <f>'내역서(표준단가)'!M219</f>
        <v>0</v>
      </c>
    </row>
    <row r="215" spans="1:6">
      <c r="A215" s="17">
        <f>'내역서(표준단가)'!E220</f>
        <v>0</v>
      </c>
      <c r="B215" s="18">
        <f>'내역서(표준단가)'!F220</f>
        <v>0</v>
      </c>
      <c r="C215" s="18">
        <f>'내역서(표준단가)'!G220</f>
        <v>0</v>
      </c>
      <c r="D215" s="18">
        <f>'내역서(표준단가)'!H220</f>
        <v>0</v>
      </c>
      <c r="E215" s="18">
        <f>'내역서(표준단가)'!I220</f>
        <v>0</v>
      </c>
      <c r="F215" s="18">
        <f>'내역서(표준단가)'!M220</f>
        <v>0</v>
      </c>
    </row>
    <row r="216" spans="1:6">
      <c r="A216" s="17">
        <f>'내역서(표준단가)'!E221</f>
        <v>0</v>
      </c>
      <c r="B216" s="18">
        <f>'내역서(표준단가)'!F221</f>
        <v>0</v>
      </c>
      <c r="C216" s="18">
        <f>'내역서(표준단가)'!G221</f>
        <v>0</v>
      </c>
      <c r="D216" s="18">
        <f>'내역서(표준단가)'!H221</f>
        <v>0</v>
      </c>
      <c r="E216" s="18">
        <f>'내역서(표준단가)'!I221</f>
        <v>0</v>
      </c>
      <c r="F216" s="18">
        <f>'내역서(표준단가)'!M221</f>
        <v>0</v>
      </c>
    </row>
    <row r="217" spans="1:6">
      <c r="A217" s="17">
        <f>'내역서(표준단가)'!E222</f>
        <v>0</v>
      </c>
      <c r="B217" s="18">
        <f>'내역서(표준단가)'!F222</f>
        <v>0</v>
      </c>
      <c r="C217" s="18">
        <f>'내역서(표준단가)'!G222</f>
        <v>0</v>
      </c>
      <c r="D217" s="18">
        <f>'내역서(표준단가)'!H222</f>
        <v>0</v>
      </c>
      <c r="E217" s="18">
        <f>'내역서(표준단가)'!I222</f>
        <v>0</v>
      </c>
      <c r="F217" s="18">
        <f>'내역서(표준단가)'!M222</f>
        <v>0</v>
      </c>
    </row>
    <row r="218" spans="1:6">
      <c r="A218" s="17">
        <f>'내역서(표준단가)'!E223</f>
        <v>0</v>
      </c>
      <c r="B218" s="18">
        <f>'내역서(표준단가)'!F223</f>
        <v>0</v>
      </c>
      <c r="C218" s="18">
        <f>'내역서(표준단가)'!G223</f>
        <v>0</v>
      </c>
      <c r="D218" s="18">
        <f>'내역서(표준단가)'!H223</f>
        <v>0</v>
      </c>
      <c r="E218" s="18">
        <f>'내역서(표준단가)'!I223</f>
        <v>0</v>
      </c>
      <c r="F218" s="18">
        <f>'내역서(표준단가)'!M223</f>
        <v>0</v>
      </c>
    </row>
    <row r="219" spans="1:6">
      <c r="A219" s="17">
        <f>'내역서(표준단가)'!E224</f>
        <v>0</v>
      </c>
      <c r="B219" s="18">
        <f>'내역서(표준단가)'!F224</f>
        <v>0</v>
      </c>
      <c r="C219" s="18">
        <f>'내역서(표준단가)'!G224</f>
        <v>0</v>
      </c>
      <c r="D219" s="18">
        <f>'내역서(표준단가)'!H224</f>
        <v>0</v>
      </c>
      <c r="E219" s="18">
        <f>'내역서(표준단가)'!I224</f>
        <v>0</v>
      </c>
      <c r="F219" s="18">
        <f>'내역서(표준단가)'!M224</f>
        <v>0</v>
      </c>
    </row>
    <row r="220" spans="1:6">
      <c r="A220" s="17">
        <f>'내역서(표준단가)'!E225</f>
        <v>0</v>
      </c>
      <c r="B220" s="18">
        <f>'내역서(표준단가)'!F225</f>
        <v>0</v>
      </c>
      <c r="C220" s="18">
        <f>'내역서(표준단가)'!G225</f>
        <v>0</v>
      </c>
      <c r="D220" s="18">
        <f>'내역서(표준단가)'!H225</f>
        <v>0</v>
      </c>
      <c r="E220" s="18">
        <f>'내역서(표준단가)'!I225</f>
        <v>0</v>
      </c>
      <c r="F220" s="18">
        <f>'내역서(표준단가)'!M225</f>
        <v>0</v>
      </c>
    </row>
    <row r="221" spans="1:6">
      <c r="A221" s="17">
        <f>'내역서(표준단가)'!E226</f>
        <v>0</v>
      </c>
      <c r="B221" s="18">
        <f>'내역서(표준단가)'!F226</f>
        <v>0</v>
      </c>
      <c r="C221" s="18">
        <f>'내역서(표준단가)'!G226</f>
        <v>0</v>
      </c>
      <c r="D221" s="18">
        <f>'내역서(표준단가)'!H226</f>
        <v>0</v>
      </c>
      <c r="E221" s="18">
        <f>'내역서(표준단가)'!I226</f>
        <v>0</v>
      </c>
      <c r="F221" s="18">
        <f>'내역서(표준단가)'!M226</f>
        <v>0</v>
      </c>
    </row>
    <row r="222" spans="1:6">
      <c r="A222" s="17">
        <f>'내역서(표준단가)'!E227</f>
        <v>0</v>
      </c>
      <c r="B222" s="18">
        <f>'내역서(표준단가)'!F227</f>
        <v>0</v>
      </c>
      <c r="C222" s="18">
        <f>'내역서(표준단가)'!G227</f>
        <v>0</v>
      </c>
      <c r="D222" s="18">
        <f>'내역서(표준단가)'!H227</f>
        <v>0</v>
      </c>
      <c r="E222" s="18">
        <f>'내역서(표준단가)'!I227</f>
        <v>0</v>
      </c>
      <c r="F222" s="18">
        <f>'내역서(표준단가)'!M227</f>
        <v>0</v>
      </c>
    </row>
    <row r="223" spans="1:6">
      <c r="A223" s="17">
        <f>'내역서(표준단가)'!E228</f>
        <v>0</v>
      </c>
      <c r="B223" s="18">
        <f>'내역서(표준단가)'!F228</f>
        <v>0</v>
      </c>
      <c r="C223" s="18">
        <f>'내역서(표준단가)'!G228</f>
        <v>0</v>
      </c>
      <c r="D223" s="18">
        <f>'내역서(표준단가)'!H228</f>
        <v>0</v>
      </c>
      <c r="E223" s="18">
        <f>'내역서(표준단가)'!I228</f>
        <v>0</v>
      </c>
      <c r="F223" s="18">
        <f>'내역서(표준단가)'!M228</f>
        <v>0</v>
      </c>
    </row>
    <row r="224" spans="1:6">
      <c r="A224" s="17">
        <f>'내역서(표준단가)'!E229</f>
        <v>0</v>
      </c>
      <c r="B224" s="18">
        <f>'내역서(표준단가)'!F229</f>
        <v>0</v>
      </c>
      <c r="C224" s="18">
        <f>'내역서(표준단가)'!G229</f>
        <v>0</v>
      </c>
      <c r="D224" s="18">
        <f>'내역서(표준단가)'!H229</f>
        <v>0</v>
      </c>
      <c r="E224" s="18">
        <f>'내역서(표준단가)'!I229</f>
        <v>0</v>
      </c>
      <c r="F224" s="18">
        <f>'내역서(표준단가)'!M229</f>
        <v>0</v>
      </c>
    </row>
    <row r="225" spans="1:6">
      <c r="A225" s="17">
        <f>'내역서(표준단가)'!E230</f>
        <v>0</v>
      </c>
      <c r="B225" s="18">
        <f>'내역서(표준단가)'!F230</f>
        <v>0</v>
      </c>
      <c r="C225" s="18">
        <f>'내역서(표준단가)'!G230</f>
        <v>0</v>
      </c>
      <c r="D225" s="18">
        <f>'내역서(표준단가)'!H230</f>
        <v>0</v>
      </c>
      <c r="E225" s="18">
        <f>'내역서(표준단가)'!I230</f>
        <v>0</v>
      </c>
      <c r="F225" s="18">
        <f>'내역서(표준단가)'!M230</f>
        <v>0</v>
      </c>
    </row>
    <row r="226" spans="1:6">
      <c r="A226" s="17">
        <f>'내역서(표준단가)'!E231</f>
        <v>0</v>
      </c>
      <c r="B226" s="18">
        <f>'내역서(표준단가)'!F231</f>
        <v>0</v>
      </c>
      <c r="C226" s="18">
        <f>'내역서(표준단가)'!G231</f>
        <v>0</v>
      </c>
      <c r="D226" s="18">
        <f>'내역서(표준단가)'!H231</f>
        <v>0</v>
      </c>
      <c r="E226" s="18">
        <f>'내역서(표준단가)'!I231</f>
        <v>0</v>
      </c>
      <c r="F226" s="18">
        <f>'내역서(표준단가)'!M231</f>
        <v>0</v>
      </c>
    </row>
    <row r="227" spans="1:6">
      <c r="A227" s="17">
        <f>'내역서(표준단가)'!E232</f>
        <v>0</v>
      </c>
      <c r="B227" s="18">
        <f>'내역서(표준단가)'!F232</f>
        <v>0</v>
      </c>
      <c r="C227" s="18">
        <f>'내역서(표준단가)'!G232</f>
        <v>0</v>
      </c>
      <c r="D227" s="18">
        <f>'내역서(표준단가)'!H232</f>
        <v>0</v>
      </c>
      <c r="E227" s="18">
        <f>'내역서(표준단가)'!I232</f>
        <v>0</v>
      </c>
      <c r="F227" s="18">
        <f>'내역서(표준단가)'!M232</f>
        <v>0</v>
      </c>
    </row>
    <row r="228" spans="1:6">
      <c r="A228" s="17">
        <f>'내역서(표준단가)'!E233</f>
        <v>0</v>
      </c>
      <c r="B228" s="18">
        <f>'내역서(표준단가)'!F233</f>
        <v>0</v>
      </c>
      <c r="C228" s="18">
        <f>'내역서(표준단가)'!G233</f>
        <v>0</v>
      </c>
      <c r="D228" s="18">
        <f>'내역서(표준단가)'!H233</f>
        <v>0</v>
      </c>
      <c r="E228" s="18">
        <f>'내역서(표준단가)'!I233</f>
        <v>0</v>
      </c>
      <c r="F228" s="18">
        <f>'내역서(표준단가)'!M233</f>
        <v>0</v>
      </c>
    </row>
    <row r="229" spans="1:6">
      <c r="A229" s="17">
        <f>'내역서(표준단가)'!E234</f>
        <v>0</v>
      </c>
      <c r="B229" s="18">
        <f>'내역서(표준단가)'!F234</f>
        <v>0</v>
      </c>
      <c r="C229" s="18">
        <f>'내역서(표준단가)'!G234</f>
        <v>0</v>
      </c>
      <c r="D229" s="18">
        <f>'내역서(표준단가)'!H234</f>
        <v>0</v>
      </c>
      <c r="E229" s="18">
        <f>'내역서(표준단가)'!I234</f>
        <v>0</v>
      </c>
      <c r="F229" s="18">
        <f>'내역서(표준단가)'!M234</f>
        <v>0</v>
      </c>
    </row>
    <row r="230" spans="1:6">
      <c r="A230" s="17">
        <f>'내역서(표준단가)'!E235</f>
        <v>0</v>
      </c>
      <c r="B230" s="18">
        <f>'내역서(표준단가)'!F235</f>
        <v>0</v>
      </c>
      <c r="C230" s="18">
        <f>'내역서(표준단가)'!G235</f>
        <v>0</v>
      </c>
      <c r="D230" s="18">
        <f>'내역서(표준단가)'!H235</f>
        <v>0</v>
      </c>
      <c r="E230" s="18">
        <f>'내역서(표준단가)'!I235</f>
        <v>0</v>
      </c>
      <c r="F230" s="18">
        <f>'내역서(표준단가)'!M235</f>
        <v>0</v>
      </c>
    </row>
    <row r="231" spans="1:6">
      <c r="A231" s="17">
        <f>'내역서(표준단가)'!E236</f>
        <v>0</v>
      </c>
      <c r="B231" s="18">
        <f>'내역서(표준단가)'!F236</f>
        <v>0</v>
      </c>
      <c r="C231" s="18">
        <f>'내역서(표준단가)'!G236</f>
        <v>0</v>
      </c>
      <c r="D231" s="18">
        <f>'내역서(표준단가)'!H236</f>
        <v>0</v>
      </c>
      <c r="E231" s="18">
        <f>'내역서(표준단가)'!I236</f>
        <v>0</v>
      </c>
      <c r="F231" s="18">
        <f>'내역서(표준단가)'!M236</f>
        <v>0</v>
      </c>
    </row>
    <row r="232" spans="1:6">
      <c r="A232" s="17">
        <f>'내역서(표준단가)'!E237</f>
        <v>0</v>
      </c>
      <c r="B232" s="18">
        <f>'내역서(표준단가)'!F237</f>
        <v>0</v>
      </c>
      <c r="C232" s="18">
        <f>'내역서(표준단가)'!G237</f>
        <v>0</v>
      </c>
      <c r="D232" s="18">
        <f>'내역서(표준단가)'!H237</f>
        <v>0</v>
      </c>
      <c r="E232" s="18">
        <f>'내역서(표준단가)'!I237</f>
        <v>0</v>
      </c>
      <c r="F232" s="18">
        <f>'내역서(표준단가)'!M237</f>
        <v>0</v>
      </c>
    </row>
    <row r="233" spans="1:6">
      <c r="A233" s="17">
        <f>'내역서(표준단가)'!E238</f>
        <v>0</v>
      </c>
      <c r="B233" s="18">
        <f>'내역서(표준단가)'!F238</f>
        <v>0</v>
      </c>
      <c r="C233" s="18">
        <f>'내역서(표준단가)'!G238</f>
        <v>0</v>
      </c>
      <c r="D233" s="18">
        <f>'내역서(표준단가)'!H238</f>
        <v>0</v>
      </c>
      <c r="E233" s="18">
        <f>'내역서(표준단가)'!I238</f>
        <v>0</v>
      </c>
      <c r="F233" s="18">
        <f>'내역서(표준단가)'!M238</f>
        <v>0</v>
      </c>
    </row>
    <row r="234" spans="1:6">
      <c r="A234" s="17">
        <f>'내역서(표준단가)'!E239</f>
        <v>0</v>
      </c>
      <c r="B234" s="18">
        <f>'내역서(표준단가)'!F239</f>
        <v>0</v>
      </c>
      <c r="C234" s="18">
        <f>'내역서(표준단가)'!G239</f>
        <v>0</v>
      </c>
      <c r="D234" s="18">
        <f>'내역서(표준단가)'!H239</f>
        <v>0</v>
      </c>
      <c r="E234" s="18">
        <f>'내역서(표준단가)'!I239</f>
        <v>0</v>
      </c>
      <c r="F234" s="18">
        <f>'내역서(표준단가)'!M239</f>
        <v>0</v>
      </c>
    </row>
    <row r="235" spans="1:6">
      <c r="A235" s="17">
        <f>'내역서(표준단가)'!E240</f>
        <v>0</v>
      </c>
      <c r="B235" s="18">
        <f>'내역서(표준단가)'!F240</f>
        <v>0</v>
      </c>
      <c r="C235" s="18">
        <f>'내역서(표준단가)'!G240</f>
        <v>0</v>
      </c>
      <c r="D235" s="18">
        <f>'내역서(표준단가)'!H240</f>
        <v>0</v>
      </c>
      <c r="E235" s="18">
        <f>'내역서(표준단가)'!I240</f>
        <v>0</v>
      </c>
      <c r="F235" s="18">
        <f>'내역서(표준단가)'!M240</f>
        <v>0</v>
      </c>
    </row>
    <row r="236" spans="1:6">
      <c r="A236" s="17">
        <f>'내역서(표준단가)'!E241</f>
        <v>0</v>
      </c>
      <c r="B236" s="18">
        <f>'내역서(표준단가)'!F241</f>
        <v>0</v>
      </c>
      <c r="C236" s="18">
        <f>'내역서(표준단가)'!G241</f>
        <v>0</v>
      </c>
      <c r="D236" s="18">
        <f>'내역서(표준단가)'!H241</f>
        <v>0</v>
      </c>
      <c r="E236" s="18">
        <f>'내역서(표준단가)'!I241</f>
        <v>0</v>
      </c>
      <c r="F236" s="18">
        <f>'내역서(표준단가)'!M241</f>
        <v>0</v>
      </c>
    </row>
    <row r="237" spans="1:6">
      <c r="A237" s="17">
        <f>'내역서(표준단가)'!E242</f>
        <v>0</v>
      </c>
      <c r="B237" s="18">
        <f>'내역서(표준단가)'!F242</f>
        <v>0</v>
      </c>
      <c r="C237" s="18">
        <f>'내역서(표준단가)'!G242</f>
        <v>0</v>
      </c>
      <c r="D237" s="18">
        <f>'내역서(표준단가)'!H242</f>
        <v>0</v>
      </c>
      <c r="E237" s="18">
        <f>'내역서(표준단가)'!I242</f>
        <v>0</v>
      </c>
      <c r="F237" s="18">
        <f>'내역서(표준단가)'!M242</f>
        <v>0</v>
      </c>
    </row>
    <row r="238" spans="1:6">
      <c r="A238" s="17">
        <f>'내역서(표준단가)'!E243</f>
        <v>0</v>
      </c>
      <c r="B238" s="18">
        <f>'내역서(표준단가)'!F243</f>
        <v>0</v>
      </c>
      <c r="C238" s="18">
        <f>'내역서(표준단가)'!G243</f>
        <v>0</v>
      </c>
      <c r="D238" s="18">
        <f>'내역서(표준단가)'!H243</f>
        <v>0</v>
      </c>
      <c r="E238" s="18">
        <f>'내역서(표준단가)'!I243</f>
        <v>0</v>
      </c>
      <c r="F238" s="18">
        <f>'내역서(표준단가)'!M243</f>
        <v>0</v>
      </c>
    </row>
    <row r="239" spans="1:6">
      <c r="A239" s="17">
        <f>'내역서(표준단가)'!E244</f>
        <v>0</v>
      </c>
      <c r="B239" s="18">
        <f>'내역서(표준단가)'!F244</f>
        <v>0</v>
      </c>
      <c r="C239" s="18">
        <f>'내역서(표준단가)'!G244</f>
        <v>0</v>
      </c>
      <c r="D239" s="18">
        <f>'내역서(표준단가)'!H244</f>
        <v>0</v>
      </c>
      <c r="E239" s="18">
        <f>'내역서(표준단가)'!I244</f>
        <v>0</v>
      </c>
      <c r="F239" s="18">
        <f>'내역서(표준단가)'!M244</f>
        <v>0</v>
      </c>
    </row>
    <row r="240" spans="1:6">
      <c r="A240" s="17">
        <f>'내역서(표준단가)'!E245</f>
        <v>0</v>
      </c>
      <c r="B240" s="18">
        <f>'내역서(표준단가)'!F245</f>
        <v>0</v>
      </c>
      <c r="C240" s="18">
        <f>'내역서(표준단가)'!G245</f>
        <v>0</v>
      </c>
      <c r="D240" s="18">
        <f>'내역서(표준단가)'!H245</f>
        <v>0</v>
      </c>
      <c r="E240" s="18">
        <f>'내역서(표준단가)'!I245</f>
        <v>0</v>
      </c>
      <c r="F240" s="18">
        <f>'내역서(표준단가)'!M245</f>
        <v>0</v>
      </c>
    </row>
    <row r="241" spans="1:6">
      <c r="A241" s="17">
        <f>'내역서(표준단가)'!E246</f>
        <v>0</v>
      </c>
      <c r="B241" s="18">
        <f>'내역서(표준단가)'!F246</f>
        <v>0</v>
      </c>
      <c r="C241" s="18">
        <f>'내역서(표준단가)'!G246</f>
        <v>0</v>
      </c>
      <c r="D241" s="18">
        <f>'내역서(표준단가)'!H246</f>
        <v>0</v>
      </c>
      <c r="E241" s="18">
        <f>'내역서(표준단가)'!I246</f>
        <v>0</v>
      </c>
      <c r="F241" s="18">
        <f>'내역서(표준단가)'!M246</f>
        <v>0</v>
      </c>
    </row>
    <row r="242" spans="1:6">
      <c r="A242" s="17">
        <f>'내역서(표준단가)'!E247</f>
        <v>0</v>
      </c>
      <c r="B242" s="18">
        <f>'내역서(표준단가)'!F247</f>
        <v>0</v>
      </c>
      <c r="C242" s="18">
        <f>'내역서(표준단가)'!G247</f>
        <v>0</v>
      </c>
      <c r="D242" s="18">
        <f>'내역서(표준단가)'!H247</f>
        <v>0</v>
      </c>
      <c r="E242" s="18">
        <f>'내역서(표준단가)'!I247</f>
        <v>0</v>
      </c>
      <c r="F242" s="18">
        <f>'내역서(표준단가)'!M247</f>
        <v>0</v>
      </c>
    </row>
    <row r="243" spans="1:6">
      <c r="A243" s="17">
        <f>'내역서(표준단가)'!E248</f>
        <v>0</v>
      </c>
      <c r="B243" s="18">
        <f>'내역서(표준단가)'!F248</f>
        <v>0</v>
      </c>
      <c r="C243" s="18">
        <f>'내역서(표준단가)'!G248</f>
        <v>0</v>
      </c>
      <c r="D243" s="18">
        <f>'내역서(표준단가)'!H248</f>
        <v>0</v>
      </c>
      <c r="E243" s="18">
        <f>'내역서(표준단가)'!I248</f>
        <v>0</v>
      </c>
      <c r="F243" s="18">
        <f>'내역서(표준단가)'!M248</f>
        <v>0</v>
      </c>
    </row>
    <row r="244" spans="1:6">
      <c r="A244" s="17">
        <f>'내역서(표준단가)'!E249</f>
        <v>0</v>
      </c>
      <c r="B244" s="18">
        <f>'내역서(표준단가)'!F249</f>
        <v>0</v>
      </c>
      <c r="C244" s="18">
        <f>'내역서(표준단가)'!G249</f>
        <v>0</v>
      </c>
      <c r="D244" s="18">
        <f>'내역서(표준단가)'!H249</f>
        <v>0</v>
      </c>
      <c r="E244" s="18">
        <f>'내역서(표준단가)'!I249</f>
        <v>0</v>
      </c>
      <c r="F244" s="18">
        <f>'내역서(표준단가)'!M249</f>
        <v>0</v>
      </c>
    </row>
    <row r="245" spans="1:6">
      <c r="A245" s="17">
        <f>'내역서(표준단가)'!E250</f>
        <v>0</v>
      </c>
      <c r="B245" s="18">
        <f>'내역서(표준단가)'!F250</f>
        <v>0</v>
      </c>
      <c r="C245" s="18">
        <f>'내역서(표준단가)'!G250</f>
        <v>0</v>
      </c>
      <c r="D245" s="18">
        <f>'내역서(표준단가)'!H250</f>
        <v>0</v>
      </c>
      <c r="E245" s="18">
        <f>'내역서(표준단가)'!I250</f>
        <v>0</v>
      </c>
      <c r="F245" s="18">
        <f>'내역서(표준단가)'!M250</f>
        <v>0</v>
      </c>
    </row>
    <row r="246" spans="1:6">
      <c r="A246" s="17">
        <f>'내역서(표준단가)'!E251</f>
        <v>0</v>
      </c>
      <c r="B246" s="18">
        <f>'내역서(표준단가)'!F251</f>
        <v>0</v>
      </c>
      <c r="C246" s="18">
        <f>'내역서(표준단가)'!G251</f>
        <v>0</v>
      </c>
      <c r="D246" s="18">
        <f>'내역서(표준단가)'!H251</f>
        <v>0</v>
      </c>
      <c r="E246" s="18">
        <f>'내역서(표준단가)'!I251</f>
        <v>0</v>
      </c>
      <c r="F246" s="18">
        <f>'내역서(표준단가)'!M251</f>
        <v>0</v>
      </c>
    </row>
    <row r="247" spans="1:6">
      <c r="A247" s="17">
        <f>'내역서(표준단가)'!E252</f>
        <v>0</v>
      </c>
      <c r="B247" s="18">
        <f>'내역서(표준단가)'!F252</f>
        <v>0</v>
      </c>
      <c r="C247" s="18">
        <f>'내역서(표준단가)'!G252</f>
        <v>0</v>
      </c>
      <c r="D247" s="18">
        <f>'내역서(표준단가)'!H252</f>
        <v>0</v>
      </c>
      <c r="E247" s="18">
        <f>'내역서(표준단가)'!I252</f>
        <v>0</v>
      </c>
      <c r="F247" s="18">
        <f>'내역서(표준단가)'!M252</f>
        <v>0</v>
      </c>
    </row>
    <row r="248" spans="1:6">
      <c r="A248" s="17">
        <f>'내역서(표준단가)'!E253</f>
        <v>0</v>
      </c>
      <c r="B248" s="18">
        <f>'내역서(표준단가)'!F253</f>
        <v>0</v>
      </c>
      <c r="C248" s="18">
        <f>'내역서(표준단가)'!G253</f>
        <v>0</v>
      </c>
      <c r="D248" s="18">
        <f>'내역서(표준단가)'!H253</f>
        <v>0</v>
      </c>
      <c r="E248" s="18">
        <f>'내역서(표준단가)'!I253</f>
        <v>0</v>
      </c>
      <c r="F248" s="18">
        <f>'내역서(표준단가)'!M253</f>
        <v>0</v>
      </c>
    </row>
    <row r="249" spans="1:6">
      <c r="A249" s="17">
        <f>'내역서(표준단가)'!E254</f>
        <v>0</v>
      </c>
      <c r="B249" s="18">
        <f>'내역서(표준단가)'!F254</f>
        <v>0</v>
      </c>
      <c r="C249" s="18">
        <f>'내역서(표준단가)'!G254</f>
        <v>0</v>
      </c>
      <c r="D249" s="18">
        <f>'내역서(표준단가)'!H254</f>
        <v>0</v>
      </c>
      <c r="E249" s="18">
        <f>'내역서(표준단가)'!I254</f>
        <v>0</v>
      </c>
      <c r="F249" s="18">
        <f>'내역서(표준단가)'!M254</f>
        <v>0</v>
      </c>
    </row>
    <row r="250" spans="1:6">
      <c r="A250" s="17">
        <f>'내역서(표준단가)'!E255</f>
        <v>0</v>
      </c>
      <c r="B250" s="18">
        <f>'내역서(표준단가)'!F255</f>
        <v>0</v>
      </c>
      <c r="C250" s="18">
        <f>'내역서(표준단가)'!G255</f>
        <v>0</v>
      </c>
      <c r="D250" s="18">
        <f>'내역서(표준단가)'!H255</f>
        <v>0</v>
      </c>
      <c r="E250" s="18">
        <f>'내역서(표준단가)'!I255</f>
        <v>0</v>
      </c>
      <c r="F250" s="18">
        <f>'내역서(표준단가)'!M255</f>
        <v>0</v>
      </c>
    </row>
    <row r="251" spans="1:6">
      <c r="A251" s="17">
        <f>'내역서(표준단가)'!E256</f>
        <v>0</v>
      </c>
      <c r="B251" s="18">
        <f>'내역서(표준단가)'!F256</f>
        <v>0</v>
      </c>
      <c r="C251" s="18">
        <f>'내역서(표준단가)'!G256</f>
        <v>0</v>
      </c>
      <c r="D251" s="18">
        <f>'내역서(표준단가)'!H256</f>
        <v>0</v>
      </c>
      <c r="E251" s="18">
        <f>'내역서(표준단가)'!I256</f>
        <v>0</v>
      </c>
      <c r="F251" s="18">
        <f>'내역서(표준단가)'!M256</f>
        <v>0</v>
      </c>
    </row>
    <row r="252" spans="1:6">
      <c r="A252" s="17">
        <f>'내역서(표준단가)'!E257</f>
        <v>0</v>
      </c>
      <c r="B252" s="18">
        <f>'내역서(표준단가)'!F257</f>
        <v>0</v>
      </c>
      <c r="C252" s="18">
        <f>'내역서(표준단가)'!G257</f>
        <v>0</v>
      </c>
      <c r="D252" s="18">
        <f>'내역서(표준단가)'!H257</f>
        <v>0</v>
      </c>
      <c r="E252" s="18">
        <f>'내역서(표준단가)'!I257</f>
        <v>0</v>
      </c>
      <c r="F252" s="18">
        <f>'내역서(표준단가)'!M257</f>
        <v>0</v>
      </c>
    </row>
    <row r="253" spans="1:6">
      <c r="A253" s="17">
        <f>'내역서(표준단가)'!E258</f>
        <v>0</v>
      </c>
      <c r="B253" s="18">
        <f>'내역서(표준단가)'!F258</f>
        <v>0</v>
      </c>
      <c r="C253" s="18">
        <f>'내역서(표준단가)'!G258</f>
        <v>0</v>
      </c>
      <c r="D253" s="18">
        <f>'내역서(표준단가)'!H258</f>
        <v>0</v>
      </c>
      <c r="E253" s="18">
        <f>'내역서(표준단가)'!I258</f>
        <v>0</v>
      </c>
      <c r="F253" s="18">
        <f>'내역서(표준단가)'!M258</f>
        <v>0</v>
      </c>
    </row>
    <row r="254" spans="1:6">
      <c r="A254" s="17">
        <f>'내역서(표준단가)'!E259</f>
        <v>0</v>
      </c>
      <c r="B254" s="18">
        <f>'내역서(표준단가)'!F259</f>
        <v>0</v>
      </c>
      <c r="C254" s="18">
        <f>'내역서(표준단가)'!G259</f>
        <v>0</v>
      </c>
      <c r="D254" s="18">
        <f>'내역서(표준단가)'!H259</f>
        <v>0</v>
      </c>
      <c r="E254" s="18">
        <f>'내역서(표준단가)'!I259</f>
        <v>0</v>
      </c>
      <c r="F254" s="18">
        <f>'내역서(표준단가)'!M259</f>
        <v>0</v>
      </c>
    </row>
    <row r="255" spans="1:6">
      <c r="A255" s="17">
        <f>'내역서(표준단가)'!E260</f>
        <v>0</v>
      </c>
      <c r="B255" s="18">
        <f>'내역서(표준단가)'!F260</f>
        <v>0</v>
      </c>
      <c r="C255" s="18">
        <f>'내역서(표준단가)'!G260</f>
        <v>0</v>
      </c>
      <c r="D255" s="18">
        <f>'내역서(표준단가)'!H260</f>
        <v>0</v>
      </c>
      <c r="E255" s="18">
        <f>'내역서(표준단가)'!I260</f>
        <v>0</v>
      </c>
      <c r="F255" s="18">
        <f>'내역서(표준단가)'!M260</f>
        <v>0</v>
      </c>
    </row>
    <row r="256" spans="1:6">
      <c r="A256" s="17">
        <f>'내역서(표준단가)'!E261</f>
        <v>0</v>
      </c>
      <c r="B256" s="18">
        <f>'내역서(표준단가)'!F261</f>
        <v>0</v>
      </c>
      <c r="C256" s="18">
        <f>'내역서(표준단가)'!G261</f>
        <v>0</v>
      </c>
      <c r="D256" s="18">
        <f>'내역서(표준단가)'!H261</f>
        <v>0</v>
      </c>
      <c r="E256" s="18">
        <f>'내역서(표준단가)'!I261</f>
        <v>0</v>
      </c>
      <c r="F256" s="18">
        <f>'내역서(표준단가)'!M261</f>
        <v>0</v>
      </c>
    </row>
    <row r="257" spans="1:6">
      <c r="A257" s="17">
        <f>'내역서(표준단가)'!E262</f>
        <v>0</v>
      </c>
      <c r="B257" s="18">
        <f>'내역서(표준단가)'!F262</f>
        <v>0</v>
      </c>
      <c r="C257" s="18">
        <f>'내역서(표준단가)'!G262</f>
        <v>0</v>
      </c>
      <c r="D257" s="18">
        <f>'내역서(표준단가)'!H262</f>
        <v>0</v>
      </c>
      <c r="E257" s="18">
        <f>'내역서(표준단가)'!I262</f>
        <v>0</v>
      </c>
      <c r="F257" s="18">
        <f>'내역서(표준단가)'!M262</f>
        <v>0</v>
      </c>
    </row>
    <row r="258" spans="1:6">
      <c r="A258" s="17">
        <f>'내역서(표준단가)'!E263</f>
        <v>0</v>
      </c>
      <c r="B258" s="18">
        <f>'내역서(표준단가)'!F263</f>
        <v>0</v>
      </c>
      <c r="C258" s="18">
        <f>'내역서(표준단가)'!G263</f>
        <v>0</v>
      </c>
      <c r="D258" s="18">
        <f>'내역서(표준단가)'!H263</f>
        <v>0</v>
      </c>
      <c r="E258" s="18">
        <f>'내역서(표준단가)'!I263</f>
        <v>0</v>
      </c>
      <c r="F258" s="18">
        <f>'내역서(표준단가)'!M263</f>
        <v>0</v>
      </c>
    </row>
    <row r="259" spans="1:6">
      <c r="A259" s="17">
        <f>'내역서(표준단가)'!E264</f>
        <v>0</v>
      </c>
      <c r="B259" s="18">
        <f>'내역서(표준단가)'!F264</f>
        <v>0</v>
      </c>
      <c r="C259" s="18">
        <f>'내역서(표준단가)'!G264</f>
        <v>0</v>
      </c>
      <c r="D259" s="18">
        <f>'내역서(표준단가)'!H264</f>
        <v>0</v>
      </c>
      <c r="E259" s="18">
        <f>'내역서(표준단가)'!I264</f>
        <v>0</v>
      </c>
      <c r="F259" s="18">
        <f>'내역서(표준단가)'!M264</f>
        <v>0</v>
      </c>
    </row>
    <row r="260" spans="1:6">
      <c r="A260" s="17">
        <f>'내역서(표준단가)'!E265</f>
        <v>0</v>
      </c>
      <c r="B260" s="18">
        <f>'내역서(표준단가)'!F265</f>
        <v>0</v>
      </c>
      <c r="C260" s="18">
        <f>'내역서(표준단가)'!G265</f>
        <v>0</v>
      </c>
      <c r="D260" s="18">
        <f>'내역서(표준단가)'!H265</f>
        <v>0</v>
      </c>
      <c r="E260" s="18">
        <f>'내역서(표준단가)'!I265</f>
        <v>0</v>
      </c>
      <c r="F260" s="18">
        <f>'내역서(표준단가)'!M265</f>
        <v>0</v>
      </c>
    </row>
    <row r="261" spans="1:6">
      <c r="A261" s="17">
        <f>'내역서(표준단가)'!E266</f>
        <v>0</v>
      </c>
      <c r="B261" s="18">
        <f>'내역서(표준단가)'!F266</f>
        <v>0</v>
      </c>
      <c r="C261" s="18">
        <f>'내역서(표준단가)'!G266</f>
        <v>0</v>
      </c>
      <c r="D261" s="18">
        <f>'내역서(표준단가)'!H266</f>
        <v>0</v>
      </c>
      <c r="E261" s="18">
        <f>'내역서(표준단가)'!I266</f>
        <v>0</v>
      </c>
      <c r="F261" s="18">
        <f>'내역서(표준단가)'!M266</f>
        <v>0</v>
      </c>
    </row>
    <row r="262" spans="1:6">
      <c r="A262" s="17">
        <f>'내역서(표준단가)'!E267</f>
        <v>0</v>
      </c>
      <c r="B262" s="18">
        <f>'내역서(표준단가)'!F267</f>
        <v>0</v>
      </c>
      <c r="C262" s="18">
        <f>'내역서(표준단가)'!G267</f>
        <v>0</v>
      </c>
      <c r="D262" s="18">
        <f>'내역서(표준단가)'!H267</f>
        <v>0</v>
      </c>
      <c r="E262" s="18">
        <f>'내역서(표준단가)'!I267</f>
        <v>0</v>
      </c>
      <c r="F262" s="18">
        <f>'내역서(표준단가)'!M267</f>
        <v>0</v>
      </c>
    </row>
    <row r="263" spans="1:6">
      <c r="A263" s="17">
        <f>'내역서(표준단가)'!E268</f>
        <v>0</v>
      </c>
      <c r="B263" s="18">
        <f>'내역서(표준단가)'!F268</f>
        <v>0</v>
      </c>
      <c r="C263" s="18">
        <f>'내역서(표준단가)'!G268</f>
        <v>0</v>
      </c>
      <c r="D263" s="18">
        <f>'내역서(표준단가)'!H268</f>
        <v>0</v>
      </c>
      <c r="E263" s="18">
        <f>'내역서(표준단가)'!I268</f>
        <v>0</v>
      </c>
      <c r="F263" s="18">
        <f>'내역서(표준단가)'!M268</f>
        <v>0</v>
      </c>
    </row>
    <row r="264" spans="1:6">
      <c r="A264" s="17">
        <f>'내역서(표준단가)'!E269</f>
        <v>0</v>
      </c>
      <c r="B264" s="18">
        <f>'내역서(표준단가)'!F269</f>
        <v>0</v>
      </c>
      <c r="C264" s="18">
        <f>'내역서(표준단가)'!G269</f>
        <v>0</v>
      </c>
      <c r="D264" s="18">
        <f>'내역서(표준단가)'!H269</f>
        <v>0</v>
      </c>
      <c r="E264" s="18">
        <f>'내역서(표준단가)'!I269</f>
        <v>0</v>
      </c>
      <c r="F264" s="18">
        <f>'내역서(표준단가)'!M269</f>
        <v>0</v>
      </c>
    </row>
    <row r="265" spans="1:6">
      <c r="A265" s="17">
        <f>'내역서(표준단가)'!E270</f>
        <v>0</v>
      </c>
      <c r="B265" s="18">
        <f>'내역서(표준단가)'!F270</f>
        <v>0</v>
      </c>
      <c r="C265" s="18">
        <f>'내역서(표준단가)'!G270</f>
        <v>0</v>
      </c>
      <c r="D265" s="18">
        <f>'내역서(표준단가)'!H270</f>
        <v>0</v>
      </c>
      <c r="E265" s="18">
        <f>'내역서(표준단가)'!I270</f>
        <v>0</v>
      </c>
      <c r="F265" s="18">
        <f>'내역서(표준단가)'!M270</f>
        <v>0</v>
      </c>
    </row>
    <row r="266" spans="1:6">
      <c r="A266" s="17">
        <f>'내역서(표준단가)'!E271</f>
        <v>0</v>
      </c>
      <c r="B266" s="18">
        <f>'내역서(표준단가)'!F271</f>
        <v>0</v>
      </c>
      <c r="C266" s="18">
        <f>'내역서(표준단가)'!G271</f>
        <v>0</v>
      </c>
      <c r="D266" s="18">
        <f>'내역서(표준단가)'!H271</f>
        <v>0</v>
      </c>
      <c r="E266" s="18">
        <f>'내역서(표준단가)'!I271</f>
        <v>0</v>
      </c>
      <c r="F266" s="18">
        <f>'내역서(표준단가)'!M271</f>
        <v>0</v>
      </c>
    </row>
    <row r="267" spans="1:6">
      <c r="A267" s="17">
        <f>'내역서(표준단가)'!E272</f>
        <v>0</v>
      </c>
      <c r="B267" s="18">
        <f>'내역서(표준단가)'!F272</f>
        <v>0</v>
      </c>
      <c r="C267" s="18">
        <f>'내역서(표준단가)'!G272</f>
        <v>0</v>
      </c>
      <c r="D267" s="18">
        <f>'내역서(표준단가)'!H272</f>
        <v>0</v>
      </c>
      <c r="E267" s="18">
        <f>'내역서(표준단가)'!I272</f>
        <v>0</v>
      </c>
      <c r="F267" s="18">
        <f>'내역서(표준단가)'!M272</f>
        <v>0</v>
      </c>
    </row>
    <row r="268" spans="1:6">
      <c r="A268" s="17">
        <f>'내역서(표준단가)'!E273</f>
        <v>0</v>
      </c>
      <c r="B268" s="18">
        <f>'내역서(표준단가)'!F273</f>
        <v>0</v>
      </c>
      <c r="C268" s="18">
        <f>'내역서(표준단가)'!G273</f>
        <v>0</v>
      </c>
      <c r="D268" s="18">
        <f>'내역서(표준단가)'!H273</f>
        <v>0</v>
      </c>
      <c r="E268" s="18">
        <f>'내역서(표준단가)'!I273</f>
        <v>0</v>
      </c>
      <c r="F268" s="18">
        <f>'내역서(표준단가)'!M273</f>
        <v>0</v>
      </c>
    </row>
    <row r="269" spans="1:6">
      <c r="A269" s="17">
        <f>'내역서(표준단가)'!E274</f>
        <v>0</v>
      </c>
      <c r="B269" s="18">
        <f>'내역서(표준단가)'!F274</f>
        <v>0</v>
      </c>
      <c r="C269" s="18">
        <f>'내역서(표준단가)'!G274</f>
        <v>0</v>
      </c>
      <c r="D269" s="18">
        <f>'내역서(표준단가)'!H274</f>
        <v>0</v>
      </c>
      <c r="E269" s="18">
        <f>'내역서(표준단가)'!I274</f>
        <v>0</v>
      </c>
      <c r="F269" s="18">
        <f>'내역서(표준단가)'!M274</f>
        <v>0</v>
      </c>
    </row>
    <row r="270" spans="1:6">
      <c r="A270" s="17">
        <f>'내역서(표준단가)'!E275</f>
        <v>0</v>
      </c>
      <c r="B270" s="18">
        <f>'내역서(표준단가)'!F275</f>
        <v>0</v>
      </c>
      <c r="C270" s="18">
        <f>'내역서(표준단가)'!G275</f>
        <v>0</v>
      </c>
      <c r="D270" s="18">
        <f>'내역서(표준단가)'!H275</f>
        <v>0</v>
      </c>
      <c r="E270" s="18">
        <f>'내역서(표준단가)'!I275</f>
        <v>0</v>
      </c>
      <c r="F270" s="18">
        <f>'내역서(표준단가)'!M275</f>
        <v>0</v>
      </c>
    </row>
    <row r="271" spans="1:6">
      <c r="A271" s="17">
        <f>'내역서(표준단가)'!E276</f>
        <v>0</v>
      </c>
      <c r="B271" s="18">
        <f>'내역서(표준단가)'!F276</f>
        <v>0</v>
      </c>
      <c r="C271" s="18">
        <f>'내역서(표준단가)'!G276</f>
        <v>0</v>
      </c>
      <c r="D271" s="18">
        <f>'내역서(표준단가)'!H276</f>
        <v>0</v>
      </c>
      <c r="E271" s="18">
        <f>'내역서(표준단가)'!I276</f>
        <v>0</v>
      </c>
      <c r="F271" s="18">
        <f>'내역서(표준단가)'!M276</f>
        <v>0</v>
      </c>
    </row>
    <row r="272" spans="1:6">
      <c r="A272" s="17">
        <f>'내역서(표준단가)'!E277</f>
        <v>0</v>
      </c>
      <c r="B272" s="18">
        <f>'내역서(표준단가)'!F277</f>
        <v>0</v>
      </c>
      <c r="C272" s="18">
        <f>'내역서(표준단가)'!G277</f>
        <v>0</v>
      </c>
      <c r="D272" s="18">
        <f>'내역서(표준단가)'!H277</f>
        <v>0</v>
      </c>
      <c r="E272" s="18">
        <f>'내역서(표준단가)'!I277</f>
        <v>0</v>
      </c>
      <c r="F272" s="18">
        <f>'내역서(표준단가)'!M277</f>
        <v>0</v>
      </c>
    </row>
    <row r="273" spans="1:6">
      <c r="A273" s="17">
        <f>'내역서(표준단가)'!E278</f>
        <v>0</v>
      </c>
      <c r="B273" s="18">
        <f>'내역서(표준단가)'!F278</f>
        <v>0</v>
      </c>
      <c r="C273" s="18">
        <f>'내역서(표준단가)'!G278</f>
        <v>0</v>
      </c>
      <c r="D273" s="18">
        <f>'내역서(표준단가)'!H278</f>
        <v>0</v>
      </c>
      <c r="E273" s="18">
        <f>'내역서(표준단가)'!I278</f>
        <v>0</v>
      </c>
      <c r="F273" s="18">
        <f>'내역서(표준단가)'!M278</f>
        <v>0</v>
      </c>
    </row>
    <row r="274" spans="1:6">
      <c r="A274" s="17">
        <f>'내역서(표준단가)'!E279</f>
        <v>0</v>
      </c>
      <c r="B274" s="18">
        <f>'내역서(표준단가)'!F279</f>
        <v>0</v>
      </c>
      <c r="C274" s="18">
        <f>'내역서(표준단가)'!G279</f>
        <v>0</v>
      </c>
      <c r="D274" s="18">
        <f>'내역서(표준단가)'!H279</f>
        <v>0</v>
      </c>
      <c r="E274" s="18">
        <f>'내역서(표준단가)'!I279</f>
        <v>0</v>
      </c>
      <c r="F274" s="18">
        <f>'내역서(표준단가)'!M279</f>
        <v>0</v>
      </c>
    </row>
    <row r="275" spans="1:6">
      <c r="A275" s="17">
        <f>'내역서(표준단가)'!E280</f>
        <v>0</v>
      </c>
      <c r="B275" s="18">
        <f>'내역서(표준단가)'!F280</f>
        <v>0</v>
      </c>
      <c r="C275" s="18">
        <f>'내역서(표준단가)'!G280</f>
        <v>0</v>
      </c>
      <c r="D275" s="18">
        <f>'내역서(표준단가)'!H280</f>
        <v>0</v>
      </c>
      <c r="E275" s="18">
        <f>'내역서(표준단가)'!I280</f>
        <v>0</v>
      </c>
      <c r="F275" s="18">
        <f>'내역서(표준단가)'!M280</f>
        <v>0</v>
      </c>
    </row>
    <row r="276" spans="1:6">
      <c r="A276" s="17">
        <f>'내역서(표준단가)'!E281</f>
        <v>0</v>
      </c>
      <c r="B276" s="18">
        <f>'내역서(표준단가)'!F281</f>
        <v>0</v>
      </c>
      <c r="C276" s="18">
        <f>'내역서(표준단가)'!G281</f>
        <v>0</v>
      </c>
      <c r="D276" s="18">
        <f>'내역서(표준단가)'!H281</f>
        <v>0</v>
      </c>
      <c r="E276" s="18">
        <f>'내역서(표준단가)'!I281</f>
        <v>0</v>
      </c>
      <c r="F276" s="18">
        <f>'내역서(표준단가)'!M281</f>
        <v>0</v>
      </c>
    </row>
    <row r="277" spans="1:6">
      <c r="A277" s="17">
        <f>'내역서(표준단가)'!E282</f>
        <v>0</v>
      </c>
      <c r="B277" s="18">
        <f>'내역서(표준단가)'!F282</f>
        <v>0</v>
      </c>
      <c r="C277" s="18">
        <f>'내역서(표준단가)'!G282</f>
        <v>0</v>
      </c>
      <c r="D277" s="18">
        <f>'내역서(표준단가)'!H282</f>
        <v>0</v>
      </c>
      <c r="E277" s="18">
        <f>'내역서(표준단가)'!I282</f>
        <v>0</v>
      </c>
      <c r="F277" s="18">
        <f>'내역서(표준단가)'!M282</f>
        <v>0</v>
      </c>
    </row>
    <row r="278" spans="1:6">
      <c r="A278" s="17">
        <f>'내역서(표준단가)'!E283</f>
        <v>0</v>
      </c>
      <c r="B278" s="18">
        <f>'내역서(표준단가)'!F283</f>
        <v>0</v>
      </c>
      <c r="C278" s="18">
        <f>'내역서(표준단가)'!G283</f>
        <v>0</v>
      </c>
      <c r="D278" s="18">
        <f>'내역서(표준단가)'!H283</f>
        <v>0</v>
      </c>
      <c r="E278" s="18">
        <f>'내역서(표준단가)'!I283</f>
        <v>0</v>
      </c>
      <c r="F278" s="18">
        <f>'내역서(표준단가)'!M283</f>
        <v>0</v>
      </c>
    </row>
    <row r="279" spans="1:6">
      <c r="A279" s="17">
        <f>'내역서(표준단가)'!E284</f>
        <v>0</v>
      </c>
      <c r="B279" s="18">
        <f>'내역서(표준단가)'!F284</f>
        <v>0</v>
      </c>
      <c r="C279" s="18">
        <f>'내역서(표준단가)'!G284</f>
        <v>0</v>
      </c>
      <c r="D279" s="18">
        <f>'내역서(표준단가)'!H284</f>
        <v>0</v>
      </c>
      <c r="E279" s="18">
        <f>'내역서(표준단가)'!I284</f>
        <v>0</v>
      </c>
      <c r="F279" s="18">
        <f>'내역서(표준단가)'!M284</f>
        <v>0</v>
      </c>
    </row>
    <row r="280" spans="1:6">
      <c r="A280" s="17">
        <f>'내역서(표준단가)'!E285</f>
        <v>0</v>
      </c>
      <c r="B280" s="18">
        <f>'내역서(표준단가)'!F285</f>
        <v>0</v>
      </c>
      <c r="C280" s="18">
        <f>'내역서(표준단가)'!G285</f>
        <v>0</v>
      </c>
      <c r="D280" s="18">
        <f>'내역서(표준단가)'!H285</f>
        <v>0</v>
      </c>
      <c r="E280" s="18">
        <f>'내역서(표준단가)'!I285</f>
        <v>0</v>
      </c>
      <c r="F280" s="18">
        <f>'내역서(표준단가)'!M285</f>
        <v>0</v>
      </c>
    </row>
    <row r="281" spans="1:6">
      <c r="A281" s="17">
        <f>'내역서(표준단가)'!E286</f>
        <v>0</v>
      </c>
      <c r="B281" s="18">
        <f>'내역서(표준단가)'!F286</f>
        <v>0</v>
      </c>
      <c r="C281" s="18">
        <f>'내역서(표준단가)'!G286</f>
        <v>0</v>
      </c>
      <c r="D281" s="18">
        <f>'내역서(표준단가)'!H286</f>
        <v>0</v>
      </c>
      <c r="E281" s="18">
        <f>'내역서(표준단가)'!I286</f>
        <v>0</v>
      </c>
      <c r="F281" s="18">
        <f>'내역서(표준단가)'!M286</f>
        <v>0</v>
      </c>
    </row>
    <row r="282" spans="1:6">
      <c r="A282" s="17">
        <f>'내역서(표준단가)'!E287</f>
        <v>0</v>
      </c>
      <c r="B282" s="18">
        <f>'내역서(표준단가)'!F287</f>
        <v>0</v>
      </c>
      <c r="C282" s="18">
        <f>'내역서(표준단가)'!G287</f>
        <v>0</v>
      </c>
      <c r="D282" s="18">
        <f>'내역서(표준단가)'!H287</f>
        <v>0</v>
      </c>
      <c r="E282" s="18">
        <f>'내역서(표준단가)'!I287</f>
        <v>0</v>
      </c>
      <c r="F282" s="18">
        <f>'내역서(표준단가)'!M287</f>
        <v>0</v>
      </c>
    </row>
    <row r="283" spans="1:6">
      <c r="A283" s="17">
        <f>'내역서(표준단가)'!E288</f>
        <v>0</v>
      </c>
      <c r="B283" s="18">
        <f>'내역서(표준단가)'!F288</f>
        <v>0</v>
      </c>
      <c r="C283" s="18">
        <f>'내역서(표준단가)'!G288</f>
        <v>0</v>
      </c>
      <c r="D283" s="18">
        <f>'내역서(표준단가)'!H288</f>
        <v>0</v>
      </c>
      <c r="E283" s="18">
        <f>'내역서(표준단가)'!I288</f>
        <v>0</v>
      </c>
      <c r="F283" s="18">
        <f>'내역서(표준단가)'!M288</f>
        <v>0</v>
      </c>
    </row>
    <row r="284" spans="1:6">
      <c r="A284" s="17">
        <f>'내역서(표준단가)'!E289</f>
        <v>0</v>
      </c>
      <c r="B284" s="18">
        <f>'내역서(표준단가)'!F289</f>
        <v>0</v>
      </c>
      <c r="C284" s="18">
        <f>'내역서(표준단가)'!G289</f>
        <v>0</v>
      </c>
      <c r="D284" s="18">
        <f>'내역서(표준단가)'!H289</f>
        <v>0</v>
      </c>
      <c r="E284" s="18">
        <f>'내역서(표준단가)'!I289</f>
        <v>0</v>
      </c>
      <c r="F284" s="18">
        <f>'내역서(표준단가)'!M289</f>
        <v>0</v>
      </c>
    </row>
    <row r="285" spans="1:6">
      <c r="A285" s="17">
        <f>'내역서(표준단가)'!E290</f>
        <v>0</v>
      </c>
      <c r="B285" s="18">
        <f>'내역서(표준단가)'!F290</f>
        <v>0</v>
      </c>
      <c r="C285" s="18">
        <f>'내역서(표준단가)'!G290</f>
        <v>0</v>
      </c>
      <c r="D285" s="18">
        <f>'내역서(표준단가)'!H290</f>
        <v>0</v>
      </c>
      <c r="E285" s="18">
        <f>'내역서(표준단가)'!I290</f>
        <v>0</v>
      </c>
      <c r="F285" s="18">
        <f>'내역서(표준단가)'!M290</f>
        <v>0</v>
      </c>
    </row>
    <row r="286" spans="1:6">
      <c r="A286" s="17">
        <f>'내역서(표준단가)'!E291</f>
        <v>0</v>
      </c>
      <c r="B286" s="18">
        <f>'내역서(표준단가)'!F291</f>
        <v>0</v>
      </c>
      <c r="C286" s="18">
        <f>'내역서(표준단가)'!G291</f>
        <v>0</v>
      </c>
      <c r="D286" s="18">
        <f>'내역서(표준단가)'!H291</f>
        <v>0</v>
      </c>
      <c r="E286" s="18">
        <f>'내역서(표준단가)'!I291</f>
        <v>0</v>
      </c>
      <c r="F286" s="18">
        <f>'내역서(표준단가)'!M291</f>
        <v>0</v>
      </c>
    </row>
    <row r="287" spans="1:6">
      <c r="A287" s="17">
        <f>'내역서(표준단가)'!E292</f>
        <v>0</v>
      </c>
      <c r="B287" s="18">
        <f>'내역서(표준단가)'!F292</f>
        <v>0</v>
      </c>
      <c r="C287" s="18">
        <f>'내역서(표준단가)'!G292</f>
        <v>0</v>
      </c>
      <c r="D287" s="18">
        <f>'내역서(표준단가)'!H292</f>
        <v>0</v>
      </c>
      <c r="E287" s="18">
        <f>'내역서(표준단가)'!I292</f>
        <v>0</v>
      </c>
      <c r="F287" s="18">
        <f>'내역서(표준단가)'!M292</f>
        <v>0</v>
      </c>
    </row>
    <row r="288" spans="1:6">
      <c r="A288" s="17">
        <f>'내역서(표준단가)'!E293</f>
        <v>0</v>
      </c>
      <c r="B288" s="18">
        <f>'내역서(표준단가)'!F293</f>
        <v>0</v>
      </c>
      <c r="C288" s="18">
        <f>'내역서(표준단가)'!G293</f>
        <v>0</v>
      </c>
      <c r="D288" s="18">
        <f>'내역서(표준단가)'!H293</f>
        <v>0</v>
      </c>
      <c r="E288" s="18">
        <f>'내역서(표준단가)'!I293</f>
        <v>0</v>
      </c>
      <c r="F288" s="18">
        <f>'내역서(표준단가)'!M293</f>
        <v>0</v>
      </c>
    </row>
    <row r="289" spans="1:6">
      <c r="A289" s="17">
        <f>'내역서(표준단가)'!E294</f>
        <v>0</v>
      </c>
      <c r="B289" s="18">
        <f>'내역서(표준단가)'!F294</f>
        <v>0</v>
      </c>
      <c r="C289" s="18">
        <f>'내역서(표준단가)'!G294</f>
        <v>0</v>
      </c>
      <c r="D289" s="18">
        <f>'내역서(표준단가)'!H294</f>
        <v>0</v>
      </c>
      <c r="E289" s="18">
        <f>'내역서(표준단가)'!I294</f>
        <v>0</v>
      </c>
      <c r="F289" s="18">
        <f>'내역서(표준단가)'!M294</f>
        <v>0</v>
      </c>
    </row>
    <row r="290" spans="1:6">
      <c r="A290" s="17">
        <f>'내역서(표준단가)'!E295</f>
        <v>0</v>
      </c>
      <c r="B290" s="18">
        <f>'내역서(표준단가)'!F295</f>
        <v>0</v>
      </c>
      <c r="C290" s="18">
        <f>'내역서(표준단가)'!G295</f>
        <v>0</v>
      </c>
      <c r="D290" s="18">
        <f>'내역서(표준단가)'!H295</f>
        <v>0</v>
      </c>
      <c r="E290" s="18">
        <f>'내역서(표준단가)'!I295</f>
        <v>0</v>
      </c>
      <c r="F290" s="18">
        <f>'내역서(표준단가)'!M295</f>
        <v>0</v>
      </c>
    </row>
    <row r="291" spans="1:6">
      <c r="A291" s="17">
        <f>'내역서(표준단가)'!E296</f>
        <v>0</v>
      </c>
      <c r="B291" s="18">
        <f>'내역서(표준단가)'!F296</f>
        <v>0</v>
      </c>
      <c r="C291" s="18">
        <f>'내역서(표준단가)'!G296</f>
        <v>0</v>
      </c>
      <c r="D291" s="18">
        <f>'내역서(표준단가)'!H296</f>
        <v>0</v>
      </c>
      <c r="E291" s="18">
        <f>'내역서(표준단가)'!I296</f>
        <v>0</v>
      </c>
      <c r="F291" s="18">
        <f>'내역서(표준단가)'!M296</f>
        <v>0</v>
      </c>
    </row>
    <row r="292" spans="1:6">
      <c r="A292" s="17">
        <f>'내역서(표준단가)'!E297</f>
        <v>0</v>
      </c>
      <c r="B292" s="18">
        <f>'내역서(표준단가)'!F297</f>
        <v>0</v>
      </c>
      <c r="C292" s="18">
        <f>'내역서(표준단가)'!G297</f>
        <v>0</v>
      </c>
      <c r="D292" s="18">
        <f>'내역서(표준단가)'!H297</f>
        <v>0</v>
      </c>
      <c r="E292" s="18">
        <f>'내역서(표준단가)'!I297</f>
        <v>0</v>
      </c>
      <c r="F292" s="18">
        <f>'내역서(표준단가)'!M297</f>
        <v>0</v>
      </c>
    </row>
    <row r="293" spans="1:6">
      <c r="A293" s="17">
        <f>'내역서(표준단가)'!E298</f>
        <v>0</v>
      </c>
      <c r="B293" s="18">
        <f>'내역서(표준단가)'!F298</f>
        <v>0</v>
      </c>
      <c r="C293" s="18">
        <f>'내역서(표준단가)'!G298</f>
        <v>0</v>
      </c>
      <c r="D293" s="18">
        <f>'내역서(표준단가)'!H298</f>
        <v>0</v>
      </c>
      <c r="E293" s="18">
        <f>'내역서(표준단가)'!I298</f>
        <v>0</v>
      </c>
      <c r="F293" s="18">
        <f>'내역서(표준단가)'!M298</f>
        <v>0</v>
      </c>
    </row>
    <row r="294" spans="1:6">
      <c r="A294" s="17">
        <f>'내역서(표준단가)'!E299</f>
        <v>0</v>
      </c>
      <c r="B294" s="18">
        <f>'내역서(표준단가)'!F299</f>
        <v>0</v>
      </c>
      <c r="C294" s="18">
        <f>'내역서(표준단가)'!G299</f>
        <v>0</v>
      </c>
      <c r="D294" s="18">
        <f>'내역서(표준단가)'!H299</f>
        <v>0</v>
      </c>
      <c r="E294" s="18">
        <f>'내역서(표준단가)'!I299</f>
        <v>0</v>
      </c>
      <c r="F294" s="18">
        <f>'내역서(표준단가)'!M299</f>
        <v>0</v>
      </c>
    </row>
    <row r="295" spans="1:6">
      <c r="A295" s="17">
        <f>'내역서(표준단가)'!E300</f>
        <v>0</v>
      </c>
      <c r="B295" s="18">
        <f>'내역서(표준단가)'!F300</f>
        <v>0</v>
      </c>
      <c r="C295" s="18">
        <f>'내역서(표준단가)'!G300</f>
        <v>0</v>
      </c>
      <c r="D295" s="18">
        <f>'내역서(표준단가)'!H300</f>
        <v>0</v>
      </c>
      <c r="E295" s="18">
        <f>'내역서(표준단가)'!I300</f>
        <v>0</v>
      </c>
      <c r="F295" s="18">
        <f>'내역서(표준단가)'!M300</f>
        <v>0</v>
      </c>
    </row>
    <row r="296" spans="1:6">
      <c r="A296" s="17">
        <f>'내역서(표준단가)'!E301</f>
        <v>0</v>
      </c>
      <c r="B296" s="18">
        <f>'내역서(표준단가)'!F301</f>
        <v>0</v>
      </c>
      <c r="C296" s="18">
        <f>'내역서(표준단가)'!G301</f>
        <v>0</v>
      </c>
      <c r="D296" s="18">
        <f>'내역서(표준단가)'!H301</f>
        <v>0</v>
      </c>
      <c r="E296" s="18">
        <f>'내역서(표준단가)'!I301</f>
        <v>0</v>
      </c>
      <c r="F296" s="18">
        <f>'내역서(표준단가)'!M301</f>
        <v>0</v>
      </c>
    </row>
    <row r="297" spans="1:6">
      <c r="A297" s="17">
        <f>'내역서(표준단가)'!E302</f>
        <v>0</v>
      </c>
      <c r="B297" s="18">
        <f>'내역서(표준단가)'!F302</f>
        <v>0</v>
      </c>
      <c r="C297" s="18">
        <f>'내역서(표준단가)'!G302</f>
        <v>0</v>
      </c>
      <c r="D297" s="18">
        <f>'내역서(표준단가)'!H302</f>
        <v>0</v>
      </c>
      <c r="E297" s="18">
        <f>'내역서(표준단가)'!I302</f>
        <v>0</v>
      </c>
      <c r="F297" s="18">
        <f>'내역서(표준단가)'!M302</f>
        <v>0</v>
      </c>
    </row>
    <row r="298" spans="1:6">
      <c r="A298" s="17">
        <f>'내역서(표준단가)'!E303</f>
        <v>0</v>
      </c>
      <c r="B298" s="18">
        <f>'내역서(표준단가)'!F303</f>
        <v>0</v>
      </c>
      <c r="C298" s="18">
        <f>'내역서(표준단가)'!G303</f>
        <v>0</v>
      </c>
      <c r="D298" s="18">
        <f>'내역서(표준단가)'!H303</f>
        <v>0</v>
      </c>
      <c r="E298" s="18">
        <f>'내역서(표준단가)'!I303</f>
        <v>0</v>
      </c>
      <c r="F298" s="18">
        <f>'내역서(표준단가)'!M303</f>
        <v>0</v>
      </c>
    </row>
    <row r="299" spans="1:6">
      <c r="A299" s="17">
        <f>'내역서(표준단가)'!E304</f>
        <v>0</v>
      </c>
      <c r="B299" s="18">
        <f>'내역서(표준단가)'!F304</f>
        <v>0</v>
      </c>
      <c r="C299" s="18">
        <f>'내역서(표준단가)'!G304</f>
        <v>0</v>
      </c>
      <c r="D299" s="18">
        <f>'내역서(표준단가)'!H304</f>
        <v>0</v>
      </c>
      <c r="E299" s="18">
        <f>'내역서(표준단가)'!I304</f>
        <v>0</v>
      </c>
      <c r="F299" s="18">
        <f>'내역서(표준단가)'!M304</f>
        <v>0</v>
      </c>
    </row>
    <row r="300" spans="1:6">
      <c r="A300" s="17">
        <f>'내역서(표준단가)'!E305</f>
        <v>0</v>
      </c>
      <c r="B300" s="18">
        <f>'내역서(표준단가)'!F305</f>
        <v>0</v>
      </c>
      <c r="C300" s="18">
        <f>'내역서(표준단가)'!G305</f>
        <v>0</v>
      </c>
      <c r="D300" s="18">
        <f>'내역서(표준단가)'!H305</f>
        <v>0</v>
      </c>
      <c r="E300" s="18">
        <f>'내역서(표준단가)'!I305</f>
        <v>0</v>
      </c>
      <c r="F300" s="18">
        <f>'내역서(표준단가)'!M305</f>
        <v>0</v>
      </c>
    </row>
    <row r="301" spans="1:6">
      <c r="A301" s="17">
        <f>'내역서(표준단가)'!E306</f>
        <v>0</v>
      </c>
      <c r="B301" s="18">
        <f>'내역서(표준단가)'!F306</f>
        <v>0</v>
      </c>
      <c r="C301" s="18">
        <f>'내역서(표준단가)'!G306</f>
        <v>0</v>
      </c>
      <c r="D301" s="18">
        <f>'내역서(표준단가)'!H306</f>
        <v>0</v>
      </c>
      <c r="E301" s="18">
        <f>'내역서(표준단가)'!I306</f>
        <v>0</v>
      </c>
      <c r="F301" s="18">
        <f>'내역서(표준단가)'!M306</f>
        <v>0</v>
      </c>
    </row>
    <row r="302" spans="1:6">
      <c r="A302" s="17">
        <f>'내역서(표준단가)'!E307</f>
        <v>0</v>
      </c>
      <c r="B302" s="18">
        <f>'내역서(표준단가)'!F307</f>
        <v>0</v>
      </c>
      <c r="C302" s="18">
        <f>'내역서(표준단가)'!G307</f>
        <v>0</v>
      </c>
      <c r="D302" s="18">
        <f>'내역서(표준단가)'!H307</f>
        <v>0</v>
      </c>
      <c r="E302" s="18">
        <f>'내역서(표준단가)'!I307</f>
        <v>0</v>
      </c>
      <c r="F302" s="18">
        <f>'내역서(표준단가)'!M307</f>
        <v>0</v>
      </c>
    </row>
    <row r="303" spans="1:6">
      <c r="A303" s="17">
        <f>'내역서(표준단가)'!E308</f>
        <v>0</v>
      </c>
      <c r="B303" s="18">
        <f>'내역서(표준단가)'!F308</f>
        <v>0</v>
      </c>
      <c r="C303" s="18">
        <f>'내역서(표준단가)'!G308</f>
        <v>0</v>
      </c>
      <c r="D303" s="18">
        <f>'내역서(표준단가)'!H308</f>
        <v>0</v>
      </c>
      <c r="E303" s="18">
        <f>'내역서(표준단가)'!I308</f>
        <v>0</v>
      </c>
      <c r="F303" s="18">
        <f>'내역서(표준단가)'!M308</f>
        <v>0</v>
      </c>
    </row>
    <row r="304" spans="1:6">
      <c r="A304" s="17">
        <f>'내역서(표준단가)'!E309</f>
        <v>0</v>
      </c>
      <c r="B304" s="18">
        <f>'내역서(표준단가)'!F309</f>
        <v>0</v>
      </c>
      <c r="C304" s="18">
        <f>'내역서(표준단가)'!G309</f>
        <v>0</v>
      </c>
      <c r="D304" s="18">
        <f>'내역서(표준단가)'!H309</f>
        <v>0</v>
      </c>
      <c r="E304" s="18">
        <f>'내역서(표준단가)'!I309</f>
        <v>0</v>
      </c>
      <c r="F304" s="18">
        <f>'내역서(표준단가)'!M309</f>
        <v>0</v>
      </c>
    </row>
    <row r="305" spans="1:6">
      <c r="A305" s="17">
        <f>'내역서(표준단가)'!E310</f>
        <v>0</v>
      </c>
      <c r="B305" s="18">
        <f>'내역서(표준단가)'!F310</f>
        <v>0</v>
      </c>
      <c r="C305" s="18">
        <f>'내역서(표준단가)'!G310</f>
        <v>0</v>
      </c>
      <c r="D305" s="18">
        <f>'내역서(표준단가)'!H310</f>
        <v>0</v>
      </c>
      <c r="E305" s="18">
        <f>'내역서(표준단가)'!I310</f>
        <v>0</v>
      </c>
      <c r="F305" s="18">
        <f>'내역서(표준단가)'!M310</f>
        <v>0</v>
      </c>
    </row>
    <row r="306" spans="1:6">
      <c r="A306" s="17">
        <f>'내역서(표준단가)'!E311</f>
        <v>0</v>
      </c>
      <c r="B306" s="18">
        <f>'내역서(표준단가)'!F311</f>
        <v>0</v>
      </c>
      <c r="C306" s="18">
        <f>'내역서(표준단가)'!G311</f>
        <v>0</v>
      </c>
      <c r="D306" s="18">
        <f>'내역서(표준단가)'!H311</f>
        <v>0</v>
      </c>
      <c r="E306" s="18">
        <f>'내역서(표준단가)'!I311</f>
        <v>0</v>
      </c>
      <c r="F306" s="18">
        <f>'내역서(표준단가)'!M311</f>
        <v>0</v>
      </c>
    </row>
    <row r="307" spans="1:6">
      <c r="A307" s="17">
        <f>'내역서(표준단가)'!E312</f>
        <v>0</v>
      </c>
      <c r="B307" s="18">
        <f>'내역서(표준단가)'!F312</f>
        <v>0</v>
      </c>
      <c r="C307" s="18">
        <f>'내역서(표준단가)'!G312</f>
        <v>0</v>
      </c>
      <c r="D307" s="18">
        <f>'내역서(표준단가)'!H312</f>
        <v>0</v>
      </c>
      <c r="E307" s="18">
        <f>'내역서(표준단가)'!I312</f>
        <v>0</v>
      </c>
      <c r="F307" s="18">
        <f>'내역서(표준단가)'!M312</f>
        <v>0</v>
      </c>
    </row>
    <row r="308" spans="1:6">
      <c r="A308" s="17">
        <f>'내역서(표준단가)'!E313</f>
        <v>0</v>
      </c>
      <c r="B308" s="18">
        <f>'내역서(표준단가)'!F313</f>
        <v>0</v>
      </c>
      <c r="C308" s="18">
        <f>'내역서(표준단가)'!G313</f>
        <v>0</v>
      </c>
      <c r="D308" s="18">
        <f>'내역서(표준단가)'!H313</f>
        <v>0</v>
      </c>
      <c r="E308" s="18">
        <f>'내역서(표준단가)'!I313</f>
        <v>0</v>
      </c>
      <c r="F308" s="18">
        <f>'내역서(표준단가)'!M313</f>
        <v>0</v>
      </c>
    </row>
    <row r="309" spans="1:6">
      <c r="A309" s="17">
        <f>'내역서(표준단가)'!E314</f>
        <v>0</v>
      </c>
      <c r="B309" s="18">
        <f>'내역서(표준단가)'!F314</f>
        <v>0</v>
      </c>
      <c r="C309" s="18">
        <f>'내역서(표준단가)'!G314</f>
        <v>0</v>
      </c>
      <c r="D309" s="18">
        <f>'내역서(표준단가)'!H314</f>
        <v>0</v>
      </c>
      <c r="E309" s="18">
        <f>'내역서(표준단가)'!I314</f>
        <v>0</v>
      </c>
      <c r="F309" s="18">
        <f>'내역서(표준단가)'!M314</f>
        <v>0</v>
      </c>
    </row>
    <row r="310" spans="1:6">
      <c r="A310" s="17">
        <f>'내역서(표준단가)'!E315</f>
        <v>0</v>
      </c>
      <c r="B310" s="18">
        <f>'내역서(표준단가)'!F315</f>
        <v>0</v>
      </c>
      <c r="C310" s="18">
        <f>'내역서(표준단가)'!G315</f>
        <v>0</v>
      </c>
      <c r="D310" s="18">
        <f>'내역서(표준단가)'!H315</f>
        <v>0</v>
      </c>
      <c r="E310" s="18">
        <f>'내역서(표준단가)'!I315</f>
        <v>0</v>
      </c>
      <c r="F310" s="18">
        <f>'내역서(표준단가)'!M315</f>
        <v>0</v>
      </c>
    </row>
    <row r="311" spans="1:6">
      <c r="A311" s="17">
        <f>'내역서(표준단가)'!E316</f>
        <v>0</v>
      </c>
      <c r="B311" s="18">
        <f>'내역서(표준단가)'!F316</f>
        <v>0</v>
      </c>
      <c r="C311" s="18">
        <f>'내역서(표준단가)'!G316</f>
        <v>0</v>
      </c>
      <c r="D311" s="18">
        <f>'내역서(표준단가)'!H316</f>
        <v>0</v>
      </c>
      <c r="E311" s="18">
        <f>'내역서(표준단가)'!I316</f>
        <v>0</v>
      </c>
      <c r="F311" s="18">
        <f>'내역서(표준단가)'!M316</f>
        <v>0</v>
      </c>
    </row>
    <row r="312" spans="1:6">
      <c r="A312" s="17">
        <f>'내역서(표준단가)'!E317</f>
        <v>0</v>
      </c>
      <c r="B312" s="18">
        <f>'내역서(표준단가)'!F317</f>
        <v>0</v>
      </c>
      <c r="C312" s="18">
        <f>'내역서(표준단가)'!G317</f>
        <v>0</v>
      </c>
      <c r="D312" s="18">
        <f>'내역서(표준단가)'!H317</f>
        <v>0</v>
      </c>
      <c r="E312" s="18">
        <f>'내역서(표준단가)'!I317</f>
        <v>0</v>
      </c>
      <c r="F312" s="18">
        <f>'내역서(표준단가)'!M317</f>
        <v>0</v>
      </c>
    </row>
    <row r="313" spans="1:6">
      <c r="A313" s="17">
        <f>'내역서(표준단가)'!E318</f>
        <v>0</v>
      </c>
      <c r="B313" s="18">
        <f>'내역서(표준단가)'!F318</f>
        <v>0</v>
      </c>
      <c r="C313" s="18">
        <f>'내역서(표준단가)'!G318</f>
        <v>0</v>
      </c>
      <c r="D313" s="18">
        <f>'내역서(표준단가)'!H318</f>
        <v>0</v>
      </c>
      <c r="E313" s="18">
        <f>'내역서(표준단가)'!I318</f>
        <v>0</v>
      </c>
      <c r="F313" s="18">
        <f>'내역서(표준단가)'!M318</f>
        <v>0</v>
      </c>
    </row>
    <row r="314" spans="1:6">
      <c r="A314" s="17">
        <f>'내역서(표준단가)'!E319</f>
        <v>0</v>
      </c>
      <c r="B314" s="18">
        <f>'내역서(표준단가)'!F319</f>
        <v>0</v>
      </c>
      <c r="C314" s="18">
        <f>'내역서(표준단가)'!G319</f>
        <v>0</v>
      </c>
      <c r="D314" s="18">
        <f>'내역서(표준단가)'!H319</f>
        <v>0</v>
      </c>
      <c r="E314" s="18">
        <f>'내역서(표준단가)'!I319</f>
        <v>0</v>
      </c>
      <c r="F314" s="18">
        <f>'내역서(표준단가)'!M319</f>
        <v>0</v>
      </c>
    </row>
    <row r="315" spans="1:6">
      <c r="A315" s="17">
        <f>'내역서(표준단가)'!E320</f>
        <v>0</v>
      </c>
      <c r="B315" s="18">
        <f>'내역서(표준단가)'!F320</f>
        <v>0</v>
      </c>
      <c r="C315" s="18">
        <f>'내역서(표준단가)'!G320</f>
        <v>0</v>
      </c>
      <c r="D315" s="18">
        <f>'내역서(표준단가)'!H320</f>
        <v>0</v>
      </c>
      <c r="E315" s="18">
        <f>'내역서(표준단가)'!I320</f>
        <v>0</v>
      </c>
      <c r="F315" s="18">
        <f>'내역서(표준단가)'!M320</f>
        <v>0</v>
      </c>
    </row>
    <row r="316" spans="1:6">
      <c r="A316" s="17">
        <f>'내역서(표준단가)'!E321</f>
        <v>0</v>
      </c>
      <c r="B316" s="18">
        <f>'내역서(표준단가)'!F321</f>
        <v>0</v>
      </c>
      <c r="C316" s="18">
        <f>'내역서(표준단가)'!G321</f>
        <v>0</v>
      </c>
      <c r="D316" s="18">
        <f>'내역서(표준단가)'!H321</f>
        <v>0</v>
      </c>
      <c r="E316" s="18">
        <f>'내역서(표준단가)'!I321</f>
        <v>0</v>
      </c>
      <c r="F316" s="18">
        <f>'내역서(표준단가)'!M321</f>
        <v>0</v>
      </c>
    </row>
    <row r="317" spans="1:6">
      <c r="A317" s="17">
        <f>'내역서(표준단가)'!E322</f>
        <v>0</v>
      </c>
      <c r="B317" s="18">
        <f>'내역서(표준단가)'!F322</f>
        <v>0</v>
      </c>
      <c r="C317" s="18">
        <f>'내역서(표준단가)'!G322</f>
        <v>0</v>
      </c>
      <c r="D317" s="18">
        <f>'내역서(표준단가)'!H322</f>
        <v>0</v>
      </c>
      <c r="E317" s="18">
        <f>'내역서(표준단가)'!I322</f>
        <v>0</v>
      </c>
      <c r="F317" s="18">
        <f>'내역서(표준단가)'!M322</f>
        <v>0</v>
      </c>
    </row>
    <row r="318" spans="1:6">
      <c r="A318" s="17">
        <f>'내역서(표준단가)'!E323</f>
        <v>0</v>
      </c>
      <c r="B318" s="18">
        <f>'내역서(표준단가)'!F323</f>
        <v>0</v>
      </c>
      <c r="C318" s="18">
        <f>'내역서(표준단가)'!G323</f>
        <v>0</v>
      </c>
      <c r="D318" s="18">
        <f>'내역서(표준단가)'!H323</f>
        <v>0</v>
      </c>
      <c r="E318" s="18">
        <f>'내역서(표준단가)'!I323</f>
        <v>0</v>
      </c>
      <c r="F318" s="18">
        <f>'내역서(표준단가)'!M323</f>
        <v>0</v>
      </c>
    </row>
    <row r="319" spans="1:6">
      <c r="A319" s="17">
        <f>'내역서(표준단가)'!E143</f>
        <v>0</v>
      </c>
      <c r="B319" s="18">
        <f>'내역서(표준단가)'!F143</f>
        <v>0</v>
      </c>
      <c r="C319" s="18">
        <f>'내역서(표준단가)'!G143</f>
        <v>0</v>
      </c>
      <c r="D319" s="18">
        <f>'내역서(표준단가)'!H143</f>
        <v>0</v>
      </c>
      <c r="E319" s="18">
        <f>'내역서(표준단가)'!I143</f>
        <v>0</v>
      </c>
      <c r="F319" s="18">
        <f>'내역서(표준단가)'!M143</f>
        <v>0</v>
      </c>
    </row>
    <row r="320" spans="1:6">
      <c r="A320" s="17">
        <f>'내역서(표준단가)'!E144</f>
        <v>0</v>
      </c>
      <c r="B320" s="18">
        <f>'내역서(표준단가)'!F144</f>
        <v>0</v>
      </c>
      <c r="C320" s="18">
        <f>'내역서(표준단가)'!G144</f>
        <v>0</v>
      </c>
      <c r="D320" s="18">
        <f>'내역서(표준단가)'!H144</f>
        <v>0</v>
      </c>
      <c r="E320" s="18">
        <f>'내역서(표준단가)'!I144</f>
        <v>0</v>
      </c>
      <c r="F320" s="18">
        <f>'내역서(표준단가)'!M144</f>
        <v>0</v>
      </c>
    </row>
    <row r="321" spans="1:6">
      <c r="A321" s="17">
        <f>'내역서(표준단가)'!E145</f>
        <v>0</v>
      </c>
      <c r="B321" s="18">
        <f>'내역서(표준단가)'!F145</f>
        <v>0</v>
      </c>
      <c r="C321" s="18">
        <f>'내역서(표준단가)'!G145</f>
        <v>0</v>
      </c>
      <c r="D321" s="18">
        <f>'내역서(표준단가)'!H145</f>
        <v>0</v>
      </c>
      <c r="E321" s="18">
        <f>'내역서(표준단가)'!I145</f>
        <v>0</v>
      </c>
      <c r="F321" s="18">
        <f>'내역서(표준단가)'!M145</f>
        <v>0</v>
      </c>
    </row>
    <row r="322" spans="1:6">
      <c r="A322" s="17">
        <f>'내역서(표준단가)'!E146</f>
        <v>0</v>
      </c>
      <c r="B322" s="18">
        <f>'내역서(표준단가)'!F146</f>
        <v>0</v>
      </c>
      <c r="C322" s="18">
        <f>'내역서(표준단가)'!G146</f>
        <v>0</v>
      </c>
      <c r="D322" s="18">
        <f>'내역서(표준단가)'!H146</f>
        <v>0</v>
      </c>
      <c r="E322" s="18">
        <f>'내역서(표준단가)'!I146</f>
        <v>0</v>
      </c>
      <c r="F322" s="18">
        <f>'내역서(표준단가)'!M146</f>
        <v>0</v>
      </c>
    </row>
    <row r="323" spans="1:6">
      <c r="A323" s="17">
        <f>'내역서(표준단가)'!E147</f>
        <v>0</v>
      </c>
      <c r="B323" s="18">
        <f>'내역서(표준단가)'!F147</f>
        <v>0</v>
      </c>
      <c r="C323" s="18">
        <f>'내역서(표준단가)'!G147</f>
        <v>0</v>
      </c>
      <c r="D323" s="18">
        <f>'내역서(표준단가)'!H147</f>
        <v>0</v>
      </c>
      <c r="E323" s="18">
        <f>'내역서(표준단가)'!I147</f>
        <v>0</v>
      </c>
      <c r="F323" s="18">
        <f>'내역서(표준단가)'!M147</f>
        <v>0</v>
      </c>
    </row>
    <row r="324" spans="1:6">
      <c r="A324" s="17">
        <f>'내역서(표준단가)'!E148</f>
        <v>0</v>
      </c>
      <c r="B324" s="18">
        <f>'내역서(표준단가)'!F148</f>
        <v>0</v>
      </c>
      <c r="C324" s="18">
        <f>'내역서(표준단가)'!G148</f>
        <v>0</v>
      </c>
      <c r="D324" s="18">
        <f>'내역서(표준단가)'!H148</f>
        <v>0</v>
      </c>
      <c r="E324" s="18">
        <f>'내역서(표준단가)'!I148</f>
        <v>0</v>
      </c>
      <c r="F324" s="18">
        <f>'내역서(표준단가)'!M148</f>
        <v>0</v>
      </c>
    </row>
    <row r="325" spans="1:6">
      <c r="A325" s="17">
        <f>'내역서(표준단가)'!E149</f>
        <v>0</v>
      </c>
      <c r="B325" s="18">
        <f>'내역서(표준단가)'!F149</f>
        <v>0</v>
      </c>
      <c r="C325" s="18">
        <f>'내역서(표준단가)'!G149</f>
        <v>0</v>
      </c>
      <c r="D325" s="18">
        <f>'내역서(표준단가)'!H149</f>
        <v>0</v>
      </c>
      <c r="E325" s="18">
        <f>'내역서(표준단가)'!I149</f>
        <v>0</v>
      </c>
      <c r="F325" s="18">
        <f>'내역서(표준단가)'!M149</f>
        <v>0</v>
      </c>
    </row>
    <row r="326" spans="1:6">
      <c r="A326" s="17">
        <f>'내역서(표준단가)'!E150</f>
        <v>0</v>
      </c>
      <c r="B326" s="18">
        <f>'내역서(표준단가)'!F150</f>
        <v>0</v>
      </c>
      <c r="C326" s="18">
        <f>'내역서(표준단가)'!G150</f>
        <v>0</v>
      </c>
      <c r="D326" s="18">
        <f>'내역서(표준단가)'!H150</f>
        <v>0</v>
      </c>
      <c r="E326" s="18">
        <f>'내역서(표준단가)'!I150</f>
        <v>0</v>
      </c>
      <c r="F326" s="18">
        <f>'내역서(표준단가)'!M150</f>
        <v>0</v>
      </c>
    </row>
    <row r="327" spans="1:6">
      <c r="A327" s="17">
        <f>'내역서(표준단가)'!E151</f>
        <v>0</v>
      </c>
      <c r="B327" s="18">
        <f>'내역서(표준단가)'!F151</f>
        <v>0</v>
      </c>
      <c r="C327" s="18">
        <f>'내역서(표준단가)'!G151</f>
        <v>0</v>
      </c>
      <c r="D327" s="18">
        <f>'내역서(표준단가)'!H151</f>
        <v>0</v>
      </c>
      <c r="E327" s="18">
        <f>'내역서(표준단가)'!I151</f>
        <v>0</v>
      </c>
      <c r="F327" s="18">
        <f>'내역서(표준단가)'!M151</f>
        <v>0</v>
      </c>
    </row>
    <row r="328" spans="1:6">
      <c r="A328" s="17">
        <f>'내역서(표준단가)'!E152</f>
        <v>0</v>
      </c>
      <c r="B328" s="18">
        <f>'내역서(표준단가)'!F152</f>
        <v>0</v>
      </c>
      <c r="C328" s="18">
        <f>'내역서(표준단가)'!G152</f>
        <v>0</v>
      </c>
      <c r="D328" s="18">
        <f>'내역서(표준단가)'!H152</f>
        <v>0</v>
      </c>
      <c r="E328" s="18">
        <f>'내역서(표준단가)'!I152</f>
        <v>0</v>
      </c>
      <c r="F328" s="18">
        <f>'내역서(표준단가)'!M152</f>
        <v>0</v>
      </c>
    </row>
    <row r="329" spans="1:6">
      <c r="A329" s="17">
        <f>'내역서(표준단가)'!E153</f>
        <v>0</v>
      </c>
      <c r="B329" s="18">
        <f>'내역서(표준단가)'!F153</f>
        <v>0</v>
      </c>
      <c r="C329" s="18">
        <f>'내역서(표준단가)'!G153</f>
        <v>0</v>
      </c>
      <c r="D329" s="18">
        <f>'내역서(표준단가)'!H153</f>
        <v>0</v>
      </c>
      <c r="E329" s="18">
        <f>'내역서(표준단가)'!I153</f>
        <v>0</v>
      </c>
      <c r="F329" s="18">
        <f>'내역서(표준단가)'!M153</f>
        <v>0</v>
      </c>
    </row>
    <row r="330" spans="1:6">
      <c r="A330" s="17">
        <f>'내역서(표준단가)'!E154</f>
        <v>0</v>
      </c>
      <c r="B330" s="18">
        <f>'내역서(표준단가)'!F154</f>
        <v>0</v>
      </c>
      <c r="C330" s="18">
        <f>'내역서(표준단가)'!G154</f>
        <v>0</v>
      </c>
      <c r="D330" s="18">
        <f>'내역서(표준단가)'!H154</f>
        <v>0</v>
      </c>
      <c r="E330" s="18">
        <f>'내역서(표준단가)'!I154</f>
        <v>0</v>
      </c>
      <c r="F330" s="18">
        <f>'내역서(표준단가)'!M154</f>
        <v>0</v>
      </c>
    </row>
    <row r="331" spans="1:6">
      <c r="A331" s="17">
        <f>'내역서(표준단가)'!E155</f>
        <v>0</v>
      </c>
      <c r="B331" s="18">
        <f>'내역서(표준단가)'!F155</f>
        <v>0</v>
      </c>
      <c r="C331" s="18">
        <f>'내역서(표준단가)'!G155</f>
        <v>0</v>
      </c>
      <c r="D331" s="18">
        <f>'내역서(표준단가)'!H155</f>
        <v>0</v>
      </c>
      <c r="E331" s="18">
        <f>'내역서(표준단가)'!I155</f>
        <v>0</v>
      </c>
      <c r="F331" s="18">
        <f>'내역서(표준단가)'!M155</f>
        <v>0</v>
      </c>
    </row>
    <row r="332" spans="1:6">
      <c r="A332" s="17">
        <f>'내역서(표준단가)'!E156</f>
        <v>0</v>
      </c>
      <c r="B332" s="18">
        <f>'내역서(표준단가)'!F156</f>
        <v>0</v>
      </c>
      <c r="C332" s="18">
        <f>'내역서(표준단가)'!G156</f>
        <v>0</v>
      </c>
      <c r="D332" s="18">
        <f>'내역서(표준단가)'!H156</f>
        <v>0</v>
      </c>
      <c r="E332" s="18">
        <f>'내역서(표준단가)'!I156</f>
        <v>0</v>
      </c>
      <c r="F332" s="18">
        <f>'내역서(표준단가)'!M156</f>
        <v>0</v>
      </c>
    </row>
    <row r="333" spans="1:6">
      <c r="A333" s="17">
        <f>'내역서(표준단가)'!E157</f>
        <v>0</v>
      </c>
      <c r="B333" s="18">
        <f>'내역서(표준단가)'!F157</f>
        <v>0</v>
      </c>
      <c r="C333" s="18">
        <f>'내역서(표준단가)'!G157</f>
        <v>0</v>
      </c>
      <c r="D333" s="18">
        <f>'내역서(표준단가)'!H157</f>
        <v>0</v>
      </c>
      <c r="E333" s="18">
        <f>'내역서(표준단가)'!I157</f>
        <v>0</v>
      </c>
      <c r="F333" s="18">
        <f>'내역서(표준단가)'!M157</f>
        <v>0</v>
      </c>
    </row>
    <row r="334" spans="1:6">
      <c r="A334" s="17">
        <f>'내역서(표준단가)'!E158</f>
        <v>0</v>
      </c>
      <c r="B334" s="18">
        <f>'내역서(표준단가)'!F158</f>
        <v>0</v>
      </c>
      <c r="C334" s="18">
        <f>'내역서(표준단가)'!G158</f>
        <v>0</v>
      </c>
      <c r="D334" s="18">
        <f>'내역서(표준단가)'!H158</f>
        <v>0</v>
      </c>
      <c r="E334" s="18">
        <f>'내역서(표준단가)'!I158</f>
        <v>0</v>
      </c>
      <c r="F334" s="18">
        <f>'내역서(표준단가)'!M158</f>
        <v>0</v>
      </c>
    </row>
    <row r="335" spans="1:6">
      <c r="A335" s="17">
        <f>'내역서(표준단가)'!E159</f>
        <v>0</v>
      </c>
      <c r="B335" s="18">
        <f>'내역서(표준단가)'!F159</f>
        <v>0</v>
      </c>
      <c r="C335" s="18">
        <f>'내역서(표준단가)'!G159</f>
        <v>0</v>
      </c>
      <c r="D335" s="18">
        <f>'내역서(표준단가)'!H159</f>
        <v>0</v>
      </c>
      <c r="E335" s="18">
        <f>'내역서(표준단가)'!I159</f>
        <v>0</v>
      </c>
      <c r="F335" s="18">
        <f>'내역서(표준단가)'!M159</f>
        <v>0</v>
      </c>
    </row>
    <row r="336" spans="1:6">
      <c r="A336" s="17">
        <f>'내역서(표준단가)'!E160</f>
        <v>0</v>
      </c>
      <c r="B336" s="18">
        <f>'내역서(표준단가)'!F160</f>
        <v>0</v>
      </c>
      <c r="C336" s="18">
        <f>'내역서(표준단가)'!G160</f>
        <v>0</v>
      </c>
      <c r="D336" s="18">
        <f>'내역서(표준단가)'!H160</f>
        <v>0</v>
      </c>
      <c r="E336" s="18">
        <f>'내역서(표준단가)'!I160</f>
        <v>0</v>
      </c>
      <c r="F336" s="18">
        <f>'내역서(표준단가)'!M160</f>
        <v>0</v>
      </c>
    </row>
    <row r="337" spans="1:6">
      <c r="A337" s="17">
        <f>'내역서(표준단가)'!E161</f>
        <v>0</v>
      </c>
      <c r="B337" s="18">
        <f>'내역서(표준단가)'!F161</f>
        <v>0</v>
      </c>
      <c r="C337" s="18">
        <f>'내역서(표준단가)'!G161</f>
        <v>0</v>
      </c>
      <c r="D337" s="18">
        <f>'내역서(표준단가)'!H161</f>
        <v>0</v>
      </c>
      <c r="E337" s="18">
        <f>'내역서(표준단가)'!I161</f>
        <v>0</v>
      </c>
      <c r="F337" s="18">
        <f>'내역서(표준단가)'!M161</f>
        <v>0</v>
      </c>
    </row>
    <row r="338" spans="1:6">
      <c r="A338" s="17">
        <f>'내역서(표준단가)'!E162</f>
        <v>0</v>
      </c>
      <c r="B338" s="18">
        <f>'내역서(표준단가)'!F162</f>
        <v>0</v>
      </c>
      <c r="C338" s="18">
        <f>'내역서(표준단가)'!G162</f>
        <v>0</v>
      </c>
      <c r="D338" s="18">
        <f>'내역서(표준단가)'!H162</f>
        <v>0</v>
      </c>
      <c r="E338" s="18">
        <f>'내역서(표준단가)'!I162</f>
        <v>0</v>
      </c>
      <c r="F338" s="18">
        <f>'내역서(표준단가)'!M162</f>
        <v>0</v>
      </c>
    </row>
    <row r="339" spans="1:6">
      <c r="A339" s="17">
        <f>'내역서(표준단가)'!E163</f>
        <v>0</v>
      </c>
      <c r="B339" s="18">
        <f>'내역서(표준단가)'!F163</f>
        <v>0</v>
      </c>
      <c r="C339" s="18">
        <f>'내역서(표준단가)'!G163</f>
        <v>0</v>
      </c>
      <c r="D339" s="18">
        <f>'내역서(표준단가)'!H163</f>
        <v>0</v>
      </c>
      <c r="E339" s="18">
        <f>'내역서(표준단가)'!I163</f>
        <v>0</v>
      </c>
      <c r="F339" s="18">
        <f>'내역서(표준단가)'!M163</f>
        <v>0</v>
      </c>
    </row>
    <row r="340" spans="1:6">
      <c r="A340" s="17">
        <f>'내역서(표준단가)'!E164</f>
        <v>0</v>
      </c>
      <c r="B340" s="18">
        <f>'내역서(표준단가)'!F164</f>
        <v>0</v>
      </c>
      <c r="C340" s="18">
        <f>'내역서(표준단가)'!G164</f>
        <v>0</v>
      </c>
      <c r="D340" s="18">
        <f>'내역서(표준단가)'!H164</f>
        <v>0</v>
      </c>
      <c r="E340" s="18">
        <f>'내역서(표준단가)'!I164</f>
        <v>0</v>
      </c>
      <c r="F340" s="18">
        <f>'내역서(표준단가)'!M164</f>
        <v>0</v>
      </c>
    </row>
    <row r="341" spans="1:6">
      <c r="A341" s="17">
        <f>'내역서(표준단가)'!E165</f>
        <v>0</v>
      </c>
      <c r="B341" s="18">
        <f>'내역서(표준단가)'!F165</f>
        <v>0</v>
      </c>
      <c r="C341" s="18">
        <f>'내역서(표준단가)'!G165</f>
        <v>0</v>
      </c>
      <c r="D341" s="18">
        <f>'내역서(표준단가)'!H165</f>
        <v>0</v>
      </c>
      <c r="E341" s="18">
        <f>'내역서(표준단가)'!I165</f>
        <v>0</v>
      </c>
      <c r="F341" s="18">
        <f>'내역서(표준단가)'!M165</f>
        <v>0</v>
      </c>
    </row>
    <row r="342" spans="1:6">
      <c r="A342" s="17">
        <f>'내역서(표준단가)'!E166</f>
        <v>0</v>
      </c>
      <c r="B342" s="18">
        <f>'내역서(표준단가)'!F166</f>
        <v>0</v>
      </c>
      <c r="C342" s="18">
        <f>'내역서(표준단가)'!G166</f>
        <v>0</v>
      </c>
      <c r="D342" s="18">
        <f>'내역서(표준단가)'!H166</f>
        <v>0</v>
      </c>
      <c r="E342" s="18">
        <f>'내역서(표준단가)'!I166</f>
        <v>0</v>
      </c>
      <c r="F342" s="18">
        <f>'내역서(표준단가)'!M166</f>
        <v>0</v>
      </c>
    </row>
    <row r="343" spans="1:6">
      <c r="A343" s="17">
        <f>'내역서(표준단가)'!E167</f>
        <v>0</v>
      </c>
      <c r="B343" s="18">
        <f>'내역서(표준단가)'!F167</f>
        <v>0</v>
      </c>
      <c r="C343" s="18">
        <f>'내역서(표준단가)'!G167</f>
        <v>0</v>
      </c>
      <c r="D343" s="18">
        <f>'내역서(표준단가)'!H167</f>
        <v>0</v>
      </c>
      <c r="E343" s="18">
        <f>'내역서(표준단가)'!I167</f>
        <v>0</v>
      </c>
      <c r="F343" s="18">
        <f>'내역서(표준단가)'!M167</f>
        <v>0</v>
      </c>
    </row>
    <row r="344" spans="1:6">
      <c r="A344" s="17">
        <f>'내역서(표준단가)'!E168</f>
        <v>0</v>
      </c>
      <c r="B344" s="18">
        <f>'내역서(표준단가)'!F168</f>
        <v>0</v>
      </c>
      <c r="C344" s="18">
        <f>'내역서(표준단가)'!G168</f>
        <v>0</v>
      </c>
      <c r="D344" s="18">
        <f>'내역서(표준단가)'!H168</f>
        <v>0</v>
      </c>
      <c r="E344" s="18">
        <f>'내역서(표준단가)'!I168</f>
        <v>0</v>
      </c>
      <c r="F344" s="18">
        <f>'내역서(표준단가)'!M168</f>
        <v>0</v>
      </c>
    </row>
    <row r="345" spans="1:6">
      <c r="A345" s="17">
        <f>'내역서(표준단가)'!E169</f>
        <v>0</v>
      </c>
      <c r="B345" s="18">
        <f>'내역서(표준단가)'!F169</f>
        <v>0</v>
      </c>
      <c r="C345" s="18">
        <f>'내역서(표준단가)'!G169</f>
        <v>0</v>
      </c>
      <c r="D345" s="18">
        <f>'내역서(표준단가)'!H169</f>
        <v>0</v>
      </c>
      <c r="E345" s="18">
        <f>'내역서(표준단가)'!I169</f>
        <v>0</v>
      </c>
      <c r="F345" s="18">
        <f>'내역서(표준단가)'!M169</f>
        <v>0</v>
      </c>
    </row>
    <row r="346" spans="1:6">
      <c r="A346" s="17">
        <f>'내역서(표준단가)'!E170</f>
        <v>0</v>
      </c>
      <c r="B346" s="18">
        <f>'내역서(표준단가)'!F170</f>
        <v>0</v>
      </c>
      <c r="C346" s="18">
        <f>'내역서(표준단가)'!G170</f>
        <v>0</v>
      </c>
      <c r="D346" s="18">
        <f>'내역서(표준단가)'!H170</f>
        <v>0</v>
      </c>
      <c r="E346" s="18">
        <f>'내역서(표준단가)'!I170</f>
        <v>0</v>
      </c>
      <c r="F346" s="18">
        <f>'내역서(표준단가)'!M170</f>
        <v>0</v>
      </c>
    </row>
    <row r="347" spans="1:6">
      <c r="A347" s="17">
        <f>'내역서(표준단가)'!E171</f>
        <v>0</v>
      </c>
      <c r="B347" s="18">
        <f>'내역서(표준단가)'!F171</f>
        <v>0</v>
      </c>
      <c r="C347" s="18">
        <f>'내역서(표준단가)'!G171</f>
        <v>0</v>
      </c>
      <c r="D347" s="18">
        <f>'내역서(표준단가)'!H171</f>
        <v>0</v>
      </c>
      <c r="E347" s="18">
        <f>'내역서(표준단가)'!I171</f>
        <v>0</v>
      </c>
      <c r="F347" s="18">
        <f>'내역서(표준단가)'!M171</f>
        <v>0</v>
      </c>
    </row>
    <row r="348" spans="1:6">
      <c r="A348" s="17">
        <f>'내역서(표준단가)'!E172</f>
        <v>0</v>
      </c>
      <c r="B348" s="18">
        <f>'내역서(표준단가)'!F172</f>
        <v>0</v>
      </c>
      <c r="C348" s="18">
        <f>'내역서(표준단가)'!G172</f>
        <v>0</v>
      </c>
      <c r="D348" s="18">
        <f>'내역서(표준단가)'!H172</f>
        <v>0</v>
      </c>
      <c r="E348" s="18">
        <f>'내역서(표준단가)'!I172</f>
        <v>0</v>
      </c>
      <c r="F348" s="18">
        <f>'내역서(표준단가)'!M172</f>
        <v>0</v>
      </c>
    </row>
    <row r="349" spans="1:6">
      <c r="A349" s="17">
        <f>'내역서(표준단가)'!E173</f>
        <v>0</v>
      </c>
      <c r="B349" s="18">
        <f>'내역서(표준단가)'!F173</f>
        <v>0</v>
      </c>
      <c r="C349" s="18">
        <f>'내역서(표준단가)'!G173</f>
        <v>0</v>
      </c>
      <c r="D349" s="18">
        <f>'내역서(표준단가)'!H173</f>
        <v>0</v>
      </c>
      <c r="E349" s="18">
        <f>'내역서(표준단가)'!I173</f>
        <v>0</v>
      </c>
      <c r="F349" s="18">
        <f>'내역서(표준단가)'!M173</f>
        <v>0</v>
      </c>
    </row>
    <row r="350" spans="1:6">
      <c r="A350" s="17">
        <f>'내역서(표준단가)'!E174</f>
        <v>0</v>
      </c>
      <c r="B350" s="18">
        <f>'내역서(표준단가)'!F174</f>
        <v>0</v>
      </c>
      <c r="C350" s="18">
        <f>'내역서(표준단가)'!G174</f>
        <v>0</v>
      </c>
      <c r="D350" s="18">
        <f>'내역서(표준단가)'!H174</f>
        <v>0</v>
      </c>
      <c r="E350" s="18">
        <f>'내역서(표준단가)'!I174</f>
        <v>0</v>
      </c>
      <c r="F350" s="18">
        <f>'내역서(표준단가)'!M174</f>
        <v>0</v>
      </c>
    </row>
    <row r="351" spans="1:6">
      <c r="A351" s="17">
        <f>'내역서(표준단가)'!E175</f>
        <v>0</v>
      </c>
      <c r="B351" s="18">
        <f>'내역서(표준단가)'!F175</f>
        <v>0</v>
      </c>
      <c r="C351" s="18">
        <f>'내역서(표준단가)'!G175</f>
        <v>0</v>
      </c>
      <c r="D351" s="18">
        <f>'내역서(표준단가)'!H175</f>
        <v>0</v>
      </c>
      <c r="E351" s="18">
        <f>'내역서(표준단가)'!I175</f>
        <v>0</v>
      </c>
      <c r="F351" s="18">
        <f>'내역서(표준단가)'!M175</f>
        <v>0</v>
      </c>
    </row>
    <row r="352" spans="1:6">
      <c r="A352" s="17">
        <f>'내역서(표준단가)'!E176</f>
        <v>0</v>
      </c>
      <c r="B352" s="18">
        <f>'내역서(표준단가)'!F176</f>
        <v>0</v>
      </c>
      <c r="C352" s="18">
        <f>'내역서(표준단가)'!G176</f>
        <v>0</v>
      </c>
      <c r="D352" s="18">
        <f>'내역서(표준단가)'!H176</f>
        <v>0</v>
      </c>
      <c r="E352" s="18">
        <f>'내역서(표준단가)'!I176</f>
        <v>0</v>
      </c>
      <c r="F352" s="18">
        <f>'내역서(표준단가)'!M176</f>
        <v>0</v>
      </c>
    </row>
    <row r="353" spans="1:6">
      <c r="A353" s="17">
        <f>'내역서(표준단가)'!E177</f>
        <v>0</v>
      </c>
      <c r="B353" s="18">
        <f>'내역서(표준단가)'!F177</f>
        <v>0</v>
      </c>
      <c r="C353" s="18">
        <f>'내역서(표준단가)'!G177</f>
        <v>0</v>
      </c>
      <c r="D353" s="18">
        <f>'내역서(표준단가)'!H177</f>
        <v>0</v>
      </c>
      <c r="E353" s="18">
        <f>'내역서(표준단가)'!I177</f>
        <v>0</v>
      </c>
      <c r="F353" s="18">
        <f>'내역서(표준단가)'!M177</f>
        <v>0</v>
      </c>
    </row>
    <row r="354" spans="1:6">
      <c r="A354" s="17">
        <f>'내역서(표준단가)'!E178</f>
        <v>0</v>
      </c>
      <c r="B354" s="18">
        <f>'내역서(표준단가)'!F178</f>
        <v>0</v>
      </c>
      <c r="C354" s="18">
        <f>'내역서(표준단가)'!G178</f>
        <v>0</v>
      </c>
      <c r="D354" s="18">
        <f>'내역서(표준단가)'!H178</f>
        <v>0</v>
      </c>
      <c r="E354" s="18">
        <f>'내역서(표준단가)'!I178</f>
        <v>0</v>
      </c>
      <c r="F354" s="18">
        <f>'내역서(표준단가)'!M178</f>
        <v>0</v>
      </c>
    </row>
    <row r="355" spans="1:6">
      <c r="A355" s="17">
        <f>'내역서(표준단가)'!E179</f>
        <v>0</v>
      </c>
      <c r="B355" s="18">
        <f>'내역서(표준단가)'!F179</f>
        <v>0</v>
      </c>
      <c r="C355" s="18">
        <f>'내역서(표준단가)'!G179</f>
        <v>0</v>
      </c>
      <c r="D355" s="18">
        <f>'내역서(표준단가)'!H179</f>
        <v>0</v>
      </c>
      <c r="E355" s="18">
        <f>'내역서(표준단가)'!I179</f>
        <v>0</v>
      </c>
      <c r="F355" s="18">
        <f>'내역서(표준단가)'!M179</f>
        <v>0</v>
      </c>
    </row>
    <row r="356" spans="1:6">
      <c r="A356" s="17">
        <f>'내역서(표준단가)'!E180</f>
        <v>0</v>
      </c>
      <c r="B356" s="18">
        <f>'내역서(표준단가)'!F180</f>
        <v>0</v>
      </c>
      <c r="C356" s="18">
        <f>'내역서(표준단가)'!G180</f>
        <v>0</v>
      </c>
      <c r="D356" s="18">
        <f>'내역서(표준단가)'!H180</f>
        <v>0</v>
      </c>
      <c r="E356" s="18">
        <f>'내역서(표준단가)'!I180</f>
        <v>0</v>
      </c>
      <c r="F356" s="18">
        <f>'내역서(표준단가)'!M180</f>
        <v>0</v>
      </c>
    </row>
    <row r="357" spans="1:6">
      <c r="A357" s="17">
        <f>'내역서(표준단가)'!E181</f>
        <v>0</v>
      </c>
      <c r="B357" s="18">
        <f>'내역서(표준단가)'!F181</f>
        <v>0</v>
      </c>
      <c r="C357" s="18">
        <f>'내역서(표준단가)'!G181</f>
        <v>0</v>
      </c>
      <c r="D357" s="18">
        <f>'내역서(표준단가)'!H181</f>
        <v>0</v>
      </c>
      <c r="E357" s="18">
        <f>'내역서(표준단가)'!I181</f>
        <v>0</v>
      </c>
      <c r="F357" s="18">
        <f>'내역서(표준단가)'!M181</f>
        <v>0</v>
      </c>
    </row>
    <row r="358" spans="1:6">
      <c r="A358" s="17">
        <f>'내역서(표준단가)'!E182</f>
        <v>0</v>
      </c>
      <c r="B358" s="18">
        <f>'내역서(표준단가)'!F182</f>
        <v>0</v>
      </c>
      <c r="C358" s="18">
        <f>'내역서(표준단가)'!G182</f>
        <v>0</v>
      </c>
      <c r="D358" s="18">
        <f>'내역서(표준단가)'!H182</f>
        <v>0</v>
      </c>
      <c r="E358" s="18">
        <f>'내역서(표준단가)'!I182</f>
        <v>0</v>
      </c>
      <c r="F358" s="18">
        <f>'내역서(표준단가)'!M182</f>
        <v>0</v>
      </c>
    </row>
    <row r="359" spans="1:6">
      <c r="A359" s="17">
        <f>'내역서(표준단가)'!E183</f>
        <v>0</v>
      </c>
      <c r="B359" s="18">
        <f>'내역서(표준단가)'!F183</f>
        <v>0</v>
      </c>
      <c r="C359" s="18">
        <f>'내역서(표준단가)'!G183</f>
        <v>0</v>
      </c>
      <c r="D359" s="18">
        <f>'내역서(표준단가)'!H183</f>
        <v>0</v>
      </c>
      <c r="E359" s="18">
        <f>'내역서(표준단가)'!I183</f>
        <v>0</v>
      </c>
      <c r="F359" s="18">
        <f>'내역서(표준단가)'!M183</f>
        <v>0</v>
      </c>
    </row>
    <row r="360" spans="1:6">
      <c r="A360" s="17">
        <f>'내역서(표준단가)'!E184</f>
        <v>0</v>
      </c>
      <c r="B360" s="18">
        <f>'내역서(표준단가)'!F184</f>
        <v>0</v>
      </c>
      <c r="C360" s="18">
        <f>'내역서(표준단가)'!G184</f>
        <v>0</v>
      </c>
      <c r="D360" s="18">
        <f>'내역서(표준단가)'!H184</f>
        <v>0</v>
      </c>
      <c r="E360" s="18">
        <f>'내역서(표준단가)'!I184</f>
        <v>0</v>
      </c>
      <c r="F360" s="18">
        <f>'내역서(표준단가)'!M184</f>
        <v>0</v>
      </c>
    </row>
    <row r="361" spans="1:6">
      <c r="A361" s="17">
        <f>'내역서(표준단가)'!E185</f>
        <v>0</v>
      </c>
      <c r="B361" s="18">
        <f>'내역서(표준단가)'!F185</f>
        <v>0</v>
      </c>
      <c r="C361" s="18">
        <f>'내역서(표준단가)'!G185</f>
        <v>0</v>
      </c>
      <c r="D361" s="18">
        <f>'내역서(표준단가)'!H185</f>
        <v>0</v>
      </c>
      <c r="E361" s="18">
        <f>'내역서(표준단가)'!I185</f>
        <v>0</v>
      </c>
      <c r="F361" s="18">
        <f>'내역서(표준단가)'!M185</f>
        <v>0</v>
      </c>
    </row>
    <row r="362" spans="1:6">
      <c r="A362" s="17">
        <f>'내역서(표준단가)'!E186</f>
        <v>0</v>
      </c>
      <c r="B362" s="18">
        <f>'내역서(표준단가)'!F186</f>
        <v>0</v>
      </c>
      <c r="C362" s="18">
        <f>'내역서(표준단가)'!G186</f>
        <v>0</v>
      </c>
      <c r="D362" s="18">
        <f>'내역서(표준단가)'!H186</f>
        <v>0</v>
      </c>
      <c r="E362" s="18">
        <f>'내역서(표준단가)'!I186</f>
        <v>0</v>
      </c>
      <c r="F362" s="18">
        <f>'내역서(표준단가)'!M186</f>
        <v>0</v>
      </c>
    </row>
    <row r="363" spans="1:6">
      <c r="A363" s="17">
        <f>'내역서(표준단가)'!E187</f>
        <v>0</v>
      </c>
      <c r="B363" s="18">
        <f>'내역서(표준단가)'!F187</f>
        <v>0</v>
      </c>
      <c r="C363" s="18">
        <f>'내역서(표준단가)'!G187</f>
        <v>0</v>
      </c>
      <c r="D363" s="18">
        <f>'내역서(표준단가)'!H187</f>
        <v>0</v>
      </c>
      <c r="E363" s="18">
        <f>'내역서(표준단가)'!I187</f>
        <v>0</v>
      </c>
      <c r="F363" s="18">
        <f>'내역서(표준단가)'!M187</f>
        <v>0</v>
      </c>
    </row>
    <row r="364" spans="1:6">
      <c r="A364" s="17">
        <f>'내역서(표준단가)'!E188</f>
        <v>0</v>
      </c>
      <c r="B364" s="18">
        <f>'내역서(표준단가)'!F188</f>
        <v>0</v>
      </c>
      <c r="C364" s="18">
        <f>'내역서(표준단가)'!G188</f>
        <v>0</v>
      </c>
      <c r="D364" s="18">
        <f>'내역서(표준단가)'!H188</f>
        <v>0</v>
      </c>
      <c r="E364" s="18">
        <f>'내역서(표준단가)'!I188</f>
        <v>0</v>
      </c>
      <c r="F364" s="18">
        <f>'내역서(표준단가)'!M188</f>
        <v>0</v>
      </c>
    </row>
    <row r="365" spans="1:6">
      <c r="A365" s="17">
        <f>'내역서(표준단가)'!E189</f>
        <v>0</v>
      </c>
      <c r="B365" s="18">
        <f>'내역서(표준단가)'!F189</f>
        <v>0</v>
      </c>
      <c r="C365" s="18">
        <f>'내역서(표준단가)'!G189</f>
        <v>0</v>
      </c>
      <c r="D365" s="18">
        <f>'내역서(표준단가)'!H189</f>
        <v>0</v>
      </c>
      <c r="E365" s="18">
        <f>'내역서(표준단가)'!I189</f>
        <v>0</v>
      </c>
      <c r="F365" s="18">
        <f>'내역서(표준단가)'!M189</f>
        <v>0</v>
      </c>
    </row>
    <row r="366" spans="1:6">
      <c r="A366" s="17">
        <f>'내역서(표준단가)'!E190</f>
        <v>0</v>
      </c>
      <c r="B366" s="18">
        <f>'내역서(표준단가)'!F190</f>
        <v>0</v>
      </c>
      <c r="C366" s="18">
        <f>'내역서(표준단가)'!G190</f>
        <v>0</v>
      </c>
      <c r="D366" s="18">
        <f>'내역서(표준단가)'!H190</f>
        <v>0</v>
      </c>
      <c r="E366" s="18">
        <f>'내역서(표준단가)'!I190</f>
        <v>0</v>
      </c>
      <c r="F366" s="18">
        <f>'내역서(표준단가)'!M190</f>
        <v>0</v>
      </c>
    </row>
    <row r="367" spans="1:6">
      <c r="A367" s="17">
        <f>'내역서(표준단가)'!E191</f>
        <v>0</v>
      </c>
      <c r="B367" s="18">
        <f>'내역서(표준단가)'!F191</f>
        <v>0</v>
      </c>
      <c r="C367" s="18">
        <f>'내역서(표준단가)'!G191</f>
        <v>0</v>
      </c>
      <c r="D367" s="18">
        <f>'내역서(표준단가)'!H191</f>
        <v>0</v>
      </c>
      <c r="E367" s="18">
        <f>'내역서(표준단가)'!I191</f>
        <v>0</v>
      </c>
      <c r="F367" s="18">
        <f>'내역서(표준단가)'!M191</f>
        <v>0</v>
      </c>
    </row>
    <row r="368" spans="1:6">
      <c r="A368" s="17">
        <f>'내역서(표준단가)'!E192</f>
        <v>0</v>
      </c>
      <c r="B368" s="18">
        <f>'내역서(표준단가)'!F192</f>
        <v>0</v>
      </c>
      <c r="C368" s="18">
        <f>'내역서(표준단가)'!G192</f>
        <v>0</v>
      </c>
      <c r="D368" s="18">
        <f>'내역서(표준단가)'!H192</f>
        <v>0</v>
      </c>
      <c r="E368" s="18">
        <f>'내역서(표준단가)'!I192</f>
        <v>0</v>
      </c>
      <c r="F368" s="18">
        <f>'내역서(표준단가)'!M192</f>
        <v>0</v>
      </c>
    </row>
    <row r="369" spans="1:6">
      <c r="A369" s="17">
        <f>'내역서(표준단가)'!E193</f>
        <v>0</v>
      </c>
      <c r="B369" s="18">
        <f>'내역서(표준단가)'!F193</f>
        <v>0</v>
      </c>
      <c r="C369" s="18">
        <f>'내역서(표준단가)'!G193</f>
        <v>0</v>
      </c>
      <c r="D369" s="18">
        <f>'내역서(표준단가)'!H193</f>
        <v>0</v>
      </c>
      <c r="E369" s="18">
        <f>'내역서(표준단가)'!I193</f>
        <v>0</v>
      </c>
      <c r="F369" s="18">
        <f>'내역서(표준단가)'!M193</f>
        <v>0</v>
      </c>
    </row>
    <row r="370" spans="1:6">
      <c r="A370" s="17">
        <f>'내역서(표준단가)'!E194</f>
        <v>0</v>
      </c>
      <c r="B370" s="18">
        <f>'내역서(표준단가)'!F194</f>
        <v>0</v>
      </c>
      <c r="C370" s="18">
        <f>'내역서(표준단가)'!G194</f>
        <v>0</v>
      </c>
      <c r="D370" s="18">
        <f>'내역서(표준단가)'!H194</f>
        <v>0</v>
      </c>
      <c r="E370" s="18">
        <f>'내역서(표준단가)'!I194</f>
        <v>0</v>
      </c>
      <c r="F370" s="18">
        <f>'내역서(표준단가)'!M194</f>
        <v>0</v>
      </c>
    </row>
    <row r="371" spans="1:6">
      <c r="A371" s="17">
        <f>'내역서(표준단가)'!E195</f>
        <v>0</v>
      </c>
      <c r="B371" s="18">
        <f>'내역서(표준단가)'!F195</f>
        <v>0</v>
      </c>
      <c r="C371" s="18">
        <f>'내역서(표준단가)'!G195</f>
        <v>0</v>
      </c>
      <c r="D371" s="18">
        <f>'내역서(표준단가)'!H195</f>
        <v>0</v>
      </c>
      <c r="E371" s="18">
        <f>'내역서(표준단가)'!I195</f>
        <v>0</v>
      </c>
      <c r="F371" s="18">
        <f>'내역서(표준단가)'!M195</f>
        <v>0</v>
      </c>
    </row>
    <row r="372" spans="1:6">
      <c r="A372" s="17">
        <f>'내역서(표준단가)'!E196</f>
        <v>0</v>
      </c>
      <c r="B372" s="18">
        <f>'내역서(표준단가)'!F196</f>
        <v>0</v>
      </c>
      <c r="C372" s="18">
        <f>'내역서(표준단가)'!G196</f>
        <v>0</v>
      </c>
      <c r="D372" s="18">
        <f>'내역서(표준단가)'!H196</f>
        <v>0</v>
      </c>
      <c r="E372" s="18">
        <f>'내역서(표준단가)'!I196</f>
        <v>0</v>
      </c>
      <c r="F372" s="18">
        <f>'내역서(표준단가)'!M196</f>
        <v>0</v>
      </c>
    </row>
    <row r="373" spans="1:6">
      <c r="A373" s="17">
        <f>'내역서(표준단가)'!E197</f>
        <v>0</v>
      </c>
      <c r="B373" s="18">
        <f>'내역서(표준단가)'!F197</f>
        <v>0</v>
      </c>
      <c r="C373" s="18">
        <f>'내역서(표준단가)'!G197</f>
        <v>0</v>
      </c>
      <c r="D373" s="18">
        <f>'내역서(표준단가)'!H197</f>
        <v>0</v>
      </c>
      <c r="E373" s="18">
        <f>'내역서(표준단가)'!I197</f>
        <v>0</v>
      </c>
      <c r="F373" s="18">
        <f>'내역서(표준단가)'!M197</f>
        <v>0</v>
      </c>
    </row>
    <row r="374" spans="1:6">
      <c r="A374" s="17">
        <f>'내역서(표준단가)'!E198</f>
        <v>0</v>
      </c>
      <c r="B374" s="18">
        <f>'내역서(표준단가)'!F198</f>
        <v>0</v>
      </c>
      <c r="C374" s="18">
        <f>'내역서(표준단가)'!G198</f>
        <v>0</v>
      </c>
      <c r="D374" s="18">
        <f>'내역서(표준단가)'!H198</f>
        <v>0</v>
      </c>
      <c r="E374" s="18">
        <f>'내역서(표준단가)'!I198</f>
        <v>0</v>
      </c>
      <c r="F374" s="18">
        <f>'내역서(표준단가)'!M198</f>
        <v>0</v>
      </c>
    </row>
    <row r="375" spans="1:6">
      <c r="A375" s="17">
        <f>'내역서(표준단가)'!E199</f>
        <v>0</v>
      </c>
      <c r="B375" s="18">
        <f>'내역서(표준단가)'!F199</f>
        <v>0</v>
      </c>
      <c r="C375" s="18">
        <f>'내역서(표준단가)'!G199</f>
        <v>0</v>
      </c>
      <c r="D375" s="18">
        <f>'내역서(표준단가)'!H199</f>
        <v>0</v>
      </c>
      <c r="E375" s="18">
        <f>'내역서(표준단가)'!I199</f>
        <v>0</v>
      </c>
      <c r="F375" s="18">
        <f>'내역서(표준단가)'!M199</f>
        <v>0</v>
      </c>
    </row>
    <row r="376" spans="1:6">
      <c r="A376" s="17">
        <f>'내역서(표준단가)'!E200</f>
        <v>0</v>
      </c>
      <c r="B376" s="18">
        <f>'내역서(표준단가)'!F200</f>
        <v>0</v>
      </c>
      <c r="C376" s="18">
        <f>'내역서(표준단가)'!G200</f>
        <v>0</v>
      </c>
      <c r="D376" s="18">
        <f>'내역서(표준단가)'!H200</f>
        <v>0</v>
      </c>
      <c r="E376" s="18">
        <f>'내역서(표준단가)'!I200</f>
        <v>0</v>
      </c>
      <c r="F376" s="18">
        <f>'내역서(표준단가)'!M200</f>
        <v>0</v>
      </c>
    </row>
    <row r="377" spans="1:6">
      <c r="A377" s="17">
        <f>'내역서(표준단가)'!E201</f>
        <v>0</v>
      </c>
      <c r="B377" s="18">
        <f>'내역서(표준단가)'!F201</f>
        <v>0</v>
      </c>
      <c r="C377" s="18">
        <f>'내역서(표준단가)'!G201</f>
        <v>0</v>
      </c>
      <c r="D377" s="18">
        <f>'내역서(표준단가)'!H201</f>
        <v>0</v>
      </c>
      <c r="E377" s="18">
        <f>'내역서(표준단가)'!I201</f>
        <v>0</v>
      </c>
      <c r="F377" s="18">
        <f>'내역서(표준단가)'!M201</f>
        <v>0</v>
      </c>
    </row>
    <row r="378" spans="1:6">
      <c r="A378" s="17">
        <f>'내역서(표준단가)'!E202</f>
        <v>0</v>
      </c>
      <c r="B378" s="18">
        <f>'내역서(표준단가)'!F202</f>
        <v>0</v>
      </c>
      <c r="C378" s="18">
        <f>'내역서(표준단가)'!G202</f>
        <v>0</v>
      </c>
      <c r="D378" s="18">
        <f>'내역서(표준단가)'!H202</f>
        <v>0</v>
      </c>
      <c r="E378" s="18">
        <f>'내역서(표준단가)'!I202</f>
        <v>0</v>
      </c>
      <c r="F378" s="18">
        <f>'내역서(표준단가)'!M202</f>
        <v>0</v>
      </c>
    </row>
    <row r="379" spans="1:6">
      <c r="A379" s="17">
        <f>'내역서(표준단가)'!E203</f>
        <v>0</v>
      </c>
      <c r="B379" s="18">
        <f>'내역서(표준단가)'!F203</f>
        <v>0</v>
      </c>
      <c r="C379" s="18">
        <f>'내역서(표준단가)'!G203</f>
        <v>0</v>
      </c>
      <c r="D379" s="18">
        <f>'내역서(표준단가)'!H203</f>
        <v>0</v>
      </c>
      <c r="E379" s="18">
        <f>'내역서(표준단가)'!I203</f>
        <v>0</v>
      </c>
      <c r="F379" s="18">
        <f>'내역서(표준단가)'!M203</f>
        <v>0</v>
      </c>
    </row>
    <row r="380" spans="1:6">
      <c r="A380" s="17">
        <f>'내역서(표준단가)'!E204</f>
        <v>0</v>
      </c>
      <c r="B380" s="18">
        <f>'내역서(표준단가)'!F204</f>
        <v>0</v>
      </c>
      <c r="C380" s="18">
        <f>'내역서(표준단가)'!G204</f>
        <v>0</v>
      </c>
      <c r="D380" s="18">
        <f>'내역서(표준단가)'!H204</f>
        <v>0</v>
      </c>
      <c r="E380" s="18">
        <f>'내역서(표준단가)'!I204</f>
        <v>0</v>
      </c>
      <c r="F380" s="18">
        <f>'내역서(표준단가)'!M204</f>
        <v>0</v>
      </c>
    </row>
    <row r="381" spans="1:6">
      <c r="A381" s="17">
        <f>'내역서(표준단가)'!E205</f>
        <v>0</v>
      </c>
      <c r="B381" s="18">
        <f>'내역서(표준단가)'!F205</f>
        <v>0</v>
      </c>
      <c r="C381" s="18">
        <f>'내역서(표준단가)'!G205</f>
        <v>0</v>
      </c>
      <c r="D381" s="18">
        <f>'내역서(표준단가)'!H205</f>
        <v>0</v>
      </c>
      <c r="E381" s="18">
        <f>'내역서(표준단가)'!I205</f>
        <v>0</v>
      </c>
      <c r="F381" s="18">
        <f>'내역서(표준단가)'!M205</f>
        <v>0</v>
      </c>
    </row>
    <row r="382" spans="1:6">
      <c r="A382" s="17">
        <f>'내역서(표준단가)'!E206</f>
        <v>0</v>
      </c>
      <c r="B382" s="18">
        <f>'내역서(표준단가)'!F206</f>
        <v>0</v>
      </c>
      <c r="C382" s="18">
        <f>'내역서(표준단가)'!G206</f>
        <v>0</v>
      </c>
      <c r="D382" s="18">
        <f>'내역서(표준단가)'!H206</f>
        <v>0</v>
      </c>
      <c r="E382" s="18">
        <f>'내역서(표준단가)'!I206</f>
        <v>0</v>
      </c>
      <c r="F382" s="18">
        <f>'내역서(표준단가)'!M206</f>
        <v>0</v>
      </c>
    </row>
    <row r="383" spans="1:6">
      <c r="A383" s="17">
        <f>'내역서(표준단가)'!E207</f>
        <v>0</v>
      </c>
      <c r="B383" s="18">
        <f>'내역서(표준단가)'!F207</f>
        <v>0</v>
      </c>
      <c r="C383" s="18">
        <f>'내역서(표준단가)'!G207</f>
        <v>0</v>
      </c>
      <c r="D383" s="18">
        <f>'내역서(표준단가)'!H207</f>
        <v>0</v>
      </c>
      <c r="E383" s="18">
        <f>'내역서(표준단가)'!I207</f>
        <v>0</v>
      </c>
      <c r="F383" s="18">
        <f>'내역서(표준단가)'!M207</f>
        <v>0</v>
      </c>
    </row>
    <row r="384" spans="1:6">
      <c r="A384" s="17">
        <f>'내역서(표준단가)'!E208</f>
        <v>0</v>
      </c>
      <c r="B384" s="18">
        <f>'내역서(표준단가)'!F208</f>
        <v>0</v>
      </c>
      <c r="C384" s="18">
        <f>'내역서(표준단가)'!G208</f>
        <v>0</v>
      </c>
      <c r="D384" s="18">
        <f>'내역서(표준단가)'!H208</f>
        <v>0</v>
      </c>
      <c r="E384" s="18">
        <f>'내역서(표준단가)'!I208</f>
        <v>0</v>
      </c>
      <c r="F384" s="18">
        <f>'내역서(표준단가)'!M208</f>
        <v>0</v>
      </c>
    </row>
    <row r="385" spans="1:6">
      <c r="A385" s="17">
        <f>'내역서(표준단가)'!E209</f>
        <v>0</v>
      </c>
      <c r="B385" s="18">
        <f>'내역서(표준단가)'!F209</f>
        <v>0</v>
      </c>
      <c r="C385" s="18">
        <f>'내역서(표준단가)'!G209</f>
        <v>0</v>
      </c>
      <c r="D385" s="18">
        <f>'내역서(표준단가)'!H209</f>
        <v>0</v>
      </c>
      <c r="E385" s="18">
        <f>'내역서(표준단가)'!I209</f>
        <v>0</v>
      </c>
      <c r="F385" s="18">
        <f>'내역서(표준단가)'!M209</f>
        <v>0</v>
      </c>
    </row>
    <row r="386" spans="1:6">
      <c r="A386" s="17">
        <f>'내역서(표준단가)'!E210</f>
        <v>0</v>
      </c>
      <c r="B386" s="18">
        <f>'내역서(표준단가)'!F210</f>
        <v>0</v>
      </c>
      <c r="C386" s="18">
        <f>'내역서(표준단가)'!G210</f>
        <v>0</v>
      </c>
      <c r="D386" s="18">
        <f>'내역서(표준단가)'!H210</f>
        <v>0</v>
      </c>
      <c r="E386" s="18">
        <f>'내역서(표준단가)'!I210</f>
        <v>0</v>
      </c>
      <c r="F386" s="18">
        <f>'내역서(표준단가)'!M210</f>
        <v>0</v>
      </c>
    </row>
    <row r="387" spans="1:6">
      <c r="A387" s="17">
        <f>'내역서(표준단가)'!E211</f>
        <v>0</v>
      </c>
      <c r="B387" s="18">
        <f>'내역서(표준단가)'!F211</f>
        <v>0</v>
      </c>
      <c r="C387" s="18">
        <f>'내역서(표준단가)'!G211</f>
        <v>0</v>
      </c>
      <c r="D387" s="18">
        <f>'내역서(표준단가)'!H211</f>
        <v>0</v>
      </c>
      <c r="E387" s="18">
        <f>'내역서(표준단가)'!I211</f>
        <v>0</v>
      </c>
      <c r="F387" s="18">
        <f>'내역서(표준단가)'!M211</f>
        <v>0</v>
      </c>
    </row>
    <row r="388" spans="1:6">
      <c r="A388" s="17">
        <f>'내역서(표준단가)'!E212</f>
        <v>0</v>
      </c>
      <c r="B388" s="18">
        <f>'내역서(표준단가)'!F212</f>
        <v>0</v>
      </c>
      <c r="C388" s="18">
        <f>'내역서(표준단가)'!G212</f>
        <v>0</v>
      </c>
      <c r="D388" s="18">
        <f>'내역서(표준단가)'!H212</f>
        <v>0</v>
      </c>
      <c r="E388" s="18">
        <f>'내역서(표준단가)'!I212</f>
        <v>0</v>
      </c>
      <c r="F388" s="18">
        <f>'내역서(표준단가)'!M212</f>
        <v>0</v>
      </c>
    </row>
    <row r="389" spans="1:6">
      <c r="A389" s="17">
        <f>'내역서(표준단가)'!E213</f>
        <v>0</v>
      </c>
      <c r="B389" s="18">
        <f>'내역서(표준단가)'!F213</f>
        <v>0</v>
      </c>
      <c r="C389" s="18">
        <f>'내역서(표준단가)'!G213</f>
        <v>0</v>
      </c>
      <c r="D389" s="18">
        <f>'내역서(표준단가)'!H213</f>
        <v>0</v>
      </c>
      <c r="E389" s="18">
        <f>'내역서(표준단가)'!I213</f>
        <v>0</v>
      </c>
      <c r="F389" s="18">
        <f>'내역서(표준단가)'!M213</f>
        <v>0</v>
      </c>
    </row>
    <row r="390" spans="1:6">
      <c r="A390" s="17">
        <f>'내역서(표준단가)'!E214</f>
        <v>0</v>
      </c>
      <c r="B390" s="18">
        <f>'내역서(표준단가)'!F214</f>
        <v>0</v>
      </c>
      <c r="C390" s="18">
        <f>'내역서(표준단가)'!G214</f>
        <v>0</v>
      </c>
      <c r="D390" s="18">
        <f>'내역서(표준단가)'!H214</f>
        <v>0</v>
      </c>
      <c r="E390" s="18">
        <f>'내역서(표준단가)'!I214</f>
        <v>0</v>
      </c>
      <c r="F390" s="18">
        <f>'내역서(표준단가)'!M214</f>
        <v>0</v>
      </c>
    </row>
    <row r="391" spans="1:6">
      <c r="A391" s="17">
        <f>'내역서(표준단가)'!E215</f>
        <v>0</v>
      </c>
      <c r="B391" s="18">
        <f>'내역서(표준단가)'!F215</f>
        <v>0</v>
      </c>
      <c r="C391" s="18">
        <f>'내역서(표준단가)'!G215</f>
        <v>0</v>
      </c>
      <c r="D391" s="18">
        <f>'내역서(표준단가)'!H215</f>
        <v>0</v>
      </c>
      <c r="E391" s="18">
        <f>'내역서(표준단가)'!I215</f>
        <v>0</v>
      </c>
      <c r="F391" s="18">
        <f>'내역서(표준단가)'!M215</f>
        <v>0</v>
      </c>
    </row>
    <row r="392" spans="1:6">
      <c r="A392" s="17">
        <f>'내역서(표준단가)'!E216</f>
        <v>0</v>
      </c>
      <c r="B392" s="18">
        <f>'내역서(표준단가)'!F216</f>
        <v>0</v>
      </c>
      <c r="C392" s="18">
        <f>'내역서(표준단가)'!G216</f>
        <v>0</v>
      </c>
      <c r="D392" s="18">
        <f>'내역서(표준단가)'!H216</f>
        <v>0</v>
      </c>
      <c r="E392" s="18">
        <f>'내역서(표준단가)'!I216</f>
        <v>0</v>
      </c>
      <c r="F392" s="18">
        <f>'내역서(표준단가)'!M216</f>
        <v>0</v>
      </c>
    </row>
    <row r="393" spans="1:6">
      <c r="A393" s="17">
        <f>'내역서(표준단가)'!E217</f>
        <v>0</v>
      </c>
      <c r="B393" s="18">
        <f>'내역서(표준단가)'!F217</f>
        <v>0</v>
      </c>
      <c r="C393" s="18">
        <f>'내역서(표준단가)'!G217</f>
        <v>0</v>
      </c>
      <c r="D393" s="18">
        <f>'내역서(표준단가)'!H217</f>
        <v>0</v>
      </c>
      <c r="E393" s="18">
        <f>'내역서(표준단가)'!I217</f>
        <v>0</v>
      </c>
      <c r="F393" s="18">
        <f>'내역서(표준단가)'!M217</f>
        <v>0</v>
      </c>
    </row>
    <row r="394" spans="1:6">
      <c r="A394" s="17">
        <f>'내역서(표준단가)'!E218</f>
        <v>0</v>
      </c>
      <c r="B394" s="18">
        <f>'내역서(표준단가)'!F218</f>
        <v>0</v>
      </c>
      <c r="C394" s="18">
        <f>'내역서(표준단가)'!G218</f>
        <v>0</v>
      </c>
      <c r="D394" s="18">
        <f>'내역서(표준단가)'!H218</f>
        <v>0</v>
      </c>
      <c r="E394" s="18">
        <f>'내역서(표준단가)'!I218</f>
        <v>0</v>
      </c>
      <c r="F394" s="18">
        <f>'내역서(표준단가)'!M218</f>
        <v>0</v>
      </c>
    </row>
    <row r="395" spans="1:6">
      <c r="A395" s="17">
        <f>'내역서(표준단가)'!E219</f>
        <v>0</v>
      </c>
      <c r="B395" s="18">
        <f>'내역서(표준단가)'!F219</f>
        <v>0</v>
      </c>
      <c r="C395" s="18">
        <f>'내역서(표준단가)'!G219</f>
        <v>0</v>
      </c>
      <c r="D395" s="18">
        <f>'내역서(표준단가)'!H219</f>
        <v>0</v>
      </c>
      <c r="E395" s="18">
        <f>'내역서(표준단가)'!I219</f>
        <v>0</v>
      </c>
      <c r="F395" s="18">
        <f>'내역서(표준단가)'!M219</f>
        <v>0</v>
      </c>
    </row>
    <row r="396" spans="1:6">
      <c r="A396" s="17">
        <f>'내역서(표준단가)'!E220</f>
        <v>0</v>
      </c>
      <c r="B396" s="18">
        <f>'내역서(표준단가)'!F220</f>
        <v>0</v>
      </c>
      <c r="C396" s="18">
        <f>'내역서(표준단가)'!G220</f>
        <v>0</v>
      </c>
      <c r="D396" s="18">
        <f>'내역서(표준단가)'!H220</f>
        <v>0</v>
      </c>
      <c r="E396" s="18">
        <f>'내역서(표준단가)'!I220</f>
        <v>0</v>
      </c>
      <c r="F396" s="18">
        <f>'내역서(표준단가)'!M220</f>
        <v>0</v>
      </c>
    </row>
    <row r="397" spans="1:6">
      <c r="A397" s="17">
        <f>'내역서(표준단가)'!E221</f>
        <v>0</v>
      </c>
      <c r="B397" s="18">
        <f>'내역서(표준단가)'!F221</f>
        <v>0</v>
      </c>
      <c r="C397" s="18">
        <f>'내역서(표준단가)'!G221</f>
        <v>0</v>
      </c>
      <c r="D397" s="18">
        <f>'내역서(표준단가)'!H221</f>
        <v>0</v>
      </c>
      <c r="E397" s="18">
        <f>'내역서(표준단가)'!I221</f>
        <v>0</v>
      </c>
      <c r="F397" s="18">
        <f>'내역서(표준단가)'!M221</f>
        <v>0</v>
      </c>
    </row>
    <row r="398" spans="1:6">
      <c r="A398" s="17">
        <f>'내역서(표준단가)'!E222</f>
        <v>0</v>
      </c>
      <c r="B398" s="18">
        <f>'내역서(표준단가)'!F222</f>
        <v>0</v>
      </c>
      <c r="C398" s="18">
        <f>'내역서(표준단가)'!G222</f>
        <v>0</v>
      </c>
      <c r="D398" s="18">
        <f>'내역서(표준단가)'!H222</f>
        <v>0</v>
      </c>
      <c r="E398" s="18">
        <f>'내역서(표준단가)'!I222</f>
        <v>0</v>
      </c>
      <c r="F398" s="18">
        <f>'내역서(표준단가)'!M222</f>
        <v>0</v>
      </c>
    </row>
    <row r="399" spans="1:6">
      <c r="A399" s="17">
        <f>'내역서(표준단가)'!E223</f>
        <v>0</v>
      </c>
      <c r="B399" s="18">
        <f>'내역서(표준단가)'!F223</f>
        <v>0</v>
      </c>
      <c r="C399" s="18">
        <f>'내역서(표준단가)'!G223</f>
        <v>0</v>
      </c>
      <c r="D399" s="18">
        <f>'내역서(표준단가)'!H223</f>
        <v>0</v>
      </c>
      <c r="E399" s="18">
        <f>'내역서(표준단가)'!I223</f>
        <v>0</v>
      </c>
      <c r="F399" s="18">
        <f>'내역서(표준단가)'!M223</f>
        <v>0</v>
      </c>
    </row>
    <row r="400" spans="1:6">
      <c r="A400" s="17">
        <f>'내역서(표준단가)'!E224</f>
        <v>0</v>
      </c>
      <c r="B400" s="18">
        <f>'내역서(표준단가)'!F224</f>
        <v>0</v>
      </c>
      <c r="C400" s="18">
        <f>'내역서(표준단가)'!G224</f>
        <v>0</v>
      </c>
      <c r="D400" s="18">
        <f>'내역서(표준단가)'!H224</f>
        <v>0</v>
      </c>
      <c r="E400" s="18">
        <f>'내역서(표준단가)'!I224</f>
        <v>0</v>
      </c>
      <c r="F400" s="18">
        <f>'내역서(표준단가)'!M224</f>
        <v>0</v>
      </c>
    </row>
    <row r="401" spans="1:6">
      <c r="A401" s="17">
        <f>'내역서(표준단가)'!E225</f>
        <v>0</v>
      </c>
      <c r="B401" s="18">
        <f>'내역서(표준단가)'!F225</f>
        <v>0</v>
      </c>
      <c r="C401" s="18">
        <f>'내역서(표준단가)'!G225</f>
        <v>0</v>
      </c>
      <c r="D401" s="18">
        <f>'내역서(표준단가)'!H225</f>
        <v>0</v>
      </c>
      <c r="E401" s="18">
        <f>'내역서(표준단가)'!I225</f>
        <v>0</v>
      </c>
      <c r="F401" s="18">
        <f>'내역서(표준단가)'!M225</f>
        <v>0</v>
      </c>
    </row>
    <row r="402" spans="1:6">
      <c r="A402" s="17">
        <f>'내역서(표준단가)'!E226</f>
        <v>0</v>
      </c>
      <c r="B402" s="18">
        <f>'내역서(표준단가)'!F226</f>
        <v>0</v>
      </c>
      <c r="C402" s="18">
        <f>'내역서(표준단가)'!G226</f>
        <v>0</v>
      </c>
      <c r="D402" s="18">
        <f>'내역서(표준단가)'!H226</f>
        <v>0</v>
      </c>
      <c r="E402" s="18">
        <f>'내역서(표준단가)'!I226</f>
        <v>0</v>
      </c>
      <c r="F402" s="18">
        <f>'내역서(표준단가)'!M226</f>
        <v>0</v>
      </c>
    </row>
    <row r="403" spans="1:6">
      <c r="A403" s="17">
        <f>'내역서(표준단가)'!E227</f>
        <v>0</v>
      </c>
      <c r="B403" s="18">
        <f>'내역서(표준단가)'!F227</f>
        <v>0</v>
      </c>
      <c r="C403" s="18">
        <f>'내역서(표준단가)'!G227</f>
        <v>0</v>
      </c>
      <c r="D403" s="18">
        <f>'내역서(표준단가)'!H227</f>
        <v>0</v>
      </c>
      <c r="E403" s="18">
        <f>'내역서(표준단가)'!I227</f>
        <v>0</v>
      </c>
      <c r="F403" s="18">
        <f>'내역서(표준단가)'!M227</f>
        <v>0</v>
      </c>
    </row>
    <row r="404" spans="1:6">
      <c r="A404" s="17">
        <f>'내역서(표준단가)'!E228</f>
        <v>0</v>
      </c>
      <c r="B404" s="18">
        <f>'내역서(표준단가)'!F228</f>
        <v>0</v>
      </c>
      <c r="C404" s="18">
        <f>'내역서(표준단가)'!G228</f>
        <v>0</v>
      </c>
      <c r="D404" s="18">
        <f>'내역서(표준단가)'!H228</f>
        <v>0</v>
      </c>
      <c r="E404" s="18">
        <f>'내역서(표준단가)'!I228</f>
        <v>0</v>
      </c>
      <c r="F404" s="18">
        <f>'내역서(표준단가)'!M228</f>
        <v>0</v>
      </c>
    </row>
    <row r="405" spans="1:6">
      <c r="A405" s="17">
        <f>'내역서(표준단가)'!E229</f>
        <v>0</v>
      </c>
      <c r="B405" s="18">
        <f>'내역서(표준단가)'!F229</f>
        <v>0</v>
      </c>
      <c r="C405" s="18">
        <f>'내역서(표준단가)'!G229</f>
        <v>0</v>
      </c>
      <c r="D405" s="18">
        <f>'내역서(표준단가)'!H229</f>
        <v>0</v>
      </c>
      <c r="E405" s="18">
        <f>'내역서(표준단가)'!I229</f>
        <v>0</v>
      </c>
      <c r="F405" s="18">
        <f>'내역서(표준단가)'!M229</f>
        <v>0</v>
      </c>
    </row>
    <row r="406" spans="1:6">
      <c r="A406" s="17">
        <f>'내역서(표준단가)'!E230</f>
        <v>0</v>
      </c>
      <c r="B406" s="18">
        <f>'내역서(표준단가)'!F230</f>
        <v>0</v>
      </c>
      <c r="C406" s="18">
        <f>'내역서(표준단가)'!G230</f>
        <v>0</v>
      </c>
      <c r="D406" s="18">
        <f>'내역서(표준단가)'!H230</f>
        <v>0</v>
      </c>
      <c r="E406" s="18">
        <f>'내역서(표준단가)'!I230</f>
        <v>0</v>
      </c>
      <c r="F406" s="18">
        <f>'내역서(표준단가)'!M230</f>
        <v>0</v>
      </c>
    </row>
    <row r="407" spans="1:6">
      <c r="A407" s="17">
        <f>'내역서(표준단가)'!E231</f>
        <v>0</v>
      </c>
      <c r="B407" s="18">
        <f>'내역서(표준단가)'!F231</f>
        <v>0</v>
      </c>
      <c r="C407" s="18">
        <f>'내역서(표준단가)'!G231</f>
        <v>0</v>
      </c>
      <c r="D407" s="18">
        <f>'내역서(표준단가)'!H231</f>
        <v>0</v>
      </c>
      <c r="E407" s="18">
        <f>'내역서(표준단가)'!I231</f>
        <v>0</v>
      </c>
      <c r="F407" s="18">
        <f>'내역서(표준단가)'!M231</f>
        <v>0</v>
      </c>
    </row>
    <row r="408" spans="1:6">
      <c r="A408" s="17">
        <f>'내역서(표준단가)'!E232</f>
        <v>0</v>
      </c>
      <c r="B408" s="18">
        <f>'내역서(표준단가)'!F232</f>
        <v>0</v>
      </c>
      <c r="C408" s="18">
        <f>'내역서(표준단가)'!G232</f>
        <v>0</v>
      </c>
      <c r="D408" s="18">
        <f>'내역서(표준단가)'!H232</f>
        <v>0</v>
      </c>
      <c r="E408" s="18">
        <f>'내역서(표준단가)'!I232</f>
        <v>0</v>
      </c>
      <c r="F408" s="18">
        <f>'내역서(표준단가)'!M232</f>
        <v>0</v>
      </c>
    </row>
    <row r="409" spans="1:6">
      <c r="A409" s="17">
        <f>'내역서(표준단가)'!E233</f>
        <v>0</v>
      </c>
      <c r="B409" s="18">
        <f>'내역서(표준단가)'!F233</f>
        <v>0</v>
      </c>
      <c r="C409" s="18">
        <f>'내역서(표준단가)'!G233</f>
        <v>0</v>
      </c>
      <c r="D409" s="18">
        <f>'내역서(표준단가)'!H233</f>
        <v>0</v>
      </c>
      <c r="E409" s="18">
        <f>'내역서(표준단가)'!I233</f>
        <v>0</v>
      </c>
      <c r="F409" s="18">
        <f>'내역서(표준단가)'!M233</f>
        <v>0</v>
      </c>
    </row>
    <row r="410" spans="1:6">
      <c r="A410" s="17">
        <f>'내역서(표준단가)'!E234</f>
        <v>0</v>
      </c>
      <c r="B410" s="18">
        <f>'내역서(표준단가)'!F234</f>
        <v>0</v>
      </c>
      <c r="C410" s="18">
        <f>'내역서(표준단가)'!G234</f>
        <v>0</v>
      </c>
      <c r="D410" s="18">
        <f>'내역서(표준단가)'!H234</f>
        <v>0</v>
      </c>
      <c r="E410" s="18">
        <f>'내역서(표준단가)'!I234</f>
        <v>0</v>
      </c>
      <c r="F410" s="18">
        <f>'내역서(표준단가)'!M234</f>
        <v>0</v>
      </c>
    </row>
    <row r="411" spans="1:6">
      <c r="A411" s="17">
        <f>'내역서(표준단가)'!E235</f>
        <v>0</v>
      </c>
      <c r="B411" s="18">
        <f>'내역서(표준단가)'!F235</f>
        <v>0</v>
      </c>
      <c r="C411" s="18">
        <f>'내역서(표준단가)'!G235</f>
        <v>0</v>
      </c>
      <c r="D411" s="18">
        <f>'내역서(표준단가)'!H235</f>
        <v>0</v>
      </c>
      <c r="E411" s="18">
        <f>'내역서(표준단가)'!I235</f>
        <v>0</v>
      </c>
      <c r="F411" s="18">
        <f>'내역서(표준단가)'!M235</f>
        <v>0</v>
      </c>
    </row>
    <row r="412" spans="1:6">
      <c r="A412" s="17">
        <f>'내역서(표준단가)'!E236</f>
        <v>0</v>
      </c>
      <c r="B412" s="18">
        <f>'내역서(표준단가)'!F236</f>
        <v>0</v>
      </c>
      <c r="C412" s="18">
        <f>'내역서(표준단가)'!G236</f>
        <v>0</v>
      </c>
      <c r="D412" s="18">
        <f>'내역서(표준단가)'!H236</f>
        <v>0</v>
      </c>
      <c r="E412" s="18">
        <f>'내역서(표준단가)'!I236</f>
        <v>0</v>
      </c>
      <c r="F412" s="18">
        <f>'내역서(표준단가)'!M236</f>
        <v>0</v>
      </c>
    </row>
    <row r="413" spans="1:6">
      <c r="A413" s="17">
        <f>'내역서(표준단가)'!E237</f>
        <v>0</v>
      </c>
      <c r="B413" s="18">
        <f>'내역서(표준단가)'!F237</f>
        <v>0</v>
      </c>
      <c r="C413" s="18">
        <f>'내역서(표준단가)'!G237</f>
        <v>0</v>
      </c>
      <c r="D413" s="18">
        <f>'내역서(표준단가)'!H237</f>
        <v>0</v>
      </c>
      <c r="E413" s="18">
        <f>'내역서(표준단가)'!I237</f>
        <v>0</v>
      </c>
      <c r="F413" s="18">
        <f>'내역서(표준단가)'!M237</f>
        <v>0</v>
      </c>
    </row>
    <row r="414" spans="1:6">
      <c r="A414" s="17">
        <f>'내역서(표준단가)'!E238</f>
        <v>0</v>
      </c>
      <c r="B414" s="18">
        <f>'내역서(표준단가)'!F238</f>
        <v>0</v>
      </c>
      <c r="C414" s="18">
        <f>'내역서(표준단가)'!G238</f>
        <v>0</v>
      </c>
      <c r="D414" s="18">
        <f>'내역서(표준단가)'!H238</f>
        <v>0</v>
      </c>
      <c r="E414" s="18">
        <f>'내역서(표준단가)'!I238</f>
        <v>0</v>
      </c>
      <c r="F414" s="18">
        <f>'내역서(표준단가)'!M238</f>
        <v>0</v>
      </c>
    </row>
    <row r="415" spans="1:6">
      <c r="A415" s="17">
        <f>'내역서(표준단가)'!E239</f>
        <v>0</v>
      </c>
      <c r="B415" s="18">
        <f>'내역서(표준단가)'!F239</f>
        <v>0</v>
      </c>
      <c r="C415" s="18">
        <f>'내역서(표준단가)'!G239</f>
        <v>0</v>
      </c>
      <c r="D415" s="18">
        <f>'내역서(표준단가)'!H239</f>
        <v>0</v>
      </c>
      <c r="E415" s="18">
        <f>'내역서(표준단가)'!I239</f>
        <v>0</v>
      </c>
      <c r="F415" s="18">
        <f>'내역서(표준단가)'!M239</f>
        <v>0</v>
      </c>
    </row>
    <row r="416" spans="1:6">
      <c r="A416" s="17">
        <f>'내역서(표준단가)'!E240</f>
        <v>0</v>
      </c>
      <c r="B416" s="18">
        <f>'내역서(표준단가)'!F240</f>
        <v>0</v>
      </c>
      <c r="C416" s="18">
        <f>'내역서(표준단가)'!G240</f>
        <v>0</v>
      </c>
      <c r="D416" s="18">
        <f>'내역서(표준단가)'!H240</f>
        <v>0</v>
      </c>
      <c r="E416" s="18">
        <f>'내역서(표준단가)'!I240</f>
        <v>0</v>
      </c>
      <c r="F416" s="18">
        <f>'내역서(표준단가)'!M240</f>
        <v>0</v>
      </c>
    </row>
    <row r="417" spans="1:6">
      <c r="A417" s="17">
        <f>'내역서(표준단가)'!E241</f>
        <v>0</v>
      </c>
      <c r="B417" s="18">
        <f>'내역서(표준단가)'!F241</f>
        <v>0</v>
      </c>
      <c r="C417" s="18">
        <f>'내역서(표준단가)'!G241</f>
        <v>0</v>
      </c>
      <c r="D417" s="18">
        <f>'내역서(표준단가)'!H241</f>
        <v>0</v>
      </c>
      <c r="E417" s="18">
        <f>'내역서(표준단가)'!I241</f>
        <v>0</v>
      </c>
      <c r="F417" s="18">
        <f>'내역서(표준단가)'!M241</f>
        <v>0</v>
      </c>
    </row>
    <row r="418" spans="1:6">
      <c r="A418" s="17">
        <f>'내역서(표준단가)'!E242</f>
        <v>0</v>
      </c>
      <c r="B418" s="18">
        <f>'내역서(표준단가)'!F242</f>
        <v>0</v>
      </c>
      <c r="C418" s="18">
        <f>'내역서(표준단가)'!G242</f>
        <v>0</v>
      </c>
      <c r="D418" s="18">
        <f>'내역서(표준단가)'!H242</f>
        <v>0</v>
      </c>
      <c r="E418" s="18">
        <f>'내역서(표준단가)'!I242</f>
        <v>0</v>
      </c>
      <c r="F418" s="18">
        <f>'내역서(표준단가)'!M242</f>
        <v>0</v>
      </c>
    </row>
    <row r="419" spans="1:6">
      <c r="A419" s="17">
        <f>'내역서(표준단가)'!E243</f>
        <v>0</v>
      </c>
      <c r="B419" s="18">
        <f>'내역서(표준단가)'!F243</f>
        <v>0</v>
      </c>
      <c r="C419" s="18">
        <f>'내역서(표준단가)'!G243</f>
        <v>0</v>
      </c>
      <c r="D419" s="18">
        <f>'내역서(표준단가)'!H243</f>
        <v>0</v>
      </c>
      <c r="E419" s="18">
        <f>'내역서(표준단가)'!I243</f>
        <v>0</v>
      </c>
      <c r="F419" s="18">
        <f>'내역서(표준단가)'!M243</f>
        <v>0</v>
      </c>
    </row>
    <row r="420" spans="1:6">
      <c r="A420" s="17">
        <f>'내역서(표준단가)'!E244</f>
        <v>0</v>
      </c>
      <c r="B420" s="18">
        <f>'내역서(표준단가)'!F244</f>
        <v>0</v>
      </c>
      <c r="C420" s="18">
        <f>'내역서(표준단가)'!G244</f>
        <v>0</v>
      </c>
      <c r="D420" s="18">
        <f>'내역서(표준단가)'!H244</f>
        <v>0</v>
      </c>
      <c r="E420" s="18">
        <f>'내역서(표준단가)'!I244</f>
        <v>0</v>
      </c>
      <c r="F420" s="18">
        <f>'내역서(표준단가)'!M244</f>
        <v>0</v>
      </c>
    </row>
    <row r="421" spans="1:6">
      <c r="A421" s="17">
        <f>'내역서(표준단가)'!E245</f>
        <v>0</v>
      </c>
      <c r="B421" s="18">
        <f>'내역서(표준단가)'!F245</f>
        <v>0</v>
      </c>
      <c r="C421" s="18">
        <f>'내역서(표준단가)'!G245</f>
        <v>0</v>
      </c>
      <c r="D421" s="18">
        <f>'내역서(표준단가)'!H245</f>
        <v>0</v>
      </c>
      <c r="E421" s="18">
        <f>'내역서(표준단가)'!I245</f>
        <v>0</v>
      </c>
      <c r="F421" s="18">
        <f>'내역서(표준단가)'!M245</f>
        <v>0</v>
      </c>
    </row>
    <row r="422" spans="1:6">
      <c r="A422" s="17">
        <f>'내역서(표준단가)'!E246</f>
        <v>0</v>
      </c>
      <c r="B422" s="18">
        <f>'내역서(표준단가)'!F246</f>
        <v>0</v>
      </c>
      <c r="C422" s="18">
        <f>'내역서(표준단가)'!G246</f>
        <v>0</v>
      </c>
      <c r="D422" s="18">
        <f>'내역서(표준단가)'!H246</f>
        <v>0</v>
      </c>
      <c r="E422" s="18">
        <f>'내역서(표준단가)'!I246</f>
        <v>0</v>
      </c>
      <c r="F422" s="18">
        <f>'내역서(표준단가)'!M246</f>
        <v>0</v>
      </c>
    </row>
    <row r="423" spans="1:6">
      <c r="A423" s="17">
        <f>'내역서(표준단가)'!E247</f>
        <v>0</v>
      </c>
      <c r="B423" s="18">
        <f>'내역서(표준단가)'!F247</f>
        <v>0</v>
      </c>
      <c r="C423" s="18">
        <f>'내역서(표준단가)'!G247</f>
        <v>0</v>
      </c>
      <c r="D423" s="18">
        <f>'내역서(표준단가)'!H247</f>
        <v>0</v>
      </c>
      <c r="E423" s="18">
        <f>'내역서(표준단가)'!I247</f>
        <v>0</v>
      </c>
      <c r="F423" s="18">
        <f>'내역서(표준단가)'!M247</f>
        <v>0</v>
      </c>
    </row>
    <row r="424" spans="1:6">
      <c r="A424" s="17">
        <f>'내역서(표준단가)'!E248</f>
        <v>0</v>
      </c>
      <c r="B424" s="18">
        <f>'내역서(표준단가)'!F248</f>
        <v>0</v>
      </c>
      <c r="C424" s="18">
        <f>'내역서(표준단가)'!G248</f>
        <v>0</v>
      </c>
      <c r="D424" s="18">
        <f>'내역서(표준단가)'!H248</f>
        <v>0</v>
      </c>
      <c r="E424" s="18">
        <f>'내역서(표준단가)'!I248</f>
        <v>0</v>
      </c>
      <c r="F424" s="18">
        <f>'내역서(표준단가)'!M248</f>
        <v>0</v>
      </c>
    </row>
    <row r="425" spans="1:6">
      <c r="A425" s="17">
        <f>'내역서(표준단가)'!E249</f>
        <v>0</v>
      </c>
      <c r="B425" s="18">
        <f>'내역서(표준단가)'!F249</f>
        <v>0</v>
      </c>
      <c r="C425" s="18">
        <f>'내역서(표준단가)'!G249</f>
        <v>0</v>
      </c>
      <c r="D425" s="18">
        <f>'내역서(표준단가)'!H249</f>
        <v>0</v>
      </c>
      <c r="E425" s="18">
        <f>'내역서(표준단가)'!I249</f>
        <v>0</v>
      </c>
      <c r="F425" s="18">
        <f>'내역서(표준단가)'!M249</f>
        <v>0</v>
      </c>
    </row>
    <row r="426" spans="1:6">
      <c r="A426" s="17">
        <f>'내역서(표준단가)'!E250</f>
        <v>0</v>
      </c>
      <c r="B426" s="18">
        <f>'내역서(표준단가)'!F250</f>
        <v>0</v>
      </c>
      <c r="C426" s="18">
        <f>'내역서(표준단가)'!G250</f>
        <v>0</v>
      </c>
      <c r="D426" s="18">
        <f>'내역서(표준단가)'!H250</f>
        <v>0</v>
      </c>
      <c r="E426" s="18">
        <f>'내역서(표준단가)'!I250</f>
        <v>0</v>
      </c>
      <c r="F426" s="18">
        <f>'내역서(표준단가)'!M250</f>
        <v>0</v>
      </c>
    </row>
    <row r="427" spans="1:6">
      <c r="A427" s="17">
        <f>'내역서(표준단가)'!E251</f>
        <v>0</v>
      </c>
      <c r="B427" s="18">
        <f>'내역서(표준단가)'!F251</f>
        <v>0</v>
      </c>
      <c r="C427" s="18">
        <f>'내역서(표준단가)'!G251</f>
        <v>0</v>
      </c>
      <c r="D427" s="18">
        <f>'내역서(표준단가)'!H251</f>
        <v>0</v>
      </c>
      <c r="E427" s="18">
        <f>'내역서(표준단가)'!I251</f>
        <v>0</v>
      </c>
      <c r="F427" s="18">
        <f>'내역서(표준단가)'!M251</f>
        <v>0</v>
      </c>
    </row>
    <row r="428" spans="1:6">
      <c r="A428" s="17">
        <f>'내역서(표준단가)'!E252</f>
        <v>0</v>
      </c>
      <c r="B428" s="18">
        <f>'내역서(표준단가)'!F252</f>
        <v>0</v>
      </c>
      <c r="C428" s="18">
        <f>'내역서(표준단가)'!G252</f>
        <v>0</v>
      </c>
      <c r="D428" s="18">
        <f>'내역서(표준단가)'!H252</f>
        <v>0</v>
      </c>
      <c r="E428" s="18">
        <f>'내역서(표준단가)'!I252</f>
        <v>0</v>
      </c>
      <c r="F428" s="18">
        <f>'내역서(표준단가)'!M252</f>
        <v>0</v>
      </c>
    </row>
    <row r="429" spans="1:6">
      <c r="A429" s="17">
        <f>'내역서(표준단가)'!E253</f>
        <v>0</v>
      </c>
      <c r="B429" s="18">
        <f>'내역서(표준단가)'!F253</f>
        <v>0</v>
      </c>
      <c r="C429" s="18">
        <f>'내역서(표준단가)'!G253</f>
        <v>0</v>
      </c>
      <c r="D429" s="18">
        <f>'내역서(표준단가)'!H253</f>
        <v>0</v>
      </c>
      <c r="E429" s="18">
        <f>'내역서(표준단가)'!I253</f>
        <v>0</v>
      </c>
      <c r="F429" s="18">
        <f>'내역서(표준단가)'!M253</f>
        <v>0</v>
      </c>
    </row>
    <row r="430" spans="1:6">
      <c r="A430" s="17">
        <f>'내역서(표준단가)'!E254</f>
        <v>0</v>
      </c>
      <c r="B430" s="18">
        <f>'내역서(표준단가)'!F254</f>
        <v>0</v>
      </c>
      <c r="C430" s="18">
        <f>'내역서(표준단가)'!G254</f>
        <v>0</v>
      </c>
      <c r="D430" s="18">
        <f>'내역서(표준단가)'!H254</f>
        <v>0</v>
      </c>
      <c r="E430" s="18">
        <f>'내역서(표준단가)'!I254</f>
        <v>0</v>
      </c>
      <c r="F430" s="18">
        <f>'내역서(표준단가)'!M254</f>
        <v>0</v>
      </c>
    </row>
    <row r="431" spans="1:6">
      <c r="A431" s="17">
        <f>'내역서(표준단가)'!E255</f>
        <v>0</v>
      </c>
      <c r="B431" s="18">
        <f>'내역서(표준단가)'!F255</f>
        <v>0</v>
      </c>
      <c r="C431" s="18">
        <f>'내역서(표준단가)'!G255</f>
        <v>0</v>
      </c>
      <c r="D431" s="18">
        <f>'내역서(표준단가)'!H255</f>
        <v>0</v>
      </c>
      <c r="E431" s="18">
        <f>'내역서(표준단가)'!I255</f>
        <v>0</v>
      </c>
      <c r="F431" s="18">
        <f>'내역서(표준단가)'!M255</f>
        <v>0</v>
      </c>
    </row>
    <row r="432" spans="1:6">
      <c r="A432" s="17">
        <f>'내역서(표준단가)'!E256</f>
        <v>0</v>
      </c>
      <c r="B432" s="18">
        <f>'내역서(표준단가)'!F256</f>
        <v>0</v>
      </c>
      <c r="C432" s="18">
        <f>'내역서(표준단가)'!G256</f>
        <v>0</v>
      </c>
      <c r="D432" s="18">
        <f>'내역서(표준단가)'!H256</f>
        <v>0</v>
      </c>
      <c r="E432" s="18">
        <f>'내역서(표준단가)'!I256</f>
        <v>0</v>
      </c>
      <c r="F432" s="18">
        <f>'내역서(표준단가)'!M256</f>
        <v>0</v>
      </c>
    </row>
    <row r="433" spans="1:6">
      <c r="A433" s="17">
        <f>'내역서(표준단가)'!E257</f>
        <v>0</v>
      </c>
      <c r="B433" s="18">
        <f>'내역서(표준단가)'!F257</f>
        <v>0</v>
      </c>
      <c r="C433" s="18">
        <f>'내역서(표준단가)'!G257</f>
        <v>0</v>
      </c>
      <c r="D433" s="18">
        <f>'내역서(표준단가)'!H257</f>
        <v>0</v>
      </c>
      <c r="E433" s="18">
        <f>'내역서(표준단가)'!I257</f>
        <v>0</v>
      </c>
      <c r="F433" s="18">
        <f>'내역서(표준단가)'!M257</f>
        <v>0</v>
      </c>
    </row>
    <row r="434" spans="1:6">
      <c r="A434" s="17">
        <f>'내역서(표준단가)'!E258</f>
        <v>0</v>
      </c>
      <c r="B434" s="18">
        <f>'내역서(표준단가)'!F258</f>
        <v>0</v>
      </c>
      <c r="C434" s="18">
        <f>'내역서(표준단가)'!G258</f>
        <v>0</v>
      </c>
      <c r="D434" s="18">
        <f>'내역서(표준단가)'!H258</f>
        <v>0</v>
      </c>
      <c r="E434" s="18">
        <f>'내역서(표준단가)'!I258</f>
        <v>0</v>
      </c>
      <c r="F434" s="18">
        <f>'내역서(표준단가)'!M258</f>
        <v>0</v>
      </c>
    </row>
    <row r="435" spans="1:6">
      <c r="A435" s="17">
        <f>'내역서(표준단가)'!E259</f>
        <v>0</v>
      </c>
      <c r="B435" s="18">
        <f>'내역서(표준단가)'!F259</f>
        <v>0</v>
      </c>
      <c r="C435" s="18">
        <f>'내역서(표준단가)'!G259</f>
        <v>0</v>
      </c>
      <c r="D435" s="18">
        <f>'내역서(표준단가)'!H259</f>
        <v>0</v>
      </c>
      <c r="E435" s="18">
        <f>'내역서(표준단가)'!I259</f>
        <v>0</v>
      </c>
      <c r="F435" s="18">
        <f>'내역서(표준단가)'!M259</f>
        <v>0</v>
      </c>
    </row>
    <row r="436" spans="1:6">
      <c r="A436" s="17">
        <f>'내역서(표준단가)'!E260</f>
        <v>0</v>
      </c>
      <c r="B436" s="18">
        <f>'내역서(표준단가)'!F260</f>
        <v>0</v>
      </c>
      <c r="C436" s="18">
        <f>'내역서(표준단가)'!G260</f>
        <v>0</v>
      </c>
      <c r="D436" s="18">
        <f>'내역서(표준단가)'!H260</f>
        <v>0</v>
      </c>
      <c r="E436" s="18">
        <f>'내역서(표준단가)'!I260</f>
        <v>0</v>
      </c>
      <c r="F436" s="18">
        <f>'내역서(표준단가)'!M260</f>
        <v>0</v>
      </c>
    </row>
    <row r="437" spans="1:6">
      <c r="A437" s="17">
        <f>'내역서(표준단가)'!E261</f>
        <v>0</v>
      </c>
      <c r="B437" s="18">
        <f>'내역서(표준단가)'!F261</f>
        <v>0</v>
      </c>
      <c r="C437" s="18">
        <f>'내역서(표준단가)'!G261</f>
        <v>0</v>
      </c>
      <c r="D437" s="18">
        <f>'내역서(표준단가)'!H261</f>
        <v>0</v>
      </c>
      <c r="E437" s="18">
        <f>'내역서(표준단가)'!I261</f>
        <v>0</v>
      </c>
      <c r="F437" s="18">
        <f>'내역서(표준단가)'!M261</f>
        <v>0</v>
      </c>
    </row>
    <row r="438" spans="1:6">
      <c r="A438" s="17">
        <f>'내역서(표준단가)'!E262</f>
        <v>0</v>
      </c>
      <c r="B438" s="18">
        <f>'내역서(표준단가)'!F262</f>
        <v>0</v>
      </c>
      <c r="C438" s="18">
        <f>'내역서(표준단가)'!G262</f>
        <v>0</v>
      </c>
      <c r="D438" s="18">
        <f>'내역서(표준단가)'!H262</f>
        <v>0</v>
      </c>
      <c r="E438" s="18">
        <f>'내역서(표준단가)'!I262</f>
        <v>0</v>
      </c>
      <c r="F438" s="18">
        <f>'내역서(표준단가)'!M262</f>
        <v>0</v>
      </c>
    </row>
    <row r="439" spans="1:6">
      <c r="A439" s="17">
        <f>'내역서(표준단가)'!E263</f>
        <v>0</v>
      </c>
      <c r="B439" s="18">
        <f>'내역서(표준단가)'!F263</f>
        <v>0</v>
      </c>
      <c r="C439" s="18">
        <f>'내역서(표준단가)'!G263</f>
        <v>0</v>
      </c>
      <c r="D439" s="18">
        <f>'내역서(표준단가)'!H263</f>
        <v>0</v>
      </c>
      <c r="E439" s="18">
        <f>'내역서(표준단가)'!I263</f>
        <v>0</v>
      </c>
      <c r="F439" s="18">
        <f>'내역서(표준단가)'!M263</f>
        <v>0</v>
      </c>
    </row>
    <row r="440" spans="1:6">
      <c r="A440" s="17">
        <f>'내역서(표준단가)'!E264</f>
        <v>0</v>
      </c>
      <c r="B440" s="18">
        <f>'내역서(표준단가)'!F264</f>
        <v>0</v>
      </c>
      <c r="C440" s="18">
        <f>'내역서(표준단가)'!G264</f>
        <v>0</v>
      </c>
      <c r="D440" s="18">
        <f>'내역서(표준단가)'!H264</f>
        <v>0</v>
      </c>
      <c r="E440" s="18">
        <f>'내역서(표준단가)'!I264</f>
        <v>0</v>
      </c>
      <c r="F440" s="18">
        <f>'내역서(표준단가)'!M264</f>
        <v>0</v>
      </c>
    </row>
    <row r="441" spans="1:6">
      <c r="A441" s="17">
        <f>'내역서(표준단가)'!E265</f>
        <v>0</v>
      </c>
      <c r="B441" s="18">
        <f>'내역서(표준단가)'!F265</f>
        <v>0</v>
      </c>
      <c r="C441" s="18">
        <f>'내역서(표준단가)'!G265</f>
        <v>0</v>
      </c>
      <c r="D441" s="18">
        <f>'내역서(표준단가)'!H265</f>
        <v>0</v>
      </c>
      <c r="E441" s="18">
        <f>'내역서(표준단가)'!I265</f>
        <v>0</v>
      </c>
      <c r="F441" s="18">
        <f>'내역서(표준단가)'!M265</f>
        <v>0</v>
      </c>
    </row>
    <row r="442" spans="1:6">
      <c r="A442" s="17">
        <f>'내역서(표준단가)'!E266</f>
        <v>0</v>
      </c>
      <c r="B442" s="18">
        <f>'내역서(표준단가)'!F266</f>
        <v>0</v>
      </c>
      <c r="C442" s="18">
        <f>'내역서(표준단가)'!G266</f>
        <v>0</v>
      </c>
      <c r="D442" s="18">
        <f>'내역서(표준단가)'!H266</f>
        <v>0</v>
      </c>
      <c r="E442" s="18">
        <f>'내역서(표준단가)'!I266</f>
        <v>0</v>
      </c>
      <c r="F442" s="18">
        <f>'내역서(표준단가)'!M266</f>
        <v>0</v>
      </c>
    </row>
    <row r="443" spans="1:6">
      <c r="A443" s="17">
        <f>'내역서(표준단가)'!E267</f>
        <v>0</v>
      </c>
      <c r="B443" s="18">
        <f>'내역서(표준단가)'!F267</f>
        <v>0</v>
      </c>
      <c r="C443" s="18">
        <f>'내역서(표준단가)'!G267</f>
        <v>0</v>
      </c>
      <c r="D443" s="18">
        <f>'내역서(표준단가)'!H267</f>
        <v>0</v>
      </c>
      <c r="E443" s="18">
        <f>'내역서(표준단가)'!I267</f>
        <v>0</v>
      </c>
      <c r="F443" s="18">
        <f>'내역서(표준단가)'!M267</f>
        <v>0</v>
      </c>
    </row>
    <row r="444" spans="1:6">
      <c r="A444" s="17">
        <f>'내역서(표준단가)'!E268</f>
        <v>0</v>
      </c>
      <c r="B444" s="18">
        <f>'내역서(표준단가)'!F268</f>
        <v>0</v>
      </c>
      <c r="C444" s="18">
        <f>'내역서(표준단가)'!G268</f>
        <v>0</v>
      </c>
      <c r="D444" s="18">
        <f>'내역서(표준단가)'!H268</f>
        <v>0</v>
      </c>
      <c r="E444" s="18">
        <f>'내역서(표준단가)'!I268</f>
        <v>0</v>
      </c>
      <c r="F444" s="18">
        <f>'내역서(표준단가)'!M268</f>
        <v>0</v>
      </c>
    </row>
    <row r="445" spans="1:6">
      <c r="A445" s="17">
        <f>'내역서(표준단가)'!E269</f>
        <v>0</v>
      </c>
      <c r="B445" s="18">
        <f>'내역서(표준단가)'!F269</f>
        <v>0</v>
      </c>
      <c r="C445" s="18">
        <f>'내역서(표준단가)'!G269</f>
        <v>0</v>
      </c>
      <c r="D445" s="18">
        <f>'내역서(표준단가)'!H269</f>
        <v>0</v>
      </c>
      <c r="E445" s="18">
        <f>'내역서(표준단가)'!I269</f>
        <v>0</v>
      </c>
      <c r="F445" s="18">
        <f>'내역서(표준단가)'!M269</f>
        <v>0</v>
      </c>
    </row>
    <row r="446" spans="1:6">
      <c r="A446" s="17">
        <f>'내역서(표준단가)'!E270</f>
        <v>0</v>
      </c>
      <c r="B446" s="18">
        <f>'내역서(표준단가)'!F270</f>
        <v>0</v>
      </c>
      <c r="C446" s="18">
        <f>'내역서(표준단가)'!G270</f>
        <v>0</v>
      </c>
      <c r="D446" s="18">
        <f>'내역서(표준단가)'!H270</f>
        <v>0</v>
      </c>
      <c r="E446" s="18">
        <f>'내역서(표준단가)'!I270</f>
        <v>0</v>
      </c>
      <c r="F446" s="18">
        <f>'내역서(표준단가)'!M270</f>
        <v>0</v>
      </c>
    </row>
    <row r="447" spans="1:6">
      <c r="A447" s="17">
        <f>'내역서(표준단가)'!E271</f>
        <v>0</v>
      </c>
      <c r="B447" s="18">
        <f>'내역서(표준단가)'!F271</f>
        <v>0</v>
      </c>
      <c r="C447" s="18">
        <f>'내역서(표준단가)'!G271</f>
        <v>0</v>
      </c>
      <c r="D447" s="18">
        <f>'내역서(표준단가)'!H271</f>
        <v>0</v>
      </c>
      <c r="E447" s="18">
        <f>'내역서(표준단가)'!I271</f>
        <v>0</v>
      </c>
      <c r="F447" s="18">
        <f>'내역서(표준단가)'!M271</f>
        <v>0</v>
      </c>
    </row>
    <row r="448" spans="1:6">
      <c r="A448" s="17">
        <f>'내역서(표준단가)'!E272</f>
        <v>0</v>
      </c>
      <c r="B448" s="18">
        <f>'내역서(표준단가)'!F272</f>
        <v>0</v>
      </c>
      <c r="C448" s="18">
        <f>'내역서(표준단가)'!G272</f>
        <v>0</v>
      </c>
      <c r="D448" s="18">
        <f>'내역서(표준단가)'!H272</f>
        <v>0</v>
      </c>
      <c r="E448" s="18">
        <f>'내역서(표준단가)'!I272</f>
        <v>0</v>
      </c>
      <c r="F448" s="18">
        <f>'내역서(표준단가)'!M272</f>
        <v>0</v>
      </c>
    </row>
    <row r="449" spans="1:6">
      <c r="A449" s="17">
        <f>'내역서(표준단가)'!E273</f>
        <v>0</v>
      </c>
      <c r="B449" s="18">
        <f>'내역서(표준단가)'!F273</f>
        <v>0</v>
      </c>
      <c r="C449" s="18">
        <f>'내역서(표준단가)'!G273</f>
        <v>0</v>
      </c>
      <c r="D449" s="18">
        <f>'내역서(표준단가)'!H273</f>
        <v>0</v>
      </c>
      <c r="E449" s="18">
        <f>'내역서(표준단가)'!I273</f>
        <v>0</v>
      </c>
      <c r="F449" s="18">
        <f>'내역서(표준단가)'!M273</f>
        <v>0</v>
      </c>
    </row>
    <row r="450" spans="1:6">
      <c r="A450" s="17">
        <f>'내역서(표준단가)'!E274</f>
        <v>0</v>
      </c>
      <c r="B450" s="18">
        <f>'내역서(표준단가)'!F274</f>
        <v>0</v>
      </c>
      <c r="C450" s="18">
        <f>'내역서(표준단가)'!G274</f>
        <v>0</v>
      </c>
      <c r="D450" s="18">
        <f>'내역서(표준단가)'!H274</f>
        <v>0</v>
      </c>
      <c r="E450" s="18">
        <f>'내역서(표준단가)'!I274</f>
        <v>0</v>
      </c>
      <c r="F450" s="18">
        <f>'내역서(표준단가)'!M274</f>
        <v>0</v>
      </c>
    </row>
    <row r="451" spans="1:6">
      <c r="A451" s="17">
        <f>'내역서(표준단가)'!E275</f>
        <v>0</v>
      </c>
      <c r="B451" s="18">
        <f>'내역서(표준단가)'!F275</f>
        <v>0</v>
      </c>
      <c r="C451" s="18">
        <f>'내역서(표준단가)'!G275</f>
        <v>0</v>
      </c>
      <c r="D451" s="18">
        <f>'내역서(표준단가)'!H275</f>
        <v>0</v>
      </c>
      <c r="E451" s="18">
        <f>'내역서(표준단가)'!I275</f>
        <v>0</v>
      </c>
      <c r="F451" s="18">
        <f>'내역서(표준단가)'!M275</f>
        <v>0</v>
      </c>
    </row>
    <row r="452" spans="1:6">
      <c r="A452" s="17">
        <f>'내역서(표준단가)'!E276</f>
        <v>0</v>
      </c>
      <c r="B452" s="18">
        <f>'내역서(표준단가)'!F276</f>
        <v>0</v>
      </c>
      <c r="C452" s="18">
        <f>'내역서(표준단가)'!G276</f>
        <v>0</v>
      </c>
      <c r="D452" s="18">
        <f>'내역서(표준단가)'!H276</f>
        <v>0</v>
      </c>
      <c r="E452" s="18">
        <f>'내역서(표준단가)'!I276</f>
        <v>0</v>
      </c>
      <c r="F452" s="18">
        <f>'내역서(표준단가)'!M276</f>
        <v>0</v>
      </c>
    </row>
    <row r="453" spans="1:6">
      <c r="A453" s="17">
        <f>'내역서(표준단가)'!E277</f>
        <v>0</v>
      </c>
      <c r="B453" s="18">
        <f>'내역서(표준단가)'!F277</f>
        <v>0</v>
      </c>
      <c r="C453" s="18">
        <f>'내역서(표준단가)'!G277</f>
        <v>0</v>
      </c>
      <c r="D453" s="18">
        <f>'내역서(표준단가)'!H277</f>
        <v>0</v>
      </c>
      <c r="E453" s="18">
        <f>'내역서(표준단가)'!I277</f>
        <v>0</v>
      </c>
      <c r="F453" s="18">
        <f>'내역서(표준단가)'!M277</f>
        <v>0</v>
      </c>
    </row>
    <row r="454" spans="1:6">
      <c r="A454" s="17">
        <f>'내역서(표준단가)'!E278</f>
        <v>0</v>
      </c>
      <c r="B454" s="18">
        <f>'내역서(표준단가)'!F278</f>
        <v>0</v>
      </c>
      <c r="C454" s="18">
        <f>'내역서(표준단가)'!G278</f>
        <v>0</v>
      </c>
      <c r="D454" s="18">
        <f>'내역서(표준단가)'!H278</f>
        <v>0</v>
      </c>
      <c r="E454" s="18">
        <f>'내역서(표준단가)'!I278</f>
        <v>0</v>
      </c>
      <c r="F454" s="18">
        <f>'내역서(표준단가)'!M278</f>
        <v>0</v>
      </c>
    </row>
    <row r="455" spans="1:6">
      <c r="A455" s="17">
        <f>'내역서(표준단가)'!E279</f>
        <v>0</v>
      </c>
      <c r="B455" s="18">
        <f>'내역서(표준단가)'!F279</f>
        <v>0</v>
      </c>
      <c r="C455" s="18">
        <f>'내역서(표준단가)'!G279</f>
        <v>0</v>
      </c>
      <c r="D455" s="18">
        <f>'내역서(표준단가)'!H279</f>
        <v>0</v>
      </c>
      <c r="E455" s="18">
        <f>'내역서(표준단가)'!I279</f>
        <v>0</v>
      </c>
      <c r="F455" s="18">
        <f>'내역서(표준단가)'!M279</f>
        <v>0</v>
      </c>
    </row>
    <row r="456" spans="1:6">
      <c r="A456" s="17">
        <f>'내역서(표준단가)'!E280</f>
        <v>0</v>
      </c>
      <c r="B456" s="18">
        <f>'내역서(표준단가)'!F280</f>
        <v>0</v>
      </c>
      <c r="C456" s="18">
        <f>'내역서(표준단가)'!G280</f>
        <v>0</v>
      </c>
      <c r="D456" s="18">
        <f>'내역서(표준단가)'!H280</f>
        <v>0</v>
      </c>
      <c r="E456" s="18">
        <f>'내역서(표준단가)'!I280</f>
        <v>0</v>
      </c>
      <c r="F456" s="18">
        <f>'내역서(표준단가)'!M280</f>
        <v>0</v>
      </c>
    </row>
    <row r="457" spans="1:6">
      <c r="A457" s="17">
        <f>'내역서(표준단가)'!E281</f>
        <v>0</v>
      </c>
      <c r="B457" s="18">
        <f>'내역서(표준단가)'!F281</f>
        <v>0</v>
      </c>
      <c r="C457" s="18">
        <f>'내역서(표준단가)'!G281</f>
        <v>0</v>
      </c>
      <c r="D457" s="18">
        <f>'내역서(표준단가)'!H281</f>
        <v>0</v>
      </c>
      <c r="E457" s="18">
        <f>'내역서(표준단가)'!I281</f>
        <v>0</v>
      </c>
      <c r="F457" s="18">
        <f>'내역서(표준단가)'!M281</f>
        <v>0</v>
      </c>
    </row>
    <row r="458" spans="1:6">
      <c r="A458" s="17">
        <f>'내역서(표준단가)'!E282</f>
        <v>0</v>
      </c>
      <c r="B458" s="18">
        <f>'내역서(표준단가)'!F282</f>
        <v>0</v>
      </c>
      <c r="C458" s="18">
        <f>'내역서(표준단가)'!G282</f>
        <v>0</v>
      </c>
      <c r="D458" s="18">
        <f>'내역서(표준단가)'!H282</f>
        <v>0</v>
      </c>
      <c r="E458" s="18">
        <f>'내역서(표준단가)'!I282</f>
        <v>0</v>
      </c>
      <c r="F458" s="18">
        <f>'내역서(표준단가)'!M282</f>
        <v>0</v>
      </c>
    </row>
    <row r="459" spans="1:6">
      <c r="A459" s="17">
        <f>'내역서(표준단가)'!E283</f>
        <v>0</v>
      </c>
      <c r="B459" s="18">
        <f>'내역서(표준단가)'!F283</f>
        <v>0</v>
      </c>
      <c r="C459" s="18">
        <f>'내역서(표준단가)'!G283</f>
        <v>0</v>
      </c>
      <c r="D459" s="18">
        <f>'내역서(표준단가)'!H283</f>
        <v>0</v>
      </c>
      <c r="E459" s="18">
        <f>'내역서(표준단가)'!I283</f>
        <v>0</v>
      </c>
      <c r="F459" s="18">
        <f>'내역서(표준단가)'!M283</f>
        <v>0</v>
      </c>
    </row>
    <row r="460" spans="1:6">
      <c r="A460" s="17">
        <f>'내역서(표준단가)'!E284</f>
        <v>0</v>
      </c>
      <c r="B460" s="18">
        <f>'내역서(표준단가)'!F284</f>
        <v>0</v>
      </c>
      <c r="C460" s="18">
        <f>'내역서(표준단가)'!G284</f>
        <v>0</v>
      </c>
      <c r="D460" s="18">
        <f>'내역서(표준단가)'!H284</f>
        <v>0</v>
      </c>
      <c r="E460" s="18">
        <f>'내역서(표준단가)'!I284</f>
        <v>0</v>
      </c>
      <c r="F460" s="18">
        <f>'내역서(표준단가)'!M284</f>
        <v>0</v>
      </c>
    </row>
    <row r="461" spans="1:6">
      <c r="A461" s="17">
        <f>'내역서(표준단가)'!E285</f>
        <v>0</v>
      </c>
      <c r="B461" s="18">
        <f>'내역서(표준단가)'!F285</f>
        <v>0</v>
      </c>
      <c r="C461" s="18">
        <f>'내역서(표준단가)'!G285</f>
        <v>0</v>
      </c>
      <c r="D461" s="18">
        <f>'내역서(표준단가)'!H285</f>
        <v>0</v>
      </c>
      <c r="E461" s="18">
        <f>'내역서(표준단가)'!I285</f>
        <v>0</v>
      </c>
      <c r="F461" s="18">
        <f>'내역서(표준단가)'!M285</f>
        <v>0</v>
      </c>
    </row>
    <row r="462" spans="1:6">
      <c r="A462" s="17">
        <f>'내역서(표준단가)'!E286</f>
        <v>0</v>
      </c>
      <c r="B462" s="18">
        <f>'내역서(표준단가)'!F286</f>
        <v>0</v>
      </c>
      <c r="C462" s="18">
        <f>'내역서(표준단가)'!G286</f>
        <v>0</v>
      </c>
      <c r="D462" s="18">
        <f>'내역서(표준단가)'!H286</f>
        <v>0</v>
      </c>
      <c r="E462" s="18">
        <f>'내역서(표준단가)'!I286</f>
        <v>0</v>
      </c>
      <c r="F462" s="18">
        <f>'내역서(표준단가)'!M286</f>
        <v>0</v>
      </c>
    </row>
    <row r="463" spans="1:6">
      <c r="A463" s="17">
        <f>'내역서(표준단가)'!E287</f>
        <v>0</v>
      </c>
      <c r="B463" s="18">
        <f>'내역서(표준단가)'!F287</f>
        <v>0</v>
      </c>
      <c r="C463" s="18">
        <f>'내역서(표준단가)'!G287</f>
        <v>0</v>
      </c>
      <c r="D463" s="18">
        <f>'내역서(표준단가)'!H287</f>
        <v>0</v>
      </c>
      <c r="E463" s="18">
        <f>'내역서(표준단가)'!I287</f>
        <v>0</v>
      </c>
      <c r="F463" s="18">
        <f>'내역서(표준단가)'!M287</f>
        <v>0</v>
      </c>
    </row>
    <row r="464" spans="1:6">
      <c r="A464" s="17">
        <f>'내역서(표준단가)'!E288</f>
        <v>0</v>
      </c>
      <c r="B464" s="18">
        <f>'내역서(표준단가)'!F288</f>
        <v>0</v>
      </c>
      <c r="C464" s="18">
        <f>'내역서(표준단가)'!G288</f>
        <v>0</v>
      </c>
      <c r="D464" s="18">
        <f>'내역서(표준단가)'!H288</f>
        <v>0</v>
      </c>
      <c r="E464" s="18">
        <f>'내역서(표준단가)'!I288</f>
        <v>0</v>
      </c>
      <c r="F464" s="18">
        <f>'내역서(표준단가)'!M288</f>
        <v>0</v>
      </c>
    </row>
    <row r="465" spans="1:6">
      <c r="A465" s="17">
        <f>'내역서(표준단가)'!E289</f>
        <v>0</v>
      </c>
      <c r="B465" s="18">
        <f>'내역서(표준단가)'!F289</f>
        <v>0</v>
      </c>
      <c r="C465" s="18">
        <f>'내역서(표준단가)'!G289</f>
        <v>0</v>
      </c>
      <c r="D465" s="18">
        <f>'내역서(표준단가)'!H289</f>
        <v>0</v>
      </c>
      <c r="E465" s="18">
        <f>'내역서(표준단가)'!I289</f>
        <v>0</v>
      </c>
      <c r="F465" s="18">
        <f>'내역서(표준단가)'!M289</f>
        <v>0</v>
      </c>
    </row>
    <row r="466" spans="1:6">
      <c r="A466" s="17">
        <f>'내역서(표준단가)'!E290</f>
        <v>0</v>
      </c>
      <c r="B466" s="18">
        <f>'내역서(표준단가)'!F290</f>
        <v>0</v>
      </c>
      <c r="C466" s="18">
        <f>'내역서(표준단가)'!G290</f>
        <v>0</v>
      </c>
      <c r="D466" s="18">
        <f>'내역서(표준단가)'!H290</f>
        <v>0</v>
      </c>
      <c r="E466" s="18">
        <f>'내역서(표준단가)'!I290</f>
        <v>0</v>
      </c>
      <c r="F466" s="18">
        <f>'내역서(표준단가)'!M290</f>
        <v>0</v>
      </c>
    </row>
    <row r="467" spans="1:6">
      <c r="A467" s="17">
        <f>'내역서(표준단가)'!E291</f>
        <v>0</v>
      </c>
      <c r="B467" s="18">
        <f>'내역서(표준단가)'!F291</f>
        <v>0</v>
      </c>
      <c r="C467" s="18">
        <f>'내역서(표준단가)'!G291</f>
        <v>0</v>
      </c>
      <c r="D467" s="18">
        <f>'내역서(표준단가)'!H291</f>
        <v>0</v>
      </c>
      <c r="E467" s="18">
        <f>'내역서(표준단가)'!I291</f>
        <v>0</v>
      </c>
      <c r="F467" s="18">
        <f>'내역서(표준단가)'!M291</f>
        <v>0</v>
      </c>
    </row>
    <row r="468" spans="1:6">
      <c r="A468" s="17">
        <f>'내역서(표준단가)'!E292</f>
        <v>0</v>
      </c>
      <c r="B468" s="18">
        <f>'내역서(표준단가)'!F292</f>
        <v>0</v>
      </c>
      <c r="C468" s="18">
        <f>'내역서(표준단가)'!G292</f>
        <v>0</v>
      </c>
      <c r="D468" s="18">
        <f>'내역서(표준단가)'!H292</f>
        <v>0</v>
      </c>
      <c r="E468" s="18">
        <f>'내역서(표준단가)'!I292</f>
        <v>0</v>
      </c>
      <c r="F468" s="18">
        <f>'내역서(표준단가)'!M292</f>
        <v>0</v>
      </c>
    </row>
    <row r="469" spans="1:6">
      <c r="A469" s="17">
        <f>'내역서(표준단가)'!E293</f>
        <v>0</v>
      </c>
      <c r="B469" s="18">
        <f>'내역서(표준단가)'!F293</f>
        <v>0</v>
      </c>
      <c r="C469" s="18">
        <f>'내역서(표준단가)'!G293</f>
        <v>0</v>
      </c>
      <c r="D469" s="18">
        <f>'내역서(표준단가)'!H293</f>
        <v>0</v>
      </c>
      <c r="E469" s="18">
        <f>'내역서(표준단가)'!I293</f>
        <v>0</v>
      </c>
      <c r="F469" s="18">
        <f>'내역서(표준단가)'!M293</f>
        <v>0</v>
      </c>
    </row>
    <row r="470" spans="1:6">
      <c r="A470" s="17">
        <f>'내역서(표준단가)'!E294</f>
        <v>0</v>
      </c>
      <c r="B470" s="18">
        <f>'내역서(표준단가)'!F294</f>
        <v>0</v>
      </c>
      <c r="C470" s="18">
        <f>'내역서(표준단가)'!G294</f>
        <v>0</v>
      </c>
      <c r="D470" s="18">
        <f>'내역서(표준단가)'!H294</f>
        <v>0</v>
      </c>
      <c r="E470" s="18">
        <f>'내역서(표준단가)'!I294</f>
        <v>0</v>
      </c>
      <c r="F470" s="18">
        <f>'내역서(표준단가)'!M294</f>
        <v>0</v>
      </c>
    </row>
    <row r="471" spans="1:6">
      <c r="A471" s="17">
        <f>'내역서(표준단가)'!E295</f>
        <v>0</v>
      </c>
      <c r="B471" s="18">
        <f>'내역서(표준단가)'!F295</f>
        <v>0</v>
      </c>
      <c r="C471" s="18">
        <f>'내역서(표준단가)'!G295</f>
        <v>0</v>
      </c>
      <c r="D471" s="18">
        <f>'내역서(표준단가)'!H295</f>
        <v>0</v>
      </c>
      <c r="E471" s="18">
        <f>'내역서(표준단가)'!I295</f>
        <v>0</v>
      </c>
      <c r="F471" s="18">
        <f>'내역서(표준단가)'!M295</f>
        <v>0</v>
      </c>
    </row>
    <row r="472" spans="1:6">
      <c r="A472" s="17">
        <f>'내역서(표준단가)'!E296</f>
        <v>0</v>
      </c>
      <c r="B472" s="18">
        <f>'내역서(표준단가)'!F296</f>
        <v>0</v>
      </c>
      <c r="C472" s="18">
        <f>'내역서(표준단가)'!G296</f>
        <v>0</v>
      </c>
      <c r="D472" s="18">
        <f>'내역서(표준단가)'!H296</f>
        <v>0</v>
      </c>
      <c r="E472" s="18">
        <f>'내역서(표준단가)'!I296</f>
        <v>0</v>
      </c>
      <c r="F472" s="18">
        <f>'내역서(표준단가)'!M296</f>
        <v>0</v>
      </c>
    </row>
    <row r="473" spans="1:6">
      <c r="A473" s="17">
        <f>'내역서(표준단가)'!E297</f>
        <v>0</v>
      </c>
      <c r="B473" s="18">
        <f>'내역서(표준단가)'!F297</f>
        <v>0</v>
      </c>
      <c r="C473" s="18">
        <f>'내역서(표준단가)'!G297</f>
        <v>0</v>
      </c>
      <c r="D473" s="18">
        <f>'내역서(표준단가)'!H297</f>
        <v>0</v>
      </c>
      <c r="E473" s="18">
        <f>'내역서(표준단가)'!I297</f>
        <v>0</v>
      </c>
      <c r="F473" s="18">
        <f>'내역서(표준단가)'!M297</f>
        <v>0</v>
      </c>
    </row>
    <row r="474" spans="1:6">
      <c r="A474" s="17">
        <f>'내역서(표준단가)'!E298</f>
        <v>0</v>
      </c>
      <c r="B474" s="18">
        <f>'내역서(표준단가)'!F298</f>
        <v>0</v>
      </c>
      <c r="C474" s="18">
        <f>'내역서(표준단가)'!G298</f>
        <v>0</v>
      </c>
      <c r="D474" s="18">
        <f>'내역서(표준단가)'!H298</f>
        <v>0</v>
      </c>
      <c r="E474" s="18">
        <f>'내역서(표준단가)'!I298</f>
        <v>0</v>
      </c>
      <c r="F474" s="18">
        <f>'내역서(표준단가)'!M298</f>
        <v>0</v>
      </c>
    </row>
    <row r="475" spans="1:6">
      <c r="A475" s="17">
        <f>'내역서(표준단가)'!E299</f>
        <v>0</v>
      </c>
      <c r="B475" s="18">
        <f>'내역서(표준단가)'!F299</f>
        <v>0</v>
      </c>
      <c r="C475" s="18">
        <f>'내역서(표준단가)'!G299</f>
        <v>0</v>
      </c>
      <c r="D475" s="18">
        <f>'내역서(표준단가)'!H299</f>
        <v>0</v>
      </c>
      <c r="E475" s="18">
        <f>'내역서(표준단가)'!I299</f>
        <v>0</v>
      </c>
      <c r="F475" s="18">
        <f>'내역서(표준단가)'!M299</f>
        <v>0</v>
      </c>
    </row>
    <row r="476" spans="1:6">
      <c r="A476" s="17">
        <f>'내역서(표준단가)'!E300</f>
        <v>0</v>
      </c>
      <c r="B476" s="18">
        <f>'내역서(표준단가)'!F300</f>
        <v>0</v>
      </c>
      <c r="C476" s="18">
        <f>'내역서(표준단가)'!G300</f>
        <v>0</v>
      </c>
      <c r="D476" s="18">
        <f>'내역서(표준단가)'!H300</f>
        <v>0</v>
      </c>
      <c r="E476" s="18">
        <f>'내역서(표준단가)'!I300</f>
        <v>0</v>
      </c>
      <c r="F476" s="18">
        <f>'내역서(표준단가)'!M300</f>
        <v>0</v>
      </c>
    </row>
    <row r="477" spans="1:6">
      <c r="A477" s="17">
        <f>'내역서(표준단가)'!E301</f>
        <v>0</v>
      </c>
      <c r="B477" s="18">
        <f>'내역서(표준단가)'!F301</f>
        <v>0</v>
      </c>
      <c r="C477" s="18">
        <f>'내역서(표준단가)'!G301</f>
        <v>0</v>
      </c>
      <c r="D477" s="18">
        <f>'내역서(표준단가)'!H301</f>
        <v>0</v>
      </c>
      <c r="E477" s="18">
        <f>'내역서(표준단가)'!I301</f>
        <v>0</v>
      </c>
      <c r="F477" s="18">
        <f>'내역서(표준단가)'!M301</f>
        <v>0</v>
      </c>
    </row>
    <row r="478" spans="1:6">
      <c r="A478" s="17">
        <f>'내역서(표준단가)'!E302</f>
        <v>0</v>
      </c>
      <c r="B478" s="18">
        <f>'내역서(표준단가)'!F302</f>
        <v>0</v>
      </c>
      <c r="C478" s="18">
        <f>'내역서(표준단가)'!G302</f>
        <v>0</v>
      </c>
      <c r="D478" s="18">
        <f>'내역서(표준단가)'!H302</f>
        <v>0</v>
      </c>
      <c r="E478" s="18">
        <f>'내역서(표준단가)'!I302</f>
        <v>0</v>
      </c>
      <c r="F478" s="18">
        <f>'내역서(표준단가)'!M302</f>
        <v>0</v>
      </c>
    </row>
    <row r="479" spans="1:6">
      <c r="A479" s="17">
        <f>'내역서(표준단가)'!E303</f>
        <v>0</v>
      </c>
      <c r="B479" s="18">
        <f>'내역서(표준단가)'!F303</f>
        <v>0</v>
      </c>
      <c r="C479" s="18">
        <f>'내역서(표준단가)'!G303</f>
        <v>0</v>
      </c>
      <c r="D479" s="18">
        <f>'내역서(표준단가)'!H303</f>
        <v>0</v>
      </c>
      <c r="E479" s="18">
        <f>'내역서(표준단가)'!I303</f>
        <v>0</v>
      </c>
      <c r="F479" s="18">
        <f>'내역서(표준단가)'!M303</f>
        <v>0</v>
      </c>
    </row>
    <row r="480" spans="1:6">
      <c r="A480" s="17">
        <f>'내역서(표준단가)'!E304</f>
        <v>0</v>
      </c>
      <c r="B480" s="18">
        <f>'내역서(표준단가)'!F304</f>
        <v>0</v>
      </c>
      <c r="C480" s="18">
        <f>'내역서(표준단가)'!G304</f>
        <v>0</v>
      </c>
      <c r="D480" s="18">
        <f>'내역서(표준단가)'!H304</f>
        <v>0</v>
      </c>
      <c r="E480" s="18">
        <f>'내역서(표준단가)'!I304</f>
        <v>0</v>
      </c>
      <c r="F480" s="18">
        <f>'내역서(표준단가)'!M304</f>
        <v>0</v>
      </c>
    </row>
    <row r="481" spans="1:6">
      <c r="A481" s="17">
        <f>'내역서(표준단가)'!E305</f>
        <v>0</v>
      </c>
      <c r="B481" s="18">
        <f>'내역서(표준단가)'!F305</f>
        <v>0</v>
      </c>
      <c r="C481" s="18">
        <f>'내역서(표준단가)'!G305</f>
        <v>0</v>
      </c>
      <c r="D481" s="18">
        <f>'내역서(표준단가)'!H305</f>
        <v>0</v>
      </c>
      <c r="E481" s="18">
        <f>'내역서(표준단가)'!I305</f>
        <v>0</v>
      </c>
      <c r="F481" s="18">
        <f>'내역서(표준단가)'!M305</f>
        <v>0</v>
      </c>
    </row>
    <row r="482" spans="1:6">
      <c r="A482" s="17">
        <f>'내역서(표준단가)'!E65</f>
        <v>0</v>
      </c>
      <c r="B482" s="18">
        <f>'내역서(표준단가)'!F65</f>
        <v>0</v>
      </c>
      <c r="C482" s="18">
        <f>'내역서(표준단가)'!G65</f>
        <v>0</v>
      </c>
      <c r="D482" s="18">
        <f>'내역서(표준단가)'!H65</f>
        <v>0</v>
      </c>
      <c r="E482" s="18">
        <f>'내역서(표준단가)'!I65</f>
        <v>0</v>
      </c>
      <c r="F482" s="18">
        <f>'내역서(표준단가)'!M65</f>
        <v>0</v>
      </c>
    </row>
    <row r="483" spans="1:6">
      <c r="A483" s="17">
        <f>'내역서(표준단가)'!E66</f>
        <v>0</v>
      </c>
      <c r="B483" s="18">
        <f>'내역서(표준단가)'!F66</f>
        <v>0</v>
      </c>
      <c r="C483" s="18">
        <f>'내역서(표준단가)'!G66</f>
        <v>0</v>
      </c>
      <c r="D483" s="18">
        <f>'내역서(표준단가)'!H66</f>
        <v>0</v>
      </c>
      <c r="E483" s="18">
        <f>'내역서(표준단가)'!I66</f>
        <v>0</v>
      </c>
      <c r="F483" s="18">
        <f>'내역서(표준단가)'!M66</f>
        <v>0</v>
      </c>
    </row>
    <row r="484" spans="1:6">
      <c r="A484" s="17">
        <f>'내역서(표준단가)'!E67</f>
        <v>0</v>
      </c>
      <c r="B484" s="18">
        <f>'내역서(표준단가)'!F67</f>
        <v>0</v>
      </c>
      <c r="C484" s="18">
        <f>'내역서(표준단가)'!G67</f>
        <v>0</v>
      </c>
      <c r="D484" s="18">
        <f>'내역서(표준단가)'!H67</f>
        <v>0</v>
      </c>
      <c r="E484" s="18">
        <f>'내역서(표준단가)'!I67</f>
        <v>0</v>
      </c>
      <c r="F484" s="18">
        <f>'내역서(표준단가)'!M67</f>
        <v>0</v>
      </c>
    </row>
    <row r="485" spans="1:6">
      <c r="A485" s="17">
        <f>'내역서(표준단가)'!E106</f>
        <v>0</v>
      </c>
      <c r="B485" s="18">
        <f>'내역서(표준단가)'!F106</f>
        <v>0</v>
      </c>
      <c r="C485" s="18">
        <f>'내역서(표준단가)'!G106</f>
        <v>0</v>
      </c>
      <c r="D485" s="18">
        <f>'내역서(표준단가)'!H106</f>
        <v>0</v>
      </c>
      <c r="E485" s="18">
        <f>'내역서(표준단가)'!I106</f>
        <v>0</v>
      </c>
      <c r="F485" s="18">
        <f>'내역서(표준단가)'!M106</f>
        <v>0</v>
      </c>
    </row>
    <row r="486" spans="1:6">
      <c r="A486" s="17">
        <f>'내역서(표준단가)'!E107</f>
        <v>0</v>
      </c>
      <c r="B486" s="18">
        <f>'내역서(표준단가)'!F107</f>
        <v>0</v>
      </c>
      <c r="C486" s="18">
        <f>'내역서(표준단가)'!G107</f>
        <v>0</v>
      </c>
      <c r="D486" s="18">
        <f>'내역서(표준단가)'!H107</f>
        <v>0</v>
      </c>
      <c r="E486" s="18">
        <f>'내역서(표준단가)'!I107</f>
        <v>0</v>
      </c>
      <c r="F486" s="18">
        <f>'내역서(표준단가)'!M107</f>
        <v>0</v>
      </c>
    </row>
    <row r="487" spans="1:6">
      <c r="A487" s="17">
        <f>'내역서(표준단가)'!E108</f>
        <v>0</v>
      </c>
      <c r="B487" s="18">
        <f>'내역서(표준단가)'!F108</f>
        <v>0</v>
      </c>
      <c r="C487" s="18">
        <f>'내역서(표준단가)'!G108</f>
        <v>0</v>
      </c>
      <c r="D487" s="18">
        <f>'내역서(표준단가)'!H108</f>
        <v>0</v>
      </c>
      <c r="E487" s="18">
        <f>'내역서(표준단가)'!I108</f>
        <v>0</v>
      </c>
      <c r="F487" s="18">
        <f>'내역서(표준단가)'!M108</f>
        <v>0</v>
      </c>
    </row>
  </sheetData>
  <phoneticPr fontId="1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O15" sqref="O15"/>
    </sheetView>
  </sheetViews>
  <sheetFormatPr defaultRowHeight="16.5"/>
  <sheetData>
    <row r="1" spans="1:1">
      <c r="A1" s="11" t="s">
        <v>33</v>
      </c>
    </row>
  </sheetData>
  <phoneticPr fontId="16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3"/>
  <sheetViews>
    <sheetView view="pageBreakPreview" zoomScale="85" zoomScaleNormal="70" zoomScaleSheetLayoutView="85" workbookViewId="0">
      <selection activeCell="C15" sqref="C15:F15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8.75" customWidth="1"/>
    <col min="6" max="6" width="16.25" customWidth="1"/>
    <col min="7" max="7" width="2.25" customWidth="1"/>
  </cols>
  <sheetData>
    <row r="1" spans="1:7" ht="21" customHeight="1">
      <c r="B1" s="337" t="s">
        <v>48</v>
      </c>
      <c r="C1" s="338"/>
      <c r="D1" s="338"/>
      <c r="E1" s="338"/>
      <c r="F1" s="338"/>
      <c r="G1" s="30"/>
    </row>
    <row r="2" spans="1:7" ht="21" customHeight="1">
      <c r="B2" s="338"/>
      <c r="C2" s="338"/>
      <c r="D2" s="338"/>
      <c r="E2" s="338"/>
      <c r="F2" s="338"/>
      <c r="G2" s="30"/>
    </row>
    <row r="3" spans="1:7" ht="9.6" customHeight="1" thickBot="1">
      <c r="A3" s="339"/>
      <c r="B3" s="339"/>
      <c r="C3" s="339"/>
      <c r="D3" s="339"/>
      <c r="E3" s="339"/>
      <c r="F3" s="339"/>
      <c r="G3" s="30"/>
    </row>
    <row r="4" spans="1:7" ht="34.9" customHeight="1">
      <c r="A4" s="31"/>
      <c r="B4" s="32" t="s">
        <v>49</v>
      </c>
      <c r="C4" s="33" t="s">
        <v>46</v>
      </c>
      <c r="D4" s="34" t="s">
        <v>50</v>
      </c>
      <c r="E4" s="340" t="e">
        <f>#REF!</f>
        <v>#REF!</v>
      </c>
      <c r="F4" s="341"/>
    </row>
    <row r="5" spans="1:7" ht="34.9" customHeight="1">
      <c r="A5" s="35"/>
      <c r="B5" s="36" t="s">
        <v>51</v>
      </c>
      <c r="C5" s="342" t="e">
        <f>#REF!</f>
        <v>#REF!</v>
      </c>
      <c r="D5" s="343"/>
      <c r="E5" s="343"/>
      <c r="F5" s="344"/>
      <c r="G5" s="37"/>
    </row>
    <row r="6" spans="1:7" ht="23.45" customHeight="1">
      <c r="A6" s="35"/>
      <c r="B6" s="345" t="s">
        <v>52</v>
      </c>
      <c r="C6" s="348" t="s">
        <v>53</v>
      </c>
      <c r="D6" s="349"/>
      <c r="E6" s="349"/>
      <c r="F6" s="350"/>
      <c r="G6" s="30"/>
    </row>
    <row r="7" spans="1:7" ht="23.45" customHeight="1">
      <c r="A7" s="35"/>
      <c r="B7" s="346"/>
      <c r="C7" s="351" t="s">
        <v>87</v>
      </c>
      <c r="D7" s="352"/>
      <c r="E7" s="352"/>
      <c r="F7" s="353"/>
      <c r="G7" s="30"/>
    </row>
    <row r="8" spans="1:7" ht="23.45" customHeight="1">
      <c r="A8" s="35"/>
      <c r="B8" s="346"/>
      <c r="C8" s="351" t="s">
        <v>54</v>
      </c>
      <c r="D8" s="352"/>
      <c r="E8" s="352"/>
      <c r="F8" s="353"/>
      <c r="G8" s="30"/>
    </row>
    <row r="9" spans="1:7" ht="23.45" customHeight="1">
      <c r="A9" s="35"/>
      <c r="B9" s="346"/>
      <c r="C9" s="334" t="s">
        <v>144</v>
      </c>
      <c r="D9" s="335"/>
      <c r="E9" s="335"/>
      <c r="F9" s="336"/>
      <c r="G9" s="30"/>
    </row>
    <row r="10" spans="1:7" ht="23.45" customHeight="1">
      <c r="A10" s="35"/>
      <c r="B10" s="346"/>
      <c r="C10" s="334" t="s">
        <v>143</v>
      </c>
      <c r="D10" s="335"/>
      <c r="E10" s="335"/>
      <c r="F10" s="336"/>
      <c r="G10" s="30"/>
    </row>
    <row r="11" spans="1:7" ht="23.45" customHeight="1">
      <c r="A11" s="35"/>
      <c r="B11" s="346"/>
      <c r="C11" s="334" t="s">
        <v>145</v>
      </c>
      <c r="D11" s="335"/>
      <c r="E11" s="335"/>
      <c r="F11" s="336"/>
      <c r="G11" s="30"/>
    </row>
    <row r="12" spans="1:7" ht="23.45" customHeight="1">
      <c r="A12" s="35"/>
      <c r="B12" s="346"/>
      <c r="C12" s="334" t="s">
        <v>146</v>
      </c>
      <c r="D12" s="335"/>
      <c r="E12" s="335"/>
      <c r="F12" s="336"/>
      <c r="G12" s="30"/>
    </row>
    <row r="13" spans="1:7" ht="23.45" customHeight="1">
      <c r="A13" s="35"/>
      <c r="B13" s="346"/>
      <c r="C13" s="334" t="s">
        <v>147</v>
      </c>
      <c r="D13" s="335"/>
      <c r="E13" s="335"/>
      <c r="F13" s="336"/>
      <c r="G13" s="30"/>
    </row>
    <row r="14" spans="1:7" ht="23.45" customHeight="1">
      <c r="A14" s="35"/>
      <c r="B14" s="346"/>
      <c r="C14" s="334" t="s">
        <v>148</v>
      </c>
      <c r="D14" s="335"/>
      <c r="E14" s="335"/>
      <c r="F14" s="336"/>
      <c r="G14" s="30"/>
    </row>
    <row r="15" spans="1:7" ht="23.45" customHeight="1">
      <c r="A15" s="35"/>
      <c r="B15" s="346"/>
      <c r="C15" s="334" t="s">
        <v>98</v>
      </c>
      <c r="D15" s="335"/>
      <c r="E15" s="335"/>
      <c r="F15" s="336"/>
      <c r="G15" s="30"/>
    </row>
    <row r="16" spans="1:7" ht="23.45" customHeight="1">
      <c r="A16" s="35"/>
      <c r="B16" s="346"/>
      <c r="C16" s="334"/>
      <c r="D16" s="335"/>
      <c r="E16" s="335"/>
      <c r="F16" s="336"/>
      <c r="G16" s="30"/>
    </row>
    <row r="17" spans="1:7" ht="23.45" customHeight="1">
      <c r="A17" s="35"/>
      <c r="B17" s="346"/>
      <c r="C17" s="75"/>
      <c r="D17" s="76"/>
      <c r="E17" s="76"/>
      <c r="F17" s="77"/>
      <c r="G17" s="30"/>
    </row>
    <row r="18" spans="1:7" ht="23.45" customHeight="1">
      <c r="A18" s="35"/>
      <c r="B18" s="346"/>
      <c r="C18" s="334"/>
      <c r="D18" s="354"/>
      <c r="E18" s="354"/>
      <c r="F18" s="355"/>
    </row>
    <row r="19" spans="1:7" ht="23.45" customHeight="1">
      <c r="A19" s="35"/>
      <c r="B19" s="346"/>
      <c r="C19" s="334"/>
      <c r="D19" s="354"/>
      <c r="E19" s="354"/>
      <c r="F19" s="355"/>
    </row>
    <row r="20" spans="1:7" ht="23.45" customHeight="1">
      <c r="A20" s="35"/>
      <c r="B20" s="346"/>
      <c r="C20" s="356" t="s">
        <v>77</v>
      </c>
      <c r="D20" s="357"/>
      <c r="E20" s="357"/>
      <c r="F20" s="358"/>
    </row>
    <row r="21" spans="1:7" ht="23.45" customHeight="1">
      <c r="A21" s="35"/>
      <c r="B21" s="346"/>
      <c r="C21" s="356" t="s">
        <v>55</v>
      </c>
      <c r="D21" s="357"/>
      <c r="E21" s="357"/>
      <c r="F21" s="358"/>
    </row>
    <row r="22" spans="1:7" ht="23.45" customHeight="1">
      <c r="A22" s="35"/>
      <c r="B22" s="346"/>
      <c r="C22" s="334" t="s">
        <v>78</v>
      </c>
      <c r="D22" s="335"/>
      <c r="E22" s="335"/>
      <c r="F22" s="336"/>
    </row>
    <row r="23" spans="1:7" ht="23.45" customHeight="1">
      <c r="A23" s="35"/>
      <c r="B23" s="346"/>
      <c r="C23" s="334" t="s">
        <v>79</v>
      </c>
      <c r="D23" s="335"/>
      <c r="E23" s="335"/>
      <c r="F23" s="336"/>
    </row>
    <row r="24" spans="1:7" ht="23.45" customHeight="1">
      <c r="A24" s="35"/>
      <c r="B24" s="346"/>
      <c r="C24" s="361" t="s">
        <v>80</v>
      </c>
      <c r="D24" s="362"/>
      <c r="E24" s="362"/>
      <c r="F24" s="363"/>
    </row>
    <row r="25" spans="1:7" ht="23.45" customHeight="1">
      <c r="A25" s="35"/>
      <c r="B25" s="346"/>
      <c r="C25" s="334" t="s">
        <v>81</v>
      </c>
      <c r="D25" s="335"/>
      <c r="E25" s="335"/>
      <c r="F25" s="336"/>
    </row>
    <row r="26" spans="1:7" ht="23.45" customHeight="1">
      <c r="A26" s="35"/>
      <c r="B26" s="346"/>
      <c r="C26" s="334" t="s">
        <v>82</v>
      </c>
      <c r="D26" s="335"/>
      <c r="E26" s="335"/>
      <c r="F26" s="336"/>
    </row>
    <row r="27" spans="1:7" ht="23.45" customHeight="1">
      <c r="A27" s="35"/>
      <c r="B27" s="346"/>
      <c r="C27" s="334" t="s">
        <v>83</v>
      </c>
      <c r="D27" s="335"/>
      <c r="E27" s="335"/>
      <c r="F27" s="336"/>
    </row>
    <row r="28" spans="1:7" ht="23.45" customHeight="1">
      <c r="A28" s="35"/>
      <c r="B28" s="346"/>
      <c r="C28" s="334" t="s">
        <v>84</v>
      </c>
      <c r="D28" s="335"/>
      <c r="E28" s="335"/>
      <c r="F28" s="336"/>
    </row>
    <row r="29" spans="1:7" ht="23.45" customHeight="1">
      <c r="A29" s="35"/>
      <c r="B29" s="346"/>
      <c r="C29" s="334" t="s">
        <v>85</v>
      </c>
      <c r="D29" s="335"/>
      <c r="E29" s="335"/>
      <c r="F29" s="336"/>
    </row>
    <row r="30" spans="1:7" ht="23.45" customHeight="1">
      <c r="A30" s="35"/>
      <c r="B30" s="346"/>
      <c r="C30" s="369" t="s">
        <v>86</v>
      </c>
      <c r="D30" s="370"/>
      <c r="E30" s="370"/>
      <c r="F30" s="371"/>
    </row>
    <row r="31" spans="1:7" ht="23.45" customHeight="1">
      <c r="A31" s="35"/>
      <c r="B31" s="346"/>
      <c r="C31" s="356" t="s">
        <v>68</v>
      </c>
      <c r="D31" s="364"/>
      <c r="E31" s="364"/>
      <c r="F31" s="365"/>
    </row>
    <row r="32" spans="1:7" ht="23.45" customHeight="1">
      <c r="A32" s="35"/>
      <c r="B32" s="346"/>
      <c r="C32" s="356"/>
      <c r="D32" s="364"/>
      <c r="E32" s="364"/>
      <c r="F32" s="365"/>
    </row>
    <row r="33" spans="1:6" ht="23.45" customHeight="1">
      <c r="A33" s="35"/>
      <c r="B33" s="346"/>
      <c r="C33" s="356"/>
      <c r="D33" s="364"/>
      <c r="E33" s="364"/>
      <c r="F33" s="365"/>
    </row>
    <row r="34" spans="1:6" ht="23.45" customHeight="1">
      <c r="A34" s="35"/>
      <c r="B34" s="347"/>
      <c r="C34" s="366"/>
      <c r="D34" s="367"/>
      <c r="E34" s="367"/>
      <c r="F34" s="368"/>
    </row>
    <row r="35" spans="1:6" ht="50.45" customHeight="1">
      <c r="A35" s="35"/>
      <c r="B35" s="36" t="s">
        <v>56</v>
      </c>
      <c r="C35" s="38" t="s">
        <v>57</v>
      </c>
      <c r="D35" s="359" t="s">
        <v>58</v>
      </c>
      <c r="E35" s="359"/>
      <c r="F35" s="360"/>
    </row>
    <row r="36" spans="1:6" ht="50.45" customHeight="1">
      <c r="A36" s="35"/>
      <c r="B36" s="36" t="s">
        <v>62</v>
      </c>
      <c r="C36" s="38" t="s">
        <v>59</v>
      </c>
      <c r="D36" s="359" t="s">
        <v>60</v>
      </c>
      <c r="E36" s="359"/>
      <c r="F36" s="360"/>
    </row>
    <row r="37" spans="1:6" ht="25.15" customHeight="1">
      <c r="B37" s="39"/>
      <c r="C37" s="39"/>
      <c r="D37" s="40"/>
      <c r="E37" s="39"/>
      <c r="F37" s="30"/>
    </row>
    <row r="38" spans="1:6" ht="25.15" customHeight="1">
      <c r="B38" s="39"/>
      <c r="C38" s="39"/>
      <c r="D38" s="40"/>
      <c r="E38" s="39"/>
      <c r="F38" s="30"/>
    </row>
    <row r="39" spans="1:6" ht="25.15" customHeight="1">
      <c r="B39" s="39"/>
      <c r="C39" s="39"/>
      <c r="D39" s="40"/>
      <c r="E39" s="39"/>
      <c r="F39" s="30"/>
    </row>
    <row r="40" spans="1:6" ht="25.15" customHeight="1">
      <c r="B40" s="39"/>
      <c r="C40" s="39"/>
      <c r="D40" s="40"/>
      <c r="E40" s="39"/>
      <c r="F40" s="30"/>
    </row>
    <row r="41" spans="1:6" ht="25.15" customHeight="1">
      <c r="B41" s="39"/>
      <c r="C41" s="39"/>
      <c r="D41" s="40"/>
      <c r="E41" s="39"/>
      <c r="F41" s="30"/>
    </row>
    <row r="42" spans="1:6" ht="25.15" customHeight="1">
      <c r="B42" s="39"/>
      <c r="C42" s="39"/>
      <c r="D42" s="40"/>
      <c r="E42" s="39"/>
      <c r="F42" s="30"/>
    </row>
    <row r="43" spans="1:6" ht="25.15" customHeight="1">
      <c r="B43" s="39"/>
      <c r="C43" s="39"/>
      <c r="D43" s="40"/>
      <c r="E43" s="39"/>
      <c r="F43" s="30"/>
    </row>
    <row r="44" spans="1:6" ht="25.15" customHeight="1">
      <c r="B44" s="39"/>
      <c r="C44" s="39"/>
      <c r="D44" s="40"/>
      <c r="E44" s="39"/>
      <c r="F44" s="30"/>
    </row>
    <row r="45" spans="1:6" ht="25.15" customHeight="1">
      <c r="B45" s="39"/>
      <c r="C45" s="39"/>
      <c r="D45" s="40"/>
      <c r="E45" s="39"/>
      <c r="F45" s="30"/>
    </row>
    <row r="46" spans="1:6" ht="25.15" customHeight="1">
      <c r="B46" s="39"/>
      <c r="C46" s="39"/>
      <c r="D46" s="40"/>
      <c r="E46" s="39"/>
      <c r="F46" s="30"/>
    </row>
    <row r="47" spans="1:6" ht="25.15" customHeight="1">
      <c r="B47" s="39"/>
      <c r="C47" s="39"/>
      <c r="D47" s="40"/>
      <c r="E47" s="39"/>
      <c r="F47" s="30"/>
    </row>
    <row r="48" spans="1:6" ht="25.15" customHeight="1">
      <c r="B48" s="39"/>
      <c r="C48" s="39"/>
      <c r="D48" s="40"/>
      <c r="E48" s="39"/>
      <c r="F48" s="30"/>
    </row>
    <row r="49" spans="2:6" ht="25.15" customHeight="1">
      <c r="B49" s="39"/>
      <c r="C49" s="39"/>
      <c r="D49" s="40"/>
      <c r="E49" s="39"/>
      <c r="F49" s="30"/>
    </row>
    <row r="50" spans="2:6" ht="25.15" customHeight="1">
      <c r="B50" s="39"/>
      <c r="C50" s="39"/>
      <c r="D50" s="40"/>
      <c r="E50" s="39"/>
      <c r="F50" s="30"/>
    </row>
    <row r="51" spans="2:6" ht="25.15" customHeight="1">
      <c r="B51" s="39"/>
      <c r="C51" s="39"/>
      <c r="D51" s="40"/>
      <c r="E51" s="39"/>
      <c r="F51" s="30"/>
    </row>
    <row r="52" spans="2:6" ht="25.15" customHeight="1">
      <c r="B52" s="39"/>
      <c r="C52" s="39"/>
      <c r="D52" s="40"/>
      <c r="E52" s="39"/>
      <c r="F52" s="30"/>
    </row>
    <row r="53" spans="2:6" ht="25.15" customHeight="1">
      <c r="B53" s="39"/>
      <c r="C53" s="39"/>
      <c r="D53" s="40"/>
      <c r="E53" s="39"/>
      <c r="F53" s="30"/>
    </row>
  </sheetData>
  <mergeCells count="35">
    <mergeCell ref="D35:F35"/>
    <mergeCell ref="D36:F36"/>
    <mergeCell ref="C23:F23"/>
    <mergeCell ref="C24:F24"/>
    <mergeCell ref="C31:F31"/>
    <mergeCell ref="C32:F32"/>
    <mergeCell ref="C33:F33"/>
    <mergeCell ref="C34:F34"/>
    <mergeCell ref="C25:F25"/>
    <mergeCell ref="C26:F26"/>
    <mergeCell ref="C27:F27"/>
    <mergeCell ref="C28:F28"/>
    <mergeCell ref="C29:F29"/>
    <mergeCell ref="C30:F30"/>
    <mergeCell ref="B1:F2"/>
    <mergeCell ref="A3:F3"/>
    <mergeCell ref="E4:F4"/>
    <mergeCell ref="C5:F5"/>
    <mergeCell ref="B6:B34"/>
    <mergeCell ref="C6:F6"/>
    <mergeCell ref="C7:F7"/>
    <mergeCell ref="C8:F8"/>
    <mergeCell ref="C22:F22"/>
    <mergeCell ref="C18:F18"/>
    <mergeCell ref="C19:F19"/>
    <mergeCell ref="C21:F21"/>
    <mergeCell ref="C20:F20"/>
    <mergeCell ref="C9:F9"/>
    <mergeCell ref="C10:F10"/>
    <mergeCell ref="C11:F11"/>
    <mergeCell ref="C12:F12"/>
    <mergeCell ref="C13:F13"/>
    <mergeCell ref="C14:F14"/>
    <mergeCell ref="C15:F15"/>
    <mergeCell ref="C16:F16"/>
  </mergeCells>
  <phoneticPr fontId="16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H610"/>
  <sheetViews>
    <sheetView showZeros="0" view="pageBreakPreview" zoomScale="85" zoomScaleNormal="100" zoomScaleSheetLayoutView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18" sqref="A18:XFD18"/>
    </sheetView>
  </sheetViews>
  <sheetFormatPr defaultRowHeight="11.25"/>
  <cols>
    <col min="1" max="1" width="51.875" style="70" bestFit="1" customWidth="1"/>
    <col min="2" max="2" width="42.625" style="115" bestFit="1" customWidth="1"/>
    <col min="3" max="3" width="8.5" style="70" customWidth="1"/>
    <col min="4" max="4" width="8.5" style="97" customWidth="1"/>
    <col min="5" max="5" width="119.75" style="116" bestFit="1" customWidth="1"/>
    <col min="6" max="6" width="15.375" style="70" customWidth="1"/>
    <col min="7" max="7" width="13.75" style="70" customWidth="1"/>
    <col min="8" max="256" width="9" style="70"/>
    <col min="257" max="257" width="35.625" style="70" customWidth="1"/>
    <col min="258" max="258" width="17.5" style="70" customWidth="1"/>
    <col min="259" max="260" width="8.5" style="70" customWidth="1"/>
    <col min="261" max="261" width="119.75" style="70" bestFit="1" customWidth="1"/>
    <col min="262" max="262" width="15.375" style="70" customWidth="1"/>
    <col min="263" max="263" width="13.75" style="70" customWidth="1"/>
    <col min="264" max="512" width="9" style="70"/>
    <col min="513" max="513" width="35.625" style="70" customWidth="1"/>
    <col min="514" max="514" width="17.5" style="70" customWidth="1"/>
    <col min="515" max="516" width="8.5" style="70" customWidth="1"/>
    <col min="517" max="517" width="119.75" style="70" bestFit="1" customWidth="1"/>
    <col min="518" max="518" width="15.375" style="70" customWidth="1"/>
    <col min="519" max="519" width="13.75" style="70" customWidth="1"/>
    <col min="520" max="768" width="9" style="70"/>
    <col min="769" max="769" width="35.625" style="70" customWidth="1"/>
    <col min="770" max="770" width="17.5" style="70" customWidth="1"/>
    <col min="771" max="772" width="8.5" style="70" customWidth="1"/>
    <col min="773" max="773" width="119.75" style="70" bestFit="1" customWidth="1"/>
    <col min="774" max="774" width="15.375" style="70" customWidth="1"/>
    <col min="775" max="775" width="13.75" style="70" customWidth="1"/>
    <col min="776" max="1024" width="9" style="70"/>
    <col min="1025" max="1025" width="35.625" style="70" customWidth="1"/>
    <col min="1026" max="1026" width="17.5" style="70" customWidth="1"/>
    <col min="1027" max="1028" width="8.5" style="70" customWidth="1"/>
    <col min="1029" max="1029" width="119.75" style="70" bestFit="1" customWidth="1"/>
    <col min="1030" max="1030" width="15.375" style="70" customWidth="1"/>
    <col min="1031" max="1031" width="13.75" style="70" customWidth="1"/>
    <col min="1032" max="1280" width="9" style="70"/>
    <col min="1281" max="1281" width="35.625" style="70" customWidth="1"/>
    <col min="1282" max="1282" width="17.5" style="70" customWidth="1"/>
    <col min="1283" max="1284" width="8.5" style="70" customWidth="1"/>
    <col min="1285" max="1285" width="119.75" style="70" bestFit="1" customWidth="1"/>
    <col min="1286" max="1286" width="15.375" style="70" customWidth="1"/>
    <col min="1287" max="1287" width="13.75" style="70" customWidth="1"/>
    <col min="1288" max="1536" width="9" style="70"/>
    <col min="1537" max="1537" width="35.625" style="70" customWidth="1"/>
    <col min="1538" max="1538" width="17.5" style="70" customWidth="1"/>
    <col min="1539" max="1540" width="8.5" style="70" customWidth="1"/>
    <col min="1541" max="1541" width="119.75" style="70" bestFit="1" customWidth="1"/>
    <col min="1542" max="1542" width="15.375" style="70" customWidth="1"/>
    <col min="1543" max="1543" width="13.75" style="70" customWidth="1"/>
    <col min="1544" max="1792" width="9" style="70"/>
    <col min="1793" max="1793" width="35.625" style="70" customWidth="1"/>
    <col min="1794" max="1794" width="17.5" style="70" customWidth="1"/>
    <col min="1795" max="1796" width="8.5" style="70" customWidth="1"/>
    <col min="1797" max="1797" width="119.75" style="70" bestFit="1" customWidth="1"/>
    <col min="1798" max="1798" width="15.375" style="70" customWidth="1"/>
    <col min="1799" max="1799" width="13.75" style="70" customWidth="1"/>
    <col min="1800" max="2048" width="9" style="70"/>
    <col min="2049" max="2049" width="35.625" style="70" customWidth="1"/>
    <col min="2050" max="2050" width="17.5" style="70" customWidth="1"/>
    <col min="2051" max="2052" width="8.5" style="70" customWidth="1"/>
    <col min="2053" max="2053" width="119.75" style="70" bestFit="1" customWidth="1"/>
    <col min="2054" max="2054" width="15.375" style="70" customWidth="1"/>
    <col min="2055" max="2055" width="13.75" style="70" customWidth="1"/>
    <col min="2056" max="2304" width="9" style="70"/>
    <col min="2305" max="2305" width="35.625" style="70" customWidth="1"/>
    <col min="2306" max="2306" width="17.5" style="70" customWidth="1"/>
    <col min="2307" max="2308" width="8.5" style="70" customWidth="1"/>
    <col min="2309" max="2309" width="119.75" style="70" bestFit="1" customWidth="1"/>
    <col min="2310" max="2310" width="15.375" style="70" customWidth="1"/>
    <col min="2311" max="2311" width="13.75" style="70" customWidth="1"/>
    <col min="2312" max="2560" width="9" style="70"/>
    <col min="2561" max="2561" width="35.625" style="70" customWidth="1"/>
    <col min="2562" max="2562" width="17.5" style="70" customWidth="1"/>
    <col min="2563" max="2564" width="8.5" style="70" customWidth="1"/>
    <col min="2565" max="2565" width="119.75" style="70" bestFit="1" customWidth="1"/>
    <col min="2566" max="2566" width="15.375" style="70" customWidth="1"/>
    <col min="2567" max="2567" width="13.75" style="70" customWidth="1"/>
    <col min="2568" max="2816" width="9" style="70"/>
    <col min="2817" max="2817" width="35.625" style="70" customWidth="1"/>
    <col min="2818" max="2818" width="17.5" style="70" customWidth="1"/>
    <col min="2819" max="2820" width="8.5" style="70" customWidth="1"/>
    <col min="2821" max="2821" width="119.75" style="70" bestFit="1" customWidth="1"/>
    <col min="2822" max="2822" width="15.375" style="70" customWidth="1"/>
    <col min="2823" max="2823" width="13.75" style="70" customWidth="1"/>
    <col min="2824" max="3072" width="9" style="70"/>
    <col min="3073" max="3073" width="35.625" style="70" customWidth="1"/>
    <col min="3074" max="3074" width="17.5" style="70" customWidth="1"/>
    <col min="3075" max="3076" width="8.5" style="70" customWidth="1"/>
    <col min="3077" max="3077" width="119.75" style="70" bestFit="1" customWidth="1"/>
    <col min="3078" max="3078" width="15.375" style="70" customWidth="1"/>
    <col min="3079" max="3079" width="13.75" style="70" customWidth="1"/>
    <col min="3080" max="3328" width="9" style="70"/>
    <col min="3329" max="3329" width="35.625" style="70" customWidth="1"/>
    <col min="3330" max="3330" width="17.5" style="70" customWidth="1"/>
    <col min="3331" max="3332" width="8.5" style="70" customWidth="1"/>
    <col min="3333" max="3333" width="119.75" style="70" bestFit="1" customWidth="1"/>
    <col min="3334" max="3334" width="15.375" style="70" customWidth="1"/>
    <col min="3335" max="3335" width="13.75" style="70" customWidth="1"/>
    <col min="3336" max="3584" width="9" style="70"/>
    <col min="3585" max="3585" width="35.625" style="70" customWidth="1"/>
    <col min="3586" max="3586" width="17.5" style="70" customWidth="1"/>
    <col min="3587" max="3588" width="8.5" style="70" customWidth="1"/>
    <col min="3589" max="3589" width="119.75" style="70" bestFit="1" customWidth="1"/>
    <col min="3590" max="3590" width="15.375" style="70" customWidth="1"/>
    <col min="3591" max="3591" width="13.75" style="70" customWidth="1"/>
    <col min="3592" max="3840" width="9" style="70"/>
    <col min="3841" max="3841" width="35.625" style="70" customWidth="1"/>
    <col min="3842" max="3842" width="17.5" style="70" customWidth="1"/>
    <col min="3843" max="3844" width="8.5" style="70" customWidth="1"/>
    <col min="3845" max="3845" width="119.75" style="70" bestFit="1" customWidth="1"/>
    <col min="3846" max="3846" width="15.375" style="70" customWidth="1"/>
    <col min="3847" max="3847" width="13.75" style="70" customWidth="1"/>
    <col min="3848" max="4096" width="9" style="70"/>
    <col min="4097" max="4097" width="35.625" style="70" customWidth="1"/>
    <col min="4098" max="4098" width="17.5" style="70" customWidth="1"/>
    <col min="4099" max="4100" width="8.5" style="70" customWidth="1"/>
    <col min="4101" max="4101" width="119.75" style="70" bestFit="1" customWidth="1"/>
    <col min="4102" max="4102" width="15.375" style="70" customWidth="1"/>
    <col min="4103" max="4103" width="13.75" style="70" customWidth="1"/>
    <col min="4104" max="4352" width="9" style="70"/>
    <col min="4353" max="4353" width="35.625" style="70" customWidth="1"/>
    <col min="4354" max="4354" width="17.5" style="70" customWidth="1"/>
    <col min="4355" max="4356" width="8.5" style="70" customWidth="1"/>
    <col min="4357" max="4357" width="119.75" style="70" bestFit="1" customWidth="1"/>
    <col min="4358" max="4358" width="15.375" style="70" customWidth="1"/>
    <col min="4359" max="4359" width="13.75" style="70" customWidth="1"/>
    <col min="4360" max="4608" width="9" style="70"/>
    <col min="4609" max="4609" width="35.625" style="70" customWidth="1"/>
    <col min="4610" max="4610" width="17.5" style="70" customWidth="1"/>
    <col min="4611" max="4612" width="8.5" style="70" customWidth="1"/>
    <col min="4613" max="4613" width="119.75" style="70" bestFit="1" customWidth="1"/>
    <col min="4614" max="4614" width="15.375" style="70" customWidth="1"/>
    <col min="4615" max="4615" width="13.75" style="70" customWidth="1"/>
    <col min="4616" max="4864" width="9" style="70"/>
    <col min="4865" max="4865" width="35.625" style="70" customWidth="1"/>
    <col min="4866" max="4866" width="17.5" style="70" customWidth="1"/>
    <col min="4867" max="4868" width="8.5" style="70" customWidth="1"/>
    <col min="4869" max="4869" width="119.75" style="70" bestFit="1" customWidth="1"/>
    <col min="4870" max="4870" width="15.375" style="70" customWidth="1"/>
    <col min="4871" max="4871" width="13.75" style="70" customWidth="1"/>
    <col min="4872" max="5120" width="9" style="70"/>
    <col min="5121" max="5121" width="35.625" style="70" customWidth="1"/>
    <col min="5122" max="5122" width="17.5" style="70" customWidth="1"/>
    <col min="5123" max="5124" width="8.5" style="70" customWidth="1"/>
    <col min="5125" max="5125" width="119.75" style="70" bestFit="1" customWidth="1"/>
    <col min="5126" max="5126" width="15.375" style="70" customWidth="1"/>
    <col min="5127" max="5127" width="13.75" style="70" customWidth="1"/>
    <col min="5128" max="5376" width="9" style="70"/>
    <col min="5377" max="5377" width="35.625" style="70" customWidth="1"/>
    <col min="5378" max="5378" width="17.5" style="70" customWidth="1"/>
    <col min="5379" max="5380" width="8.5" style="70" customWidth="1"/>
    <col min="5381" max="5381" width="119.75" style="70" bestFit="1" customWidth="1"/>
    <col min="5382" max="5382" width="15.375" style="70" customWidth="1"/>
    <col min="5383" max="5383" width="13.75" style="70" customWidth="1"/>
    <col min="5384" max="5632" width="9" style="70"/>
    <col min="5633" max="5633" width="35.625" style="70" customWidth="1"/>
    <col min="5634" max="5634" width="17.5" style="70" customWidth="1"/>
    <col min="5635" max="5636" width="8.5" style="70" customWidth="1"/>
    <col min="5637" max="5637" width="119.75" style="70" bestFit="1" customWidth="1"/>
    <col min="5638" max="5638" width="15.375" style="70" customWidth="1"/>
    <col min="5639" max="5639" width="13.75" style="70" customWidth="1"/>
    <col min="5640" max="5888" width="9" style="70"/>
    <col min="5889" max="5889" width="35.625" style="70" customWidth="1"/>
    <col min="5890" max="5890" width="17.5" style="70" customWidth="1"/>
    <col min="5891" max="5892" width="8.5" style="70" customWidth="1"/>
    <col min="5893" max="5893" width="119.75" style="70" bestFit="1" customWidth="1"/>
    <col min="5894" max="5894" width="15.375" style="70" customWidth="1"/>
    <col min="5895" max="5895" width="13.75" style="70" customWidth="1"/>
    <col min="5896" max="6144" width="9" style="70"/>
    <col min="6145" max="6145" width="35.625" style="70" customWidth="1"/>
    <col min="6146" max="6146" width="17.5" style="70" customWidth="1"/>
    <col min="6147" max="6148" width="8.5" style="70" customWidth="1"/>
    <col min="6149" max="6149" width="119.75" style="70" bestFit="1" customWidth="1"/>
    <col min="6150" max="6150" width="15.375" style="70" customWidth="1"/>
    <col min="6151" max="6151" width="13.75" style="70" customWidth="1"/>
    <col min="6152" max="6400" width="9" style="70"/>
    <col min="6401" max="6401" width="35.625" style="70" customWidth="1"/>
    <col min="6402" max="6402" width="17.5" style="70" customWidth="1"/>
    <col min="6403" max="6404" width="8.5" style="70" customWidth="1"/>
    <col min="6405" max="6405" width="119.75" style="70" bestFit="1" customWidth="1"/>
    <col min="6406" max="6406" width="15.375" style="70" customWidth="1"/>
    <col min="6407" max="6407" width="13.75" style="70" customWidth="1"/>
    <col min="6408" max="6656" width="9" style="70"/>
    <col min="6657" max="6657" width="35.625" style="70" customWidth="1"/>
    <col min="6658" max="6658" width="17.5" style="70" customWidth="1"/>
    <col min="6659" max="6660" width="8.5" style="70" customWidth="1"/>
    <col min="6661" max="6661" width="119.75" style="70" bestFit="1" customWidth="1"/>
    <col min="6662" max="6662" width="15.375" style="70" customWidth="1"/>
    <col min="6663" max="6663" width="13.75" style="70" customWidth="1"/>
    <col min="6664" max="6912" width="9" style="70"/>
    <col min="6913" max="6913" width="35.625" style="70" customWidth="1"/>
    <col min="6914" max="6914" width="17.5" style="70" customWidth="1"/>
    <col min="6915" max="6916" width="8.5" style="70" customWidth="1"/>
    <col min="6917" max="6917" width="119.75" style="70" bestFit="1" customWidth="1"/>
    <col min="6918" max="6918" width="15.375" style="70" customWidth="1"/>
    <col min="6919" max="6919" width="13.75" style="70" customWidth="1"/>
    <col min="6920" max="7168" width="9" style="70"/>
    <col min="7169" max="7169" width="35.625" style="70" customWidth="1"/>
    <col min="7170" max="7170" width="17.5" style="70" customWidth="1"/>
    <col min="7171" max="7172" width="8.5" style="70" customWidth="1"/>
    <col min="7173" max="7173" width="119.75" style="70" bestFit="1" customWidth="1"/>
    <col min="7174" max="7174" width="15.375" style="70" customWidth="1"/>
    <col min="7175" max="7175" width="13.75" style="70" customWidth="1"/>
    <col min="7176" max="7424" width="9" style="70"/>
    <col min="7425" max="7425" width="35.625" style="70" customWidth="1"/>
    <col min="7426" max="7426" width="17.5" style="70" customWidth="1"/>
    <col min="7427" max="7428" width="8.5" style="70" customWidth="1"/>
    <col min="7429" max="7429" width="119.75" style="70" bestFit="1" customWidth="1"/>
    <col min="7430" max="7430" width="15.375" style="70" customWidth="1"/>
    <col min="7431" max="7431" width="13.75" style="70" customWidth="1"/>
    <col min="7432" max="7680" width="9" style="70"/>
    <col min="7681" max="7681" width="35.625" style="70" customWidth="1"/>
    <col min="7682" max="7682" width="17.5" style="70" customWidth="1"/>
    <col min="7683" max="7684" width="8.5" style="70" customWidth="1"/>
    <col min="7685" max="7685" width="119.75" style="70" bestFit="1" customWidth="1"/>
    <col min="7686" max="7686" width="15.375" style="70" customWidth="1"/>
    <col min="7687" max="7687" width="13.75" style="70" customWidth="1"/>
    <col min="7688" max="7936" width="9" style="70"/>
    <col min="7937" max="7937" width="35.625" style="70" customWidth="1"/>
    <col min="7938" max="7938" width="17.5" style="70" customWidth="1"/>
    <col min="7939" max="7940" width="8.5" style="70" customWidth="1"/>
    <col min="7941" max="7941" width="119.75" style="70" bestFit="1" customWidth="1"/>
    <col min="7942" max="7942" width="15.375" style="70" customWidth="1"/>
    <col min="7943" max="7943" width="13.75" style="70" customWidth="1"/>
    <col min="7944" max="8192" width="9" style="70"/>
    <col min="8193" max="8193" width="35.625" style="70" customWidth="1"/>
    <col min="8194" max="8194" width="17.5" style="70" customWidth="1"/>
    <col min="8195" max="8196" width="8.5" style="70" customWidth="1"/>
    <col min="8197" max="8197" width="119.75" style="70" bestFit="1" customWidth="1"/>
    <col min="8198" max="8198" width="15.375" style="70" customWidth="1"/>
    <col min="8199" max="8199" width="13.75" style="70" customWidth="1"/>
    <col min="8200" max="8448" width="9" style="70"/>
    <col min="8449" max="8449" width="35.625" style="70" customWidth="1"/>
    <col min="8450" max="8450" width="17.5" style="70" customWidth="1"/>
    <col min="8451" max="8452" width="8.5" style="70" customWidth="1"/>
    <col min="8453" max="8453" width="119.75" style="70" bestFit="1" customWidth="1"/>
    <col min="8454" max="8454" width="15.375" style="70" customWidth="1"/>
    <col min="8455" max="8455" width="13.75" style="70" customWidth="1"/>
    <col min="8456" max="8704" width="9" style="70"/>
    <col min="8705" max="8705" width="35.625" style="70" customWidth="1"/>
    <col min="8706" max="8706" width="17.5" style="70" customWidth="1"/>
    <col min="8707" max="8708" width="8.5" style="70" customWidth="1"/>
    <col min="8709" max="8709" width="119.75" style="70" bestFit="1" customWidth="1"/>
    <col min="8710" max="8710" width="15.375" style="70" customWidth="1"/>
    <col min="8711" max="8711" width="13.75" style="70" customWidth="1"/>
    <col min="8712" max="8960" width="9" style="70"/>
    <col min="8961" max="8961" width="35.625" style="70" customWidth="1"/>
    <col min="8962" max="8962" width="17.5" style="70" customWidth="1"/>
    <col min="8963" max="8964" width="8.5" style="70" customWidth="1"/>
    <col min="8965" max="8965" width="119.75" style="70" bestFit="1" customWidth="1"/>
    <col min="8966" max="8966" width="15.375" style="70" customWidth="1"/>
    <col min="8967" max="8967" width="13.75" style="70" customWidth="1"/>
    <col min="8968" max="9216" width="9" style="70"/>
    <col min="9217" max="9217" width="35.625" style="70" customWidth="1"/>
    <col min="9218" max="9218" width="17.5" style="70" customWidth="1"/>
    <col min="9219" max="9220" width="8.5" style="70" customWidth="1"/>
    <col min="9221" max="9221" width="119.75" style="70" bestFit="1" customWidth="1"/>
    <col min="9222" max="9222" width="15.375" style="70" customWidth="1"/>
    <col min="9223" max="9223" width="13.75" style="70" customWidth="1"/>
    <col min="9224" max="9472" width="9" style="70"/>
    <col min="9473" max="9473" width="35.625" style="70" customWidth="1"/>
    <col min="9474" max="9474" width="17.5" style="70" customWidth="1"/>
    <col min="9475" max="9476" width="8.5" style="70" customWidth="1"/>
    <col min="9477" max="9477" width="119.75" style="70" bestFit="1" customWidth="1"/>
    <col min="9478" max="9478" width="15.375" style="70" customWidth="1"/>
    <col min="9479" max="9479" width="13.75" style="70" customWidth="1"/>
    <col min="9480" max="9728" width="9" style="70"/>
    <col min="9729" max="9729" width="35.625" style="70" customWidth="1"/>
    <col min="9730" max="9730" width="17.5" style="70" customWidth="1"/>
    <col min="9731" max="9732" width="8.5" style="70" customWidth="1"/>
    <col min="9733" max="9733" width="119.75" style="70" bestFit="1" customWidth="1"/>
    <col min="9734" max="9734" width="15.375" style="70" customWidth="1"/>
    <col min="9735" max="9735" width="13.75" style="70" customWidth="1"/>
    <col min="9736" max="9984" width="9" style="70"/>
    <col min="9985" max="9985" width="35.625" style="70" customWidth="1"/>
    <col min="9986" max="9986" width="17.5" style="70" customWidth="1"/>
    <col min="9987" max="9988" width="8.5" style="70" customWidth="1"/>
    <col min="9989" max="9989" width="119.75" style="70" bestFit="1" customWidth="1"/>
    <col min="9990" max="9990" width="15.375" style="70" customWidth="1"/>
    <col min="9991" max="9991" width="13.75" style="70" customWidth="1"/>
    <col min="9992" max="10240" width="9" style="70"/>
    <col min="10241" max="10241" width="35.625" style="70" customWidth="1"/>
    <col min="10242" max="10242" width="17.5" style="70" customWidth="1"/>
    <col min="10243" max="10244" width="8.5" style="70" customWidth="1"/>
    <col min="10245" max="10245" width="119.75" style="70" bestFit="1" customWidth="1"/>
    <col min="10246" max="10246" width="15.375" style="70" customWidth="1"/>
    <col min="10247" max="10247" width="13.75" style="70" customWidth="1"/>
    <col min="10248" max="10496" width="9" style="70"/>
    <col min="10497" max="10497" width="35.625" style="70" customWidth="1"/>
    <col min="10498" max="10498" width="17.5" style="70" customWidth="1"/>
    <col min="10499" max="10500" width="8.5" style="70" customWidth="1"/>
    <col min="10501" max="10501" width="119.75" style="70" bestFit="1" customWidth="1"/>
    <col min="10502" max="10502" width="15.375" style="70" customWidth="1"/>
    <col min="10503" max="10503" width="13.75" style="70" customWidth="1"/>
    <col min="10504" max="10752" width="9" style="70"/>
    <col min="10753" max="10753" width="35.625" style="70" customWidth="1"/>
    <col min="10754" max="10754" width="17.5" style="70" customWidth="1"/>
    <col min="10755" max="10756" width="8.5" style="70" customWidth="1"/>
    <col min="10757" max="10757" width="119.75" style="70" bestFit="1" customWidth="1"/>
    <col min="10758" max="10758" width="15.375" style="70" customWidth="1"/>
    <col min="10759" max="10759" width="13.75" style="70" customWidth="1"/>
    <col min="10760" max="11008" width="9" style="70"/>
    <col min="11009" max="11009" width="35.625" style="70" customWidth="1"/>
    <col min="11010" max="11010" width="17.5" style="70" customWidth="1"/>
    <col min="11011" max="11012" width="8.5" style="70" customWidth="1"/>
    <col min="11013" max="11013" width="119.75" style="70" bestFit="1" customWidth="1"/>
    <col min="11014" max="11014" width="15.375" style="70" customWidth="1"/>
    <col min="11015" max="11015" width="13.75" style="70" customWidth="1"/>
    <col min="11016" max="11264" width="9" style="70"/>
    <col min="11265" max="11265" width="35.625" style="70" customWidth="1"/>
    <col min="11266" max="11266" width="17.5" style="70" customWidth="1"/>
    <col min="11267" max="11268" width="8.5" style="70" customWidth="1"/>
    <col min="11269" max="11269" width="119.75" style="70" bestFit="1" customWidth="1"/>
    <col min="11270" max="11270" width="15.375" style="70" customWidth="1"/>
    <col min="11271" max="11271" width="13.75" style="70" customWidth="1"/>
    <col min="11272" max="11520" width="9" style="70"/>
    <col min="11521" max="11521" width="35.625" style="70" customWidth="1"/>
    <col min="11522" max="11522" width="17.5" style="70" customWidth="1"/>
    <col min="11523" max="11524" width="8.5" style="70" customWidth="1"/>
    <col min="11525" max="11525" width="119.75" style="70" bestFit="1" customWidth="1"/>
    <col min="11526" max="11526" width="15.375" style="70" customWidth="1"/>
    <col min="11527" max="11527" width="13.75" style="70" customWidth="1"/>
    <col min="11528" max="11776" width="9" style="70"/>
    <col min="11777" max="11777" width="35.625" style="70" customWidth="1"/>
    <col min="11778" max="11778" width="17.5" style="70" customWidth="1"/>
    <col min="11779" max="11780" width="8.5" style="70" customWidth="1"/>
    <col min="11781" max="11781" width="119.75" style="70" bestFit="1" customWidth="1"/>
    <col min="11782" max="11782" width="15.375" style="70" customWidth="1"/>
    <col min="11783" max="11783" width="13.75" style="70" customWidth="1"/>
    <col min="11784" max="12032" width="9" style="70"/>
    <col min="12033" max="12033" width="35.625" style="70" customWidth="1"/>
    <col min="12034" max="12034" width="17.5" style="70" customWidth="1"/>
    <col min="12035" max="12036" width="8.5" style="70" customWidth="1"/>
    <col min="12037" max="12037" width="119.75" style="70" bestFit="1" customWidth="1"/>
    <col min="12038" max="12038" width="15.375" style="70" customWidth="1"/>
    <col min="12039" max="12039" width="13.75" style="70" customWidth="1"/>
    <col min="12040" max="12288" width="9" style="70"/>
    <col min="12289" max="12289" width="35.625" style="70" customWidth="1"/>
    <col min="12290" max="12290" width="17.5" style="70" customWidth="1"/>
    <col min="12291" max="12292" width="8.5" style="70" customWidth="1"/>
    <col min="12293" max="12293" width="119.75" style="70" bestFit="1" customWidth="1"/>
    <col min="12294" max="12294" width="15.375" style="70" customWidth="1"/>
    <col min="12295" max="12295" width="13.75" style="70" customWidth="1"/>
    <col min="12296" max="12544" width="9" style="70"/>
    <col min="12545" max="12545" width="35.625" style="70" customWidth="1"/>
    <col min="12546" max="12546" width="17.5" style="70" customWidth="1"/>
    <col min="12547" max="12548" width="8.5" style="70" customWidth="1"/>
    <col min="12549" max="12549" width="119.75" style="70" bestFit="1" customWidth="1"/>
    <col min="12550" max="12550" width="15.375" style="70" customWidth="1"/>
    <col min="12551" max="12551" width="13.75" style="70" customWidth="1"/>
    <col min="12552" max="12800" width="9" style="70"/>
    <col min="12801" max="12801" width="35.625" style="70" customWidth="1"/>
    <col min="12802" max="12802" width="17.5" style="70" customWidth="1"/>
    <col min="12803" max="12804" width="8.5" style="70" customWidth="1"/>
    <col min="12805" max="12805" width="119.75" style="70" bestFit="1" customWidth="1"/>
    <col min="12806" max="12806" width="15.375" style="70" customWidth="1"/>
    <col min="12807" max="12807" width="13.75" style="70" customWidth="1"/>
    <col min="12808" max="13056" width="9" style="70"/>
    <col min="13057" max="13057" width="35.625" style="70" customWidth="1"/>
    <col min="13058" max="13058" width="17.5" style="70" customWidth="1"/>
    <col min="13059" max="13060" width="8.5" style="70" customWidth="1"/>
    <col min="13061" max="13061" width="119.75" style="70" bestFit="1" customWidth="1"/>
    <col min="13062" max="13062" width="15.375" style="70" customWidth="1"/>
    <col min="13063" max="13063" width="13.75" style="70" customWidth="1"/>
    <col min="13064" max="13312" width="9" style="70"/>
    <col min="13313" max="13313" width="35.625" style="70" customWidth="1"/>
    <col min="13314" max="13314" width="17.5" style="70" customWidth="1"/>
    <col min="13315" max="13316" width="8.5" style="70" customWidth="1"/>
    <col min="13317" max="13317" width="119.75" style="70" bestFit="1" customWidth="1"/>
    <col min="13318" max="13318" width="15.375" style="70" customWidth="1"/>
    <col min="13319" max="13319" width="13.75" style="70" customWidth="1"/>
    <col min="13320" max="13568" width="9" style="70"/>
    <col min="13569" max="13569" width="35.625" style="70" customWidth="1"/>
    <col min="13570" max="13570" width="17.5" style="70" customWidth="1"/>
    <col min="13571" max="13572" width="8.5" style="70" customWidth="1"/>
    <col min="13573" max="13573" width="119.75" style="70" bestFit="1" customWidth="1"/>
    <col min="13574" max="13574" width="15.375" style="70" customWidth="1"/>
    <col min="13575" max="13575" width="13.75" style="70" customWidth="1"/>
    <col min="13576" max="13824" width="9" style="70"/>
    <col min="13825" max="13825" width="35.625" style="70" customWidth="1"/>
    <col min="13826" max="13826" width="17.5" style="70" customWidth="1"/>
    <col min="13827" max="13828" width="8.5" style="70" customWidth="1"/>
    <col min="13829" max="13829" width="119.75" style="70" bestFit="1" customWidth="1"/>
    <col min="13830" max="13830" width="15.375" style="70" customWidth="1"/>
    <col min="13831" max="13831" width="13.75" style="70" customWidth="1"/>
    <col min="13832" max="14080" width="9" style="70"/>
    <col min="14081" max="14081" width="35.625" style="70" customWidth="1"/>
    <col min="14082" max="14082" width="17.5" style="70" customWidth="1"/>
    <col min="14083" max="14084" width="8.5" style="70" customWidth="1"/>
    <col min="14085" max="14085" width="119.75" style="70" bestFit="1" customWidth="1"/>
    <col min="14086" max="14086" width="15.375" style="70" customWidth="1"/>
    <col min="14087" max="14087" width="13.75" style="70" customWidth="1"/>
    <col min="14088" max="14336" width="9" style="70"/>
    <col min="14337" max="14337" width="35.625" style="70" customWidth="1"/>
    <col min="14338" max="14338" width="17.5" style="70" customWidth="1"/>
    <col min="14339" max="14340" width="8.5" style="70" customWidth="1"/>
    <col min="14341" max="14341" width="119.75" style="70" bestFit="1" customWidth="1"/>
    <col min="14342" max="14342" width="15.375" style="70" customWidth="1"/>
    <col min="14343" max="14343" width="13.75" style="70" customWidth="1"/>
    <col min="14344" max="14592" width="9" style="70"/>
    <col min="14593" max="14593" width="35.625" style="70" customWidth="1"/>
    <col min="14594" max="14594" width="17.5" style="70" customWidth="1"/>
    <col min="14595" max="14596" width="8.5" style="70" customWidth="1"/>
    <col min="14597" max="14597" width="119.75" style="70" bestFit="1" customWidth="1"/>
    <col min="14598" max="14598" width="15.375" style="70" customWidth="1"/>
    <col min="14599" max="14599" width="13.75" style="70" customWidth="1"/>
    <col min="14600" max="14848" width="9" style="70"/>
    <col min="14849" max="14849" width="35.625" style="70" customWidth="1"/>
    <col min="14850" max="14850" width="17.5" style="70" customWidth="1"/>
    <col min="14851" max="14852" width="8.5" style="70" customWidth="1"/>
    <col min="14853" max="14853" width="119.75" style="70" bestFit="1" customWidth="1"/>
    <col min="14854" max="14854" width="15.375" style="70" customWidth="1"/>
    <col min="14855" max="14855" width="13.75" style="70" customWidth="1"/>
    <col min="14856" max="15104" width="9" style="70"/>
    <col min="15105" max="15105" width="35.625" style="70" customWidth="1"/>
    <col min="15106" max="15106" width="17.5" style="70" customWidth="1"/>
    <col min="15107" max="15108" width="8.5" style="70" customWidth="1"/>
    <col min="15109" max="15109" width="119.75" style="70" bestFit="1" customWidth="1"/>
    <col min="15110" max="15110" width="15.375" style="70" customWidth="1"/>
    <col min="15111" max="15111" width="13.75" style="70" customWidth="1"/>
    <col min="15112" max="15360" width="9" style="70"/>
    <col min="15361" max="15361" width="35.625" style="70" customWidth="1"/>
    <col min="15362" max="15362" width="17.5" style="70" customWidth="1"/>
    <col min="15363" max="15364" width="8.5" style="70" customWidth="1"/>
    <col min="15365" max="15365" width="119.75" style="70" bestFit="1" customWidth="1"/>
    <col min="15366" max="15366" width="15.375" style="70" customWidth="1"/>
    <col min="15367" max="15367" width="13.75" style="70" customWidth="1"/>
    <col min="15368" max="15616" width="9" style="70"/>
    <col min="15617" max="15617" width="35.625" style="70" customWidth="1"/>
    <col min="15618" max="15618" width="17.5" style="70" customWidth="1"/>
    <col min="15619" max="15620" width="8.5" style="70" customWidth="1"/>
    <col min="15621" max="15621" width="119.75" style="70" bestFit="1" customWidth="1"/>
    <col min="15622" max="15622" width="15.375" style="70" customWidth="1"/>
    <col min="15623" max="15623" width="13.75" style="70" customWidth="1"/>
    <col min="15624" max="15872" width="9" style="70"/>
    <col min="15873" max="15873" width="35.625" style="70" customWidth="1"/>
    <col min="15874" max="15874" width="17.5" style="70" customWidth="1"/>
    <col min="15875" max="15876" width="8.5" style="70" customWidth="1"/>
    <col min="15877" max="15877" width="119.75" style="70" bestFit="1" customWidth="1"/>
    <col min="15878" max="15878" width="15.375" style="70" customWidth="1"/>
    <col min="15879" max="15879" width="13.75" style="70" customWidth="1"/>
    <col min="15880" max="16128" width="9" style="70"/>
    <col min="16129" max="16129" width="35.625" style="70" customWidth="1"/>
    <col min="16130" max="16130" width="17.5" style="70" customWidth="1"/>
    <col min="16131" max="16132" width="8.5" style="70" customWidth="1"/>
    <col min="16133" max="16133" width="119.75" style="70" bestFit="1" customWidth="1"/>
    <col min="16134" max="16134" width="15.375" style="70" customWidth="1"/>
    <col min="16135" max="16135" width="13.75" style="70" customWidth="1"/>
    <col min="16136" max="16384" width="9" style="70"/>
  </cols>
  <sheetData>
    <row r="1" spans="1:8" s="66" customFormat="1">
      <c r="A1" s="372" t="s">
        <v>69</v>
      </c>
      <c r="B1" s="372"/>
      <c r="C1" s="372"/>
      <c r="D1" s="372"/>
      <c r="E1" s="372"/>
      <c r="F1" s="372"/>
      <c r="G1" s="93"/>
      <c r="H1" s="93"/>
    </row>
    <row r="2" spans="1:8" s="66" customFormat="1" ht="30" customHeight="1">
      <c r="A2" s="372"/>
      <c r="B2" s="372"/>
      <c r="C2" s="372"/>
      <c r="D2" s="372"/>
      <c r="E2" s="372"/>
      <c r="F2" s="372"/>
      <c r="G2" s="93"/>
      <c r="H2" s="93"/>
    </row>
    <row r="3" spans="1:8" s="67" customFormat="1" ht="24.95" customHeight="1">
      <c r="A3" s="373" t="e">
        <f>#REF!</f>
        <v>#REF!</v>
      </c>
      <c r="B3" s="373"/>
      <c r="C3" s="373"/>
      <c r="D3" s="373"/>
      <c r="E3" s="373"/>
      <c r="F3" s="373"/>
      <c r="G3" s="373"/>
    </row>
    <row r="4" spans="1:8" s="68" customFormat="1" ht="24" customHeight="1">
      <c r="A4" s="100" t="s">
        <v>70</v>
      </c>
      <c r="B4" s="100" t="s">
        <v>71</v>
      </c>
      <c r="C4" s="100" t="s">
        <v>72</v>
      </c>
      <c r="D4" s="94" t="s">
        <v>73</v>
      </c>
      <c r="E4" s="100" t="s">
        <v>74</v>
      </c>
      <c r="F4" s="100" t="s">
        <v>75</v>
      </c>
      <c r="G4" s="100" t="s">
        <v>76</v>
      </c>
    </row>
    <row r="5" spans="1:8" s="68" customFormat="1" ht="24" customHeight="1">
      <c r="A5" s="101" t="str">
        <f>'내역서(표준단가)'!J5</f>
        <v>지하주차장 유인팬 교체</v>
      </c>
      <c r="B5" s="102">
        <f>'내역서(표준단가)'!K5</f>
        <v>0</v>
      </c>
      <c r="C5" s="102">
        <f>'내역서(표준단가)'!L5</f>
        <v>0</v>
      </c>
      <c r="D5" s="103">
        <f>'내역서(표준단가)'!M5</f>
        <v>0</v>
      </c>
      <c r="E5" s="69"/>
      <c r="F5" s="95"/>
      <c r="G5" s="104"/>
    </row>
    <row r="6" spans="1:8" s="68" customFormat="1" ht="24" customHeight="1">
      <c r="A6" s="102" t="str">
        <f>'내역서(표준단가)'!J6</f>
        <v>유인팬(LONG FAN)</v>
      </c>
      <c r="B6" s="102" t="str">
        <f>'내역서(표준단가)'!K6</f>
        <v>2700CMH*140W</v>
      </c>
      <c r="C6" s="102" t="str">
        <f>'내역서(표준단가)'!L6</f>
        <v>EA</v>
      </c>
      <c r="D6" s="103">
        <f>'내역서(표준단가)'!M6</f>
        <v>20</v>
      </c>
      <c r="E6" s="79" t="s">
        <v>149</v>
      </c>
      <c r="F6" s="95"/>
      <c r="G6" s="104"/>
    </row>
    <row r="7" spans="1:8" s="68" customFormat="1" ht="24" customHeight="1">
      <c r="A7" s="102" t="str">
        <f>'내역서(표준단가)'!J7</f>
        <v>무덕트 배기팬 설치</v>
      </c>
      <c r="B7" s="102" t="str">
        <f>'내역서(표준단가)'!K7</f>
        <v>풍량 2,400㎥/h이하</v>
      </c>
      <c r="C7" s="102" t="str">
        <f>'내역서(표준단가)'!L7</f>
        <v>(대당)</v>
      </c>
      <c r="D7" s="103">
        <f>'내역서(표준단가)'!M7</f>
        <v>20</v>
      </c>
      <c r="E7" s="79" t="s">
        <v>149</v>
      </c>
      <c r="F7" s="95"/>
      <c r="G7" s="104"/>
    </row>
    <row r="8" spans="1:8" s="68" customFormat="1" ht="24" customHeight="1">
      <c r="A8" s="102" t="str">
        <f>'내역서(표준단가)'!J8</f>
        <v>무덕트 배기팬 설치 (철거)</v>
      </c>
      <c r="B8" s="102" t="str">
        <f>'내역서(표준단가)'!K8</f>
        <v>풍량 2,400㎥/h이하</v>
      </c>
      <c r="C8" s="102" t="str">
        <f>'내역서(표준단가)'!L8</f>
        <v>(대당)</v>
      </c>
      <c r="D8" s="103">
        <f>'내역서(표준단가)'!M8</f>
        <v>20</v>
      </c>
      <c r="E8" s="79" t="s">
        <v>149</v>
      </c>
      <c r="F8" s="95"/>
      <c r="G8" s="104"/>
    </row>
    <row r="9" spans="1:8" s="68" customFormat="1" ht="24" customHeight="1">
      <c r="A9" s="102" t="str">
        <f>'내역서(표준단가)'!J9</f>
        <v>전산볼트</v>
      </c>
      <c r="B9" s="102" t="str">
        <f>'내역서(표준단가)'!K9</f>
        <v>M10(도금) (길이 1m)</v>
      </c>
      <c r="C9" s="102" t="str">
        <f>'내역서(표준단가)'!L9</f>
        <v>개</v>
      </c>
      <c r="D9" s="103">
        <f>'내역서(표준단가)'!M9</f>
        <v>160</v>
      </c>
      <c r="E9" s="79" t="s">
        <v>150</v>
      </c>
      <c r="F9" s="95"/>
      <c r="G9" s="104"/>
    </row>
    <row r="10" spans="1:8" s="68" customFormat="1" ht="24" customHeight="1">
      <c r="A10" s="102" t="str">
        <f>'내역서(표준단가)'!J10</f>
        <v>셋트앙카</v>
      </c>
      <c r="B10" s="102" t="str">
        <f>'내역서(표준단가)'!K10</f>
        <v>ø9㎜×6㎝</v>
      </c>
      <c r="C10" s="102" t="str">
        <f>'내역서(표준단가)'!L10</f>
        <v>개</v>
      </c>
      <c r="D10" s="103">
        <f>'내역서(표준단가)'!M10</f>
        <v>80</v>
      </c>
      <c r="E10" s="79" t="s">
        <v>151</v>
      </c>
      <c r="F10" s="95"/>
      <c r="G10" s="104"/>
    </row>
    <row r="11" spans="1:8" s="68" customFormat="1" ht="24" customHeight="1">
      <c r="A11" s="102" t="str">
        <f>'내역서(표준단가)'!J11</f>
        <v>부대공사(앙카볼트 설치 등) - 앙카볼트설치</v>
      </c>
      <c r="B11" s="102" t="str">
        <f>'내역서(표준단가)'!K11</f>
        <v>ø13㎜ 이하</v>
      </c>
      <c r="C11" s="102" t="str">
        <f>'내역서(표준단가)'!L11</f>
        <v>(개당)</v>
      </c>
      <c r="D11" s="103">
        <f>'내역서(표준단가)'!M11</f>
        <v>80</v>
      </c>
      <c r="E11" s="79" t="s">
        <v>151</v>
      </c>
      <c r="F11" s="95"/>
      <c r="G11" s="104"/>
    </row>
    <row r="12" spans="1:8" s="68" customFormat="1" ht="24" customHeight="1">
      <c r="A12" s="102" t="str">
        <f>'내역서(표준단가)'!J12</f>
        <v>부대공사(앙카볼트 설치 등) - 앙카볼트설치 (철거)</v>
      </c>
      <c r="B12" s="102" t="str">
        <f>'내역서(표준단가)'!K12</f>
        <v>ø13㎜ 이하</v>
      </c>
      <c r="C12" s="102" t="str">
        <f>'내역서(표준단가)'!L12</f>
        <v>(개당)</v>
      </c>
      <c r="D12" s="103">
        <f>'내역서(표준단가)'!M12</f>
        <v>80</v>
      </c>
      <c r="E12" s="79" t="s">
        <v>151</v>
      </c>
      <c r="F12" s="95"/>
      <c r="G12" s="104"/>
    </row>
    <row r="13" spans="1:8" s="68" customFormat="1" ht="24" customHeight="1">
      <c r="A13" s="102" t="str">
        <f>'내역서(표준단가)'!J13</f>
        <v>프리미엄 그린실 808</v>
      </c>
      <c r="B13" s="102" t="str">
        <f>'내역서(표준단가)'!K13</f>
        <v>1액형 실리콘, 다목적 건축실링용, 유리글레이징, 친환경 인증</v>
      </c>
      <c r="C13" s="102" t="str">
        <f>'내역서(표준단가)'!L13</f>
        <v>270㎖</v>
      </c>
      <c r="D13" s="103">
        <f>'내역서(표준단가)'!M13</f>
        <v>1</v>
      </c>
      <c r="E13" s="79" t="s">
        <v>96</v>
      </c>
      <c r="F13" s="95"/>
      <c r="G13" s="104"/>
    </row>
    <row r="14" spans="1:8" s="68" customFormat="1" ht="24" customHeight="1">
      <c r="A14" s="102" t="str">
        <f>'내역서(표준단가)'!J14</f>
        <v>코킹</v>
      </c>
      <c r="B14" s="102" t="str">
        <f>'내역서(표준단가)'!K14</f>
        <v>코킹</v>
      </c>
      <c r="C14" s="102" t="str">
        <f>'내역서(표준단가)'!L14</f>
        <v>(10m 당)</v>
      </c>
      <c r="D14" s="103">
        <f>'내역서(표준단가)'!M14</f>
        <v>1</v>
      </c>
      <c r="E14" s="79" t="s">
        <v>96</v>
      </c>
      <c r="F14" s="95"/>
      <c r="G14" s="104"/>
    </row>
    <row r="15" spans="1:8" s="68" customFormat="1" ht="24" customHeight="1">
      <c r="A15" s="102" t="str">
        <f>'내역서(표준단가)'!J15</f>
        <v>화물차</v>
      </c>
      <c r="B15" s="102" t="str">
        <f>'내역서(표준단가)'!K15</f>
        <v>5TON</v>
      </c>
      <c r="C15" s="102" t="str">
        <f>'내역서(표준단가)'!L15</f>
        <v>HR</v>
      </c>
      <c r="D15" s="103">
        <f>'내역서(표준단가)'!M15</f>
        <v>8</v>
      </c>
      <c r="E15" s="79" t="s">
        <v>152</v>
      </c>
      <c r="F15" s="95"/>
      <c r="G15" s="104"/>
    </row>
    <row r="16" spans="1:8" s="68" customFormat="1" ht="24" customHeight="1">
      <c r="A16" s="102" t="str">
        <f>'내역서(표준단가)'!J16</f>
        <v>지게차</v>
      </c>
      <c r="B16" s="102" t="str">
        <f>'내역서(표준단가)'!K16</f>
        <v>7.55ton</v>
      </c>
      <c r="C16" s="102" t="str">
        <f>'내역서(표준단가)'!L16</f>
        <v>(시간당)</v>
      </c>
      <c r="D16" s="103">
        <f>'내역서(표준단가)'!M16</f>
        <v>8</v>
      </c>
      <c r="E16" s="79" t="s">
        <v>152</v>
      </c>
      <c r="F16" s="95"/>
      <c r="G16" s="104"/>
    </row>
    <row r="17" spans="1:7" s="68" customFormat="1" ht="24" customHeight="1">
      <c r="A17" s="102" t="str">
        <f>'내역서(표준단가)'!J17</f>
        <v>보통인부</v>
      </c>
      <c r="B17" s="102" t="str">
        <f>'내역서(표준단가)'!K17</f>
        <v>사다리보조자</v>
      </c>
      <c r="C17" s="102" t="str">
        <f>'내역서(표준단가)'!L17</f>
        <v>인</v>
      </c>
      <c r="D17" s="103">
        <f>'내역서(표준단가)'!M17</f>
        <v>1</v>
      </c>
      <c r="E17" s="79" t="s">
        <v>106</v>
      </c>
      <c r="F17" s="95"/>
      <c r="G17" s="104"/>
    </row>
    <row r="18" spans="1:7" s="68" customFormat="1" ht="24" customHeight="1">
      <c r="A18" s="102" t="str">
        <f>'내역서(표준단가)'!J18</f>
        <v>보통인부</v>
      </c>
      <c r="B18" s="102" t="str">
        <f>'내역서(표준단가)'!K18</f>
        <v>신호수</v>
      </c>
      <c r="C18" s="102" t="str">
        <f>'내역서(표준단가)'!L18</f>
        <v>인</v>
      </c>
      <c r="D18" s="103">
        <f>'내역서(표준단가)'!M18</f>
        <v>1</v>
      </c>
      <c r="E18" s="79" t="s">
        <v>97</v>
      </c>
      <c r="F18" s="95"/>
      <c r="G18" s="104"/>
    </row>
    <row r="19" spans="1:7" s="68" customFormat="1" ht="24" customHeight="1">
      <c r="A19" s="102">
        <f>'내역서(표준단가)'!J19</f>
        <v>0</v>
      </c>
      <c r="B19" s="102">
        <f>'내역서(표준단가)'!K19</f>
        <v>0</v>
      </c>
      <c r="C19" s="102">
        <f>'내역서(표준단가)'!L19</f>
        <v>0</v>
      </c>
      <c r="D19" s="103">
        <f>'내역서(표준단가)'!M19</f>
        <v>0</v>
      </c>
      <c r="E19" s="79"/>
      <c r="F19" s="95"/>
      <c r="G19" s="104"/>
    </row>
    <row r="20" spans="1:7" s="68" customFormat="1" ht="24" customHeight="1">
      <c r="A20" s="102">
        <f>'내역서(표준단가)'!J20</f>
        <v>0</v>
      </c>
      <c r="B20" s="102">
        <f>'내역서(표준단가)'!K20</f>
        <v>0</v>
      </c>
      <c r="C20" s="102">
        <f>'내역서(표준단가)'!L20</f>
        <v>0</v>
      </c>
      <c r="D20" s="103">
        <f>'내역서(표준단가)'!M20</f>
        <v>0</v>
      </c>
      <c r="E20" s="79"/>
      <c r="F20" s="95"/>
      <c r="G20" s="104"/>
    </row>
    <row r="21" spans="1:7" s="68" customFormat="1" ht="24" customHeight="1">
      <c r="A21" s="102">
        <f>'내역서(표준단가)'!J21</f>
        <v>0</v>
      </c>
      <c r="B21" s="102">
        <f>'내역서(표준단가)'!K21</f>
        <v>0</v>
      </c>
      <c r="C21" s="102">
        <f>'내역서(표준단가)'!L21</f>
        <v>0</v>
      </c>
      <c r="D21" s="103">
        <f>'내역서(표준단가)'!M21</f>
        <v>0</v>
      </c>
      <c r="E21" s="79"/>
      <c r="F21" s="95"/>
      <c r="G21" s="104"/>
    </row>
    <row r="22" spans="1:7" s="68" customFormat="1" ht="24" customHeight="1">
      <c r="A22" s="102">
        <f>'내역서(표준단가)'!J22</f>
        <v>0</v>
      </c>
      <c r="B22" s="102">
        <f>'내역서(표준단가)'!K22</f>
        <v>0</v>
      </c>
      <c r="C22" s="102">
        <f>'내역서(표준단가)'!L22</f>
        <v>0</v>
      </c>
      <c r="D22" s="103">
        <f>'내역서(표준단가)'!M22</f>
        <v>0</v>
      </c>
      <c r="E22" s="79"/>
      <c r="F22" s="95"/>
      <c r="G22" s="104"/>
    </row>
    <row r="23" spans="1:7" s="68" customFormat="1" ht="24" customHeight="1">
      <c r="A23" s="102">
        <f>'내역서(표준단가)'!J23</f>
        <v>0</v>
      </c>
      <c r="B23" s="102">
        <f>'내역서(표준단가)'!K23</f>
        <v>0</v>
      </c>
      <c r="C23" s="102">
        <f>'내역서(표준단가)'!L23</f>
        <v>0</v>
      </c>
      <c r="D23" s="103">
        <f>'내역서(표준단가)'!M23</f>
        <v>0</v>
      </c>
      <c r="E23" s="69"/>
      <c r="F23" s="95"/>
      <c r="G23" s="104"/>
    </row>
    <row r="24" spans="1:7" s="68" customFormat="1" ht="24" customHeight="1">
      <c r="A24" s="102">
        <f>'내역서(표준단가)'!J24</f>
        <v>0</v>
      </c>
      <c r="B24" s="102">
        <f>'내역서(표준단가)'!K24</f>
        <v>0</v>
      </c>
      <c r="C24" s="102">
        <f>'내역서(표준단가)'!L24</f>
        <v>0</v>
      </c>
      <c r="D24" s="103">
        <f>'내역서(표준단가)'!M24</f>
        <v>0</v>
      </c>
      <c r="E24" s="69"/>
      <c r="F24" s="95"/>
      <c r="G24" s="104"/>
    </row>
    <row r="25" spans="1:7" s="68" customFormat="1" ht="24" customHeight="1">
      <c r="A25" s="102">
        <f>'내역서(표준단가)'!J25</f>
        <v>0</v>
      </c>
      <c r="B25" s="102">
        <f>'내역서(표준단가)'!K25</f>
        <v>0</v>
      </c>
      <c r="C25" s="102">
        <f>'내역서(표준단가)'!L25</f>
        <v>0</v>
      </c>
      <c r="D25" s="103">
        <f>'내역서(표준단가)'!M25</f>
        <v>0</v>
      </c>
      <c r="E25" s="69"/>
      <c r="F25" s="95"/>
      <c r="G25" s="104"/>
    </row>
    <row r="26" spans="1:7" s="68" customFormat="1" ht="24" customHeight="1">
      <c r="A26" s="102">
        <f>'내역서(표준단가)'!J28</f>
        <v>0</v>
      </c>
      <c r="B26" s="105">
        <f>'내역서(표준단가)'!K28</f>
        <v>0</v>
      </c>
      <c r="C26" s="105">
        <f>'내역서(표준단가)'!L28</f>
        <v>0</v>
      </c>
      <c r="D26" s="95">
        <f>'내역서(표준단가)'!M28</f>
        <v>0</v>
      </c>
      <c r="E26" s="69"/>
      <c r="F26" s="95"/>
      <c r="G26" s="104"/>
    </row>
    <row r="27" spans="1:7" s="68" customFormat="1" ht="24" customHeight="1">
      <c r="A27" s="102">
        <f>'내역서(표준단가)'!J29</f>
        <v>0</v>
      </c>
      <c r="B27" s="105">
        <f>'내역서(표준단가)'!K29</f>
        <v>0</v>
      </c>
      <c r="C27" s="105">
        <f>'내역서(표준단가)'!L29</f>
        <v>0</v>
      </c>
      <c r="D27" s="95">
        <f>'내역서(표준단가)'!M29</f>
        <v>0</v>
      </c>
      <c r="E27" s="69"/>
      <c r="F27" s="95"/>
      <c r="G27" s="104"/>
    </row>
    <row r="28" spans="1:7" s="68" customFormat="1" ht="24" customHeight="1">
      <c r="A28" s="102">
        <f>'내역서(표준단가)'!J30</f>
        <v>0</v>
      </c>
      <c r="B28" s="105">
        <f>'내역서(표준단가)'!K30</f>
        <v>0</v>
      </c>
      <c r="C28" s="105">
        <f>'내역서(표준단가)'!L30</f>
        <v>0</v>
      </c>
      <c r="D28" s="95">
        <f>'내역서(표준단가)'!M30</f>
        <v>0</v>
      </c>
      <c r="E28" s="69"/>
      <c r="F28" s="95"/>
      <c r="G28" s="104"/>
    </row>
    <row r="29" spans="1:7" s="68" customFormat="1" ht="24" customHeight="1">
      <c r="A29" s="102">
        <f>'내역서(표준단가)'!J31</f>
        <v>0</v>
      </c>
      <c r="B29" s="105">
        <f>'내역서(표준단가)'!K31</f>
        <v>0</v>
      </c>
      <c r="C29" s="105">
        <f>'내역서(표준단가)'!L31</f>
        <v>0</v>
      </c>
      <c r="D29" s="95">
        <f>'내역서(표준단가)'!M31</f>
        <v>0</v>
      </c>
      <c r="E29" s="69"/>
      <c r="F29" s="95"/>
      <c r="G29" s="104"/>
    </row>
    <row r="30" spans="1:7" s="68" customFormat="1" ht="24" customHeight="1">
      <c r="A30" s="102">
        <f>'내역서(표준단가)'!J32</f>
        <v>0</v>
      </c>
      <c r="B30" s="105">
        <f>'내역서(표준단가)'!K32</f>
        <v>0</v>
      </c>
      <c r="C30" s="105">
        <f>'내역서(표준단가)'!L32</f>
        <v>0</v>
      </c>
      <c r="D30" s="95">
        <f>'내역서(표준단가)'!M32</f>
        <v>0</v>
      </c>
      <c r="E30" s="69"/>
      <c r="F30" s="95"/>
      <c r="G30" s="104"/>
    </row>
    <row r="31" spans="1:7" s="68" customFormat="1" ht="24" customHeight="1">
      <c r="A31" s="102">
        <f>'내역서(표준단가)'!J33</f>
        <v>0</v>
      </c>
      <c r="B31" s="105">
        <f>'내역서(표준단가)'!K33</f>
        <v>0</v>
      </c>
      <c r="C31" s="105">
        <f>'내역서(표준단가)'!L33</f>
        <v>0</v>
      </c>
      <c r="D31" s="95">
        <f>'내역서(표준단가)'!M33</f>
        <v>0</v>
      </c>
      <c r="E31" s="69"/>
      <c r="F31" s="95"/>
      <c r="G31" s="104"/>
    </row>
    <row r="32" spans="1:7" s="68" customFormat="1" ht="24" customHeight="1">
      <c r="A32" s="102">
        <f>'내역서(표준단가)'!J34</f>
        <v>0</v>
      </c>
      <c r="B32" s="105">
        <f>'내역서(표준단가)'!K34</f>
        <v>0</v>
      </c>
      <c r="C32" s="105">
        <f>'내역서(표준단가)'!L34</f>
        <v>0</v>
      </c>
      <c r="D32" s="95">
        <f>'내역서(표준단가)'!M34</f>
        <v>0</v>
      </c>
      <c r="E32" s="69"/>
      <c r="F32" s="95"/>
      <c r="G32" s="104"/>
    </row>
    <row r="33" spans="1:7" s="68" customFormat="1" ht="24" customHeight="1">
      <c r="A33" s="102">
        <f>'내역서(표준단가)'!J35</f>
        <v>0</v>
      </c>
      <c r="B33" s="105">
        <f>'내역서(표준단가)'!K35</f>
        <v>0</v>
      </c>
      <c r="C33" s="105">
        <f>'내역서(표준단가)'!L35</f>
        <v>0</v>
      </c>
      <c r="D33" s="95">
        <f>'내역서(표준단가)'!M35</f>
        <v>0</v>
      </c>
      <c r="E33" s="69"/>
      <c r="F33" s="95"/>
      <c r="G33" s="104"/>
    </row>
    <row r="34" spans="1:7" s="68" customFormat="1" ht="24" customHeight="1">
      <c r="A34" s="102">
        <f>'내역서(표준단가)'!J36</f>
        <v>0</v>
      </c>
      <c r="B34" s="105">
        <f>'내역서(표준단가)'!K36</f>
        <v>0</v>
      </c>
      <c r="C34" s="105">
        <f>'내역서(표준단가)'!L36</f>
        <v>0</v>
      </c>
      <c r="D34" s="95">
        <f>'내역서(표준단가)'!M36</f>
        <v>0</v>
      </c>
      <c r="E34" s="69"/>
      <c r="F34" s="95"/>
      <c r="G34" s="104"/>
    </row>
    <row r="35" spans="1:7" s="68" customFormat="1" ht="24" customHeight="1">
      <c r="A35" s="102">
        <f>'내역서(표준단가)'!J37</f>
        <v>0</v>
      </c>
      <c r="B35" s="105">
        <f>'내역서(표준단가)'!K37</f>
        <v>0</v>
      </c>
      <c r="C35" s="105">
        <f>'내역서(표준단가)'!L37</f>
        <v>0</v>
      </c>
      <c r="D35" s="95">
        <f>'내역서(표준단가)'!M37</f>
        <v>0</v>
      </c>
      <c r="E35" s="69"/>
      <c r="F35" s="95"/>
      <c r="G35" s="104"/>
    </row>
    <row r="36" spans="1:7" s="68" customFormat="1" ht="24" customHeight="1">
      <c r="A36" s="102">
        <f>'내역서(표준단가)'!J38</f>
        <v>0</v>
      </c>
      <c r="B36" s="105">
        <f>'내역서(표준단가)'!K38</f>
        <v>0</v>
      </c>
      <c r="C36" s="105">
        <f>'내역서(표준단가)'!L38</f>
        <v>0</v>
      </c>
      <c r="D36" s="95">
        <f>'내역서(표준단가)'!M38</f>
        <v>0</v>
      </c>
      <c r="E36" s="69"/>
      <c r="F36" s="95"/>
      <c r="G36" s="104"/>
    </row>
    <row r="37" spans="1:7" s="68" customFormat="1" ht="24" customHeight="1">
      <c r="A37" s="102">
        <f>'내역서(표준단가)'!J39</f>
        <v>0</v>
      </c>
      <c r="B37" s="105">
        <f>'내역서(표준단가)'!K39</f>
        <v>0</v>
      </c>
      <c r="C37" s="105">
        <f>'내역서(표준단가)'!L39</f>
        <v>0</v>
      </c>
      <c r="D37" s="95">
        <f>'내역서(표준단가)'!M39</f>
        <v>0</v>
      </c>
      <c r="E37" s="69"/>
      <c r="F37" s="95"/>
      <c r="G37" s="104"/>
    </row>
    <row r="38" spans="1:7" s="68" customFormat="1" ht="24" customHeight="1">
      <c r="A38" s="102">
        <f>'내역서(표준단가)'!J40</f>
        <v>0</v>
      </c>
      <c r="B38" s="105">
        <f>'내역서(표준단가)'!K40</f>
        <v>0</v>
      </c>
      <c r="C38" s="105">
        <f>'내역서(표준단가)'!L40</f>
        <v>0</v>
      </c>
      <c r="D38" s="95">
        <f>'내역서(표준단가)'!M40</f>
        <v>0</v>
      </c>
      <c r="E38" s="69"/>
      <c r="F38" s="95"/>
      <c r="G38" s="104"/>
    </row>
    <row r="39" spans="1:7" s="68" customFormat="1" ht="24" customHeight="1">
      <c r="A39" s="102">
        <f>'내역서(표준단가)'!J41</f>
        <v>0</v>
      </c>
      <c r="B39" s="105">
        <f>'내역서(표준단가)'!K41</f>
        <v>0</v>
      </c>
      <c r="C39" s="105">
        <f>'내역서(표준단가)'!L41</f>
        <v>0</v>
      </c>
      <c r="D39" s="95">
        <f>'내역서(표준단가)'!M41</f>
        <v>0</v>
      </c>
      <c r="E39" s="69"/>
      <c r="F39" s="95"/>
      <c r="G39" s="104"/>
    </row>
    <row r="40" spans="1:7" s="68" customFormat="1" ht="24" customHeight="1">
      <c r="A40" s="102">
        <f>'내역서(표준단가)'!J42</f>
        <v>0</v>
      </c>
      <c r="B40" s="105">
        <f>'내역서(표준단가)'!K42</f>
        <v>0</v>
      </c>
      <c r="C40" s="105">
        <f>'내역서(표준단가)'!L42</f>
        <v>0</v>
      </c>
      <c r="D40" s="95">
        <f>'내역서(표준단가)'!M42</f>
        <v>0</v>
      </c>
      <c r="E40" s="69"/>
      <c r="F40" s="95"/>
      <c r="G40" s="104"/>
    </row>
    <row r="41" spans="1:7" s="68" customFormat="1" ht="24" customHeight="1">
      <c r="A41" s="102">
        <f>'내역서(표준단가)'!J43</f>
        <v>0</v>
      </c>
      <c r="B41" s="105">
        <f>'내역서(표준단가)'!K43</f>
        <v>0</v>
      </c>
      <c r="C41" s="105">
        <f>'내역서(표준단가)'!L43</f>
        <v>0</v>
      </c>
      <c r="D41" s="95">
        <f>'내역서(표준단가)'!M43</f>
        <v>0</v>
      </c>
      <c r="E41" s="69"/>
      <c r="F41" s="95"/>
      <c r="G41" s="104"/>
    </row>
    <row r="42" spans="1:7" s="68" customFormat="1" ht="24" customHeight="1">
      <c r="A42" s="102">
        <f>'내역서(표준단가)'!J44</f>
        <v>0</v>
      </c>
      <c r="B42" s="105">
        <f>'내역서(표준단가)'!K44</f>
        <v>0</v>
      </c>
      <c r="C42" s="105">
        <f>'내역서(표준단가)'!L44</f>
        <v>0</v>
      </c>
      <c r="D42" s="95">
        <f>'내역서(표준단가)'!M44</f>
        <v>0</v>
      </c>
      <c r="E42" s="69"/>
      <c r="F42" s="95"/>
      <c r="G42" s="104"/>
    </row>
    <row r="43" spans="1:7" s="68" customFormat="1" ht="24" customHeight="1">
      <c r="A43" s="102">
        <f>'내역서(표준단가)'!J45</f>
        <v>0</v>
      </c>
      <c r="B43" s="105">
        <f>'내역서(표준단가)'!K45</f>
        <v>0</v>
      </c>
      <c r="C43" s="105">
        <f>'내역서(표준단가)'!L45</f>
        <v>0</v>
      </c>
      <c r="D43" s="95">
        <f>'내역서(표준단가)'!M45</f>
        <v>0</v>
      </c>
      <c r="E43" s="69"/>
      <c r="F43" s="95"/>
      <c r="G43" s="104"/>
    </row>
    <row r="44" spans="1:7" s="68" customFormat="1" ht="24" customHeight="1">
      <c r="A44" s="102">
        <f>'내역서(표준단가)'!J46</f>
        <v>0</v>
      </c>
      <c r="B44" s="105">
        <f>'내역서(표준단가)'!K46</f>
        <v>0</v>
      </c>
      <c r="C44" s="105">
        <f>'내역서(표준단가)'!L46</f>
        <v>0</v>
      </c>
      <c r="D44" s="95">
        <f>'내역서(표준단가)'!M46</f>
        <v>0</v>
      </c>
      <c r="E44" s="69"/>
      <c r="F44" s="95"/>
      <c r="G44" s="104"/>
    </row>
    <row r="45" spans="1:7" s="68" customFormat="1" ht="24" customHeight="1">
      <c r="A45" s="102">
        <f>'내역서(표준단가)'!J47</f>
        <v>0</v>
      </c>
      <c r="B45" s="105">
        <f>'내역서(표준단가)'!K47</f>
        <v>0</v>
      </c>
      <c r="C45" s="105">
        <f>'내역서(표준단가)'!L47</f>
        <v>0</v>
      </c>
      <c r="D45" s="95">
        <f>'내역서(표준단가)'!M47</f>
        <v>0</v>
      </c>
      <c r="E45" s="69"/>
      <c r="F45" s="95"/>
      <c r="G45" s="104"/>
    </row>
    <row r="46" spans="1:7" s="68" customFormat="1" ht="24" customHeight="1">
      <c r="A46" s="102">
        <f>'내역서(표준단가)'!J48</f>
        <v>0</v>
      </c>
      <c r="B46" s="105">
        <f>'내역서(표준단가)'!K48</f>
        <v>0</v>
      </c>
      <c r="C46" s="105">
        <f>'내역서(표준단가)'!L48</f>
        <v>0</v>
      </c>
      <c r="D46" s="95">
        <f>'내역서(표준단가)'!M48</f>
        <v>0</v>
      </c>
      <c r="E46" s="69"/>
      <c r="F46" s="95"/>
      <c r="G46" s="104"/>
    </row>
    <row r="47" spans="1:7" s="68" customFormat="1" ht="24" customHeight="1">
      <c r="A47" s="102">
        <f>'내역서(표준단가)'!J49</f>
        <v>0</v>
      </c>
      <c r="B47" s="105">
        <f>'내역서(표준단가)'!K49</f>
        <v>0</v>
      </c>
      <c r="C47" s="105">
        <f>'내역서(표준단가)'!L49</f>
        <v>0</v>
      </c>
      <c r="D47" s="95">
        <f>'내역서(표준단가)'!M49</f>
        <v>0</v>
      </c>
      <c r="E47" s="69"/>
      <c r="F47" s="95"/>
      <c r="G47" s="104"/>
    </row>
    <row r="48" spans="1:7" s="68" customFormat="1" ht="24" customHeight="1">
      <c r="A48" s="102">
        <f>'내역서(표준단가)'!J50</f>
        <v>0</v>
      </c>
      <c r="B48" s="105">
        <f>'내역서(표준단가)'!K50</f>
        <v>0</v>
      </c>
      <c r="C48" s="105">
        <f>'내역서(표준단가)'!L50</f>
        <v>0</v>
      </c>
      <c r="D48" s="95">
        <f>'내역서(표준단가)'!M50</f>
        <v>0</v>
      </c>
      <c r="E48" s="69"/>
      <c r="F48" s="95"/>
      <c r="G48" s="104"/>
    </row>
    <row r="49" spans="1:7" s="68" customFormat="1" ht="24" customHeight="1">
      <c r="A49" s="102">
        <f>'내역서(표준단가)'!J51</f>
        <v>0</v>
      </c>
      <c r="B49" s="105">
        <f>'내역서(표준단가)'!K51</f>
        <v>0</v>
      </c>
      <c r="C49" s="105">
        <f>'내역서(표준단가)'!L51</f>
        <v>0</v>
      </c>
      <c r="D49" s="95">
        <f>'내역서(표준단가)'!M51</f>
        <v>0</v>
      </c>
      <c r="E49" s="69"/>
      <c r="F49" s="95"/>
      <c r="G49" s="104"/>
    </row>
    <row r="50" spans="1:7" s="68" customFormat="1" ht="24" customHeight="1">
      <c r="A50" s="102">
        <f>'내역서(표준단가)'!J52</f>
        <v>0</v>
      </c>
      <c r="B50" s="105">
        <f>'내역서(표준단가)'!K52</f>
        <v>0</v>
      </c>
      <c r="C50" s="105">
        <f>'내역서(표준단가)'!L52</f>
        <v>0</v>
      </c>
      <c r="D50" s="95">
        <f>'내역서(표준단가)'!M52</f>
        <v>0</v>
      </c>
      <c r="E50" s="69"/>
      <c r="F50" s="95"/>
      <c r="G50" s="104"/>
    </row>
    <row r="51" spans="1:7" s="68" customFormat="1" ht="24" customHeight="1">
      <c r="A51" s="102">
        <f>'내역서(표준단가)'!J53</f>
        <v>0</v>
      </c>
      <c r="B51" s="105">
        <f>'내역서(표준단가)'!K53</f>
        <v>0</v>
      </c>
      <c r="C51" s="105">
        <f>'내역서(표준단가)'!L53</f>
        <v>0</v>
      </c>
      <c r="D51" s="95">
        <f>'내역서(표준단가)'!M53</f>
        <v>0</v>
      </c>
      <c r="E51" s="69"/>
      <c r="F51" s="95"/>
      <c r="G51" s="104"/>
    </row>
    <row r="52" spans="1:7" s="68" customFormat="1" ht="24" customHeight="1">
      <c r="A52" s="102">
        <f>'내역서(표준단가)'!J54</f>
        <v>0</v>
      </c>
      <c r="B52" s="105">
        <f>'내역서(표준단가)'!K54</f>
        <v>0</v>
      </c>
      <c r="C52" s="105">
        <f>'내역서(표준단가)'!L54</f>
        <v>0</v>
      </c>
      <c r="D52" s="95">
        <f>'내역서(표준단가)'!M54</f>
        <v>0</v>
      </c>
      <c r="E52" s="69"/>
      <c r="F52" s="95"/>
      <c r="G52" s="104"/>
    </row>
    <row r="53" spans="1:7" s="68" customFormat="1" ht="24" customHeight="1">
      <c r="A53" s="102">
        <f>'내역서(표준단가)'!J55</f>
        <v>0</v>
      </c>
      <c r="B53" s="105">
        <f>'내역서(표준단가)'!K55</f>
        <v>0</v>
      </c>
      <c r="C53" s="105">
        <f>'내역서(표준단가)'!L55</f>
        <v>0</v>
      </c>
      <c r="D53" s="95">
        <f>'내역서(표준단가)'!M55</f>
        <v>0</v>
      </c>
      <c r="E53" s="69"/>
      <c r="F53" s="95"/>
      <c r="G53" s="104"/>
    </row>
    <row r="54" spans="1:7" s="68" customFormat="1" ht="24" customHeight="1">
      <c r="A54" s="102">
        <f>'내역서(표준단가)'!J56</f>
        <v>0</v>
      </c>
      <c r="B54" s="105">
        <f>'내역서(표준단가)'!K56</f>
        <v>0</v>
      </c>
      <c r="C54" s="105">
        <f>'내역서(표준단가)'!L56</f>
        <v>0</v>
      </c>
      <c r="D54" s="95">
        <f>'내역서(표준단가)'!M56</f>
        <v>0</v>
      </c>
      <c r="E54" s="69"/>
      <c r="F54" s="95"/>
      <c r="G54" s="104"/>
    </row>
    <row r="55" spans="1:7" s="68" customFormat="1" ht="24" customHeight="1">
      <c r="A55" s="102">
        <f>'내역서(표준단가)'!J57</f>
        <v>0</v>
      </c>
      <c r="B55" s="105">
        <f>'내역서(표준단가)'!K57</f>
        <v>0</v>
      </c>
      <c r="C55" s="105">
        <f>'내역서(표준단가)'!L57</f>
        <v>0</v>
      </c>
      <c r="D55" s="95">
        <f>'내역서(표준단가)'!M57</f>
        <v>0</v>
      </c>
      <c r="E55" s="69"/>
      <c r="F55" s="95"/>
      <c r="G55" s="104"/>
    </row>
    <row r="56" spans="1:7" s="68" customFormat="1" ht="24" customHeight="1">
      <c r="A56" s="102">
        <f>'내역서(표준단가)'!J58</f>
        <v>0</v>
      </c>
      <c r="B56" s="105">
        <f>'내역서(표준단가)'!K58</f>
        <v>0</v>
      </c>
      <c r="C56" s="105">
        <f>'내역서(표준단가)'!L58</f>
        <v>0</v>
      </c>
      <c r="D56" s="95">
        <f>'내역서(표준단가)'!M58</f>
        <v>0</v>
      </c>
      <c r="E56" s="69"/>
      <c r="F56" s="95"/>
      <c r="G56" s="104"/>
    </row>
    <row r="57" spans="1:7" s="68" customFormat="1" ht="24" customHeight="1">
      <c r="A57" s="102">
        <f>'내역서(표준단가)'!J59</f>
        <v>0</v>
      </c>
      <c r="B57" s="105">
        <f>'내역서(표준단가)'!K59</f>
        <v>0</v>
      </c>
      <c r="C57" s="105">
        <f>'내역서(표준단가)'!L59</f>
        <v>0</v>
      </c>
      <c r="D57" s="95">
        <f>'내역서(표준단가)'!M59</f>
        <v>0</v>
      </c>
      <c r="E57" s="69"/>
      <c r="F57" s="95"/>
      <c r="G57" s="104"/>
    </row>
    <row r="58" spans="1:7" s="68" customFormat="1" ht="24" customHeight="1">
      <c r="A58" s="102">
        <f>'내역서(표준단가)'!J60</f>
        <v>0</v>
      </c>
      <c r="B58" s="105">
        <f>'내역서(표준단가)'!K60</f>
        <v>0</v>
      </c>
      <c r="C58" s="105">
        <f>'내역서(표준단가)'!L60</f>
        <v>0</v>
      </c>
      <c r="D58" s="95">
        <f>'내역서(표준단가)'!M60</f>
        <v>0</v>
      </c>
      <c r="E58" s="69"/>
      <c r="F58" s="95"/>
      <c r="G58" s="104"/>
    </row>
    <row r="59" spans="1:7" s="68" customFormat="1" ht="24" customHeight="1">
      <c r="A59" s="102">
        <f>'내역서(표준단가)'!J61</f>
        <v>0</v>
      </c>
      <c r="B59" s="105">
        <f>'내역서(표준단가)'!K61</f>
        <v>0</v>
      </c>
      <c r="C59" s="105">
        <f>'내역서(표준단가)'!L61</f>
        <v>0</v>
      </c>
      <c r="D59" s="95">
        <f>'내역서(표준단가)'!M61</f>
        <v>0</v>
      </c>
      <c r="E59" s="69"/>
      <c r="F59" s="95"/>
      <c r="G59" s="104"/>
    </row>
    <row r="60" spans="1:7" s="68" customFormat="1" ht="24" customHeight="1">
      <c r="A60" s="102">
        <f>'내역서(표준단가)'!J62</f>
        <v>0</v>
      </c>
      <c r="B60" s="105">
        <f>'내역서(표준단가)'!K62</f>
        <v>0</v>
      </c>
      <c r="C60" s="105">
        <f>'내역서(표준단가)'!L62</f>
        <v>0</v>
      </c>
      <c r="D60" s="95">
        <f>'내역서(표준단가)'!M62</f>
        <v>0</v>
      </c>
      <c r="E60" s="69"/>
      <c r="F60" s="95"/>
      <c r="G60" s="104"/>
    </row>
    <row r="61" spans="1:7" s="68" customFormat="1" ht="24" customHeight="1">
      <c r="A61" s="102">
        <f>'내역서(표준단가)'!J63</f>
        <v>0</v>
      </c>
      <c r="B61" s="105">
        <f>'내역서(표준단가)'!K63</f>
        <v>0</v>
      </c>
      <c r="C61" s="105">
        <f>'내역서(표준단가)'!L63</f>
        <v>0</v>
      </c>
      <c r="D61" s="95">
        <f>'내역서(표준단가)'!M63</f>
        <v>0</v>
      </c>
      <c r="E61" s="69"/>
      <c r="F61" s="95"/>
      <c r="G61" s="104"/>
    </row>
    <row r="62" spans="1:7" s="68" customFormat="1" ht="24" customHeight="1">
      <c r="A62" s="102">
        <f>'내역서(표준단가)'!J64</f>
        <v>0</v>
      </c>
      <c r="B62" s="105">
        <f>'내역서(표준단가)'!K64</f>
        <v>0</v>
      </c>
      <c r="C62" s="105">
        <f>'내역서(표준단가)'!L64</f>
        <v>0</v>
      </c>
      <c r="D62" s="95">
        <f>'내역서(표준단가)'!M64</f>
        <v>0</v>
      </c>
      <c r="E62" s="69"/>
      <c r="F62" s="95"/>
      <c r="G62" s="104"/>
    </row>
    <row r="63" spans="1:7" s="68" customFormat="1" ht="24" customHeight="1">
      <c r="A63" s="102">
        <f>'내역서(표준단가)'!J65</f>
        <v>0</v>
      </c>
      <c r="B63" s="105">
        <f>'내역서(표준단가)'!K65</f>
        <v>0</v>
      </c>
      <c r="C63" s="105">
        <f>'내역서(표준단가)'!L65</f>
        <v>0</v>
      </c>
      <c r="D63" s="95">
        <f>'내역서(표준단가)'!M65</f>
        <v>0</v>
      </c>
      <c r="E63" s="69"/>
      <c r="F63" s="95"/>
      <c r="G63" s="104"/>
    </row>
    <row r="64" spans="1:7" s="68" customFormat="1" ht="24" customHeight="1">
      <c r="A64" s="102">
        <f>'내역서(표준단가)'!J66</f>
        <v>0</v>
      </c>
      <c r="B64" s="105">
        <f>'내역서(표준단가)'!K66</f>
        <v>0</v>
      </c>
      <c r="C64" s="105">
        <f>'내역서(표준단가)'!L66</f>
        <v>0</v>
      </c>
      <c r="D64" s="95">
        <f>'내역서(표준단가)'!M66</f>
        <v>0</v>
      </c>
      <c r="E64" s="69"/>
      <c r="F64" s="95"/>
      <c r="G64" s="104"/>
    </row>
    <row r="65" spans="1:7" s="68" customFormat="1" ht="24" customHeight="1">
      <c r="A65" s="102">
        <f>'내역서(표준단가)'!J67</f>
        <v>0</v>
      </c>
      <c r="B65" s="105">
        <f>'내역서(표준단가)'!K67</f>
        <v>0</v>
      </c>
      <c r="C65" s="105">
        <f>'내역서(표준단가)'!L67</f>
        <v>0</v>
      </c>
      <c r="D65" s="95">
        <f>'내역서(표준단가)'!M67</f>
        <v>0</v>
      </c>
      <c r="E65" s="69"/>
      <c r="F65" s="95"/>
      <c r="G65" s="104"/>
    </row>
    <row r="66" spans="1:7" s="68" customFormat="1" ht="24" customHeight="1">
      <c r="A66" s="102">
        <f>'내역서(표준단가)'!J68</f>
        <v>0</v>
      </c>
      <c r="B66" s="105">
        <f>'내역서(표준단가)'!K68</f>
        <v>0</v>
      </c>
      <c r="C66" s="105">
        <f>'내역서(표준단가)'!L68</f>
        <v>0</v>
      </c>
      <c r="D66" s="95">
        <f>'내역서(표준단가)'!M68</f>
        <v>0</v>
      </c>
      <c r="E66" s="69"/>
      <c r="F66" s="95"/>
      <c r="G66" s="104"/>
    </row>
    <row r="67" spans="1:7" s="68" customFormat="1" ht="24" customHeight="1">
      <c r="A67" s="102">
        <f>'내역서(표준단가)'!J69</f>
        <v>0</v>
      </c>
      <c r="B67" s="105">
        <f>'내역서(표준단가)'!K69</f>
        <v>0</v>
      </c>
      <c r="C67" s="105">
        <f>'내역서(표준단가)'!L69</f>
        <v>0</v>
      </c>
      <c r="D67" s="95">
        <f>'내역서(표준단가)'!M69</f>
        <v>0</v>
      </c>
      <c r="E67" s="69"/>
      <c r="F67" s="95"/>
      <c r="G67" s="104"/>
    </row>
    <row r="68" spans="1:7" s="68" customFormat="1" ht="24" customHeight="1">
      <c r="A68" s="102">
        <f>'내역서(표준단가)'!J70</f>
        <v>0</v>
      </c>
      <c r="B68" s="105">
        <f>'내역서(표준단가)'!K70</f>
        <v>0</v>
      </c>
      <c r="C68" s="105">
        <f>'내역서(표준단가)'!L70</f>
        <v>0</v>
      </c>
      <c r="D68" s="95">
        <f>'내역서(표준단가)'!M70</f>
        <v>0</v>
      </c>
      <c r="E68" s="69"/>
      <c r="F68" s="95"/>
      <c r="G68" s="104"/>
    </row>
    <row r="69" spans="1:7" s="68" customFormat="1" ht="24" customHeight="1">
      <c r="A69" s="102">
        <f>'내역서(표준단가)'!J71</f>
        <v>0</v>
      </c>
      <c r="B69" s="105">
        <f>'내역서(표준단가)'!K71</f>
        <v>0</v>
      </c>
      <c r="C69" s="105">
        <f>'내역서(표준단가)'!L71</f>
        <v>0</v>
      </c>
      <c r="D69" s="95">
        <f>'내역서(표준단가)'!M71</f>
        <v>0</v>
      </c>
      <c r="E69" s="69"/>
      <c r="F69" s="95"/>
      <c r="G69" s="104"/>
    </row>
    <row r="70" spans="1:7" s="68" customFormat="1" ht="24" customHeight="1">
      <c r="A70" s="102">
        <f>'내역서(표준단가)'!J72</f>
        <v>0</v>
      </c>
      <c r="B70" s="105">
        <f>'내역서(표준단가)'!K72</f>
        <v>0</v>
      </c>
      <c r="C70" s="105">
        <f>'내역서(표준단가)'!L72</f>
        <v>0</v>
      </c>
      <c r="D70" s="95">
        <f>'내역서(표준단가)'!M72</f>
        <v>0</v>
      </c>
      <c r="E70" s="69"/>
      <c r="F70" s="95"/>
      <c r="G70" s="104"/>
    </row>
    <row r="71" spans="1:7" s="68" customFormat="1" ht="24" customHeight="1">
      <c r="A71" s="102">
        <f>'내역서(표준단가)'!J73</f>
        <v>0</v>
      </c>
      <c r="B71" s="105">
        <f>'내역서(표준단가)'!K73</f>
        <v>0</v>
      </c>
      <c r="C71" s="105">
        <f>'내역서(표준단가)'!L73</f>
        <v>0</v>
      </c>
      <c r="D71" s="95">
        <f>'내역서(표준단가)'!M73</f>
        <v>0</v>
      </c>
      <c r="E71" s="69"/>
      <c r="F71" s="95"/>
      <c r="G71" s="104"/>
    </row>
    <row r="72" spans="1:7" s="68" customFormat="1" ht="24" customHeight="1">
      <c r="A72" s="102">
        <f>'내역서(표준단가)'!J74</f>
        <v>0</v>
      </c>
      <c r="B72" s="105">
        <f>'내역서(표준단가)'!K74</f>
        <v>0</v>
      </c>
      <c r="C72" s="105">
        <f>'내역서(표준단가)'!L74</f>
        <v>0</v>
      </c>
      <c r="D72" s="95">
        <f>'내역서(표준단가)'!M74</f>
        <v>0</v>
      </c>
      <c r="E72" s="69"/>
      <c r="F72" s="95"/>
      <c r="G72" s="104"/>
    </row>
    <row r="73" spans="1:7" s="68" customFormat="1" ht="24" customHeight="1">
      <c r="A73" s="102">
        <f>'내역서(표준단가)'!J75</f>
        <v>0</v>
      </c>
      <c r="B73" s="105">
        <f>'내역서(표준단가)'!K75</f>
        <v>0</v>
      </c>
      <c r="C73" s="105">
        <f>'내역서(표준단가)'!L75</f>
        <v>0</v>
      </c>
      <c r="D73" s="95">
        <f>'내역서(표준단가)'!M75</f>
        <v>0</v>
      </c>
      <c r="E73" s="69"/>
      <c r="F73" s="95"/>
      <c r="G73" s="104"/>
    </row>
    <row r="74" spans="1:7" s="68" customFormat="1" ht="24" customHeight="1">
      <c r="A74" s="102">
        <f>'내역서(표준단가)'!J76</f>
        <v>0</v>
      </c>
      <c r="B74" s="105">
        <f>'내역서(표준단가)'!K76</f>
        <v>0</v>
      </c>
      <c r="C74" s="105">
        <f>'내역서(표준단가)'!L76</f>
        <v>0</v>
      </c>
      <c r="D74" s="95">
        <f>'내역서(표준단가)'!M76</f>
        <v>0</v>
      </c>
      <c r="E74" s="69"/>
      <c r="F74" s="95"/>
      <c r="G74" s="104"/>
    </row>
    <row r="75" spans="1:7" s="68" customFormat="1" ht="24" customHeight="1">
      <c r="A75" s="106"/>
      <c r="B75" s="105"/>
      <c r="C75" s="105"/>
      <c r="D75" s="95" t="e">
        <f t="shared" ref="D75:D85" ca="1" si="0">ROUND(dhtextevaluate(E75),1)</f>
        <v>#NAME?</v>
      </c>
      <c r="E75" s="69"/>
      <c r="F75" s="95"/>
      <c r="G75" s="104"/>
    </row>
    <row r="76" spans="1:7" s="68" customFormat="1" ht="24" customHeight="1">
      <c r="A76" s="106"/>
      <c r="B76" s="105"/>
      <c r="C76" s="105"/>
      <c r="D76" s="95" t="e">
        <f t="shared" ca="1" si="0"/>
        <v>#NAME?</v>
      </c>
      <c r="E76" s="69"/>
      <c r="F76" s="95"/>
      <c r="G76" s="104"/>
    </row>
    <row r="77" spans="1:7" s="68" customFormat="1" ht="24" customHeight="1">
      <c r="A77" s="106"/>
      <c r="B77" s="105"/>
      <c r="C77" s="105"/>
      <c r="D77" s="95" t="e">
        <f t="shared" ca="1" si="0"/>
        <v>#NAME?</v>
      </c>
      <c r="E77" s="69"/>
      <c r="F77" s="95"/>
      <c r="G77" s="104"/>
    </row>
    <row r="78" spans="1:7" s="68" customFormat="1" ht="24" customHeight="1">
      <c r="A78" s="106"/>
      <c r="B78" s="105"/>
      <c r="C78" s="105"/>
      <c r="D78" s="95" t="e">
        <f t="shared" ca="1" si="0"/>
        <v>#NAME?</v>
      </c>
      <c r="E78" s="69"/>
      <c r="F78" s="95"/>
      <c r="G78" s="104"/>
    </row>
    <row r="79" spans="1:7" s="68" customFormat="1" ht="24" customHeight="1">
      <c r="A79" s="106"/>
      <c r="B79" s="105"/>
      <c r="C79" s="105"/>
      <c r="D79" s="95" t="e">
        <f t="shared" ca="1" si="0"/>
        <v>#NAME?</v>
      </c>
      <c r="E79" s="69"/>
      <c r="F79" s="95"/>
      <c r="G79" s="104"/>
    </row>
    <row r="80" spans="1:7" s="68" customFormat="1" ht="24" customHeight="1">
      <c r="A80" s="106"/>
      <c r="B80" s="105"/>
      <c r="C80" s="105"/>
      <c r="D80" s="95" t="e">
        <f t="shared" ca="1" si="0"/>
        <v>#NAME?</v>
      </c>
      <c r="E80" s="69"/>
      <c r="F80" s="95"/>
      <c r="G80" s="104"/>
    </row>
    <row r="81" spans="1:7" s="68" customFormat="1" ht="24" customHeight="1">
      <c r="A81" s="106"/>
      <c r="B81" s="105"/>
      <c r="C81" s="105"/>
      <c r="D81" s="95" t="e">
        <f t="shared" ca="1" si="0"/>
        <v>#NAME?</v>
      </c>
      <c r="E81" s="69"/>
      <c r="F81" s="95"/>
      <c r="G81" s="104"/>
    </row>
    <row r="82" spans="1:7" s="68" customFormat="1" ht="24" customHeight="1">
      <c r="A82" s="106"/>
      <c r="B82" s="105"/>
      <c r="C82" s="105"/>
      <c r="D82" s="95" t="e">
        <f t="shared" ca="1" si="0"/>
        <v>#NAME?</v>
      </c>
      <c r="E82" s="69"/>
      <c r="F82" s="95"/>
      <c r="G82" s="104"/>
    </row>
    <row r="83" spans="1:7" s="68" customFormat="1" ht="24" customHeight="1">
      <c r="A83" s="106"/>
      <c r="B83" s="105"/>
      <c r="C83" s="105"/>
      <c r="D83" s="95" t="e">
        <f t="shared" ca="1" si="0"/>
        <v>#NAME?</v>
      </c>
      <c r="E83" s="69"/>
      <c r="F83" s="95"/>
      <c r="G83" s="104"/>
    </row>
    <row r="84" spans="1:7" s="68" customFormat="1" ht="24" customHeight="1">
      <c r="A84" s="106"/>
      <c r="B84" s="105"/>
      <c r="C84" s="105"/>
      <c r="D84" s="95" t="e">
        <f t="shared" ca="1" si="0"/>
        <v>#NAME?</v>
      </c>
      <c r="E84" s="69"/>
      <c r="F84" s="95"/>
      <c r="G84" s="104"/>
    </row>
    <row r="85" spans="1:7" s="68" customFormat="1" ht="24" customHeight="1">
      <c r="A85" s="106"/>
      <c r="B85" s="105"/>
      <c r="C85" s="105"/>
      <c r="D85" s="95" t="e">
        <f t="shared" ca="1" si="0"/>
        <v>#NAME?</v>
      </c>
      <c r="E85" s="69"/>
      <c r="F85" s="95"/>
      <c r="G85" s="104"/>
    </row>
    <row r="86" spans="1:7" s="68" customFormat="1" ht="24" customHeight="1">
      <c r="A86" s="106"/>
      <c r="B86" s="105"/>
      <c r="C86" s="105"/>
      <c r="D86" s="95" t="e">
        <f t="shared" ref="D86:D113" ca="1" si="1">ROUND(dhtextevaluate(E86),1)</f>
        <v>#NAME?</v>
      </c>
      <c r="E86" s="69"/>
      <c r="F86" s="95"/>
      <c r="G86" s="104"/>
    </row>
    <row r="87" spans="1:7" s="68" customFormat="1" ht="24" customHeight="1">
      <c r="A87" s="106"/>
      <c r="B87" s="105"/>
      <c r="C87" s="105"/>
      <c r="D87" s="95" t="e">
        <f t="shared" ca="1" si="1"/>
        <v>#NAME?</v>
      </c>
      <c r="E87" s="69"/>
      <c r="F87" s="95"/>
      <c r="G87" s="104"/>
    </row>
    <row r="88" spans="1:7" s="68" customFormat="1" ht="24" customHeight="1">
      <c r="A88" s="106"/>
      <c r="B88" s="105"/>
      <c r="C88" s="105"/>
      <c r="D88" s="95" t="e">
        <f t="shared" ca="1" si="1"/>
        <v>#NAME?</v>
      </c>
      <c r="E88" s="69"/>
      <c r="F88" s="95"/>
      <c r="G88" s="104"/>
    </row>
    <row r="89" spans="1:7" s="68" customFormat="1" ht="24" customHeight="1">
      <c r="A89" s="106"/>
      <c r="B89" s="105"/>
      <c r="C89" s="105"/>
      <c r="D89" s="95" t="e">
        <f t="shared" ca="1" si="1"/>
        <v>#NAME?</v>
      </c>
      <c r="E89" s="69"/>
      <c r="F89" s="95"/>
      <c r="G89" s="104"/>
    </row>
    <row r="90" spans="1:7" s="68" customFormat="1" ht="24" customHeight="1">
      <c r="A90" s="106"/>
      <c r="B90" s="105"/>
      <c r="C90" s="105"/>
      <c r="D90" s="95" t="e">
        <f t="shared" ca="1" si="1"/>
        <v>#NAME?</v>
      </c>
      <c r="E90" s="69"/>
      <c r="F90" s="95"/>
      <c r="G90" s="104"/>
    </row>
    <row r="91" spans="1:7" s="68" customFormat="1" ht="24" customHeight="1">
      <c r="A91" s="106"/>
      <c r="B91" s="105"/>
      <c r="C91" s="105"/>
      <c r="D91" s="95" t="e">
        <f t="shared" ca="1" si="1"/>
        <v>#NAME?</v>
      </c>
      <c r="E91" s="69"/>
      <c r="F91" s="95"/>
      <c r="G91" s="104"/>
    </row>
    <row r="92" spans="1:7" s="68" customFormat="1" ht="24" customHeight="1">
      <c r="A92" s="106"/>
      <c r="B92" s="105"/>
      <c r="C92" s="105"/>
      <c r="D92" s="95" t="e">
        <f t="shared" ca="1" si="1"/>
        <v>#NAME?</v>
      </c>
      <c r="E92" s="69"/>
      <c r="F92" s="95"/>
      <c r="G92" s="104"/>
    </row>
    <row r="93" spans="1:7" s="68" customFormat="1" ht="24" customHeight="1">
      <c r="A93" s="106"/>
      <c r="B93" s="105"/>
      <c r="C93" s="105"/>
      <c r="D93" s="95" t="e">
        <f t="shared" ca="1" si="1"/>
        <v>#NAME?</v>
      </c>
      <c r="E93" s="69"/>
      <c r="F93" s="95"/>
      <c r="G93" s="104"/>
    </row>
    <row r="94" spans="1:7" s="68" customFormat="1" ht="24" customHeight="1">
      <c r="A94" s="106"/>
      <c r="B94" s="105"/>
      <c r="C94" s="105"/>
      <c r="D94" s="95" t="e">
        <f t="shared" ca="1" si="1"/>
        <v>#NAME?</v>
      </c>
      <c r="E94" s="69"/>
      <c r="F94" s="95"/>
      <c r="G94" s="104"/>
    </row>
    <row r="95" spans="1:7" s="68" customFormat="1" ht="24" customHeight="1">
      <c r="A95" s="106"/>
      <c r="B95" s="105"/>
      <c r="C95" s="105"/>
      <c r="D95" s="95" t="e">
        <f t="shared" ca="1" si="1"/>
        <v>#NAME?</v>
      </c>
      <c r="E95" s="69"/>
      <c r="F95" s="95"/>
      <c r="G95" s="104"/>
    </row>
    <row r="96" spans="1:7" s="68" customFormat="1" ht="24" customHeight="1">
      <c r="A96" s="106"/>
      <c r="B96" s="105"/>
      <c r="C96" s="105"/>
      <c r="D96" s="95" t="e">
        <f t="shared" ca="1" si="1"/>
        <v>#NAME?</v>
      </c>
      <c r="E96" s="69"/>
      <c r="F96" s="95"/>
      <c r="G96" s="104"/>
    </row>
    <row r="97" spans="1:7" s="68" customFormat="1" ht="24" customHeight="1">
      <c r="A97" s="106"/>
      <c r="B97" s="105"/>
      <c r="C97" s="105"/>
      <c r="D97" s="95" t="e">
        <f t="shared" ca="1" si="1"/>
        <v>#NAME?</v>
      </c>
      <c r="E97" s="69"/>
      <c r="F97" s="95"/>
      <c r="G97" s="104"/>
    </row>
    <row r="98" spans="1:7" s="68" customFormat="1" ht="24" customHeight="1">
      <c r="A98" s="106"/>
      <c r="B98" s="105"/>
      <c r="C98" s="105"/>
      <c r="D98" s="95" t="e">
        <f t="shared" ca="1" si="1"/>
        <v>#NAME?</v>
      </c>
      <c r="E98" s="69"/>
      <c r="F98" s="95"/>
      <c r="G98" s="104"/>
    </row>
    <row r="99" spans="1:7" s="68" customFormat="1" ht="24" customHeight="1">
      <c r="A99" s="106"/>
      <c r="B99" s="105"/>
      <c r="C99" s="105"/>
      <c r="D99" s="95" t="e">
        <f t="shared" ca="1" si="1"/>
        <v>#NAME?</v>
      </c>
      <c r="E99" s="69"/>
      <c r="F99" s="95"/>
      <c r="G99" s="104"/>
    </row>
    <row r="100" spans="1:7" s="68" customFormat="1" ht="24" customHeight="1">
      <c r="A100" s="106"/>
      <c r="B100" s="105"/>
      <c r="C100" s="105"/>
      <c r="D100" s="95" t="e">
        <f t="shared" ca="1" si="1"/>
        <v>#NAME?</v>
      </c>
      <c r="E100" s="69"/>
      <c r="F100" s="95"/>
      <c r="G100" s="104"/>
    </row>
    <row r="101" spans="1:7" s="68" customFormat="1" ht="24" customHeight="1">
      <c r="A101" s="106"/>
      <c r="B101" s="105"/>
      <c r="C101" s="105"/>
      <c r="D101" s="95" t="e">
        <f t="shared" ca="1" si="1"/>
        <v>#NAME?</v>
      </c>
      <c r="E101" s="69"/>
      <c r="F101" s="95"/>
      <c r="G101" s="104"/>
    </row>
    <row r="102" spans="1:7" s="68" customFormat="1" ht="24" customHeight="1">
      <c r="A102" s="106"/>
      <c r="B102" s="105"/>
      <c r="C102" s="105"/>
      <c r="D102" s="95" t="e">
        <f t="shared" ca="1" si="1"/>
        <v>#NAME?</v>
      </c>
      <c r="E102" s="69"/>
      <c r="F102" s="95"/>
      <c r="G102" s="104"/>
    </row>
    <row r="103" spans="1:7" s="68" customFormat="1" ht="24" customHeight="1">
      <c r="A103" s="106"/>
      <c r="B103" s="105"/>
      <c r="C103" s="105"/>
      <c r="D103" s="95" t="e">
        <f t="shared" ca="1" si="1"/>
        <v>#NAME?</v>
      </c>
      <c r="E103" s="69"/>
      <c r="F103" s="95"/>
      <c r="G103" s="104"/>
    </row>
    <row r="104" spans="1:7" s="68" customFormat="1" ht="24" customHeight="1">
      <c r="A104" s="106"/>
      <c r="B104" s="105"/>
      <c r="C104" s="105"/>
      <c r="D104" s="95" t="e">
        <f t="shared" ca="1" si="1"/>
        <v>#NAME?</v>
      </c>
      <c r="E104" s="69"/>
      <c r="F104" s="95"/>
      <c r="G104" s="104"/>
    </row>
    <row r="105" spans="1:7" s="68" customFormat="1" ht="24" customHeight="1">
      <c r="A105" s="106"/>
      <c r="B105" s="105"/>
      <c r="C105" s="105"/>
      <c r="D105" s="95" t="e">
        <f t="shared" ca="1" si="1"/>
        <v>#NAME?</v>
      </c>
      <c r="E105" s="69"/>
      <c r="F105" s="95"/>
      <c r="G105" s="104"/>
    </row>
    <row r="106" spans="1:7" s="68" customFormat="1" ht="24" customHeight="1">
      <c r="A106" s="106"/>
      <c r="B106" s="105"/>
      <c r="C106" s="105"/>
      <c r="D106" s="95" t="e">
        <f t="shared" ca="1" si="1"/>
        <v>#NAME?</v>
      </c>
      <c r="E106" s="69"/>
      <c r="F106" s="95"/>
      <c r="G106" s="104"/>
    </row>
    <row r="107" spans="1:7" s="68" customFormat="1" ht="24" customHeight="1">
      <c r="A107" s="106"/>
      <c r="B107" s="105"/>
      <c r="C107" s="105"/>
      <c r="D107" s="95" t="e">
        <f t="shared" ca="1" si="1"/>
        <v>#NAME?</v>
      </c>
      <c r="E107" s="69"/>
      <c r="F107" s="95"/>
      <c r="G107" s="104"/>
    </row>
    <row r="108" spans="1:7" s="68" customFormat="1" ht="24" customHeight="1">
      <c r="A108" s="106"/>
      <c r="B108" s="105"/>
      <c r="C108" s="105"/>
      <c r="D108" s="95" t="e">
        <f t="shared" ca="1" si="1"/>
        <v>#NAME?</v>
      </c>
      <c r="E108" s="69"/>
      <c r="F108" s="95"/>
      <c r="G108" s="104"/>
    </row>
    <row r="109" spans="1:7" s="68" customFormat="1" ht="24" customHeight="1">
      <c r="A109" s="106"/>
      <c r="B109" s="105"/>
      <c r="C109" s="105"/>
      <c r="D109" s="95" t="e">
        <f t="shared" ca="1" si="1"/>
        <v>#NAME?</v>
      </c>
      <c r="E109" s="69"/>
      <c r="F109" s="95"/>
      <c r="G109" s="104"/>
    </row>
    <row r="110" spans="1:7" s="68" customFormat="1" ht="24" customHeight="1">
      <c r="A110" s="106"/>
      <c r="B110" s="105"/>
      <c r="C110" s="105"/>
      <c r="D110" s="95" t="e">
        <f t="shared" ca="1" si="1"/>
        <v>#NAME?</v>
      </c>
      <c r="E110" s="69"/>
      <c r="F110" s="95"/>
      <c r="G110" s="104"/>
    </row>
    <row r="111" spans="1:7" s="68" customFormat="1" ht="24" customHeight="1">
      <c r="A111" s="106"/>
      <c r="B111" s="105"/>
      <c r="C111" s="105"/>
      <c r="D111" s="95" t="e">
        <f t="shared" ca="1" si="1"/>
        <v>#NAME?</v>
      </c>
      <c r="E111" s="69"/>
      <c r="F111" s="95"/>
      <c r="G111" s="104"/>
    </row>
    <row r="112" spans="1:7" s="68" customFormat="1" ht="24" customHeight="1">
      <c r="A112" s="106"/>
      <c r="B112" s="105"/>
      <c r="C112" s="105"/>
      <c r="D112" s="95" t="e">
        <f t="shared" ca="1" si="1"/>
        <v>#NAME?</v>
      </c>
      <c r="E112" s="69"/>
      <c r="F112" s="95"/>
      <c r="G112" s="104"/>
    </row>
    <row r="113" spans="1:7" s="68" customFormat="1" ht="24" customHeight="1">
      <c r="A113" s="106"/>
      <c r="B113" s="105"/>
      <c r="C113" s="105"/>
      <c r="D113" s="95" t="e">
        <f t="shared" ca="1" si="1"/>
        <v>#NAME?</v>
      </c>
      <c r="E113" s="69"/>
      <c r="F113" s="95"/>
      <c r="G113" s="104"/>
    </row>
    <row r="114" spans="1:7" s="68" customFormat="1" ht="24" customHeight="1">
      <c r="A114" s="106"/>
      <c r="B114" s="105"/>
      <c r="C114" s="105"/>
      <c r="D114" s="95"/>
      <c r="E114" s="69"/>
      <c r="F114" s="95"/>
      <c r="G114" s="104"/>
    </row>
    <row r="115" spans="1:7" s="68" customFormat="1" ht="24" customHeight="1">
      <c r="A115" s="106"/>
      <c r="B115" s="105"/>
      <c r="C115" s="105"/>
      <c r="D115" s="95"/>
      <c r="E115" s="69"/>
      <c r="F115" s="95"/>
      <c r="G115" s="104"/>
    </row>
    <row r="116" spans="1:7" s="68" customFormat="1" ht="24" customHeight="1">
      <c r="A116" s="106"/>
      <c r="B116" s="105"/>
      <c r="C116" s="105"/>
      <c r="D116" s="95"/>
      <c r="E116" s="69"/>
      <c r="F116" s="95"/>
      <c r="G116" s="104"/>
    </row>
    <row r="117" spans="1:7" s="68" customFormat="1" ht="24" customHeight="1">
      <c r="A117" s="106"/>
      <c r="B117" s="105"/>
      <c r="C117" s="105"/>
      <c r="D117" s="95"/>
      <c r="E117" s="69"/>
      <c r="F117" s="95"/>
      <c r="G117" s="104"/>
    </row>
    <row r="118" spans="1:7" s="68" customFormat="1" ht="24" customHeight="1">
      <c r="A118" s="106"/>
      <c r="B118" s="105"/>
      <c r="C118" s="105"/>
      <c r="D118" s="95"/>
      <c r="E118" s="69"/>
      <c r="F118" s="95"/>
      <c r="G118" s="104"/>
    </row>
    <row r="119" spans="1:7" s="68" customFormat="1" ht="24" customHeight="1">
      <c r="A119" s="106"/>
      <c r="B119" s="105"/>
      <c r="C119" s="105"/>
      <c r="D119" s="95"/>
      <c r="E119" s="69"/>
      <c r="F119" s="95"/>
      <c r="G119" s="104"/>
    </row>
    <row r="120" spans="1:7" s="68" customFormat="1" ht="24" customHeight="1">
      <c r="A120" s="106"/>
      <c r="B120" s="105"/>
      <c r="C120" s="105"/>
      <c r="D120" s="95"/>
      <c r="E120" s="69"/>
      <c r="F120" s="95"/>
      <c r="G120" s="104"/>
    </row>
    <row r="121" spans="1:7" s="68" customFormat="1" ht="24" customHeight="1">
      <c r="A121" s="106"/>
      <c r="B121" s="105"/>
      <c r="C121" s="105"/>
      <c r="D121" s="95"/>
      <c r="E121" s="69"/>
      <c r="F121" s="95"/>
      <c r="G121" s="104"/>
    </row>
    <row r="122" spans="1:7" s="68" customFormat="1" ht="24" customHeight="1">
      <c r="A122" s="106"/>
      <c r="B122" s="105"/>
      <c r="C122" s="105"/>
      <c r="D122" s="95"/>
      <c r="E122" s="69"/>
      <c r="F122" s="95"/>
      <c r="G122" s="104"/>
    </row>
    <row r="123" spans="1:7" s="68" customFormat="1" ht="24" customHeight="1">
      <c r="A123" s="106"/>
      <c r="B123" s="105"/>
      <c r="C123" s="105"/>
      <c r="D123" s="95"/>
      <c r="E123" s="69"/>
      <c r="F123" s="95"/>
      <c r="G123" s="104"/>
    </row>
    <row r="124" spans="1:7" s="68" customFormat="1" ht="24" customHeight="1">
      <c r="A124" s="106"/>
      <c r="B124" s="105"/>
      <c r="C124" s="105"/>
      <c r="D124" s="95"/>
      <c r="E124" s="69"/>
      <c r="F124" s="95"/>
      <c r="G124" s="104"/>
    </row>
    <row r="125" spans="1:7" s="68" customFormat="1" ht="24" customHeight="1">
      <c r="A125" s="106"/>
      <c r="B125" s="105"/>
      <c r="C125" s="105"/>
      <c r="D125" s="95"/>
      <c r="E125" s="69"/>
      <c r="F125" s="95"/>
      <c r="G125" s="104"/>
    </row>
    <row r="126" spans="1:7" s="68" customFormat="1" ht="24" customHeight="1">
      <c r="A126" s="106"/>
      <c r="B126" s="105"/>
      <c r="C126" s="105"/>
      <c r="D126" s="95"/>
      <c r="E126" s="69"/>
      <c r="F126" s="95"/>
      <c r="G126" s="104"/>
    </row>
    <row r="127" spans="1:7" s="68" customFormat="1" ht="24" customHeight="1">
      <c r="A127" s="106"/>
      <c r="B127" s="105"/>
      <c r="C127" s="105"/>
      <c r="D127" s="95"/>
      <c r="E127" s="69"/>
      <c r="F127" s="95"/>
      <c r="G127" s="104"/>
    </row>
    <row r="128" spans="1:7" s="68" customFormat="1" ht="24" customHeight="1">
      <c r="A128" s="106"/>
      <c r="B128" s="105"/>
      <c r="C128" s="105"/>
      <c r="D128" s="95"/>
      <c r="E128" s="69"/>
      <c r="F128" s="95"/>
      <c r="G128" s="104"/>
    </row>
    <row r="129" spans="1:7" s="68" customFormat="1" ht="24" customHeight="1">
      <c r="A129" s="106"/>
      <c r="B129" s="105"/>
      <c r="C129" s="105"/>
      <c r="D129" s="95"/>
      <c r="E129" s="69"/>
      <c r="F129" s="95"/>
      <c r="G129" s="104"/>
    </row>
    <row r="130" spans="1:7" s="68" customFormat="1" ht="24" customHeight="1">
      <c r="A130" s="106"/>
      <c r="B130" s="105"/>
      <c r="C130" s="105"/>
      <c r="D130" s="95"/>
      <c r="E130" s="69"/>
      <c r="F130" s="95"/>
      <c r="G130" s="104"/>
    </row>
    <row r="131" spans="1:7" s="68" customFormat="1" ht="24" customHeight="1">
      <c r="A131" s="106"/>
      <c r="B131" s="105"/>
      <c r="C131" s="105"/>
      <c r="D131" s="95"/>
      <c r="E131" s="69"/>
      <c r="F131" s="95"/>
      <c r="G131" s="104"/>
    </row>
    <row r="132" spans="1:7" s="68" customFormat="1" ht="24" customHeight="1">
      <c r="A132" s="106"/>
      <c r="B132" s="105"/>
      <c r="C132" s="105"/>
      <c r="D132" s="95"/>
      <c r="E132" s="69"/>
      <c r="F132" s="95"/>
      <c r="G132" s="104"/>
    </row>
    <row r="133" spans="1:7" s="68" customFormat="1" ht="24" customHeight="1">
      <c r="A133" s="106"/>
      <c r="B133" s="105"/>
      <c r="C133" s="105"/>
      <c r="D133" s="95"/>
      <c r="E133" s="69"/>
      <c r="F133" s="95"/>
      <c r="G133" s="104"/>
    </row>
    <row r="134" spans="1:7" s="68" customFormat="1" ht="24" customHeight="1">
      <c r="A134" s="106"/>
      <c r="B134" s="105"/>
      <c r="C134" s="105"/>
      <c r="D134" s="95"/>
      <c r="E134" s="69"/>
      <c r="F134" s="95"/>
      <c r="G134" s="104"/>
    </row>
    <row r="135" spans="1:7" s="68" customFormat="1" ht="24" customHeight="1">
      <c r="A135" s="106"/>
      <c r="B135" s="105"/>
      <c r="C135" s="105"/>
      <c r="D135" s="95"/>
      <c r="E135" s="69"/>
      <c r="F135" s="95"/>
      <c r="G135" s="104"/>
    </row>
    <row r="136" spans="1:7" s="68" customFormat="1" ht="24" customHeight="1">
      <c r="A136" s="106"/>
      <c r="B136" s="105"/>
      <c r="C136" s="105"/>
      <c r="D136" s="95"/>
      <c r="E136" s="69"/>
      <c r="F136" s="95"/>
      <c r="G136" s="104"/>
    </row>
    <row r="137" spans="1:7" s="68" customFormat="1" ht="24" customHeight="1">
      <c r="A137" s="106"/>
      <c r="B137" s="105"/>
      <c r="C137" s="105"/>
      <c r="D137" s="95"/>
      <c r="E137" s="69"/>
      <c r="F137" s="95"/>
      <c r="G137" s="104"/>
    </row>
    <row r="138" spans="1:7" s="68" customFormat="1" ht="24" customHeight="1">
      <c r="A138" s="106"/>
      <c r="B138" s="105"/>
      <c r="C138" s="105"/>
      <c r="D138" s="95"/>
      <c r="E138" s="69"/>
      <c r="F138" s="95"/>
      <c r="G138" s="104"/>
    </row>
    <row r="139" spans="1:7" s="68" customFormat="1" ht="24" customHeight="1">
      <c r="A139" s="106"/>
      <c r="B139" s="105"/>
      <c r="C139" s="105"/>
      <c r="D139" s="95"/>
      <c r="E139" s="69"/>
      <c r="F139" s="95"/>
      <c r="G139" s="104"/>
    </row>
    <row r="140" spans="1:7" s="68" customFormat="1" ht="24" customHeight="1">
      <c r="A140" s="106"/>
      <c r="B140" s="105"/>
      <c r="C140" s="105"/>
      <c r="D140" s="95"/>
      <c r="E140" s="69"/>
      <c r="F140" s="95"/>
      <c r="G140" s="104"/>
    </row>
    <row r="141" spans="1:7" s="68" customFormat="1" ht="24" customHeight="1">
      <c r="A141" s="106"/>
      <c r="B141" s="105"/>
      <c r="C141" s="105"/>
      <c r="D141" s="95"/>
      <c r="E141" s="69"/>
      <c r="F141" s="95"/>
      <c r="G141" s="104"/>
    </row>
    <row r="142" spans="1:7" s="68" customFormat="1" ht="24" customHeight="1">
      <c r="A142" s="106"/>
      <c r="B142" s="105"/>
      <c r="C142" s="105"/>
      <c r="D142" s="95"/>
      <c r="E142" s="69"/>
      <c r="F142" s="95"/>
      <c r="G142" s="104"/>
    </row>
    <row r="143" spans="1:7" s="68" customFormat="1" ht="24" customHeight="1">
      <c r="A143" s="106"/>
      <c r="B143" s="105"/>
      <c r="C143" s="105"/>
      <c r="D143" s="95"/>
      <c r="E143" s="69"/>
      <c r="F143" s="95"/>
      <c r="G143" s="104"/>
    </row>
    <row r="144" spans="1:7" s="68" customFormat="1" ht="24" customHeight="1">
      <c r="A144" s="106"/>
      <c r="B144" s="105"/>
      <c r="C144" s="105"/>
      <c r="D144" s="95"/>
      <c r="E144" s="69"/>
      <c r="F144" s="95"/>
      <c r="G144" s="104"/>
    </row>
    <row r="145" spans="1:7" s="68" customFormat="1" ht="24" customHeight="1">
      <c r="A145" s="106"/>
      <c r="B145" s="105"/>
      <c r="C145" s="105"/>
      <c r="D145" s="95"/>
      <c r="E145" s="69"/>
      <c r="F145" s="95"/>
      <c r="G145" s="104"/>
    </row>
    <row r="146" spans="1:7" s="68" customFormat="1" ht="24" customHeight="1">
      <c r="A146" s="106"/>
      <c r="B146" s="105"/>
      <c r="C146" s="105"/>
      <c r="D146" s="95"/>
      <c r="E146" s="69"/>
      <c r="F146" s="95"/>
      <c r="G146" s="104"/>
    </row>
    <row r="147" spans="1:7" s="68" customFormat="1" ht="24" customHeight="1">
      <c r="A147" s="106"/>
      <c r="B147" s="105"/>
      <c r="C147" s="105"/>
      <c r="D147" s="95"/>
      <c r="E147" s="69"/>
      <c r="F147" s="95"/>
      <c r="G147" s="104"/>
    </row>
    <row r="148" spans="1:7" s="68" customFormat="1" ht="24" customHeight="1">
      <c r="A148" s="106"/>
      <c r="B148" s="105"/>
      <c r="C148" s="105"/>
      <c r="D148" s="95"/>
      <c r="E148" s="69"/>
      <c r="F148" s="95"/>
      <c r="G148" s="104"/>
    </row>
    <row r="149" spans="1:7" s="68" customFormat="1" ht="24" customHeight="1">
      <c r="A149" s="106"/>
      <c r="B149" s="105"/>
      <c r="C149" s="105"/>
      <c r="D149" s="95"/>
      <c r="E149" s="69"/>
      <c r="F149" s="95"/>
      <c r="G149" s="104"/>
    </row>
    <row r="150" spans="1:7" s="68" customFormat="1" ht="24" customHeight="1">
      <c r="A150" s="106"/>
      <c r="B150" s="105"/>
      <c r="C150" s="105"/>
      <c r="D150" s="95"/>
      <c r="E150" s="69"/>
      <c r="F150" s="95"/>
      <c r="G150" s="104"/>
    </row>
    <row r="151" spans="1:7" s="68" customFormat="1" ht="24" customHeight="1">
      <c r="A151" s="106"/>
      <c r="B151" s="105"/>
      <c r="C151" s="105"/>
      <c r="D151" s="95"/>
      <c r="E151" s="69"/>
      <c r="F151" s="95"/>
      <c r="G151" s="104"/>
    </row>
    <row r="152" spans="1:7" s="68" customFormat="1" ht="24" customHeight="1">
      <c r="A152" s="106"/>
      <c r="B152" s="105"/>
      <c r="C152" s="105"/>
      <c r="D152" s="95"/>
      <c r="E152" s="69"/>
      <c r="F152" s="95"/>
      <c r="G152" s="104"/>
    </row>
    <row r="153" spans="1:7" s="68" customFormat="1" ht="24" customHeight="1">
      <c r="A153" s="106"/>
      <c r="B153" s="105"/>
      <c r="C153" s="105"/>
      <c r="D153" s="95"/>
      <c r="E153" s="69"/>
      <c r="F153" s="95"/>
      <c r="G153" s="104"/>
    </row>
    <row r="154" spans="1:7" s="68" customFormat="1" ht="24" customHeight="1">
      <c r="A154" s="106"/>
      <c r="B154" s="105"/>
      <c r="C154" s="105"/>
      <c r="D154" s="95"/>
      <c r="E154" s="69"/>
      <c r="F154" s="95"/>
      <c r="G154" s="104"/>
    </row>
    <row r="155" spans="1:7" s="68" customFormat="1" ht="24" customHeight="1">
      <c r="A155" s="106"/>
      <c r="B155" s="105"/>
      <c r="C155" s="105"/>
      <c r="D155" s="95"/>
      <c r="E155" s="69"/>
      <c r="F155" s="95"/>
      <c r="G155" s="104"/>
    </row>
    <row r="156" spans="1:7" s="68" customFormat="1" ht="24" customHeight="1">
      <c r="A156" s="106"/>
      <c r="B156" s="105"/>
      <c r="C156" s="105"/>
      <c r="D156" s="95"/>
      <c r="E156" s="69"/>
      <c r="F156" s="95"/>
      <c r="G156" s="104"/>
    </row>
    <row r="157" spans="1:7" s="68" customFormat="1" ht="24" customHeight="1">
      <c r="A157" s="106"/>
      <c r="B157" s="105"/>
      <c r="C157" s="105"/>
      <c r="D157" s="95"/>
      <c r="E157" s="69"/>
      <c r="F157" s="95"/>
      <c r="G157" s="104"/>
    </row>
    <row r="158" spans="1:7" s="68" customFormat="1" ht="24" customHeight="1">
      <c r="A158" s="106"/>
      <c r="B158" s="105"/>
      <c r="C158" s="105"/>
      <c r="D158" s="95"/>
      <c r="E158" s="69"/>
      <c r="F158" s="95"/>
      <c r="G158" s="104"/>
    </row>
    <row r="159" spans="1:7" s="68" customFormat="1" ht="24" customHeight="1">
      <c r="A159" s="106"/>
      <c r="B159" s="105"/>
      <c r="C159" s="105"/>
      <c r="D159" s="95"/>
      <c r="E159" s="69"/>
      <c r="F159" s="95"/>
      <c r="G159" s="104"/>
    </row>
    <row r="160" spans="1:7" s="68" customFormat="1" ht="24" customHeight="1">
      <c r="A160" s="106"/>
      <c r="B160" s="105"/>
      <c r="C160" s="105"/>
      <c r="D160" s="95"/>
      <c r="E160" s="69"/>
      <c r="F160" s="95"/>
      <c r="G160" s="104"/>
    </row>
    <row r="161" spans="1:7" s="68" customFormat="1" ht="24" customHeight="1">
      <c r="A161" s="106"/>
      <c r="B161" s="105"/>
      <c r="C161" s="105"/>
      <c r="D161" s="95"/>
      <c r="E161" s="69"/>
      <c r="F161" s="95"/>
      <c r="G161" s="104"/>
    </row>
    <row r="162" spans="1:7" s="68" customFormat="1" ht="24" customHeight="1">
      <c r="A162" s="106"/>
      <c r="B162" s="105"/>
      <c r="C162" s="105"/>
      <c r="D162" s="95"/>
      <c r="E162" s="69"/>
      <c r="F162" s="95"/>
      <c r="G162" s="104"/>
    </row>
    <row r="163" spans="1:7" s="68" customFormat="1" ht="24" customHeight="1">
      <c r="A163" s="106"/>
      <c r="B163" s="105"/>
      <c r="C163" s="105"/>
      <c r="D163" s="95"/>
      <c r="E163" s="69"/>
      <c r="F163" s="95"/>
      <c r="G163" s="104"/>
    </row>
    <row r="164" spans="1:7" s="68" customFormat="1" ht="24" customHeight="1">
      <c r="A164" s="106"/>
      <c r="B164" s="105"/>
      <c r="C164" s="105"/>
      <c r="D164" s="95"/>
      <c r="E164" s="69"/>
      <c r="F164" s="95"/>
      <c r="G164" s="104"/>
    </row>
    <row r="165" spans="1:7" s="68" customFormat="1" ht="24" customHeight="1">
      <c r="A165" s="106"/>
      <c r="B165" s="105"/>
      <c r="C165" s="105"/>
      <c r="D165" s="95"/>
      <c r="E165" s="69"/>
      <c r="F165" s="95"/>
      <c r="G165" s="104"/>
    </row>
    <row r="166" spans="1:7" s="68" customFormat="1" ht="24" customHeight="1">
      <c r="A166" s="106"/>
      <c r="B166" s="105"/>
      <c r="C166" s="105"/>
      <c r="D166" s="95"/>
      <c r="E166" s="69"/>
      <c r="F166" s="95"/>
      <c r="G166" s="104"/>
    </row>
    <row r="167" spans="1:7" s="68" customFormat="1" ht="24" customHeight="1">
      <c r="A167" s="106"/>
      <c r="B167" s="105"/>
      <c r="C167" s="105"/>
      <c r="D167" s="95"/>
      <c r="E167" s="69"/>
      <c r="F167" s="95"/>
      <c r="G167" s="104"/>
    </row>
    <row r="168" spans="1:7" s="68" customFormat="1" ht="24" customHeight="1">
      <c r="A168" s="106"/>
      <c r="B168" s="105"/>
      <c r="C168" s="105"/>
      <c r="D168" s="95"/>
      <c r="E168" s="69"/>
      <c r="F168" s="95"/>
      <c r="G168" s="104"/>
    </row>
    <row r="169" spans="1:7" s="68" customFormat="1" ht="24" customHeight="1">
      <c r="A169" s="106"/>
      <c r="B169" s="105"/>
      <c r="C169" s="105"/>
      <c r="D169" s="95"/>
      <c r="E169" s="69"/>
      <c r="F169" s="95"/>
      <c r="G169" s="104"/>
    </row>
    <row r="170" spans="1:7" s="68" customFormat="1" ht="24" customHeight="1">
      <c r="A170" s="106"/>
      <c r="B170" s="105"/>
      <c r="C170" s="105"/>
      <c r="D170" s="95"/>
      <c r="E170" s="69"/>
      <c r="F170" s="95"/>
      <c r="G170" s="104"/>
    </row>
    <row r="171" spans="1:7" s="68" customFormat="1" ht="24" customHeight="1">
      <c r="A171" s="106"/>
      <c r="B171" s="105"/>
      <c r="C171" s="105"/>
      <c r="D171" s="95"/>
      <c r="E171" s="69"/>
      <c r="F171" s="95"/>
      <c r="G171" s="104"/>
    </row>
    <row r="172" spans="1:7" s="68" customFormat="1" ht="24" customHeight="1">
      <c r="A172" s="106"/>
      <c r="B172" s="105"/>
      <c r="C172" s="105"/>
      <c r="D172" s="95"/>
      <c r="E172" s="69"/>
      <c r="F172" s="95"/>
      <c r="G172" s="104"/>
    </row>
    <row r="173" spans="1:7" s="68" customFormat="1" ht="24" customHeight="1">
      <c r="A173" s="106"/>
      <c r="B173" s="105"/>
      <c r="C173" s="105"/>
      <c r="D173" s="95"/>
      <c r="E173" s="69"/>
      <c r="F173" s="95"/>
      <c r="G173" s="104"/>
    </row>
    <row r="174" spans="1:7" s="68" customFormat="1" ht="24" customHeight="1">
      <c r="A174" s="106"/>
      <c r="B174" s="105"/>
      <c r="C174" s="105"/>
      <c r="D174" s="95"/>
      <c r="E174" s="69"/>
      <c r="F174" s="95"/>
      <c r="G174" s="104"/>
    </row>
    <row r="175" spans="1:7" s="68" customFormat="1" ht="24" customHeight="1">
      <c r="A175" s="106"/>
      <c r="B175" s="105"/>
      <c r="C175" s="105"/>
      <c r="D175" s="95"/>
      <c r="E175" s="69"/>
      <c r="F175" s="95"/>
      <c r="G175" s="104"/>
    </row>
    <row r="176" spans="1:7" s="68" customFormat="1" ht="24" customHeight="1">
      <c r="A176" s="106"/>
      <c r="B176" s="105"/>
      <c r="C176" s="105"/>
      <c r="D176" s="95"/>
      <c r="E176" s="69"/>
      <c r="F176" s="95"/>
      <c r="G176" s="104"/>
    </row>
    <row r="177" spans="1:7" s="68" customFormat="1" ht="24" customHeight="1">
      <c r="A177" s="106"/>
      <c r="B177" s="105"/>
      <c r="C177" s="105"/>
      <c r="D177" s="95"/>
      <c r="E177" s="69"/>
      <c r="F177" s="95"/>
      <c r="G177" s="104"/>
    </row>
    <row r="178" spans="1:7" s="68" customFormat="1" ht="24" customHeight="1">
      <c r="A178" s="106"/>
      <c r="B178" s="105"/>
      <c r="C178" s="105"/>
      <c r="D178" s="95"/>
      <c r="E178" s="69"/>
      <c r="F178" s="95"/>
      <c r="G178" s="104"/>
    </row>
    <row r="179" spans="1:7" s="68" customFormat="1" ht="24" customHeight="1">
      <c r="A179" s="106"/>
      <c r="B179" s="105"/>
      <c r="C179" s="105"/>
      <c r="D179" s="95"/>
      <c r="E179" s="69"/>
      <c r="F179" s="95"/>
      <c r="G179" s="104"/>
    </row>
    <row r="180" spans="1:7" s="68" customFormat="1" ht="24" customHeight="1">
      <c r="A180" s="106"/>
      <c r="B180" s="105"/>
      <c r="C180" s="105"/>
      <c r="D180" s="95"/>
      <c r="E180" s="69"/>
      <c r="F180" s="95"/>
      <c r="G180" s="104"/>
    </row>
    <row r="181" spans="1:7" s="68" customFormat="1" ht="24" customHeight="1">
      <c r="A181" s="106"/>
      <c r="B181" s="105"/>
      <c r="C181" s="105"/>
      <c r="D181" s="95"/>
      <c r="E181" s="69"/>
      <c r="F181" s="95"/>
      <c r="G181" s="104"/>
    </row>
    <row r="182" spans="1:7" s="68" customFormat="1" ht="24" customHeight="1">
      <c r="A182" s="106"/>
      <c r="B182" s="105"/>
      <c r="C182" s="105"/>
      <c r="D182" s="95"/>
      <c r="E182" s="69"/>
      <c r="F182" s="95"/>
      <c r="G182" s="104"/>
    </row>
    <row r="183" spans="1:7" s="68" customFormat="1" ht="24" customHeight="1">
      <c r="A183" s="106"/>
      <c r="B183" s="105"/>
      <c r="C183" s="105"/>
      <c r="D183" s="95"/>
      <c r="E183" s="69"/>
      <c r="F183" s="95"/>
      <c r="G183" s="104"/>
    </row>
    <row r="184" spans="1:7" s="68" customFormat="1" ht="24" customHeight="1">
      <c r="A184" s="106"/>
      <c r="B184" s="105"/>
      <c r="C184" s="105"/>
      <c r="D184" s="95"/>
      <c r="E184" s="69"/>
      <c r="F184" s="95"/>
      <c r="G184" s="104"/>
    </row>
    <row r="185" spans="1:7" s="68" customFormat="1" ht="24" customHeight="1">
      <c r="A185" s="106"/>
      <c r="B185" s="105"/>
      <c r="C185" s="105"/>
      <c r="D185" s="95"/>
      <c r="E185" s="69"/>
      <c r="F185" s="95"/>
      <c r="G185" s="104"/>
    </row>
    <row r="186" spans="1:7" s="68" customFormat="1" ht="24" customHeight="1">
      <c r="A186" s="106"/>
      <c r="B186" s="105"/>
      <c r="C186" s="105"/>
      <c r="D186" s="95"/>
      <c r="E186" s="69"/>
      <c r="F186" s="95"/>
      <c r="G186" s="104"/>
    </row>
    <row r="187" spans="1:7" s="68" customFormat="1" ht="24" customHeight="1">
      <c r="A187" s="106"/>
      <c r="B187" s="105"/>
      <c r="C187" s="105"/>
      <c r="D187" s="95"/>
      <c r="E187" s="69"/>
      <c r="F187" s="95"/>
      <c r="G187" s="104"/>
    </row>
    <row r="188" spans="1:7" s="68" customFormat="1" ht="24" customHeight="1">
      <c r="A188" s="106"/>
      <c r="B188" s="105"/>
      <c r="C188" s="105"/>
      <c r="D188" s="95"/>
      <c r="E188" s="69"/>
      <c r="F188" s="95"/>
      <c r="G188" s="104"/>
    </row>
    <row r="189" spans="1:7" s="68" customFormat="1" ht="24" customHeight="1">
      <c r="A189" s="106"/>
      <c r="B189" s="105"/>
      <c r="C189" s="105"/>
      <c r="D189" s="95"/>
      <c r="E189" s="69"/>
      <c r="F189" s="95"/>
      <c r="G189" s="104"/>
    </row>
    <row r="190" spans="1:7" s="68" customFormat="1" ht="24" customHeight="1">
      <c r="A190" s="106"/>
      <c r="B190" s="105"/>
      <c r="C190" s="105"/>
      <c r="D190" s="95"/>
      <c r="E190" s="69"/>
      <c r="F190" s="95"/>
      <c r="G190" s="104"/>
    </row>
    <row r="191" spans="1:7" s="68" customFormat="1" ht="24" customHeight="1">
      <c r="A191" s="106"/>
      <c r="B191" s="105"/>
      <c r="C191" s="105"/>
      <c r="D191" s="95"/>
      <c r="E191" s="69"/>
      <c r="F191" s="95"/>
      <c r="G191" s="104"/>
    </row>
    <row r="192" spans="1:7" s="68" customFormat="1" ht="24" customHeight="1">
      <c r="A192" s="106"/>
      <c r="B192" s="105"/>
      <c r="C192" s="105"/>
      <c r="D192" s="95"/>
      <c r="E192" s="69"/>
      <c r="F192" s="95"/>
      <c r="G192" s="104"/>
    </row>
    <row r="193" spans="1:7" s="68" customFormat="1" ht="24" customHeight="1">
      <c r="A193" s="106"/>
      <c r="B193" s="105"/>
      <c r="C193" s="105"/>
      <c r="D193" s="95"/>
      <c r="E193" s="69"/>
      <c r="F193" s="95"/>
      <c r="G193" s="104"/>
    </row>
    <row r="194" spans="1:7" s="68" customFormat="1" ht="24" customHeight="1">
      <c r="A194" s="106"/>
      <c r="B194" s="105"/>
      <c r="C194" s="105"/>
      <c r="D194" s="95"/>
      <c r="E194" s="69"/>
      <c r="F194" s="95"/>
      <c r="G194" s="104"/>
    </row>
    <row r="195" spans="1:7" s="68" customFormat="1" ht="24" customHeight="1">
      <c r="A195" s="106"/>
      <c r="B195" s="105"/>
      <c r="C195" s="105"/>
      <c r="D195" s="95"/>
      <c r="E195" s="69"/>
      <c r="F195" s="95"/>
      <c r="G195" s="104"/>
    </row>
    <row r="196" spans="1:7" s="68" customFormat="1" ht="24" customHeight="1">
      <c r="A196" s="106"/>
      <c r="B196" s="105"/>
      <c r="C196" s="105"/>
      <c r="D196" s="95"/>
      <c r="E196" s="69"/>
      <c r="F196" s="95"/>
      <c r="G196" s="104"/>
    </row>
    <row r="197" spans="1:7" s="68" customFormat="1" ht="24" customHeight="1">
      <c r="A197" s="106"/>
      <c r="B197" s="105"/>
      <c r="C197" s="105"/>
      <c r="D197" s="95"/>
      <c r="E197" s="69"/>
      <c r="F197" s="95"/>
      <c r="G197" s="104"/>
    </row>
    <row r="198" spans="1:7" s="68" customFormat="1" ht="24" customHeight="1">
      <c r="A198" s="106"/>
      <c r="B198" s="105"/>
      <c r="C198" s="105"/>
      <c r="D198" s="95"/>
      <c r="E198" s="69"/>
      <c r="F198" s="95"/>
      <c r="G198" s="104"/>
    </row>
    <row r="199" spans="1:7" s="68" customFormat="1" ht="24" customHeight="1">
      <c r="A199" s="106"/>
      <c r="B199" s="105"/>
      <c r="C199" s="105"/>
      <c r="D199" s="95"/>
      <c r="E199" s="69"/>
      <c r="F199" s="95"/>
      <c r="G199" s="104"/>
    </row>
    <row r="200" spans="1:7" s="68" customFormat="1" ht="24" customHeight="1">
      <c r="A200" s="106"/>
      <c r="B200" s="105"/>
      <c r="C200" s="105"/>
      <c r="D200" s="95"/>
      <c r="E200" s="69"/>
      <c r="F200" s="95"/>
      <c r="G200" s="104"/>
    </row>
    <row r="201" spans="1:7" s="68" customFormat="1" ht="24" customHeight="1">
      <c r="A201" s="106"/>
      <c r="B201" s="105"/>
      <c r="C201" s="105"/>
      <c r="D201" s="95"/>
      <c r="E201" s="69"/>
      <c r="F201" s="95"/>
      <c r="G201" s="104"/>
    </row>
    <row r="202" spans="1:7" s="68" customFormat="1" ht="24" customHeight="1">
      <c r="A202" s="106"/>
      <c r="B202" s="105"/>
      <c r="C202" s="105"/>
      <c r="D202" s="95"/>
      <c r="E202" s="69"/>
      <c r="F202" s="95"/>
      <c r="G202" s="104"/>
    </row>
    <row r="203" spans="1:7" s="68" customFormat="1" ht="24" customHeight="1">
      <c r="A203" s="106"/>
      <c r="B203" s="105"/>
      <c r="C203" s="105"/>
      <c r="D203" s="95"/>
      <c r="E203" s="69"/>
      <c r="F203" s="95"/>
      <c r="G203" s="104"/>
    </row>
    <row r="204" spans="1:7" s="68" customFormat="1" ht="24" customHeight="1">
      <c r="A204" s="106"/>
      <c r="B204" s="105"/>
      <c r="C204" s="105"/>
      <c r="D204" s="95"/>
      <c r="E204" s="69"/>
      <c r="F204" s="95"/>
      <c r="G204" s="104"/>
    </row>
    <row r="205" spans="1:7" s="68" customFormat="1" ht="24" customHeight="1">
      <c r="A205" s="106"/>
      <c r="B205" s="105"/>
      <c r="C205" s="105"/>
      <c r="D205" s="95"/>
      <c r="E205" s="69"/>
      <c r="F205" s="95"/>
      <c r="G205" s="104"/>
    </row>
    <row r="206" spans="1:7" s="68" customFormat="1" ht="24" customHeight="1">
      <c r="A206" s="106"/>
      <c r="B206" s="105"/>
      <c r="C206" s="105"/>
      <c r="D206" s="95"/>
      <c r="E206" s="69"/>
      <c r="F206" s="95"/>
      <c r="G206" s="104"/>
    </row>
    <row r="207" spans="1:7" s="68" customFormat="1" ht="24" customHeight="1">
      <c r="A207" s="106"/>
      <c r="B207" s="105"/>
      <c r="C207" s="105"/>
      <c r="D207" s="95"/>
      <c r="E207" s="69"/>
      <c r="F207" s="95"/>
      <c r="G207" s="104"/>
    </row>
    <row r="208" spans="1:7" s="68" customFormat="1" ht="24" customHeight="1">
      <c r="A208" s="106"/>
      <c r="B208" s="105"/>
      <c r="C208" s="105"/>
      <c r="D208" s="95"/>
      <c r="E208" s="69"/>
      <c r="F208" s="95"/>
      <c r="G208" s="104"/>
    </row>
    <row r="209" spans="1:7" s="68" customFormat="1" ht="24" customHeight="1">
      <c r="A209" s="106"/>
      <c r="B209" s="105"/>
      <c r="C209" s="105"/>
      <c r="D209" s="95"/>
      <c r="E209" s="69"/>
      <c r="F209" s="95"/>
      <c r="G209" s="104"/>
    </row>
    <row r="210" spans="1:7" s="68" customFormat="1" ht="24" customHeight="1">
      <c r="A210" s="106"/>
      <c r="B210" s="105"/>
      <c r="C210" s="105"/>
      <c r="D210" s="95"/>
      <c r="E210" s="69"/>
      <c r="F210" s="95"/>
      <c r="G210" s="104"/>
    </row>
    <row r="211" spans="1:7" s="68" customFormat="1" ht="24" customHeight="1">
      <c r="A211" s="106"/>
      <c r="B211" s="105"/>
      <c r="C211" s="105"/>
      <c r="D211" s="95"/>
      <c r="E211" s="69"/>
      <c r="F211" s="95"/>
      <c r="G211" s="104"/>
    </row>
    <row r="212" spans="1:7" s="68" customFormat="1" ht="24" customHeight="1">
      <c r="A212" s="106"/>
      <c r="B212" s="105"/>
      <c r="C212" s="105"/>
      <c r="D212" s="95"/>
      <c r="E212" s="69"/>
      <c r="F212" s="95"/>
      <c r="G212" s="104"/>
    </row>
    <row r="213" spans="1:7" s="68" customFormat="1" ht="24" customHeight="1">
      <c r="A213" s="106"/>
      <c r="B213" s="105"/>
      <c r="C213" s="105"/>
      <c r="D213" s="95"/>
      <c r="E213" s="69"/>
      <c r="F213" s="95"/>
      <c r="G213" s="104"/>
    </row>
    <row r="214" spans="1:7" s="68" customFormat="1" ht="24" customHeight="1">
      <c r="A214" s="106"/>
      <c r="B214" s="105"/>
      <c r="C214" s="105"/>
      <c r="D214" s="95"/>
      <c r="E214" s="69"/>
      <c r="F214" s="95"/>
      <c r="G214" s="104"/>
    </row>
    <row r="215" spans="1:7" s="68" customFormat="1" ht="24" customHeight="1">
      <c r="A215" s="106"/>
      <c r="B215" s="105"/>
      <c r="C215" s="105"/>
      <c r="D215" s="95"/>
      <c r="E215" s="69"/>
      <c r="F215" s="95"/>
      <c r="G215" s="104"/>
    </row>
    <row r="216" spans="1:7" s="68" customFormat="1" ht="24" customHeight="1">
      <c r="A216" s="106"/>
      <c r="B216" s="105"/>
      <c r="C216" s="105"/>
      <c r="D216" s="95"/>
      <c r="E216" s="69"/>
      <c r="F216" s="95"/>
      <c r="G216" s="104"/>
    </row>
    <row r="217" spans="1:7" s="68" customFormat="1" ht="24" customHeight="1">
      <c r="A217" s="106"/>
      <c r="B217" s="105"/>
      <c r="C217" s="105"/>
      <c r="D217" s="95"/>
      <c r="E217" s="69"/>
      <c r="F217" s="95"/>
      <c r="G217" s="104"/>
    </row>
    <row r="218" spans="1:7" s="68" customFormat="1" ht="24" customHeight="1">
      <c r="A218" s="106"/>
      <c r="B218" s="105"/>
      <c r="C218" s="105"/>
      <c r="D218" s="95"/>
      <c r="E218" s="69"/>
      <c r="F218" s="95"/>
      <c r="G218" s="104"/>
    </row>
    <row r="219" spans="1:7" s="68" customFormat="1" ht="24" customHeight="1">
      <c r="A219" s="106"/>
      <c r="B219" s="105"/>
      <c r="C219" s="105"/>
      <c r="D219" s="95"/>
      <c r="E219" s="69"/>
      <c r="F219" s="95"/>
      <c r="G219" s="104"/>
    </row>
    <row r="220" spans="1:7" s="68" customFormat="1" ht="24" customHeight="1">
      <c r="A220" s="106"/>
      <c r="B220" s="105"/>
      <c r="C220" s="105"/>
      <c r="D220" s="95"/>
      <c r="E220" s="69"/>
      <c r="F220" s="95"/>
      <c r="G220" s="104"/>
    </row>
    <row r="221" spans="1:7" s="68" customFormat="1" ht="24" customHeight="1">
      <c r="A221" s="106"/>
      <c r="B221" s="105"/>
      <c r="C221" s="105"/>
      <c r="D221" s="95"/>
      <c r="E221" s="69"/>
      <c r="F221" s="95"/>
      <c r="G221" s="104"/>
    </row>
    <row r="222" spans="1:7" s="68" customFormat="1" ht="24" customHeight="1">
      <c r="A222" s="106"/>
      <c r="B222" s="105"/>
      <c r="C222" s="105"/>
      <c r="D222" s="95"/>
      <c r="E222" s="69"/>
      <c r="F222" s="95"/>
      <c r="G222" s="104"/>
    </row>
    <row r="223" spans="1:7" s="68" customFormat="1" ht="24" customHeight="1">
      <c r="A223" s="106"/>
      <c r="B223" s="105"/>
      <c r="C223" s="105"/>
      <c r="D223" s="95"/>
      <c r="E223" s="69"/>
      <c r="F223" s="95"/>
      <c r="G223" s="104"/>
    </row>
    <row r="224" spans="1:7" s="68" customFormat="1" ht="24" customHeight="1">
      <c r="A224" s="106"/>
      <c r="B224" s="105"/>
      <c r="C224" s="105"/>
      <c r="D224" s="95"/>
      <c r="E224" s="69"/>
      <c r="F224" s="95"/>
      <c r="G224" s="104"/>
    </row>
    <row r="225" spans="1:7" s="68" customFormat="1" ht="24" customHeight="1">
      <c r="A225" s="106"/>
      <c r="B225" s="105"/>
      <c r="C225" s="105"/>
      <c r="D225" s="95"/>
      <c r="E225" s="69"/>
      <c r="F225" s="95"/>
      <c r="G225" s="104"/>
    </row>
    <row r="226" spans="1:7" s="68" customFormat="1" ht="24" customHeight="1">
      <c r="A226" s="106"/>
      <c r="B226" s="105"/>
      <c r="C226" s="105"/>
      <c r="D226" s="95"/>
      <c r="E226" s="69"/>
      <c r="F226" s="95"/>
      <c r="G226" s="104"/>
    </row>
    <row r="227" spans="1:7" s="68" customFormat="1" ht="24" customHeight="1">
      <c r="A227" s="106"/>
      <c r="B227" s="105"/>
      <c r="C227" s="105"/>
      <c r="D227" s="95"/>
      <c r="E227" s="69"/>
      <c r="F227" s="95"/>
      <c r="G227" s="104"/>
    </row>
    <row r="228" spans="1:7" s="68" customFormat="1" ht="24" customHeight="1">
      <c r="A228" s="106"/>
      <c r="B228" s="105"/>
      <c r="C228" s="105"/>
      <c r="D228" s="95"/>
      <c r="E228" s="69"/>
      <c r="F228" s="95"/>
      <c r="G228" s="104"/>
    </row>
    <row r="229" spans="1:7" s="68" customFormat="1" ht="24" customHeight="1">
      <c r="A229" s="106"/>
      <c r="B229" s="105"/>
      <c r="C229" s="105"/>
      <c r="D229" s="95"/>
      <c r="E229" s="69"/>
      <c r="F229" s="95"/>
      <c r="G229" s="104"/>
    </row>
    <row r="230" spans="1:7" s="68" customFormat="1" ht="24" customHeight="1">
      <c r="A230" s="106"/>
      <c r="B230" s="105"/>
      <c r="C230" s="105"/>
      <c r="D230" s="95"/>
      <c r="E230" s="69"/>
      <c r="F230" s="95"/>
      <c r="G230" s="104"/>
    </row>
    <row r="231" spans="1:7" s="68" customFormat="1" ht="24" customHeight="1">
      <c r="A231" s="106"/>
      <c r="B231" s="105"/>
      <c r="C231" s="105"/>
      <c r="D231" s="95"/>
      <c r="E231" s="69"/>
      <c r="F231" s="95"/>
      <c r="G231" s="104"/>
    </row>
    <row r="232" spans="1:7" s="68" customFormat="1" ht="24" customHeight="1">
      <c r="A232" s="106"/>
      <c r="B232" s="105"/>
      <c r="C232" s="105"/>
      <c r="D232" s="95"/>
      <c r="E232" s="69"/>
      <c r="F232" s="95"/>
      <c r="G232" s="104"/>
    </row>
    <row r="233" spans="1:7" s="68" customFormat="1" ht="24" customHeight="1">
      <c r="A233" s="106"/>
      <c r="B233" s="105"/>
      <c r="C233" s="105"/>
      <c r="D233" s="95"/>
      <c r="E233" s="69"/>
      <c r="F233" s="95"/>
      <c r="G233" s="104"/>
    </row>
    <row r="234" spans="1:7" s="68" customFormat="1" ht="24" customHeight="1">
      <c r="A234" s="106"/>
      <c r="B234" s="105"/>
      <c r="C234" s="105"/>
      <c r="D234" s="95"/>
      <c r="E234" s="69"/>
      <c r="F234" s="95"/>
      <c r="G234" s="104"/>
    </row>
    <row r="235" spans="1:7" s="68" customFormat="1" ht="24" customHeight="1">
      <c r="A235" s="106"/>
      <c r="B235" s="105"/>
      <c r="C235" s="105"/>
      <c r="D235" s="95"/>
      <c r="E235" s="69"/>
      <c r="F235" s="95"/>
      <c r="G235" s="104"/>
    </row>
    <row r="236" spans="1:7" s="68" customFormat="1" ht="24" customHeight="1">
      <c r="A236" s="106"/>
      <c r="B236" s="105"/>
      <c r="C236" s="105"/>
      <c r="D236" s="95"/>
      <c r="E236" s="69"/>
      <c r="F236" s="95"/>
      <c r="G236" s="104"/>
    </row>
    <row r="237" spans="1:7" s="68" customFormat="1" ht="24" customHeight="1">
      <c r="A237" s="106"/>
      <c r="B237" s="105"/>
      <c r="C237" s="105"/>
      <c r="D237" s="95"/>
      <c r="E237" s="69"/>
      <c r="F237" s="95"/>
      <c r="G237" s="104"/>
    </row>
    <row r="238" spans="1:7" s="68" customFormat="1" ht="24" customHeight="1">
      <c r="A238" s="106"/>
      <c r="B238" s="105"/>
      <c r="C238" s="105"/>
      <c r="D238" s="95"/>
      <c r="E238" s="69"/>
      <c r="F238" s="95"/>
      <c r="G238" s="104"/>
    </row>
    <row r="239" spans="1:7" s="68" customFormat="1" ht="24" customHeight="1">
      <c r="A239" s="106"/>
      <c r="B239" s="105"/>
      <c r="C239" s="105"/>
      <c r="D239" s="95"/>
      <c r="E239" s="69"/>
      <c r="F239" s="95"/>
      <c r="G239" s="104"/>
    </row>
    <row r="240" spans="1:7" s="68" customFormat="1" ht="24" customHeight="1">
      <c r="A240" s="106"/>
      <c r="B240" s="105"/>
      <c r="C240" s="105"/>
      <c r="D240" s="95"/>
      <c r="E240" s="69"/>
      <c r="F240" s="95"/>
      <c r="G240" s="104"/>
    </row>
    <row r="241" spans="1:7" s="68" customFormat="1" ht="24" customHeight="1">
      <c r="A241" s="106"/>
      <c r="B241" s="105"/>
      <c r="C241" s="105"/>
      <c r="D241" s="95"/>
      <c r="E241" s="69"/>
      <c r="F241" s="95"/>
      <c r="G241" s="104"/>
    </row>
    <row r="242" spans="1:7" s="68" customFormat="1" ht="24" customHeight="1">
      <c r="A242" s="106"/>
      <c r="B242" s="105"/>
      <c r="C242" s="105"/>
      <c r="D242" s="95"/>
      <c r="E242" s="69"/>
      <c r="F242" s="95"/>
      <c r="G242" s="104"/>
    </row>
    <row r="243" spans="1:7" s="68" customFormat="1" ht="24" customHeight="1">
      <c r="A243" s="106"/>
      <c r="B243" s="105"/>
      <c r="C243" s="105"/>
      <c r="D243" s="95"/>
      <c r="E243" s="69"/>
      <c r="F243" s="95"/>
      <c r="G243" s="104"/>
    </row>
    <row r="244" spans="1:7" s="68" customFormat="1" ht="24" customHeight="1">
      <c r="A244" s="106"/>
      <c r="B244" s="105"/>
      <c r="C244" s="105"/>
      <c r="D244" s="95"/>
      <c r="E244" s="69"/>
      <c r="F244" s="95"/>
      <c r="G244" s="104"/>
    </row>
    <row r="245" spans="1:7" s="68" customFormat="1" ht="24" customHeight="1">
      <c r="A245" s="106"/>
      <c r="B245" s="105"/>
      <c r="C245" s="105"/>
      <c r="D245" s="95"/>
      <c r="E245" s="69"/>
      <c r="F245" s="95"/>
      <c r="G245" s="104"/>
    </row>
    <row r="246" spans="1:7" s="68" customFormat="1" ht="24" customHeight="1">
      <c r="A246" s="106"/>
      <c r="B246" s="105"/>
      <c r="C246" s="105"/>
      <c r="D246" s="95"/>
      <c r="E246" s="69"/>
      <c r="F246" s="95"/>
      <c r="G246" s="104"/>
    </row>
    <row r="247" spans="1:7" s="68" customFormat="1" ht="24" customHeight="1">
      <c r="A247" s="106"/>
      <c r="B247" s="105"/>
      <c r="C247" s="105"/>
      <c r="D247" s="95"/>
      <c r="E247" s="69"/>
      <c r="F247" s="95"/>
      <c r="G247" s="104"/>
    </row>
    <row r="248" spans="1:7" s="68" customFormat="1" ht="24" customHeight="1">
      <c r="A248" s="106"/>
      <c r="B248" s="105"/>
      <c r="C248" s="105"/>
      <c r="D248" s="95"/>
      <c r="E248" s="69"/>
      <c r="F248" s="95"/>
      <c r="G248" s="104"/>
    </row>
    <row r="249" spans="1:7" s="68" customFormat="1" ht="24" customHeight="1">
      <c r="A249" s="106"/>
      <c r="B249" s="105"/>
      <c r="C249" s="105"/>
      <c r="D249" s="95"/>
      <c r="E249" s="69"/>
      <c r="F249" s="95"/>
      <c r="G249" s="104"/>
    </row>
    <row r="250" spans="1:7" s="68" customFormat="1" ht="24" customHeight="1">
      <c r="A250" s="106"/>
      <c r="B250" s="105"/>
      <c r="C250" s="105"/>
      <c r="D250" s="95"/>
      <c r="E250" s="69"/>
      <c r="F250" s="95"/>
      <c r="G250" s="104"/>
    </row>
    <row r="251" spans="1:7" s="68" customFormat="1" ht="24" customHeight="1">
      <c r="A251" s="106"/>
      <c r="B251" s="105"/>
      <c r="C251" s="105"/>
      <c r="D251" s="95"/>
      <c r="E251" s="69"/>
      <c r="F251" s="95"/>
      <c r="G251" s="104"/>
    </row>
    <row r="252" spans="1:7" s="68" customFormat="1" ht="24" customHeight="1">
      <c r="A252" s="106"/>
      <c r="B252" s="105"/>
      <c r="C252" s="105"/>
      <c r="D252" s="95"/>
      <c r="E252" s="69"/>
      <c r="F252" s="95"/>
      <c r="G252" s="104"/>
    </row>
    <row r="253" spans="1:7" s="68" customFormat="1" ht="24" customHeight="1">
      <c r="A253" s="106"/>
      <c r="B253" s="105"/>
      <c r="C253" s="105"/>
      <c r="D253" s="95"/>
      <c r="E253" s="69"/>
      <c r="F253" s="95"/>
      <c r="G253" s="104"/>
    </row>
    <row r="254" spans="1:7" s="68" customFormat="1" ht="24" customHeight="1">
      <c r="A254" s="106"/>
      <c r="B254" s="105"/>
      <c r="C254" s="105"/>
      <c r="D254" s="95"/>
      <c r="E254" s="69"/>
      <c r="F254" s="95"/>
      <c r="G254" s="104"/>
    </row>
    <row r="255" spans="1:7" s="68" customFormat="1" ht="24" customHeight="1">
      <c r="A255" s="106"/>
      <c r="B255" s="105"/>
      <c r="C255" s="105"/>
      <c r="D255" s="95"/>
      <c r="E255" s="69"/>
      <c r="F255" s="95"/>
      <c r="G255" s="104"/>
    </row>
    <row r="256" spans="1:7" s="68" customFormat="1" ht="24" customHeight="1">
      <c r="A256" s="106"/>
      <c r="B256" s="105"/>
      <c r="C256" s="105"/>
      <c r="D256" s="95"/>
      <c r="E256" s="69"/>
      <c r="F256" s="95"/>
      <c r="G256" s="104"/>
    </row>
    <row r="257" spans="1:7" s="68" customFormat="1" ht="24" customHeight="1">
      <c r="A257" s="106"/>
      <c r="B257" s="105"/>
      <c r="C257" s="105"/>
      <c r="D257" s="95"/>
      <c r="E257" s="69"/>
      <c r="F257" s="95"/>
      <c r="G257" s="104"/>
    </row>
    <row r="258" spans="1:7" s="68" customFormat="1" ht="24" customHeight="1">
      <c r="A258" s="106"/>
      <c r="B258" s="105"/>
      <c r="C258" s="105"/>
      <c r="D258" s="95"/>
      <c r="E258" s="69"/>
      <c r="F258" s="95"/>
      <c r="G258" s="104"/>
    </row>
    <row r="259" spans="1:7" s="68" customFormat="1" ht="24" customHeight="1">
      <c r="A259" s="106"/>
      <c r="B259" s="105"/>
      <c r="C259" s="105"/>
      <c r="D259" s="95"/>
      <c r="E259" s="69"/>
      <c r="F259" s="95"/>
      <c r="G259" s="104"/>
    </row>
    <row r="260" spans="1:7" s="68" customFormat="1" ht="24" customHeight="1">
      <c r="A260" s="106"/>
      <c r="B260" s="105"/>
      <c r="C260" s="105"/>
      <c r="D260" s="95"/>
      <c r="E260" s="69"/>
      <c r="F260" s="95"/>
      <c r="G260" s="104"/>
    </row>
    <row r="261" spans="1:7" s="68" customFormat="1" ht="24" customHeight="1">
      <c r="A261" s="106"/>
      <c r="B261" s="105"/>
      <c r="C261" s="105"/>
      <c r="D261" s="95"/>
      <c r="E261" s="69"/>
      <c r="F261" s="95"/>
      <c r="G261" s="104"/>
    </row>
    <row r="262" spans="1:7" s="68" customFormat="1" ht="24" customHeight="1">
      <c r="A262" s="106"/>
      <c r="B262" s="105"/>
      <c r="C262" s="105"/>
      <c r="D262" s="95"/>
      <c r="E262" s="69"/>
      <c r="F262" s="95"/>
      <c r="G262" s="104"/>
    </row>
    <row r="263" spans="1:7" s="68" customFormat="1" ht="24" customHeight="1">
      <c r="A263" s="106"/>
      <c r="B263" s="105"/>
      <c r="C263" s="105"/>
      <c r="D263" s="95"/>
      <c r="E263" s="69"/>
      <c r="F263" s="95"/>
      <c r="G263" s="104"/>
    </row>
    <row r="264" spans="1:7" s="68" customFormat="1" ht="24" customHeight="1">
      <c r="A264" s="106"/>
      <c r="B264" s="105"/>
      <c r="C264" s="105"/>
      <c r="D264" s="95"/>
      <c r="E264" s="69"/>
      <c r="F264" s="95"/>
      <c r="G264" s="104"/>
    </row>
    <row r="265" spans="1:7" s="68" customFormat="1" ht="24" customHeight="1">
      <c r="A265" s="106"/>
      <c r="B265" s="105"/>
      <c r="C265" s="105"/>
      <c r="D265" s="95"/>
      <c r="E265" s="69"/>
      <c r="F265" s="95"/>
      <c r="G265" s="104"/>
    </row>
    <row r="266" spans="1:7" s="68" customFormat="1" ht="24" customHeight="1">
      <c r="A266" s="106"/>
      <c r="B266" s="105"/>
      <c r="C266" s="105"/>
      <c r="D266" s="95"/>
      <c r="E266" s="69"/>
      <c r="F266" s="95"/>
      <c r="G266" s="104"/>
    </row>
    <row r="267" spans="1:7" s="68" customFormat="1" ht="24" customHeight="1">
      <c r="A267" s="106"/>
      <c r="B267" s="105"/>
      <c r="C267" s="105"/>
      <c r="D267" s="95"/>
      <c r="E267" s="69"/>
      <c r="F267" s="95"/>
      <c r="G267" s="104"/>
    </row>
    <row r="268" spans="1:7" s="68" customFormat="1" ht="24" customHeight="1">
      <c r="A268" s="106"/>
      <c r="B268" s="105"/>
      <c r="C268" s="105"/>
      <c r="D268" s="95"/>
      <c r="E268" s="69"/>
      <c r="F268" s="95"/>
      <c r="G268" s="104"/>
    </row>
    <row r="269" spans="1:7" s="68" customFormat="1" ht="24" customHeight="1">
      <c r="A269" s="106"/>
      <c r="B269" s="105"/>
      <c r="C269" s="105"/>
      <c r="D269" s="95"/>
      <c r="E269" s="69"/>
      <c r="F269" s="95"/>
      <c r="G269" s="104"/>
    </row>
    <row r="270" spans="1:7" s="68" customFormat="1" ht="24" customHeight="1">
      <c r="A270" s="106"/>
      <c r="B270" s="105"/>
      <c r="C270" s="105"/>
      <c r="D270" s="95"/>
      <c r="E270" s="69"/>
      <c r="F270" s="95"/>
      <c r="G270" s="104"/>
    </row>
    <row r="271" spans="1:7" s="68" customFormat="1" ht="24" customHeight="1">
      <c r="A271" s="106"/>
      <c r="B271" s="105"/>
      <c r="C271" s="105"/>
      <c r="D271" s="95"/>
      <c r="E271" s="69"/>
      <c r="F271" s="95"/>
      <c r="G271" s="104"/>
    </row>
    <row r="272" spans="1:7" s="68" customFormat="1" ht="24" customHeight="1">
      <c r="A272" s="106"/>
      <c r="B272" s="105"/>
      <c r="C272" s="105"/>
      <c r="D272" s="95"/>
      <c r="E272" s="69"/>
      <c r="F272" s="95"/>
      <c r="G272" s="104"/>
    </row>
    <row r="273" spans="1:7" s="68" customFormat="1" ht="24" customHeight="1">
      <c r="A273" s="106"/>
      <c r="B273" s="105"/>
      <c r="C273" s="105"/>
      <c r="D273" s="95"/>
      <c r="E273" s="69"/>
      <c r="F273" s="95"/>
      <c r="G273" s="104"/>
    </row>
    <row r="274" spans="1:7" s="68" customFormat="1" ht="24" customHeight="1">
      <c r="A274" s="106"/>
      <c r="B274" s="105"/>
      <c r="C274" s="105"/>
      <c r="D274" s="95"/>
      <c r="E274" s="69"/>
      <c r="F274" s="95"/>
      <c r="G274" s="104"/>
    </row>
    <row r="275" spans="1:7" s="68" customFormat="1" ht="24" customHeight="1">
      <c r="A275" s="106"/>
      <c r="B275" s="105"/>
      <c r="C275" s="105"/>
      <c r="D275" s="95"/>
      <c r="E275" s="69"/>
      <c r="F275" s="95"/>
      <c r="G275" s="104"/>
    </row>
    <row r="276" spans="1:7" s="68" customFormat="1" ht="24" customHeight="1">
      <c r="A276" s="106"/>
      <c r="B276" s="105"/>
      <c r="C276" s="105"/>
      <c r="D276" s="95"/>
      <c r="E276" s="69"/>
      <c r="F276" s="95"/>
      <c r="G276" s="104"/>
    </row>
    <row r="277" spans="1:7" s="68" customFormat="1" ht="24" customHeight="1">
      <c r="A277" s="106"/>
      <c r="B277" s="105"/>
      <c r="C277" s="105"/>
      <c r="D277" s="95"/>
      <c r="E277" s="69"/>
      <c r="F277" s="95"/>
      <c r="G277" s="104"/>
    </row>
    <row r="278" spans="1:7" s="68" customFormat="1" ht="24" customHeight="1">
      <c r="A278" s="106"/>
      <c r="B278" s="105"/>
      <c r="C278" s="105"/>
      <c r="D278" s="95"/>
      <c r="E278" s="69"/>
      <c r="F278" s="95"/>
      <c r="G278" s="104"/>
    </row>
    <row r="279" spans="1:7" s="68" customFormat="1" ht="24" customHeight="1">
      <c r="A279" s="106"/>
      <c r="B279" s="105"/>
      <c r="C279" s="105"/>
      <c r="D279" s="95"/>
      <c r="E279" s="69"/>
      <c r="F279" s="95"/>
      <c r="G279" s="104"/>
    </row>
    <row r="280" spans="1:7" s="68" customFormat="1" ht="24" customHeight="1">
      <c r="A280" s="106"/>
      <c r="B280" s="105"/>
      <c r="C280" s="105"/>
      <c r="D280" s="95"/>
      <c r="E280" s="69"/>
      <c r="F280" s="95"/>
      <c r="G280" s="104"/>
    </row>
    <row r="281" spans="1:7" s="68" customFormat="1" ht="24" customHeight="1">
      <c r="A281" s="106"/>
      <c r="B281" s="105"/>
      <c r="C281" s="105"/>
      <c r="D281" s="95"/>
      <c r="E281" s="69"/>
      <c r="F281" s="95"/>
      <c r="G281" s="104"/>
    </row>
    <row r="282" spans="1:7" s="68" customFormat="1" ht="24" customHeight="1">
      <c r="A282" s="106"/>
      <c r="B282" s="105"/>
      <c r="C282" s="105"/>
      <c r="D282" s="95" t="e">
        <f t="shared" ref="D282:D328" ca="1" si="2">ROUND(dhtextevaluate(E282),1)</f>
        <v>#NAME?</v>
      </c>
      <c r="E282" s="69"/>
      <c r="F282" s="95"/>
      <c r="G282" s="104"/>
    </row>
    <row r="283" spans="1:7" s="68" customFormat="1" ht="24" customHeight="1">
      <c r="A283" s="106"/>
      <c r="B283" s="105"/>
      <c r="C283" s="105"/>
      <c r="D283" s="95" t="e">
        <f t="shared" ca="1" si="2"/>
        <v>#NAME?</v>
      </c>
      <c r="E283" s="69"/>
      <c r="F283" s="95"/>
      <c r="G283" s="104"/>
    </row>
    <row r="284" spans="1:7" s="68" customFormat="1" ht="24" customHeight="1">
      <c r="A284" s="106"/>
      <c r="B284" s="105"/>
      <c r="C284" s="105"/>
      <c r="D284" s="95" t="e">
        <f t="shared" ca="1" si="2"/>
        <v>#NAME?</v>
      </c>
      <c r="E284" s="69"/>
      <c r="F284" s="95"/>
      <c r="G284" s="104"/>
    </row>
    <row r="285" spans="1:7" s="68" customFormat="1" ht="24" customHeight="1">
      <c r="A285" s="106"/>
      <c r="B285" s="105"/>
      <c r="C285" s="105"/>
      <c r="D285" s="95" t="e">
        <f t="shared" ca="1" si="2"/>
        <v>#NAME?</v>
      </c>
      <c r="E285" s="69"/>
      <c r="F285" s="95"/>
      <c r="G285" s="104"/>
    </row>
    <row r="286" spans="1:7" s="68" customFormat="1" ht="24" customHeight="1">
      <c r="A286" s="106"/>
      <c r="B286" s="105"/>
      <c r="C286" s="105"/>
      <c r="D286" s="95" t="e">
        <f t="shared" ca="1" si="2"/>
        <v>#NAME?</v>
      </c>
      <c r="E286" s="69"/>
      <c r="F286" s="95"/>
      <c r="G286" s="104"/>
    </row>
    <row r="287" spans="1:7" s="68" customFormat="1" ht="24" customHeight="1">
      <c r="A287" s="106"/>
      <c r="B287" s="105"/>
      <c r="C287" s="105"/>
      <c r="D287" s="95" t="e">
        <f t="shared" ca="1" si="2"/>
        <v>#NAME?</v>
      </c>
      <c r="E287" s="69"/>
      <c r="F287" s="95"/>
      <c r="G287" s="104"/>
    </row>
    <row r="288" spans="1:7" s="68" customFormat="1" ht="24" customHeight="1">
      <c r="A288" s="106"/>
      <c r="B288" s="105"/>
      <c r="C288" s="105"/>
      <c r="D288" s="95" t="e">
        <f t="shared" ca="1" si="2"/>
        <v>#NAME?</v>
      </c>
      <c r="E288" s="69"/>
      <c r="F288" s="95"/>
      <c r="G288" s="104"/>
    </row>
    <row r="289" spans="1:7" s="68" customFormat="1" ht="24" customHeight="1">
      <c r="A289" s="106"/>
      <c r="B289" s="105"/>
      <c r="C289" s="105"/>
      <c r="D289" s="95" t="e">
        <f t="shared" ca="1" si="2"/>
        <v>#NAME?</v>
      </c>
      <c r="E289" s="69"/>
      <c r="F289" s="95"/>
      <c r="G289" s="104"/>
    </row>
    <row r="290" spans="1:7" s="68" customFormat="1" ht="24" customHeight="1">
      <c r="A290" s="106"/>
      <c r="B290" s="105"/>
      <c r="C290" s="105"/>
      <c r="D290" s="95" t="e">
        <f t="shared" ca="1" si="2"/>
        <v>#NAME?</v>
      </c>
      <c r="E290" s="69"/>
      <c r="F290" s="95"/>
      <c r="G290" s="104"/>
    </row>
    <row r="291" spans="1:7" s="68" customFormat="1" ht="24" customHeight="1">
      <c r="A291" s="106"/>
      <c r="B291" s="105"/>
      <c r="C291" s="105"/>
      <c r="D291" s="95" t="e">
        <f t="shared" ca="1" si="2"/>
        <v>#NAME?</v>
      </c>
      <c r="E291" s="69"/>
      <c r="F291" s="95"/>
      <c r="G291" s="104"/>
    </row>
    <row r="292" spans="1:7" s="68" customFormat="1" ht="24" customHeight="1">
      <c r="A292" s="106"/>
      <c r="B292" s="105"/>
      <c r="C292" s="105"/>
      <c r="D292" s="95" t="e">
        <f t="shared" ca="1" si="2"/>
        <v>#NAME?</v>
      </c>
      <c r="E292" s="69"/>
      <c r="F292" s="95"/>
      <c r="G292" s="104"/>
    </row>
    <row r="293" spans="1:7" s="68" customFormat="1" ht="24" customHeight="1">
      <c r="A293" s="106"/>
      <c r="B293" s="105"/>
      <c r="C293" s="105"/>
      <c r="D293" s="95" t="e">
        <f t="shared" ca="1" si="2"/>
        <v>#NAME?</v>
      </c>
      <c r="E293" s="69"/>
      <c r="F293" s="95"/>
      <c r="G293" s="104"/>
    </row>
    <row r="294" spans="1:7" s="68" customFormat="1" ht="24" customHeight="1">
      <c r="A294" s="106"/>
      <c r="B294" s="105"/>
      <c r="C294" s="105"/>
      <c r="D294" s="95" t="e">
        <f t="shared" ca="1" si="2"/>
        <v>#NAME?</v>
      </c>
      <c r="E294" s="69"/>
      <c r="F294" s="95"/>
      <c r="G294" s="104"/>
    </row>
    <row r="295" spans="1:7" s="68" customFormat="1" ht="24" customHeight="1">
      <c r="A295" s="106"/>
      <c r="B295" s="105"/>
      <c r="C295" s="105"/>
      <c r="D295" s="95" t="e">
        <f t="shared" ca="1" si="2"/>
        <v>#NAME?</v>
      </c>
      <c r="E295" s="69"/>
      <c r="F295" s="95"/>
      <c r="G295" s="104"/>
    </row>
    <row r="296" spans="1:7" s="68" customFormat="1" ht="24" customHeight="1">
      <c r="A296" s="106"/>
      <c r="B296" s="105"/>
      <c r="C296" s="105"/>
      <c r="D296" s="95" t="e">
        <f t="shared" ca="1" si="2"/>
        <v>#NAME?</v>
      </c>
      <c r="E296" s="69"/>
      <c r="F296" s="95"/>
      <c r="G296" s="104"/>
    </row>
    <row r="297" spans="1:7" s="68" customFormat="1" ht="24" customHeight="1">
      <c r="A297" s="106"/>
      <c r="B297" s="105"/>
      <c r="C297" s="105"/>
      <c r="D297" s="95" t="e">
        <f t="shared" ca="1" si="2"/>
        <v>#NAME?</v>
      </c>
      <c r="E297" s="69"/>
      <c r="F297" s="95"/>
      <c r="G297" s="104"/>
    </row>
    <row r="298" spans="1:7" s="68" customFormat="1" ht="24" customHeight="1">
      <c r="A298" s="106"/>
      <c r="B298" s="105"/>
      <c r="C298" s="105"/>
      <c r="D298" s="95" t="e">
        <f t="shared" ca="1" si="2"/>
        <v>#NAME?</v>
      </c>
      <c r="E298" s="69"/>
      <c r="F298" s="95"/>
      <c r="G298" s="104"/>
    </row>
    <row r="299" spans="1:7" s="68" customFormat="1" ht="24" customHeight="1">
      <c r="A299" s="106"/>
      <c r="B299" s="105"/>
      <c r="C299" s="105"/>
      <c r="D299" s="95" t="e">
        <f t="shared" ca="1" si="2"/>
        <v>#NAME?</v>
      </c>
      <c r="E299" s="69"/>
      <c r="F299" s="95"/>
      <c r="G299" s="104"/>
    </row>
    <row r="300" spans="1:7" s="68" customFormat="1" ht="24" customHeight="1">
      <c r="A300" s="106"/>
      <c r="B300" s="105"/>
      <c r="C300" s="105"/>
      <c r="D300" s="95" t="e">
        <f t="shared" ca="1" si="2"/>
        <v>#NAME?</v>
      </c>
      <c r="E300" s="69"/>
      <c r="F300" s="95"/>
      <c r="G300" s="104"/>
    </row>
    <row r="301" spans="1:7" s="68" customFormat="1" ht="24" customHeight="1">
      <c r="A301" s="106"/>
      <c r="B301" s="105"/>
      <c r="C301" s="105"/>
      <c r="D301" s="95" t="e">
        <f t="shared" ca="1" si="2"/>
        <v>#NAME?</v>
      </c>
      <c r="E301" s="69"/>
      <c r="F301" s="95"/>
      <c r="G301" s="104"/>
    </row>
    <row r="302" spans="1:7" s="68" customFormat="1" ht="24" customHeight="1">
      <c r="A302" s="106"/>
      <c r="B302" s="105"/>
      <c r="C302" s="105"/>
      <c r="D302" s="95" t="e">
        <f t="shared" ca="1" si="2"/>
        <v>#NAME?</v>
      </c>
      <c r="E302" s="69"/>
      <c r="F302" s="95"/>
      <c r="G302" s="104"/>
    </row>
    <row r="303" spans="1:7" s="68" customFormat="1" ht="24" customHeight="1">
      <c r="A303" s="106"/>
      <c r="B303" s="105"/>
      <c r="C303" s="105"/>
      <c r="D303" s="95" t="e">
        <f t="shared" ca="1" si="2"/>
        <v>#NAME?</v>
      </c>
      <c r="E303" s="69"/>
      <c r="F303" s="95"/>
      <c r="G303" s="104"/>
    </row>
    <row r="304" spans="1:7" s="68" customFormat="1" ht="24" customHeight="1">
      <c r="A304" s="106"/>
      <c r="B304" s="105"/>
      <c r="C304" s="105"/>
      <c r="D304" s="95" t="e">
        <f t="shared" ca="1" si="2"/>
        <v>#NAME?</v>
      </c>
      <c r="E304" s="69"/>
      <c r="F304" s="95"/>
      <c r="G304" s="104"/>
    </row>
    <row r="305" spans="1:7" s="68" customFormat="1" ht="24" customHeight="1">
      <c r="A305" s="106"/>
      <c r="B305" s="105"/>
      <c r="C305" s="105"/>
      <c r="D305" s="95" t="e">
        <f t="shared" ca="1" si="2"/>
        <v>#NAME?</v>
      </c>
      <c r="E305" s="69"/>
      <c r="F305" s="95"/>
      <c r="G305" s="104"/>
    </row>
    <row r="306" spans="1:7" s="68" customFormat="1" ht="24" customHeight="1">
      <c r="A306" s="106"/>
      <c r="B306" s="105"/>
      <c r="C306" s="105"/>
      <c r="D306" s="95" t="e">
        <f t="shared" ca="1" si="2"/>
        <v>#NAME?</v>
      </c>
      <c r="E306" s="69"/>
      <c r="F306" s="95"/>
      <c r="G306" s="104"/>
    </row>
    <row r="307" spans="1:7" s="68" customFormat="1" ht="24" customHeight="1">
      <c r="A307" s="106"/>
      <c r="B307" s="105"/>
      <c r="C307" s="105"/>
      <c r="D307" s="95" t="e">
        <f t="shared" ca="1" si="2"/>
        <v>#NAME?</v>
      </c>
      <c r="E307" s="69"/>
      <c r="F307" s="95"/>
      <c r="G307" s="104"/>
    </row>
    <row r="308" spans="1:7" s="68" customFormat="1" ht="24" customHeight="1">
      <c r="A308" s="106"/>
      <c r="B308" s="105"/>
      <c r="C308" s="105"/>
      <c r="D308" s="95" t="e">
        <f t="shared" ca="1" si="2"/>
        <v>#NAME?</v>
      </c>
      <c r="E308" s="69"/>
      <c r="F308" s="95"/>
      <c r="G308" s="104"/>
    </row>
    <row r="309" spans="1:7" s="68" customFormat="1" ht="24" customHeight="1">
      <c r="A309" s="106"/>
      <c r="B309" s="105"/>
      <c r="C309" s="105"/>
      <c r="D309" s="95" t="e">
        <f t="shared" ca="1" si="2"/>
        <v>#NAME?</v>
      </c>
      <c r="E309" s="69"/>
      <c r="F309" s="95"/>
      <c r="G309" s="104"/>
    </row>
    <row r="310" spans="1:7" s="68" customFormat="1" ht="24" customHeight="1">
      <c r="A310" s="106"/>
      <c r="B310" s="105"/>
      <c r="C310" s="105"/>
      <c r="D310" s="95" t="e">
        <f t="shared" ca="1" si="2"/>
        <v>#NAME?</v>
      </c>
      <c r="E310" s="69"/>
      <c r="F310" s="95"/>
      <c r="G310" s="104"/>
    </row>
    <row r="311" spans="1:7" s="68" customFormat="1" ht="24" customHeight="1">
      <c r="A311" s="106"/>
      <c r="B311" s="105"/>
      <c r="C311" s="105"/>
      <c r="D311" s="95" t="e">
        <f t="shared" ca="1" si="2"/>
        <v>#NAME?</v>
      </c>
      <c r="E311" s="69"/>
      <c r="F311" s="95"/>
      <c r="G311" s="104"/>
    </row>
    <row r="312" spans="1:7" s="68" customFormat="1" ht="24" customHeight="1">
      <c r="A312" s="106"/>
      <c r="B312" s="105"/>
      <c r="C312" s="105"/>
      <c r="D312" s="95" t="e">
        <f t="shared" ca="1" si="2"/>
        <v>#NAME?</v>
      </c>
      <c r="E312" s="69"/>
      <c r="F312" s="95"/>
      <c r="G312" s="104"/>
    </row>
    <row r="313" spans="1:7" s="68" customFormat="1" ht="24" customHeight="1">
      <c r="A313" s="106"/>
      <c r="B313" s="105"/>
      <c r="C313" s="105"/>
      <c r="D313" s="95" t="e">
        <f t="shared" ca="1" si="2"/>
        <v>#NAME?</v>
      </c>
      <c r="E313" s="69"/>
      <c r="F313" s="95"/>
      <c r="G313" s="104"/>
    </row>
    <row r="314" spans="1:7" s="68" customFormat="1" ht="24" customHeight="1">
      <c r="A314" s="106"/>
      <c r="B314" s="105"/>
      <c r="C314" s="105"/>
      <c r="D314" s="95" t="e">
        <f t="shared" ca="1" si="2"/>
        <v>#NAME?</v>
      </c>
      <c r="E314" s="69"/>
      <c r="F314" s="95"/>
      <c r="G314" s="104"/>
    </row>
    <row r="315" spans="1:7" s="68" customFormat="1" ht="24" customHeight="1">
      <c r="A315" s="106"/>
      <c r="B315" s="105"/>
      <c r="C315" s="105"/>
      <c r="D315" s="95" t="e">
        <f t="shared" ca="1" si="2"/>
        <v>#NAME?</v>
      </c>
      <c r="E315" s="69"/>
      <c r="F315" s="95"/>
      <c r="G315" s="104"/>
    </row>
    <row r="316" spans="1:7" s="68" customFormat="1" ht="24" customHeight="1">
      <c r="A316" s="106"/>
      <c r="B316" s="105"/>
      <c r="C316" s="105"/>
      <c r="D316" s="95" t="e">
        <f t="shared" ca="1" si="2"/>
        <v>#NAME?</v>
      </c>
      <c r="E316" s="69"/>
      <c r="F316" s="95"/>
      <c r="G316" s="104"/>
    </row>
    <row r="317" spans="1:7" s="68" customFormat="1" ht="24" customHeight="1">
      <c r="A317" s="106"/>
      <c r="B317" s="105"/>
      <c r="C317" s="105"/>
      <c r="D317" s="95" t="e">
        <f t="shared" ca="1" si="2"/>
        <v>#NAME?</v>
      </c>
      <c r="E317" s="69"/>
      <c r="F317" s="95"/>
      <c r="G317" s="104"/>
    </row>
    <row r="318" spans="1:7" s="68" customFormat="1" ht="24" customHeight="1">
      <c r="A318" s="106"/>
      <c r="B318" s="105"/>
      <c r="C318" s="105"/>
      <c r="D318" s="95" t="e">
        <f t="shared" ca="1" si="2"/>
        <v>#NAME?</v>
      </c>
      <c r="E318" s="69"/>
      <c r="F318" s="95"/>
      <c r="G318" s="104"/>
    </row>
    <row r="319" spans="1:7" s="68" customFormat="1" ht="24" customHeight="1">
      <c r="A319" s="106"/>
      <c r="B319" s="105"/>
      <c r="C319" s="105"/>
      <c r="D319" s="95" t="e">
        <f t="shared" ca="1" si="2"/>
        <v>#NAME?</v>
      </c>
      <c r="E319" s="69"/>
      <c r="F319" s="95"/>
      <c r="G319" s="104"/>
    </row>
    <row r="320" spans="1:7" s="68" customFormat="1" ht="24" customHeight="1">
      <c r="A320" s="106"/>
      <c r="B320" s="105"/>
      <c r="C320" s="105"/>
      <c r="D320" s="95" t="e">
        <f t="shared" ca="1" si="2"/>
        <v>#NAME?</v>
      </c>
      <c r="E320" s="69"/>
      <c r="F320" s="95"/>
      <c r="G320" s="104"/>
    </row>
    <row r="321" spans="1:7" s="68" customFormat="1" ht="24" customHeight="1">
      <c r="A321" s="106"/>
      <c r="B321" s="105"/>
      <c r="C321" s="105"/>
      <c r="D321" s="95" t="e">
        <f t="shared" ca="1" si="2"/>
        <v>#NAME?</v>
      </c>
      <c r="E321" s="69"/>
      <c r="F321" s="95"/>
      <c r="G321" s="104"/>
    </row>
    <row r="322" spans="1:7" s="68" customFormat="1" ht="24" customHeight="1">
      <c r="A322" s="106"/>
      <c r="B322" s="105"/>
      <c r="C322" s="105"/>
      <c r="D322" s="95" t="e">
        <f t="shared" ca="1" si="2"/>
        <v>#NAME?</v>
      </c>
      <c r="E322" s="69"/>
      <c r="F322" s="95"/>
      <c r="G322" s="104"/>
    </row>
    <row r="323" spans="1:7" s="68" customFormat="1" ht="24" customHeight="1">
      <c r="A323" s="106"/>
      <c r="B323" s="105"/>
      <c r="C323" s="105"/>
      <c r="D323" s="95" t="e">
        <f t="shared" ca="1" si="2"/>
        <v>#NAME?</v>
      </c>
      <c r="E323" s="69"/>
      <c r="F323" s="95"/>
      <c r="G323" s="104"/>
    </row>
    <row r="324" spans="1:7" s="68" customFormat="1" ht="24" customHeight="1">
      <c r="A324" s="106"/>
      <c r="B324" s="105"/>
      <c r="C324" s="105"/>
      <c r="D324" s="95" t="e">
        <f t="shared" ca="1" si="2"/>
        <v>#NAME?</v>
      </c>
      <c r="E324" s="69"/>
      <c r="F324" s="95"/>
      <c r="G324" s="104"/>
    </row>
    <row r="325" spans="1:7" s="68" customFormat="1" ht="24" customHeight="1">
      <c r="A325" s="106"/>
      <c r="B325" s="105"/>
      <c r="C325" s="105"/>
      <c r="D325" s="95" t="e">
        <f t="shared" ca="1" si="2"/>
        <v>#NAME?</v>
      </c>
      <c r="E325" s="69"/>
      <c r="F325" s="95"/>
      <c r="G325" s="104"/>
    </row>
    <row r="326" spans="1:7" s="68" customFormat="1" ht="24" customHeight="1">
      <c r="A326" s="106"/>
      <c r="B326" s="105"/>
      <c r="C326" s="105"/>
      <c r="D326" s="95" t="e">
        <f t="shared" ca="1" si="2"/>
        <v>#NAME?</v>
      </c>
      <c r="E326" s="69"/>
      <c r="F326" s="95"/>
      <c r="G326" s="104"/>
    </row>
    <row r="327" spans="1:7" s="68" customFormat="1" ht="24" customHeight="1">
      <c r="A327" s="106"/>
      <c r="B327" s="105"/>
      <c r="C327" s="105"/>
      <c r="D327" s="95" t="e">
        <f t="shared" ca="1" si="2"/>
        <v>#NAME?</v>
      </c>
      <c r="E327" s="69"/>
      <c r="F327" s="95"/>
      <c r="G327" s="104"/>
    </row>
    <row r="328" spans="1:7" s="68" customFormat="1" ht="24" customHeight="1">
      <c r="A328" s="106"/>
      <c r="B328" s="105"/>
      <c r="C328" s="105"/>
      <c r="D328" s="95" t="e">
        <f t="shared" ca="1" si="2"/>
        <v>#NAME?</v>
      </c>
      <c r="E328" s="69"/>
      <c r="F328" s="95"/>
      <c r="G328" s="104"/>
    </row>
    <row r="329" spans="1:7" s="68" customFormat="1" ht="24" customHeight="1">
      <c r="A329" s="106"/>
      <c r="B329" s="105"/>
      <c r="C329" s="105"/>
      <c r="D329" s="95" t="e">
        <f t="shared" ref="D329:D351" ca="1" si="3">ROUND(dhtextevaluate(E329),1)</f>
        <v>#NAME?</v>
      </c>
      <c r="E329" s="69"/>
      <c r="F329" s="95"/>
      <c r="G329" s="104"/>
    </row>
    <row r="330" spans="1:7" s="68" customFormat="1" ht="24" customHeight="1">
      <c r="A330" s="106"/>
      <c r="B330" s="105"/>
      <c r="C330" s="105"/>
      <c r="D330" s="95" t="e">
        <f t="shared" ca="1" si="3"/>
        <v>#NAME?</v>
      </c>
      <c r="E330" s="69"/>
      <c r="F330" s="95"/>
      <c r="G330" s="104"/>
    </row>
    <row r="331" spans="1:7" s="68" customFormat="1" ht="24" customHeight="1">
      <c r="A331" s="106"/>
      <c r="B331" s="105"/>
      <c r="C331" s="105"/>
      <c r="D331" s="95" t="e">
        <f t="shared" ca="1" si="3"/>
        <v>#NAME?</v>
      </c>
      <c r="E331" s="69"/>
      <c r="F331" s="95"/>
      <c r="G331" s="104"/>
    </row>
    <row r="332" spans="1:7" s="68" customFormat="1" ht="24" customHeight="1">
      <c r="A332" s="106"/>
      <c r="B332" s="105"/>
      <c r="C332" s="105"/>
      <c r="D332" s="95" t="e">
        <f t="shared" ca="1" si="3"/>
        <v>#NAME?</v>
      </c>
      <c r="E332" s="69"/>
      <c r="F332" s="95"/>
      <c r="G332" s="104"/>
    </row>
    <row r="333" spans="1:7" s="68" customFormat="1" ht="24" customHeight="1">
      <c r="A333" s="107"/>
      <c r="B333" s="107"/>
      <c r="C333" s="108"/>
      <c r="D333" s="95" t="e">
        <f t="shared" ca="1" si="3"/>
        <v>#NAME?</v>
      </c>
      <c r="E333" s="69"/>
      <c r="F333" s="95"/>
      <c r="G333" s="104"/>
    </row>
    <row r="334" spans="1:7" s="68" customFormat="1" ht="24" customHeight="1">
      <c r="A334" s="106"/>
      <c r="B334" s="105"/>
      <c r="C334" s="105"/>
      <c r="D334" s="95" t="e">
        <f t="shared" ca="1" si="3"/>
        <v>#NAME?</v>
      </c>
      <c r="E334" s="69"/>
      <c r="F334" s="95"/>
      <c r="G334" s="104"/>
    </row>
    <row r="335" spans="1:7" s="68" customFormat="1" ht="24" customHeight="1">
      <c r="A335" s="106"/>
      <c r="B335" s="105"/>
      <c r="C335" s="105"/>
      <c r="D335" s="95" t="e">
        <f t="shared" ca="1" si="3"/>
        <v>#NAME?</v>
      </c>
      <c r="E335" s="69"/>
      <c r="F335" s="95"/>
      <c r="G335" s="104"/>
    </row>
    <row r="336" spans="1:7" s="68" customFormat="1" ht="24" customHeight="1">
      <c r="A336" s="106"/>
      <c r="B336" s="105"/>
      <c r="C336" s="105"/>
      <c r="D336" s="95" t="e">
        <f t="shared" ca="1" si="3"/>
        <v>#NAME?</v>
      </c>
      <c r="E336" s="69"/>
      <c r="F336" s="95"/>
      <c r="G336" s="104"/>
    </row>
    <row r="337" spans="1:7" s="68" customFormat="1" ht="24" customHeight="1">
      <c r="A337" s="106"/>
      <c r="B337" s="105"/>
      <c r="C337" s="105"/>
      <c r="D337" s="95" t="e">
        <f t="shared" ca="1" si="3"/>
        <v>#NAME?</v>
      </c>
      <c r="E337" s="69"/>
      <c r="F337" s="95"/>
      <c r="G337" s="104"/>
    </row>
    <row r="338" spans="1:7" s="68" customFormat="1" ht="24" customHeight="1">
      <c r="A338" s="106"/>
      <c r="B338" s="105"/>
      <c r="C338" s="105"/>
      <c r="D338" s="95" t="e">
        <f t="shared" ca="1" si="3"/>
        <v>#NAME?</v>
      </c>
      <c r="E338" s="69"/>
      <c r="F338" s="95"/>
      <c r="G338" s="104"/>
    </row>
    <row r="339" spans="1:7" s="68" customFormat="1" ht="24" customHeight="1">
      <c r="A339" s="106"/>
      <c r="B339" s="105"/>
      <c r="C339" s="105"/>
      <c r="D339" s="95" t="e">
        <f t="shared" ca="1" si="3"/>
        <v>#NAME?</v>
      </c>
      <c r="E339" s="69"/>
      <c r="F339" s="95"/>
      <c r="G339" s="104"/>
    </row>
    <row r="340" spans="1:7" s="68" customFormat="1" ht="24" customHeight="1">
      <c r="A340" s="106"/>
      <c r="B340" s="105"/>
      <c r="C340" s="105"/>
      <c r="D340" s="95" t="e">
        <f t="shared" ca="1" si="3"/>
        <v>#NAME?</v>
      </c>
      <c r="E340" s="69"/>
      <c r="F340" s="95"/>
      <c r="G340" s="104"/>
    </row>
    <row r="341" spans="1:7" s="68" customFormat="1" ht="24" customHeight="1">
      <c r="A341" s="106"/>
      <c r="B341" s="105"/>
      <c r="C341" s="105"/>
      <c r="D341" s="95" t="e">
        <f t="shared" ca="1" si="3"/>
        <v>#NAME?</v>
      </c>
      <c r="E341" s="69"/>
      <c r="F341" s="95"/>
      <c r="G341" s="104"/>
    </row>
    <row r="342" spans="1:7" s="68" customFormat="1" ht="24" customHeight="1">
      <c r="A342" s="106"/>
      <c r="B342" s="105"/>
      <c r="C342" s="105"/>
      <c r="D342" s="95" t="e">
        <f t="shared" ca="1" si="3"/>
        <v>#NAME?</v>
      </c>
      <c r="E342" s="69"/>
      <c r="F342" s="95"/>
      <c r="G342" s="104"/>
    </row>
    <row r="343" spans="1:7" s="68" customFormat="1" ht="24" customHeight="1">
      <c r="A343" s="106"/>
      <c r="B343" s="105"/>
      <c r="C343" s="105"/>
      <c r="D343" s="95" t="e">
        <f t="shared" ca="1" si="3"/>
        <v>#NAME?</v>
      </c>
      <c r="E343" s="69"/>
      <c r="F343" s="95"/>
      <c r="G343" s="104"/>
    </row>
    <row r="344" spans="1:7" s="68" customFormat="1" ht="24" customHeight="1">
      <c r="A344" s="109"/>
      <c r="B344" s="110"/>
      <c r="C344" s="108"/>
      <c r="D344" s="95" t="e">
        <f t="shared" ca="1" si="3"/>
        <v>#NAME?</v>
      </c>
      <c r="E344" s="69"/>
      <c r="F344" s="95"/>
      <c r="G344" s="104"/>
    </row>
    <row r="345" spans="1:7" s="68" customFormat="1" ht="24" customHeight="1">
      <c r="A345" s="106"/>
      <c r="B345" s="105"/>
      <c r="C345" s="105"/>
      <c r="D345" s="95" t="e">
        <f t="shared" ca="1" si="3"/>
        <v>#NAME?</v>
      </c>
      <c r="E345" s="69"/>
      <c r="F345" s="95"/>
      <c r="G345" s="104"/>
    </row>
    <row r="346" spans="1:7" s="68" customFormat="1" ht="24" customHeight="1">
      <c r="A346" s="106"/>
      <c r="B346" s="105"/>
      <c r="C346" s="105"/>
      <c r="D346" s="95" t="e">
        <f t="shared" ca="1" si="3"/>
        <v>#NAME?</v>
      </c>
      <c r="E346" s="69"/>
      <c r="F346" s="95"/>
      <c r="G346" s="104"/>
    </row>
    <row r="347" spans="1:7" s="68" customFormat="1" ht="24" customHeight="1">
      <c r="A347" s="106"/>
      <c r="B347" s="105"/>
      <c r="C347" s="105"/>
      <c r="D347" s="95" t="e">
        <f t="shared" ca="1" si="3"/>
        <v>#NAME?</v>
      </c>
      <c r="E347" s="69"/>
      <c r="F347" s="95"/>
      <c r="G347" s="104"/>
    </row>
    <row r="348" spans="1:7" s="68" customFormat="1" ht="24" customHeight="1">
      <c r="A348" s="106"/>
      <c r="B348" s="105"/>
      <c r="C348" s="105"/>
      <c r="D348" s="95" t="e">
        <f t="shared" ca="1" si="3"/>
        <v>#NAME?</v>
      </c>
      <c r="E348" s="69"/>
      <c r="F348" s="95"/>
      <c r="G348" s="104"/>
    </row>
    <row r="349" spans="1:7" s="68" customFormat="1" ht="24" customHeight="1">
      <c r="A349" s="111"/>
      <c r="B349" s="105"/>
      <c r="C349" s="105"/>
      <c r="D349" s="95" t="e">
        <f t="shared" ca="1" si="3"/>
        <v>#NAME?</v>
      </c>
      <c r="E349" s="69"/>
      <c r="F349" s="95"/>
      <c r="G349" s="104"/>
    </row>
    <row r="350" spans="1:7" s="68" customFormat="1" ht="24" customHeight="1">
      <c r="A350" s="106"/>
      <c r="B350" s="105"/>
      <c r="C350" s="105"/>
      <c r="D350" s="95" t="e">
        <f t="shared" ca="1" si="3"/>
        <v>#NAME?</v>
      </c>
      <c r="E350" s="69"/>
      <c r="F350" s="95" t="e">
        <f ca="1">ROUND(dhtextevaluate(E350),1)</f>
        <v>#NAME?</v>
      </c>
      <c r="G350" s="104"/>
    </row>
    <row r="351" spans="1:7" s="68" customFormat="1" ht="24" customHeight="1">
      <c r="A351" s="106"/>
      <c r="B351" s="105"/>
      <c r="C351" s="105"/>
      <c r="D351" s="95" t="e">
        <f t="shared" ca="1" si="3"/>
        <v>#NAME?</v>
      </c>
      <c r="E351" s="69"/>
      <c r="F351" s="95" t="e">
        <f ca="1">ROUND(dhtextevaluate(E351),1)</f>
        <v>#NAME?</v>
      </c>
      <c r="G351" s="104"/>
    </row>
    <row r="352" spans="1:7" ht="13.5">
      <c r="A352" s="112"/>
      <c r="B352" s="113"/>
      <c r="C352" s="112"/>
      <c r="D352" s="96"/>
      <c r="E352" s="114"/>
      <c r="F352" s="112"/>
      <c r="G352" s="112"/>
    </row>
    <row r="353" spans="1:7" ht="13.5">
      <c r="A353" s="112"/>
      <c r="B353" s="113"/>
      <c r="C353" s="112"/>
      <c r="D353" s="96"/>
      <c r="E353" s="114"/>
      <c r="F353" s="112"/>
      <c r="G353" s="112"/>
    </row>
    <row r="354" spans="1:7" ht="13.5">
      <c r="A354" s="112"/>
      <c r="B354" s="113"/>
      <c r="C354" s="112"/>
      <c r="D354" s="96"/>
      <c r="E354" s="114"/>
      <c r="F354" s="112"/>
      <c r="G354" s="112"/>
    </row>
    <row r="355" spans="1:7" ht="13.5">
      <c r="A355" s="112"/>
      <c r="B355" s="113"/>
      <c r="C355" s="112"/>
      <c r="D355" s="96"/>
      <c r="E355" s="114"/>
      <c r="F355" s="112"/>
      <c r="G355" s="112"/>
    </row>
    <row r="356" spans="1:7" ht="13.5">
      <c r="A356" s="112"/>
      <c r="B356" s="113"/>
      <c r="C356" s="112"/>
      <c r="D356" s="96"/>
      <c r="E356" s="114"/>
      <c r="F356" s="112"/>
      <c r="G356" s="112"/>
    </row>
    <row r="357" spans="1:7" ht="13.5">
      <c r="A357" s="112"/>
      <c r="B357" s="113"/>
      <c r="C357" s="112"/>
      <c r="D357" s="96"/>
      <c r="E357" s="114"/>
      <c r="F357" s="112"/>
      <c r="G357" s="112"/>
    </row>
    <row r="358" spans="1:7" ht="13.5">
      <c r="A358" s="112"/>
      <c r="B358" s="113"/>
      <c r="C358" s="112"/>
      <c r="D358" s="96"/>
      <c r="E358" s="114"/>
      <c r="F358" s="112"/>
      <c r="G358" s="112"/>
    </row>
    <row r="359" spans="1:7" ht="13.5">
      <c r="A359" s="112"/>
      <c r="B359" s="113"/>
      <c r="C359" s="112"/>
      <c r="D359" s="96"/>
      <c r="E359" s="114"/>
      <c r="F359" s="112"/>
      <c r="G359" s="112"/>
    </row>
    <row r="360" spans="1:7" ht="13.5">
      <c r="A360" s="112"/>
      <c r="B360" s="113"/>
      <c r="C360" s="112"/>
      <c r="D360" s="96"/>
      <c r="E360" s="114"/>
      <c r="F360" s="112"/>
      <c r="G360" s="112"/>
    </row>
    <row r="361" spans="1:7" ht="13.5">
      <c r="A361" s="112"/>
      <c r="B361" s="113"/>
      <c r="C361" s="112"/>
      <c r="D361" s="96"/>
      <c r="E361" s="114"/>
      <c r="F361" s="112"/>
      <c r="G361" s="112"/>
    </row>
    <row r="362" spans="1:7" ht="13.5">
      <c r="A362" s="112"/>
      <c r="B362" s="113"/>
      <c r="C362" s="112"/>
      <c r="D362" s="96"/>
      <c r="E362" s="114"/>
      <c r="F362" s="112"/>
      <c r="G362" s="112"/>
    </row>
    <row r="363" spans="1:7" ht="13.5">
      <c r="A363" s="112"/>
      <c r="B363" s="113"/>
      <c r="C363" s="112"/>
      <c r="D363" s="96"/>
      <c r="E363" s="114"/>
      <c r="F363" s="112"/>
      <c r="G363" s="112"/>
    </row>
    <row r="364" spans="1:7" ht="13.5">
      <c r="A364" s="112"/>
      <c r="B364" s="113"/>
      <c r="C364" s="112"/>
      <c r="D364" s="96"/>
      <c r="E364" s="114"/>
      <c r="F364" s="112"/>
      <c r="G364" s="112"/>
    </row>
    <row r="365" spans="1:7" ht="13.5">
      <c r="A365" s="112"/>
      <c r="B365" s="113"/>
      <c r="C365" s="112"/>
      <c r="D365" s="96"/>
      <c r="E365" s="114"/>
      <c r="F365" s="112"/>
      <c r="G365" s="112"/>
    </row>
    <row r="366" spans="1:7" ht="13.5">
      <c r="A366" s="112"/>
      <c r="B366" s="113"/>
      <c r="C366" s="112"/>
      <c r="D366" s="96"/>
      <c r="E366" s="114"/>
      <c r="F366" s="112"/>
      <c r="G366" s="112"/>
    </row>
    <row r="367" spans="1:7" ht="13.5">
      <c r="A367" s="112"/>
      <c r="B367" s="113"/>
      <c r="C367" s="112"/>
      <c r="D367" s="96"/>
      <c r="E367" s="114"/>
      <c r="F367" s="112"/>
      <c r="G367" s="112"/>
    </row>
    <row r="368" spans="1:7" ht="13.5">
      <c r="A368" s="112"/>
      <c r="B368" s="113"/>
      <c r="C368" s="112"/>
      <c r="D368" s="96"/>
      <c r="E368" s="114"/>
      <c r="F368" s="112"/>
      <c r="G368" s="112"/>
    </row>
    <row r="369" spans="1:7" ht="13.5">
      <c r="A369" s="112"/>
      <c r="B369" s="113"/>
      <c r="C369" s="112"/>
      <c r="D369" s="96"/>
      <c r="E369" s="114"/>
      <c r="F369" s="112"/>
      <c r="G369" s="112"/>
    </row>
    <row r="370" spans="1:7" ht="13.5">
      <c r="A370" s="112"/>
      <c r="B370" s="113"/>
      <c r="C370" s="112"/>
      <c r="D370" s="96"/>
      <c r="E370" s="114"/>
      <c r="F370" s="112"/>
      <c r="G370" s="112"/>
    </row>
    <row r="371" spans="1:7" ht="13.5">
      <c r="A371" s="112"/>
      <c r="B371" s="113"/>
      <c r="C371" s="112"/>
      <c r="D371" s="96"/>
      <c r="E371" s="114"/>
      <c r="F371" s="112"/>
      <c r="G371" s="112"/>
    </row>
    <row r="372" spans="1:7" ht="13.5">
      <c r="A372" s="112"/>
      <c r="B372" s="113"/>
      <c r="C372" s="112"/>
      <c r="D372" s="96"/>
      <c r="E372" s="114"/>
      <c r="F372" s="112"/>
      <c r="G372" s="112"/>
    </row>
    <row r="373" spans="1:7" ht="13.5">
      <c r="A373" s="112"/>
      <c r="B373" s="113"/>
      <c r="C373" s="112"/>
      <c r="D373" s="96"/>
      <c r="E373" s="114"/>
      <c r="F373" s="112"/>
      <c r="G373" s="112"/>
    </row>
    <row r="374" spans="1:7" ht="13.5">
      <c r="A374" s="112"/>
      <c r="B374" s="113"/>
      <c r="C374" s="112"/>
      <c r="D374" s="96"/>
      <c r="E374" s="114"/>
      <c r="F374" s="112"/>
      <c r="G374" s="112"/>
    </row>
    <row r="375" spans="1:7" ht="13.5">
      <c r="A375" s="112"/>
      <c r="B375" s="113"/>
      <c r="C375" s="112"/>
      <c r="D375" s="96"/>
      <c r="E375" s="114"/>
      <c r="F375" s="112"/>
      <c r="G375" s="112"/>
    </row>
    <row r="376" spans="1:7" ht="13.5">
      <c r="A376" s="112"/>
      <c r="B376" s="113"/>
      <c r="C376" s="112"/>
      <c r="D376" s="96"/>
      <c r="E376" s="114"/>
      <c r="F376" s="112"/>
      <c r="G376" s="112"/>
    </row>
    <row r="377" spans="1:7" ht="13.5">
      <c r="A377" s="112"/>
      <c r="B377" s="113"/>
      <c r="C377" s="112"/>
      <c r="D377" s="96"/>
      <c r="E377" s="114"/>
      <c r="F377" s="112"/>
      <c r="G377" s="112"/>
    </row>
    <row r="378" spans="1:7" ht="13.5">
      <c r="A378" s="112"/>
      <c r="B378" s="113"/>
      <c r="C378" s="112"/>
      <c r="D378" s="96"/>
      <c r="E378" s="114"/>
      <c r="F378" s="112"/>
      <c r="G378" s="112"/>
    </row>
    <row r="379" spans="1:7" ht="13.5">
      <c r="A379" s="112"/>
      <c r="B379" s="113"/>
      <c r="C379" s="112"/>
      <c r="D379" s="96"/>
      <c r="E379" s="114"/>
      <c r="F379" s="112"/>
      <c r="G379" s="112"/>
    </row>
    <row r="380" spans="1:7" ht="13.5">
      <c r="A380" s="112"/>
      <c r="B380" s="113"/>
      <c r="C380" s="112"/>
      <c r="D380" s="96"/>
      <c r="E380" s="114"/>
      <c r="F380" s="112"/>
      <c r="G380" s="112"/>
    </row>
    <row r="381" spans="1:7" ht="13.5">
      <c r="A381" s="112"/>
      <c r="B381" s="113"/>
      <c r="C381" s="112"/>
      <c r="D381" s="96"/>
      <c r="E381" s="114"/>
      <c r="F381" s="112"/>
      <c r="G381" s="112"/>
    </row>
    <row r="382" spans="1:7" ht="13.5">
      <c r="A382" s="112"/>
      <c r="B382" s="113"/>
      <c r="C382" s="112"/>
      <c r="D382" s="96"/>
      <c r="E382" s="114"/>
      <c r="F382" s="112"/>
      <c r="G382" s="112"/>
    </row>
    <row r="383" spans="1:7" ht="13.5">
      <c r="A383" s="112"/>
      <c r="B383" s="113"/>
      <c r="C383" s="112"/>
      <c r="D383" s="96"/>
      <c r="E383" s="114"/>
      <c r="F383" s="112"/>
      <c r="G383" s="112"/>
    </row>
    <row r="384" spans="1:7" ht="13.5">
      <c r="A384" s="112"/>
      <c r="B384" s="113"/>
      <c r="C384" s="112"/>
      <c r="D384" s="96"/>
      <c r="E384" s="114"/>
      <c r="F384" s="112"/>
      <c r="G384" s="112"/>
    </row>
    <row r="385" spans="1:7" ht="13.5">
      <c r="A385" s="112"/>
      <c r="B385" s="113"/>
      <c r="C385" s="112"/>
      <c r="D385" s="96"/>
      <c r="E385" s="114"/>
      <c r="F385" s="112"/>
      <c r="G385" s="112"/>
    </row>
    <row r="386" spans="1:7" ht="13.5">
      <c r="A386" s="112"/>
      <c r="B386" s="113"/>
      <c r="C386" s="112"/>
      <c r="D386" s="96"/>
      <c r="E386" s="114"/>
      <c r="F386" s="112"/>
      <c r="G386" s="112"/>
    </row>
    <row r="387" spans="1:7" ht="13.5">
      <c r="A387" s="112"/>
      <c r="B387" s="113"/>
      <c r="C387" s="112"/>
      <c r="D387" s="96"/>
      <c r="E387" s="114"/>
      <c r="F387" s="112"/>
      <c r="G387" s="112"/>
    </row>
    <row r="388" spans="1:7" ht="13.5">
      <c r="A388" s="112"/>
      <c r="B388" s="113"/>
      <c r="C388" s="112"/>
      <c r="D388" s="96"/>
      <c r="E388" s="114"/>
      <c r="F388" s="112"/>
      <c r="G388" s="112"/>
    </row>
    <row r="389" spans="1:7" ht="13.5">
      <c r="A389" s="112"/>
      <c r="B389" s="113"/>
      <c r="C389" s="112"/>
      <c r="D389" s="96"/>
      <c r="E389" s="114"/>
      <c r="F389" s="112"/>
      <c r="G389" s="112"/>
    </row>
    <row r="390" spans="1:7" ht="13.5">
      <c r="A390" s="112"/>
      <c r="B390" s="113"/>
      <c r="C390" s="112"/>
      <c r="D390" s="96"/>
      <c r="E390" s="114"/>
      <c r="F390" s="112"/>
      <c r="G390" s="112"/>
    </row>
    <row r="391" spans="1:7" ht="13.5">
      <c r="A391" s="112"/>
      <c r="B391" s="113"/>
      <c r="C391" s="112"/>
      <c r="D391" s="96"/>
      <c r="E391" s="114"/>
      <c r="F391" s="112"/>
      <c r="G391" s="112"/>
    </row>
    <row r="392" spans="1:7" ht="13.5">
      <c r="A392" s="112"/>
      <c r="B392" s="113"/>
      <c r="C392" s="112"/>
      <c r="D392" s="96"/>
      <c r="E392" s="114"/>
      <c r="F392" s="112"/>
      <c r="G392" s="112"/>
    </row>
    <row r="393" spans="1:7" ht="13.5">
      <c r="A393" s="112"/>
      <c r="B393" s="113"/>
      <c r="C393" s="112"/>
      <c r="D393" s="96"/>
      <c r="E393" s="114"/>
      <c r="F393" s="112"/>
      <c r="G393" s="112"/>
    </row>
    <row r="394" spans="1:7" ht="13.5">
      <c r="A394" s="112"/>
      <c r="B394" s="113"/>
      <c r="C394" s="112"/>
      <c r="D394" s="96"/>
      <c r="E394" s="114"/>
      <c r="F394" s="112"/>
      <c r="G394" s="112"/>
    </row>
    <row r="395" spans="1:7" ht="13.5">
      <c r="A395" s="112"/>
      <c r="B395" s="113"/>
      <c r="C395" s="112"/>
      <c r="D395" s="96"/>
      <c r="E395" s="114"/>
      <c r="F395" s="112"/>
      <c r="G395" s="112"/>
    </row>
    <row r="396" spans="1:7" ht="13.5">
      <c r="A396" s="112"/>
      <c r="B396" s="113"/>
      <c r="C396" s="112"/>
      <c r="D396" s="96"/>
      <c r="E396" s="114"/>
      <c r="F396" s="112"/>
      <c r="G396" s="112"/>
    </row>
    <row r="397" spans="1:7" ht="13.5">
      <c r="A397" s="112"/>
      <c r="B397" s="113"/>
      <c r="C397" s="112"/>
      <c r="D397" s="96"/>
      <c r="E397" s="114"/>
      <c r="F397" s="112"/>
      <c r="G397" s="112"/>
    </row>
    <row r="398" spans="1:7" ht="13.5">
      <c r="A398" s="112"/>
      <c r="B398" s="113"/>
      <c r="C398" s="112"/>
      <c r="D398" s="96"/>
      <c r="E398" s="114"/>
      <c r="F398" s="112"/>
      <c r="G398" s="112"/>
    </row>
    <row r="399" spans="1:7" ht="13.5">
      <c r="A399" s="112"/>
      <c r="B399" s="113"/>
      <c r="C399" s="112"/>
      <c r="D399" s="96"/>
      <c r="E399" s="114"/>
      <c r="F399" s="112"/>
      <c r="G399" s="112"/>
    </row>
    <row r="400" spans="1:7" ht="13.5">
      <c r="A400" s="112"/>
      <c r="B400" s="113"/>
      <c r="C400" s="112"/>
      <c r="D400" s="96"/>
      <c r="E400" s="114"/>
      <c r="F400" s="112"/>
      <c r="G400" s="112"/>
    </row>
    <row r="401" spans="1:7" ht="13.5">
      <c r="A401" s="112"/>
      <c r="B401" s="113"/>
      <c r="C401" s="112"/>
      <c r="D401" s="96"/>
      <c r="E401" s="114"/>
      <c r="F401" s="112"/>
      <c r="G401" s="112"/>
    </row>
    <row r="402" spans="1:7" ht="13.5">
      <c r="A402" s="112"/>
      <c r="B402" s="113"/>
      <c r="C402" s="112"/>
      <c r="D402" s="96"/>
      <c r="E402" s="114"/>
      <c r="F402" s="112"/>
      <c r="G402" s="112"/>
    </row>
    <row r="403" spans="1:7" ht="13.5">
      <c r="A403" s="112"/>
      <c r="B403" s="113"/>
      <c r="C403" s="112"/>
      <c r="D403" s="96"/>
      <c r="E403" s="114"/>
      <c r="F403" s="112"/>
      <c r="G403" s="112"/>
    </row>
    <row r="404" spans="1:7" ht="13.5">
      <c r="A404" s="112"/>
      <c r="B404" s="113"/>
      <c r="C404" s="112"/>
      <c r="D404" s="96"/>
      <c r="E404" s="114"/>
      <c r="F404" s="112"/>
      <c r="G404" s="112"/>
    </row>
    <row r="405" spans="1:7" ht="13.5">
      <c r="A405" s="112"/>
      <c r="B405" s="113"/>
      <c r="C405" s="112"/>
      <c r="D405" s="96"/>
      <c r="E405" s="114"/>
      <c r="F405" s="112"/>
      <c r="G405" s="112"/>
    </row>
    <row r="406" spans="1:7" ht="13.5">
      <c r="A406" s="112"/>
      <c r="B406" s="113"/>
      <c r="C406" s="112"/>
      <c r="D406" s="96"/>
      <c r="E406" s="114"/>
      <c r="F406" s="112"/>
      <c r="G406" s="112"/>
    </row>
    <row r="407" spans="1:7" ht="13.5">
      <c r="A407" s="112"/>
      <c r="B407" s="113"/>
      <c r="C407" s="112"/>
      <c r="D407" s="96"/>
      <c r="E407" s="114"/>
      <c r="F407" s="112"/>
      <c r="G407" s="112"/>
    </row>
    <row r="408" spans="1:7" ht="13.5">
      <c r="A408" s="112"/>
      <c r="B408" s="113"/>
      <c r="C408" s="112"/>
      <c r="D408" s="96"/>
      <c r="E408" s="114"/>
      <c r="F408" s="112"/>
      <c r="G408" s="112"/>
    </row>
    <row r="409" spans="1:7" ht="13.5">
      <c r="A409" s="112"/>
      <c r="B409" s="113"/>
      <c r="C409" s="112"/>
      <c r="D409" s="96"/>
      <c r="E409" s="114"/>
      <c r="F409" s="112"/>
      <c r="G409" s="112"/>
    </row>
    <row r="410" spans="1:7" ht="13.5">
      <c r="A410" s="112"/>
      <c r="B410" s="113"/>
      <c r="C410" s="112"/>
      <c r="D410" s="96"/>
      <c r="E410" s="114"/>
      <c r="F410" s="112"/>
      <c r="G410" s="112"/>
    </row>
    <row r="411" spans="1:7" ht="13.5">
      <c r="A411" s="112"/>
      <c r="B411" s="113"/>
      <c r="C411" s="112"/>
      <c r="D411" s="96"/>
      <c r="E411" s="114"/>
      <c r="F411" s="112"/>
      <c r="G411" s="112"/>
    </row>
    <row r="412" spans="1:7" ht="13.5">
      <c r="A412" s="112"/>
      <c r="B412" s="113"/>
      <c r="C412" s="112"/>
      <c r="D412" s="96"/>
      <c r="E412" s="114"/>
      <c r="F412" s="112"/>
      <c r="G412" s="112"/>
    </row>
    <row r="413" spans="1:7" ht="13.5">
      <c r="A413" s="112"/>
      <c r="B413" s="113"/>
      <c r="C413" s="112"/>
      <c r="D413" s="96"/>
      <c r="E413" s="114"/>
      <c r="F413" s="112"/>
      <c r="G413" s="112"/>
    </row>
    <row r="414" spans="1:7" ht="13.5">
      <c r="A414" s="112"/>
      <c r="B414" s="113"/>
      <c r="C414" s="112"/>
      <c r="D414" s="96"/>
      <c r="E414" s="114"/>
      <c r="F414" s="112"/>
      <c r="G414" s="112"/>
    </row>
    <row r="415" spans="1:7" ht="13.5">
      <c r="A415" s="112"/>
      <c r="B415" s="113"/>
      <c r="C415" s="112"/>
      <c r="D415" s="96"/>
      <c r="E415" s="114"/>
      <c r="F415" s="112"/>
      <c r="G415" s="112"/>
    </row>
    <row r="416" spans="1:7" ht="13.5">
      <c r="A416" s="112"/>
      <c r="B416" s="113"/>
      <c r="C416" s="112"/>
      <c r="D416" s="96"/>
      <c r="E416" s="114"/>
      <c r="F416" s="112"/>
      <c r="G416" s="112"/>
    </row>
    <row r="417" spans="1:7" ht="13.5">
      <c r="A417" s="112"/>
      <c r="B417" s="113"/>
      <c r="C417" s="112"/>
      <c r="D417" s="96"/>
      <c r="E417" s="114"/>
      <c r="F417" s="112"/>
      <c r="G417" s="112"/>
    </row>
    <row r="418" spans="1:7" ht="13.5">
      <c r="A418" s="112"/>
      <c r="B418" s="113"/>
      <c r="C418" s="112"/>
      <c r="D418" s="96"/>
      <c r="E418" s="114"/>
      <c r="F418" s="112"/>
      <c r="G418" s="112"/>
    </row>
    <row r="419" spans="1:7" ht="13.5">
      <c r="A419" s="112"/>
      <c r="B419" s="113"/>
      <c r="C419" s="112"/>
      <c r="D419" s="96"/>
      <c r="E419" s="114"/>
      <c r="F419" s="112"/>
      <c r="G419" s="112"/>
    </row>
    <row r="420" spans="1:7" ht="13.5">
      <c r="A420" s="112"/>
      <c r="B420" s="113"/>
      <c r="C420" s="112"/>
      <c r="D420" s="96"/>
      <c r="E420" s="114"/>
      <c r="F420" s="112"/>
      <c r="G420" s="112"/>
    </row>
    <row r="421" spans="1:7" ht="13.5">
      <c r="A421" s="112"/>
      <c r="B421" s="113"/>
      <c r="C421" s="112"/>
      <c r="D421" s="96"/>
      <c r="E421" s="114"/>
      <c r="F421" s="112"/>
      <c r="G421" s="112"/>
    </row>
    <row r="422" spans="1:7" ht="13.5">
      <c r="A422" s="112"/>
      <c r="B422" s="113"/>
      <c r="C422" s="112"/>
      <c r="D422" s="96"/>
      <c r="E422" s="114"/>
      <c r="F422" s="112"/>
      <c r="G422" s="112"/>
    </row>
    <row r="423" spans="1:7" ht="13.5">
      <c r="A423" s="112"/>
      <c r="B423" s="113"/>
      <c r="C423" s="112"/>
      <c r="D423" s="96"/>
      <c r="E423" s="114"/>
      <c r="F423" s="112"/>
      <c r="G423" s="112"/>
    </row>
    <row r="424" spans="1:7" ht="13.5">
      <c r="A424" s="112"/>
      <c r="B424" s="113"/>
      <c r="C424" s="112"/>
      <c r="D424" s="96"/>
      <c r="E424" s="114"/>
      <c r="F424" s="112"/>
      <c r="G424" s="112"/>
    </row>
    <row r="425" spans="1:7" ht="13.5">
      <c r="A425" s="112"/>
      <c r="B425" s="113"/>
      <c r="C425" s="112"/>
      <c r="D425" s="96"/>
      <c r="E425" s="114"/>
      <c r="F425" s="112"/>
      <c r="G425" s="112"/>
    </row>
    <row r="426" spans="1:7" ht="13.5">
      <c r="A426" s="112"/>
      <c r="B426" s="113"/>
      <c r="C426" s="112"/>
      <c r="D426" s="96"/>
      <c r="E426" s="114"/>
      <c r="F426" s="112"/>
      <c r="G426" s="112"/>
    </row>
    <row r="427" spans="1:7" ht="13.5">
      <c r="A427" s="112"/>
      <c r="B427" s="113"/>
      <c r="C427" s="112"/>
      <c r="D427" s="96"/>
      <c r="E427" s="114"/>
      <c r="F427" s="112"/>
      <c r="G427" s="112"/>
    </row>
    <row r="428" spans="1:7" ht="13.5">
      <c r="A428" s="112"/>
      <c r="B428" s="113"/>
      <c r="C428" s="112"/>
      <c r="D428" s="96"/>
      <c r="E428" s="114"/>
      <c r="F428" s="112"/>
      <c r="G428" s="112"/>
    </row>
    <row r="429" spans="1:7" ht="13.5">
      <c r="A429" s="112"/>
      <c r="B429" s="113"/>
      <c r="C429" s="112"/>
      <c r="D429" s="96"/>
      <c r="E429" s="114"/>
      <c r="F429" s="112"/>
      <c r="G429" s="112"/>
    </row>
    <row r="430" spans="1:7" ht="13.5">
      <c r="A430" s="112"/>
      <c r="B430" s="113"/>
      <c r="C430" s="112"/>
      <c r="D430" s="96"/>
      <c r="E430" s="114"/>
      <c r="F430" s="112"/>
      <c r="G430" s="112"/>
    </row>
    <row r="431" spans="1:7" ht="13.5">
      <c r="A431" s="112"/>
      <c r="B431" s="113"/>
      <c r="C431" s="112"/>
      <c r="D431" s="96"/>
      <c r="E431" s="114"/>
      <c r="F431" s="112"/>
      <c r="G431" s="112"/>
    </row>
    <row r="432" spans="1:7" ht="13.5">
      <c r="A432" s="112"/>
      <c r="B432" s="113"/>
      <c r="C432" s="112"/>
      <c r="D432" s="96"/>
      <c r="E432" s="114"/>
      <c r="F432" s="112"/>
      <c r="G432" s="112"/>
    </row>
    <row r="433" spans="1:7" ht="13.5">
      <c r="A433" s="112"/>
      <c r="B433" s="113"/>
      <c r="C433" s="112"/>
      <c r="D433" s="96"/>
      <c r="E433" s="114"/>
      <c r="F433" s="112"/>
      <c r="G433" s="112"/>
    </row>
    <row r="434" spans="1:7" ht="13.5">
      <c r="A434" s="112"/>
      <c r="B434" s="113"/>
      <c r="C434" s="112"/>
      <c r="D434" s="96"/>
      <c r="E434" s="114"/>
      <c r="F434" s="112"/>
      <c r="G434" s="112"/>
    </row>
    <row r="435" spans="1:7" ht="13.5">
      <c r="A435" s="112"/>
      <c r="B435" s="113"/>
      <c r="C435" s="112"/>
      <c r="D435" s="96"/>
      <c r="E435" s="114"/>
      <c r="F435" s="112"/>
      <c r="G435" s="112"/>
    </row>
    <row r="436" spans="1:7" ht="13.5">
      <c r="A436" s="112"/>
      <c r="B436" s="113"/>
      <c r="C436" s="112"/>
      <c r="D436" s="96"/>
      <c r="E436" s="114"/>
      <c r="F436" s="112"/>
      <c r="G436" s="112"/>
    </row>
    <row r="437" spans="1:7" ht="13.5">
      <c r="A437" s="112"/>
      <c r="B437" s="113"/>
      <c r="C437" s="112"/>
      <c r="D437" s="96"/>
      <c r="E437" s="114"/>
      <c r="F437" s="112"/>
      <c r="G437" s="112"/>
    </row>
    <row r="438" spans="1:7" ht="13.5">
      <c r="A438" s="112"/>
      <c r="B438" s="113"/>
      <c r="C438" s="112"/>
      <c r="D438" s="96"/>
      <c r="E438" s="114"/>
      <c r="F438" s="112"/>
      <c r="G438" s="112"/>
    </row>
    <row r="439" spans="1:7" ht="13.5">
      <c r="A439" s="112"/>
      <c r="B439" s="113"/>
      <c r="C439" s="112"/>
      <c r="D439" s="96"/>
      <c r="E439" s="114"/>
      <c r="F439" s="112"/>
      <c r="G439" s="112"/>
    </row>
    <row r="440" spans="1:7" ht="13.5">
      <c r="A440" s="112"/>
      <c r="B440" s="113"/>
      <c r="C440" s="112"/>
      <c r="D440" s="96"/>
      <c r="E440" s="114"/>
      <c r="F440" s="112"/>
      <c r="G440" s="112"/>
    </row>
    <row r="441" spans="1:7" ht="13.5">
      <c r="A441" s="112"/>
      <c r="B441" s="113"/>
      <c r="C441" s="112"/>
      <c r="D441" s="96"/>
      <c r="E441" s="114"/>
      <c r="F441" s="112"/>
      <c r="G441" s="112"/>
    </row>
    <row r="442" spans="1:7" ht="13.5">
      <c r="A442" s="112"/>
      <c r="B442" s="113"/>
      <c r="C442" s="112"/>
      <c r="D442" s="96"/>
      <c r="E442" s="114"/>
      <c r="F442" s="112"/>
      <c r="G442" s="112"/>
    </row>
    <row r="443" spans="1:7" ht="13.5">
      <c r="A443" s="112"/>
      <c r="B443" s="113"/>
      <c r="C443" s="112"/>
      <c r="D443" s="96"/>
      <c r="E443" s="114"/>
      <c r="F443" s="112"/>
      <c r="G443" s="112"/>
    </row>
    <row r="444" spans="1:7" ht="13.5">
      <c r="A444" s="112"/>
      <c r="B444" s="113"/>
      <c r="C444" s="112"/>
      <c r="D444" s="96"/>
      <c r="E444" s="114"/>
      <c r="F444" s="112"/>
      <c r="G444" s="112"/>
    </row>
    <row r="445" spans="1:7" ht="13.5">
      <c r="A445" s="112"/>
      <c r="B445" s="113"/>
      <c r="C445" s="112"/>
      <c r="D445" s="96"/>
      <c r="E445" s="114"/>
      <c r="F445" s="112"/>
      <c r="G445" s="112"/>
    </row>
    <row r="446" spans="1:7" ht="13.5">
      <c r="A446" s="112"/>
      <c r="B446" s="113"/>
      <c r="C446" s="112"/>
      <c r="D446" s="96"/>
      <c r="E446" s="114"/>
      <c r="F446" s="112"/>
      <c r="G446" s="112"/>
    </row>
    <row r="447" spans="1:7" ht="13.5">
      <c r="A447" s="112"/>
      <c r="B447" s="113"/>
      <c r="C447" s="112"/>
      <c r="D447" s="96"/>
      <c r="E447" s="114"/>
      <c r="F447" s="112"/>
      <c r="G447" s="112"/>
    </row>
    <row r="448" spans="1:7" ht="13.5">
      <c r="A448" s="112"/>
      <c r="B448" s="113"/>
      <c r="C448" s="112"/>
      <c r="D448" s="96"/>
      <c r="E448" s="114"/>
      <c r="F448" s="112"/>
      <c r="G448" s="112"/>
    </row>
    <row r="449" spans="1:7" ht="13.5">
      <c r="A449" s="112"/>
      <c r="B449" s="113"/>
      <c r="C449" s="112"/>
      <c r="D449" s="96"/>
      <c r="E449" s="114"/>
      <c r="F449" s="112"/>
      <c r="G449" s="112"/>
    </row>
    <row r="450" spans="1:7" ht="13.5">
      <c r="A450" s="112"/>
      <c r="B450" s="113"/>
      <c r="C450" s="112"/>
      <c r="D450" s="96"/>
      <c r="E450" s="114"/>
      <c r="F450" s="112"/>
      <c r="G450" s="112"/>
    </row>
    <row r="451" spans="1:7" ht="13.5">
      <c r="A451" s="112"/>
      <c r="B451" s="113"/>
      <c r="C451" s="112"/>
      <c r="D451" s="96"/>
      <c r="E451" s="114"/>
      <c r="F451" s="112"/>
      <c r="G451" s="112"/>
    </row>
    <row r="452" spans="1:7" ht="13.5">
      <c r="A452" s="112"/>
      <c r="B452" s="113"/>
      <c r="C452" s="112"/>
      <c r="D452" s="96"/>
      <c r="E452" s="114"/>
      <c r="F452" s="112"/>
      <c r="G452" s="112"/>
    </row>
    <row r="453" spans="1:7" ht="13.5">
      <c r="A453" s="112"/>
      <c r="B453" s="113"/>
      <c r="C453" s="112"/>
      <c r="D453" s="96"/>
      <c r="E453" s="114"/>
      <c r="F453" s="112"/>
      <c r="G453" s="112"/>
    </row>
    <row r="454" spans="1:7" ht="13.5">
      <c r="A454" s="112"/>
      <c r="B454" s="113"/>
      <c r="C454" s="112"/>
      <c r="D454" s="96"/>
      <c r="E454" s="114"/>
      <c r="F454" s="112"/>
      <c r="G454" s="112"/>
    </row>
    <row r="455" spans="1:7" ht="13.5">
      <c r="A455" s="112"/>
      <c r="B455" s="113"/>
      <c r="C455" s="112"/>
      <c r="D455" s="96"/>
      <c r="E455" s="114"/>
      <c r="F455" s="112"/>
      <c r="G455" s="112"/>
    </row>
    <row r="456" spans="1:7" ht="13.5">
      <c r="A456" s="112"/>
      <c r="B456" s="113"/>
      <c r="C456" s="112"/>
      <c r="D456" s="96"/>
      <c r="E456" s="114"/>
      <c r="F456" s="112"/>
      <c r="G456" s="112"/>
    </row>
    <row r="457" spans="1:7" ht="13.5">
      <c r="A457" s="112"/>
      <c r="B457" s="113"/>
      <c r="C457" s="112"/>
      <c r="D457" s="96"/>
      <c r="E457" s="114"/>
      <c r="F457" s="112"/>
      <c r="G457" s="112"/>
    </row>
    <row r="458" spans="1:7" ht="13.5">
      <c r="A458" s="112"/>
      <c r="B458" s="113"/>
      <c r="C458" s="112"/>
      <c r="D458" s="96"/>
      <c r="E458" s="114"/>
      <c r="F458" s="112"/>
      <c r="G458" s="112"/>
    </row>
    <row r="459" spans="1:7" ht="13.5">
      <c r="A459" s="112"/>
      <c r="B459" s="113"/>
      <c r="C459" s="112"/>
      <c r="D459" s="96"/>
      <c r="E459" s="114"/>
      <c r="F459" s="112"/>
      <c r="G459" s="112"/>
    </row>
    <row r="460" spans="1:7" ht="13.5">
      <c r="A460" s="112"/>
      <c r="B460" s="113"/>
      <c r="C460" s="112"/>
      <c r="D460" s="96"/>
      <c r="E460" s="114"/>
      <c r="F460" s="112"/>
      <c r="G460" s="112"/>
    </row>
    <row r="461" spans="1:7" ht="13.5">
      <c r="A461" s="112"/>
      <c r="B461" s="113"/>
      <c r="C461" s="112"/>
      <c r="D461" s="96"/>
      <c r="E461" s="114"/>
      <c r="F461" s="112"/>
      <c r="G461" s="112"/>
    </row>
    <row r="462" spans="1:7" ht="13.5">
      <c r="A462" s="112"/>
      <c r="B462" s="113"/>
      <c r="C462" s="112"/>
      <c r="D462" s="96"/>
      <c r="E462" s="114"/>
      <c r="F462" s="112"/>
      <c r="G462" s="112"/>
    </row>
    <row r="463" spans="1:7" ht="13.5">
      <c r="A463" s="112"/>
      <c r="B463" s="113"/>
      <c r="C463" s="112"/>
      <c r="D463" s="96"/>
      <c r="E463" s="114"/>
      <c r="F463" s="112"/>
      <c r="G463" s="112"/>
    </row>
    <row r="464" spans="1:7" ht="13.5">
      <c r="A464" s="112"/>
      <c r="B464" s="113"/>
      <c r="C464" s="112"/>
      <c r="D464" s="96"/>
      <c r="E464" s="114"/>
      <c r="F464" s="112"/>
      <c r="G464" s="112"/>
    </row>
    <row r="465" spans="1:7" ht="13.5">
      <c r="A465" s="112"/>
      <c r="B465" s="113"/>
      <c r="C465" s="112"/>
      <c r="D465" s="96"/>
      <c r="E465" s="114"/>
      <c r="F465" s="112"/>
      <c r="G465" s="112"/>
    </row>
    <row r="466" spans="1:7" ht="13.5">
      <c r="A466" s="112"/>
      <c r="B466" s="113"/>
      <c r="C466" s="112"/>
      <c r="D466" s="96"/>
      <c r="E466" s="114"/>
      <c r="F466" s="112"/>
      <c r="G466" s="112"/>
    </row>
    <row r="467" spans="1:7" ht="13.5">
      <c r="A467" s="112"/>
      <c r="B467" s="113"/>
      <c r="C467" s="112"/>
      <c r="D467" s="96"/>
      <c r="E467" s="114"/>
      <c r="F467" s="112"/>
      <c r="G467" s="112"/>
    </row>
    <row r="468" spans="1:7" ht="13.5">
      <c r="A468" s="112"/>
      <c r="B468" s="113"/>
      <c r="C468" s="112"/>
      <c r="D468" s="96"/>
      <c r="E468" s="114"/>
      <c r="F468" s="112"/>
      <c r="G468" s="112"/>
    </row>
    <row r="469" spans="1:7" ht="13.5">
      <c r="A469" s="112"/>
      <c r="B469" s="113"/>
      <c r="C469" s="112"/>
      <c r="D469" s="96"/>
      <c r="E469" s="114"/>
      <c r="F469" s="112"/>
      <c r="G469" s="112"/>
    </row>
    <row r="470" spans="1:7" ht="13.5">
      <c r="A470" s="112"/>
      <c r="B470" s="113"/>
      <c r="C470" s="112"/>
      <c r="D470" s="96"/>
      <c r="E470" s="114"/>
      <c r="F470" s="112"/>
      <c r="G470" s="112"/>
    </row>
    <row r="471" spans="1:7" ht="13.5">
      <c r="A471" s="112"/>
      <c r="B471" s="113"/>
      <c r="C471" s="112"/>
      <c r="D471" s="96"/>
      <c r="E471" s="114"/>
      <c r="F471" s="112"/>
      <c r="G471" s="112"/>
    </row>
    <row r="472" spans="1:7" ht="13.5">
      <c r="A472" s="112"/>
      <c r="B472" s="113"/>
      <c r="C472" s="112"/>
      <c r="D472" s="96"/>
      <c r="E472" s="114"/>
      <c r="F472" s="112"/>
      <c r="G472" s="112"/>
    </row>
    <row r="473" spans="1:7" ht="13.5">
      <c r="A473" s="112"/>
      <c r="B473" s="113"/>
      <c r="C473" s="112"/>
      <c r="D473" s="96"/>
      <c r="E473" s="114"/>
      <c r="F473" s="112"/>
      <c r="G473" s="112"/>
    </row>
    <row r="474" spans="1:7" ht="13.5">
      <c r="A474" s="112"/>
      <c r="B474" s="113"/>
      <c r="C474" s="112"/>
      <c r="D474" s="96"/>
      <c r="E474" s="114"/>
      <c r="F474" s="112"/>
      <c r="G474" s="112"/>
    </row>
    <row r="475" spans="1:7" ht="13.5">
      <c r="A475" s="112"/>
      <c r="B475" s="113"/>
      <c r="C475" s="112"/>
      <c r="D475" s="96"/>
      <c r="E475" s="114"/>
      <c r="F475" s="112"/>
      <c r="G475" s="112"/>
    </row>
    <row r="476" spans="1:7" ht="13.5">
      <c r="A476" s="112"/>
      <c r="B476" s="113"/>
      <c r="C476" s="112"/>
      <c r="D476" s="96"/>
      <c r="E476" s="114"/>
      <c r="F476" s="112"/>
      <c r="G476" s="112"/>
    </row>
    <row r="477" spans="1:7" ht="13.5">
      <c r="A477" s="112"/>
      <c r="B477" s="113"/>
      <c r="C477" s="112"/>
      <c r="D477" s="96"/>
      <c r="E477" s="114"/>
      <c r="F477" s="112"/>
      <c r="G477" s="112"/>
    </row>
    <row r="478" spans="1:7" ht="13.5">
      <c r="A478" s="112"/>
      <c r="B478" s="113"/>
      <c r="C478" s="112"/>
      <c r="D478" s="96"/>
      <c r="E478" s="114"/>
      <c r="F478" s="112"/>
      <c r="G478" s="112"/>
    </row>
    <row r="479" spans="1:7" ht="13.5">
      <c r="A479" s="112"/>
      <c r="B479" s="113"/>
      <c r="C479" s="112"/>
      <c r="D479" s="96"/>
      <c r="E479" s="114"/>
      <c r="F479" s="112"/>
      <c r="G479" s="112"/>
    </row>
    <row r="480" spans="1:7" ht="13.5">
      <c r="A480" s="112"/>
      <c r="B480" s="113"/>
      <c r="C480" s="112"/>
      <c r="D480" s="96"/>
      <c r="E480" s="114"/>
      <c r="F480" s="112"/>
      <c r="G480" s="112"/>
    </row>
    <row r="481" spans="1:7" ht="13.5">
      <c r="A481" s="112"/>
      <c r="B481" s="113"/>
      <c r="C481" s="112"/>
      <c r="D481" s="96"/>
      <c r="E481" s="114"/>
      <c r="F481" s="112"/>
      <c r="G481" s="112"/>
    </row>
    <row r="482" spans="1:7" ht="13.5">
      <c r="A482" s="112"/>
      <c r="B482" s="113"/>
      <c r="C482" s="112"/>
      <c r="D482" s="96"/>
      <c r="E482" s="114"/>
      <c r="F482" s="112"/>
      <c r="G482" s="112"/>
    </row>
    <row r="483" spans="1:7" ht="13.5">
      <c r="A483" s="112"/>
      <c r="B483" s="113"/>
      <c r="C483" s="112"/>
      <c r="D483" s="96"/>
      <c r="E483" s="114"/>
      <c r="F483" s="112"/>
      <c r="G483" s="112"/>
    </row>
    <row r="484" spans="1:7" ht="13.5">
      <c r="A484" s="112"/>
      <c r="B484" s="113"/>
      <c r="C484" s="112"/>
      <c r="D484" s="96"/>
      <c r="E484" s="114"/>
      <c r="F484" s="112"/>
      <c r="G484" s="112"/>
    </row>
    <row r="485" spans="1:7" ht="13.5">
      <c r="A485" s="112"/>
      <c r="B485" s="113"/>
      <c r="C485" s="112"/>
      <c r="D485" s="96"/>
      <c r="E485" s="114"/>
      <c r="F485" s="112"/>
      <c r="G485" s="112"/>
    </row>
    <row r="486" spans="1:7" ht="13.5">
      <c r="A486" s="112"/>
      <c r="B486" s="113"/>
      <c r="C486" s="112"/>
      <c r="D486" s="96"/>
      <c r="E486" s="114"/>
      <c r="F486" s="112"/>
      <c r="G486" s="112"/>
    </row>
    <row r="487" spans="1:7" ht="13.5">
      <c r="A487" s="112"/>
      <c r="B487" s="113"/>
      <c r="C487" s="112"/>
      <c r="D487" s="96"/>
      <c r="E487" s="114"/>
      <c r="F487" s="112"/>
      <c r="G487" s="112"/>
    </row>
    <row r="488" spans="1:7" ht="13.5">
      <c r="A488" s="112"/>
      <c r="B488" s="113"/>
      <c r="C488" s="112"/>
      <c r="D488" s="96"/>
      <c r="E488" s="114"/>
      <c r="F488" s="112"/>
      <c r="G488" s="112"/>
    </row>
    <row r="489" spans="1:7" ht="13.5">
      <c r="A489" s="112"/>
      <c r="B489" s="113"/>
      <c r="C489" s="112"/>
      <c r="D489" s="96"/>
      <c r="E489" s="114"/>
      <c r="F489" s="112"/>
      <c r="G489" s="112"/>
    </row>
    <row r="490" spans="1:7" ht="13.5">
      <c r="A490" s="112"/>
      <c r="B490" s="113"/>
      <c r="C490" s="112"/>
      <c r="D490" s="96"/>
      <c r="E490" s="114"/>
      <c r="F490" s="112"/>
      <c r="G490" s="112"/>
    </row>
    <row r="491" spans="1:7" ht="13.5">
      <c r="A491" s="112"/>
      <c r="B491" s="113"/>
      <c r="C491" s="112"/>
      <c r="D491" s="96"/>
      <c r="E491" s="114"/>
      <c r="F491" s="112"/>
      <c r="G491" s="112"/>
    </row>
    <row r="492" spans="1:7" ht="13.5">
      <c r="A492" s="112"/>
      <c r="B492" s="113"/>
      <c r="C492" s="112"/>
      <c r="D492" s="96"/>
      <c r="E492" s="114"/>
      <c r="F492" s="112"/>
      <c r="G492" s="112"/>
    </row>
    <row r="493" spans="1:7" ht="13.5">
      <c r="A493" s="112"/>
      <c r="B493" s="113"/>
      <c r="C493" s="112"/>
      <c r="D493" s="96"/>
      <c r="E493" s="114"/>
      <c r="F493" s="112"/>
      <c r="G493" s="112"/>
    </row>
    <row r="494" spans="1:7" ht="13.5">
      <c r="A494" s="112"/>
      <c r="B494" s="113"/>
      <c r="C494" s="112"/>
      <c r="D494" s="96"/>
      <c r="E494" s="114"/>
      <c r="F494" s="112"/>
      <c r="G494" s="112"/>
    </row>
    <row r="495" spans="1:7" ht="13.5">
      <c r="A495" s="112"/>
      <c r="B495" s="113"/>
      <c r="C495" s="112"/>
      <c r="D495" s="96"/>
      <c r="E495" s="114"/>
      <c r="F495" s="112"/>
      <c r="G495" s="112"/>
    </row>
    <row r="496" spans="1:7" ht="13.5">
      <c r="A496" s="112"/>
      <c r="B496" s="113"/>
      <c r="C496" s="112"/>
      <c r="D496" s="96"/>
      <c r="E496" s="114"/>
      <c r="F496" s="112"/>
      <c r="G496" s="112"/>
    </row>
    <row r="497" spans="1:7" ht="13.5">
      <c r="A497" s="112"/>
      <c r="B497" s="113"/>
      <c r="C497" s="112"/>
      <c r="D497" s="96"/>
      <c r="E497" s="114"/>
      <c r="F497" s="112"/>
      <c r="G497" s="112"/>
    </row>
    <row r="498" spans="1:7" ht="13.5">
      <c r="A498" s="112"/>
      <c r="B498" s="113"/>
      <c r="C498" s="112"/>
      <c r="D498" s="96"/>
      <c r="E498" s="114"/>
      <c r="F498" s="112"/>
      <c r="G498" s="112"/>
    </row>
    <row r="499" spans="1:7" ht="13.5">
      <c r="A499" s="112"/>
      <c r="B499" s="113"/>
      <c r="C499" s="112"/>
      <c r="D499" s="96"/>
      <c r="E499" s="114"/>
      <c r="F499" s="112"/>
      <c r="G499" s="112"/>
    </row>
    <row r="500" spans="1:7" ht="13.5">
      <c r="A500" s="112"/>
      <c r="B500" s="113"/>
      <c r="C500" s="112"/>
      <c r="D500" s="96"/>
      <c r="E500" s="114"/>
      <c r="F500" s="112"/>
      <c r="G500" s="112"/>
    </row>
    <row r="501" spans="1:7" ht="13.5">
      <c r="A501" s="112"/>
      <c r="B501" s="113"/>
      <c r="C501" s="112"/>
      <c r="D501" s="96"/>
      <c r="E501" s="114"/>
      <c r="F501" s="112"/>
      <c r="G501" s="112"/>
    </row>
    <row r="502" spans="1:7" ht="13.5">
      <c r="A502" s="112"/>
      <c r="B502" s="113"/>
      <c r="C502" s="112"/>
      <c r="D502" s="96"/>
      <c r="E502" s="114"/>
      <c r="F502" s="112"/>
      <c r="G502" s="112"/>
    </row>
    <row r="503" spans="1:7" ht="13.5">
      <c r="A503" s="112"/>
      <c r="B503" s="113"/>
      <c r="C503" s="112"/>
      <c r="D503" s="96"/>
      <c r="E503" s="114"/>
      <c r="F503" s="112"/>
      <c r="G503" s="112"/>
    </row>
    <row r="504" spans="1:7" ht="13.5">
      <c r="A504" s="112"/>
      <c r="B504" s="113"/>
      <c r="C504" s="112"/>
      <c r="D504" s="96"/>
      <c r="E504" s="114"/>
      <c r="F504" s="112"/>
      <c r="G504" s="112"/>
    </row>
    <row r="505" spans="1:7" ht="13.5">
      <c r="A505" s="112"/>
      <c r="B505" s="113"/>
      <c r="C505" s="112"/>
      <c r="D505" s="96"/>
      <c r="E505" s="114"/>
      <c r="F505" s="112"/>
      <c r="G505" s="112"/>
    </row>
    <row r="506" spans="1:7" ht="13.5">
      <c r="A506" s="112"/>
      <c r="B506" s="113"/>
      <c r="C506" s="112"/>
      <c r="D506" s="96"/>
      <c r="E506" s="114"/>
      <c r="F506" s="112"/>
      <c r="G506" s="112"/>
    </row>
    <row r="507" spans="1:7" ht="13.5">
      <c r="A507" s="112"/>
      <c r="B507" s="113"/>
      <c r="C507" s="112"/>
      <c r="D507" s="96"/>
      <c r="E507" s="114"/>
      <c r="F507" s="112"/>
      <c r="G507" s="112"/>
    </row>
    <row r="508" spans="1:7" ht="13.5">
      <c r="A508" s="112"/>
      <c r="B508" s="113"/>
      <c r="C508" s="112"/>
      <c r="D508" s="96"/>
      <c r="E508" s="114"/>
      <c r="F508" s="112"/>
      <c r="G508" s="112"/>
    </row>
    <row r="509" spans="1:7" ht="13.5">
      <c r="A509" s="112"/>
      <c r="B509" s="113"/>
      <c r="C509" s="112"/>
      <c r="D509" s="96"/>
      <c r="E509" s="114"/>
      <c r="F509" s="112"/>
      <c r="G509" s="112"/>
    </row>
    <row r="510" spans="1:7" ht="13.5">
      <c r="A510" s="112"/>
      <c r="B510" s="113"/>
      <c r="C510" s="112"/>
      <c r="D510" s="96"/>
      <c r="E510" s="114"/>
      <c r="F510" s="112"/>
      <c r="G510" s="112"/>
    </row>
    <row r="511" spans="1:7" ht="13.5">
      <c r="A511" s="112"/>
      <c r="B511" s="113"/>
      <c r="C511" s="112"/>
      <c r="D511" s="96"/>
      <c r="E511" s="114"/>
      <c r="F511" s="112"/>
      <c r="G511" s="112"/>
    </row>
    <row r="512" spans="1:7" ht="13.5">
      <c r="A512" s="112"/>
      <c r="B512" s="113"/>
      <c r="C512" s="112"/>
      <c r="D512" s="96"/>
      <c r="E512" s="114"/>
      <c r="F512" s="112"/>
      <c r="G512" s="112"/>
    </row>
    <row r="513" spans="1:7" ht="13.5">
      <c r="A513" s="112"/>
      <c r="B513" s="113"/>
      <c r="C513" s="112"/>
      <c r="D513" s="96"/>
      <c r="E513" s="114"/>
      <c r="F513" s="112"/>
      <c r="G513" s="112"/>
    </row>
    <row r="514" spans="1:7" ht="13.5">
      <c r="A514" s="112"/>
      <c r="B514" s="113"/>
      <c r="C514" s="112"/>
      <c r="D514" s="96"/>
      <c r="E514" s="114"/>
      <c r="F514" s="112"/>
      <c r="G514" s="112"/>
    </row>
    <row r="515" spans="1:7" ht="13.5">
      <c r="A515" s="112"/>
      <c r="B515" s="113"/>
      <c r="C515" s="112"/>
      <c r="D515" s="96"/>
      <c r="E515" s="114"/>
      <c r="F515" s="112"/>
      <c r="G515" s="112"/>
    </row>
    <row r="516" spans="1:7" ht="13.5">
      <c r="A516" s="112"/>
      <c r="B516" s="113"/>
      <c r="C516" s="112"/>
      <c r="D516" s="96"/>
      <c r="E516" s="114"/>
      <c r="F516" s="112"/>
      <c r="G516" s="112"/>
    </row>
    <row r="517" spans="1:7" ht="13.5">
      <c r="A517" s="112"/>
      <c r="B517" s="113"/>
      <c r="C517" s="112"/>
      <c r="D517" s="96"/>
      <c r="E517" s="114"/>
      <c r="F517" s="112"/>
      <c r="G517" s="112"/>
    </row>
    <row r="518" spans="1:7" ht="13.5">
      <c r="A518" s="112"/>
      <c r="B518" s="113"/>
      <c r="C518" s="112"/>
      <c r="D518" s="96"/>
      <c r="E518" s="114"/>
      <c r="F518" s="112"/>
      <c r="G518" s="112"/>
    </row>
    <row r="519" spans="1:7" ht="13.5">
      <c r="A519" s="112"/>
      <c r="B519" s="113"/>
      <c r="C519" s="112"/>
      <c r="D519" s="96"/>
      <c r="E519" s="114"/>
      <c r="F519" s="112"/>
      <c r="G519" s="112"/>
    </row>
    <row r="520" spans="1:7" ht="13.5">
      <c r="A520" s="112"/>
      <c r="B520" s="113"/>
      <c r="C520" s="112"/>
      <c r="D520" s="96"/>
      <c r="E520" s="114"/>
      <c r="F520" s="112"/>
      <c r="G520" s="112"/>
    </row>
    <row r="521" spans="1:7" ht="13.5">
      <c r="A521" s="112"/>
      <c r="B521" s="113"/>
      <c r="C521" s="112"/>
      <c r="D521" s="96"/>
      <c r="E521" s="114"/>
      <c r="F521" s="112"/>
      <c r="G521" s="112"/>
    </row>
    <row r="522" spans="1:7" ht="13.5">
      <c r="A522" s="112"/>
      <c r="B522" s="113"/>
      <c r="C522" s="112"/>
      <c r="D522" s="96"/>
      <c r="E522" s="114"/>
      <c r="F522" s="112"/>
      <c r="G522" s="112"/>
    </row>
    <row r="523" spans="1:7" ht="13.5">
      <c r="A523" s="112"/>
      <c r="B523" s="113"/>
      <c r="C523" s="112"/>
      <c r="D523" s="96"/>
      <c r="E523" s="114"/>
      <c r="F523" s="112"/>
      <c r="G523" s="112"/>
    </row>
    <row r="524" spans="1:7" ht="13.5">
      <c r="A524" s="112"/>
      <c r="B524" s="113"/>
      <c r="C524" s="112"/>
      <c r="D524" s="96"/>
      <c r="E524" s="114"/>
      <c r="F524" s="112"/>
      <c r="G524" s="112"/>
    </row>
    <row r="525" spans="1:7" ht="13.5">
      <c r="A525" s="112"/>
      <c r="B525" s="113"/>
      <c r="C525" s="112"/>
      <c r="D525" s="96"/>
      <c r="E525" s="114"/>
      <c r="F525" s="112"/>
      <c r="G525" s="112"/>
    </row>
    <row r="526" spans="1:7" ht="13.5">
      <c r="A526" s="112"/>
      <c r="B526" s="113"/>
      <c r="C526" s="112"/>
      <c r="D526" s="96"/>
      <c r="E526" s="114"/>
      <c r="F526" s="112"/>
      <c r="G526" s="112"/>
    </row>
    <row r="527" spans="1:7" ht="13.5">
      <c r="A527" s="112"/>
      <c r="B527" s="113"/>
      <c r="C527" s="112"/>
      <c r="D527" s="96"/>
      <c r="E527" s="114"/>
      <c r="F527" s="112"/>
      <c r="G527" s="112"/>
    </row>
    <row r="528" spans="1:7" ht="13.5">
      <c r="A528" s="112"/>
      <c r="B528" s="113"/>
      <c r="C528" s="112"/>
      <c r="D528" s="96"/>
      <c r="E528" s="114"/>
      <c r="F528" s="112"/>
      <c r="G528" s="112"/>
    </row>
    <row r="529" spans="1:7" ht="13.5">
      <c r="A529" s="112"/>
      <c r="B529" s="113"/>
      <c r="C529" s="112"/>
      <c r="D529" s="96"/>
      <c r="E529" s="114"/>
      <c r="F529" s="112"/>
      <c r="G529" s="112"/>
    </row>
    <row r="530" spans="1:7" ht="13.5">
      <c r="A530" s="112"/>
      <c r="B530" s="113"/>
      <c r="C530" s="112"/>
      <c r="D530" s="96"/>
      <c r="E530" s="114"/>
      <c r="F530" s="112"/>
      <c r="G530" s="112"/>
    </row>
    <row r="531" spans="1:7" ht="13.5">
      <c r="A531" s="112"/>
      <c r="B531" s="113"/>
      <c r="C531" s="112"/>
      <c r="D531" s="96"/>
      <c r="E531" s="114"/>
      <c r="F531" s="112"/>
      <c r="G531" s="112"/>
    </row>
    <row r="532" spans="1:7" ht="13.5">
      <c r="A532" s="112"/>
      <c r="B532" s="113"/>
      <c r="C532" s="112"/>
      <c r="D532" s="96"/>
      <c r="E532" s="114"/>
      <c r="F532" s="112"/>
      <c r="G532" s="112"/>
    </row>
    <row r="533" spans="1:7" ht="13.5">
      <c r="A533" s="112"/>
      <c r="B533" s="113"/>
      <c r="C533" s="112"/>
      <c r="D533" s="96"/>
      <c r="E533" s="114"/>
      <c r="F533" s="112"/>
      <c r="G533" s="112"/>
    </row>
    <row r="534" spans="1:7" ht="13.5">
      <c r="A534" s="112"/>
      <c r="B534" s="113"/>
      <c r="C534" s="112"/>
      <c r="D534" s="96"/>
      <c r="E534" s="114"/>
      <c r="F534" s="112"/>
      <c r="G534" s="112"/>
    </row>
    <row r="535" spans="1:7" ht="13.5">
      <c r="A535" s="112"/>
      <c r="B535" s="113"/>
      <c r="C535" s="112"/>
      <c r="D535" s="96"/>
      <c r="E535" s="114"/>
      <c r="F535" s="112"/>
      <c r="G535" s="112"/>
    </row>
    <row r="536" spans="1:7" ht="13.5">
      <c r="A536" s="112"/>
      <c r="B536" s="113"/>
      <c r="C536" s="112"/>
      <c r="D536" s="96"/>
      <c r="E536" s="114"/>
      <c r="F536" s="112"/>
      <c r="G536" s="112"/>
    </row>
    <row r="537" spans="1:7" ht="13.5">
      <c r="A537" s="112"/>
      <c r="B537" s="113"/>
      <c r="C537" s="112"/>
      <c r="D537" s="96"/>
      <c r="E537" s="114"/>
      <c r="F537" s="112"/>
      <c r="G537" s="112"/>
    </row>
    <row r="538" spans="1:7" ht="13.5">
      <c r="A538" s="112"/>
      <c r="B538" s="113"/>
      <c r="C538" s="112"/>
      <c r="D538" s="96"/>
      <c r="E538" s="114"/>
      <c r="F538" s="112"/>
      <c r="G538" s="112"/>
    </row>
    <row r="539" spans="1:7" ht="13.5">
      <c r="A539" s="112"/>
      <c r="B539" s="113"/>
      <c r="C539" s="112"/>
      <c r="D539" s="96"/>
      <c r="E539" s="114"/>
      <c r="F539" s="112"/>
      <c r="G539" s="112"/>
    </row>
    <row r="540" spans="1:7" ht="13.5">
      <c r="A540" s="112"/>
      <c r="B540" s="113"/>
      <c r="C540" s="112"/>
      <c r="D540" s="96"/>
      <c r="E540" s="114"/>
      <c r="F540" s="112"/>
      <c r="G540" s="112"/>
    </row>
    <row r="541" spans="1:7" ht="13.5">
      <c r="A541" s="112"/>
      <c r="B541" s="113"/>
      <c r="C541" s="112"/>
      <c r="D541" s="96"/>
      <c r="E541" s="114"/>
      <c r="F541" s="112"/>
      <c r="G541" s="112"/>
    </row>
    <row r="542" spans="1:7" ht="13.5">
      <c r="A542" s="112"/>
      <c r="B542" s="113"/>
      <c r="C542" s="112"/>
      <c r="D542" s="96"/>
      <c r="E542" s="114"/>
      <c r="F542" s="112"/>
      <c r="G542" s="112"/>
    </row>
    <row r="543" spans="1:7" ht="13.5">
      <c r="A543" s="112"/>
      <c r="B543" s="113"/>
      <c r="C543" s="112"/>
      <c r="D543" s="96"/>
      <c r="E543" s="114"/>
      <c r="F543" s="112"/>
      <c r="G543" s="112"/>
    </row>
    <row r="544" spans="1:7" ht="13.5">
      <c r="A544" s="112"/>
      <c r="B544" s="113"/>
      <c r="C544" s="112"/>
      <c r="D544" s="96"/>
      <c r="E544" s="114"/>
      <c r="F544" s="112"/>
      <c r="G544" s="112"/>
    </row>
    <row r="545" spans="1:7" ht="13.5">
      <c r="A545" s="112"/>
      <c r="B545" s="113"/>
      <c r="C545" s="112"/>
      <c r="D545" s="96"/>
      <c r="E545" s="114"/>
      <c r="F545" s="112"/>
      <c r="G545" s="112"/>
    </row>
    <row r="546" spans="1:7" ht="13.5">
      <c r="A546" s="112"/>
      <c r="B546" s="113"/>
      <c r="C546" s="112"/>
      <c r="D546" s="96"/>
      <c r="E546" s="114"/>
      <c r="F546" s="112"/>
      <c r="G546" s="112"/>
    </row>
    <row r="547" spans="1:7" ht="13.5">
      <c r="A547" s="112"/>
      <c r="B547" s="113"/>
      <c r="C547" s="112"/>
      <c r="D547" s="96"/>
      <c r="E547" s="114"/>
      <c r="F547" s="112"/>
      <c r="G547" s="112"/>
    </row>
    <row r="548" spans="1:7" ht="13.5">
      <c r="A548" s="112"/>
      <c r="B548" s="113"/>
      <c r="C548" s="112"/>
      <c r="D548" s="96"/>
      <c r="E548" s="114"/>
      <c r="F548" s="112"/>
      <c r="G548" s="112"/>
    </row>
    <row r="549" spans="1:7" ht="13.5">
      <c r="A549" s="112"/>
      <c r="B549" s="113"/>
      <c r="C549" s="112"/>
      <c r="D549" s="96"/>
      <c r="E549" s="114"/>
      <c r="F549" s="112"/>
      <c r="G549" s="112"/>
    </row>
    <row r="550" spans="1:7" ht="13.5">
      <c r="A550" s="112"/>
      <c r="B550" s="113"/>
      <c r="C550" s="112"/>
      <c r="D550" s="96"/>
      <c r="E550" s="114"/>
      <c r="F550" s="112"/>
      <c r="G550" s="112"/>
    </row>
    <row r="551" spans="1:7" ht="13.5">
      <c r="A551" s="112"/>
      <c r="B551" s="113"/>
      <c r="C551" s="112"/>
      <c r="D551" s="96"/>
      <c r="E551" s="114"/>
      <c r="F551" s="112"/>
      <c r="G551" s="112"/>
    </row>
    <row r="552" spans="1:7" ht="13.5">
      <c r="A552" s="112"/>
      <c r="B552" s="113"/>
      <c r="C552" s="112"/>
      <c r="D552" s="96"/>
      <c r="E552" s="114"/>
      <c r="F552" s="112"/>
      <c r="G552" s="112"/>
    </row>
    <row r="553" spans="1:7" ht="13.5">
      <c r="A553" s="112"/>
      <c r="B553" s="113"/>
      <c r="C553" s="112"/>
      <c r="D553" s="96"/>
      <c r="E553" s="114"/>
      <c r="F553" s="112"/>
      <c r="G553" s="112"/>
    </row>
    <row r="554" spans="1:7" ht="13.5">
      <c r="A554" s="112"/>
      <c r="B554" s="113"/>
      <c r="C554" s="112"/>
      <c r="D554" s="96"/>
      <c r="E554" s="114"/>
      <c r="F554" s="112"/>
      <c r="G554" s="112"/>
    </row>
    <row r="555" spans="1:7" ht="13.5">
      <c r="A555" s="112"/>
      <c r="B555" s="113"/>
      <c r="C555" s="112"/>
      <c r="D555" s="96"/>
      <c r="E555" s="114"/>
      <c r="F555" s="112"/>
      <c r="G555" s="112"/>
    </row>
    <row r="556" spans="1:7" ht="13.5">
      <c r="A556" s="112"/>
      <c r="B556" s="113"/>
      <c r="C556" s="112"/>
      <c r="D556" s="96"/>
      <c r="E556" s="114"/>
      <c r="F556" s="112"/>
      <c r="G556" s="112"/>
    </row>
    <row r="557" spans="1:7" ht="13.5">
      <c r="A557" s="112"/>
      <c r="B557" s="113"/>
      <c r="C557" s="112"/>
      <c r="D557" s="96"/>
      <c r="E557" s="114"/>
      <c r="F557" s="112"/>
      <c r="G557" s="112"/>
    </row>
    <row r="558" spans="1:7" ht="13.5">
      <c r="A558" s="112"/>
      <c r="B558" s="113"/>
      <c r="C558" s="112"/>
      <c r="D558" s="96"/>
      <c r="E558" s="114"/>
      <c r="F558" s="112"/>
      <c r="G558" s="112"/>
    </row>
    <row r="559" spans="1:7" ht="13.5">
      <c r="A559" s="112"/>
      <c r="B559" s="113"/>
      <c r="C559" s="112"/>
      <c r="D559" s="96"/>
      <c r="E559" s="114"/>
      <c r="F559" s="112"/>
      <c r="G559" s="112"/>
    </row>
    <row r="560" spans="1:7" ht="13.5">
      <c r="A560" s="112"/>
      <c r="B560" s="113"/>
      <c r="C560" s="112"/>
      <c r="D560" s="96"/>
      <c r="E560" s="114"/>
      <c r="F560" s="112"/>
      <c r="G560" s="112"/>
    </row>
    <row r="561" spans="1:7" ht="13.5">
      <c r="A561" s="112"/>
      <c r="B561" s="113"/>
      <c r="C561" s="112"/>
      <c r="D561" s="96"/>
      <c r="E561" s="114"/>
      <c r="F561" s="112"/>
      <c r="G561" s="112"/>
    </row>
    <row r="562" spans="1:7" ht="13.5">
      <c r="A562" s="112"/>
      <c r="B562" s="113"/>
      <c r="C562" s="112"/>
      <c r="D562" s="96"/>
      <c r="E562" s="114"/>
      <c r="F562" s="112"/>
      <c r="G562" s="112"/>
    </row>
    <row r="563" spans="1:7" ht="13.5">
      <c r="A563" s="112"/>
      <c r="B563" s="113"/>
      <c r="C563" s="112"/>
      <c r="D563" s="96"/>
      <c r="E563" s="114"/>
      <c r="F563" s="112"/>
      <c r="G563" s="112"/>
    </row>
    <row r="564" spans="1:7" ht="13.5">
      <c r="A564" s="112"/>
      <c r="B564" s="113"/>
      <c r="C564" s="112"/>
      <c r="D564" s="96"/>
      <c r="E564" s="114"/>
      <c r="F564" s="112"/>
      <c r="G564" s="112"/>
    </row>
    <row r="565" spans="1:7" ht="13.5">
      <c r="A565" s="112"/>
      <c r="B565" s="113"/>
      <c r="C565" s="112"/>
      <c r="D565" s="96"/>
      <c r="E565" s="114"/>
      <c r="F565" s="112"/>
      <c r="G565" s="112"/>
    </row>
    <row r="566" spans="1:7" ht="13.5">
      <c r="A566" s="112"/>
      <c r="B566" s="113"/>
      <c r="C566" s="112"/>
      <c r="D566" s="96"/>
      <c r="E566" s="114"/>
      <c r="F566" s="112"/>
      <c r="G566" s="112"/>
    </row>
    <row r="567" spans="1:7" ht="13.5">
      <c r="A567" s="112"/>
      <c r="B567" s="113"/>
      <c r="C567" s="112"/>
      <c r="D567" s="96"/>
      <c r="E567" s="114"/>
      <c r="F567" s="112"/>
      <c r="G567" s="112"/>
    </row>
    <row r="568" spans="1:7" ht="13.5">
      <c r="A568" s="112"/>
      <c r="B568" s="113"/>
      <c r="C568" s="112"/>
      <c r="D568" s="96"/>
      <c r="E568" s="114"/>
      <c r="F568" s="112"/>
      <c r="G568" s="112"/>
    </row>
    <row r="569" spans="1:7" ht="13.5">
      <c r="A569" s="112"/>
      <c r="B569" s="113"/>
      <c r="C569" s="112"/>
      <c r="D569" s="96"/>
      <c r="E569" s="114"/>
      <c r="F569" s="112"/>
      <c r="G569" s="112"/>
    </row>
    <row r="570" spans="1:7" ht="13.5">
      <c r="A570" s="112"/>
      <c r="B570" s="113"/>
      <c r="C570" s="112"/>
      <c r="D570" s="96"/>
      <c r="E570" s="114"/>
      <c r="F570" s="112"/>
      <c r="G570" s="112"/>
    </row>
    <row r="571" spans="1:7" ht="13.5">
      <c r="A571" s="112"/>
      <c r="B571" s="113"/>
      <c r="C571" s="112"/>
      <c r="D571" s="96"/>
      <c r="E571" s="114"/>
      <c r="F571" s="112"/>
      <c r="G571" s="112"/>
    </row>
    <row r="572" spans="1:7" ht="13.5">
      <c r="A572" s="112"/>
      <c r="B572" s="113"/>
      <c r="C572" s="112"/>
      <c r="D572" s="96"/>
      <c r="E572" s="114"/>
      <c r="F572" s="112"/>
      <c r="G572" s="112"/>
    </row>
    <row r="573" spans="1:7" ht="13.5">
      <c r="A573" s="112"/>
      <c r="B573" s="113"/>
      <c r="C573" s="112"/>
      <c r="D573" s="96"/>
      <c r="E573" s="114"/>
      <c r="F573" s="112"/>
      <c r="G573" s="112"/>
    </row>
    <row r="574" spans="1:7" ht="13.5">
      <c r="A574" s="112"/>
      <c r="B574" s="113"/>
      <c r="C574" s="112"/>
      <c r="D574" s="96"/>
      <c r="E574" s="114"/>
      <c r="F574" s="112"/>
      <c r="G574" s="112"/>
    </row>
    <row r="575" spans="1:7" ht="13.5">
      <c r="A575" s="112"/>
      <c r="B575" s="113"/>
      <c r="C575" s="112"/>
      <c r="D575" s="96"/>
      <c r="E575" s="114"/>
      <c r="F575" s="112"/>
      <c r="G575" s="112"/>
    </row>
    <row r="576" spans="1:7" ht="13.5">
      <c r="A576" s="112"/>
      <c r="B576" s="113"/>
      <c r="C576" s="112"/>
      <c r="D576" s="96"/>
      <c r="E576" s="114"/>
      <c r="F576" s="112"/>
      <c r="G576" s="112"/>
    </row>
    <row r="577" spans="1:7" ht="13.5">
      <c r="A577" s="112"/>
      <c r="B577" s="113"/>
      <c r="C577" s="112"/>
      <c r="D577" s="96"/>
      <c r="E577" s="114"/>
      <c r="F577" s="112"/>
      <c r="G577" s="112"/>
    </row>
    <row r="578" spans="1:7" ht="13.5">
      <c r="A578" s="112"/>
      <c r="B578" s="113"/>
      <c r="C578" s="112"/>
      <c r="D578" s="96"/>
      <c r="E578" s="114"/>
      <c r="F578" s="112"/>
      <c r="G578" s="112"/>
    </row>
    <row r="579" spans="1:7" ht="13.5">
      <c r="A579" s="112"/>
      <c r="B579" s="113"/>
      <c r="C579" s="112"/>
      <c r="D579" s="96"/>
      <c r="E579" s="114"/>
      <c r="F579" s="112"/>
      <c r="G579" s="112"/>
    </row>
    <row r="580" spans="1:7" ht="13.5">
      <c r="A580" s="112"/>
      <c r="B580" s="113"/>
      <c r="C580" s="112"/>
      <c r="D580" s="96"/>
      <c r="E580" s="114"/>
      <c r="F580" s="112"/>
      <c r="G580" s="112"/>
    </row>
    <row r="581" spans="1:7" ht="13.5">
      <c r="A581" s="112"/>
      <c r="B581" s="113"/>
      <c r="C581" s="112"/>
      <c r="D581" s="96"/>
      <c r="E581" s="114"/>
      <c r="F581" s="112"/>
      <c r="G581" s="112"/>
    </row>
    <row r="582" spans="1:7" ht="13.5">
      <c r="A582" s="112"/>
      <c r="B582" s="113"/>
      <c r="C582" s="112"/>
      <c r="D582" s="96"/>
      <c r="E582" s="114"/>
      <c r="F582" s="112"/>
      <c r="G582" s="112"/>
    </row>
    <row r="583" spans="1:7" ht="13.5">
      <c r="A583" s="112"/>
      <c r="B583" s="113"/>
      <c r="C583" s="112"/>
      <c r="D583" s="96"/>
      <c r="E583" s="114"/>
      <c r="F583" s="112"/>
      <c r="G583" s="112"/>
    </row>
    <row r="584" spans="1:7" ht="13.5">
      <c r="A584" s="112"/>
      <c r="B584" s="113"/>
      <c r="C584" s="112"/>
      <c r="D584" s="96"/>
      <c r="E584" s="114"/>
      <c r="F584" s="112"/>
      <c r="G584" s="112"/>
    </row>
    <row r="585" spans="1:7" ht="13.5">
      <c r="A585" s="112"/>
      <c r="B585" s="113"/>
      <c r="C585" s="112"/>
      <c r="D585" s="96"/>
      <c r="E585" s="114"/>
      <c r="F585" s="112"/>
      <c r="G585" s="112"/>
    </row>
    <row r="586" spans="1:7" ht="13.5">
      <c r="A586" s="112"/>
      <c r="B586" s="113"/>
      <c r="C586" s="112"/>
      <c r="D586" s="96"/>
      <c r="E586" s="114"/>
      <c r="F586" s="112"/>
      <c r="G586" s="112"/>
    </row>
    <row r="587" spans="1:7" ht="13.5">
      <c r="A587" s="112"/>
      <c r="B587" s="113"/>
      <c r="C587" s="112"/>
      <c r="D587" s="96"/>
      <c r="E587" s="114"/>
      <c r="F587" s="112"/>
      <c r="G587" s="112"/>
    </row>
    <row r="588" spans="1:7" ht="13.5">
      <c r="A588" s="112"/>
      <c r="B588" s="113"/>
      <c r="C588" s="112"/>
      <c r="D588" s="96"/>
      <c r="E588" s="114"/>
      <c r="F588" s="112"/>
      <c r="G588" s="112"/>
    </row>
    <row r="589" spans="1:7" ht="13.5">
      <c r="A589" s="112"/>
      <c r="B589" s="113"/>
      <c r="C589" s="112"/>
      <c r="D589" s="96"/>
      <c r="E589" s="114"/>
      <c r="F589" s="112"/>
      <c r="G589" s="112"/>
    </row>
    <row r="590" spans="1:7" ht="13.5">
      <c r="A590" s="112"/>
      <c r="B590" s="113"/>
      <c r="C590" s="112"/>
      <c r="D590" s="96"/>
      <c r="E590" s="114"/>
      <c r="F590" s="112"/>
      <c r="G590" s="112"/>
    </row>
    <row r="591" spans="1:7" ht="13.5">
      <c r="A591" s="112"/>
      <c r="B591" s="113"/>
      <c r="C591" s="112"/>
      <c r="D591" s="96"/>
      <c r="E591" s="114"/>
      <c r="F591" s="112"/>
      <c r="G591" s="112"/>
    </row>
    <row r="592" spans="1:7" ht="13.5">
      <c r="A592" s="112"/>
      <c r="B592" s="113"/>
      <c r="C592" s="112"/>
      <c r="D592" s="96"/>
      <c r="E592" s="114"/>
      <c r="F592" s="112"/>
      <c r="G592" s="112"/>
    </row>
    <row r="593" spans="1:7" ht="13.5">
      <c r="A593" s="112"/>
      <c r="B593" s="113"/>
      <c r="C593" s="112"/>
      <c r="D593" s="96"/>
      <c r="E593" s="114"/>
      <c r="F593" s="112"/>
      <c r="G593" s="112"/>
    </row>
    <row r="594" spans="1:7" ht="13.5">
      <c r="A594" s="112"/>
      <c r="B594" s="113"/>
      <c r="C594" s="112"/>
      <c r="D594" s="96"/>
      <c r="E594" s="114"/>
      <c r="F594" s="112"/>
      <c r="G594" s="112"/>
    </row>
    <row r="595" spans="1:7" ht="13.5">
      <c r="A595" s="112"/>
      <c r="B595" s="113"/>
      <c r="C595" s="112"/>
      <c r="D595" s="96"/>
      <c r="E595" s="114"/>
      <c r="F595" s="112"/>
      <c r="G595" s="112"/>
    </row>
    <row r="596" spans="1:7" ht="13.5">
      <c r="A596" s="112"/>
      <c r="B596" s="113"/>
      <c r="C596" s="112"/>
      <c r="D596" s="96"/>
      <c r="E596" s="114"/>
      <c r="F596" s="112"/>
      <c r="G596" s="112"/>
    </row>
    <row r="597" spans="1:7" ht="13.5">
      <c r="A597" s="112"/>
      <c r="B597" s="113"/>
      <c r="C597" s="112"/>
      <c r="D597" s="96"/>
      <c r="E597" s="114"/>
      <c r="F597" s="112"/>
      <c r="G597" s="112"/>
    </row>
    <row r="598" spans="1:7" ht="13.5">
      <c r="A598" s="112"/>
      <c r="B598" s="113"/>
      <c r="C598" s="112"/>
      <c r="D598" s="96"/>
      <c r="E598" s="114"/>
      <c r="F598" s="112"/>
      <c r="G598" s="112"/>
    </row>
    <row r="599" spans="1:7" ht="13.5">
      <c r="A599" s="112"/>
      <c r="B599" s="113"/>
      <c r="C599" s="112"/>
      <c r="D599" s="96"/>
      <c r="E599" s="114"/>
      <c r="F599" s="112"/>
      <c r="G599" s="112"/>
    </row>
    <row r="600" spans="1:7" ht="13.5">
      <c r="A600" s="112"/>
      <c r="B600" s="113"/>
      <c r="C600" s="112"/>
      <c r="D600" s="96"/>
      <c r="E600" s="114"/>
      <c r="F600" s="112"/>
      <c r="G600" s="112"/>
    </row>
    <row r="601" spans="1:7" ht="13.5">
      <c r="A601" s="112"/>
      <c r="B601" s="113"/>
      <c r="C601" s="112"/>
      <c r="D601" s="96"/>
      <c r="E601" s="114"/>
      <c r="F601" s="112"/>
      <c r="G601" s="112"/>
    </row>
    <row r="602" spans="1:7" ht="13.5">
      <c r="A602" s="112"/>
      <c r="B602" s="113"/>
      <c r="C602" s="112"/>
      <c r="D602" s="96"/>
      <c r="E602" s="114"/>
      <c r="F602" s="112"/>
      <c r="G602" s="112"/>
    </row>
    <row r="603" spans="1:7" ht="13.5">
      <c r="A603" s="112"/>
      <c r="B603" s="113"/>
      <c r="C603" s="112"/>
      <c r="D603" s="96"/>
      <c r="E603" s="114"/>
      <c r="F603" s="112"/>
      <c r="G603" s="112"/>
    </row>
    <row r="604" spans="1:7" ht="13.5">
      <c r="A604" s="112"/>
      <c r="B604" s="113"/>
      <c r="C604" s="112"/>
      <c r="D604" s="96"/>
      <c r="E604" s="114"/>
      <c r="F604" s="112"/>
      <c r="G604" s="112"/>
    </row>
    <row r="605" spans="1:7" ht="13.5">
      <c r="A605" s="112"/>
      <c r="B605" s="113"/>
      <c r="C605" s="112"/>
      <c r="D605" s="96"/>
      <c r="E605" s="114"/>
      <c r="F605" s="112"/>
      <c r="G605" s="112"/>
    </row>
    <row r="606" spans="1:7" ht="13.5">
      <c r="A606" s="112"/>
      <c r="B606" s="113"/>
      <c r="C606" s="112"/>
      <c r="D606" s="96"/>
      <c r="E606" s="114"/>
      <c r="F606" s="112"/>
      <c r="G606" s="112"/>
    </row>
    <row r="607" spans="1:7" ht="13.5">
      <c r="A607" s="112"/>
      <c r="B607" s="113"/>
      <c r="C607" s="112"/>
      <c r="D607" s="96"/>
      <c r="E607" s="114"/>
      <c r="F607" s="112"/>
      <c r="G607" s="112"/>
    </row>
    <row r="608" spans="1:7" ht="13.5">
      <c r="A608" s="112"/>
      <c r="B608" s="113"/>
      <c r="C608" s="112"/>
      <c r="D608" s="96"/>
      <c r="E608" s="114"/>
      <c r="F608" s="112"/>
      <c r="G608" s="112"/>
    </row>
    <row r="609" spans="1:7" ht="13.5">
      <c r="A609" s="112"/>
      <c r="B609" s="113"/>
      <c r="C609" s="112"/>
      <c r="D609" s="96"/>
      <c r="E609" s="114"/>
      <c r="F609" s="112"/>
      <c r="G609" s="112"/>
    </row>
    <row r="610" spans="1:7" ht="13.5">
      <c r="A610" s="112"/>
      <c r="B610" s="113"/>
      <c r="C610" s="112"/>
      <c r="D610" s="96"/>
      <c r="E610" s="114"/>
      <c r="F610" s="112"/>
      <c r="G610" s="112"/>
    </row>
  </sheetData>
  <mergeCells count="2">
    <mergeCell ref="A1:F2"/>
    <mergeCell ref="A3:G3"/>
  </mergeCells>
  <phoneticPr fontId="16" type="noConversion"/>
  <printOptions horizontalCentered="1" verticalCentered="1"/>
  <pageMargins left="0.31496062992125984" right="0.19685039370078741" top="0.35433070866141736" bottom="0.35433070866141736" header="0" footer="0"/>
  <pageSetup paperSize="9" scale="10" orientation="landscape" r:id="rId1"/>
  <ignoredErrors>
    <ignoredError sqref="D75:D10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PR당사안</vt:lpstr>
      <vt:lpstr>내역서(표준단가)</vt:lpstr>
      <vt:lpstr>Upload(시중가)-별도입력</vt:lpstr>
      <vt:lpstr>Upload</vt:lpstr>
      <vt:lpstr>할증기준</vt:lpstr>
      <vt:lpstr>공사수립계획서</vt:lpstr>
      <vt:lpstr>산출서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2025-10-01T01:02:32Z</dcterms:modified>
</cp:coreProperties>
</file>
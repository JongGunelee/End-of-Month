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20\06 작업폴더\02 사택 103-406 거실 및 안방 단열작업\"/>
    </mc:Choice>
  </mc:AlternateContent>
  <xr:revisionPtr revIDLastSave="0" documentId="13_ncr:1_{BA6E857F-608A-439F-94FB-7BD3EEC60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18" r:id="rId3"/>
    <sheet name="시중가 근거서류" sheetId="17" r:id="rId4"/>
    <sheet name="Upload(시중가)" sheetId="1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2" i="4"/>
  <c r="S12" i="4"/>
  <c r="Q12" i="4"/>
  <c r="O12" i="4"/>
  <c r="J12" i="4"/>
  <c r="U10" i="4"/>
  <c r="S10" i="4"/>
  <c r="Q10" i="4"/>
  <c r="O10" i="4"/>
  <c r="A10" i="4"/>
  <c r="A7" i="1" s="1"/>
  <c r="H17" i="18"/>
  <c r="F17" i="18"/>
  <c r="H11" i="18"/>
  <c r="F11" i="18"/>
  <c r="V12" i="4" l="1"/>
  <c r="N17" i="18"/>
  <c r="N11" i="18"/>
  <c r="V10" i="4"/>
  <c r="L18" i="18" l="1"/>
  <c r="J18" i="18"/>
  <c r="N18" i="18" s="1"/>
  <c r="H16" i="18"/>
  <c r="F16" i="18"/>
  <c r="H15" i="18"/>
  <c r="F15" i="18"/>
  <c r="N15" i="18" s="1"/>
  <c r="H14" i="18"/>
  <c r="F14" i="18"/>
  <c r="F13" i="18"/>
  <c r="N13" i="18" s="1"/>
  <c r="H10" i="18"/>
  <c r="F10" i="18"/>
  <c r="H9" i="18"/>
  <c r="F9" i="18"/>
  <c r="H8" i="18"/>
  <c r="F8" i="18"/>
  <c r="F7" i="18"/>
  <c r="N7" i="18" s="1"/>
  <c r="H6" i="18"/>
  <c r="F6" i="18"/>
  <c r="H5" i="18"/>
  <c r="F5" i="18"/>
  <c r="N16" i="18" l="1"/>
  <c r="N8" i="18"/>
  <c r="N9" i="18"/>
  <c r="N6" i="18"/>
  <c r="N10" i="18"/>
  <c r="N14" i="18"/>
  <c r="N5" i="18"/>
  <c r="L19" i="18" l="1"/>
  <c r="N4" i="18"/>
  <c r="H19" i="18" l="1"/>
  <c r="F19" i="18"/>
  <c r="J19" i="18"/>
  <c r="N19" i="18" l="1"/>
  <c r="U5" i="4"/>
  <c r="S5" i="4"/>
  <c r="Q5" i="4"/>
  <c r="O5" i="4"/>
  <c r="A5" i="4"/>
  <c r="V5" i="4" l="1"/>
  <c r="F2" i="1" l="1"/>
  <c r="E2" i="1"/>
  <c r="D2" i="1"/>
  <c r="C2" i="1"/>
  <c r="B2" i="1"/>
  <c r="A11" i="4"/>
  <c r="A9" i="4"/>
  <c r="A6" i="1" s="1"/>
  <c r="A8" i="4"/>
  <c r="A5" i="1" s="1"/>
  <c r="A7" i="4"/>
  <c r="A4" i="1" s="1"/>
  <c r="A6" i="4"/>
  <c r="A3" i="1" s="1"/>
  <c r="A2" i="1"/>
  <c r="U11" i="4" l="1"/>
  <c r="S11" i="4"/>
  <c r="Q11" i="4"/>
  <c r="O11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V7" i="4" l="1"/>
  <c r="V8" i="4"/>
  <c r="V9" i="4"/>
  <c r="V6" i="4"/>
  <c r="V11" i="4"/>
  <c r="U13" i="4" l="1"/>
  <c r="Q13" i="4"/>
  <c r="S13" i="4" l="1"/>
  <c r="V13" i="4" l="1"/>
  <c r="F18" i="5" l="1"/>
  <c r="O13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<sst xmlns="http://schemas.openxmlformats.org/spreadsheetml/2006/main" count="227" uniqueCount="174">
  <si>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</si>
  <si>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</si>
  <si>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</si>
  <si>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</si>
  <si>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</si>
  <si>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</si>
  <si>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</si>
  <si>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</si>
  <si>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</si>
  <si>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</si>
  <si>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</si>
  <si>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</si>
  <si>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</si>
  <si>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</si>
  <si>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</si>
  <si>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</si>
  <si>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</si>
  <si>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</si>
  <si>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</si>
  <si>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</si>
  <si>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</si>
  <si>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</si>
  <si>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</si>
  <si>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</si>
  <si>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</si>
  <si>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</si>
  <si>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</si>
  <si>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</si>
  <si>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</si>
  <si>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</si>
  <si>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</si>
  <si>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</si>
  <si>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</si>
  <si>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</si>
  <si>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</si>
  <si>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</si>
  <si>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</si>
  <si>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</si>
  <si>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</si>
  <si>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</si>
  <si>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</si>
  <si>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</si>
  <si>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</si>
  <si>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</si>
  <si>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</si>
  <si>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</si>
  <si>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</si>
  <si>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</si>
  <si>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</si>
  <si>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</si>
  <si>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</si>
  <si>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</si>
  <si>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</si>
  <si>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</si>
  <si>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</si>
  <si>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</si>
  <si>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</si>
  <si>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</si>
  <si>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</si>
  <si>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</si>
  <si>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</si>
  <si>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</si>
  <si>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</si>
  <si>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</si>
  <si>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</si>
  <si>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</si>
  <si>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</si>
  <si>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</si>
  <si>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</si>
  <si>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</si>
  <si>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</si>
  <si>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</si>
  <si>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</si>
  <si>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</si>
  <si>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</si>
  <si>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</si>
  <si>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</si>
  <si>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철근콘크리트조</t>
  </si>
  <si>
    <t>D02339</t>
  </si>
  <si>
    <t>폐기물처리('20년 표준단가 C12200)</t>
    <phoneticPr fontId="10" type="noConversion"/>
  </si>
  <si>
    <t>사업장 일반 폐기물</t>
    <phoneticPr fontId="10" type="noConversion"/>
  </si>
  <si>
    <t>TON</t>
  </si>
  <si>
    <t>폐기물처리('20년 표준단가 C12200)</t>
  </si>
  <si>
    <t>사업장 일반 폐기물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</si>
  <si>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</si>
  <si>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</si>
  <si>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</si>
  <si>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</si>
  <si>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</si>
  <si>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</si>
  <si>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</si>
  <si>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</si>
  <si>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</si>
  <si>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</si>
  <si>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</si>
  <si>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</si>
  <si>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1.건축물 현장정리</t>
    <phoneticPr fontId="18" type="noConversion"/>
  </si>
  <si>
    <t>㎡</t>
    <phoneticPr fontId="18" type="noConversion"/>
  </si>
  <si>
    <t>2.거실단열</t>
    <phoneticPr fontId="12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</si>
  <si>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</si>
  <si>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</si>
  <si>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</si>
  <si>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</si>
  <si>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</si>
  <si>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</si>
  <si>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</si>
  <si>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</si>
  <si>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</si>
  <si>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</si>
  <si>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이보드13t*900*h:2400</t>
    <phoneticPr fontId="12" type="noConversion"/>
  </si>
  <si>
    <t>혼합건설 폐기물, 운반비 포함</t>
    <phoneticPr fontId="12" type="noConversion"/>
  </si>
  <si>
    <t>TON</t>
    <phoneticPr fontId="12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</si>
  <si>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</si>
  <si>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</si>
  <si>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</si>
  <si>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</si>
  <si>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</si>
  <si>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</si>
  <si>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</si>
  <si>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</si>
  <si>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</si>
  <si>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</si>
  <si>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</si>
  <si>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</si>
  <si>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</si>
  <si>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</si>
  <si>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</si>
  <si>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</si>
  <si>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</si>
  <si>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</si>
  <si>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</si>
  <si>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</si>
  <si>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</si>
  <si>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</si>
  <si>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</si>
  <si>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</si>
  <si>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</si>
  <si>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</si>
  <si>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</si>
  <si>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</si>
  <si>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</si>
  <si>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r>
      <rPr>
        <sz val="10"/>
        <color theme="1"/>
        <rFont val="맑은 고딕"/>
        <family val="3"/>
        <charset val="129"/>
      </rPr>
      <t>연면적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㎡</t>
    </r>
  </si>
  <si>
    <r>
      <rPr>
        <sz val="10"/>
        <color theme="1"/>
        <rFont val="맑은 고딕"/>
        <family val="3"/>
        <charset val="129"/>
      </rPr>
      <t>㎡</t>
    </r>
  </si>
  <si>
    <t>10㎜×1M×25M 건축용단열재,</t>
  </si>
  <si>
    <t>(1.55+1.45+0.4+1.25)*h2.4=11.16  11.16+하단 2=13.16</t>
    <phoneticPr fontId="10" type="noConversion"/>
  </si>
  <si>
    <t>3.안방</t>
    <phoneticPr fontId="10" type="noConversion"/>
  </si>
  <si>
    <t>(0.45+3.35)*h2.4=9.12</t>
    <phoneticPr fontId="10" type="noConversion"/>
  </si>
  <si>
    <t xml:space="preserve"> 공사명 : 사택 103-406 단열작업(거실+안방, 열반사+이보드)</t>
    <phoneticPr fontId="16" type="noConversion"/>
  </si>
  <si>
    <t>사택 103-406 단열작업(거실+안방, 열반사+이보드)</t>
    <phoneticPr fontId="18" type="noConversion"/>
  </si>
  <si>
    <r>
      <t>제 1호표  건축물 현장정리,</t>
    </r>
    <r>
      <rPr>
        <sz val="10"/>
        <color rgb="FFFF0000"/>
        <rFont val="Malgun Gothic"/>
        <family val="3"/>
        <charset val="129"/>
      </rPr>
      <t xml:space="preserve"> 철거, 보양,</t>
    </r>
    <r>
      <rPr>
        <sz val="10"/>
        <color theme="1"/>
        <rFont val="Malgun Gothic"/>
        <family val="3"/>
        <charset val="129"/>
      </rPr>
      <t xml:space="preserve"> </t>
    </r>
    <r>
      <rPr>
        <sz val="10"/>
        <color rgb="FFFF0000"/>
        <rFont val="Malgun Gothic"/>
        <family val="3"/>
        <charset val="129"/>
      </rPr>
      <t>청소포함</t>
    </r>
    <phoneticPr fontId="10" type="noConversion"/>
  </si>
  <si>
    <t>철거, 보양, 청소포함</t>
    <phoneticPr fontId="10" type="noConversion"/>
  </si>
  <si>
    <t>4.폐기물 처리</t>
    <phoneticPr fontId="12" type="noConversion"/>
  </si>
  <si>
    <t>거실 벽면</t>
    <phoneticPr fontId="18" type="noConversion"/>
  </si>
  <si>
    <t>도배</t>
    <phoneticPr fontId="10" type="noConversion"/>
  </si>
  <si>
    <t>안방 벽면</t>
    <phoneticPr fontId="18" type="noConversion"/>
  </si>
  <si>
    <t>D02641</t>
  </si>
  <si>
    <t>제 1호표  도배바름(벽면)</t>
  </si>
  <si>
    <t>합판·석고보드면</t>
  </si>
  <si>
    <t>㎡</t>
  </si>
  <si>
    <t>합지벽지(LG하우시스 휘앙세)</t>
    <phoneticPr fontId="10" type="noConversion"/>
  </si>
  <si>
    <t>■ 벽지 자재비 근거서류(999999)</t>
    <phoneticPr fontId="12" type="noConversion"/>
  </si>
  <si>
    <t>코드</t>
    <phoneticPr fontId="12" type="noConversion"/>
  </si>
  <si>
    <t>품목</t>
    <phoneticPr fontId="12" type="noConversion"/>
  </si>
  <si>
    <t>규격</t>
    <phoneticPr fontId="12" type="noConversion"/>
  </si>
  <si>
    <t>단가(m2)</t>
    <phoneticPr fontId="12" type="noConversion"/>
  </si>
  <si>
    <t>적용기준</t>
    <phoneticPr fontId="12" type="noConversion"/>
  </si>
  <si>
    <t>벽지(LG 휘앙세)</t>
    <phoneticPr fontId="12" type="noConversion"/>
  </si>
  <si>
    <t>장폭합지</t>
    <phoneticPr fontId="12" type="noConversion"/>
  </si>
  <si>
    <t>물가자료 2023.11</t>
  </si>
  <si>
    <t>합지벽지, 23년 11월 물가자료</t>
    <phoneticPr fontId="10" type="noConversion"/>
  </si>
  <si>
    <t>LX하우시스, 휘앙세 93*17.75, M2당</t>
    <phoneticPr fontId="10" type="noConversion"/>
  </si>
  <si>
    <t>태화론 TW-06(단면)</t>
    <phoneticPr fontId="10" type="noConversion"/>
  </si>
  <si>
    <t>태화론 TW-10(양면-점착)</t>
    <phoneticPr fontId="10" type="noConversion"/>
  </si>
  <si>
    <t xml:space="preserve"> 견적일 : 2024 년  12월  19일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</si>
</sst>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#,##0_);[Red]\(#,##0\)"/>
    <numFmt numFmtId="186" formatCode="#,##0_ "/>
    <numFmt numFmtId="187" formatCode="0_);[Red]\(0\)"/>
    <numFmt numFmtId="188" formatCode="&quot;₩&quot;#,##0"/>
    <numFmt numFmtId="189" formatCode="0.00_);[Red]\(0.00\)"/>
    <numFmt numFmtId="190" formatCode="#,###,###,###"/>
  </numFmts>
  <fonts count="5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10"/>
      <color rgb="FFFF0000"/>
      <name val="Malgun Gothic"/>
      <family val="3"/>
      <charset val="129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24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2" fillId="0" borderId="0" xfId="25" applyFont="1">
      <alignment vertical="center"/>
    </xf>
    <xf numFmtId="0" fontId="33" fillId="0" borderId="0" xfId="25" applyFont="1">
      <alignment vertical="center"/>
    </xf>
    <xf numFmtId="0" fontId="32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4" fillId="5" borderId="0" xfId="25" applyFont="1" applyFill="1" applyAlignment="1">
      <alignment horizontal="center" vertical="center"/>
    </xf>
    <xf numFmtId="0" fontId="35" fillId="0" borderId="0" xfId="28" applyFont="1" applyAlignment="1">
      <alignment horizontal="right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185" fontId="36" fillId="0" borderId="34" xfId="28" quotePrefix="1" applyNumberFormat="1" applyFont="1" applyBorder="1" applyAlignment="1">
      <alignment horizontal="center" vertical="center"/>
    </xf>
    <xf numFmtId="177" fontId="38" fillId="5" borderId="34" xfId="13" applyFont="1" applyFill="1" applyBorder="1" applyAlignment="1">
      <alignment vertical="center"/>
    </xf>
    <xf numFmtId="177" fontId="38" fillId="5" borderId="34" xfId="13" applyFont="1" applyFill="1" applyBorder="1" applyAlignment="1">
      <alignment horizontal="center" vertical="center"/>
    </xf>
    <xf numFmtId="188" fontId="37" fillId="10" borderId="34" xfId="13" applyNumberFormat="1" applyFont="1" applyFill="1" applyBorder="1" applyAlignment="1">
      <alignment horizontal="center" vertical="center"/>
    </xf>
    <xf numFmtId="0" fontId="37" fillId="10" borderId="34" xfId="28" applyFont="1" applyFill="1" applyBorder="1" applyAlignment="1">
      <alignment horizontal="center" vertical="center"/>
    </xf>
    <xf numFmtId="189" fontId="37" fillId="10" borderId="34" xfId="13" applyNumberFormat="1" applyFont="1" applyFill="1" applyBorder="1" applyAlignment="1">
      <alignment horizontal="center" vertical="center"/>
    </xf>
    <xf numFmtId="185" fontId="37" fillId="10" borderId="34" xfId="13" applyNumberFormat="1" applyFont="1" applyFill="1" applyBorder="1" applyAlignment="1">
      <alignment horizontal="right" vertical="center" wrapText="1"/>
    </xf>
    <xf numFmtId="185" fontId="37" fillId="10" borderId="34" xfId="13" applyNumberFormat="1" applyFont="1" applyFill="1" applyBorder="1" applyAlignment="1">
      <alignment vertical="center"/>
    </xf>
    <xf numFmtId="0" fontId="37" fillId="10" borderId="34" xfId="28" applyFont="1" applyFill="1" applyBorder="1" applyAlignment="1">
      <alignment horizontal="right" vertical="center"/>
    </xf>
    <xf numFmtId="0" fontId="32" fillId="0" borderId="0" xfId="30" applyFont="1">
      <alignment vertical="center"/>
    </xf>
    <xf numFmtId="0" fontId="39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77" fontId="24" fillId="6" borderId="3" xfId="1" applyFont="1" applyFill="1" applyBorder="1" applyAlignment="1">
      <alignment horizontal="center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40" fillId="0" borderId="3" xfId="0" applyNumberFormat="1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24" fillId="7" borderId="3" xfId="0" applyFont="1" applyFill="1" applyBorder="1" applyAlignment="1">
      <alignment horizontal="center"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6" fontId="36" fillId="10" borderId="36" xfId="13" applyNumberFormat="1" applyFont="1" applyFill="1" applyBorder="1" applyAlignment="1">
      <alignment horizontal="center" vertical="center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 wrapText="1"/>
    </xf>
    <xf numFmtId="177" fontId="42" fillId="5" borderId="3" xfId="1" applyFont="1" applyFill="1" applyBorder="1" applyAlignment="1">
      <alignment horizontal="center" vertical="center"/>
    </xf>
    <xf numFmtId="183" fontId="42" fillId="5" borderId="3" xfId="1" applyNumberFormat="1" applyFont="1" applyFill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/>
    </xf>
    <xf numFmtId="177" fontId="42" fillId="5" borderId="3" xfId="20" applyFont="1" applyFill="1" applyBorder="1" applyAlignment="1">
      <alignment horizontal="center" vertical="center"/>
    </xf>
    <xf numFmtId="183" fontId="42" fillId="5" borderId="3" xfId="20" applyNumberFormat="1" applyFont="1" applyFill="1" applyBorder="1" applyAlignment="1">
      <alignment horizontal="center" vertical="center"/>
    </xf>
    <xf numFmtId="177" fontId="43" fillId="5" borderId="3" xfId="1" applyFont="1" applyFill="1" applyBorder="1" applyAlignment="1">
      <alignment horizontal="center" vertical="center"/>
    </xf>
    <xf numFmtId="177" fontId="44" fillId="0" borderId="3" xfId="1" applyFont="1" applyFill="1" applyBorder="1" applyAlignment="1">
      <alignment horizontal="center" vertical="center"/>
    </xf>
    <xf numFmtId="0" fontId="45" fillId="5" borderId="3" xfId="0" applyFont="1" applyFill="1" applyBorder="1">
      <alignment vertical="center"/>
    </xf>
    <xf numFmtId="177" fontId="46" fillId="5" borderId="3" xfId="1" applyFont="1" applyFill="1" applyBorder="1" applyAlignment="1">
      <alignment horizontal="center" vertical="center" wrapText="1"/>
    </xf>
    <xf numFmtId="184" fontId="46" fillId="5" borderId="3" xfId="0" applyNumberFormat="1" applyFont="1" applyFill="1" applyBorder="1" applyAlignment="1">
      <alignment horizontal="right" vertical="center" wrapText="1"/>
    </xf>
    <xf numFmtId="177" fontId="47" fillId="5" borderId="3" xfId="1" applyFont="1" applyFill="1" applyBorder="1" applyAlignment="1">
      <alignment horizontal="center" vertical="center"/>
    </xf>
    <xf numFmtId="177" fontId="45" fillId="0" borderId="3" xfId="1" applyFont="1" applyFill="1" applyBorder="1" applyAlignment="1">
      <alignment horizontal="center" vertical="center" wrapText="1"/>
    </xf>
    <xf numFmtId="186" fontId="50" fillId="5" borderId="34" xfId="13" applyNumberFormat="1" applyFont="1" applyFill="1" applyBorder="1" applyAlignment="1">
      <alignment vertical="center"/>
    </xf>
    <xf numFmtId="186" fontId="51" fillId="5" borderId="34" xfId="13" applyNumberFormat="1" applyFont="1" applyFill="1" applyBorder="1" applyAlignment="1">
      <alignment horizontal="center" vertical="center"/>
    </xf>
    <xf numFmtId="0" fontId="52" fillId="5" borderId="34" xfId="19" applyFont="1" applyFill="1" applyBorder="1" applyAlignment="1">
      <alignment horizontal="center" vertical="center"/>
    </xf>
    <xf numFmtId="187" fontId="52" fillId="5" borderId="34" xfId="13" applyNumberFormat="1" applyFont="1" applyFill="1" applyBorder="1" applyAlignment="1">
      <alignment horizontal="center" vertical="center"/>
    </xf>
    <xf numFmtId="185" fontId="52" fillId="5" borderId="34" xfId="13" applyNumberFormat="1" applyFont="1" applyFill="1" applyBorder="1" applyAlignment="1">
      <alignment horizontal="right" vertical="center" wrapText="1"/>
    </xf>
    <xf numFmtId="177" fontId="52" fillId="5" borderId="34" xfId="13" applyFont="1" applyFill="1" applyBorder="1" applyAlignment="1">
      <alignment vertical="center"/>
    </xf>
    <xf numFmtId="177" fontId="52" fillId="5" borderId="34" xfId="13" applyFont="1" applyFill="1" applyBorder="1">
      <alignment vertical="center"/>
    </xf>
    <xf numFmtId="185" fontId="52" fillId="5" borderId="34" xfId="19" applyNumberFormat="1" applyFont="1" applyFill="1" applyBorder="1" applyAlignment="1">
      <alignment horizontal="left" vertical="center" wrapText="1"/>
    </xf>
    <xf numFmtId="177" fontId="52" fillId="5" borderId="34" xfId="13" applyFont="1" applyFill="1" applyBorder="1" applyAlignment="1">
      <alignment horizontal="center" vertical="center"/>
    </xf>
    <xf numFmtId="0" fontId="50" fillId="5" borderId="34" xfId="3" applyFont="1" applyFill="1" applyBorder="1" applyAlignment="1">
      <alignment vertical="center"/>
    </xf>
    <xf numFmtId="186" fontId="52" fillId="5" borderId="34" xfId="13" applyNumberFormat="1" applyFont="1" applyFill="1" applyBorder="1" applyAlignment="1">
      <alignment horizontal="center" vertical="center" wrapText="1"/>
    </xf>
    <xf numFmtId="177" fontId="52" fillId="0" borderId="34" xfId="13" applyFont="1" applyFill="1" applyBorder="1" applyAlignment="1">
      <alignment horizontal="center" vertical="center"/>
    </xf>
    <xf numFmtId="178" fontId="52" fillId="0" borderId="34" xfId="5" applyFont="1" applyFill="1" applyBorder="1" applyAlignment="1">
      <alignment vertical="center"/>
    </xf>
    <xf numFmtId="177" fontId="52" fillId="0" borderId="34" xfId="13" applyFont="1" applyFill="1" applyBorder="1" applyAlignment="1">
      <alignment vertical="center"/>
    </xf>
    <xf numFmtId="185" fontId="52" fillId="0" borderId="34" xfId="13" applyNumberFormat="1" applyFont="1" applyFill="1" applyBorder="1" applyAlignment="1">
      <alignment horizontal="right" vertical="center" wrapText="1"/>
    </xf>
    <xf numFmtId="0" fontId="52" fillId="5" borderId="34" xfId="3" applyFont="1" applyFill="1" applyBorder="1" applyAlignment="1">
      <alignment vertical="center"/>
    </xf>
    <xf numFmtId="0" fontId="52" fillId="0" borderId="34" xfId="3" applyFont="1" applyBorder="1" applyAlignment="1">
      <alignment horizontal="center" vertical="center"/>
    </xf>
    <xf numFmtId="177" fontId="53" fillId="5" borderId="34" xfId="13" applyFont="1" applyFill="1" applyBorder="1" applyAlignment="1">
      <alignment vertical="center"/>
    </xf>
    <xf numFmtId="178" fontId="52" fillId="5" borderId="34" xfId="5" applyFont="1" applyFill="1" applyBorder="1" applyAlignment="1">
      <alignment vertical="center"/>
    </xf>
    <xf numFmtId="0" fontId="52" fillId="5" borderId="34" xfId="3" applyFont="1" applyFill="1" applyBorder="1" applyAlignment="1">
      <alignment horizontal="center" vertical="center"/>
    </xf>
    <xf numFmtId="187" fontId="52" fillId="5" borderId="34" xfId="29" applyNumberFormat="1" applyFont="1" applyFill="1" applyBorder="1" applyAlignment="1">
      <alignment horizontal="center" vertical="center"/>
    </xf>
    <xf numFmtId="0" fontId="52" fillId="5" borderId="34" xfId="29" applyNumberFormat="1" applyFont="1" applyFill="1" applyBorder="1" applyAlignment="1">
      <alignment horizontal="center" vertical="center"/>
    </xf>
    <xf numFmtId="49" fontId="41" fillId="7" borderId="3" xfId="0" applyNumberFormat="1" applyFont="1" applyFill="1" applyBorder="1" applyAlignment="1">
      <alignment horizontal="center" vertical="center" wrapText="1"/>
    </xf>
    <xf numFmtId="0" fontId="48" fillId="7" borderId="3" xfId="0" applyFont="1" applyFill="1" applyBorder="1" applyAlignment="1">
      <alignment horizontal="center" vertical="center"/>
    </xf>
    <xf numFmtId="49" fontId="49" fillId="7" borderId="3" xfId="0" applyNumberFormat="1" applyFont="1" applyFill="1" applyBorder="1" applyAlignment="1">
      <alignment horizontal="center" vertical="center"/>
    </xf>
    <xf numFmtId="188" fontId="40" fillId="0" borderId="34" xfId="13" applyNumberFormat="1" applyFont="1" applyBorder="1" applyAlignment="1">
      <alignment horizontal="center" vertical="center"/>
    </xf>
    <xf numFmtId="177" fontId="40" fillId="0" borderId="34" xfId="13" applyFont="1" applyBorder="1" applyAlignment="1">
      <alignment horizontal="center" vertical="center"/>
    </xf>
    <xf numFmtId="187" fontId="40" fillId="0" borderId="34" xfId="13" applyNumberFormat="1" applyFont="1" applyBorder="1" applyAlignment="1">
      <alignment horizontal="center" vertical="center"/>
    </xf>
    <xf numFmtId="185" fontId="40" fillId="5" borderId="34" xfId="13" applyNumberFormat="1" applyFont="1" applyFill="1" applyBorder="1" applyAlignment="1">
      <alignment horizontal="right" vertical="center" wrapText="1"/>
    </xf>
    <xf numFmtId="185" fontId="40" fillId="0" borderId="34" xfId="13" applyNumberFormat="1" applyFont="1" applyBorder="1" applyAlignment="1">
      <alignment horizontal="right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185" fontId="35" fillId="0" borderId="0" xfId="28" applyNumberFormat="1" applyFont="1" applyAlignment="1">
      <alignment horizontal="right" vertical="center"/>
    </xf>
    <xf numFmtId="190" fontId="24" fillId="5" borderId="3" xfId="0" applyNumberFormat="1" applyFont="1" applyFill="1" applyBorder="1" applyAlignment="1">
      <alignment horizontal="right" vertical="center" wrapText="1"/>
    </xf>
    <xf numFmtId="183" fontId="24" fillId="5" borderId="3" xfId="1" applyNumberFormat="1" applyFont="1" applyFill="1" applyBorder="1" applyAlignment="1">
      <alignment horizontal="center" vertical="center"/>
    </xf>
    <xf numFmtId="0" fontId="32" fillId="0" borderId="0" xfId="17" applyFont="1">
      <alignment vertical="center"/>
    </xf>
    <xf numFmtId="0" fontId="33" fillId="0" borderId="0" xfId="17" applyFont="1">
      <alignment vertical="center"/>
    </xf>
    <xf numFmtId="0" fontId="32" fillId="0" borderId="0" xfId="17" applyFont="1" applyAlignment="1">
      <alignment horizontal="center" vertical="center"/>
    </xf>
    <xf numFmtId="0" fontId="57" fillId="0" borderId="0" xfId="17" applyFont="1">
      <alignment vertical="center"/>
    </xf>
    <xf numFmtId="177" fontId="56" fillId="6" borderId="25" xfId="18" applyFont="1" applyFill="1" applyBorder="1" applyAlignment="1">
      <alignment horizontal="center" vertical="center"/>
    </xf>
    <xf numFmtId="177" fontId="56" fillId="6" borderId="40" xfId="18" applyFont="1" applyFill="1" applyBorder="1" applyAlignment="1">
      <alignment horizontal="center" vertical="center"/>
    </xf>
    <xf numFmtId="177" fontId="56" fillId="6" borderId="26" xfId="18" applyFont="1" applyFill="1" applyBorder="1" applyAlignment="1">
      <alignment horizontal="center" vertical="center"/>
    </xf>
    <xf numFmtId="0" fontId="57" fillId="10" borderId="28" xfId="18" applyNumberFormat="1" applyFont="1" applyFill="1" applyBorder="1" applyAlignment="1">
      <alignment horizontal="center" vertical="center"/>
    </xf>
    <xf numFmtId="177" fontId="57" fillId="0" borderId="41" xfId="18" applyFont="1" applyFill="1" applyBorder="1" applyAlignment="1">
      <alignment horizontal="center" vertical="center" shrinkToFit="1"/>
    </xf>
    <xf numFmtId="177" fontId="57" fillId="0" borderId="41" xfId="18" applyFont="1" applyBorder="1" applyAlignment="1">
      <alignment horizontal="center" vertical="center"/>
    </xf>
    <xf numFmtId="0" fontId="57" fillId="10" borderId="29" xfId="17" applyFont="1" applyFill="1" applyBorder="1">
      <alignment vertical="center"/>
    </xf>
    <xf numFmtId="177" fontId="24" fillId="0" borderId="0" xfId="1" applyFont="1" applyBorder="1">
      <alignment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6" fontId="36" fillId="5" borderId="36" xfId="13" applyNumberFormat="1" applyFont="1" applyFill="1" applyBorder="1" applyAlignment="1">
      <alignment vertical="center"/>
    </xf>
    <xf numFmtId="186" fontId="37" fillId="5" borderId="38" xfId="13" applyNumberFormat="1" applyFont="1" applyFill="1" applyBorder="1" applyAlignment="1">
      <alignment vertical="center"/>
    </xf>
    <xf numFmtId="0" fontId="54" fillId="0" borderId="33" xfId="19" applyFont="1" applyBorder="1" applyAlignment="1">
      <alignment horizontal="center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5" xfId="28" quotePrefix="1" applyFont="1" applyBorder="1" applyAlignment="1">
      <alignment horizontal="center" vertical="center"/>
    </xf>
    <xf numFmtId="0" fontId="36" fillId="0" borderId="39" xfId="28" quotePrefix="1" applyFont="1" applyBorder="1" applyAlignment="1">
      <alignment horizontal="center" vertical="center"/>
    </xf>
    <xf numFmtId="0" fontId="36" fillId="0" borderId="34" xfId="28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0" fontId="36" fillId="0" borderId="37" xfId="28" quotePrefix="1" applyFont="1" applyBorder="1" applyAlignment="1">
      <alignment horizontal="center" vertical="center"/>
    </xf>
    <xf numFmtId="0" fontId="36" fillId="0" borderId="36" xfId="28" applyFont="1" applyBorder="1" applyAlignment="1">
      <alignment horizontal="center" vertical="center"/>
    </xf>
    <xf numFmtId="0" fontId="36" fillId="0" borderId="38" xfId="28" quotePrefix="1" applyFont="1" applyBorder="1" applyAlignment="1">
      <alignment horizontal="center" vertical="center"/>
    </xf>
    <xf numFmtId="0" fontId="56" fillId="0" borderId="33" xfId="17" applyFont="1" applyBorder="1">
      <alignment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8</xdr:col>
      <xdr:colOff>640773</xdr:colOff>
      <xdr:row>42</xdr:row>
      <xdr:rowOff>103909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2E3938B-D133-451B-887A-D220E42BDE11}"/>
            </a:ext>
          </a:extLst>
        </xdr:cNvPr>
        <xdr:cNvSpPr/>
      </xdr:nvSpPr>
      <xdr:spPr>
        <a:xfrm>
          <a:off x="0" y="5074227"/>
          <a:ext cx="13542818" cy="4260273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1194954</xdr:colOff>
      <xdr:row>24</xdr:row>
      <xdr:rowOff>69274</xdr:rowOff>
    </xdr:from>
    <xdr:to>
      <xdr:col>7</xdr:col>
      <xdr:colOff>0</xdr:colOff>
      <xdr:row>39</xdr:row>
      <xdr:rowOff>45363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CE6CC64-E177-4F4D-A84D-2CFC9BB5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4954" y="5559138"/>
          <a:ext cx="10979728" cy="3093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I21" sqref="I2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92" t="s">
        <v>6</v>
      </c>
      <c r="B2" s="192"/>
      <c r="C2" s="192"/>
      <c r="D2" s="192"/>
      <c r="E2" s="192"/>
      <c r="F2" s="192"/>
      <c r="G2" s="192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98" t="s">
        <v>147</v>
      </c>
      <c r="B7" s="199"/>
      <c r="C7" s="200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95" t="s">
        <v>173</v>
      </c>
      <c r="B9" s="196"/>
      <c r="C9" s="197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93"/>
      <c r="B11" s="194"/>
      <c r="C11" s="194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일백칠십사만육천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'내역서(표준단가)'!O13</f>
        <v>374009.86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'내역서(표준단가)'!Q13</f>
        <v>1030680.58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'내역서(표준단가)'!S13+'내역서(표준단가)'!U13</f>
        <v>106003.25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1510693.69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46380.626099999994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36537.626560999997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4731.6226396494994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10409.873857999999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36692.228647999997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41157.429892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60329.499384932482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236238.90708358199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1746932.5970835818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1746000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Q7" sqref="Q7:R13"/>
    </sheetView>
  </sheetViews>
  <sheetFormatPr defaultColWidth="9" defaultRowHeight="12.75"/>
  <cols>
    <col min="1" max="1" width="17.5" style="119" bestFit="1" customWidth="1"/>
    <col min="2" max="5" width="18.5" style="119" hidden="1" customWidth="1"/>
    <col min="6" max="9" width="15.625" style="91" hidden="1" customWidth="1"/>
    <col min="10" max="10" width="37.625" style="91" bestFit="1" customWidth="1"/>
    <col min="11" max="11" width="25" style="91" bestFit="1" customWidth="1"/>
    <col min="12" max="12" width="9.625" style="91" bestFit="1" customWidth="1"/>
    <col min="13" max="13" width="7.125" style="91" bestFit="1" customWidth="1"/>
    <col min="14" max="14" width="10.25" style="91" bestFit="1" customWidth="1"/>
    <col min="15" max="15" width="13.125" style="91" bestFit="1" customWidth="1"/>
    <col min="16" max="16" width="6.875" style="91" bestFit="1" customWidth="1"/>
    <col min="17" max="17" width="15.5" style="91" bestFit="1" customWidth="1"/>
    <col min="18" max="18" width="10.25" style="91" customWidth="1"/>
    <col min="19" max="19" width="11.75" style="91" customWidth="1"/>
    <col min="20" max="20" width="10" style="91" customWidth="1"/>
    <col min="21" max="21" width="11.75" style="91" customWidth="1"/>
    <col min="22" max="22" width="15.5" style="91" bestFit="1" customWidth="1"/>
    <col min="23" max="23" width="10.625" style="92" bestFit="1" customWidth="1"/>
    <col min="24" max="24" width="8.5" style="91" bestFit="1" customWidth="1"/>
    <col min="25" max="16384" width="9" style="91"/>
  </cols>
  <sheetData>
    <row r="1" spans="1:24" ht="19.899999999999999" customHeight="1">
      <c r="A1" s="201"/>
      <c r="B1" s="201"/>
      <c r="C1" s="201"/>
      <c r="D1" s="201"/>
      <c r="E1" s="201"/>
      <c r="F1" s="201"/>
      <c r="G1" s="201"/>
      <c r="H1" s="201"/>
      <c r="I1" s="201"/>
      <c r="N1" s="92"/>
      <c r="O1" s="90" t="s">
        <v>121</v>
      </c>
      <c r="Q1" s="90" t="s">
        <v>121</v>
      </c>
      <c r="S1" s="90" t="s">
        <v>121</v>
      </c>
      <c r="U1" s="90" t="s">
        <v>121</v>
      </c>
    </row>
    <row r="2" spans="1:24" ht="19.899999999999999" customHeight="1" thickBot="1">
      <c r="A2" s="201"/>
      <c r="B2" s="201"/>
      <c r="C2" s="201"/>
      <c r="D2" s="201"/>
      <c r="E2" s="201"/>
      <c r="F2" s="201"/>
      <c r="G2" s="201"/>
      <c r="H2" s="201"/>
      <c r="I2" s="201"/>
      <c r="N2" s="93"/>
      <c r="O2" s="94">
        <v>0.83499999999999996</v>
      </c>
      <c r="Q2" s="94">
        <v>0.83499999999999996</v>
      </c>
      <c r="S2" s="94">
        <v>0.83499999999999996</v>
      </c>
      <c r="U2" s="94">
        <v>0.83499999999999996</v>
      </c>
    </row>
    <row r="3" spans="1:24" ht="19.899999999999999" customHeight="1">
      <c r="A3" s="95"/>
      <c r="B3" s="95"/>
      <c r="C3" s="95"/>
      <c r="D3" s="95"/>
      <c r="E3" s="95"/>
      <c r="F3" s="95" t="s">
        <v>122</v>
      </c>
      <c r="G3" s="96"/>
      <c r="H3" s="96"/>
      <c r="I3" s="96"/>
      <c r="J3" s="210" t="s">
        <v>123</v>
      </c>
      <c r="K3" s="210"/>
      <c r="L3" s="210" t="s">
        <v>52</v>
      </c>
      <c r="M3" s="210" t="s">
        <v>5</v>
      </c>
      <c r="N3" s="206" t="s">
        <v>124</v>
      </c>
      <c r="O3" s="206"/>
      <c r="P3" s="206" t="s">
        <v>125</v>
      </c>
      <c r="Q3" s="206"/>
      <c r="R3" s="207" t="s">
        <v>126</v>
      </c>
      <c r="S3" s="207"/>
      <c r="T3" s="207" t="s">
        <v>127</v>
      </c>
      <c r="U3" s="207"/>
      <c r="V3" s="208" t="s">
        <v>128</v>
      </c>
      <c r="W3" s="204" t="s">
        <v>129</v>
      </c>
      <c r="X3" s="202" t="s">
        <v>46</v>
      </c>
    </row>
    <row r="4" spans="1:24" ht="19.899999999999999" customHeight="1">
      <c r="A4" s="97" t="s">
        <v>130</v>
      </c>
      <c r="B4" s="98"/>
      <c r="C4" s="98"/>
      <c r="D4" s="98"/>
      <c r="E4" s="98"/>
      <c r="F4" s="99" t="s">
        <v>131</v>
      </c>
      <c r="G4" s="99" t="s">
        <v>132</v>
      </c>
      <c r="H4" s="99" t="s">
        <v>133</v>
      </c>
      <c r="I4" s="99" t="s">
        <v>134</v>
      </c>
      <c r="J4" s="100" t="s">
        <v>135</v>
      </c>
      <c r="K4" s="100" t="s">
        <v>136</v>
      </c>
      <c r="L4" s="211"/>
      <c r="M4" s="211"/>
      <c r="N4" s="101" t="s">
        <v>137</v>
      </c>
      <c r="O4" s="102" t="s">
        <v>138</v>
      </c>
      <c r="P4" s="101" t="s">
        <v>139</v>
      </c>
      <c r="Q4" s="102" t="s">
        <v>138</v>
      </c>
      <c r="R4" s="102" t="s">
        <v>140</v>
      </c>
      <c r="S4" s="102" t="s">
        <v>138</v>
      </c>
      <c r="T4" s="102" t="s">
        <v>140</v>
      </c>
      <c r="U4" s="102" t="s">
        <v>138</v>
      </c>
      <c r="V4" s="209"/>
      <c r="W4" s="205"/>
      <c r="X4" s="203"/>
    </row>
    <row r="5" spans="1:24" s="111" customFormat="1" ht="19.899999999999999" customHeight="1">
      <c r="A5" s="103" t="str">
        <f t="shared" ref="A5" si="0">F5&amp;G5&amp;H5&amp;I5</f>
        <v>D02339</v>
      </c>
      <c r="B5" s="104"/>
      <c r="C5" s="104"/>
      <c r="D5" s="104"/>
      <c r="E5" s="104"/>
      <c r="F5" s="166" t="s">
        <v>78</v>
      </c>
      <c r="G5" s="167"/>
      <c r="H5" s="167"/>
      <c r="I5" s="99"/>
      <c r="J5" s="130" t="s">
        <v>149</v>
      </c>
      <c r="K5" s="130" t="s">
        <v>77</v>
      </c>
      <c r="L5" s="131" t="s">
        <v>141</v>
      </c>
      <c r="M5" s="132">
        <v>12</v>
      </c>
      <c r="N5" s="139"/>
      <c r="O5" s="106">
        <f t="shared" ref="O5" si="1">SUM(N5:N5)*M5*$O$2</f>
        <v>0</v>
      </c>
      <c r="P5" s="141">
        <v>24278</v>
      </c>
      <c r="Q5" s="106">
        <f t="shared" ref="Q5" si="2">(P5*M5)*$Q$2</f>
        <v>243265.56</v>
      </c>
      <c r="R5" s="143"/>
      <c r="S5" s="106">
        <f t="shared" ref="S5" si="3">R5*M5*$S$2</f>
        <v>0</v>
      </c>
      <c r="T5" s="143"/>
      <c r="U5" s="106">
        <f t="shared" ref="U5" si="4">T5*M5*$U$2</f>
        <v>0</v>
      </c>
      <c r="V5" s="108">
        <f t="shared" ref="V5" si="5">SUM(O5+Q5)+S5+U5</f>
        <v>243265.56</v>
      </c>
      <c r="W5" s="109"/>
      <c r="X5" s="110"/>
    </row>
    <row r="6" spans="1:24" s="111" customFormat="1" ht="19.899999999999999" customHeight="1">
      <c r="A6" s="103" t="str">
        <f t="shared" ref="A6:A11" si="6">F6&amp;G6&amp;H6&amp;I6</f>
        <v>M011902400300101</v>
      </c>
      <c r="B6" s="104"/>
      <c r="C6" s="104"/>
      <c r="D6" s="104"/>
      <c r="E6" s="104"/>
      <c r="F6" s="166"/>
      <c r="G6" s="167"/>
      <c r="H6" s="168" t="s">
        <v>120</v>
      </c>
      <c r="I6" s="99"/>
      <c r="J6" s="133" t="s">
        <v>171</v>
      </c>
      <c r="K6" s="133" t="s">
        <v>119</v>
      </c>
      <c r="L6" s="134" t="s">
        <v>142</v>
      </c>
      <c r="M6" s="132">
        <v>24</v>
      </c>
      <c r="N6" s="140">
        <v>5900</v>
      </c>
      <c r="O6" s="106">
        <f t="shared" ref="O6:O11" si="7">SUM(N6:N6)*M6*$O$2</f>
        <v>118236</v>
      </c>
      <c r="P6" s="142"/>
      <c r="Q6" s="106">
        <f t="shared" ref="Q6:Q12" si="8">(P6*M6)*$Q$2</f>
        <v>0</v>
      </c>
      <c r="R6" s="143"/>
      <c r="S6" s="106">
        <f t="shared" ref="S6:S12" si="9">R6*M6*$S$2</f>
        <v>0</v>
      </c>
      <c r="T6" s="143"/>
      <c r="U6" s="106">
        <f t="shared" ref="U6:U12" si="10">T6*M6*$U$2</f>
        <v>0</v>
      </c>
      <c r="V6" s="108">
        <f t="shared" ref="V6:V12" si="11">SUM(O6+Q6)+S6+U6</f>
        <v>118236</v>
      </c>
      <c r="W6" s="109"/>
      <c r="X6" s="110"/>
    </row>
    <row r="7" spans="1:24" s="111" customFormat="1" ht="19.899999999999999" customHeight="1">
      <c r="A7" s="103" t="str">
        <f t="shared" si="6"/>
        <v>D02620</v>
      </c>
      <c r="B7" s="104"/>
      <c r="C7" s="104"/>
      <c r="D7" s="104"/>
      <c r="E7" s="104"/>
      <c r="F7" s="166" t="s">
        <v>112</v>
      </c>
      <c r="G7" s="167"/>
      <c r="H7" s="167"/>
      <c r="I7" s="99"/>
      <c r="J7" s="130" t="s">
        <v>115</v>
      </c>
      <c r="K7" s="130" t="s">
        <v>116</v>
      </c>
      <c r="L7" s="135" t="s">
        <v>142</v>
      </c>
      <c r="M7" s="136">
        <v>48</v>
      </c>
      <c r="N7" s="141">
        <v>125</v>
      </c>
      <c r="O7" s="106">
        <f t="shared" si="7"/>
        <v>5010</v>
      </c>
      <c r="P7" s="141">
        <v>14590</v>
      </c>
      <c r="Q7" s="106">
        <f t="shared" si="8"/>
        <v>584767.19999999995</v>
      </c>
      <c r="R7" s="143"/>
      <c r="S7" s="106">
        <f t="shared" si="9"/>
        <v>0</v>
      </c>
      <c r="T7" s="143"/>
      <c r="U7" s="106">
        <f t="shared" si="10"/>
        <v>0</v>
      </c>
      <c r="V7" s="108">
        <f t="shared" si="11"/>
        <v>589777.19999999995</v>
      </c>
      <c r="W7" s="109"/>
      <c r="X7" s="110"/>
    </row>
    <row r="8" spans="1:24" s="111" customFormat="1" ht="19.899999999999999" customHeight="1">
      <c r="A8" s="103" t="str">
        <f t="shared" si="6"/>
        <v>D02639</v>
      </c>
      <c r="B8" s="104"/>
      <c r="C8" s="104"/>
      <c r="D8" s="104"/>
      <c r="E8" s="104"/>
      <c r="F8" s="166" t="s">
        <v>113</v>
      </c>
      <c r="G8" s="167"/>
      <c r="H8" s="167"/>
      <c r="I8" s="99"/>
      <c r="J8" s="130" t="s">
        <v>117</v>
      </c>
      <c r="K8" s="130" t="s">
        <v>118</v>
      </c>
      <c r="L8" s="135" t="s">
        <v>84</v>
      </c>
      <c r="M8" s="136">
        <v>26</v>
      </c>
      <c r="N8" s="141">
        <v>2966</v>
      </c>
      <c r="O8" s="106">
        <f t="shared" si="7"/>
        <v>64391.86</v>
      </c>
      <c r="P8" s="141">
        <v>3158</v>
      </c>
      <c r="Q8" s="106">
        <f t="shared" si="8"/>
        <v>68560.179999999993</v>
      </c>
      <c r="R8" s="143"/>
      <c r="S8" s="106">
        <f t="shared" si="9"/>
        <v>0</v>
      </c>
      <c r="T8" s="143"/>
      <c r="U8" s="106">
        <f t="shared" si="10"/>
        <v>0</v>
      </c>
      <c r="V8" s="108">
        <f t="shared" si="11"/>
        <v>132952.03999999998</v>
      </c>
      <c r="W8" s="109"/>
      <c r="X8" s="110"/>
    </row>
    <row r="9" spans="1:24" s="111" customFormat="1" ht="19.899999999999999" customHeight="1">
      <c r="A9" s="103" t="str">
        <f t="shared" si="6"/>
        <v>M011902401200101</v>
      </c>
      <c r="B9" s="104"/>
      <c r="C9" s="104"/>
      <c r="D9" s="104"/>
      <c r="E9" s="104"/>
      <c r="F9" s="166"/>
      <c r="G9" s="167"/>
      <c r="H9" s="168" t="s">
        <v>114</v>
      </c>
      <c r="I9" s="99"/>
      <c r="J9" s="133" t="s">
        <v>172</v>
      </c>
      <c r="K9" s="133" t="s">
        <v>143</v>
      </c>
      <c r="L9" s="134" t="s">
        <v>142</v>
      </c>
      <c r="M9" s="132">
        <v>24</v>
      </c>
      <c r="N9" s="140">
        <v>8000</v>
      </c>
      <c r="O9" s="106">
        <f t="shared" si="7"/>
        <v>160320</v>
      </c>
      <c r="P9" s="141"/>
      <c r="Q9" s="106">
        <f t="shared" si="8"/>
        <v>0</v>
      </c>
      <c r="R9" s="143"/>
      <c r="S9" s="106">
        <f t="shared" si="9"/>
        <v>0</v>
      </c>
      <c r="T9" s="143"/>
      <c r="U9" s="106">
        <f t="shared" si="10"/>
        <v>0</v>
      </c>
      <c r="V9" s="108">
        <f t="shared" si="11"/>
        <v>160320</v>
      </c>
      <c r="W9" s="109"/>
      <c r="X9" s="110"/>
    </row>
    <row r="10" spans="1:24" s="111" customFormat="1" ht="19.899999999999999" customHeight="1">
      <c r="A10" s="103" t="str">
        <f t="shared" si="6"/>
        <v>D02641</v>
      </c>
      <c r="B10" s="104"/>
      <c r="C10" s="104"/>
      <c r="D10" s="104"/>
      <c r="E10" s="104"/>
      <c r="F10" s="105" t="s">
        <v>155</v>
      </c>
      <c r="G10" s="112"/>
      <c r="H10" s="112"/>
      <c r="I10" s="105"/>
      <c r="J10" s="174" t="s">
        <v>156</v>
      </c>
      <c r="K10" s="174" t="s">
        <v>157</v>
      </c>
      <c r="L10" s="174" t="s">
        <v>158</v>
      </c>
      <c r="M10" s="132">
        <v>24</v>
      </c>
      <c r="N10" s="175"/>
      <c r="O10" s="106">
        <f t="shared" si="7"/>
        <v>0</v>
      </c>
      <c r="P10" s="176">
        <v>6691</v>
      </c>
      <c r="Q10" s="106">
        <f t="shared" si="8"/>
        <v>134087.63999999998</v>
      </c>
      <c r="R10" s="107"/>
      <c r="S10" s="106">
        <f t="shared" si="9"/>
        <v>0</v>
      </c>
      <c r="T10" s="107"/>
      <c r="U10" s="106">
        <f t="shared" si="10"/>
        <v>0</v>
      </c>
      <c r="V10" s="107">
        <f t="shared" si="11"/>
        <v>134087.63999999998</v>
      </c>
      <c r="W10" s="109"/>
      <c r="X10" s="110"/>
    </row>
    <row r="11" spans="1:24" s="111" customFormat="1" ht="19.899999999999999" customHeight="1">
      <c r="A11" s="103" t="str">
        <f t="shared" si="6"/>
        <v/>
      </c>
      <c r="B11" s="104"/>
      <c r="C11" s="104"/>
      <c r="D11" s="104"/>
      <c r="E11" s="104"/>
      <c r="F11" s="166"/>
      <c r="G11" s="167"/>
      <c r="H11" s="167"/>
      <c r="I11" s="99"/>
      <c r="J11" s="137" t="s">
        <v>82</v>
      </c>
      <c r="K11" s="137" t="s">
        <v>83</v>
      </c>
      <c r="L11" s="138" t="s">
        <v>81</v>
      </c>
      <c r="M11" s="132">
        <v>0.5</v>
      </c>
      <c r="N11" s="139"/>
      <c r="O11" s="106">
        <f t="shared" si="7"/>
        <v>0</v>
      </c>
      <c r="P11" s="141"/>
      <c r="Q11" s="106">
        <f t="shared" si="8"/>
        <v>0</v>
      </c>
      <c r="R11" s="143">
        <v>40900</v>
      </c>
      <c r="S11" s="106">
        <f t="shared" si="9"/>
        <v>17075.75</v>
      </c>
      <c r="T11" s="143">
        <v>213000</v>
      </c>
      <c r="U11" s="106">
        <f t="shared" si="10"/>
        <v>88927.5</v>
      </c>
      <c r="V11" s="108">
        <f t="shared" si="11"/>
        <v>106003.25</v>
      </c>
      <c r="W11" s="109"/>
      <c r="X11" s="110"/>
    </row>
    <row r="12" spans="1:24" s="111" customFormat="1" ht="19.899999999999999" customHeight="1">
      <c r="A12" s="103"/>
      <c r="B12" s="104"/>
      <c r="C12" s="104"/>
      <c r="D12" s="104"/>
      <c r="E12" s="104"/>
      <c r="F12" s="105"/>
      <c r="G12" s="112"/>
      <c r="H12" s="112"/>
      <c r="I12" s="105"/>
      <c r="J12" s="174" t="str">
        <f>"시중가_"&amp;K12&amp;")"</f>
        <v>시중가_합지벽지(LG하우시스 휘앙세))</v>
      </c>
      <c r="K12" s="174" t="s">
        <v>159</v>
      </c>
      <c r="L12" s="174" t="s">
        <v>158</v>
      </c>
      <c r="M12" s="132">
        <v>24</v>
      </c>
      <c r="N12" s="175">
        <v>1300</v>
      </c>
      <c r="O12" s="106">
        <f t="shared" ref="O12" si="12">SUM(N12:N12)*M12*$O$2</f>
        <v>26052</v>
      </c>
      <c r="P12" s="178"/>
      <c r="Q12" s="106">
        <f t="shared" si="8"/>
        <v>0</v>
      </c>
      <c r="R12" s="107"/>
      <c r="S12" s="106">
        <f t="shared" si="9"/>
        <v>0</v>
      </c>
      <c r="T12" s="107"/>
      <c r="U12" s="106">
        <f t="shared" si="10"/>
        <v>0</v>
      </c>
      <c r="V12" s="107">
        <f t="shared" si="11"/>
        <v>26052</v>
      </c>
      <c r="W12" s="179"/>
      <c r="X12" s="110"/>
    </row>
    <row r="13" spans="1:24" s="114" customFormat="1" ht="19.899999999999999" customHeight="1">
      <c r="A13" s="113"/>
      <c r="B13" s="113"/>
      <c r="C13" s="113"/>
      <c r="D13" s="113"/>
      <c r="E13" s="113"/>
      <c r="O13" s="115">
        <f>SUM(O5:O12)</f>
        <v>374009.86</v>
      </c>
      <c r="P13" s="116"/>
      <c r="Q13" s="115">
        <f>SUM(Q5:Q12)</f>
        <v>1030680.58</v>
      </c>
      <c r="R13" s="116"/>
      <c r="S13" s="115">
        <f>SUM(S5:S12)</f>
        <v>17075.75</v>
      </c>
      <c r="T13" s="116"/>
      <c r="U13" s="115">
        <f>SUM(U5:U12)</f>
        <v>88927.5</v>
      </c>
      <c r="V13" s="117">
        <f>SUM(V5:V12)</f>
        <v>1510693.69</v>
      </c>
      <c r="W13" s="11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P19"/>
  <sheetViews>
    <sheetView zoomScaleNormal="100" workbookViewId="0">
      <selection activeCell="A11" sqref="A11"/>
    </sheetView>
  </sheetViews>
  <sheetFormatPr defaultColWidth="9" defaultRowHeight="16.5"/>
  <cols>
    <col min="1" max="1" width="22.625" style="86" customWidth="1"/>
    <col min="2" max="2" width="27.625" style="86" customWidth="1"/>
    <col min="3" max="3" width="5.75" style="86" customWidth="1"/>
    <col min="4" max="4" width="5.25" style="86" customWidth="1"/>
    <col min="5" max="14" width="10.625" style="86" customWidth="1"/>
    <col min="15" max="16384" width="9" style="87"/>
  </cols>
  <sheetData>
    <row r="1" spans="1:16" s="74" customFormat="1" ht="26.25" customHeight="1">
      <c r="A1" s="214" t="s">
        <v>85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6" s="74" customFormat="1" ht="20.100000000000001" customHeight="1">
      <c r="A2" s="215" t="s">
        <v>86</v>
      </c>
      <c r="B2" s="215" t="s">
        <v>87</v>
      </c>
      <c r="C2" s="216" t="s">
        <v>52</v>
      </c>
      <c r="D2" s="216" t="s">
        <v>88</v>
      </c>
      <c r="E2" s="218" t="s">
        <v>89</v>
      </c>
      <c r="F2" s="215"/>
      <c r="G2" s="219" t="s">
        <v>90</v>
      </c>
      <c r="H2" s="220"/>
      <c r="I2" s="221" t="s">
        <v>91</v>
      </c>
      <c r="J2" s="220"/>
      <c r="K2" s="221" t="s">
        <v>92</v>
      </c>
      <c r="L2" s="220"/>
      <c r="M2" s="221" t="s">
        <v>93</v>
      </c>
      <c r="N2" s="222"/>
    </row>
    <row r="3" spans="1:16" s="74" customFormat="1" ht="20.100000000000001" customHeight="1">
      <c r="A3" s="215"/>
      <c r="B3" s="215"/>
      <c r="C3" s="217"/>
      <c r="D3" s="217"/>
      <c r="E3" s="75" t="s">
        <v>94</v>
      </c>
      <c r="F3" s="75" t="s">
        <v>95</v>
      </c>
      <c r="G3" s="77" t="s">
        <v>94</v>
      </c>
      <c r="H3" s="76" t="s">
        <v>95</v>
      </c>
      <c r="I3" s="77" t="s">
        <v>94</v>
      </c>
      <c r="J3" s="76" t="s">
        <v>95</v>
      </c>
      <c r="K3" s="77" t="s">
        <v>94</v>
      </c>
      <c r="L3" s="76" t="s">
        <v>95</v>
      </c>
      <c r="M3" s="77" t="s">
        <v>94</v>
      </c>
      <c r="N3" s="75" t="s">
        <v>95</v>
      </c>
    </row>
    <row r="4" spans="1:16" s="74" customFormat="1" ht="20.100000000000001" customHeight="1">
      <c r="A4" s="212" t="s">
        <v>148</v>
      </c>
      <c r="B4" s="213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>
        <f>F4+H4+J4+L4</f>
        <v>0</v>
      </c>
    </row>
    <row r="5" spans="1:16" s="74" customFormat="1" ht="20.100000000000001" customHeight="1">
      <c r="A5" s="144" t="s">
        <v>96</v>
      </c>
      <c r="B5" s="145" t="s">
        <v>150</v>
      </c>
      <c r="C5" s="146" t="s">
        <v>97</v>
      </c>
      <c r="D5" s="147">
        <v>12</v>
      </c>
      <c r="E5" s="148"/>
      <c r="F5" s="149">
        <f t="shared" ref="F5:F11" si="0">D5*E5</f>
        <v>0</v>
      </c>
      <c r="G5" s="150">
        <v>20272</v>
      </c>
      <c r="H5" s="148">
        <f>D5*G5</f>
        <v>243264</v>
      </c>
      <c r="I5" s="148"/>
      <c r="J5" s="151"/>
      <c r="K5" s="148"/>
      <c r="L5" s="151"/>
      <c r="M5" s="152"/>
      <c r="N5" s="152">
        <f t="shared" ref="N5:N18" si="1">F5+H5+J5+L5</f>
        <v>243264</v>
      </c>
    </row>
    <row r="6" spans="1:16" s="74" customFormat="1" ht="20.100000000000001" customHeight="1">
      <c r="A6" s="153" t="s">
        <v>98</v>
      </c>
      <c r="B6" s="154" t="s">
        <v>144</v>
      </c>
      <c r="C6" s="155"/>
      <c r="D6" s="147"/>
      <c r="E6" s="156"/>
      <c r="F6" s="157">
        <f t="shared" si="0"/>
        <v>0</v>
      </c>
      <c r="G6" s="157"/>
      <c r="H6" s="158">
        <f t="shared" ref="H6" si="2">D6*G6</f>
        <v>0</v>
      </c>
      <c r="I6" s="157"/>
      <c r="J6" s="157"/>
      <c r="K6" s="157"/>
      <c r="L6" s="157"/>
      <c r="M6" s="155"/>
      <c r="N6" s="152">
        <f t="shared" si="1"/>
        <v>0</v>
      </c>
    </row>
    <row r="7" spans="1:16" s="74" customFormat="1" ht="20.100000000000001" customHeight="1">
      <c r="A7" s="159" t="s">
        <v>99</v>
      </c>
      <c r="B7" s="160" t="s">
        <v>100</v>
      </c>
      <c r="C7" s="160" t="s">
        <v>101</v>
      </c>
      <c r="D7" s="147">
        <v>14</v>
      </c>
      <c r="E7" s="149">
        <v>4927</v>
      </c>
      <c r="F7" s="149">
        <f t="shared" si="0"/>
        <v>68978</v>
      </c>
      <c r="G7" s="149"/>
      <c r="H7" s="148"/>
      <c r="I7" s="161"/>
      <c r="J7" s="149"/>
      <c r="K7" s="161"/>
      <c r="L7" s="149"/>
      <c r="M7" s="152"/>
      <c r="N7" s="152">
        <f t="shared" si="1"/>
        <v>68978</v>
      </c>
    </row>
    <row r="8" spans="1:16" s="74" customFormat="1" ht="20.100000000000001" customHeight="1">
      <c r="A8" s="159" t="s">
        <v>102</v>
      </c>
      <c r="B8" s="160" t="s">
        <v>103</v>
      </c>
      <c r="C8" s="160" t="s">
        <v>101</v>
      </c>
      <c r="D8" s="147">
        <v>14</v>
      </c>
      <c r="E8" s="162">
        <v>6680</v>
      </c>
      <c r="F8" s="149">
        <f t="shared" si="0"/>
        <v>93520</v>
      </c>
      <c r="G8" s="149"/>
      <c r="H8" s="148">
        <f t="shared" ref="H8:H11" si="3">D8*G8</f>
        <v>0</v>
      </c>
      <c r="I8" s="161"/>
      <c r="J8" s="149"/>
      <c r="K8" s="161"/>
      <c r="L8" s="149"/>
      <c r="M8" s="152"/>
      <c r="N8" s="152">
        <f t="shared" si="1"/>
        <v>93520</v>
      </c>
    </row>
    <row r="9" spans="1:16" s="74" customFormat="1" ht="20.100000000000001" customHeight="1">
      <c r="A9" s="159" t="s">
        <v>104</v>
      </c>
      <c r="B9" s="160" t="s">
        <v>105</v>
      </c>
      <c r="C9" s="160" t="s">
        <v>101</v>
      </c>
      <c r="D9" s="147">
        <v>28</v>
      </c>
      <c r="E9" s="149">
        <v>104</v>
      </c>
      <c r="F9" s="149">
        <f t="shared" si="0"/>
        <v>2912</v>
      </c>
      <c r="G9" s="149">
        <v>12183</v>
      </c>
      <c r="H9" s="148">
        <f t="shared" si="3"/>
        <v>341124</v>
      </c>
      <c r="I9" s="161"/>
      <c r="J9" s="149"/>
      <c r="K9" s="161"/>
      <c r="L9" s="149"/>
      <c r="M9" s="152"/>
      <c r="N9" s="152">
        <f t="shared" si="1"/>
        <v>344036</v>
      </c>
    </row>
    <row r="10" spans="1:16" s="74" customFormat="1" ht="20.100000000000001" customHeight="1">
      <c r="A10" s="159" t="s">
        <v>106</v>
      </c>
      <c r="B10" s="160" t="s">
        <v>107</v>
      </c>
      <c r="C10" s="155" t="s">
        <v>108</v>
      </c>
      <c r="D10" s="147">
        <v>14</v>
      </c>
      <c r="E10" s="162">
        <v>2477</v>
      </c>
      <c r="F10" s="149">
        <f t="shared" si="0"/>
        <v>34678</v>
      </c>
      <c r="G10" s="149">
        <v>2637</v>
      </c>
      <c r="H10" s="148">
        <f t="shared" si="3"/>
        <v>36918</v>
      </c>
      <c r="I10" s="161"/>
      <c r="J10" s="149"/>
      <c r="K10" s="161"/>
      <c r="L10" s="149"/>
      <c r="M10" s="152"/>
      <c r="N10" s="152">
        <f t="shared" si="1"/>
        <v>71596</v>
      </c>
    </row>
    <row r="11" spans="1:16" s="74" customFormat="1" ht="20.100000000000001" customHeight="1">
      <c r="A11" s="159" t="s">
        <v>153</v>
      </c>
      <c r="B11" s="169" t="s">
        <v>152</v>
      </c>
      <c r="C11" s="170" t="s">
        <v>97</v>
      </c>
      <c r="D11" s="171">
        <v>14</v>
      </c>
      <c r="E11" s="172">
        <v>1086</v>
      </c>
      <c r="F11" s="173">
        <f t="shared" si="0"/>
        <v>15204</v>
      </c>
      <c r="G11" s="173">
        <v>5587</v>
      </c>
      <c r="H11" s="172">
        <f t="shared" si="3"/>
        <v>78218</v>
      </c>
      <c r="I11" s="172"/>
      <c r="J11" s="172"/>
      <c r="K11" s="173"/>
      <c r="L11" s="173"/>
      <c r="M11" s="173"/>
      <c r="N11" s="173">
        <f>F11+H11+J11+L11</f>
        <v>93422</v>
      </c>
      <c r="P11" s="177"/>
    </row>
    <row r="12" spans="1:16" s="74" customFormat="1" ht="20.100000000000001" customHeight="1">
      <c r="A12" s="144" t="s">
        <v>145</v>
      </c>
      <c r="B12" s="154" t="s">
        <v>146</v>
      </c>
      <c r="C12" s="146"/>
      <c r="D12" s="147"/>
      <c r="E12" s="162"/>
      <c r="F12" s="149"/>
      <c r="G12" s="149"/>
      <c r="H12" s="148"/>
      <c r="I12" s="161"/>
      <c r="J12" s="149"/>
      <c r="K12" s="161"/>
      <c r="L12" s="149"/>
      <c r="M12" s="152"/>
      <c r="N12" s="152"/>
    </row>
    <row r="13" spans="1:16" s="74" customFormat="1" ht="20.100000000000001" customHeight="1">
      <c r="A13" s="159" t="s">
        <v>99</v>
      </c>
      <c r="B13" s="163" t="s">
        <v>100</v>
      </c>
      <c r="C13" s="163" t="s">
        <v>101</v>
      </c>
      <c r="D13" s="164">
        <v>10</v>
      </c>
      <c r="E13" s="149">
        <v>4927</v>
      </c>
      <c r="F13" s="149">
        <f t="shared" ref="F13:F17" si="4">D13*E13</f>
        <v>49270</v>
      </c>
      <c r="G13" s="149"/>
      <c r="H13" s="148"/>
      <c r="I13" s="161"/>
      <c r="J13" s="149"/>
      <c r="K13" s="161"/>
      <c r="L13" s="149"/>
      <c r="M13" s="152"/>
      <c r="N13" s="152">
        <f t="shared" ref="N13:N17" si="5">F13+H13+J13+L13</f>
        <v>49270</v>
      </c>
    </row>
    <row r="14" spans="1:16" s="74" customFormat="1" ht="20.100000000000001" customHeight="1">
      <c r="A14" s="159" t="s">
        <v>102</v>
      </c>
      <c r="B14" s="163" t="s">
        <v>109</v>
      </c>
      <c r="C14" s="163" t="s">
        <v>101</v>
      </c>
      <c r="D14" s="164">
        <v>10</v>
      </c>
      <c r="E14" s="162">
        <v>6680</v>
      </c>
      <c r="F14" s="149">
        <f t="shared" si="4"/>
        <v>66800</v>
      </c>
      <c r="G14" s="149"/>
      <c r="H14" s="148">
        <f t="shared" ref="H14:H17" si="6">D14*G14</f>
        <v>0</v>
      </c>
      <c r="I14" s="161"/>
      <c r="J14" s="149"/>
      <c r="K14" s="161"/>
      <c r="L14" s="149"/>
      <c r="M14" s="152"/>
      <c r="N14" s="152">
        <f t="shared" si="5"/>
        <v>66800</v>
      </c>
    </row>
    <row r="15" spans="1:16" s="74" customFormat="1" ht="20.100000000000001" customHeight="1">
      <c r="A15" s="159" t="s">
        <v>104</v>
      </c>
      <c r="B15" s="160" t="s">
        <v>105</v>
      </c>
      <c r="C15" s="163" t="s">
        <v>101</v>
      </c>
      <c r="D15" s="164">
        <v>20</v>
      </c>
      <c r="E15" s="149">
        <v>104</v>
      </c>
      <c r="F15" s="149">
        <f t="shared" si="4"/>
        <v>2080</v>
      </c>
      <c r="G15" s="149">
        <v>12183</v>
      </c>
      <c r="H15" s="148">
        <f t="shared" si="6"/>
        <v>243660</v>
      </c>
      <c r="I15" s="161"/>
      <c r="J15" s="149"/>
      <c r="K15" s="161"/>
      <c r="L15" s="149"/>
      <c r="M15" s="152"/>
      <c r="N15" s="152">
        <f t="shared" si="5"/>
        <v>245740</v>
      </c>
    </row>
    <row r="16" spans="1:16" s="74" customFormat="1" ht="20.100000000000001" customHeight="1">
      <c r="A16" s="159" t="s">
        <v>106</v>
      </c>
      <c r="B16" s="163" t="s">
        <v>107</v>
      </c>
      <c r="C16" s="152" t="s">
        <v>108</v>
      </c>
      <c r="D16" s="147">
        <v>12</v>
      </c>
      <c r="E16" s="162">
        <v>2477</v>
      </c>
      <c r="F16" s="149">
        <f t="shared" si="4"/>
        <v>29724</v>
      </c>
      <c r="G16" s="149">
        <v>2637</v>
      </c>
      <c r="H16" s="148">
        <f t="shared" si="6"/>
        <v>31644</v>
      </c>
      <c r="I16" s="161"/>
      <c r="J16" s="149"/>
      <c r="K16" s="161"/>
      <c r="L16" s="149"/>
      <c r="M16" s="152"/>
      <c r="N16" s="152">
        <f t="shared" si="5"/>
        <v>61368</v>
      </c>
    </row>
    <row r="17" spans="1:14" s="74" customFormat="1" ht="20.100000000000001" customHeight="1">
      <c r="A17" s="159" t="s">
        <v>153</v>
      </c>
      <c r="B17" s="169" t="s">
        <v>154</v>
      </c>
      <c r="C17" s="170" t="s">
        <v>97</v>
      </c>
      <c r="D17" s="171">
        <v>10</v>
      </c>
      <c r="E17" s="172">
        <v>1086</v>
      </c>
      <c r="F17" s="173">
        <f t="shared" si="4"/>
        <v>10860</v>
      </c>
      <c r="G17" s="173">
        <v>5587</v>
      </c>
      <c r="H17" s="172">
        <f t="shared" si="6"/>
        <v>55870</v>
      </c>
      <c r="I17" s="172"/>
      <c r="J17" s="172"/>
      <c r="K17" s="173"/>
      <c r="L17" s="173"/>
      <c r="M17" s="173"/>
      <c r="N17" s="173">
        <f t="shared" si="5"/>
        <v>66730</v>
      </c>
    </row>
    <row r="18" spans="1:14" s="74" customFormat="1" ht="20.100000000000001" customHeight="1">
      <c r="A18" s="153" t="s">
        <v>151</v>
      </c>
      <c r="B18" s="163" t="s">
        <v>110</v>
      </c>
      <c r="C18" s="163" t="s">
        <v>111</v>
      </c>
      <c r="D18" s="165">
        <v>0.5</v>
      </c>
      <c r="E18" s="149"/>
      <c r="F18" s="149"/>
      <c r="G18" s="149"/>
      <c r="H18" s="148"/>
      <c r="I18" s="149">
        <v>34151.5</v>
      </c>
      <c r="J18" s="149">
        <f>D18*I18</f>
        <v>17075.75</v>
      </c>
      <c r="K18" s="149">
        <v>177855</v>
      </c>
      <c r="L18" s="149">
        <f>D18*K18</f>
        <v>88927.5</v>
      </c>
      <c r="M18" s="152"/>
      <c r="N18" s="152">
        <f t="shared" si="1"/>
        <v>106003.25</v>
      </c>
    </row>
    <row r="19" spans="1:14" s="74" customFormat="1" ht="20.100000000000001" customHeight="1">
      <c r="A19" s="120" t="s">
        <v>93</v>
      </c>
      <c r="B19" s="80"/>
      <c r="C19" s="81"/>
      <c r="D19" s="82"/>
      <c r="E19" s="83"/>
      <c r="F19" s="84">
        <f>SUM(F5:F18)</f>
        <v>374026</v>
      </c>
      <c r="G19" s="83"/>
      <c r="H19" s="84">
        <f>SUM(H5:H18)</f>
        <v>1030698</v>
      </c>
      <c r="I19" s="83"/>
      <c r="J19" s="84">
        <f>SUM(J5:J18)</f>
        <v>17075.75</v>
      </c>
      <c r="K19" s="83"/>
      <c r="L19" s="84">
        <f>SUM(L5:L18)</f>
        <v>88927.5</v>
      </c>
      <c r="M19" s="85"/>
      <c r="N19" s="84">
        <f>F19+H19+J19+L19</f>
        <v>1510727.25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22"/>
  <sheetViews>
    <sheetView zoomScale="55" zoomScaleNormal="55" zoomScaleSheetLayoutView="85" workbookViewId="0">
      <selection activeCell="L22" sqref="L22"/>
    </sheetView>
  </sheetViews>
  <sheetFormatPr defaultColWidth="9" defaultRowHeight="16.5"/>
  <cols>
    <col min="1" max="1" width="25.625" style="68" customWidth="1"/>
    <col min="2" max="2" width="31.75" style="68" customWidth="1"/>
    <col min="3" max="3" width="24.375" style="68" customWidth="1"/>
    <col min="4" max="4" width="26.125" style="68" customWidth="1"/>
    <col min="5" max="5" width="27.5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  <row r="16" spans="1:5" ht="54.95" customHeight="1"/>
    <row r="17" spans="1:16" s="87" customFormat="1" ht="54.95" customHeight="1"/>
    <row r="18" spans="1:16" s="180" customFormat="1" ht="54.95" customHeight="1">
      <c r="A18" s="223" t="s">
        <v>160</v>
      </c>
      <c r="B18" s="223"/>
      <c r="C18" s="183"/>
      <c r="D18" s="183"/>
      <c r="E18" s="183"/>
      <c r="G18" s="181"/>
      <c r="L18" s="181"/>
      <c r="N18" s="181"/>
      <c r="O18" s="182"/>
      <c r="P18" s="182"/>
    </row>
    <row r="19" spans="1:16" s="180" customFormat="1" ht="54.95" customHeight="1">
      <c r="A19" s="184" t="s">
        <v>161</v>
      </c>
      <c r="B19" s="185" t="s">
        <v>162</v>
      </c>
      <c r="C19" s="185" t="s">
        <v>163</v>
      </c>
      <c r="D19" s="185" t="s">
        <v>164</v>
      </c>
      <c r="E19" s="186" t="s">
        <v>165</v>
      </c>
      <c r="G19" s="181"/>
      <c r="L19" s="181"/>
      <c r="N19" s="181"/>
      <c r="O19" s="182"/>
      <c r="P19" s="182"/>
    </row>
    <row r="20" spans="1:16" s="180" customFormat="1" ht="54.95" customHeight="1">
      <c r="A20" s="187">
        <v>999999</v>
      </c>
      <c r="B20" s="188" t="s">
        <v>166</v>
      </c>
      <c r="C20" s="188" t="s">
        <v>167</v>
      </c>
      <c r="D20" s="189">
        <v>1300</v>
      </c>
      <c r="E20" s="190" t="s">
        <v>168</v>
      </c>
      <c r="G20" s="181"/>
      <c r="L20" s="181"/>
      <c r="N20" s="181"/>
      <c r="O20" s="182"/>
      <c r="P20" s="182"/>
    </row>
    <row r="21" spans="1:16" s="87" customFormat="1" ht="54.95" customHeight="1"/>
    <row r="22" spans="1:16" ht="54.95" customHeight="1"/>
  </sheetData>
  <mergeCells count="1">
    <mergeCell ref="A18:B18"/>
  </mergeCells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3"/>
  <sheetViews>
    <sheetView workbookViewId="0">
      <selection activeCell="D16" sqref="D16"/>
    </sheetView>
  </sheetViews>
  <sheetFormatPr defaultColWidth="9" defaultRowHeight="16.5"/>
  <cols>
    <col min="1" max="1" width="11.125" style="87" customWidth="1"/>
    <col min="2" max="2" width="13.375" style="87" customWidth="1"/>
    <col min="3" max="3" width="29.125" style="87" bestFit="1" customWidth="1"/>
    <col min="4" max="4" width="30.875" style="87" bestFit="1" customWidth="1"/>
    <col min="5" max="5" width="5" style="87" customWidth="1"/>
    <col min="6" max="6" width="6.25" style="87" customWidth="1"/>
    <col min="7" max="7" width="10" style="87" customWidth="1"/>
    <col min="8" max="8" width="11.875" style="87" customWidth="1"/>
    <col min="9" max="9" width="10" style="87" customWidth="1"/>
    <col min="10" max="10" width="11.875" style="87" customWidth="1"/>
    <col min="11" max="11" width="10" style="87" customWidth="1"/>
    <col min="12" max="12" width="11.875" style="87" customWidth="1"/>
    <col min="13" max="13" width="10" style="87" customWidth="1"/>
    <col min="14" max="14" width="11.875" style="87" customWidth="1"/>
    <col min="15" max="15" width="9.125" style="87" customWidth="1"/>
    <col min="16" max="16" width="11.5" style="87" customWidth="1"/>
    <col min="17" max="17" width="11.75" style="87" customWidth="1"/>
    <col min="18" max="18" width="17.875" style="87" customWidth="1"/>
    <col min="19" max="16384" width="9" style="87"/>
  </cols>
  <sheetData>
    <row r="1" spans="1:18" ht="18" customHeight="1">
      <c r="A1" s="121" t="s">
        <v>48</v>
      </c>
      <c r="B1" s="121" t="s">
        <v>49</v>
      </c>
      <c r="C1" s="121" t="s">
        <v>50</v>
      </c>
      <c r="D1" s="121" t="s">
        <v>51</v>
      </c>
      <c r="E1" s="121" t="s">
        <v>52</v>
      </c>
      <c r="F1" s="121" t="s">
        <v>5</v>
      </c>
      <c r="G1" s="121" t="s">
        <v>53</v>
      </c>
      <c r="H1" s="121" t="s">
        <v>54</v>
      </c>
      <c r="I1" s="121" t="s">
        <v>55</v>
      </c>
      <c r="J1" s="121" t="s">
        <v>56</v>
      </c>
      <c r="K1" s="121" t="s">
        <v>57</v>
      </c>
      <c r="L1" s="121" t="s">
        <v>58</v>
      </c>
      <c r="M1" s="121" t="s">
        <v>59</v>
      </c>
      <c r="N1" s="121" t="s">
        <v>60</v>
      </c>
      <c r="O1" s="121" t="s">
        <v>61</v>
      </c>
      <c r="P1" s="121" t="s">
        <v>62</v>
      </c>
      <c r="Q1" s="121" t="s">
        <v>63</v>
      </c>
      <c r="R1" s="121" t="s">
        <v>64</v>
      </c>
    </row>
    <row r="2" spans="1:18" ht="18" customHeight="1">
      <c r="A2" s="91">
        <v>999999</v>
      </c>
      <c r="B2" s="92" t="s">
        <v>76</v>
      </c>
      <c r="C2" s="122" t="s">
        <v>79</v>
      </c>
      <c r="D2" s="123" t="s">
        <v>80</v>
      </c>
      <c r="E2" s="124" t="s">
        <v>81</v>
      </c>
      <c r="F2" s="125">
        <v>0.5</v>
      </c>
      <c r="G2" s="126"/>
      <c r="H2" s="126"/>
      <c r="I2" s="126"/>
      <c r="J2" s="126"/>
      <c r="K2" s="126">
        <v>34151.5</v>
      </c>
      <c r="L2" s="126"/>
      <c r="M2" s="126">
        <v>177855</v>
      </c>
      <c r="N2" s="126"/>
      <c r="O2" s="126"/>
      <c r="P2" s="126"/>
      <c r="Q2" s="126"/>
      <c r="R2" s="124"/>
    </row>
    <row r="3" spans="1:18">
      <c r="A3" s="92">
        <v>999999</v>
      </c>
      <c r="B3" s="91" t="s">
        <v>76</v>
      </c>
      <c r="C3" s="92" t="s">
        <v>169</v>
      </c>
      <c r="D3" s="92" t="s">
        <v>170</v>
      </c>
      <c r="E3" s="92" t="s">
        <v>158</v>
      </c>
      <c r="F3" s="125">
        <v>24</v>
      </c>
      <c r="G3" s="191">
        <v>1086</v>
      </c>
      <c r="H3" s="191"/>
      <c r="I3" s="191"/>
      <c r="J3" s="91"/>
      <c r="K3" s="91"/>
      <c r="L3" s="91"/>
      <c r="M3" s="91"/>
      <c r="N3" s="91"/>
      <c r="O3" s="91"/>
      <c r="P3" s="91"/>
      <c r="Q3" s="91"/>
      <c r="R3" s="91"/>
    </row>
    <row r="4" spans="1:18"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spans="1:18"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</row>
    <row r="6" spans="1:18"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7" spans="1:18"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</row>
    <row r="8" spans="1:18"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</row>
    <row r="9" spans="1:18"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</row>
    <row r="10" spans="1:18"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</row>
    <row r="11" spans="1:18"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</row>
    <row r="12" spans="1:18"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</row>
    <row r="13" spans="1:18"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J23" sqref="J23"/>
    </sheetView>
  </sheetViews>
  <sheetFormatPr defaultColWidth="9" defaultRowHeight="16.5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7.5" style="89" customWidth="1"/>
    <col min="7" max="16384" width="9" style="87"/>
  </cols>
  <sheetData>
    <row r="1" spans="1:6" ht="18" customHeight="1">
      <c r="A1" s="127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</row>
    <row r="2" spans="1:6">
      <c r="A2" s="128" t="str">
        <f>'내역서(표준단가)'!A5</f>
        <v>D02339</v>
      </c>
      <c r="B2" s="129" t="str">
        <f>'내역서(표준단가)'!F5</f>
        <v>D02339</v>
      </c>
      <c r="C2" s="129">
        <f>'내역서(표준단가)'!G5</f>
        <v>0</v>
      </c>
      <c r="D2" s="129">
        <f>'내역서(표준단가)'!H5</f>
        <v>0</v>
      </c>
      <c r="E2" s="129">
        <f>'내역서(표준단가)'!I5</f>
        <v>0</v>
      </c>
      <c r="F2" s="129">
        <f>'내역서(표준단가)'!M5</f>
        <v>12</v>
      </c>
    </row>
    <row r="3" spans="1:6">
      <c r="A3" s="128" t="str">
        <f>'내역서(표준단가)'!A6</f>
        <v>M011902400300101</v>
      </c>
      <c r="B3" s="129">
        <f>'내역서(표준단가)'!F6</f>
        <v>0</v>
      </c>
      <c r="C3" s="129">
        <f>'내역서(표준단가)'!G6</f>
        <v>0</v>
      </c>
      <c r="D3" s="129" t="str">
        <f>'내역서(표준단가)'!H6</f>
        <v>M011902400300101</v>
      </c>
      <c r="E3" s="129">
        <f>'내역서(표준단가)'!I6</f>
        <v>0</v>
      </c>
      <c r="F3" s="129">
        <f>'내역서(표준단가)'!M6</f>
        <v>24</v>
      </c>
    </row>
    <row r="4" spans="1:6">
      <c r="A4" s="128" t="str">
        <f>'내역서(표준단가)'!A7</f>
        <v>D02620</v>
      </c>
      <c r="B4" s="129" t="str">
        <f>'내역서(표준단가)'!F7</f>
        <v>D02620</v>
      </c>
      <c r="C4" s="129">
        <f>'내역서(표준단가)'!G7</f>
        <v>0</v>
      </c>
      <c r="D4" s="129">
        <f>'내역서(표준단가)'!H7</f>
        <v>0</v>
      </c>
      <c r="E4" s="129">
        <f>'내역서(표준단가)'!I7</f>
        <v>0</v>
      </c>
      <c r="F4" s="129">
        <f>'내역서(표준단가)'!M7</f>
        <v>48</v>
      </c>
    </row>
    <row r="5" spans="1:6">
      <c r="A5" s="128" t="str">
        <f>'내역서(표준단가)'!A8</f>
        <v>D02639</v>
      </c>
      <c r="B5" s="129" t="str">
        <f>'내역서(표준단가)'!F8</f>
        <v>D02639</v>
      </c>
      <c r="C5" s="129">
        <f>'내역서(표준단가)'!G8</f>
        <v>0</v>
      </c>
      <c r="D5" s="129">
        <f>'내역서(표준단가)'!H8</f>
        <v>0</v>
      </c>
      <c r="E5" s="129">
        <f>'내역서(표준단가)'!I8</f>
        <v>0</v>
      </c>
      <c r="F5" s="129">
        <f>'내역서(표준단가)'!M8</f>
        <v>26</v>
      </c>
    </row>
    <row r="6" spans="1:6">
      <c r="A6" s="128" t="str">
        <f>'내역서(표준단가)'!A9</f>
        <v>M011902401200101</v>
      </c>
      <c r="B6" s="129">
        <f>'내역서(표준단가)'!F9</f>
        <v>0</v>
      </c>
      <c r="C6" s="129">
        <f>'내역서(표준단가)'!G9</f>
        <v>0</v>
      </c>
      <c r="D6" s="129" t="str">
        <f>'내역서(표준단가)'!H9</f>
        <v>M011902401200101</v>
      </c>
      <c r="E6" s="129">
        <f>'내역서(표준단가)'!I9</f>
        <v>0</v>
      </c>
      <c r="F6" s="129">
        <f>'내역서(표준단가)'!M9</f>
        <v>24</v>
      </c>
    </row>
    <row r="7" spans="1:6">
      <c r="A7" s="128" t="str">
        <f>'내역서(표준단가)'!A10</f>
        <v>D02641</v>
      </c>
      <c r="B7" s="129" t="str">
        <f>'내역서(표준단가)'!F10</f>
        <v>D02641</v>
      </c>
      <c r="C7" s="129">
        <f>'내역서(표준단가)'!G10</f>
        <v>0</v>
      </c>
      <c r="D7" s="129">
        <f>'내역서(표준단가)'!H10</f>
        <v>0</v>
      </c>
      <c r="E7" s="129">
        <f>'내역서(표준단가)'!I10</f>
        <v>0</v>
      </c>
      <c r="F7" s="129">
        <f>'내역서(표준단가)'!M10</f>
        <v>24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2024-12-19T22:40:24Z</dcterms:modified>
</cp:coreProperties>
</file>
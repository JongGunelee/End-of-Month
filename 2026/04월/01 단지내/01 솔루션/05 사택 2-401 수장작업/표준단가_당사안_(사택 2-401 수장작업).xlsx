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filterPrivacy="1" codeName="현재_통합_문서"/>
  <xr:revisionPtr revIDLastSave="0" documentId="13_ncr:1_{409363A6-FEA3-4E98-9ED3-AD354AA90B0A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" r:id="rId4"/>
    <sheet name="1,2,7동 도면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1" l="1"/>
  <c r="E14" i="1"/>
  <c r="D14" i="1"/>
  <c r="C14" i="1"/>
  <c r="B14" i="1"/>
  <c r="F13" i="1"/>
  <c r="E13" i="1"/>
  <c r="D13" i="1"/>
  <c r="C13" i="1"/>
  <c r="B13" i="1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U16" i="4" l="1"/>
  <c r="S16" i="4"/>
  <c r="Q16" i="4"/>
  <c r="O16" i="4"/>
  <c r="V16" i="4" s="1"/>
  <c r="A16" i="4"/>
  <c r="A13" i="1" s="1"/>
  <c r="U15" i="4"/>
  <c r="S15" i="4"/>
  <c r="Q15" i="4"/>
  <c r="O15" i="4"/>
  <c r="A15" i="4"/>
  <c r="A12" i="1" s="1"/>
  <c r="U14" i="4"/>
  <c r="S14" i="4"/>
  <c r="Q14" i="4"/>
  <c r="O14" i="4"/>
  <c r="A14" i="4"/>
  <c r="A11" i="1" s="1"/>
  <c r="U13" i="4"/>
  <c r="S13" i="4"/>
  <c r="Q13" i="4"/>
  <c r="O13" i="4"/>
  <c r="A13" i="4"/>
  <c r="A10" i="1" s="1"/>
  <c r="U12" i="4"/>
  <c r="S12" i="4"/>
  <c r="O12" i="4"/>
  <c r="V12" i="4" s="1"/>
  <c r="A12" i="4"/>
  <c r="A9" i="1" s="1"/>
  <c r="U11" i="4"/>
  <c r="S11" i="4"/>
  <c r="Q11" i="4"/>
  <c r="O11" i="4"/>
  <c r="V11" i="4" s="1"/>
  <c r="A11" i="4"/>
  <c r="A8" i="1" s="1"/>
  <c r="U10" i="4"/>
  <c r="S10" i="4"/>
  <c r="Q10" i="4"/>
  <c r="O10" i="4"/>
  <c r="A10" i="4"/>
  <c r="A7" i="1" s="1"/>
  <c r="O9" i="4"/>
  <c r="V9" i="4" s="1"/>
  <c r="A9" i="4"/>
  <c r="A6" i="1" s="1"/>
  <c r="H26" i="9"/>
  <c r="F26" i="9"/>
  <c r="H25" i="9"/>
  <c r="N25" i="9" s="1"/>
  <c r="F25" i="9"/>
  <c r="H24" i="9"/>
  <c r="F24" i="9"/>
  <c r="H23" i="9"/>
  <c r="F23" i="9"/>
  <c r="F22" i="9"/>
  <c r="N22" i="9" s="1"/>
  <c r="H20" i="9"/>
  <c r="F20" i="9"/>
  <c r="D19" i="9"/>
  <c r="H19" i="9" s="1"/>
  <c r="F17" i="9"/>
  <c r="N17" i="9" s="1"/>
  <c r="F19" i="9" l="1"/>
  <c r="N19" i="9" s="1"/>
  <c r="N24" i="9"/>
  <c r="N20" i="9"/>
  <c r="N26" i="9"/>
  <c r="N23" i="9"/>
  <c r="V14" i="4"/>
  <c r="V13" i="4"/>
  <c r="V10" i="4"/>
  <c r="V15" i="4"/>
  <c r="P6" i="9"/>
  <c r="D7" i="9" l="1"/>
  <c r="F2" i="1"/>
  <c r="E2" i="1"/>
  <c r="D2" i="1"/>
  <c r="C2" i="1"/>
  <c r="B2" i="1"/>
  <c r="P5" i="9" l="1"/>
  <c r="D11" i="9"/>
  <c r="U5" i="4"/>
  <c r="S5" i="4"/>
  <c r="Q5" i="4"/>
  <c r="O5" i="4"/>
  <c r="A5" i="4"/>
  <c r="A2" i="1" s="1"/>
  <c r="V5" i="4" l="1"/>
  <c r="U17" i="4"/>
  <c r="S17" i="4"/>
  <c r="Q17" i="4"/>
  <c r="O17" i="4"/>
  <c r="A17" i="4"/>
  <c r="A14" i="1" s="1"/>
  <c r="U7" i="4"/>
  <c r="S7" i="4"/>
  <c r="Q7" i="4"/>
  <c r="O7" i="4"/>
  <c r="A7" i="4"/>
  <c r="A4" i="1" s="1"/>
  <c r="U6" i="4"/>
  <c r="S6" i="4"/>
  <c r="Q6" i="4"/>
  <c r="O6" i="4"/>
  <c r="A6" i="4"/>
  <c r="A3" i="1" s="1"/>
  <c r="V7" i="4" l="1"/>
  <c r="V17" i="4"/>
  <c r="V6" i="4"/>
  <c r="L29" i="9" l="1"/>
  <c r="J29" i="9"/>
  <c r="H28" i="9"/>
  <c r="H29" i="9" s="1"/>
  <c r="L27" i="9"/>
  <c r="J27" i="9"/>
  <c r="L15" i="9"/>
  <c r="J15" i="9"/>
  <c r="D15" i="9"/>
  <c r="H14" i="9"/>
  <c r="F14" i="9"/>
  <c r="H13" i="9"/>
  <c r="F13" i="9"/>
  <c r="H12" i="9"/>
  <c r="F12" i="9"/>
  <c r="L11" i="9"/>
  <c r="L30" i="9" s="1"/>
  <c r="J11" i="9"/>
  <c r="H10" i="9"/>
  <c r="F10" i="9"/>
  <c r="H9" i="9"/>
  <c r="F9" i="9"/>
  <c r="H8" i="9"/>
  <c r="F8" i="9"/>
  <c r="H7" i="9"/>
  <c r="F7" i="9"/>
  <c r="H5" i="9"/>
  <c r="F5" i="9"/>
  <c r="J30" i="9" l="1"/>
  <c r="N13" i="9"/>
  <c r="N9" i="9"/>
  <c r="N12" i="9"/>
  <c r="N10" i="9"/>
  <c r="F27" i="9"/>
  <c r="H15" i="9"/>
  <c r="F11" i="9"/>
  <c r="N14" i="9"/>
  <c r="H27" i="9"/>
  <c r="H11" i="9"/>
  <c r="N8" i="9"/>
  <c r="N7" i="9"/>
  <c r="N28" i="9"/>
  <c r="N29" i="9" s="1"/>
  <c r="N5" i="9"/>
  <c r="F15" i="9"/>
  <c r="F30" i="9" l="1"/>
  <c r="N15" i="9"/>
  <c r="H30" i="9"/>
  <c r="N11" i="9"/>
  <c r="N27" i="9"/>
  <c r="N30" i="9" l="1"/>
  <c r="A8" i="4" l="1"/>
  <c r="A5" i="1" s="1"/>
  <c r="U8" i="4" l="1"/>
  <c r="S8" i="4"/>
  <c r="Q8" i="4"/>
  <c r="O8" i="4"/>
  <c r="Q18" i="4" l="1"/>
  <c r="F17" i="5" s="1"/>
  <c r="V8" i="4"/>
  <c r="U18" i="4" l="1"/>
  <c r="O18" i="4"/>
  <c r="F16" i="5" s="1"/>
  <c r="F26" i="5" s="1"/>
  <c r="S18" i="4"/>
  <c r="F18" i="5" l="1"/>
  <c r="V18" i="4"/>
  <c r="F19" i="5" l="1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sharedStrings.xml><?xml version="1.0" encoding="utf-8"?>
<sst xmlns="http://schemas.openxmlformats.org/spreadsheetml/2006/main" count="229" uniqueCount="166">
  <si>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</si>
  <si>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</si>
  <si>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</si>
  <si>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</si>
  <si>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</si>
  <si>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</si>
  <si>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</si>
  <si>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</si>
  <si>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</si>
  <si>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</si>
  <si>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</si>
  <si>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</si>
  <si>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</si>
  <si>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</si>
  <si>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</si>
  <si>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</si>
  <si>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</si>
  <si>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</si>
  <si>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</si>
  <si>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</si>
  <si>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</si>
  <si>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</si>
  <si>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</si>
  <si>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</si>
  <si>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 노무비*4.5%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</si>
  <si>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</si>
  <si>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</si>
  <si>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</si>
  <si>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</si>
  <si>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</si>
  <si>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</si>
  <si>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</si>
  <si>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</si>
  <si>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</si>
  <si>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</si>
  <si>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</si>
  <si>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</si>
  <si>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</si>
  <si>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</si>
  <si>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</si>
  <si>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</si>
  <si>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</si>
  <si>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</si>
  <si>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</si>
  <si>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</si>
  <si>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</si>
  <si>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</si>
  <si>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</si>
  <si>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</si>
  <si>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노무비*3.545%</t>
    <phoneticPr fontId="13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</si>
  <si>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</si>
  <si>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</si>
  <si>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</si>
  <si>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</si>
  <si>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</si>
  <si>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</si>
  <si>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</si>
  <si>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</si>
  <si>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</si>
  <si>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</si>
  <si>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</si>
  <si>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</si>
  <si>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</si>
  <si>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</si>
  <si>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</si>
  <si>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</si>
  <si>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</si>
  <si>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</si>
  <si>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</si>
  <si>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</si>
  <si>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</si>
  <si>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</si>
  <si>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</si>
  <si>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</si>
  <si>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</si>
  <si>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</si>
  <si>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</si>
  <si>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</si>
  <si>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</si>
  <si>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</si>
  <si>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</si>
  <si>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</si>
  <si>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</si>
  <si>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</si>
  <si>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</si>
  <si>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</si>
  <si>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</si>
  <si>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</si>
  <si>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</si>
  <si>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내부(문,틀,몰딩,기타)</t>
    <phoneticPr fontId="5" type="noConversion"/>
  </si>
  <si>
    <t>철재면 청소(휘발유사용)</t>
    <phoneticPr fontId="5" type="noConversion"/>
  </si>
  <si>
    <t>유성페인트 롤러칠(석고보드면)</t>
    <phoneticPr fontId="5" type="noConversion"/>
  </si>
  <si>
    <t>방화도어 내부</t>
    <phoneticPr fontId="5" type="noConversion"/>
  </si>
  <si>
    <t>유성페인트 롤러칠(철재면)</t>
    <phoneticPr fontId="5" type="noConversion"/>
  </si>
  <si>
    <t>4.청소</t>
    <phoneticPr fontId="7" type="noConversion"/>
  </si>
  <si>
    <t>준공청소(특별인부)</t>
    <phoneticPr fontId="13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</si>
  <si>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</si>
  <si>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</si>
  <si>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</si>
  <si>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</si>
  <si>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</si>
  <si>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</si>
  <si>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</si>
  <si>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</si>
  <si>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</si>
  <si>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</si>
  <si>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</si>
  <si>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</si>
  <si>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</si>
  <si>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</si>
  <si>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</si>
  <si>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</si>
  <si>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</si>
  <si>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</si>
  <si>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</si>
  <si>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</si>
  <si>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</si>
  <si>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</si>
  <si>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교체(벽)</t>
    <phoneticPr fontId="5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</si>
  <si>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</si>
  <si>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</si>
  <si>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</si>
  <si>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</si>
  <si>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</si>
  <si>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</si>
  <si>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</si>
  <si>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</si>
  <si>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</si>
  <si>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E00000803061120802</t>
  </si>
  <si>
    <t>목재면 바탕만들기</t>
  </si>
  <si>
    <t>퍼티 및 연마</t>
  </si>
  <si>
    <t>E00000803061300701</t>
  </si>
  <si>
    <t>유성페인트 롤러칠 - 콘크리트·모르터면·석고보드면</t>
  </si>
  <si>
    <t>목재면 바탕만들기(방화문 적용)</t>
    <phoneticPr fontId="5" type="noConversion"/>
  </si>
  <si>
    <t>E00000803061300401</t>
  </si>
  <si>
    <t>유성페인트 붓칠 - 철재면</t>
  </si>
  <si>
    <t>(㎡ 당)</t>
    <phoneticPr fontId="5" type="noConversion"/>
  </si>
  <si>
    <t>합 계</t>
    <phoneticPr fontId="5" type="noConversion"/>
  </si>
  <si>
    <t>18ℓ</t>
  </si>
  <si>
    <t>KSM-6010 내부용, 2급, 백색</t>
  </si>
  <si>
    <t>M020411810170101</t>
  </si>
  <si>
    <t>조합페인트</t>
  </si>
  <si>
    <t>백색 무광</t>
  </si>
  <si>
    <t>수성페인트</t>
    <phoneticPr fontId="5" type="noConversion"/>
  </si>
  <si>
    <t>합성수지에멀션페인트</t>
    <phoneticPr fontId="5" type="noConversion"/>
  </si>
  <si>
    <t>M020412614110102</t>
    <phoneticPr fontId="5" type="noConversion"/>
  </si>
  <si>
    <t>2.바닥재</t>
    <phoneticPr fontId="5" type="noConversion"/>
  </si>
  <si>
    <t> (재료비+노무비)*3.11%</t>
    <phoneticPr fontId="13" type="noConversion"/>
  </si>
  <si>
    <t>M020853710050101</t>
  </si>
  <si>
    <t>아이리스</t>
  </si>
  <si>
    <t>㎡</t>
    <phoneticPr fontId="5" type="noConversion"/>
  </si>
  <si>
    <t>M020809012520101</t>
  </si>
  <si>
    <t>비닐시트바닥재</t>
  </si>
  <si>
    <t>데코리아 다솜(륨) 1.8T×1,830㎜</t>
  </si>
  <si>
    <t>준공청소</t>
  </si>
  <si>
    <t>(연면적 ㎡당)</t>
  </si>
  <si>
    <t>E00000801011510701</t>
  </si>
  <si>
    <t>R/L</t>
  </si>
  <si>
    <t xml:space="preserve">일당 시공량-61㎡ 적산정보 500p 참조,시공총량39.6/일당61=0.887 </t>
  </si>
  <si>
    <t>전체면적</t>
  </si>
  <si>
    <t>일당 시공량-벽 46㎡, 적산정보 500p 참조,시공총량100/일당46=2.174</t>
    <phoneticPr fontId="5" type="noConversion"/>
  </si>
  <si>
    <t xml:space="preserve"> 공사명 : 사택 2-401 수장공사</t>
    <phoneticPr fontId="11" type="noConversion"/>
  </si>
  <si>
    <t xml:space="preserve"> 견적일 : 2026년  01월  23일</t>
    <phoneticPr fontId="11" type="noConversion"/>
  </si>
  <si>
    <t>사택 2-401 수장공사</t>
    <phoneticPr fontId="5" type="noConversion"/>
  </si>
  <si>
    <r>
      <t>합지벽지 1R/L=93㎝(고정)×17.75m=16.51</t>
    </r>
    <r>
      <rPr>
        <sz val="10"/>
        <rFont val="Segoe UI Symbol"/>
        <family val="3"/>
      </rPr>
      <t>㎡</t>
    </r>
    <r>
      <rPr>
        <sz val="10"/>
        <rFont val="LG스마트체 Regular"/>
        <family val="3"/>
        <charset val="129"/>
      </rPr>
      <t>, 소요량100/16.51=6.0569R/L</t>
    </r>
    <phoneticPr fontId="5" type="noConversion"/>
  </si>
  <si>
    <t xml:space="preserve">앞,뒤베란다 걸레받이 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</si>
</sst>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0_);[Red]\(#,##0\)"/>
    <numFmt numFmtId="184" formatCode="#,##0_ "/>
    <numFmt numFmtId="185" formatCode="&quot;₩&quot;#,##0"/>
    <numFmt numFmtId="186" formatCode="0_);[Red]\(0\)"/>
    <numFmt numFmtId="187" formatCode="###,###,###,##0"/>
    <numFmt numFmtId="188" formatCode="#,##0.000_ "/>
    <numFmt numFmtId="189" formatCode="#,##0.0_);[Red]\(#,##0.0\)"/>
    <numFmt numFmtId="190" formatCode="0.000_ "/>
    <numFmt numFmtId="191" formatCode="0.0_);[Red]\(0.0\)"/>
    <numFmt numFmtId="192" formatCode="#,##0;\-#,##0;"/>
    <numFmt numFmtId="193" formatCode="0.000"/>
    <numFmt numFmtId="194" formatCode="#,##0.00_);[Red]\(#,##0.00\)"/>
  </numFmts>
  <fonts count="29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name val="LG스마트체 Regular"/>
      <family val="3"/>
      <charset val="129"/>
    </font>
    <font>
      <sz val="9"/>
      <name val="LG스마트체 Regular"/>
      <family val="3"/>
      <charset val="129"/>
    </font>
    <font>
      <sz val="9"/>
      <color rgb="FFFF0000"/>
      <name val="LG스마트체 Regular"/>
      <family val="3"/>
      <charset val="129"/>
    </font>
    <font>
      <sz val="10"/>
      <name val="Segoe UI Symbol"/>
      <family val="3"/>
    </font>
    <font>
      <b/>
      <sz val="9"/>
      <color rgb="FFFF0000"/>
      <name val="LG스마트체 Regular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4" fillId="0" borderId="0"/>
    <xf numFmtId="176" fontId="14" fillId="0" borderId="0" applyFont="0" applyFill="0" applyBorder="0" applyAlignment="0" applyProtection="0"/>
    <xf numFmtId="177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26">
    <xf numFmtId="0" fontId="0" fillId="0" borderId="0" xfId="0">
      <alignment vertical="center"/>
    </xf>
    <xf numFmtId="0" fontId="12" fillId="0" borderId="7" xfId="6" applyFont="1" applyBorder="1" applyAlignment="1">
      <alignment horizontal="right" vertical="center"/>
    </xf>
    <xf numFmtId="0" fontId="15" fillId="0" borderId="0" xfId="6" applyFont="1" applyAlignment="1">
      <alignment vertical="center"/>
    </xf>
    <xf numFmtId="0" fontId="16" fillId="0" borderId="0" xfId="3" applyFont="1"/>
    <xf numFmtId="0" fontId="17" fillId="0" borderId="5" xfId="6" applyFont="1" applyBorder="1" applyAlignment="1">
      <alignment horizontal="center" vertical="center"/>
    </xf>
    <xf numFmtId="0" fontId="12" fillId="0" borderId="6" xfId="6" applyFont="1" applyBorder="1" applyAlignment="1">
      <alignment horizontal="right" vertical="center"/>
    </xf>
    <xf numFmtId="0" fontId="12" fillId="5" borderId="25" xfId="6" applyFont="1" applyFill="1" applyBorder="1" applyAlignment="1">
      <alignment horizontal="center" vertical="center"/>
    </xf>
    <xf numFmtId="0" fontId="12" fillId="5" borderId="26" xfId="6" applyFont="1" applyFill="1" applyBorder="1" applyAlignment="1">
      <alignment vertical="center" shrinkToFit="1"/>
    </xf>
    <xf numFmtId="0" fontId="12" fillId="5" borderId="2" xfId="6" applyFont="1" applyFill="1" applyBorder="1" applyAlignment="1">
      <alignment horizontal="center" vertical="center"/>
    </xf>
    <xf numFmtId="0" fontId="12" fillId="5" borderId="27" xfId="6" applyFont="1" applyFill="1" applyBorder="1" applyAlignment="1">
      <alignment vertical="center" shrinkToFit="1"/>
    </xf>
    <xf numFmtId="0" fontId="18" fillId="0" borderId="0" xfId="6" applyFont="1" applyAlignment="1">
      <alignment vertical="center" shrinkToFit="1"/>
    </xf>
    <xf numFmtId="0" fontId="12" fillId="5" borderId="2" xfId="6" applyFont="1" applyFill="1" applyBorder="1" applyAlignment="1">
      <alignment horizontal="center" vertical="center" shrinkToFit="1"/>
    </xf>
    <xf numFmtId="0" fontId="12" fillId="0" borderId="2" xfId="6" applyFont="1" applyBorder="1" applyAlignment="1">
      <alignment horizontal="center" vertical="center"/>
    </xf>
    <xf numFmtId="0" fontId="12" fillId="0" borderId="27" xfId="6" applyFont="1" applyBorder="1" applyAlignment="1">
      <alignment vertical="center"/>
    </xf>
    <xf numFmtId="0" fontId="17" fillId="0" borderId="0" xfId="6" applyFont="1" applyAlignment="1">
      <alignment horizontal="center" vertical="center" shrinkToFit="1"/>
    </xf>
    <xf numFmtId="0" fontId="12" fillId="0" borderId="28" xfId="6" applyFont="1" applyBorder="1" applyAlignment="1">
      <alignment horizontal="center" vertical="center" shrinkToFit="1"/>
    </xf>
    <xf numFmtId="0" fontId="12" fillId="0" borderId="29" xfId="6" applyFont="1" applyBorder="1" applyAlignment="1">
      <alignment vertical="center" shrinkToFit="1"/>
    </xf>
    <xf numFmtId="0" fontId="18" fillId="0" borderId="7" xfId="6" applyFont="1" applyBorder="1" applyAlignment="1">
      <alignment vertical="center"/>
    </xf>
    <xf numFmtId="179" fontId="17" fillId="0" borderId="7" xfId="6" applyNumberFormat="1" applyFont="1" applyBorder="1" applyAlignment="1">
      <alignment vertical="center"/>
    </xf>
    <xf numFmtId="0" fontId="17" fillId="0" borderId="0" xfId="6" applyFont="1" applyAlignment="1">
      <alignment vertical="center" shrinkToFit="1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19" fillId="0" borderId="11" xfId="6" applyFont="1" applyBorder="1" applyAlignment="1">
      <alignment horizontal="center" vertical="center"/>
    </xf>
    <xf numFmtId="0" fontId="12" fillId="0" borderId="12" xfId="6" applyFont="1" applyBorder="1" applyAlignment="1">
      <alignment vertical="center"/>
    </xf>
    <xf numFmtId="0" fontId="19" fillId="0" borderId="12" xfId="6" applyFont="1" applyBorder="1" applyAlignment="1">
      <alignment vertical="center"/>
    </xf>
    <xf numFmtId="1" fontId="19" fillId="0" borderId="12" xfId="6" applyNumberFormat="1" applyFont="1" applyBorder="1" applyAlignment="1">
      <alignment horizontal="center" vertical="center"/>
    </xf>
    <xf numFmtId="180" fontId="19" fillId="0" borderId="12" xfId="7" applyFont="1" applyBorder="1" applyAlignment="1">
      <alignment horizontal="right" vertical="center"/>
    </xf>
    <xf numFmtId="0" fontId="19" fillId="0" borderId="13" xfId="6" applyFont="1" applyBorder="1" applyAlignment="1">
      <alignment vertical="center"/>
    </xf>
    <xf numFmtId="0" fontId="19" fillId="0" borderId="14" xfId="6" applyFont="1" applyBorder="1" applyAlignment="1">
      <alignment horizontal="center" vertical="center"/>
    </xf>
    <xf numFmtId="0" fontId="19" fillId="0" borderId="15" xfId="6" applyFont="1" applyBorder="1" applyAlignment="1">
      <alignment horizontal="center" vertical="center"/>
    </xf>
    <xf numFmtId="0" fontId="19" fillId="0" borderId="15" xfId="3" applyFont="1" applyBorder="1" applyAlignment="1">
      <alignment horizontal="center" vertical="center"/>
    </xf>
    <xf numFmtId="1" fontId="19" fillId="0" borderId="15" xfId="6" applyNumberFormat="1" applyFont="1" applyBorder="1" applyAlignment="1">
      <alignment horizontal="center" vertical="center"/>
    </xf>
    <xf numFmtId="180" fontId="19" fillId="0" borderId="15" xfId="7" applyFont="1" applyBorder="1" applyAlignment="1">
      <alignment horizontal="right" vertical="center"/>
    </xf>
    <xf numFmtId="0" fontId="19" fillId="0" borderId="16" xfId="6" quotePrefix="1" applyFont="1" applyBorder="1" applyAlignment="1">
      <alignment vertical="center"/>
    </xf>
    <xf numFmtId="0" fontId="19" fillId="0" borderId="16" xfId="6" applyFont="1" applyBorder="1" applyAlignment="1">
      <alignment vertical="center"/>
    </xf>
    <xf numFmtId="0" fontId="12" fillId="8" borderId="15" xfId="6" applyFont="1" applyFill="1" applyBorder="1" applyAlignment="1">
      <alignment vertical="center"/>
    </xf>
    <xf numFmtId="1" fontId="12" fillId="8" borderId="15" xfId="6" applyNumberFormat="1" applyFont="1" applyFill="1" applyBorder="1" applyAlignment="1">
      <alignment horizontal="center" vertical="center"/>
    </xf>
    <xf numFmtId="180" fontId="12" fillId="8" borderId="15" xfId="7" applyFont="1" applyFill="1" applyBorder="1" applyAlignment="1">
      <alignment horizontal="right" vertical="center"/>
    </xf>
    <xf numFmtId="0" fontId="12" fillId="0" borderId="15" xfId="6" applyFont="1" applyBorder="1" applyAlignment="1">
      <alignment vertical="center"/>
    </xf>
    <xf numFmtId="0" fontId="19" fillId="0" borderId="15" xfId="6" applyFont="1" applyBorder="1" applyAlignment="1">
      <alignment vertical="center"/>
    </xf>
    <xf numFmtId="180" fontId="12" fillId="0" borderId="15" xfId="7" applyFont="1" applyFill="1" applyBorder="1" applyAlignment="1">
      <alignment horizontal="right" vertical="center"/>
    </xf>
    <xf numFmtId="0" fontId="19" fillId="0" borderId="15" xfId="8" applyFont="1" applyBorder="1" applyAlignment="1">
      <alignment horizontal="center" vertical="center"/>
    </xf>
    <xf numFmtId="178" fontId="19" fillId="0" borderId="15" xfId="5" applyFont="1" applyFill="1" applyBorder="1" applyAlignment="1">
      <alignment horizontal="right" vertical="center"/>
    </xf>
    <xf numFmtId="0" fontId="19" fillId="5" borderId="15" xfId="8" applyFont="1" applyFill="1" applyBorder="1" applyAlignment="1">
      <alignment horizontal="center" vertical="center"/>
    </xf>
    <xf numFmtId="0" fontId="19" fillId="5" borderId="15" xfId="6" applyFont="1" applyFill="1" applyBorder="1" applyAlignment="1">
      <alignment vertical="center"/>
    </xf>
    <xf numFmtId="0" fontId="19" fillId="5" borderId="15" xfId="6" applyFont="1" applyFill="1" applyBorder="1" applyAlignment="1">
      <alignment horizontal="center" vertical="center"/>
    </xf>
    <xf numFmtId="178" fontId="19" fillId="5" borderId="15" xfId="5" applyFont="1" applyFill="1" applyBorder="1" applyAlignment="1">
      <alignment horizontal="right" vertical="center"/>
    </xf>
    <xf numFmtId="0" fontId="19" fillId="5" borderId="16" xfId="6" applyFont="1" applyFill="1" applyBorder="1" applyAlignment="1">
      <alignment vertical="center"/>
    </xf>
    <xf numFmtId="0" fontId="19" fillId="0" borderId="15" xfId="3" applyFont="1" applyBorder="1" applyAlignment="1">
      <alignment horizontal="left" vertical="center"/>
    </xf>
    <xf numFmtId="9" fontId="12" fillId="8" borderId="15" xfId="3" applyNumberFormat="1" applyFont="1" applyFill="1" applyBorder="1" applyAlignment="1">
      <alignment horizontal="right" vertical="center"/>
    </xf>
    <xf numFmtId="1" fontId="12" fillId="8" borderId="15" xfId="9" applyNumberFormat="1" applyFont="1" applyFill="1" applyBorder="1" applyAlignment="1">
      <alignment horizontal="center" vertical="center"/>
    </xf>
    <xf numFmtId="177" fontId="12" fillId="8" borderId="15" xfId="7" applyNumberFormat="1" applyFont="1" applyFill="1" applyBorder="1" applyAlignment="1">
      <alignment horizontal="right" vertical="center"/>
    </xf>
    <xf numFmtId="9" fontId="19" fillId="0" borderId="15" xfId="3" applyNumberFormat="1" applyFont="1" applyBorder="1" applyAlignment="1">
      <alignment horizontal="right" vertical="center"/>
    </xf>
    <xf numFmtId="1" fontId="19" fillId="0" borderId="15" xfId="9" applyNumberFormat="1" applyFont="1" applyFill="1" applyBorder="1" applyAlignment="1">
      <alignment horizontal="center" vertical="center"/>
    </xf>
    <xf numFmtId="177" fontId="12" fillId="0" borderId="15" xfId="7" applyNumberFormat="1" applyFont="1" applyFill="1" applyBorder="1" applyAlignment="1">
      <alignment horizontal="right" vertical="center"/>
    </xf>
    <xf numFmtId="0" fontId="19" fillId="0" borderId="15" xfId="3" applyFont="1" applyBorder="1" applyAlignment="1">
      <alignment vertical="center"/>
    </xf>
    <xf numFmtId="180" fontId="19" fillId="5" borderId="15" xfId="7" applyFont="1" applyFill="1" applyBorder="1" applyAlignment="1">
      <alignment horizontal="right" vertical="center"/>
    </xf>
    <xf numFmtId="180" fontId="12" fillId="8" borderId="0" xfId="3" applyNumberFormat="1" applyFont="1" applyFill="1" applyAlignment="1">
      <alignment vertical="center"/>
    </xf>
    <xf numFmtId="0" fontId="12" fillId="0" borderId="17" xfId="6" applyFont="1" applyBorder="1" applyAlignment="1">
      <alignment horizontal="center" vertical="center" textRotation="255"/>
    </xf>
    <xf numFmtId="0" fontId="12" fillId="0" borderId="18" xfId="6" applyFont="1" applyBorder="1" applyAlignment="1">
      <alignment vertical="top"/>
    </xf>
    <xf numFmtId="0" fontId="19" fillId="0" borderId="19" xfId="6" applyFont="1" applyBorder="1" applyAlignment="1">
      <alignment vertical="center"/>
    </xf>
    <xf numFmtId="0" fontId="19" fillId="0" borderId="19" xfId="6" applyFont="1" applyBorder="1" applyAlignment="1">
      <alignment horizontal="right" vertical="center"/>
    </xf>
    <xf numFmtId="0" fontId="19" fillId="0" borderId="20" xfId="6" applyFont="1" applyBorder="1" applyAlignment="1">
      <alignment vertical="center"/>
    </xf>
    <xf numFmtId="0" fontId="12" fillId="0" borderId="0" xfId="10" applyFont="1"/>
    <xf numFmtId="181" fontId="17" fillId="0" borderId="0" xfId="1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9" fontId="20" fillId="0" borderId="0" xfId="0" applyNumberFormat="1" applyFont="1" applyAlignment="1">
      <alignment horizontal="center" vertical="center"/>
    </xf>
    <xf numFmtId="182" fontId="20" fillId="3" borderId="0" xfId="2" applyNumberFormat="1" applyFont="1" applyFill="1" applyAlignment="1">
      <alignment horizontal="center" vertical="center"/>
    </xf>
    <xf numFmtId="0" fontId="20" fillId="4" borderId="22" xfId="0" applyFont="1" applyFill="1" applyBorder="1" applyAlignment="1">
      <alignment horizontal="center" vertical="center"/>
    </xf>
    <xf numFmtId="0" fontId="20" fillId="7" borderId="3" xfId="0" applyFont="1" applyFill="1" applyBorder="1" applyAlignment="1">
      <alignment horizontal="center" vertical="center"/>
    </xf>
    <xf numFmtId="177" fontId="20" fillId="4" borderId="3" xfId="4" applyFont="1" applyFill="1" applyBorder="1" applyAlignment="1">
      <alignment horizontal="center" vertical="center"/>
    </xf>
    <xf numFmtId="178" fontId="20" fillId="4" borderId="3" xfId="5" applyFont="1" applyFill="1" applyBorder="1" applyAlignment="1">
      <alignment horizontal="center" vertical="center"/>
    </xf>
    <xf numFmtId="0" fontId="16" fillId="6" borderId="22" xfId="0" applyFont="1" applyFill="1" applyBorder="1" applyAlignment="1">
      <alignment horizontal="center" vertical="center"/>
    </xf>
    <xf numFmtId="0" fontId="16" fillId="7" borderId="3" xfId="0" applyFont="1" applyFill="1" applyBorder="1" applyAlignment="1">
      <alignment horizontal="center" vertical="center"/>
    </xf>
    <xf numFmtId="177" fontId="16" fillId="6" borderId="3" xfId="1" applyFont="1" applyFill="1" applyBorder="1" applyAlignment="1">
      <alignment horizontal="center" vertical="center" wrapText="1"/>
    </xf>
    <xf numFmtId="177" fontId="16" fillId="0" borderId="3" xfId="1" applyFont="1" applyFill="1" applyBorder="1" applyAlignment="1">
      <alignment horizontal="center" vertical="center" wrapText="1"/>
    </xf>
    <xf numFmtId="0" fontId="21" fillId="0" borderId="23" xfId="0" applyFont="1" applyBorder="1" applyAlignment="1">
      <alignment horizontal="center" vertical="center"/>
    </xf>
    <xf numFmtId="0" fontId="17" fillId="0" borderId="0" xfId="0" applyFont="1">
      <alignment vertical="center"/>
    </xf>
    <xf numFmtId="183" fontId="22" fillId="0" borderId="31" xfId="15" quotePrefix="1" applyNumberFormat="1" applyFont="1" applyBorder="1" applyAlignment="1">
      <alignment horizontal="center" vertical="center"/>
    </xf>
    <xf numFmtId="177" fontId="21" fillId="0" borderId="31" xfId="13" applyFont="1" applyBorder="1" applyAlignment="1">
      <alignment vertical="center"/>
    </xf>
    <xf numFmtId="185" fontId="21" fillId="0" borderId="31" xfId="13" applyNumberFormat="1" applyFont="1" applyBorder="1" applyAlignment="1">
      <alignment horizontal="center" vertical="center"/>
    </xf>
    <xf numFmtId="177" fontId="21" fillId="0" borderId="31" xfId="13" applyFont="1" applyBorder="1" applyAlignment="1">
      <alignment horizontal="center" vertical="center"/>
    </xf>
    <xf numFmtId="183" fontId="21" fillId="5" borderId="31" xfId="13" applyNumberFormat="1" applyFont="1" applyFill="1" applyBorder="1" applyAlignment="1">
      <alignment horizontal="right" vertical="center" wrapText="1"/>
    </xf>
    <xf numFmtId="185" fontId="21" fillId="11" borderId="31" xfId="13" applyNumberFormat="1" applyFont="1" applyFill="1" applyBorder="1" applyAlignment="1">
      <alignment horizontal="center" vertical="center"/>
    </xf>
    <xf numFmtId="177" fontId="21" fillId="11" borderId="31" xfId="13" applyFont="1" applyFill="1" applyBorder="1" applyAlignment="1">
      <alignment horizontal="center" vertical="center"/>
    </xf>
    <xf numFmtId="186" fontId="22" fillId="11" borderId="31" xfId="13" applyNumberFormat="1" applyFont="1" applyFill="1" applyBorder="1" applyAlignment="1">
      <alignment horizontal="center" vertical="center"/>
    </xf>
    <xf numFmtId="183" fontId="22" fillId="11" borderId="31" xfId="13" applyNumberFormat="1" applyFont="1" applyFill="1" applyBorder="1" applyAlignment="1">
      <alignment horizontal="right" vertical="center" wrapText="1"/>
    </xf>
    <xf numFmtId="183" fontId="22" fillId="11" borderId="31" xfId="13" applyNumberFormat="1" applyFont="1" applyFill="1" applyBorder="1" applyAlignment="1">
      <alignment horizontal="center" vertical="center" wrapText="1"/>
    </xf>
    <xf numFmtId="185" fontId="21" fillId="5" borderId="31" xfId="13" applyNumberFormat="1" applyFont="1" applyFill="1" applyBorder="1" applyAlignment="1">
      <alignment horizontal="center" vertical="center"/>
    </xf>
    <xf numFmtId="177" fontId="21" fillId="5" borderId="31" xfId="13" applyFont="1" applyFill="1" applyBorder="1" applyAlignment="1">
      <alignment horizontal="center" vertical="center"/>
    </xf>
    <xf numFmtId="183" fontId="21" fillId="5" borderId="31" xfId="13" applyNumberFormat="1" applyFont="1" applyFill="1" applyBorder="1" applyAlignment="1">
      <alignment horizontal="center" vertical="center" wrapText="1"/>
    </xf>
    <xf numFmtId="185" fontId="22" fillId="11" borderId="31" xfId="13" applyNumberFormat="1" applyFont="1" applyFill="1" applyBorder="1" applyAlignment="1">
      <alignment horizontal="center" vertical="center"/>
    </xf>
    <xf numFmtId="177" fontId="22" fillId="11" borderId="31" xfId="13" applyFont="1" applyFill="1" applyBorder="1" applyAlignment="1">
      <alignment horizontal="center" vertical="center"/>
    </xf>
    <xf numFmtId="183" fontId="16" fillId="5" borderId="31" xfId="13" applyNumberFormat="1" applyFont="1" applyFill="1" applyBorder="1" applyAlignment="1">
      <alignment horizontal="center" vertical="center" wrapText="1"/>
    </xf>
    <xf numFmtId="186" fontId="21" fillId="11" borderId="31" xfId="13" applyNumberFormat="1" applyFont="1" applyFill="1" applyBorder="1" applyAlignment="1">
      <alignment horizontal="center" vertical="center"/>
    </xf>
    <xf numFmtId="183" fontId="21" fillId="11" borderId="31" xfId="13" applyNumberFormat="1" applyFont="1" applyFill="1" applyBorder="1" applyAlignment="1">
      <alignment horizontal="right" vertical="center" wrapText="1"/>
    </xf>
    <xf numFmtId="183" fontId="21" fillId="11" borderId="31" xfId="13" applyNumberFormat="1" applyFont="1" applyFill="1" applyBorder="1" applyAlignment="1">
      <alignment vertical="center" wrapText="1"/>
    </xf>
    <xf numFmtId="183" fontId="22" fillId="11" borderId="31" xfId="13" applyNumberFormat="1" applyFont="1" applyFill="1" applyBorder="1" applyAlignment="1">
      <alignment vertical="center" wrapText="1"/>
    </xf>
    <xf numFmtId="0" fontId="17" fillId="0" borderId="0" xfId="15" applyFont="1">
      <alignment vertical="center"/>
    </xf>
    <xf numFmtId="49" fontId="16" fillId="7" borderId="3" xfId="0" applyNumberFormat="1" applyFont="1" applyFill="1" applyBorder="1" applyAlignment="1">
      <alignment horizontal="center" vertical="center"/>
    </xf>
    <xf numFmtId="0" fontId="20" fillId="11" borderId="31" xfId="13" applyNumberFormat="1" applyFont="1" applyFill="1" applyBorder="1" applyAlignment="1">
      <alignment horizontal="center" vertical="center"/>
    </xf>
    <xf numFmtId="0" fontId="20" fillId="11" borderId="36" xfId="13" applyNumberFormat="1" applyFont="1" applyFill="1" applyBorder="1" applyAlignment="1">
      <alignment horizontal="center" vertical="center"/>
    </xf>
    <xf numFmtId="49" fontId="16" fillId="2" borderId="1" xfId="0" applyNumberFormat="1" applyFont="1" applyFill="1" applyBorder="1" applyAlignment="1">
      <alignment horizontal="center" vertical="center" wrapText="1"/>
    </xf>
    <xf numFmtId="181" fontId="16" fillId="7" borderId="1" xfId="1" applyNumberFormat="1" applyFont="1" applyFill="1" applyBorder="1" applyAlignment="1">
      <alignment horizontal="center" vertical="center"/>
    </xf>
    <xf numFmtId="181" fontId="16" fillId="0" borderId="1" xfId="1" applyNumberFormat="1" applyFont="1" applyBorder="1" applyAlignment="1">
      <alignment horizontal="center" vertical="center"/>
    </xf>
    <xf numFmtId="0" fontId="16" fillId="6" borderId="3" xfId="0" applyFont="1" applyFill="1" applyBorder="1" applyAlignment="1">
      <alignment horizontal="center" vertical="center"/>
    </xf>
    <xf numFmtId="0" fontId="20" fillId="0" borderId="32" xfId="13" applyNumberFormat="1" applyFont="1" applyBorder="1" applyAlignment="1">
      <alignment vertical="center"/>
    </xf>
    <xf numFmtId="0" fontId="20" fillId="0" borderId="35" xfId="13" applyNumberFormat="1" applyFont="1" applyBorder="1" applyAlignment="1">
      <alignment vertical="center"/>
    </xf>
    <xf numFmtId="0" fontId="19" fillId="5" borderId="0" xfId="0" applyFont="1" applyFill="1" applyAlignment="1">
      <alignment horizontal="center" vertical="center"/>
    </xf>
    <xf numFmtId="0" fontId="20" fillId="8" borderId="31" xfId="13" applyNumberFormat="1" applyFont="1" applyFill="1" applyBorder="1" applyAlignment="1">
      <alignment horizontal="center" vertical="center"/>
    </xf>
    <xf numFmtId="185" fontId="21" fillId="8" borderId="31" xfId="13" applyNumberFormat="1" applyFont="1" applyFill="1" applyBorder="1" applyAlignment="1">
      <alignment horizontal="center" vertical="center"/>
    </xf>
    <xf numFmtId="177" fontId="21" fillId="8" borderId="31" xfId="13" applyFont="1" applyFill="1" applyBorder="1" applyAlignment="1">
      <alignment horizontal="center" vertical="center"/>
    </xf>
    <xf numFmtId="183" fontId="22" fillId="8" borderId="31" xfId="13" applyNumberFormat="1" applyFont="1" applyFill="1" applyBorder="1" applyAlignment="1">
      <alignment horizontal="right" vertical="center" wrapText="1"/>
    </xf>
    <xf numFmtId="189" fontId="21" fillId="5" borderId="31" xfId="13" applyNumberFormat="1" applyFont="1" applyFill="1" applyBorder="1" applyAlignment="1">
      <alignment horizontal="center" vertical="center" wrapText="1"/>
    </xf>
    <xf numFmtId="190" fontId="16" fillId="0" borderId="1" xfId="1" applyNumberFormat="1" applyFont="1" applyBorder="1" applyAlignment="1">
      <alignment horizontal="center" vertical="center"/>
    </xf>
    <xf numFmtId="189" fontId="22" fillId="11" borderId="31" xfId="13" applyNumberFormat="1" applyFont="1" applyFill="1" applyBorder="1" applyAlignment="1">
      <alignment horizontal="center" vertical="center" wrapText="1"/>
    </xf>
    <xf numFmtId="188" fontId="16" fillId="0" borderId="3" xfId="1" applyNumberFormat="1" applyFont="1" applyFill="1" applyBorder="1" applyAlignment="1">
      <alignment horizontal="center" vertical="center"/>
    </xf>
    <xf numFmtId="187" fontId="16" fillId="5" borderId="3" xfId="0" applyNumberFormat="1" applyFont="1" applyFill="1" applyBorder="1" applyAlignment="1">
      <alignment horizontal="right" vertical="center" wrapText="1"/>
    </xf>
    <xf numFmtId="183" fontId="21" fillId="0" borderId="31" xfId="13" applyNumberFormat="1" applyFont="1" applyBorder="1" applyAlignment="1">
      <alignment horizontal="right" vertical="center" wrapText="1"/>
    </xf>
    <xf numFmtId="183" fontId="21" fillId="0" borderId="31" xfId="13" applyNumberFormat="1" applyFont="1" applyFill="1" applyBorder="1" applyAlignment="1">
      <alignment horizontal="right" vertical="center" wrapText="1"/>
    </xf>
    <xf numFmtId="186" fontId="22" fillId="5" borderId="31" xfId="13" applyNumberFormat="1" applyFont="1" applyFill="1" applyBorder="1" applyAlignment="1">
      <alignment horizontal="center" vertical="center"/>
    </xf>
    <xf numFmtId="0" fontId="17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22" fillId="0" borderId="31" xfId="15" quotePrefix="1" applyFont="1" applyBorder="1" applyAlignment="1">
      <alignment horizontal="center" vertical="center"/>
    </xf>
    <xf numFmtId="49" fontId="21" fillId="5" borderId="31" xfId="0" applyNumberFormat="1" applyFont="1" applyFill="1" applyBorder="1" applyAlignment="1">
      <alignment horizontal="center" vertical="center"/>
    </xf>
    <xf numFmtId="49" fontId="21" fillId="5" borderId="31" xfId="0" applyNumberFormat="1" applyFont="1" applyFill="1" applyBorder="1">
      <alignment vertical="center"/>
    </xf>
    <xf numFmtId="192" fontId="16" fillId="5" borderId="3" xfId="0" applyNumberFormat="1" applyFont="1" applyFill="1" applyBorder="1" applyAlignment="1">
      <alignment horizontal="right" vertical="center" wrapText="1"/>
    </xf>
    <xf numFmtId="192" fontId="16" fillId="6" borderId="3" xfId="1" applyNumberFormat="1" applyFont="1" applyFill="1" applyBorder="1" applyAlignment="1">
      <alignment horizontal="right" vertical="center" wrapText="1"/>
    </xf>
    <xf numFmtId="192" fontId="16" fillId="0" borderId="3" xfId="1" applyNumberFormat="1" applyFont="1" applyFill="1" applyBorder="1" applyAlignment="1">
      <alignment horizontal="right" vertical="center" wrapText="1"/>
    </xf>
    <xf numFmtId="192" fontId="16" fillId="5" borderId="3" xfId="0" applyNumberFormat="1" applyFont="1" applyFill="1" applyBorder="1" applyAlignment="1">
      <alignment horizontal="right" vertical="center"/>
    </xf>
    <xf numFmtId="192" fontId="16" fillId="5" borderId="3" xfId="1" applyNumberFormat="1" applyFont="1" applyFill="1" applyBorder="1" applyAlignment="1">
      <alignment horizontal="right" vertical="center" wrapText="1"/>
    </xf>
    <xf numFmtId="0" fontId="16" fillId="0" borderId="0" xfId="0" applyFont="1" applyAlignment="1">
      <alignment vertical="center" wrapText="1"/>
    </xf>
    <xf numFmtId="0" fontId="20" fillId="4" borderId="3" xfId="3" applyFont="1" applyFill="1" applyBorder="1" applyAlignment="1">
      <alignment horizontal="center" vertical="center" wrapText="1"/>
    </xf>
    <xf numFmtId="0" fontId="19" fillId="5" borderId="0" xfId="0" applyFont="1" applyFill="1" applyAlignment="1">
      <alignment vertical="center" wrapText="1"/>
    </xf>
    <xf numFmtId="0" fontId="20" fillId="0" borderId="0" xfId="0" applyFont="1" applyAlignment="1">
      <alignment horizontal="center" vertical="center"/>
    </xf>
    <xf numFmtId="0" fontId="20" fillId="4" borderId="3" xfId="0" applyFont="1" applyFill="1" applyBorder="1" applyAlignment="1">
      <alignment horizontal="center" vertical="center"/>
    </xf>
    <xf numFmtId="0" fontId="16" fillId="0" borderId="0" xfId="0" applyFont="1">
      <alignment vertical="center"/>
    </xf>
    <xf numFmtId="0" fontId="20" fillId="9" borderId="24" xfId="0" applyFont="1" applyFill="1" applyBorder="1">
      <alignment vertical="center"/>
    </xf>
    <xf numFmtId="0" fontId="20" fillId="9" borderId="21" xfId="0" applyFont="1" applyFill="1" applyBorder="1">
      <alignment vertical="center"/>
    </xf>
    <xf numFmtId="0" fontId="21" fillId="0" borderId="0" xfId="0" applyFont="1">
      <alignment vertical="center"/>
    </xf>
    <xf numFmtId="0" fontId="16" fillId="5" borderId="3" xfId="0" applyFont="1" applyFill="1" applyBorder="1">
      <alignment vertical="center"/>
    </xf>
    <xf numFmtId="183" fontId="16" fillId="5" borderId="3" xfId="0" applyNumberFormat="1" applyFont="1" applyFill="1" applyBorder="1">
      <alignment vertical="center"/>
    </xf>
    <xf numFmtId="0" fontId="19" fillId="12" borderId="0" xfId="0" applyFont="1" applyFill="1">
      <alignment vertical="center"/>
    </xf>
    <xf numFmtId="0" fontId="19" fillId="5" borderId="0" xfId="0" applyFont="1" applyFill="1">
      <alignment vertical="center"/>
    </xf>
    <xf numFmtId="177" fontId="12" fillId="12" borderId="0" xfId="0" applyNumberFormat="1" applyFont="1" applyFill="1">
      <alignment vertical="center"/>
    </xf>
    <xf numFmtId="0" fontId="23" fillId="0" borderId="0" xfId="0" applyFont="1">
      <alignment vertical="center"/>
    </xf>
    <xf numFmtId="177" fontId="23" fillId="0" borderId="0" xfId="0" applyNumberFormat="1" applyFont="1">
      <alignment vertical="center"/>
    </xf>
    <xf numFmtId="0" fontId="19" fillId="0" borderId="0" xfId="0" applyFont="1">
      <alignment vertical="center"/>
    </xf>
    <xf numFmtId="0" fontId="20" fillId="5" borderId="0" xfId="0" applyFont="1" applyFill="1">
      <alignment vertical="center"/>
    </xf>
    <xf numFmtId="192" fontId="16" fillId="5" borderId="3" xfId="1" applyNumberFormat="1" applyFont="1" applyFill="1" applyBorder="1" applyAlignment="1">
      <alignment horizontal="right" vertical="center"/>
    </xf>
    <xf numFmtId="0" fontId="21" fillId="7" borderId="3" xfId="0" applyFont="1" applyFill="1" applyBorder="1" applyAlignment="1">
      <alignment horizontal="center" vertical="center"/>
    </xf>
    <xf numFmtId="192" fontId="21" fillId="5" borderId="3" xfId="1" applyNumberFormat="1" applyFont="1" applyFill="1" applyBorder="1" applyAlignment="1">
      <alignment horizontal="right" vertical="center" wrapText="1"/>
    </xf>
    <xf numFmtId="177" fontId="16" fillId="5" borderId="3" xfId="1" applyFont="1" applyFill="1" applyBorder="1" applyAlignment="1">
      <alignment vertical="center"/>
    </xf>
    <xf numFmtId="193" fontId="16" fillId="0" borderId="3" xfId="1" applyNumberFormat="1" applyFont="1" applyFill="1" applyBorder="1" applyAlignment="1">
      <alignment horizontal="center" vertical="center"/>
    </xf>
    <xf numFmtId="185" fontId="21" fillId="0" borderId="31" xfId="13" applyNumberFormat="1" applyFont="1" applyFill="1" applyBorder="1" applyAlignment="1">
      <alignment horizontal="center" vertical="center"/>
    </xf>
    <xf numFmtId="177" fontId="21" fillId="0" borderId="31" xfId="13" applyFont="1" applyFill="1" applyBorder="1" applyAlignment="1">
      <alignment horizontal="center" vertical="center"/>
    </xf>
    <xf numFmtId="186" fontId="21" fillId="0" borderId="31" xfId="13" applyNumberFormat="1" applyFont="1" applyFill="1" applyBorder="1" applyAlignment="1">
      <alignment horizontal="center" vertical="center"/>
    </xf>
    <xf numFmtId="180" fontId="19" fillId="0" borderId="16" xfId="6" applyNumberFormat="1" applyFont="1" applyBorder="1" applyAlignment="1">
      <alignment vertical="center"/>
    </xf>
    <xf numFmtId="177" fontId="17" fillId="0" borderId="0" xfId="1" applyFont="1">
      <alignment vertical="center"/>
    </xf>
    <xf numFmtId="193" fontId="24" fillId="0" borderId="3" xfId="1" applyNumberFormat="1" applyFont="1" applyFill="1" applyBorder="1" applyAlignment="1">
      <alignment horizontal="center" vertical="center"/>
    </xf>
    <xf numFmtId="185" fontId="25" fillId="0" borderId="31" xfId="13" applyNumberFormat="1" applyFont="1" applyFill="1" applyBorder="1" applyAlignment="1">
      <alignment horizontal="center" vertical="center"/>
    </xf>
    <xf numFmtId="177" fontId="25" fillId="0" borderId="31" xfId="13" applyFont="1" applyFill="1" applyBorder="1" applyAlignment="1">
      <alignment horizontal="center" vertical="center"/>
    </xf>
    <xf numFmtId="49" fontId="25" fillId="0" borderId="31" xfId="0" applyNumberFormat="1" applyFont="1" applyBorder="1" applyAlignment="1">
      <alignment horizontal="center" vertical="center"/>
    </xf>
    <xf numFmtId="189" fontId="25" fillId="0" borderId="31" xfId="13" applyNumberFormat="1" applyFont="1" applyFill="1" applyBorder="1" applyAlignment="1">
      <alignment horizontal="center" vertical="center" wrapText="1"/>
    </xf>
    <xf numFmtId="191" fontId="21" fillId="10" borderId="31" xfId="13" applyNumberFormat="1" applyFont="1" applyFill="1" applyBorder="1" applyAlignment="1">
      <alignment horizontal="center" vertical="center"/>
    </xf>
    <xf numFmtId="191" fontId="21" fillId="0" borderId="31" xfId="13" applyNumberFormat="1" applyFont="1" applyBorder="1" applyAlignment="1">
      <alignment horizontal="center" vertical="center" wrapText="1"/>
    </xf>
    <xf numFmtId="194" fontId="25" fillId="0" borderId="31" xfId="13" applyNumberFormat="1" applyFont="1" applyFill="1" applyBorder="1" applyAlignment="1">
      <alignment horizontal="center" vertical="center" wrapText="1"/>
    </xf>
    <xf numFmtId="49" fontId="16" fillId="0" borderId="3" xfId="0" applyNumberFormat="1" applyFont="1" applyBorder="1" applyAlignment="1">
      <alignment horizontal="center" vertical="center" wrapText="1"/>
    </xf>
    <xf numFmtId="49" fontId="24" fillId="0" borderId="3" xfId="0" applyNumberFormat="1" applyFont="1" applyBorder="1" applyAlignment="1">
      <alignment horizontal="center" vertical="center" wrapText="1"/>
    </xf>
    <xf numFmtId="49" fontId="24" fillId="0" borderId="3" xfId="0" applyNumberFormat="1" applyFont="1" applyBorder="1" applyAlignment="1">
      <alignment horizontal="center" vertical="center"/>
    </xf>
    <xf numFmtId="49" fontId="16" fillId="0" borderId="3" xfId="0" applyNumberFormat="1" applyFont="1" applyBorder="1" applyAlignment="1">
      <alignment horizontal="center" vertical="center"/>
    </xf>
    <xf numFmtId="49" fontId="21" fillId="0" borderId="3" xfId="0" applyNumberFormat="1" applyFont="1" applyBorder="1" applyAlignment="1">
      <alignment horizontal="center" vertical="center" wrapText="1"/>
    </xf>
    <xf numFmtId="49" fontId="21" fillId="0" borderId="3" xfId="0" applyNumberFormat="1" applyFont="1" applyBorder="1" applyAlignment="1">
      <alignment horizontal="center" vertical="center"/>
    </xf>
    <xf numFmtId="49" fontId="17" fillId="0" borderId="3" xfId="0" applyNumberFormat="1" applyFont="1" applyBorder="1" applyAlignment="1">
      <alignment horizontal="center" vertical="center" wrapText="1"/>
    </xf>
    <xf numFmtId="49" fontId="17" fillId="0" borderId="3" xfId="0" applyNumberFormat="1" applyFont="1" applyBorder="1" applyAlignment="1">
      <alignment horizontal="center" vertical="center"/>
    </xf>
    <xf numFmtId="0" fontId="16" fillId="0" borderId="31" xfId="13" applyNumberFormat="1" applyFont="1" applyFill="1" applyBorder="1" applyAlignment="1">
      <alignment vertical="center"/>
    </xf>
    <xf numFmtId="185" fontId="25" fillId="7" borderId="31" xfId="13" applyNumberFormat="1" applyFont="1" applyFill="1" applyBorder="1" applyAlignment="1">
      <alignment horizontal="center" vertical="center"/>
    </xf>
    <xf numFmtId="177" fontId="25" fillId="7" borderId="31" xfId="13" applyFont="1" applyFill="1" applyBorder="1" applyAlignment="1">
      <alignment horizontal="center" vertical="center"/>
    </xf>
    <xf numFmtId="186" fontId="25" fillId="7" borderId="31" xfId="13" applyNumberFormat="1" applyFont="1" applyFill="1" applyBorder="1" applyAlignment="1">
      <alignment horizontal="center" vertical="center"/>
    </xf>
    <xf numFmtId="183" fontId="21" fillId="7" borderId="31" xfId="13" applyNumberFormat="1" applyFont="1" applyFill="1" applyBorder="1" applyAlignment="1">
      <alignment horizontal="right" vertical="center" wrapText="1"/>
    </xf>
    <xf numFmtId="186" fontId="17" fillId="0" borderId="0" xfId="0" applyNumberFormat="1" applyFont="1">
      <alignment vertical="center"/>
    </xf>
    <xf numFmtId="183" fontId="17" fillId="0" borderId="0" xfId="0" applyNumberFormat="1" applyFont="1">
      <alignment vertical="center"/>
    </xf>
    <xf numFmtId="186" fontId="28" fillId="0" borderId="31" xfId="13" applyNumberFormat="1" applyFont="1" applyFill="1" applyBorder="1" applyAlignment="1">
      <alignment horizontal="center" vertical="center"/>
    </xf>
    <xf numFmtId="185" fontId="21" fillId="7" borderId="31" xfId="13" applyNumberFormat="1" applyFont="1" applyFill="1" applyBorder="1" applyAlignment="1">
      <alignment horizontal="center" vertical="center"/>
    </xf>
    <xf numFmtId="177" fontId="21" fillId="7" borderId="31" xfId="13" applyFont="1" applyFill="1" applyBorder="1" applyAlignment="1">
      <alignment horizontal="center" vertical="center"/>
    </xf>
    <xf numFmtId="186" fontId="21" fillId="7" borderId="31" xfId="13" applyNumberFormat="1" applyFont="1" applyFill="1" applyBorder="1" applyAlignment="1">
      <alignment horizontal="center" vertical="center"/>
    </xf>
    <xf numFmtId="0" fontId="15" fillId="0" borderId="0" xfId="6" applyFont="1" applyAlignment="1">
      <alignment horizontal="center" vertical="center"/>
    </xf>
    <xf numFmtId="0" fontId="18" fillId="0" borderId="0" xfId="6" applyFont="1" applyAlignment="1">
      <alignment vertical="center"/>
    </xf>
    <xf numFmtId="0" fontId="17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0" fontId="20" fillId="0" borderId="0" xfId="0" applyFont="1" applyAlignment="1">
      <alignment horizontal="center" vertical="center"/>
    </xf>
    <xf numFmtId="0" fontId="16" fillId="0" borderId="37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20" fillId="0" borderId="21" xfId="0" applyFont="1" applyBorder="1" applyAlignment="1">
      <alignment horizontal="center" vertical="center"/>
    </xf>
    <xf numFmtId="0" fontId="20" fillId="9" borderId="3" xfId="0" applyFont="1" applyFill="1" applyBorder="1" applyAlignment="1">
      <alignment horizontal="center" vertical="center"/>
    </xf>
    <xf numFmtId="177" fontId="20" fillId="4" borderId="21" xfId="4" applyFont="1" applyFill="1" applyBorder="1" applyAlignment="1">
      <alignment horizontal="center" vertical="center"/>
    </xf>
    <xf numFmtId="178" fontId="20" fillId="4" borderId="21" xfId="5" applyFont="1" applyFill="1" applyBorder="1" applyAlignment="1">
      <alignment horizontal="center" vertical="center"/>
    </xf>
    <xf numFmtId="0" fontId="20" fillId="4" borderId="21" xfId="0" applyFont="1" applyFill="1" applyBorder="1" applyAlignment="1">
      <alignment horizontal="center" vertical="center"/>
    </xf>
    <xf numFmtId="0" fontId="20" fillId="4" borderId="3" xfId="0" applyFont="1" applyFill="1" applyBorder="1" applyAlignment="1">
      <alignment horizontal="center" vertical="center"/>
    </xf>
    <xf numFmtId="0" fontId="20" fillId="4" borderId="21" xfId="3" applyFont="1" applyFill="1" applyBorder="1" applyAlignment="1">
      <alignment horizontal="center" vertical="center"/>
    </xf>
    <xf numFmtId="0" fontId="20" fillId="4" borderId="3" xfId="3" applyFont="1" applyFill="1" applyBorder="1" applyAlignment="1">
      <alignment horizontal="center" vertical="center"/>
    </xf>
    <xf numFmtId="0" fontId="20" fillId="4" borderId="21" xfId="3" applyFont="1" applyFill="1" applyBorder="1" applyAlignment="1">
      <alignment horizontal="center" vertical="center" wrapText="1"/>
    </xf>
    <xf numFmtId="0" fontId="16" fillId="0" borderId="31" xfId="13" applyNumberFormat="1" applyFont="1" applyBorder="1" applyAlignment="1">
      <alignment vertical="center"/>
    </xf>
    <xf numFmtId="0" fontId="16" fillId="0" borderId="32" xfId="13" applyNumberFormat="1" applyFont="1" applyBorder="1" applyAlignment="1">
      <alignment vertical="center"/>
    </xf>
    <xf numFmtId="0" fontId="16" fillId="0" borderId="36" xfId="13" applyNumberFormat="1" applyFont="1" applyBorder="1" applyAlignment="1">
      <alignment vertical="center"/>
    </xf>
    <xf numFmtId="183" fontId="16" fillId="0" borderId="32" xfId="13" applyNumberFormat="1" applyFont="1" applyBorder="1" applyAlignment="1">
      <alignment horizontal="center" vertical="center" wrapText="1"/>
    </xf>
    <xf numFmtId="183" fontId="16" fillId="0" borderId="36" xfId="13" applyNumberFormat="1" applyFont="1" applyBorder="1" applyAlignment="1">
      <alignment horizontal="center" vertical="center" wrapText="1"/>
    </xf>
    <xf numFmtId="0" fontId="16" fillId="10" borderId="36" xfId="13" applyNumberFormat="1" applyFont="1" applyFill="1" applyBorder="1" applyAlignment="1">
      <alignment vertical="center"/>
    </xf>
    <xf numFmtId="0" fontId="16" fillId="0" borderId="31" xfId="13" applyNumberFormat="1" applyFont="1" applyFill="1" applyBorder="1" applyAlignment="1">
      <alignment vertical="center"/>
    </xf>
    <xf numFmtId="183" fontId="26" fillId="5" borderId="32" xfId="13" applyNumberFormat="1" applyFont="1" applyFill="1" applyBorder="1" applyAlignment="1">
      <alignment horizontal="center" vertical="center" wrapText="1"/>
    </xf>
    <xf numFmtId="183" fontId="21" fillId="5" borderId="35" xfId="13" applyNumberFormat="1" applyFont="1" applyFill="1" applyBorder="1" applyAlignment="1">
      <alignment horizontal="center" vertical="center" wrapText="1"/>
    </xf>
    <xf numFmtId="184" fontId="20" fillId="11" borderId="33" xfId="13" applyNumberFormat="1" applyFont="1" applyFill="1" applyBorder="1" applyAlignment="1">
      <alignment vertical="center"/>
    </xf>
    <xf numFmtId="184" fontId="22" fillId="11" borderId="34" xfId="13" applyNumberFormat="1" applyFont="1" applyFill="1" applyBorder="1" applyAlignment="1">
      <alignment vertical="center"/>
    </xf>
    <xf numFmtId="0" fontId="18" fillId="0" borderId="30" xfId="15" applyFont="1" applyBorder="1" applyAlignment="1">
      <alignment horizontal="center" vertical="center"/>
    </xf>
    <xf numFmtId="0" fontId="20" fillId="0" borderId="31" xfId="15" quotePrefix="1" applyFont="1" applyBorder="1" applyAlignment="1">
      <alignment horizontal="center" vertical="center"/>
    </xf>
    <xf numFmtId="0" fontId="22" fillId="0" borderId="31" xfId="15" quotePrefix="1" applyFont="1" applyBorder="1" applyAlignment="1">
      <alignment horizontal="center" vertical="center"/>
    </xf>
    <xf numFmtId="0" fontId="22" fillId="0" borderId="32" xfId="15" quotePrefix="1" applyFont="1" applyBorder="1" applyAlignment="1">
      <alignment horizontal="center" vertical="center"/>
    </xf>
    <xf numFmtId="0" fontId="22" fillId="0" borderId="35" xfId="15" quotePrefix="1" applyFont="1" applyBorder="1" applyAlignment="1">
      <alignment horizontal="center" vertical="center"/>
    </xf>
    <xf numFmtId="0" fontId="22" fillId="0" borderId="31" xfId="15" applyFont="1" applyBorder="1" applyAlignment="1">
      <alignment horizontal="center" vertical="center"/>
    </xf>
    <xf numFmtId="0" fontId="22" fillId="0" borderId="33" xfId="15" quotePrefix="1" applyFont="1" applyBorder="1" applyAlignment="1">
      <alignment horizontal="center" vertical="center"/>
    </xf>
    <xf numFmtId="0" fontId="22" fillId="0" borderId="34" xfId="15" quotePrefix="1" applyFont="1" applyBorder="1" applyAlignment="1">
      <alignment horizontal="center" vertical="center"/>
    </xf>
    <xf numFmtId="0" fontId="22" fillId="0" borderId="32" xfId="15" applyFont="1" applyBorder="1" applyAlignment="1">
      <alignment horizontal="center" vertical="center"/>
    </xf>
    <xf numFmtId="0" fontId="22" fillId="0" borderId="35" xfId="15" applyFont="1" applyBorder="1" applyAlignment="1">
      <alignment horizontal="center" vertical="center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9525</xdr:rowOff>
    </xdr:from>
    <xdr:to>
      <xdr:col>8</xdr:col>
      <xdr:colOff>399314</xdr:colOff>
      <xdr:row>41</xdr:row>
      <xdr:rowOff>113382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6392417-1157-405A-A30F-1B426B9F7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9075"/>
          <a:ext cx="5885714" cy="7342857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476250</xdr:colOff>
      <xdr:row>1</xdr:row>
      <xdr:rowOff>0</xdr:rowOff>
    </xdr:from>
    <xdr:to>
      <xdr:col>17</xdr:col>
      <xdr:colOff>237383</xdr:colOff>
      <xdr:row>42</xdr:row>
      <xdr:rowOff>46692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E8F5512-BC38-4453-8912-866F21BCE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62650" y="209550"/>
          <a:ext cx="5933333" cy="7466667"/>
        </a:xfrm>
        <a:prstGeom prst="rect">
          <a:avLst/>
        </a:prstGeom>
      </xdr:spPr>
    </xdr:pic>
    <xdr:clientData/>
  </xdr:twoCellAnchor>
  <xdr:twoCellAnchor editAs="oneCell">
    <xdr:from>
      <xdr:col>17</xdr:col>
      <xdr:colOff>400050</xdr:colOff>
      <xdr:row>1</xdr:row>
      <xdr:rowOff>0</xdr:rowOff>
    </xdr:from>
    <xdr:to>
      <xdr:col>25</xdr:col>
      <xdr:colOff>532698</xdr:colOff>
      <xdr:row>38</xdr:row>
      <xdr:rowOff>170592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E5F3308F-7E20-469B-8C87-FFB546BE6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58650" y="209550"/>
          <a:ext cx="5619048" cy="6866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zoomScale="85" zoomScaleNormal="85" workbookViewId="0">
      <selection activeCell="I25" sqref="I25"/>
    </sheetView>
  </sheetViews>
  <sheetFormatPr defaultColWidth="9" defaultRowHeight="12.75" x14ac:dyDescent="0.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 x14ac:dyDescent="0.2">
      <c r="A2" s="187" t="s">
        <v>6</v>
      </c>
      <c r="B2" s="187"/>
      <c r="C2" s="187"/>
      <c r="D2" s="187"/>
      <c r="E2" s="187"/>
      <c r="F2" s="187"/>
      <c r="G2" s="187"/>
      <c r="H2" s="2"/>
    </row>
    <row r="3" spans="1:9" ht="14.25" x14ac:dyDescent="0.2">
      <c r="A3" s="122"/>
      <c r="B3" s="122"/>
      <c r="C3" s="122"/>
      <c r="D3" s="122"/>
      <c r="E3" s="122"/>
      <c r="F3" s="122"/>
      <c r="G3" s="122"/>
      <c r="H3" s="122"/>
    </row>
    <row r="4" spans="1:9" ht="14.25" x14ac:dyDescent="0.2">
      <c r="A4" s="122"/>
      <c r="B4" s="122"/>
      <c r="C4" s="122"/>
      <c r="D4" s="122"/>
      <c r="E4" s="122"/>
      <c r="H4" s="122"/>
    </row>
    <row r="5" spans="1:9" ht="27" customHeight="1" x14ac:dyDescent="0.2">
      <c r="A5" s="123" t="s">
        <v>48</v>
      </c>
      <c r="B5" s="4"/>
      <c r="C5" s="5"/>
      <c r="D5" s="122"/>
      <c r="E5" s="122"/>
      <c r="F5" s="6" t="s">
        <v>38</v>
      </c>
      <c r="G5" s="7" t="s">
        <v>52</v>
      </c>
      <c r="H5" s="122"/>
    </row>
    <row r="6" spans="1:9" ht="27" customHeight="1" x14ac:dyDescent="0.2">
      <c r="A6" s="122"/>
      <c r="B6" s="122"/>
      <c r="C6" s="122"/>
      <c r="D6" s="122"/>
      <c r="E6" s="122"/>
      <c r="F6" s="8" t="s">
        <v>41</v>
      </c>
      <c r="G6" s="9" t="s">
        <v>53</v>
      </c>
      <c r="H6" s="122"/>
    </row>
    <row r="7" spans="1:9" ht="27" customHeight="1" x14ac:dyDescent="0.2">
      <c r="A7" s="190" t="s">
        <v>161</v>
      </c>
      <c r="B7" s="191"/>
      <c r="C7" s="192"/>
      <c r="D7" s="122"/>
      <c r="E7" s="10"/>
      <c r="F7" s="11" t="s">
        <v>42</v>
      </c>
      <c r="G7" s="9" t="s">
        <v>54</v>
      </c>
      <c r="H7" s="122"/>
    </row>
    <row r="8" spans="1:9" ht="27" customHeight="1" x14ac:dyDescent="0.2">
      <c r="A8" s="122"/>
      <c r="B8" s="122"/>
      <c r="C8" s="122"/>
      <c r="D8" s="122"/>
      <c r="E8" s="122"/>
      <c r="F8" s="8" t="s">
        <v>43</v>
      </c>
      <c r="G8" s="9" t="s">
        <v>55</v>
      </c>
      <c r="H8" s="122"/>
    </row>
    <row r="9" spans="1:9" ht="27" customHeight="1" x14ac:dyDescent="0.2">
      <c r="A9" s="190" t="s">
        <v>162</v>
      </c>
      <c r="B9" s="191"/>
      <c r="C9" s="192"/>
      <c r="D9" s="122"/>
      <c r="E9" s="122"/>
      <c r="F9" s="8" t="s">
        <v>44</v>
      </c>
      <c r="G9" s="9" t="s">
        <v>56</v>
      </c>
      <c r="H9" s="122"/>
    </row>
    <row r="10" spans="1:9" ht="27" customHeight="1" x14ac:dyDescent="0.2">
      <c r="A10" s="122"/>
      <c r="B10" s="122"/>
      <c r="C10" s="122"/>
      <c r="D10" s="122"/>
      <c r="E10" s="122"/>
      <c r="F10" s="12" t="s">
        <v>39</v>
      </c>
      <c r="G10" s="13" t="s">
        <v>57</v>
      </c>
      <c r="H10" s="122"/>
      <c r="I10" s="122"/>
    </row>
    <row r="11" spans="1:9" ht="27" customHeight="1" x14ac:dyDescent="0.2">
      <c r="A11" s="188"/>
      <c r="B11" s="189"/>
      <c r="C11" s="189"/>
      <c r="D11" s="122"/>
      <c r="E11" s="14"/>
      <c r="F11" s="15" t="s">
        <v>40</v>
      </c>
      <c r="G11" s="16" t="s">
        <v>58</v>
      </c>
      <c r="H11" s="14"/>
    </row>
    <row r="12" spans="1:9" ht="18.75" thickBot="1" x14ac:dyDescent="0.25">
      <c r="A12" s="17" t="s">
        <v>7</v>
      </c>
      <c r="B12" s="17" t="str">
        <f>NUMBERSTRING(F31,1)</f>
        <v>이백칠십팔만일천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 x14ac:dyDescent="0.25">
      <c r="A13" s="122"/>
      <c r="B13" s="122"/>
      <c r="C13" s="122"/>
      <c r="D13" s="122"/>
      <c r="E13" s="122"/>
      <c r="F13" s="122"/>
      <c r="G13" s="122"/>
      <c r="H13" s="19"/>
    </row>
    <row r="14" spans="1:9" ht="33" customHeight="1" thickBot="1" x14ac:dyDescent="0.25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 x14ac:dyDescent="0.2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 x14ac:dyDescent="0.2">
      <c r="A16" s="29"/>
      <c r="B16" s="30" t="s">
        <v>18</v>
      </c>
      <c r="C16" s="31"/>
      <c r="D16" s="32"/>
      <c r="E16" s="32"/>
      <c r="F16" s="33">
        <f>'내역서(표준단가)'!O18</f>
        <v>561495.09034999995</v>
      </c>
      <c r="G16" s="34"/>
    </row>
    <row r="17" spans="1:7" ht="33" customHeight="1" x14ac:dyDescent="0.2">
      <c r="A17" s="29"/>
      <c r="B17" s="30" t="s">
        <v>19</v>
      </c>
      <c r="C17" s="31"/>
      <c r="D17" s="32"/>
      <c r="E17" s="32"/>
      <c r="F17" s="33">
        <f>'내역서(표준단가)'!Q18</f>
        <v>1804820.8935799997</v>
      </c>
      <c r="G17" s="35"/>
    </row>
    <row r="18" spans="1:7" ht="33" customHeight="1" x14ac:dyDescent="0.2">
      <c r="A18" s="29"/>
      <c r="B18" s="30" t="s">
        <v>20</v>
      </c>
      <c r="C18" s="31"/>
      <c r="D18" s="32"/>
      <c r="E18" s="32"/>
      <c r="F18" s="33">
        <f>'내역서(표준단가)'!S18+'내역서(표준단가)'!U18</f>
        <v>0</v>
      </c>
      <c r="G18" s="35"/>
    </row>
    <row r="19" spans="1:7" ht="33" customHeight="1" x14ac:dyDescent="0.2">
      <c r="A19" s="29"/>
      <c r="B19" s="36" t="s">
        <v>21</v>
      </c>
      <c r="C19" s="36"/>
      <c r="D19" s="37"/>
      <c r="E19" s="37"/>
      <c r="F19" s="38">
        <f>F16+F17+F18</f>
        <v>2366315.9839299996</v>
      </c>
      <c r="G19" s="35"/>
    </row>
    <row r="20" spans="1:7" ht="33" customHeight="1" x14ac:dyDescent="0.2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 x14ac:dyDescent="0.2">
      <c r="A21" s="29"/>
      <c r="B21" s="42" t="s">
        <v>23</v>
      </c>
      <c r="C21" s="40" t="s">
        <v>24</v>
      </c>
      <c r="D21" s="30">
        <v>1</v>
      </c>
      <c r="E21" s="30" t="s">
        <v>25</v>
      </c>
      <c r="F21" s="43">
        <f>F17*4.5%</f>
        <v>81216.94021109998</v>
      </c>
      <c r="G21" s="35" t="s">
        <v>26</v>
      </c>
    </row>
    <row r="22" spans="1:7" ht="33" customHeight="1" x14ac:dyDescent="0.2">
      <c r="A22" s="29"/>
      <c r="B22" s="44" t="s">
        <v>27</v>
      </c>
      <c r="C22" s="45" t="s">
        <v>49</v>
      </c>
      <c r="D22" s="46">
        <v>1</v>
      </c>
      <c r="E22" s="46" t="s">
        <v>25</v>
      </c>
      <c r="F22" s="47">
        <f>F17*3.545%</f>
        <v>63980.900677410995</v>
      </c>
      <c r="G22" s="48" t="s">
        <v>28</v>
      </c>
    </row>
    <row r="23" spans="1:7" ht="33" customHeight="1" x14ac:dyDescent="0.2">
      <c r="A23" s="29"/>
      <c r="B23" s="42" t="s">
        <v>29</v>
      </c>
      <c r="C23" s="40" t="s">
        <v>50</v>
      </c>
      <c r="D23" s="30">
        <v>1</v>
      </c>
      <c r="E23" s="30" t="s">
        <v>25</v>
      </c>
      <c r="F23" s="43">
        <f>F22*12.95%</f>
        <v>8285.5266377247244</v>
      </c>
      <c r="G23" s="35" t="s">
        <v>28</v>
      </c>
    </row>
    <row r="24" spans="1:7" ht="33" customHeight="1" x14ac:dyDescent="0.2">
      <c r="A24" s="29"/>
      <c r="B24" s="42" t="s">
        <v>30</v>
      </c>
      <c r="C24" s="40" t="s">
        <v>46</v>
      </c>
      <c r="D24" s="30">
        <v>1</v>
      </c>
      <c r="E24" s="30" t="s">
        <v>25</v>
      </c>
      <c r="F24" s="43">
        <f>F17*1.01%</f>
        <v>18228.691025157998</v>
      </c>
      <c r="G24" s="35" t="s">
        <v>28</v>
      </c>
    </row>
    <row r="25" spans="1:7" ht="33" customHeight="1" x14ac:dyDescent="0.2">
      <c r="A25" s="29"/>
      <c r="B25" s="42" t="s">
        <v>31</v>
      </c>
      <c r="C25" s="40" t="s">
        <v>51</v>
      </c>
      <c r="D25" s="30">
        <v>1</v>
      </c>
      <c r="E25" s="30" t="s">
        <v>25</v>
      </c>
      <c r="F25" s="43">
        <f>F17*3.56%</f>
        <v>64251.623811447986</v>
      </c>
      <c r="G25" s="35" t="s">
        <v>28</v>
      </c>
    </row>
    <row r="26" spans="1:7" ht="33" customHeight="1" x14ac:dyDescent="0.2">
      <c r="A26" s="29"/>
      <c r="B26" s="42" t="s">
        <v>32</v>
      </c>
      <c r="C26" s="49" t="s">
        <v>147</v>
      </c>
      <c r="D26" s="30">
        <v>1</v>
      </c>
      <c r="E26" s="30" t="s">
        <v>25</v>
      </c>
      <c r="F26" s="43">
        <f>(F16+F17)*3.11%</f>
        <v>73592.42710022298</v>
      </c>
      <c r="G26" s="35" t="s">
        <v>26</v>
      </c>
    </row>
    <row r="27" spans="1:7" ht="33" customHeight="1" x14ac:dyDescent="0.2">
      <c r="A27" s="29"/>
      <c r="B27" s="42" t="s">
        <v>36</v>
      </c>
      <c r="C27" s="49" t="s">
        <v>37</v>
      </c>
      <c r="D27" s="30">
        <v>1</v>
      </c>
      <c r="E27" s="30" t="s">
        <v>25</v>
      </c>
      <c r="F27" s="43">
        <f>SUM(F17+F21+F22+F23+F24+F25+F26)*5%</f>
        <v>105718.85015215323</v>
      </c>
      <c r="G27" s="35"/>
    </row>
    <row r="28" spans="1:7" ht="33" customHeight="1" x14ac:dyDescent="0.2">
      <c r="A28" s="29"/>
      <c r="B28" s="36" t="s">
        <v>33</v>
      </c>
      <c r="C28" s="50"/>
      <c r="D28" s="51"/>
      <c r="E28" s="37"/>
      <c r="F28" s="52">
        <f>F21+F22+F23+F24+F25+F26+F27</f>
        <v>415274.95961521787</v>
      </c>
      <c r="G28" s="35"/>
    </row>
    <row r="29" spans="1:7" ht="33" customHeight="1" x14ac:dyDescent="0.2">
      <c r="A29" s="29"/>
      <c r="B29" s="40"/>
      <c r="C29" s="53"/>
      <c r="D29" s="54"/>
      <c r="E29" s="32"/>
      <c r="F29" s="55"/>
      <c r="G29" s="35"/>
    </row>
    <row r="30" spans="1:7" ht="33" customHeight="1" x14ac:dyDescent="0.2">
      <c r="A30" s="29"/>
      <c r="B30" s="56"/>
      <c r="C30" s="53"/>
      <c r="D30" s="54"/>
      <c r="E30" s="32"/>
      <c r="F30" s="57">
        <f>F19+F28+F29</f>
        <v>2781590.9435452176</v>
      </c>
      <c r="G30" s="35"/>
    </row>
    <row r="31" spans="1:7" ht="33" customHeight="1" x14ac:dyDescent="0.2">
      <c r="A31" s="29"/>
      <c r="B31" s="36" t="s">
        <v>34</v>
      </c>
      <c r="C31" s="36"/>
      <c r="D31" s="37"/>
      <c r="E31" s="37"/>
      <c r="F31" s="58">
        <f>ROUNDDOWN(F30,-3)</f>
        <v>2781000</v>
      </c>
      <c r="G31" s="158"/>
    </row>
    <row r="32" spans="1:7" ht="33" customHeight="1" thickBot="1" x14ac:dyDescent="0.25">
      <c r="A32" s="59"/>
      <c r="B32" s="60" t="s">
        <v>35</v>
      </c>
      <c r="C32" s="61"/>
      <c r="D32" s="61"/>
      <c r="E32" s="61"/>
      <c r="F32" s="62"/>
      <c r="G32" s="63"/>
    </row>
    <row r="33" spans="2:2" ht="15.75" x14ac:dyDescent="0.25">
      <c r="B33" s="64"/>
    </row>
    <row r="34" spans="2:2" ht="15.75" x14ac:dyDescent="0.25">
      <c r="B34" s="64"/>
    </row>
  </sheetData>
  <mergeCells count="4">
    <mergeCell ref="A2:G2"/>
    <mergeCell ref="A11:C11"/>
    <mergeCell ref="A9:C9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8"/>
  <sheetViews>
    <sheetView showGridLines="0" zoomScale="80" zoomScaleNormal="80" workbookViewId="0">
      <pane ySplit="4" topLeftCell="A5" activePane="bottomLeft" state="frozen"/>
      <selection pane="bottomLeft" activeCell="N20" sqref="N20"/>
    </sheetView>
  </sheetViews>
  <sheetFormatPr defaultColWidth="9" defaultRowHeight="38.1" customHeight="1" x14ac:dyDescent="0.3"/>
  <cols>
    <col min="1" max="1" width="22.625" style="149" bestFit="1" customWidth="1"/>
    <col min="2" max="5" width="4.625" style="149" hidden="1" customWidth="1"/>
    <col min="6" max="6" width="9" style="137" hidden="1" customWidth="1"/>
    <col min="7" max="9" width="12.625" style="137" hidden="1" customWidth="1"/>
    <col min="10" max="11" width="30.625" style="132" customWidth="1"/>
    <col min="12" max="12" width="12.375" style="137" bestFit="1" customWidth="1"/>
    <col min="13" max="13" width="8.25" style="137" customWidth="1"/>
    <col min="14" max="14" width="10.625" style="137" bestFit="1" customWidth="1"/>
    <col min="15" max="15" width="13.25" style="137" bestFit="1" customWidth="1"/>
    <col min="16" max="16" width="12" style="137" bestFit="1" customWidth="1"/>
    <col min="17" max="17" width="15.625" style="137" bestFit="1" customWidth="1"/>
    <col min="18" max="18" width="9" style="137" customWidth="1"/>
    <col min="19" max="19" width="8.75" style="137" bestFit="1" customWidth="1"/>
    <col min="20" max="20" width="10.5" style="137" customWidth="1"/>
    <col min="21" max="21" width="8.75" style="137" bestFit="1" customWidth="1"/>
    <col min="22" max="22" width="15.625" style="137" bestFit="1" customWidth="1"/>
    <col min="23" max="23" width="10.625" style="66" bestFit="1" customWidth="1"/>
    <col min="24" max="24" width="8.5" style="137" bestFit="1" customWidth="1"/>
    <col min="25" max="16384" width="9" style="137"/>
  </cols>
  <sheetData>
    <row r="1" spans="1:24" ht="19.899999999999999" customHeight="1" x14ac:dyDescent="0.3">
      <c r="A1" s="193"/>
      <c r="B1" s="193"/>
      <c r="C1" s="193"/>
      <c r="D1" s="193"/>
      <c r="E1" s="193"/>
      <c r="F1" s="193"/>
      <c r="G1" s="193"/>
      <c r="H1" s="193"/>
      <c r="I1" s="193"/>
      <c r="N1" s="66"/>
      <c r="O1" s="135" t="s">
        <v>96</v>
      </c>
      <c r="Q1" s="135" t="s">
        <v>96</v>
      </c>
      <c r="S1" s="135" t="s">
        <v>96</v>
      </c>
      <c r="U1" s="135" t="s">
        <v>96</v>
      </c>
    </row>
    <row r="2" spans="1:24" ht="19.899999999999999" customHeight="1" thickBot="1" x14ac:dyDescent="0.35">
      <c r="A2" s="193"/>
      <c r="B2" s="193"/>
      <c r="C2" s="193"/>
      <c r="D2" s="193"/>
      <c r="E2" s="193"/>
      <c r="F2" s="193"/>
      <c r="G2" s="193"/>
      <c r="H2" s="193"/>
      <c r="I2" s="193"/>
      <c r="N2" s="67"/>
      <c r="O2" s="68">
        <v>0.83499999999999996</v>
      </c>
      <c r="Q2" s="68">
        <v>0.83499999999999996</v>
      </c>
      <c r="S2" s="68">
        <v>0.83499999999999996</v>
      </c>
      <c r="U2" s="68">
        <v>0.83499999999999996</v>
      </c>
    </row>
    <row r="3" spans="1:24" ht="19.899999999999999" customHeight="1" x14ac:dyDescent="0.3">
      <c r="A3" s="138"/>
      <c r="B3" s="139"/>
      <c r="C3" s="139"/>
      <c r="D3" s="139"/>
      <c r="E3" s="139"/>
      <c r="F3" s="139" t="s">
        <v>97</v>
      </c>
      <c r="G3" s="139"/>
      <c r="H3" s="139"/>
      <c r="I3" s="139"/>
      <c r="J3" s="204" t="s">
        <v>98</v>
      </c>
      <c r="K3" s="204"/>
      <c r="L3" s="202" t="s">
        <v>47</v>
      </c>
      <c r="M3" s="202" t="s">
        <v>5</v>
      </c>
      <c r="N3" s="198" t="s">
        <v>99</v>
      </c>
      <c r="O3" s="198"/>
      <c r="P3" s="198" t="s">
        <v>100</v>
      </c>
      <c r="Q3" s="198"/>
      <c r="R3" s="199" t="s">
        <v>101</v>
      </c>
      <c r="S3" s="199"/>
      <c r="T3" s="199" t="s">
        <v>102</v>
      </c>
      <c r="U3" s="199"/>
      <c r="V3" s="200" t="s">
        <v>103</v>
      </c>
      <c r="W3" s="196" t="s">
        <v>104</v>
      </c>
      <c r="X3" s="194" t="s">
        <v>45</v>
      </c>
    </row>
    <row r="4" spans="1:24" ht="19.899999999999999" customHeight="1" x14ac:dyDescent="0.3">
      <c r="A4" s="69" t="s">
        <v>105</v>
      </c>
      <c r="B4" s="136"/>
      <c r="C4" s="136"/>
      <c r="D4" s="136"/>
      <c r="E4" s="136"/>
      <c r="F4" s="70" t="s">
        <v>106</v>
      </c>
      <c r="G4" s="70" t="s">
        <v>107</v>
      </c>
      <c r="H4" s="70" t="s">
        <v>108</v>
      </c>
      <c r="I4" s="70" t="s">
        <v>109</v>
      </c>
      <c r="J4" s="133" t="s">
        <v>110</v>
      </c>
      <c r="K4" s="133" t="s">
        <v>111</v>
      </c>
      <c r="L4" s="203"/>
      <c r="M4" s="203"/>
      <c r="N4" s="71" t="s">
        <v>112</v>
      </c>
      <c r="O4" s="72" t="s">
        <v>113</v>
      </c>
      <c r="P4" s="71" t="s">
        <v>114</v>
      </c>
      <c r="Q4" s="72" t="s">
        <v>113</v>
      </c>
      <c r="R4" s="72" t="s">
        <v>115</v>
      </c>
      <c r="S4" s="72" t="s">
        <v>113</v>
      </c>
      <c r="T4" s="72" t="s">
        <v>115</v>
      </c>
      <c r="U4" s="72" t="s">
        <v>113</v>
      </c>
      <c r="V4" s="201"/>
      <c r="W4" s="197"/>
      <c r="X4" s="195"/>
    </row>
    <row r="5" spans="1:24" s="140" customFormat="1" ht="38.1" customHeight="1" x14ac:dyDescent="0.3">
      <c r="A5" s="73" t="str">
        <f t="shared" ref="A5" si="0">F5&amp;G5&amp;H5&amp;I5</f>
        <v>M020853710050101</v>
      </c>
      <c r="B5" s="106"/>
      <c r="C5" s="106"/>
      <c r="D5" s="106"/>
      <c r="E5" s="106"/>
      <c r="F5" s="100"/>
      <c r="G5" s="74"/>
      <c r="H5" s="74" t="s">
        <v>148</v>
      </c>
      <c r="I5" s="100"/>
      <c r="J5" s="168" t="s">
        <v>149</v>
      </c>
      <c r="K5" s="169" t="s">
        <v>164</v>
      </c>
      <c r="L5" s="170" t="s">
        <v>157</v>
      </c>
      <c r="M5" s="160">
        <v>6.0568999999999997</v>
      </c>
      <c r="N5" s="150">
        <v>20900</v>
      </c>
      <c r="O5" s="128">
        <f t="shared" ref="O5" si="1">SUM(N5:N5)*M5*$O$2</f>
        <v>105701.99034999999</v>
      </c>
      <c r="P5" s="127"/>
      <c r="Q5" s="128">
        <f t="shared" ref="Q5" si="2">(P5*M5)*$Q$2</f>
        <v>0</v>
      </c>
      <c r="R5" s="129"/>
      <c r="S5" s="128">
        <f t="shared" ref="S5" si="3">R5*M5*$S$2</f>
        <v>0</v>
      </c>
      <c r="T5" s="129"/>
      <c r="U5" s="128">
        <f t="shared" ref="U5" si="4">T5*M5*$U$2</f>
        <v>0</v>
      </c>
      <c r="V5" s="76">
        <f t="shared" ref="V5" si="5">SUM(O5+Q5)+S5+U5</f>
        <v>105701.99034999999</v>
      </c>
      <c r="W5" s="117"/>
      <c r="X5" s="77"/>
    </row>
    <row r="6" spans="1:24" s="140" customFormat="1" ht="38.1" customHeight="1" x14ac:dyDescent="0.3">
      <c r="A6" s="73" t="str">
        <f t="shared" ref="A6" si="6">F6&amp;G6&amp;H6&amp;I6</f>
        <v>E00000803071260301</v>
      </c>
      <c r="B6" s="106"/>
      <c r="C6" s="106"/>
      <c r="D6" s="106"/>
      <c r="E6" s="106"/>
      <c r="F6" s="100"/>
      <c r="G6" s="74" t="s">
        <v>116</v>
      </c>
      <c r="H6" s="74"/>
      <c r="I6" s="100"/>
      <c r="J6" s="168" t="s">
        <v>118</v>
      </c>
      <c r="K6" s="169" t="s">
        <v>160</v>
      </c>
      <c r="L6" s="168" t="s">
        <v>117</v>
      </c>
      <c r="M6" s="154">
        <v>2.1739999999999999</v>
      </c>
      <c r="N6" s="130"/>
      <c r="O6" s="128">
        <f t="shared" ref="O6" si="7">SUM(N6:N6)*M6*$O$2</f>
        <v>0</v>
      </c>
      <c r="P6" s="127">
        <v>487076</v>
      </c>
      <c r="Q6" s="128">
        <f t="shared" ref="Q6" si="8">(P6*M6)*$Q$2</f>
        <v>884184.19203999988</v>
      </c>
      <c r="R6" s="129"/>
      <c r="S6" s="128">
        <f t="shared" ref="S6" si="9">R6*M6*$S$2</f>
        <v>0</v>
      </c>
      <c r="T6" s="129"/>
      <c r="U6" s="128">
        <f t="shared" ref="U6" si="10">T6*M6*$U$2</f>
        <v>0</v>
      </c>
      <c r="V6" s="76">
        <f t="shared" ref="V6" si="11">SUM(O6+Q6)+S6+U6</f>
        <v>884184.19203999988</v>
      </c>
      <c r="W6" s="117"/>
      <c r="X6" s="77"/>
    </row>
    <row r="7" spans="1:24" s="140" customFormat="1" ht="38.1" customHeight="1" x14ac:dyDescent="0.3">
      <c r="A7" s="73" t="str">
        <f t="shared" ref="A7" si="12">F7&amp;G7&amp;H7&amp;I7</f>
        <v>M020809012520101</v>
      </c>
      <c r="B7" s="106"/>
      <c r="C7" s="106"/>
      <c r="D7" s="106"/>
      <c r="E7" s="106"/>
      <c r="F7" s="100"/>
      <c r="G7" s="74"/>
      <c r="H7" s="74" t="s">
        <v>151</v>
      </c>
      <c r="I7" s="100"/>
      <c r="J7" s="168" t="s">
        <v>152</v>
      </c>
      <c r="K7" s="168" t="s">
        <v>153</v>
      </c>
      <c r="L7" s="171" t="s">
        <v>150</v>
      </c>
      <c r="M7" s="154">
        <v>39.6</v>
      </c>
      <c r="N7" s="131">
        <v>13000</v>
      </c>
      <c r="O7" s="128">
        <f t="shared" ref="O7:O16" si="13">SUM(N7:N7)*M7*$O$2</f>
        <v>429858</v>
      </c>
      <c r="P7" s="127"/>
      <c r="Q7" s="128">
        <f t="shared" ref="Q7:Q17" si="14">(P7*M7)*$Q$2</f>
        <v>0</v>
      </c>
      <c r="R7" s="129"/>
      <c r="S7" s="128">
        <f t="shared" ref="S7:S17" si="15">R7*M7*$S$2</f>
        <v>0</v>
      </c>
      <c r="T7" s="129"/>
      <c r="U7" s="128">
        <f t="shared" ref="U7:U17" si="16">T7*M7*$U$2</f>
        <v>0</v>
      </c>
      <c r="V7" s="76">
        <f t="shared" ref="V7:V17" si="17">SUM(O7+Q7)+S7+U7</f>
        <v>429858</v>
      </c>
      <c r="W7" s="117"/>
      <c r="X7" s="77"/>
    </row>
    <row r="8" spans="1:24" s="140" customFormat="1" ht="38.1" customHeight="1" x14ac:dyDescent="0.3">
      <c r="A8" s="73" t="str">
        <f t="shared" ref="A8:A17" si="18">F8&amp;G8&amp;H8&amp;I8</f>
        <v>E00000803071260401</v>
      </c>
      <c r="B8" s="106"/>
      <c r="C8" s="106"/>
      <c r="D8" s="106"/>
      <c r="E8" s="106"/>
      <c r="F8" s="100"/>
      <c r="G8" s="74" t="s">
        <v>119</v>
      </c>
      <c r="H8" s="74"/>
      <c r="I8" s="100"/>
      <c r="J8" s="168" t="s">
        <v>120</v>
      </c>
      <c r="K8" s="168" t="s">
        <v>158</v>
      </c>
      <c r="L8" s="168" t="s">
        <v>117</v>
      </c>
      <c r="M8" s="154">
        <v>0.64900000000000002</v>
      </c>
      <c r="N8" s="130"/>
      <c r="O8" s="128">
        <f t="shared" si="13"/>
        <v>0</v>
      </c>
      <c r="P8" s="127">
        <v>487076</v>
      </c>
      <c r="Q8" s="128">
        <f t="shared" si="14"/>
        <v>263953.79054000002</v>
      </c>
      <c r="R8" s="129"/>
      <c r="S8" s="128">
        <f t="shared" si="15"/>
        <v>0</v>
      </c>
      <c r="T8" s="129"/>
      <c r="U8" s="128">
        <f t="shared" si="16"/>
        <v>0</v>
      </c>
      <c r="V8" s="76">
        <f t="shared" si="17"/>
        <v>263953.79054000002</v>
      </c>
      <c r="W8" s="117"/>
      <c r="X8" s="77"/>
    </row>
    <row r="9" spans="1:24" s="140" customFormat="1" ht="38.1" customHeight="1" x14ac:dyDescent="0.3">
      <c r="A9" s="73" t="str">
        <f t="shared" si="18"/>
        <v>M020412614110102</v>
      </c>
      <c r="B9" s="106"/>
      <c r="C9" s="106"/>
      <c r="D9" s="106"/>
      <c r="E9" s="106"/>
      <c r="F9" s="100"/>
      <c r="G9" s="74"/>
      <c r="H9" s="151" t="s">
        <v>145</v>
      </c>
      <c r="I9" s="100"/>
      <c r="J9" s="172" t="s">
        <v>144</v>
      </c>
      <c r="K9" s="172" t="s">
        <v>139</v>
      </c>
      <c r="L9" s="173" t="s">
        <v>138</v>
      </c>
      <c r="M9" s="154">
        <v>0.2</v>
      </c>
      <c r="N9" s="152">
        <v>65500</v>
      </c>
      <c r="O9" s="128">
        <f t="shared" si="13"/>
        <v>10938.5</v>
      </c>
      <c r="P9" s="127"/>
      <c r="Q9" s="128"/>
      <c r="R9" s="129"/>
      <c r="S9" s="128"/>
      <c r="T9" s="129"/>
      <c r="U9" s="128"/>
      <c r="V9" s="76">
        <f t="shared" si="17"/>
        <v>10938.5</v>
      </c>
      <c r="W9" s="117"/>
      <c r="X9" s="77"/>
    </row>
    <row r="10" spans="1:24" s="140" customFormat="1" ht="38.1" customHeight="1" x14ac:dyDescent="0.3">
      <c r="A10" s="73" t="str">
        <f t="shared" si="18"/>
        <v>E00000803061120402</v>
      </c>
      <c r="B10" s="106"/>
      <c r="C10" s="106"/>
      <c r="D10" s="106"/>
      <c r="E10" s="106"/>
      <c r="F10" s="100"/>
      <c r="G10" s="74" t="s">
        <v>121</v>
      </c>
      <c r="H10" s="74"/>
      <c r="I10" s="100"/>
      <c r="J10" s="168" t="s">
        <v>122</v>
      </c>
      <c r="K10" s="169" t="s">
        <v>123</v>
      </c>
      <c r="L10" s="170" t="s">
        <v>136</v>
      </c>
      <c r="M10" s="160">
        <v>20</v>
      </c>
      <c r="N10" s="127"/>
      <c r="O10" s="128">
        <f t="shared" si="13"/>
        <v>0</v>
      </c>
      <c r="P10" s="127">
        <v>10432</v>
      </c>
      <c r="Q10" s="128">
        <f t="shared" ref="Q10:Q16" si="19">(P10*M10)*$Q$2</f>
        <v>174214.39999999999</v>
      </c>
      <c r="R10" s="129"/>
      <c r="S10" s="128">
        <f t="shared" ref="S10:S16" si="20">R10*M10*$S$2</f>
        <v>0</v>
      </c>
      <c r="T10" s="129"/>
      <c r="U10" s="128">
        <f t="shared" ref="U10:U16" si="21">T10*M10*$U$2</f>
        <v>0</v>
      </c>
      <c r="V10" s="76">
        <f t="shared" si="17"/>
        <v>174214.39999999999</v>
      </c>
      <c r="W10" s="117"/>
      <c r="X10" s="77"/>
    </row>
    <row r="11" spans="1:24" s="140" customFormat="1" ht="38.1" customHeight="1" x14ac:dyDescent="0.3">
      <c r="A11" s="73" t="str">
        <f t="shared" si="18"/>
        <v>E00000803061300201</v>
      </c>
      <c r="B11" s="106"/>
      <c r="C11" s="106"/>
      <c r="D11" s="106"/>
      <c r="E11" s="106"/>
      <c r="F11" s="100"/>
      <c r="G11" s="74" t="s">
        <v>125</v>
      </c>
      <c r="H11" s="74"/>
      <c r="I11" s="100"/>
      <c r="J11" s="168" t="s">
        <v>126</v>
      </c>
      <c r="K11" s="169" t="s">
        <v>127</v>
      </c>
      <c r="L11" s="170" t="s">
        <v>124</v>
      </c>
      <c r="M11" s="160">
        <v>17.399999999999999</v>
      </c>
      <c r="N11" s="127"/>
      <c r="O11" s="128">
        <f t="shared" si="13"/>
        <v>0</v>
      </c>
      <c r="P11" s="127">
        <v>6179</v>
      </c>
      <c r="Q11" s="128">
        <f t="shared" si="19"/>
        <v>89774.690999999992</v>
      </c>
      <c r="R11" s="129"/>
      <c r="S11" s="128">
        <f t="shared" si="20"/>
        <v>0</v>
      </c>
      <c r="T11" s="129"/>
      <c r="U11" s="128">
        <f t="shared" si="21"/>
        <v>0</v>
      </c>
      <c r="V11" s="76">
        <f t="shared" si="17"/>
        <v>89774.690999999992</v>
      </c>
      <c r="W11" s="117"/>
      <c r="X11" s="77"/>
    </row>
    <row r="12" spans="1:24" s="140" customFormat="1" ht="38.1" customHeight="1" x14ac:dyDescent="0.3">
      <c r="A12" s="73" t="str">
        <f t="shared" si="18"/>
        <v>M020411810170101</v>
      </c>
      <c r="B12" s="106"/>
      <c r="C12" s="106"/>
      <c r="D12" s="106"/>
      <c r="E12" s="106"/>
      <c r="F12" s="100"/>
      <c r="G12" s="74"/>
      <c r="H12" s="151" t="s">
        <v>140</v>
      </c>
      <c r="I12" s="100"/>
      <c r="J12" s="172" t="s">
        <v>141</v>
      </c>
      <c r="K12" s="172" t="s">
        <v>142</v>
      </c>
      <c r="L12" s="173" t="s">
        <v>138</v>
      </c>
      <c r="M12" s="154">
        <v>0.2</v>
      </c>
      <c r="N12" s="152">
        <v>89800</v>
      </c>
      <c r="O12" s="128">
        <f t="shared" si="13"/>
        <v>14996.599999999999</v>
      </c>
      <c r="P12" s="127"/>
      <c r="Q12" s="128"/>
      <c r="R12" s="129"/>
      <c r="S12" s="128">
        <f t="shared" si="20"/>
        <v>0</v>
      </c>
      <c r="T12" s="129"/>
      <c r="U12" s="128">
        <f t="shared" si="21"/>
        <v>0</v>
      </c>
      <c r="V12" s="76">
        <f t="shared" si="17"/>
        <v>14996.599999999999</v>
      </c>
      <c r="W12" s="117"/>
      <c r="X12" s="77"/>
    </row>
    <row r="13" spans="1:24" s="140" customFormat="1" ht="38.1" customHeight="1" x14ac:dyDescent="0.3">
      <c r="A13" s="73" t="str">
        <f t="shared" si="18"/>
        <v>E00000803061120802</v>
      </c>
      <c r="B13" s="106"/>
      <c r="C13" s="106"/>
      <c r="D13" s="106"/>
      <c r="E13" s="106"/>
      <c r="F13" s="100"/>
      <c r="G13" s="74" t="s">
        <v>128</v>
      </c>
      <c r="H13" s="74"/>
      <c r="I13" s="100"/>
      <c r="J13" s="168" t="s">
        <v>129</v>
      </c>
      <c r="K13" s="168" t="s">
        <v>130</v>
      </c>
      <c r="L13" s="171" t="s">
        <v>124</v>
      </c>
      <c r="M13" s="154">
        <v>10</v>
      </c>
      <c r="N13" s="141"/>
      <c r="O13" s="75">
        <f t="shared" si="13"/>
        <v>0</v>
      </c>
      <c r="P13" s="142">
        <v>2422</v>
      </c>
      <c r="Q13" s="75">
        <f t="shared" si="19"/>
        <v>20223.7</v>
      </c>
      <c r="R13" s="76"/>
      <c r="S13" s="75">
        <f t="shared" si="20"/>
        <v>0</v>
      </c>
      <c r="T13" s="76"/>
      <c r="U13" s="75">
        <f t="shared" si="21"/>
        <v>0</v>
      </c>
      <c r="V13" s="76">
        <f t="shared" si="17"/>
        <v>20223.7</v>
      </c>
      <c r="W13" s="117"/>
      <c r="X13" s="77"/>
    </row>
    <row r="14" spans="1:24" s="140" customFormat="1" ht="38.1" customHeight="1" x14ac:dyDescent="0.3">
      <c r="A14" s="73" t="str">
        <f t="shared" si="18"/>
        <v>E00000803061300701</v>
      </c>
      <c r="B14" s="106"/>
      <c r="C14" s="106"/>
      <c r="D14" s="106"/>
      <c r="E14" s="106"/>
      <c r="F14" s="100"/>
      <c r="G14" s="74" t="s">
        <v>131</v>
      </c>
      <c r="H14" s="74"/>
      <c r="I14" s="100"/>
      <c r="J14" s="168" t="s">
        <v>132</v>
      </c>
      <c r="K14" s="168" t="s">
        <v>127</v>
      </c>
      <c r="L14" s="171" t="s">
        <v>124</v>
      </c>
      <c r="M14" s="154">
        <v>10</v>
      </c>
      <c r="N14" s="118"/>
      <c r="O14" s="75">
        <f t="shared" si="13"/>
        <v>0</v>
      </c>
      <c r="P14" s="142">
        <v>3756</v>
      </c>
      <c r="Q14" s="75">
        <f t="shared" si="19"/>
        <v>31362.6</v>
      </c>
      <c r="R14" s="76"/>
      <c r="S14" s="75">
        <f t="shared" si="20"/>
        <v>0</v>
      </c>
      <c r="T14" s="76"/>
      <c r="U14" s="75">
        <f t="shared" si="21"/>
        <v>0</v>
      </c>
      <c r="V14" s="76">
        <f t="shared" si="17"/>
        <v>31362.6</v>
      </c>
      <c r="W14" s="117"/>
      <c r="X14" s="77"/>
    </row>
    <row r="15" spans="1:24" s="140" customFormat="1" ht="38.1" customHeight="1" x14ac:dyDescent="0.3">
      <c r="A15" s="73" t="str">
        <f t="shared" si="18"/>
        <v>E00000803061120802</v>
      </c>
      <c r="B15" s="106"/>
      <c r="C15" s="106"/>
      <c r="D15" s="106"/>
      <c r="E15" s="106"/>
      <c r="F15" s="100"/>
      <c r="G15" s="74" t="s">
        <v>128</v>
      </c>
      <c r="H15" s="74"/>
      <c r="I15" s="100"/>
      <c r="J15" s="168" t="s">
        <v>133</v>
      </c>
      <c r="K15" s="168" t="s">
        <v>130</v>
      </c>
      <c r="L15" s="171" t="s">
        <v>124</v>
      </c>
      <c r="M15" s="154">
        <v>2</v>
      </c>
      <c r="N15" s="141"/>
      <c r="O15" s="75">
        <f t="shared" si="13"/>
        <v>0</v>
      </c>
      <c r="P15" s="142">
        <v>2422</v>
      </c>
      <c r="Q15" s="75">
        <f t="shared" si="19"/>
        <v>4044.74</v>
      </c>
      <c r="R15" s="76"/>
      <c r="S15" s="75">
        <f t="shared" si="20"/>
        <v>0</v>
      </c>
      <c r="T15" s="76"/>
      <c r="U15" s="75">
        <f t="shared" si="21"/>
        <v>0</v>
      </c>
      <c r="V15" s="76">
        <f t="shared" si="17"/>
        <v>4044.74</v>
      </c>
      <c r="W15" s="117"/>
      <c r="X15" s="77"/>
    </row>
    <row r="16" spans="1:24" s="140" customFormat="1" ht="38.1" customHeight="1" x14ac:dyDescent="0.3">
      <c r="A16" s="73" t="str">
        <f t="shared" si="18"/>
        <v>E00000803061300401</v>
      </c>
      <c r="B16" s="106"/>
      <c r="C16" s="106"/>
      <c r="D16" s="106"/>
      <c r="E16" s="106"/>
      <c r="F16" s="100"/>
      <c r="G16" s="74" t="s">
        <v>134</v>
      </c>
      <c r="H16" s="74"/>
      <c r="I16" s="100"/>
      <c r="J16" s="168" t="s">
        <v>135</v>
      </c>
      <c r="K16" s="168" t="s">
        <v>127</v>
      </c>
      <c r="L16" s="171" t="s">
        <v>124</v>
      </c>
      <c r="M16" s="154">
        <v>2</v>
      </c>
      <c r="N16" s="118"/>
      <c r="O16" s="75">
        <f t="shared" si="13"/>
        <v>0</v>
      </c>
      <c r="P16" s="142">
        <v>5677</v>
      </c>
      <c r="Q16" s="75">
        <f t="shared" si="19"/>
        <v>9480.59</v>
      </c>
      <c r="R16" s="76"/>
      <c r="S16" s="75">
        <f t="shared" si="20"/>
        <v>0</v>
      </c>
      <c r="T16" s="76"/>
      <c r="U16" s="75">
        <f t="shared" si="21"/>
        <v>0</v>
      </c>
      <c r="V16" s="76">
        <f t="shared" si="17"/>
        <v>9480.59</v>
      </c>
      <c r="W16" s="117"/>
      <c r="X16" s="77"/>
    </row>
    <row r="17" spans="1:24" s="140" customFormat="1" ht="38.1" customHeight="1" x14ac:dyDescent="0.3">
      <c r="A17" s="73" t="str">
        <f t="shared" si="18"/>
        <v>E00000801011510701</v>
      </c>
      <c r="B17" s="106"/>
      <c r="C17" s="106"/>
      <c r="D17" s="106"/>
      <c r="E17" s="106"/>
      <c r="F17" s="100"/>
      <c r="G17" s="74" t="s">
        <v>156</v>
      </c>
      <c r="H17" s="74"/>
      <c r="I17" s="100"/>
      <c r="J17" s="174" t="s">
        <v>154</v>
      </c>
      <c r="K17" s="174" t="s">
        <v>159</v>
      </c>
      <c r="L17" s="175" t="s">
        <v>155</v>
      </c>
      <c r="M17" s="154">
        <v>79</v>
      </c>
      <c r="N17" s="141"/>
      <c r="O17" s="75">
        <f t="shared" ref="O17" si="22">SUM(N17:N17)*M17*$O$2</f>
        <v>0</v>
      </c>
      <c r="P17" s="153">
        <v>4966</v>
      </c>
      <c r="Q17" s="75">
        <f t="shared" si="14"/>
        <v>327582.19</v>
      </c>
      <c r="R17" s="76"/>
      <c r="S17" s="75">
        <f t="shared" si="15"/>
        <v>0</v>
      </c>
      <c r="T17" s="76"/>
      <c r="U17" s="75">
        <f t="shared" si="16"/>
        <v>0</v>
      </c>
      <c r="V17" s="76">
        <f t="shared" si="17"/>
        <v>327582.19</v>
      </c>
      <c r="W17" s="117"/>
      <c r="X17" s="77"/>
    </row>
    <row r="18" spans="1:24" s="148" customFormat="1" ht="38.1" customHeight="1" x14ac:dyDescent="0.3">
      <c r="A18" s="143"/>
      <c r="B18" s="144"/>
      <c r="C18" s="144"/>
      <c r="D18" s="144"/>
      <c r="E18" s="144"/>
      <c r="F18" s="144"/>
      <c r="G18" s="144"/>
      <c r="H18" s="144"/>
      <c r="I18" s="144"/>
      <c r="J18" s="134"/>
      <c r="K18" s="134"/>
      <c r="L18" s="144"/>
      <c r="M18" s="144"/>
      <c r="N18" s="144"/>
      <c r="O18" s="145">
        <f>SUM(O5:O17)</f>
        <v>561495.09034999995</v>
      </c>
      <c r="P18" s="146"/>
      <c r="Q18" s="145">
        <f>SUM(Q5:Q17)</f>
        <v>1804820.8935799997</v>
      </c>
      <c r="R18" s="146"/>
      <c r="S18" s="145">
        <f>SUM(S5:S17)</f>
        <v>0</v>
      </c>
      <c r="T18" s="146"/>
      <c r="U18" s="145">
        <f>SUM(U5:U17)</f>
        <v>0</v>
      </c>
      <c r="V18" s="147">
        <f>SUM(V5:V17)</f>
        <v>2366315.9839300001</v>
      </c>
      <c r="W18" s="109"/>
      <c r="X18" s="144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5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P36"/>
  <sheetViews>
    <sheetView zoomScaleNormal="100" workbookViewId="0">
      <selection activeCell="B39" sqref="B39"/>
    </sheetView>
  </sheetViews>
  <sheetFormatPr defaultColWidth="9" defaultRowHeight="14.25" x14ac:dyDescent="0.3"/>
  <cols>
    <col min="1" max="1" width="18.75" style="99" customWidth="1"/>
    <col min="2" max="2" width="25" style="99" customWidth="1"/>
    <col min="3" max="3" width="4.5" style="99" bestFit="1" customWidth="1"/>
    <col min="4" max="4" width="6.375" style="99" bestFit="1" customWidth="1"/>
    <col min="5" max="5" width="11.625" style="99" customWidth="1"/>
    <col min="6" max="8" width="20.625" style="99" customWidth="1"/>
    <col min="9" max="12" width="20.625" style="99" hidden="1" customWidth="1"/>
    <col min="13" max="14" width="20.625" style="99" customWidth="1"/>
    <col min="15" max="15" width="32.75" style="99" customWidth="1"/>
    <col min="16" max="16384" width="9" style="78"/>
  </cols>
  <sheetData>
    <row r="1" spans="1:16" ht="27" customHeight="1" x14ac:dyDescent="0.3">
      <c r="A1" s="216" t="s">
        <v>59</v>
      </c>
      <c r="B1" s="216"/>
      <c r="C1" s="216"/>
      <c r="D1" s="216"/>
      <c r="E1" s="216"/>
      <c r="F1" s="216"/>
      <c r="G1" s="216"/>
      <c r="H1" s="216"/>
      <c r="I1" s="216"/>
      <c r="J1" s="216"/>
      <c r="K1" s="216"/>
      <c r="L1" s="216"/>
      <c r="M1" s="216"/>
      <c r="N1" s="216"/>
      <c r="O1" s="216"/>
    </row>
    <row r="2" spans="1:16" ht="15" customHeight="1" x14ac:dyDescent="0.3">
      <c r="A2" s="217" t="s">
        <v>60</v>
      </c>
      <c r="B2" s="218" t="s">
        <v>61</v>
      </c>
      <c r="C2" s="219" t="s">
        <v>47</v>
      </c>
      <c r="D2" s="219" t="s">
        <v>62</v>
      </c>
      <c r="E2" s="221" t="s">
        <v>63</v>
      </c>
      <c r="F2" s="218"/>
      <c r="G2" s="218" t="s">
        <v>64</v>
      </c>
      <c r="H2" s="218"/>
      <c r="I2" s="222" t="s">
        <v>65</v>
      </c>
      <c r="J2" s="223"/>
      <c r="K2" s="222" t="s">
        <v>66</v>
      </c>
      <c r="L2" s="223"/>
      <c r="M2" s="221" t="s">
        <v>67</v>
      </c>
      <c r="N2" s="218"/>
      <c r="O2" s="224" t="s">
        <v>68</v>
      </c>
    </row>
    <row r="3" spans="1:16" ht="15" customHeight="1" x14ac:dyDescent="0.3">
      <c r="A3" s="217"/>
      <c r="B3" s="218"/>
      <c r="C3" s="220"/>
      <c r="D3" s="220"/>
      <c r="E3" s="124" t="s">
        <v>69</v>
      </c>
      <c r="F3" s="124" t="s">
        <v>70</v>
      </c>
      <c r="G3" s="79" t="s">
        <v>69</v>
      </c>
      <c r="H3" s="124" t="s">
        <v>71</v>
      </c>
      <c r="I3" s="124"/>
      <c r="J3" s="124"/>
      <c r="K3" s="79" t="s">
        <v>69</v>
      </c>
      <c r="L3" s="124" t="s">
        <v>71</v>
      </c>
      <c r="M3" s="79" t="s">
        <v>69</v>
      </c>
      <c r="N3" s="124" t="s">
        <v>71</v>
      </c>
      <c r="O3" s="225"/>
    </row>
    <row r="4" spans="1:16" ht="15" customHeight="1" x14ac:dyDescent="0.3">
      <c r="A4" s="214" t="s">
        <v>163</v>
      </c>
      <c r="B4" s="215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</row>
    <row r="5" spans="1:16" ht="15" customHeight="1" x14ac:dyDescent="0.3">
      <c r="A5" s="206" t="s">
        <v>72</v>
      </c>
      <c r="B5" s="155" t="s">
        <v>73</v>
      </c>
      <c r="C5" s="156" t="s">
        <v>74</v>
      </c>
      <c r="D5" s="157">
        <v>55</v>
      </c>
      <c r="E5" s="83">
        <v>1057</v>
      </c>
      <c r="F5" s="83">
        <f t="shared" ref="F5:F10" si="0">D5*E5</f>
        <v>58135</v>
      </c>
      <c r="G5" s="83">
        <v>8839.9</v>
      </c>
      <c r="H5" s="83">
        <f t="shared" ref="H5:H10" si="1">D5*G5</f>
        <v>486194.5</v>
      </c>
      <c r="I5" s="83"/>
      <c r="J5" s="83"/>
      <c r="K5" s="83"/>
      <c r="L5" s="83"/>
      <c r="M5" s="83"/>
      <c r="N5" s="83">
        <f>F5+H5+J5+L5</f>
        <v>544329.5</v>
      </c>
      <c r="O5" s="208"/>
      <c r="P5" s="181">
        <f>D5+D7+D9</f>
        <v>99.7</v>
      </c>
    </row>
    <row r="6" spans="1:16" ht="15" customHeight="1" x14ac:dyDescent="0.3">
      <c r="A6" s="207"/>
      <c r="B6" s="177" t="s">
        <v>75</v>
      </c>
      <c r="C6" s="178" t="s">
        <v>74</v>
      </c>
      <c r="D6" s="179"/>
      <c r="E6" s="180"/>
      <c r="F6" s="180"/>
      <c r="G6" s="180"/>
      <c r="H6" s="180"/>
      <c r="I6" s="180"/>
      <c r="J6" s="180"/>
      <c r="K6" s="180"/>
      <c r="L6" s="180"/>
      <c r="M6" s="180"/>
      <c r="N6" s="180"/>
      <c r="O6" s="209"/>
      <c r="P6" s="182">
        <f>D8+D10</f>
        <v>0</v>
      </c>
    </row>
    <row r="7" spans="1:16" ht="15" customHeight="1" x14ac:dyDescent="0.3">
      <c r="A7" s="207"/>
      <c r="B7" s="161" t="s">
        <v>76</v>
      </c>
      <c r="C7" s="162" t="s">
        <v>74</v>
      </c>
      <c r="D7" s="183">
        <f>30-5.3</f>
        <v>24.7</v>
      </c>
      <c r="E7" s="83">
        <v>1057</v>
      </c>
      <c r="F7" s="83">
        <f t="shared" si="0"/>
        <v>26107.899999999998</v>
      </c>
      <c r="G7" s="83">
        <v>8839.9</v>
      </c>
      <c r="H7" s="83">
        <f t="shared" si="1"/>
        <v>218345.53</v>
      </c>
      <c r="I7" s="83"/>
      <c r="J7" s="83"/>
      <c r="K7" s="83"/>
      <c r="L7" s="83"/>
      <c r="M7" s="83"/>
      <c r="N7" s="83">
        <f t="shared" ref="N7:N10" si="2">F7+H7+J7+L7</f>
        <v>244453.43</v>
      </c>
      <c r="O7" s="209"/>
    </row>
    <row r="8" spans="1:16" ht="15" customHeight="1" x14ac:dyDescent="0.3">
      <c r="A8" s="207"/>
      <c r="B8" s="184" t="s">
        <v>77</v>
      </c>
      <c r="C8" s="185" t="s">
        <v>74</v>
      </c>
      <c r="D8" s="186"/>
      <c r="E8" s="180">
        <v>1057</v>
      </c>
      <c r="F8" s="180">
        <f t="shared" si="0"/>
        <v>0</v>
      </c>
      <c r="G8" s="180">
        <v>11617.4</v>
      </c>
      <c r="H8" s="180">
        <f t="shared" si="1"/>
        <v>0</v>
      </c>
      <c r="I8" s="180"/>
      <c r="J8" s="180"/>
      <c r="K8" s="180"/>
      <c r="L8" s="180"/>
      <c r="M8" s="180"/>
      <c r="N8" s="180">
        <f t="shared" si="2"/>
        <v>0</v>
      </c>
      <c r="O8" s="209"/>
    </row>
    <row r="9" spans="1:16" ht="15" customHeight="1" x14ac:dyDescent="0.3">
      <c r="A9" s="207"/>
      <c r="B9" s="155" t="s">
        <v>78</v>
      </c>
      <c r="C9" s="156" t="s">
        <v>74</v>
      </c>
      <c r="D9" s="157">
        <v>20</v>
      </c>
      <c r="E9" s="83">
        <v>1057</v>
      </c>
      <c r="F9" s="83">
        <f t="shared" si="0"/>
        <v>21140</v>
      </c>
      <c r="G9" s="83">
        <v>8839.9</v>
      </c>
      <c r="H9" s="83">
        <f t="shared" si="1"/>
        <v>176798</v>
      </c>
      <c r="I9" s="83"/>
      <c r="J9" s="83"/>
      <c r="K9" s="83"/>
      <c r="L9" s="83"/>
      <c r="M9" s="83"/>
      <c r="N9" s="83">
        <f t="shared" si="2"/>
        <v>197938</v>
      </c>
      <c r="O9" s="209"/>
    </row>
    <row r="10" spans="1:16" ht="15" customHeight="1" x14ac:dyDescent="0.3">
      <c r="A10" s="207"/>
      <c r="B10" s="184" t="s">
        <v>79</v>
      </c>
      <c r="C10" s="185" t="s">
        <v>74</v>
      </c>
      <c r="D10" s="186"/>
      <c r="E10" s="180">
        <v>1057</v>
      </c>
      <c r="F10" s="180">
        <f t="shared" si="0"/>
        <v>0</v>
      </c>
      <c r="G10" s="180">
        <v>11617.4</v>
      </c>
      <c r="H10" s="180">
        <f t="shared" si="1"/>
        <v>0</v>
      </c>
      <c r="I10" s="180"/>
      <c r="J10" s="180"/>
      <c r="K10" s="180"/>
      <c r="L10" s="180"/>
      <c r="M10" s="180"/>
      <c r="N10" s="180">
        <f t="shared" si="2"/>
        <v>0</v>
      </c>
      <c r="O10" s="209"/>
    </row>
    <row r="11" spans="1:16" ht="15" customHeight="1" x14ac:dyDescent="0.3">
      <c r="A11" s="110" t="s">
        <v>80</v>
      </c>
      <c r="B11" s="111"/>
      <c r="C11" s="112"/>
      <c r="D11" s="116">
        <f>SUM(D5:D10)</f>
        <v>99.7</v>
      </c>
      <c r="E11" s="113"/>
      <c r="F11" s="113">
        <f>SUM(F5:F10)</f>
        <v>105382.9</v>
      </c>
      <c r="G11" s="113"/>
      <c r="H11" s="113">
        <f>SUM(H5:H10)</f>
        <v>881338.03</v>
      </c>
      <c r="I11" s="113"/>
      <c r="J11" s="113">
        <f>SUM(J5:J10)</f>
        <v>0</v>
      </c>
      <c r="K11" s="113"/>
      <c r="L11" s="113">
        <f>SUM(L5:L10)</f>
        <v>0</v>
      </c>
      <c r="M11" s="113"/>
      <c r="N11" s="113">
        <f>SUM(N5:N10)</f>
        <v>986720.92999999993</v>
      </c>
      <c r="O11" s="113"/>
    </row>
    <row r="12" spans="1:16" ht="15" customHeight="1" x14ac:dyDescent="0.3">
      <c r="A12" s="210" t="s">
        <v>146</v>
      </c>
      <c r="B12" s="81" t="s">
        <v>81</v>
      </c>
      <c r="C12" s="82" t="s">
        <v>74</v>
      </c>
      <c r="D12" s="165">
        <v>20.7</v>
      </c>
      <c r="E12" s="119">
        <v>10855</v>
      </c>
      <c r="F12" s="119">
        <f>D12*E12</f>
        <v>224698.5</v>
      </c>
      <c r="G12" s="83">
        <v>6668.1</v>
      </c>
      <c r="H12" s="119">
        <f>D12*G12</f>
        <v>138029.67000000001</v>
      </c>
      <c r="I12" s="119"/>
      <c r="J12" s="119"/>
      <c r="K12" s="83"/>
      <c r="L12" s="119"/>
      <c r="M12" s="83"/>
      <c r="N12" s="119">
        <f t="shared" ref="N12:N14" si="3">F12+H12+J12+L12</f>
        <v>362728.17000000004</v>
      </c>
      <c r="O12" s="209"/>
    </row>
    <row r="13" spans="1:16" ht="15" customHeight="1" x14ac:dyDescent="0.3">
      <c r="A13" s="210"/>
      <c r="B13" s="81" t="s">
        <v>82</v>
      </c>
      <c r="C13" s="82" t="s">
        <v>74</v>
      </c>
      <c r="D13" s="166">
        <v>11.2</v>
      </c>
      <c r="E13" s="119">
        <v>10855</v>
      </c>
      <c r="F13" s="119">
        <f>D13*E13</f>
        <v>121575.99999999999</v>
      </c>
      <c r="G13" s="83">
        <v>6668.1</v>
      </c>
      <c r="H13" s="119">
        <f>D13*G13</f>
        <v>74682.720000000001</v>
      </c>
      <c r="I13" s="119"/>
      <c r="J13" s="119"/>
      <c r="K13" s="83"/>
      <c r="L13" s="119"/>
      <c r="M13" s="83"/>
      <c r="N13" s="119">
        <f t="shared" si="3"/>
        <v>196258.71999999997</v>
      </c>
      <c r="O13" s="209"/>
    </row>
    <row r="14" spans="1:16" ht="15" customHeight="1" x14ac:dyDescent="0.3">
      <c r="A14" s="210"/>
      <c r="B14" s="81" t="s">
        <v>83</v>
      </c>
      <c r="C14" s="82" t="s">
        <v>74</v>
      </c>
      <c r="D14" s="166">
        <v>7.8</v>
      </c>
      <c r="E14" s="119">
        <v>10855</v>
      </c>
      <c r="F14" s="119">
        <f>D14*E14</f>
        <v>84669</v>
      </c>
      <c r="G14" s="83">
        <v>6668.1</v>
      </c>
      <c r="H14" s="119">
        <f>D14*G14</f>
        <v>52011.18</v>
      </c>
      <c r="I14" s="119"/>
      <c r="J14" s="119"/>
      <c r="K14" s="83"/>
      <c r="L14" s="119"/>
      <c r="M14" s="83"/>
      <c r="N14" s="119">
        <f t="shared" si="3"/>
        <v>136680.18</v>
      </c>
      <c r="O14" s="209"/>
    </row>
    <row r="15" spans="1:16" ht="15" customHeight="1" x14ac:dyDescent="0.3">
      <c r="A15" s="101" t="s">
        <v>80</v>
      </c>
      <c r="B15" s="84"/>
      <c r="C15" s="88"/>
      <c r="D15" s="116">
        <f>SUM(D12:D14)</f>
        <v>39.699999999999996</v>
      </c>
      <c r="E15" s="87"/>
      <c r="F15" s="87">
        <f>SUM(F12:F14)</f>
        <v>430943.5</v>
      </c>
      <c r="G15" s="87"/>
      <c r="H15" s="87">
        <f>SUM(H12:H14)</f>
        <v>264723.57</v>
      </c>
      <c r="I15" s="87"/>
      <c r="J15" s="87">
        <f>SUM(J12:J14)</f>
        <v>0</v>
      </c>
      <c r="K15" s="87"/>
      <c r="L15" s="87">
        <f>SUM(L12:L14)</f>
        <v>0</v>
      </c>
      <c r="M15" s="87"/>
      <c r="N15" s="87">
        <f>SUM(N12:N14)</f>
        <v>695667.07000000007</v>
      </c>
      <c r="O15" s="87"/>
    </row>
    <row r="16" spans="1:16" ht="15" customHeight="1" x14ac:dyDescent="0.3">
      <c r="A16" s="107" t="s">
        <v>84</v>
      </c>
      <c r="B16" s="89"/>
      <c r="C16" s="90"/>
      <c r="D16" s="91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</row>
    <row r="17" spans="1:15" ht="15" customHeight="1" x14ac:dyDescent="0.3">
      <c r="A17" s="176" t="s">
        <v>143</v>
      </c>
      <c r="B17" s="163" t="s">
        <v>139</v>
      </c>
      <c r="C17" s="163" t="s">
        <v>138</v>
      </c>
      <c r="D17" s="164">
        <v>0.2</v>
      </c>
      <c r="E17" s="83">
        <v>54693</v>
      </c>
      <c r="F17" s="119">
        <f>D17*E17</f>
        <v>10938.6</v>
      </c>
      <c r="G17" s="83"/>
      <c r="H17" s="83"/>
      <c r="I17" s="83"/>
      <c r="J17" s="83"/>
      <c r="K17" s="83"/>
      <c r="L17" s="83"/>
      <c r="M17" s="83"/>
      <c r="N17" s="120">
        <f t="shared" ref="N17:N26" si="4">F17+H17+J17+L17</f>
        <v>10938.6</v>
      </c>
      <c r="O17" s="83"/>
    </row>
    <row r="18" spans="1:15" ht="15" customHeight="1" x14ac:dyDescent="0.3">
      <c r="A18" s="211" t="s">
        <v>85</v>
      </c>
      <c r="B18" s="161" t="s">
        <v>86</v>
      </c>
      <c r="C18" s="162" t="s">
        <v>74</v>
      </c>
      <c r="D18" s="167"/>
      <c r="E18" s="120"/>
      <c r="F18" s="120"/>
      <c r="G18" s="120"/>
      <c r="H18" s="120"/>
      <c r="I18" s="120"/>
      <c r="J18" s="120"/>
      <c r="K18" s="120"/>
      <c r="L18" s="120"/>
      <c r="M18" s="120"/>
      <c r="N18" s="120"/>
      <c r="O18" s="83"/>
    </row>
    <row r="19" spans="1:15" ht="15" customHeight="1" x14ac:dyDescent="0.3">
      <c r="A19" s="211"/>
      <c r="B19" s="161" t="s">
        <v>87</v>
      </c>
      <c r="C19" s="162" t="s">
        <v>74</v>
      </c>
      <c r="D19" s="167">
        <f>20-2.6</f>
        <v>17.399999999999999</v>
      </c>
      <c r="E19" s="120"/>
      <c r="F19" s="120">
        <f t="shared" ref="F19:F26" si="5">D19*E19</f>
        <v>0</v>
      </c>
      <c r="G19" s="120">
        <v>5159</v>
      </c>
      <c r="H19" s="120">
        <f t="shared" ref="H19:H24" si="6">D19*G19</f>
        <v>89766.599999999991</v>
      </c>
      <c r="I19" s="120"/>
      <c r="J19" s="120"/>
      <c r="K19" s="120"/>
      <c r="L19" s="120"/>
      <c r="M19" s="120"/>
      <c r="N19" s="120">
        <f t="shared" si="4"/>
        <v>89766.599999999991</v>
      </c>
      <c r="O19" s="212" t="s">
        <v>165</v>
      </c>
    </row>
    <row r="20" spans="1:15" ht="15" customHeight="1" x14ac:dyDescent="0.3">
      <c r="A20" s="205" t="s">
        <v>88</v>
      </c>
      <c r="B20" s="89" t="s">
        <v>86</v>
      </c>
      <c r="C20" s="90" t="s">
        <v>74</v>
      </c>
      <c r="D20" s="114">
        <v>20</v>
      </c>
      <c r="E20" s="120"/>
      <c r="F20" s="120">
        <f>D20*E20</f>
        <v>0</v>
      </c>
      <c r="G20" s="120">
        <v>8711</v>
      </c>
      <c r="H20" s="120">
        <f t="shared" si="6"/>
        <v>174220</v>
      </c>
      <c r="I20" s="120"/>
      <c r="J20" s="120"/>
      <c r="K20" s="120"/>
      <c r="L20" s="120"/>
      <c r="M20" s="120"/>
      <c r="N20" s="120">
        <f t="shared" si="4"/>
        <v>174220</v>
      </c>
      <c r="O20" s="213"/>
    </row>
    <row r="21" spans="1:15" ht="15" customHeight="1" x14ac:dyDescent="0.3">
      <c r="A21" s="205"/>
      <c r="B21" s="89" t="s">
        <v>87</v>
      </c>
      <c r="C21" s="90" t="s">
        <v>74</v>
      </c>
      <c r="D21" s="91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83"/>
    </row>
    <row r="22" spans="1:15" ht="15" customHeight="1" x14ac:dyDescent="0.3">
      <c r="A22" s="126" t="s">
        <v>141</v>
      </c>
      <c r="B22" s="125" t="s">
        <v>142</v>
      </c>
      <c r="C22" s="125" t="s">
        <v>138</v>
      </c>
      <c r="D22" s="114">
        <v>0.2</v>
      </c>
      <c r="E22" s="83">
        <v>74987</v>
      </c>
      <c r="F22" s="120">
        <f t="shared" ref="F22:F24" si="7">D22*E22</f>
        <v>14997.400000000001</v>
      </c>
      <c r="G22" s="83"/>
      <c r="H22" s="83"/>
      <c r="I22" s="83"/>
      <c r="J22" s="83"/>
      <c r="K22" s="83"/>
      <c r="L22" s="83"/>
      <c r="M22" s="83"/>
      <c r="N22" s="120">
        <f t="shared" si="4"/>
        <v>14997.400000000001</v>
      </c>
      <c r="O22" s="83"/>
    </row>
    <row r="23" spans="1:15" ht="15" customHeight="1" x14ac:dyDescent="0.3">
      <c r="A23" s="205" t="s">
        <v>89</v>
      </c>
      <c r="B23" s="89" t="s">
        <v>90</v>
      </c>
      <c r="C23" s="90" t="s">
        <v>74</v>
      </c>
      <c r="D23" s="91">
        <v>10</v>
      </c>
      <c r="E23" s="83"/>
      <c r="F23" s="83">
        <f t="shared" si="5"/>
        <v>0</v>
      </c>
      <c r="G23" s="83">
        <v>2022</v>
      </c>
      <c r="H23" s="83">
        <f t="shared" si="6"/>
        <v>20220</v>
      </c>
      <c r="I23" s="83"/>
      <c r="J23" s="83"/>
      <c r="K23" s="83"/>
      <c r="L23" s="119"/>
      <c r="M23" s="83"/>
      <c r="N23" s="119">
        <f t="shared" si="4"/>
        <v>20220</v>
      </c>
      <c r="O23" s="83"/>
    </row>
    <row r="24" spans="1:15" ht="15" customHeight="1" x14ac:dyDescent="0.3">
      <c r="A24" s="205"/>
      <c r="B24" s="89" t="s">
        <v>91</v>
      </c>
      <c r="C24" s="90" t="s">
        <v>74</v>
      </c>
      <c r="D24" s="91">
        <v>10</v>
      </c>
      <c r="E24" s="83"/>
      <c r="F24" s="83">
        <f t="shared" si="7"/>
        <v>0</v>
      </c>
      <c r="G24" s="83">
        <v>3136</v>
      </c>
      <c r="H24" s="83">
        <f t="shared" si="6"/>
        <v>31360</v>
      </c>
      <c r="I24" s="83"/>
      <c r="J24" s="83"/>
      <c r="K24" s="83"/>
      <c r="L24" s="119"/>
      <c r="M24" s="83"/>
      <c r="N24" s="119">
        <f t="shared" si="4"/>
        <v>31360</v>
      </c>
      <c r="O24" s="83"/>
    </row>
    <row r="25" spans="1:15" ht="15" customHeight="1" x14ac:dyDescent="0.3">
      <c r="A25" s="205" t="s">
        <v>92</v>
      </c>
      <c r="B25" s="89" t="s">
        <v>90</v>
      </c>
      <c r="C25" s="90" t="s">
        <v>74</v>
      </c>
      <c r="D25" s="91">
        <v>2</v>
      </c>
      <c r="E25" s="83"/>
      <c r="F25" s="83">
        <f t="shared" si="5"/>
        <v>0</v>
      </c>
      <c r="G25" s="83">
        <v>2022</v>
      </c>
      <c r="H25" s="83">
        <f>D25*G25</f>
        <v>4044</v>
      </c>
      <c r="I25" s="83"/>
      <c r="J25" s="83"/>
      <c r="K25" s="83"/>
      <c r="L25" s="119"/>
      <c r="M25" s="83"/>
      <c r="N25" s="119">
        <f t="shared" si="4"/>
        <v>4044</v>
      </c>
      <c r="O25" s="83"/>
    </row>
    <row r="26" spans="1:15" ht="15" customHeight="1" x14ac:dyDescent="0.3">
      <c r="A26" s="205"/>
      <c r="B26" s="89" t="s">
        <v>93</v>
      </c>
      <c r="C26" s="90" t="s">
        <v>74</v>
      </c>
      <c r="D26" s="91">
        <v>2</v>
      </c>
      <c r="E26" s="83"/>
      <c r="F26" s="83">
        <f t="shared" si="5"/>
        <v>0</v>
      </c>
      <c r="G26" s="83">
        <v>4740</v>
      </c>
      <c r="H26" s="83">
        <f t="shared" ref="H26" si="8">D26*G26</f>
        <v>9480</v>
      </c>
      <c r="I26" s="83"/>
      <c r="J26" s="83"/>
      <c r="K26" s="83"/>
      <c r="L26" s="119"/>
      <c r="M26" s="83"/>
      <c r="N26" s="119">
        <f t="shared" si="4"/>
        <v>9480</v>
      </c>
      <c r="O26" s="83"/>
    </row>
    <row r="27" spans="1:15" ht="15" customHeight="1" x14ac:dyDescent="0.3">
      <c r="A27" s="101" t="s">
        <v>80</v>
      </c>
      <c r="B27" s="92"/>
      <c r="C27" s="93"/>
      <c r="D27" s="86"/>
      <c r="E27" s="87"/>
      <c r="F27" s="87">
        <f>SUM(F16:F26)</f>
        <v>25936</v>
      </c>
      <c r="G27" s="87"/>
      <c r="H27" s="87">
        <f>SUM(H16:H26)</f>
        <v>329090.59999999998</v>
      </c>
      <c r="I27" s="87"/>
      <c r="J27" s="87">
        <f>SUM(J16:J26)</f>
        <v>0</v>
      </c>
      <c r="K27" s="87"/>
      <c r="L27" s="87">
        <f>SUM(L16:L26)</f>
        <v>0</v>
      </c>
      <c r="M27" s="87"/>
      <c r="N27" s="87">
        <f>SUM(N16:N26)</f>
        <v>355026.60000000003</v>
      </c>
      <c r="O27" s="87"/>
    </row>
    <row r="28" spans="1:15" ht="15" customHeight="1" x14ac:dyDescent="0.3">
      <c r="A28" s="108" t="s">
        <v>94</v>
      </c>
      <c r="B28" s="81" t="s">
        <v>95</v>
      </c>
      <c r="C28" s="82" t="s">
        <v>74</v>
      </c>
      <c r="D28" s="121">
        <v>79</v>
      </c>
      <c r="E28" s="119"/>
      <c r="F28" s="119"/>
      <c r="G28" s="83">
        <v>4147</v>
      </c>
      <c r="H28" s="119">
        <f>D28*G28</f>
        <v>327613</v>
      </c>
      <c r="I28" s="119"/>
      <c r="J28" s="119"/>
      <c r="K28" s="119"/>
      <c r="L28" s="119"/>
      <c r="M28" s="119"/>
      <c r="N28" s="119">
        <f>F28+H28+J28+L28</f>
        <v>327613</v>
      </c>
      <c r="O28" s="94"/>
    </row>
    <row r="29" spans="1:15" ht="15" customHeight="1" x14ac:dyDescent="0.3">
      <c r="A29" s="102" t="s">
        <v>80</v>
      </c>
      <c r="B29" s="84"/>
      <c r="C29" s="85"/>
      <c r="D29" s="95"/>
      <c r="E29" s="96"/>
      <c r="F29" s="96"/>
      <c r="G29" s="96"/>
      <c r="H29" s="87">
        <f>SUM(H28:H28)</f>
        <v>327613</v>
      </c>
      <c r="I29" s="96"/>
      <c r="J29" s="87">
        <f t="shared" ref="J29:N29" si="9">SUM(J28:J28)</f>
        <v>0</v>
      </c>
      <c r="K29" s="87"/>
      <c r="L29" s="87">
        <f t="shared" si="9"/>
        <v>0</v>
      </c>
      <c r="M29" s="87"/>
      <c r="N29" s="87">
        <f t="shared" si="9"/>
        <v>327613</v>
      </c>
      <c r="O29" s="96"/>
    </row>
    <row r="30" spans="1:15" ht="15" customHeight="1" x14ac:dyDescent="0.3">
      <c r="A30" s="101" t="s">
        <v>137</v>
      </c>
      <c r="B30" s="84"/>
      <c r="C30" s="85"/>
      <c r="D30" s="95"/>
      <c r="E30" s="97"/>
      <c r="F30" s="98">
        <f>F11+F15+F27+F29</f>
        <v>562262.4</v>
      </c>
      <c r="G30" s="98"/>
      <c r="H30" s="98">
        <f>H11+H15+H27+H29</f>
        <v>1802765.2000000002</v>
      </c>
      <c r="I30" s="97"/>
      <c r="J30" s="98">
        <f>J11+J15+J27+J29</f>
        <v>0</v>
      </c>
      <c r="K30" s="97"/>
      <c r="L30" s="98">
        <f>L11+L15+L27+L29</f>
        <v>0</v>
      </c>
      <c r="M30" s="97"/>
      <c r="N30" s="98">
        <f>N11+N15+N27+N29</f>
        <v>2365027.6</v>
      </c>
      <c r="O30" s="97"/>
    </row>
    <row r="36" spans="2:2" x14ac:dyDescent="0.3">
      <c r="B36" s="159"/>
    </row>
  </sheetData>
  <mergeCells count="21"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A23:A24"/>
    <mergeCell ref="A25:A26"/>
    <mergeCell ref="A5:A10"/>
    <mergeCell ref="O5:O10"/>
    <mergeCell ref="A12:A14"/>
    <mergeCell ref="O12:O14"/>
    <mergeCell ref="A18:A19"/>
    <mergeCell ref="A20:A21"/>
    <mergeCell ref="O19:O20"/>
  </mergeCells>
  <phoneticPr fontId="5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4"/>
  <sheetViews>
    <sheetView showGridLines="0" zoomScaleNormal="100" workbookViewId="0">
      <selection activeCell="D28" sqref="D28"/>
    </sheetView>
  </sheetViews>
  <sheetFormatPr defaultColWidth="9" defaultRowHeight="14.25" x14ac:dyDescent="0.3"/>
  <cols>
    <col min="1" max="1" width="25.125" style="65" customWidth="1"/>
    <col min="2" max="2" width="16.25" style="65" customWidth="1"/>
    <col min="3" max="3" width="22.375" style="65" customWidth="1"/>
    <col min="4" max="4" width="24.125" style="65" customWidth="1"/>
    <col min="5" max="5" width="13" style="65" customWidth="1"/>
    <col min="6" max="6" width="9" style="65" customWidth="1"/>
    <col min="7" max="16384" width="9" style="78"/>
  </cols>
  <sheetData>
    <row r="1" spans="1:6" ht="18" customHeight="1" x14ac:dyDescent="0.3">
      <c r="A1" s="103" t="s">
        <v>0</v>
      </c>
      <c r="B1" s="103" t="s">
        <v>1</v>
      </c>
      <c r="C1" s="103" t="s">
        <v>2</v>
      </c>
      <c r="D1" s="103" t="s">
        <v>3</v>
      </c>
      <c r="E1" s="103" t="s">
        <v>4</v>
      </c>
      <c r="F1" s="103" t="s">
        <v>5</v>
      </c>
    </row>
    <row r="2" spans="1:6" x14ac:dyDescent="0.3">
      <c r="A2" s="104" t="str">
        <f>'내역서(표준단가)'!A5</f>
        <v>M020853710050101</v>
      </c>
      <c r="B2" s="105">
        <f>'내역서(표준단가)'!F5</f>
        <v>0</v>
      </c>
      <c r="C2" s="105">
        <f>'내역서(표준단가)'!G5</f>
        <v>0</v>
      </c>
      <c r="D2" s="105" t="str">
        <f>'내역서(표준단가)'!H5</f>
        <v>M020853710050101</v>
      </c>
      <c r="E2" s="105">
        <f>'내역서(표준단가)'!I5</f>
        <v>0</v>
      </c>
      <c r="F2" s="115">
        <f>'내역서(표준단가)'!M5</f>
        <v>6.0568999999999997</v>
      </c>
    </row>
    <row r="3" spans="1:6" x14ac:dyDescent="0.3">
      <c r="A3" s="104" t="str">
        <f>'내역서(표준단가)'!A6</f>
        <v>E00000803071260301</v>
      </c>
      <c r="B3" s="105">
        <f>'내역서(표준단가)'!F6</f>
        <v>0</v>
      </c>
      <c r="C3" s="105" t="str">
        <f>'내역서(표준단가)'!G6</f>
        <v>E00000803071260301</v>
      </c>
      <c r="D3" s="105">
        <f>'내역서(표준단가)'!H6</f>
        <v>0</v>
      </c>
      <c r="E3" s="105">
        <f>'내역서(표준단가)'!I6</f>
        <v>0</v>
      </c>
      <c r="F3" s="115">
        <f>'내역서(표준단가)'!M6</f>
        <v>2.1739999999999999</v>
      </c>
    </row>
    <row r="4" spans="1:6" x14ac:dyDescent="0.3">
      <c r="A4" s="104" t="str">
        <f>'내역서(표준단가)'!A7</f>
        <v>M020809012520101</v>
      </c>
      <c r="B4" s="105">
        <f>'내역서(표준단가)'!F7</f>
        <v>0</v>
      </c>
      <c r="C4" s="105">
        <f>'내역서(표준단가)'!G7</f>
        <v>0</v>
      </c>
      <c r="D4" s="105" t="str">
        <f>'내역서(표준단가)'!H7</f>
        <v>M020809012520101</v>
      </c>
      <c r="E4" s="105">
        <f>'내역서(표준단가)'!I7</f>
        <v>0</v>
      </c>
      <c r="F4" s="115">
        <f>'내역서(표준단가)'!M7</f>
        <v>39.6</v>
      </c>
    </row>
    <row r="5" spans="1:6" x14ac:dyDescent="0.3">
      <c r="A5" s="104" t="str">
        <f>'내역서(표준단가)'!A8</f>
        <v>E00000803071260401</v>
      </c>
      <c r="B5" s="105">
        <f>'내역서(표준단가)'!F8</f>
        <v>0</v>
      </c>
      <c r="C5" s="105" t="str">
        <f>'내역서(표준단가)'!G8</f>
        <v>E00000803071260401</v>
      </c>
      <c r="D5" s="105">
        <f>'내역서(표준단가)'!H8</f>
        <v>0</v>
      </c>
      <c r="E5" s="105">
        <f>'내역서(표준단가)'!I8</f>
        <v>0</v>
      </c>
      <c r="F5" s="115">
        <f>'내역서(표준단가)'!M8</f>
        <v>0.64900000000000002</v>
      </c>
    </row>
    <row r="6" spans="1:6" x14ac:dyDescent="0.3">
      <c r="A6" s="104" t="str">
        <f>'내역서(표준단가)'!A9</f>
        <v>M020412614110102</v>
      </c>
      <c r="B6" s="105">
        <f>'내역서(표준단가)'!F9</f>
        <v>0</v>
      </c>
      <c r="C6" s="105">
        <f>'내역서(표준단가)'!G9</f>
        <v>0</v>
      </c>
      <c r="D6" s="105" t="str">
        <f>'내역서(표준단가)'!H9</f>
        <v>M020412614110102</v>
      </c>
      <c r="E6" s="105">
        <f>'내역서(표준단가)'!I9</f>
        <v>0</v>
      </c>
      <c r="F6" s="115">
        <f>'내역서(표준단가)'!M9</f>
        <v>0.2</v>
      </c>
    </row>
    <row r="7" spans="1:6" x14ac:dyDescent="0.3">
      <c r="A7" s="104" t="str">
        <f>'내역서(표준단가)'!A10</f>
        <v>E00000803061120402</v>
      </c>
      <c r="B7" s="105">
        <f>'내역서(표준단가)'!F10</f>
        <v>0</v>
      </c>
      <c r="C7" s="105" t="str">
        <f>'내역서(표준단가)'!G10</f>
        <v>E00000803061120402</v>
      </c>
      <c r="D7" s="105">
        <f>'내역서(표준단가)'!H10</f>
        <v>0</v>
      </c>
      <c r="E7" s="105">
        <f>'내역서(표준단가)'!I10</f>
        <v>0</v>
      </c>
      <c r="F7" s="115">
        <f>'내역서(표준단가)'!M10</f>
        <v>20</v>
      </c>
    </row>
    <row r="8" spans="1:6" x14ac:dyDescent="0.3">
      <c r="A8" s="104" t="str">
        <f>'내역서(표준단가)'!A11</f>
        <v>E00000803061300201</v>
      </c>
      <c r="B8" s="105">
        <f>'내역서(표준단가)'!F11</f>
        <v>0</v>
      </c>
      <c r="C8" s="105" t="str">
        <f>'내역서(표준단가)'!G11</f>
        <v>E00000803061300201</v>
      </c>
      <c r="D8" s="105">
        <f>'내역서(표준단가)'!H11</f>
        <v>0</v>
      </c>
      <c r="E8" s="105">
        <f>'내역서(표준단가)'!I11</f>
        <v>0</v>
      </c>
      <c r="F8" s="115">
        <f>'내역서(표준단가)'!M11</f>
        <v>17.399999999999999</v>
      </c>
    </row>
    <row r="9" spans="1:6" x14ac:dyDescent="0.3">
      <c r="A9" s="104" t="str">
        <f>'내역서(표준단가)'!A12</f>
        <v>M020411810170101</v>
      </c>
      <c r="B9" s="105">
        <f>'내역서(표준단가)'!F12</f>
        <v>0</v>
      </c>
      <c r="C9" s="105">
        <f>'내역서(표준단가)'!G12</f>
        <v>0</v>
      </c>
      <c r="D9" s="105" t="str">
        <f>'내역서(표준단가)'!H12</f>
        <v>M020411810170101</v>
      </c>
      <c r="E9" s="105">
        <f>'내역서(표준단가)'!I12</f>
        <v>0</v>
      </c>
      <c r="F9" s="115">
        <f>'내역서(표준단가)'!M12</f>
        <v>0.2</v>
      </c>
    </row>
    <row r="10" spans="1:6" x14ac:dyDescent="0.3">
      <c r="A10" s="104" t="str">
        <f>'내역서(표준단가)'!A13</f>
        <v>E00000803061120802</v>
      </c>
      <c r="B10" s="105">
        <f>'내역서(표준단가)'!F13</f>
        <v>0</v>
      </c>
      <c r="C10" s="105" t="str">
        <f>'내역서(표준단가)'!G13</f>
        <v>E00000803061120802</v>
      </c>
      <c r="D10" s="105">
        <f>'내역서(표준단가)'!H13</f>
        <v>0</v>
      </c>
      <c r="E10" s="105">
        <f>'내역서(표준단가)'!I13</f>
        <v>0</v>
      </c>
      <c r="F10" s="115">
        <f>'내역서(표준단가)'!M13</f>
        <v>10</v>
      </c>
    </row>
    <row r="11" spans="1:6" x14ac:dyDescent="0.3">
      <c r="A11" s="104" t="str">
        <f>'내역서(표준단가)'!A14</f>
        <v>E00000803061300701</v>
      </c>
      <c r="B11" s="105">
        <f>'내역서(표준단가)'!F14</f>
        <v>0</v>
      </c>
      <c r="C11" s="105" t="str">
        <f>'내역서(표준단가)'!G14</f>
        <v>E00000803061300701</v>
      </c>
      <c r="D11" s="105">
        <f>'내역서(표준단가)'!H14</f>
        <v>0</v>
      </c>
      <c r="E11" s="105">
        <f>'내역서(표준단가)'!I14</f>
        <v>0</v>
      </c>
      <c r="F11" s="115">
        <f>'내역서(표준단가)'!M14</f>
        <v>10</v>
      </c>
    </row>
    <row r="12" spans="1:6" x14ac:dyDescent="0.3">
      <c r="A12" s="104" t="str">
        <f>'내역서(표준단가)'!A15</f>
        <v>E00000803061120802</v>
      </c>
      <c r="B12" s="105">
        <f>'내역서(표준단가)'!F15</f>
        <v>0</v>
      </c>
      <c r="C12" s="105" t="str">
        <f>'내역서(표준단가)'!G15</f>
        <v>E00000803061120802</v>
      </c>
      <c r="D12" s="105">
        <f>'내역서(표준단가)'!H15</f>
        <v>0</v>
      </c>
      <c r="E12" s="105">
        <f>'내역서(표준단가)'!I15</f>
        <v>0</v>
      </c>
      <c r="F12" s="115">
        <f>'내역서(표준단가)'!M15</f>
        <v>2</v>
      </c>
    </row>
    <row r="13" spans="1:6" x14ac:dyDescent="0.3">
      <c r="A13" s="104" t="str">
        <f>'내역서(표준단가)'!A16</f>
        <v>E00000803061300401</v>
      </c>
      <c r="B13" s="105">
        <f>'내역서(표준단가)'!F16</f>
        <v>0</v>
      </c>
      <c r="C13" s="105" t="str">
        <f>'내역서(표준단가)'!G16</f>
        <v>E00000803061300401</v>
      </c>
      <c r="D13" s="105">
        <f>'내역서(표준단가)'!H16</f>
        <v>0</v>
      </c>
      <c r="E13" s="105">
        <f>'내역서(표준단가)'!I16</f>
        <v>0</v>
      </c>
      <c r="F13" s="115">
        <f>'내역서(표준단가)'!M16</f>
        <v>2</v>
      </c>
    </row>
    <row r="14" spans="1:6" x14ac:dyDescent="0.3">
      <c r="A14" s="104" t="str">
        <f>'내역서(표준단가)'!A17</f>
        <v>E00000801011510701</v>
      </c>
      <c r="B14" s="105">
        <f>'내역서(표준단가)'!F17</f>
        <v>0</v>
      </c>
      <c r="C14" s="105" t="str">
        <f>'내역서(표준단가)'!G17</f>
        <v>E00000801011510701</v>
      </c>
      <c r="D14" s="105">
        <f>'내역서(표준단가)'!H17</f>
        <v>0</v>
      </c>
      <c r="E14" s="105">
        <f>'내역서(표준단가)'!I17</f>
        <v>0</v>
      </c>
      <c r="F14" s="115">
        <f>'내역서(표준단가)'!M17</f>
        <v>79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CA6E1-43E1-44CD-BAB1-58CA873802AD}">
  <sheetPr codeName="Sheet4"/>
  <dimension ref="A1"/>
  <sheetViews>
    <sheetView workbookViewId="0">
      <selection activeCell="A2" sqref="A2"/>
    </sheetView>
  </sheetViews>
  <sheetFormatPr defaultRowHeight="14.25" x14ac:dyDescent="0.3"/>
  <cols>
    <col min="1" max="16384" width="9" style="78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1,2,7동 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2026-01-31T06:49:35Z</dcterms:created>
  <dcterms:modified xsi:type="dcterms:W3CDTF">2026-02-01T01:35:56Z</dcterms:modified>
</cp:coreProperties>
</file>
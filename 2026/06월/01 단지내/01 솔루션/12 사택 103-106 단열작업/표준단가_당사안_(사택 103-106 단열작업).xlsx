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codeName="현재_통합_문서"/>
  <xr:revisionPtr revIDLastSave="0" documentId="13_ncr:1_{97A6D021-7690-4C2E-86FB-774418BDA5D5}" xr6:coauthVersionLast="47" xr6:coauthVersionMax="47" xr10:uidLastSave="{00000000-0000-0000-0000-000000000000}"/>
  <bookViews>
    <workbookView xWindow="-60" yWindow="-60" windowWidth="28920" windowHeight="15600" activeTab="2" xr2:uid="{00000000-000D-0000-FFFF-FFFF00000000}"/>
  </bookViews>
  <sheets>
    <sheet name="갑지" sheetId="5" r:id="rId1"/>
    <sheet name="내역서(표준단가)" sheetId="4" r:id="rId2"/>
    <sheet name="상세내역" sheetId="6" r:id="rId3"/>
    <sheet name="Upload" sheetId="1" r:id="rId4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A4" i="1"/>
  <c r="F3" i="1"/>
  <c r="E3" i="1"/>
  <c r="D3" i="1"/>
  <c r="C3" i="1"/>
  <c r="B3" i="1"/>
  <c r="O10" i="6"/>
  <c r="O9" i="6"/>
  <c r="O8" i="6"/>
  <c r="O7" i="6"/>
  <c r="H25" i="6"/>
  <c r="F25" i="6"/>
  <c r="H24" i="6"/>
  <c r="F24" i="6"/>
  <c r="H23" i="6"/>
  <c r="F23" i="6"/>
  <c r="F22" i="6"/>
  <c r="H20" i="6"/>
  <c r="F20" i="6"/>
  <c r="H19" i="6"/>
  <c r="F19" i="6"/>
  <c r="H18" i="6"/>
  <c r="F18" i="6"/>
  <c r="F17" i="6"/>
  <c r="H15" i="6"/>
  <c r="F15" i="6"/>
  <c r="H14" i="6"/>
  <c r="F14" i="6"/>
  <c r="H13" i="6"/>
  <c r="F13" i="6"/>
  <c r="F12" i="6"/>
  <c r="Q7" i="4"/>
  <c r="O7" i="4"/>
  <c r="M7" i="4"/>
  <c r="K7" i="4"/>
  <c r="A7" i="4"/>
  <c r="Q11" i="4"/>
  <c r="K11" i="4"/>
  <c r="A11" i="4"/>
  <c r="A8" i="1" s="1"/>
  <c r="Q10" i="4"/>
  <c r="O10" i="4"/>
  <c r="M10" i="4"/>
  <c r="K10" i="4"/>
  <c r="A10" i="4"/>
  <c r="A7" i="1" s="1"/>
  <c r="Q9" i="4"/>
  <c r="O9" i="4"/>
  <c r="M9" i="4"/>
  <c r="K9" i="4"/>
  <c r="A9" i="4"/>
  <c r="A6" i="1" s="1"/>
  <c r="R7" i="4" l="1"/>
  <c r="R10" i="4"/>
  <c r="R11" i="4"/>
  <c r="R9" i="4"/>
  <c r="H10" i="6" l="1"/>
  <c r="F10" i="6"/>
  <c r="H9" i="6"/>
  <c r="F9" i="6"/>
  <c r="H8" i="6"/>
  <c r="F8" i="6"/>
  <c r="N8" i="6" s="1"/>
  <c r="F7" i="6"/>
  <c r="N7" i="6" s="1"/>
  <c r="F6" i="6"/>
  <c r="N6" i="6" s="1"/>
  <c r="N9" i="6" l="1"/>
  <c r="N10" i="6"/>
  <c r="L27" i="6"/>
  <c r="J26" i="6"/>
  <c r="J27" i="6" s="1"/>
  <c r="F26" i="6"/>
  <c r="N22" i="6"/>
  <c r="F21" i="6"/>
  <c r="N21" i="6" s="1"/>
  <c r="N17" i="6"/>
  <c r="F16" i="6"/>
  <c r="N16" i="6" s="1"/>
  <c r="N12" i="6"/>
  <c r="F11" i="6"/>
  <c r="N11" i="6" s="1"/>
  <c r="H5" i="6"/>
  <c r="F5" i="6"/>
  <c r="N4" i="6"/>
  <c r="N13" i="6" l="1"/>
  <c r="N18" i="6"/>
  <c r="N23" i="6"/>
  <c r="N25" i="6"/>
  <c r="N15" i="6"/>
  <c r="N19" i="6"/>
  <c r="F27" i="6"/>
  <c r="N14" i="6"/>
  <c r="H27" i="6"/>
  <c r="N20" i="6"/>
  <c r="N24" i="6"/>
  <c r="N26" i="6"/>
  <c r="N5" i="6"/>
  <c r="N27" i="6" l="1"/>
  <c r="F2" i="1"/>
  <c r="E2" i="1"/>
  <c r="D2" i="1"/>
  <c r="C2" i="1"/>
  <c r="B2" i="1"/>
  <c r="Q8" i="4" l="1"/>
  <c r="O8" i="4"/>
  <c r="M8" i="4"/>
  <c r="K8" i="4"/>
  <c r="A8" i="4"/>
  <c r="A5" i="1" s="1"/>
  <c r="Q6" i="4"/>
  <c r="O6" i="4"/>
  <c r="M6" i="4"/>
  <c r="K6" i="4"/>
  <c r="A6" i="4"/>
  <c r="A3" i="1" s="1"/>
  <c r="Q5" i="4"/>
  <c r="O5" i="4"/>
  <c r="M5" i="4"/>
  <c r="K5" i="4"/>
  <c r="A5" i="4"/>
  <c r="A2" i="1" s="1"/>
  <c r="R6" i="4" l="1"/>
  <c r="R5" i="4"/>
  <c r="R8" i="4"/>
  <c r="Q13" i="4" l="1"/>
  <c r="M13" i="4"/>
  <c r="O13" i="4" l="1"/>
  <c r="R13" i="4" l="1"/>
  <c r="F18" i="5" l="1"/>
  <c r="K13" i="4" l="1"/>
  <c r="F17" i="5" l="1"/>
  <c r="F16" i="5"/>
  <c r="F21" i="5" l="1"/>
  <c r="F22" i="5"/>
  <c r="F23" i="5" s="1"/>
  <c r="F26" i="5"/>
  <c r="F19" i="5"/>
  <c r="F24" i="5"/>
  <c r="F25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<sst xmlns="http://schemas.openxmlformats.org/spreadsheetml/2006/main" count="213" uniqueCount="144">
  <si>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</si>
  <si>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</si>
  <si>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</si>
  <si>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</si>
  <si>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</si>
  <si>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</si>
  <si>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7" type="noConversion"/>
  </si>
  <si>
    <t xml:space="preserve">금액: </t>
    <phoneticPr fontId="17" type="noConversion"/>
  </si>
  <si>
    <t>원정</t>
    <phoneticPr fontId="19" type="noConversion"/>
  </si>
  <si>
    <t xml:space="preserve">  </t>
  </si>
  <si>
    <t>NO</t>
  </si>
  <si>
    <t>품명</t>
    <phoneticPr fontId="19" type="noConversion"/>
  </si>
  <si>
    <t>규격</t>
    <phoneticPr fontId="19" type="noConversion"/>
  </si>
  <si>
    <t>수량</t>
    <phoneticPr fontId="19" type="noConversion"/>
  </si>
  <si>
    <t>단위</t>
    <phoneticPr fontId="19" type="noConversion"/>
  </si>
  <si>
    <t>금액</t>
    <phoneticPr fontId="19" type="noConversion"/>
  </si>
  <si>
    <t>비고</t>
    <phoneticPr fontId="19" type="noConversion"/>
  </si>
  <si>
    <t>직접비</t>
    <phoneticPr fontId="17" type="noConversion"/>
  </si>
  <si>
    <t>재료비</t>
    <phoneticPr fontId="17" type="noConversion"/>
  </si>
  <si>
    <t>노무비</t>
    <phoneticPr fontId="19" type="noConversion"/>
  </si>
  <si>
    <t>기계/기타경비</t>
    <phoneticPr fontId="17" type="noConversion"/>
  </si>
  <si>
    <t>소계</t>
    <phoneticPr fontId="17" type="noConversion"/>
  </si>
  <si>
    <t>간접비</t>
    <phoneticPr fontId="17" type="noConversion"/>
  </si>
  <si>
    <t>  국민연금</t>
    <phoneticPr fontId="19" type="noConversion"/>
  </si>
  <si>
    <t>식</t>
    <phoneticPr fontId="19" type="noConversion"/>
  </si>
  <si>
    <t>모든공사에 적용</t>
    <phoneticPr fontId="19" type="noConversion"/>
  </si>
  <si>
    <t>  건강보험료</t>
    <phoneticPr fontId="19" type="noConversion"/>
  </si>
  <si>
    <t>모든공사에 적용</t>
    <phoneticPr fontId="19" type="noConversion"/>
  </si>
  <si>
    <t>  장기요양보험료</t>
    <phoneticPr fontId="19" type="noConversion"/>
  </si>
  <si>
    <t>  고용보험료</t>
    <phoneticPr fontId="19" type="noConversion"/>
  </si>
  <si>
    <t>  산재보험료</t>
    <phoneticPr fontId="19" type="noConversion"/>
  </si>
  <si>
    <t xml:space="preserve">  산업안전보건관리비</t>
    <phoneticPr fontId="19" type="noConversion"/>
  </si>
  <si>
    <t>소계</t>
    <phoneticPr fontId="17" type="noConversion"/>
  </si>
  <si>
    <t>합계(단수조정)</t>
    <phoneticPr fontId="17" type="noConversion"/>
  </si>
  <si>
    <t>VAT별도</t>
    <phoneticPr fontId="19" type="noConversion"/>
  </si>
  <si>
    <t>일반관리비/이윤</t>
    <phoneticPr fontId="19" type="noConversion"/>
  </si>
  <si>
    <t> (노무비+간접공사비)*5%</t>
    <phoneticPr fontId="19" type="noConversion"/>
  </si>
  <si>
    <t>등록번호</t>
    <phoneticPr fontId="13" type="noConversion"/>
  </si>
  <si>
    <t>종 목</t>
    <phoneticPr fontId="13" type="noConversion"/>
  </si>
  <si>
    <t>TEL, FAX</t>
    <phoneticPr fontId="13" type="noConversion"/>
  </si>
  <si>
    <t>상 호</t>
    <phoneticPr fontId="13" type="noConversion"/>
  </si>
  <si>
    <t>대표 이사</t>
    <phoneticPr fontId="13" type="noConversion"/>
  </si>
  <si>
    <t>사업장</t>
    <phoneticPr fontId="13" type="noConversion"/>
  </si>
  <si>
    <t>업 태</t>
    <phoneticPr fontId="13" type="noConversion"/>
  </si>
  <si>
    <t>할증기준</t>
    <phoneticPr fontId="11" type="noConversion"/>
  </si>
  <si>
    <t> 노무비*1.01%</t>
    <phoneticPr fontId="19" type="noConversion"/>
  </si>
  <si>
    <t xml:space="preserve"> 수신인 : 주식회사 에스엔아이 코퍼레이션</t>
    <phoneticPr fontId="17" type="noConversion"/>
  </si>
  <si>
    <t> 건강보험료*12.95%</t>
    <phoneticPr fontId="19" type="noConversion"/>
  </si>
  <si>
    <t> 노무비*3.56%</t>
    <phoneticPr fontId="19" type="noConversion"/>
  </si>
  <si>
    <t>314-86-35718</t>
    <phoneticPr fontId="11" type="noConversion"/>
  </si>
  <si>
    <t>㈜일성건축</t>
    <phoneticPr fontId="11" type="noConversion"/>
  </si>
  <si>
    <t>상 석 희</t>
    <phoneticPr fontId="11" type="noConversion"/>
  </si>
  <si>
    <t>대전 서구 도마6길 107 (도마동)</t>
    <phoneticPr fontId="11" type="noConversion"/>
  </si>
  <si>
    <t>건설업</t>
    <phoneticPr fontId="11" type="noConversion"/>
  </si>
  <si>
    <t>실내건축,인테리어공사</t>
    <phoneticPr fontId="11" type="noConversion"/>
  </si>
  <si>
    <t>042)527-0995, 042)527-0996</t>
    <phoneticPr fontId="11" type="noConversion"/>
  </si>
  <si>
    <t>▼낙찰율</t>
    <phoneticPr fontId="13" type="noConversion"/>
  </si>
  <si>
    <t>▶ 표준 Code(표준단가/품셈/물정/노임) 순서별 입력(Upload 자동반영)</t>
    <phoneticPr fontId="11" type="noConversion"/>
  </si>
  <si>
    <t>주요내역</t>
    <phoneticPr fontId="11" type="noConversion"/>
  </si>
  <si>
    <t>단위</t>
  </si>
  <si>
    <t>재료비</t>
    <phoneticPr fontId="13" type="noConversion"/>
  </si>
  <si>
    <t>노무비</t>
    <phoneticPr fontId="13" type="noConversion"/>
  </si>
  <si>
    <t>기계경비</t>
  </si>
  <si>
    <t>기타경비(부자재비)</t>
  </si>
  <si>
    <t>합계</t>
    <phoneticPr fontId="13" type="noConversion"/>
  </si>
  <si>
    <t>노무비 할증</t>
    <phoneticPr fontId="11" type="noConversion"/>
  </si>
  <si>
    <t>합계</t>
    <phoneticPr fontId="11" type="noConversion"/>
  </si>
  <si>
    <t>표준단가 D</t>
    <phoneticPr fontId="11" type="noConversion"/>
  </si>
  <si>
    <t>표준품셈 E</t>
    <phoneticPr fontId="11" type="noConversion"/>
  </si>
  <si>
    <t>물가정보 M</t>
    <phoneticPr fontId="11" type="noConversion"/>
  </si>
  <si>
    <t>노임단가 L</t>
    <phoneticPr fontId="11" type="noConversion"/>
  </si>
  <si>
    <t>품목</t>
    <phoneticPr fontId="11" type="noConversion"/>
  </si>
  <si>
    <t>규격</t>
    <phoneticPr fontId="11" type="noConversion"/>
  </si>
  <si>
    <t>품셈/표단</t>
    <phoneticPr fontId="11" type="noConversion"/>
  </si>
  <si>
    <t>금액</t>
  </si>
  <si>
    <t>단가</t>
    <phoneticPr fontId="13" type="noConversion"/>
  </si>
  <si>
    <t>단가</t>
  </si>
  <si>
    <t> (재료비+노무비)*3.11%</t>
    <phoneticPr fontId="19" type="noConversion"/>
  </si>
  <si>
    <t>M020750510120102</t>
  </si>
  <si>
    <t>매</t>
  </si>
  <si>
    <t>E00000803066470202</t>
  </si>
  <si>
    <t>석고판 설치(나사 고정)</t>
  </si>
  <si>
    <t>(일당)</t>
  </si>
  <si>
    <t>인</t>
  </si>
  <si>
    <t> 노무비*4.75%</t>
    <phoneticPr fontId="19" type="noConversion"/>
  </si>
  <si>
    <t> 노무비*3.595%</t>
    <phoneticPr fontId="19" type="noConversion"/>
  </si>
  <si>
    <r>
      <t xml:space="preserve">에너폴(태화론 TW-06, 6㎜×1M×50M단면-점착 대체), </t>
    </r>
    <r>
      <rPr>
        <sz val="10"/>
        <color rgb="FFFF0000"/>
        <rFont val="LG스마트체 Regular"/>
        <family val="3"/>
        <charset val="129"/>
      </rPr>
      <t xml:space="preserve">열반사 단열재 6t, </t>
    </r>
    <phoneticPr fontId="11" type="noConversion"/>
  </si>
  <si>
    <r>
      <rPr>
        <sz val="10"/>
        <color rgb="FFFF0000"/>
        <rFont val="LG스마트체 Regular"/>
        <family val="3"/>
        <charset val="129"/>
      </rPr>
      <t>(4.6m)*2.4=11.04㎡</t>
    </r>
    <r>
      <rPr>
        <sz val="10"/>
        <color rgb="FF000000"/>
        <rFont val="LG스마트체 Regular"/>
        <family val="3"/>
        <charset val="129"/>
      </rPr>
      <t>,  900 X 1800X40, 3호(비중0.020)</t>
    </r>
    <phoneticPr fontId="11" type="noConversion"/>
  </si>
  <si>
    <t xml:space="preserve"> 견적일 : 2026년  03월  17일</t>
    <phoneticPr fontId="17" type="noConversion"/>
  </si>
  <si>
    <t>내 역 서</t>
    <phoneticPr fontId="19" type="noConversion"/>
  </si>
  <si>
    <t>품        명</t>
    <phoneticPr fontId="19" type="noConversion"/>
  </si>
  <si>
    <t>규      격</t>
  </si>
  <si>
    <t>수 량</t>
    <phoneticPr fontId="19" type="noConversion"/>
  </si>
  <si>
    <t xml:space="preserve">재    료   비   </t>
    <phoneticPr fontId="19" type="noConversion"/>
  </si>
  <si>
    <t>노   무   비</t>
    <phoneticPr fontId="19" type="noConversion"/>
  </si>
  <si>
    <t>기계경비</t>
    <phoneticPr fontId="19" type="noConversion"/>
  </si>
  <si>
    <t>기타경비</t>
    <phoneticPr fontId="19" type="noConversion"/>
  </si>
  <si>
    <t>합 계</t>
    <phoneticPr fontId="19" type="noConversion"/>
  </si>
  <si>
    <t>단   가</t>
    <phoneticPr fontId="19" type="noConversion"/>
  </si>
  <si>
    <t>금     액</t>
    <phoneticPr fontId="19" type="noConversion"/>
  </si>
  <si>
    <t>1.건축물 현장정리</t>
    <phoneticPr fontId="19" type="noConversion"/>
  </si>
  <si>
    <t>열반사 단열재</t>
    <phoneticPr fontId="13" type="noConversion"/>
  </si>
  <si>
    <t>단면접착, 6*1000*1000</t>
    <phoneticPr fontId="13" type="noConversion"/>
  </si>
  <si>
    <t>M2</t>
    <phoneticPr fontId="13" type="noConversion"/>
  </si>
  <si>
    <t>이보드</t>
    <phoneticPr fontId="13" type="noConversion"/>
  </si>
  <si>
    <t>이보드13t*2700*h:2400</t>
    <phoneticPr fontId="13" type="noConversion"/>
  </si>
  <si>
    <t>석고판 나사고정</t>
    <phoneticPr fontId="13" type="noConversion"/>
  </si>
  <si>
    <t>바탕용*2겹</t>
    <phoneticPr fontId="13" type="noConversion"/>
  </si>
  <si>
    <t>조이너 및 몰딩</t>
  </si>
  <si>
    <t>몰딩</t>
    <phoneticPr fontId="13" type="noConversion"/>
  </si>
  <si>
    <t>m</t>
    <phoneticPr fontId="13" type="noConversion"/>
  </si>
  <si>
    <t>5.폐기물 처리</t>
    <phoneticPr fontId="13" type="noConversion"/>
  </si>
  <si>
    <t>혼합건설 폐기물, 운반비 포함</t>
    <phoneticPr fontId="13" type="noConversion"/>
  </si>
  <si>
    <t>TON</t>
    <phoneticPr fontId="13" type="noConversion"/>
  </si>
  <si>
    <t>2.거실벽</t>
    <phoneticPr fontId="13" type="noConversion"/>
  </si>
  <si>
    <t>3.안방</t>
    <phoneticPr fontId="13" type="noConversion"/>
  </si>
  <si>
    <t>4.작은방1</t>
    <phoneticPr fontId="13" type="noConversion"/>
  </si>
  <si>
    <t>5.작은방2</t>
    <phoneticPr fontId="13" type="noConversion"/>
  </si>
  <si>
    <t>(0.3+4.38*h:2.5)-(창호면적 1.6*2.3)=8.77</t>
    <phoneticPr fontId="11" type="noConversion"/>
  </si>
  <si>
    <t>M020531910380101</t>
  </si>
  <si>
    <t>100h, 2.5t</t>
  </si>
  <si>
    <t>m</t>
  </si>
  <si>
    <t>E00000803066520502</t>
  </si>
  <si>
    <t>M020750510130102</t>
  </si>
  <si>
    <t>900 X 1800X50, 3호(비중0.020)</t>
  </si>
  <si>
    <t>M020806810430101</t>
  </si>
  <si>
    <t>TON</t>
  </si>
  <si>
    <t>연질/러버베이스 적용 (합성수지류,걸레받이 대체)</t>
    <phoneticPr fontId="11" type="noConversion"/>
  </si>
  <si>
    <t>걸레받이 설치, 종합적산정보 389p</t>
    <phoneticPr fontId="11" type="noConversion"/>
  </si>
  <si>
    <t>에너폴(이보드, 1000*1000*13T, 대체)</t>
    <phoneticPr fontId="11" type="noConversion"/>
  </si>
  <si>
    <t>산업폐기물처리비=내부창호폐기물 적용(1세대)</t>
    <phoneticPr fontId="11" type="noConversion"/>
  </si>
  <si>
    <t>STEEL CONCORE PANEL 기준, (소운반비별도), 적용</t>
    <phoneticPr fontId="11" type="noConversion"/>
  </si>
  <si>
    <t>바탕용(2겹) (시공량:24㎡),시공총량 114/일당35=3.2571</t>
    <phoneticPr fontId="11" type="noConversion"/>
  </si>
  <si>
    <t>중밀도섬유판(시공량 : 165m), 설치수량 48m, 46/165=0.2787</t>
    <phoneticPr fontId="11" type="noConversion"/>
  </si>
  <si>
    <t xml:space="preserve"> (4.37+1.5)*h:2.5=14.675</t>
    <phoneticPr fontId="11" type="noConversion"/>
  </si>
  <si>
    <t xml:space="preserve"> (3.2+2.85)*h:2.5=15.125</t>
    <phoneticPr fontId="11" type="noConversion"/>
  </si>
  <si>
    <t>(0.3+2.8+3.35)*h:2.5=16.125</t>
    <phoneticPr fontId="11" type="noConversion"/>
  </si>
  <si>
    <t xml:space="preserve"> 공사명 : 사택 103-106 단열작업(거실, 방1,2,3)</t>
    <phoneticPr fontId="17" type="noConversion"/>
  </si>
  <si>
    <t>사택 103-106 단열작업(거실, 방1,2,3)</t>
    <phoneticPr fontId="19" type="noConversion"/>
  </si>
  <si>
    <t>자재 반입 및 폐기물 반출 및 현장정리, 보통인부</t>
    <phoneticPr fontId="11" type="noConversion"/>
  </si>
  <si>
    <t>인</t>
    <phoneticPr fontId="19" type="noConversion"/>
  </si>
  <si>
    <t>L002</t>
    <phoneticPr fontId="11" type="noConversion"/>
  </si>
  <si>
    <t>보통인부, 시중노임단가</t>
    <phoneticPr fontId="11" type="noConversion"/>
  </si>
  <si>
    <t>자재 반입 및 폐기물 반출 및 현장정리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</si>
</sst>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,##0;\-#,##0;"/>
    <numFmt numFmtId="184" formatCode="0.000"/>
    <numFmt numFmtId="185" formatCode="#,##0.000_ "/>
    <numFmt numFmtId="186" formatCode="0.00_ "/>
    <numFmt numFmtId="187" formatCode="#,##0_);[Red]\(#,##0\)"/>
    <numFmt numFmtId="188" formatCode="#,##0_ "/>
    <numFmt numFmtId="189" formatCode="0_);[Red]\(0\)"/>
    <numFmt numFmtId="190" formatCode="&quot;₩&quot;#,##0"/>
    <numFmt numFmtId="191" formatCode="0.00_);[Red]\(0.00\)"/>
    <numFmt numFmtId="192" formatCode="0.0_);[Red]\(0.0\)"/>
  </numFmts>
  <fonts count="44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sz val="11"/>
      <name val="맑은 고딕"/>
      <family val="3"/>
      <charset val="129"/>
    </font>
    <font>
      <sz val="10"/>
      <color rgb="FFFF0000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b/>
      <sz val="16"/>
      <name val="굴림"/>
      <family val="3"/>
      <charset val="129"/>
    </font>
    <font>
      <sz val="8.5"/>
      <color rgb="FF000000"/>
      <name val="돋움"/>
      <family val="3"/>
      <charset val="129"/>
    </font>
    <font>
      <b/>
      <sz val="10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00"/>
      <name val="굴림"/>
      <family val="3"/>
      <charset val="129"/>
    </font>
    <font>
      <sz val="8.5"/>
      <color rgb="FF000000"/>
      <name val="LG스마트체 Regular"/>
      <family val="3"/>
      <charset val="129"/>
    </font>
    <font>
      <sz val="11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scheme val="minor"/>
    </font>
    <font>
      <sz val="9"/>
      <color rgb="FFFF0000"/>
      <name val="굴림"/>
      <family val="3"/>
      <charset val="129"/>
    </font>
    <font>
      <sz val="9"/>
      <name val="LG스마트체 Regular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7">
    <xf numFmtId="0" fontId="0" fillId="0" borderId="0">
      <alignment vertical="center"/>
    </xf>
    <xf numFmtId="176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4" fillId="0" borderId="0"/>
    <xf numFmtId="176" fontId="10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/>
    <xf numFmtId="0" fontId="16" fillId="0" borderId="0"/>
    <xf numFmtId="180" fontId="16" fillId="0" borderId="0" applyFont="0" applyFill="0" applyBorder="0" applyAlignment="0" applyProtection="0"/>
    <xf numFmtId="0" fontId="10" fillId="0" borderId="0">
      <alignment vertical="center"/>
    </xf>
    <xf numFmtId="9" fontId="15" fillId="0" borderId="0" applyFont="0" applyFill="0" applyBorder="0" applyAlignment="0" applyProtection="0"/>
    <xf numFmtId="0" fontId="14" fillId="0" borderId="0"/>
    <xf numFmtId="0" fontId="20" fillId="0" borderId="0"/>
    <xf numFmtId="177" fontId="20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8" fillId="0" borderId="0">
      <alignment vertical="center"/>
    </xf>
    <xf numFmtId="176" fontId="8" fillId="0" borderId="0" applyFont="0" applyFill="0" applyBorder="0" applyAlignment="0" applyProtection="0">
      <alignment vertical="center"/>
    </xf>
    <xf numFmtId="0" fontId="7" fillId="0" borderId="0">
      <alignment vertical="center"/>
    </xf>
    <xf numFmtId="176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6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5" fillId="0" borderId="0">
      <alignment vertical="center"/>
    </xf>
    <xf numFmtId="176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6" fontId="4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8" fillId="0" borderId="0">
      <alignment vertical="center"/>
    </xf>
    <xf numFmtId="176" fontId="2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215">
    <xf numFmtId="0" fontId="0" fillId="0" borderId="0" xfId="0">
      <alignment vertical="center"/>
    </xf>
    <xf numFmtId="0" fontId="18" fillId="0" borderId="7" xfId="6" applyFont="1" applyBorder="1" applyAlignment="1">
      <alignment horizontal="right" vertical="center"/>
    </xf>
    <xf numFmtId="0" fontId="21" fillId="0" borderId="0" xfId="6" applyFont="1" applyAlignment="1">
      <alignment vertical="center"/>
    </xf>
    <xf numFmtId="0" fontId="22" fillId="0" borderId="0" xfId="3" applyFont="1"/>
    <xf numFmtId="0" fontId="23" fillId="0" borderId="5" xfId="6" applyFont="1" applyBorder="1" applyAlignment="1">
      <alignment horizontal="center" vertical="center"/>
    </xf>
    <xf numFmtId="0" fontId="18" fillId="0" borderId="6" xfId="6" applyFont="1" applyBorder="1" applyAlignment="1">
      <alignment horizontal="right" vertical="center"/>
    </xf>
    <xf numFmtId="0" fontId="18" fillId="5" borderId="25" xfId="6" applyFont="1" applyFill="1" applyBorder="1" applyAlignment="1">
      <alignment horizontal="center" vertical="center"/>
    </xf>
    <xf numFmtId="0" fontId="18" fillId="5" borderId="26" xfId="6" applyFont="1" applyFill="1" applyBorder="1" applyAlignment="1">
      <alignment vertical="center" shrinkToFit="1"/>
    </xf>
    <xf numFmtId="0" fontId="18" fillId="5" borderId="2" xfId="6" applyFont="1" applyFill="1" applyBorder="1" applyAlignment="1">
      <alignment horizontal="center" vertical="center"/>
    </xf>
    <xf numFmtId="0" fontId="18" fillId="5" borderId="27" xfId="6" applyFont="1" applyFill="1" applyBorder="1" applyAlignment="1">
      <alignment vertical="center" shrinkToFit="1"/>
    </xf>
    <xf numFmtId="0" fontId="24" fillId="0" borderId="0" xfId="6" applyFont="1" applyAlignment="1">
      <alignment vertical="center" shrinkToFit="1"/>
    </xf>
    <xf numFmtId="0" fontId="18" fillId="5" borderId="2" xfId="6" applyFont="1" applyFill="1" applyBorder="1" applyAlignment="1">
      <alignment horizontal="center" vertical="center" shrinkToFit="1"/>
    </xf>
    <xf numFmtId="0" fontId="18" fillId="0" borderId="2" xfId="6" applyFont="1" applyBorder="1" applyAlignment="1">
      <alignment horizontal="center" vertical="center"/>
    </xf>
    <xf numFmtId="0" fontId="18" fillId="0" borderId="27" xfId="6" applyFont="1" applyBorder="1" applyAlignment="1">
      <alignment vertical="center"/>
    </xf>
    <xf numFmtId="0" fontId="23" fillId="0" borderId="0" xfId="6" applyFont="1" applyAlignment="1">
      <alignment horizontal="center" vertical="center" shrinkToFit="1"/>
    </xf>
    <xf numFmtId="0" fontId="18" fillId="0" borderId="28" xfId="6" applyFont="1" applyBorder="1" applyAlignment="1">
      <alignment horizontal="center" vertical="center" shrinkToFit="1"/>
    </xf>
    <xf numFmtId="0" fontId="18" fillId="0" borderId="29" xfId="6" applyFont="1" applyBorder="1" applyAlignment="1">
      <alignment vertical="center" shrinkToFit="1"/>
    </xf>
    <xf numFmtId="0" fontId="24" fillId="0" borderId="7" xfId="6" applyFont="1" applyBorder="1" applyAlignment="1">
      <alignment vertical="center"/>
    </xf>
    <xf numFmtId="179" fontId="23" fillId="0" borderId="7" xfId="6" applyNumberFormat="1" applyFont="1" applyBorder="1" applyAlignment="1">
      <alignment vertical="center"/>
    </xf>
    <xf numFmtId="0" fontId="23" fillId="0" borderId="0" xfId="6" applyFont="1" applyAlignment="1">
      <alignment vertical="center" shrinkToFit="1"/>
    </xf>
    <xf numFmtId="0" fontId="18" fillId="0" borderId="8" xfId="6" applyFont="1" applyBorder="1" applyAlignment="1">
      <alignment horizontal="center" vertical="center"/>
    </xf>
    <xf numFmtId="0" fontId="18" fillId="0" borderId="9" xfId="6" applyFont="1" applyBorder="1" applyAlignment="1">
      <alignment horizontal="center" vertical="center"/>
    </xf>
    <xf numFmtId="0" fontId="18" fillId="0" borderId="10" xfId="6" applyFont="1" applyBorder="1" applyAlignment="1">
      <alignment horizontal="center" vertical="center"/>
    </xf>
    <xf numFmtId="0" fontId="25" fillId="0" borderId="11" xfId="6" applyFont="1" applyBorder="1" applyAlignment="1">
      <alignment horizontal="center" vertical="center"/>
    </xf>
    <xf numFmtId="0" fontId="18" fillId="0" borderId="12" xfId="6" applyFont="1" applyBorder="1" applyAlignment="1">
      <alignment vertical="center"/>
    </xf>
    <xf numFmtId="0" fontId="25" fillId="0" borderId="12" xfId="6" applyFont="1" applyBorder="1" applyAlignment="1">
      <alignment vertical="center"/>
    </xf>
    <xf numFmtId="1" fontId="25" fillId="0" borderId="12" xfId="6" applyNumberFormat="1" applyFont="1" applyBorder="1" applyAlignment="1">
      <alignment horizontal="center" vertical="center"/>
    </xf>
    <xf numFmtId="180" fontId="25" fillId="0" borderId="12" xfId="7" applyFont="1" applyBorder="1" applyAlignment="1">
      <alignment horizontal="right" vertical="center"/>
    </xf>
    <xf numFmtId="0" fontId="25" fillId="0" borderId="13" xfId="6" applyFont="1" applyBorder="1" applyAlignment="1">
      <alignment vertical="center"/>
    </xf>
    <xf numFmtId="0" fontId="25" fillId="0" borderId="14" xfId="6" applyFont="1" applyBorder="1" applyAlignment="1">
      <alignment horizontal="center" vertical="center"/>
    </xf>
    <xf numFmtId="0" fontId="25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5" fillId="0" borderId="15" xfId="6" applyNumberFormat="1" applyFont="1" applyBorder="1" applyAlignment="1">
      <alignment horizontal="center" vertical="center"/>
    </xf>
    <xf numFmtId="180" fontId="25" fillId="0" borderId="15" xfId="7" applyFont="1" applyBorder="1" applyAlignment="1">
      <alignment horizontal="right" vertical="center"/>
    </xf>
    <xf numFmtId="0" fontId="25" fillId="0" borderId="16" xfId="6" quotePrefix="1" applyFont="1" applyBorder="1" applyAlignment="1">
      <alignment vertical="center"/>
    </xf>
    <xf numFmtId="0" fontId="25" fillId="0" borderId="16" xfId="6" applyFont="1" applyBorder="1" applyAlignment="1">
      <alignment vertical="center"/>
    </xf>
    <xf numFmtId="0" fontId="18" fillId="8" borderId="15" xfId="6" applyFont="1" applyFill="1" applyBorder="1" applyAlignment="1">
      <alignment vertical="center"/>
    </xf>
    <xf numFmtId="1" fontId="18" fillId="8" borderId="15" xfId="6" applyNumberFormat="1" applyFont="1" applyFill="1" applyBorder="1" applyAlignment="1">
      <alignment horizontal="center" vertical="center"/>
    </xf>
    <xf numFmtId="180" fontId="18" fillId="8" borderId="15" xfId="7" applyFont="1" applyFill="1" applyBorder="1" applyAlignment="1">
      <alignment horizontal="right" vertical="center"/>
    </xf>
    <xf numFmtId="0" fontId="18" fillId="0" borderId="15" xfId="6" applyFont="1" applyBorder="1" applyAlignment="1">
      <alignment vertical="center"/>
    </xf>
    <xf numFmtId="0" fontId="25" fillId="0" borderId="15" xfId="6" applyFont="1" applyBorder="1" applyAlignment="1">
      <alignment vertical="center"/>
    </xf>
    <xf numFmtId="180" fontId="18" fillId="0" borderId="15" xfId="7" applyFont="1" applyFill="1" applyBorder="1" applyAlignment="1">
      <alignment horizontal="right" vertical="center"/>
    </xf>
    <xf numFmtId="0" fontId="25" fillId="0" borderId="15" xfId="8" applyFont="1" applyBorder="1" applyAlignment="1">
      <alignment horizontal="center" vertical="center"/>
    </xf>
    <xf numFmtId="178" fontId="25" fillId="0" borderId="15" xfId="5" applyFont="1" applyFill="1" applyBorder="1" applyAlignment="1">
      <alignment horizontal="right" vertical="center"/>
    </xf>
    <xf numFmtId="0" fontId="25" fillId="5" borderId="16" xfId="6" applyFont="1" applyFill="1" applyBorder="1" applyAlignment="1">
      <alignment vertical="center"/>
    </xf>
    <xf numFmtId="0" fontId="25" fillId="0" borderId="15" xfId="3" applyFont="1" applyBorder="1" applyAlignment="1">
      <alignment horizontal="left" vertical="center"/>
    </xf>
    <xf numFmtId="9" fontId="18" fillId="8" borderId="15" xfId="3" applyNumberFormat="1" applyFont="1" applyFill="1" applyBorder="1" applyAlignment="1">
      <alignment horizontal="right" vertical="center"/>
    </xf>
    <xf numFmtId="1" fontId="18" fillId="8" borderId="15" xfId="9" applyNumberFormat="1" applyFont="1" applyFill="1" applyBorder="1" applyAlignment="1">
      <alignment horizontal="center" vertical="center"/>
    </xf>
    <xf numFmtId="176" fontId="18" fillId="8" borderId="15" xfId="7" applyNumberFormat="1" applyFont="1" applyFill="1" applyBorder="1" applyAlignment="1">
      <alignment horizontal="right" vertical="center"/>
    </xf>
    <xf numFmtId="9" fontId="25" fillId="0" borderId="15" xfId="3" applyNumberFormat="1" applyFont="1" applyBorder="1" applyAlignment="1">
      <alignment horizontal="right" vertical="center"/>
    </xf>
    <xf numFmtId="1" fontId="25" fillId="0" borderId="15" xfId="9" applyNumberFormat="1" applyFont="1" applyFill="1" applyBorder="1" applyAlignment="1">
      <alignment horizontal="center" vertical="center"/>
    </xf>
    <xf numFmtId="176" fontId="18" fillId="0" borderId="15" xfId="7" applyNumberFormat="1" applyFont="1" applyFill="1" applyBorder="1" applyAlignment="1">
      <alignment horizontal="right" vertical="center"/>
    </xf>
    <xf numFmtId="0" fontId="25" fillId="0" borderId="15" xfId="3" applyFont="1" applyBorder="1" applyAlignment="1">
      <alignment vertical="center"/>
    </xf>
    <xf numFmtId="180" fontId="25" fillId="5" borderId="15" xfId="7" applyFont="1" applyFill="1" applyBorder="1" applyAlignment="1">
      <alignment horizontal="right" vertical="center"/>
    </xf>
    <xf numFmtId="180" fontId="18" fillId="8" borderId="0" xfId="3" applyNumberFormat="1" applyFont="1" applyFill="1" applyAlignment="1">
      <alignment vertical="center"/>
    </xf>
    <xf numFmtId="0" fontId="18" fillId="0" borderId="17" xfId="6" applyFont="1" applyBorder="1" applyAlignment="1">
      <alignment horizontal="center" vertical="center" textRotation="255"/>
    </xf>
    <xf numFmtId="0" fontId="18" fillId="0" borderId="18" xfId="6" applyFont="1" applyBorder="1" applyAlignment="1">
      <alignment vertical="top"/>
    </xf>
    <xf numFmtId="0" fontId="25" fillId="0" borderId="19" xfId="6" applyFont="1" applyBorder="1" applyAlignment="1">
      <alignment vertical="center"/>
    </xf>
    <xf numFmtId="0" fontId="25" fillId="0" borderId="19" xfId="6" applyFont="1" applyBorder="1" applyAlignment="1">
      <alignment horizontal="right" vertical="center"/>
    </xf>
    <xf numFmtId="0" fontId="25" fillId="0" borderId="20" xfId="6" applyFont="1" applyBorder="1" applyAlignment="1">
      <alignment vertical="center"/>
    </xf>
    <xf numFmtId="0" fontId="18" fillId="0" borderId="0" xfId="10" applyFont="1"/>
    <xf numFmtId="181" fontId="23" fillId="0" borderId="0" xfId="1" applyNumberFormat="1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9" fontId="26" fillId="0" borderId="0" xfId="0" applyNumberFormat="1" applyFont="1" applyAlignment="1">
      <alignment horizontal="center" vertical="center"/>
    </xf>
    <xf numFmtId="182" fontId="26" fillId="3" borderId="0" xfId="2" applyNumberFormat="1" applyFont="1" applyFill="1" applyAlignment="1">
      <alignment horizontal="center" vertical="center"/>
    </xf>
    <xf numFmtId="0" fontId="26" fillId="4" borderId="22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176" fontId="26" fillId="4" borderId="3" xfId="4" applyFont="1" applyFill="1" applyBorder="1" applyAlignment="1">
      <alignment horizontal="center" vertical="center"/>
    </xf>
    <xf numFmtId="178" fontId="26" fillId="4" borderId="3" xfId="5" applyFont="1" applyFill="1" applyBorder="1" applyAlignment="1">
      <alignment horizontal="center" vertical="center"/>
    </xf>
    <xf numFmtId="0" fontId="22" fillId="6" borderId="22" xfId="0" applyFont="1" applyFill="1" applyBorder="1" applyAlignment="1">
      <alignment horizontal="center" vertical="center"/>
    </xf>
    <xf numFmtId="176" fontId="22" fillId="0" borderId="3" xfId="1" applyFont="1" applyFill="1" applyBorder="1" applyAlignment="1">
      <alignment horizontal="center" vertical="center" wrapText="1"/>
    </xf>
    <xf numFmtId="176" fontId="22" fillId="5" borderId="3" xfId="1" applyFont="1" applyFill="1" applyBorder="1" applyAlignment="1">
      <alignment horizontal="center" vertical="center" wrapText="1"/>
    </xf>
    <xf numFmtId="9" fontId="27" fillId="0" borderId="3" xfId="0" applyNumberFormat="1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49" fontId="22" fillId="2" borderId="1" xfId="0" applyNumberFormat="1" applyFont="1" applyFill="1" applyBorder="1" applyAlignment="1">
      <alignment horizontal="center" vertical="center" wrapText="1"/>
    </xf>
    <xf numFmtId="181" fontId="22" fillId="7" borderId="1" xfId="1" applyNumberFormat="1" applyFont="1" applyFill="1" applyBorder="1" applyAlignment="1">
      <alignment horizontal="center" vertical="center"/>
    </xf>
    <xf numFmtId="181" fontId="22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49" fontId="22" fillId="0" borderId="3" xfId="0" applyNumberFormat="1" applyFont="1" applyBorder="1" applyAlignment="1">
      <alignment horizontal="center" vertical="center" wrapText="1"/>
    </xf>
    <xf numFmtId="49" fontId="22" fillId="0" borderId="3" xfId="31" applyNumberFormat="1" applyFont="1" applyBorder="1" applyAlignment="1">
      <alignment horizontal="center" vertical="center" wrapText="1"/>
    </xf>
    <xf numFmtId="0" fontId="23" fillId="0" borderId="0" xfId="0" applyFont="1">
      <alignment vertical="center"/>
    </xf>
    <xf numFmtId="183" fontId="22" fillId="11" borderId="3" xfId="31" applyNumberFormat="1" applyFont="1" applyFill="1" applyBorder="1" applyAlignment="1">
      <alignment horizontal="right" vertical="center"/>
    </xf>
    <xf numFmtId="183" fontId="22" fillId="6" borderId="3" xfId="1" applyNumberFormat="1" applyFont="1" applyFill="1" applyBorder="1" applyAlignment="1">
      <alignment horizontal="right" vertical="center" wrapText="1"/>
    </xf>
    <xf numFmtId="183" fontId="22" fillId="0" borderId="3" xfId="1" applyNumberFormat="1" applyFont="1" applyFill="1" applyBorder="1" applyAlignment="1">
      <alignment horizontal="right" vertical="center" wrapText="1"/>
    </xf>
    <xf numFmtId="183" fontId="22" fillId="11" borderId="3" xfId="31" applyNumberFormat="1" applyFont="1" applyFill="1" applyBorder="1" applyAlignment="1">
      <alignment horizontal="right" vertical="center" wrapText="1"/>
    </xf>
    <xf numFmtId="49" fontId="22" fillId="11" borderId="3" xfId="31" applyNumberFormat="1" applyFont="1" applyFill="1" applyBorder="1" applyAlignment="1">
      <alignment horizontal="center" vertical="center"/>
    </xf>
    <xf numFmtId="49" fontId="22" fillId="11" borderId="3" xfId="31" applyNumberFormat="1" applyFont="1" applyFill="1" applyBorder="1" applyAlignment="1">
      <alignment horizontal="center" vertical="center" wrapText="1"/>
    </xf>
    <xf numFmtId="184" fontId="22" fillId="5" borderId="3" xfId="1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2" fillId="0" borderId="0" xfId="0" applyFont="1">
      <alignment vertical="center"/>
    </xf>
    <xf numFmtId="0" fontId="26" fillId="9" borderId="24" xfId="0" applyFont="1" applyFill="1" applyBorder="1">
      <alignment vertical="center"/>
    </xf>
    <xf numFmtId="0" fontId="26" fillId="9" borderId="21" xfId="0" applyFont="1" applyFill="1" applyBorder="1">
      <alignment vertical="center"/>
    </xf>
    <xf numFmtId="0" fontId="27" fillId="0" borderId="0" xfId="0" applyFont="1">
      <alignment vertical="center"/>
    </xf>
    <xf numFmtId="0" fontId="25" fillId="10" borderId="0" xfId="0" applyFont="1" applyFill="1">
      <alignment vertical="center"/>
    </xf>
    <xf numFmtId="0" fontId="25" fillId="0" borderId="0" xfId="0" applyFont="1">
      <alignment vertical="center"/>
    </xf>
    <xf numFmtId="176" fontId="18" fillId="10" borderId="0" xfId="0" applyNumberFormat="1" applyFont="1" applyFill="1">
      <alignment vertical="center"/>
    </xf>
    <xf numFmtId="0" fontId="18" fillId="0" borderId="0" xfId="0" applyFont="1">
      <alignment vertical="center"/>
    </xf>
    <xf numFmtId="176" fontId="18" fillId="0" borderId="0" xfId="0" applyNumberFormat="1" applyFont="1">
      <alignment vertical="center"/>
    </xf>
    <xf numFmtId="0" fontId="26" fillId="5" borderId="0" xfId="0" applyFont="1" applyFill="1">
      <alignment vertical="center"/>
    </xf>
    <xf numFmtId="176" fontId="22" fillId="0" borderId="0" xfId="0" applyNumberFormat="1" applyFont="1">
      <alignment vertical="center"/>
    </xf>
    <xf numFmtId="184" fontId="22" fillId="11" borderId="3" xfId="32" applyNumberFormat="1" applyFont="1" applyFill="1" applyBorder="1" applyAlignment="1">
      <alignment horizontal="center" vertical="center"/>
    </xf>
    <xf numFmtId="183" fontId="29" fillId="11" borderId="3" xfId="32" applyNumberFormat="1" applyFont="1" applyFill="1" applyBorder="1" applyAlignment="1">
      <alignment horizontal="right" vertical="center"/>
    </xf>
    <xf numFmtId="0" fontId="30" fillId="0" borderId="15" xfId="8" applyFont="1" applyBorder="1" applyAlignment="1">
      <alignment horizontal="center" vertical="center"/>
    </xf>
    <xf numFmtId="0" fontId="31" fillId="0" borderId="15" xfId="6" applyFont="1" applyBorder="1" applyAlignment="1">
      <alignment vertical="center"/>
    </xf>
    <xf numFmtId="0" fontId="30" fillId="0" borderId="15" xfId="6" applyFont="1" applyBorder="1" applyAlignment="1">
      <alignment horizontal="center" vertical="center"/>
    </xf>
    <xf numFmtId="178" fontId="31" fillId="0" borderId="15" xfId="5" applyFont="1" applyFill="1" applyBorder="1" applyAlignment="1">
      <alignment horizontal="right" vertical="center"/>
    </xf>
    <xf numFmtId="0" fontId="30" fillId="5" borderId="15" xfId="8" applyFont="1" applyFill="1" applyBorder="1" applyAlignment="1">
      <alignment horizontal="center" vertical="center"/>
    </xf>
    <xf numFmtId="0" fontId="30" fillId="5" borderId="15" xfId="6" applyFont="1" applyFill="1" applyBorder="1" applyAlignment="1">
      <alignment horizontal="center" vertical="center"/>
    </xf>
    <xf numFmtId="178" fontId="31" fillId="5" borderId="15" xfId="5" applyFont="1" applyFill="1" applyBorder="1" applyAlignment="1">
      <alignment horizontal="right" vertical="center"/>
    </xf>
    <xf numFmtId="183" fontId="29" fillId="5" borderId="3" xfId="32" applyNumberFormat="1" applyFont="1" applyFill="1" applyBorder="1" applyAlignment="1">
      <alignment horizontal="right" vertical="center"/>
    </xf>
    <xf numFmtId="183" fontId="22" fillId="11" borderId="3" xfId="32" applyNumberFormat="1" applyFont="1" applyFill="1" applyBorder="1" applyAlignment="1">
      <alignment horizontal="right" vertical="center" wrapText="1"/>
    </xf>
    <xf numFmtId="49" fontId="22" fillId="7" borderId="3" xfId="0" applyNumberFormat="1" applyFont="1" applyFill="1" applyBorder="1" applyAlignment="1">
      <alignment horizontal="center" vertical="center"/>
    </xf>
    <xf numFmtId="0" fontId="22" fillId="7" borderId="3" xfId="0" applyFont="1" applyFill="1" applyBorder="1" applyAlignment="1">
      <alignment horizontal="center" vertical="center"/>
    </xf>
    <xf numFmtId="49" fontId="22" fillId="5" borderId="3" xfId="0" applyNumberFormat="1" applyFont="1" applyFill="1" applyBorder="1" applyAlignment="1">
      <alignment horizontal="center" vertical="center"/>
    </xf>
    <xf numFmtId="176" fontId="32" fillId="5" borderId="3" xfId="1" applyFont="1" applyFill="1" applyBorder="1" applyAlignment="1">
      <alignment horizontal="center" vertical="center"/>
    </xf>
    <xf numFmtId="183" fontId="22" fillId="5" borderId="3" xfId="0" applyNumberFormat="1" applyFont="1" applyFill="1" applyBorder="1" applyAlignment="1">
      <alignment horizontal="right" vertical="center" wrapText="1"/>
    </xf>
    <xf numFmtId="185" fontId="22" fillId="0" borderId="3" xfId="1" applyNumberFormat="1" applyFont="1" applyFill="1" applyBorder="1" applyAlignment="1">
      <alignment horizontal="center" vertical="center"/>
    </xf>
    <xf numFmtId="183" fontId="22" fillId="5" borderId="3" xfId="0" applyNumberFormat="1" applyFont="1" applyFill="1" applyBorder="1" applyAlignment="1">
      <alignment horizontal="right" vertical="center"/>
    </xf>
    <xf numFmtId="176" fontId="33" fillId="5" borderId="3" xfId="1" applyFont="1" applyFill="1" applyBorder="1" applyAlignment="1">
      <alignment horizontal="right" vertical="center"/>
    </xf>
    <xf numFmtId="186" fontId="22" fillId="0" borderId="1" xfId="1" applyNumberFormat="1" applyFont="1" applyBorder="1" applyAlignment="1">
      <alignment horizontal="center" vertical="center"/>
    </xf>
    <xf numFmtId="0" fontId="35" fillId="0" borderId="0" xfId="34" applyFont="1" applyAlignment="1">
      <alignment horizontal="right" vertical="center"/>
    </xf>
    <xf numFmtId="0" fontId="36" fillId="0" borderId="34" xfId="34" quotePrefix="1" applyFont="1" applyBorder="1" applyAlignment="1">
      <alignment horizontal="center" vertical="center"/>
    </xf>
    <xf numFmtId="187" fontId="36" fillId="0" borderId="34" xfId="34" quotePrefix="1" applyNumberFormat="1" applyFont="1" applyBorder="1" applyAlignment="1">
      <alignment horizontal="center" vertical="center"/>
    </xf>
    <xf numFmtId="0" fontId="36" fillId="0" borderId="36" xfId="34" quotePrefix="1" applyFont="1" applyBorder="1" applyAlignment="1">
      <alignment horizontal="center" vertical="center"/>
    </xf>
    <xf numFmtId="176" fontId="38" fillId="5" borderId="34" xfId="13" applyFont="1" applyFill="1" applyBorder="1" applyAlignment="1">
      <alignment vertical="center"/>
    </xf>
    <xf numFmtId="176" fontId="38" fillId="5" borderId="34" xfId="13" applyFont="1" applyFill="1" applyBorder="1" applyAlignment="1">
      <alignment horizontal="center" vertical="center"/>
    </xf>
    <xf numFmtId="188" fontId="26" fillId="5" borderId="34" xfId="13" applyNumberFormat="1" applyFont="1" applyFill="1" applyBorder="1" applyAlignment="1">
      <alignment vertical="center"/>
    </xf>
    <xf numFmtId="0" fontId="27" fillId="5" borderId="34" xfId="34" applyFont="1" applyFill="1" applyBorder="1" applyAlignment="1">
      <alignment horizontal="center" vertical="center"/>
    </xf>
    <xf numFmtId="189" fontId="27" fillId="5" borderId="34" xfId="13" applyNumberFormat="1" applyFont="1" applyFill="1" applyBorder="1" applyAlignment="1">
      <alignment horizontal="center" vertical="center"/>
    </xf>
    <xf numFmtId="187" fontId="27" fillId="5" borderId="34" xfId="13" applyNumberFormat="1" applyFont="1" applyFill="1" applyBorder="1" applyAlignment="1">
      <alignment horizontal="right" vertical="center" wrapText="1"/>
    </xf>
    <xf numFmtId="176" fontId="27" fillId="5" borderId="34" xfId="13" applyFont="1" applyFill="1" applyBorder="1" applyAlignment="1">
      <alignment vertical="center"/>
    </xf>
    <xf numFmtId="187" fontId="27" fillId="5" borderId="34" xfId="34" applyNumberFormat="1" applyFont="1" applyFill="1" applyBorder="1" applyAlignment="1">
      <alignment horizontal="left" vertical="center" wrapText="1"/>
    </xf>
    <xf numFmtId="176" fontId="27" fillId="5" borderId="34" xfId="13" applyFont="1" applyFill="1" applyBorder="1" applyAlignment="1">
      <alignment horizontal="center" vertical="center"/>
    </xf>
    <xf numFmtId="0" fontId="39" fillId="0" borderId="0" xfId="34" applyFont="1" applyAlignment="1">
      <alignment horizontal="right" vertical="center"/>
    </xf>
    <xf numFmtId="0" fontId="26" fillId="5" borderId="34" xfId="3" applyFont="1" applyFill="1" applyBorder="1" applyAlignment="1">
      <alignment vertical="center"/>
    </xf>
    <xf numFmtId="176" fontId="27" fillId="0" borderId="34" xfId="13" applyFont="1" applyFill="1" applyBorder="1" applyAlignment="1">
      <alignment horizontal="center" vertical="center"/>
    </xf>
    <xf numFmtId="176" fontId="27" fillId="0" borderId="34" xfId="13" applyFont="1" applyFill="1" applyBorder="1" applyAlignment="1">
      <alignment vertical="center"/>
    </xf>
    <xf numFmtId="0" fontId="22" fillId="5" borderId="34" xfId="3" applyFont="1" applyFill="1" applyBorder="1" applyAlignment="1">
      <alignment vertical="center"/>
    </xf>
    <xf numFmtId="0" fontId="27" fillId="0" borderId="34" xfId="3" applyFont="1" applyBorder="1" applyAlignment="1">
      <alignment horizontal="center" vertical="center"/>
    </xf>
    <xf numFmtId="189" fontId="39" fillId="0" borderId="0" xfId="34" applyNumberFormat="1" applyFont="1" applyAlignment="1">
      <alignment horizontal="right" vertical="center"/>
    </xf>
    <xf numFmtId="0" fontId="27" fillId="5" borderId="34" xfId="3" applyFont="1" applyFill="1" applyBorder="1" applyAlignment="1">
      <alignment horizontal="center" vertical="center"/>
    </xf>
    <xf numFmtId="0" fontId="27" fillId="5" borderId="34" xfId="35" applyNumberFormat="1" applyFont="1" applyFill="1" applyBorder="1" applyAlignment="1">
      <alignment horizontal="center" vertical="center"/>
    </xf>
    <xf numFmtId="188" fontId="36" fillId="10" borderId="36" xfId="13" applyNumberFormat="1" applyFont="1" applyFill="1" applyBorder="1" applyAlignment="1">
      <alignment horizontal="center" vertical="center"/>
    </xf>
    <xf numFmtId="190" fontId="37" fillId="10" borderId="34" xfId="13" applyNumberFormat="1" applyFont="1" applyFill="1" applyBorder="1" applyAlignment="1">
      <alignment horizontal="center" vertical="center"/>
    </xf>
    <xf numFmtId="0" fontId="37" fillId="10" borderId="34" xfId="34" applyFont="1" applyFill="1" applyBorder="1" applyAlignment="1">
      <alignment horizontal="center" vertical="center"/>
    </xf>
    <xf numFmtId="191" fontId="37" fillId="10" borderId="34" xfId="13" applyNumberFormat="1" applyFont="1" applyFill="1" applyBorder="1" applyAlignment="1">
      <alignment horizontal="center" vertical="center"/>
    </xf>
    <xf numFmtId="187" fontId="37" fillId="10" borderId="34" xfId="13" applyNumberFormat="1" applyFont="1" applyFill="1" applyBorder="1" applyAlignment="1">
      <alignment horizontal="right" vertical="center" wrapText="1"/>
    </xf>
    <xf numFmtId="187" fontId="37" fillId="10" borderId="34" xfId="13" applyNumberFormat="1" applyFont="1" applyFill="1" applyBorder="1" applyAlignment="1">
      <alignment vertical="center"/>
    </xf>
    <xf numFmtId="0" fontId="37" fillId="10" borderId="34" xfId="34" applyFont="1" applyFill="1" applyBorder="1" applyAlignment="1">
      <alignment horizontal="right" vertical="center"/>
    </xf>
    <xf numFmtId="0" fontId="40" fillId="0" borderId="0" xfId="36" applyFont="1">
      <alignment vertical="center"/>
    </xf>
    <xf numFmtId="0" fontId="41" fillId="0" borderId="0" xfId="0" applyFont="1">
      <alignment vertical="center"/>
    </xf>
    <xf numFmtId="192" fontId="27" fillId="5" borderId="34" xfId="13" applyNumberFormat="1" applyFont="1" applyFill="1" applyBorder="1" applyAlignment="1">
      <alignment horizontal="center" vertical="center"/>
    </xf>
    <xf numFmtId="0" fontId="39" fillId="0" borderId="0" xfId="28" applyFont="1" applyAlignment="1">
      <alignment horizontal="right" vertical="center"/>
    </xf>
    <xf numFmtId="188" fontId="42" fillId="5" borderId="34" xfId="13" applyNumberFormat="1" applyFont="1" applyFill="1" applyBorder="1" applyAlignment="1">
      <alignment horizontal="center" vertical="center" wrapText="1"/>
    </xf>
    <xf numFmtId="176" fontId="22" fillId="0" borderId="3" xfId="1" applyFont="1" applyFill="1" applyBorder="1" applyAlignment="1">
      <alignment vertical="center" wrapText="1"/>
    </xf>
    <xf numFmtId="0" fontId="22" fillId="0" borderId="23" xfId="0" applyFont="1" applyBorder="1">
      <alignment vertical="center"/>
    </xf>
    <xf numFmtId="49" fontId="22" fillId="7" borderId="3" xfId="0" applyNumberFormat="1" applyFont="1" applyFill="1" applyBorder="1" applyAlignment="1">
      <alignment horizontal="center" vertical="center" wrapText="1"/>
    </xf>
    <xf numFmtId="176" fontId="22" fillId="5" borderId="3" xfId="1" applyFont="1" applyFill="1" applyBorder="1" applyAlignment="1">
      <alignment vertical="center" wrapText="1"/>
    </xf>
    <xf numFmtId="183" fontId="22" fillId="5" borderId="3" xfId="1" applyNumberFormat="1" applyFont="1" applyFill="1" applyBorder="1" applyAlignment="1">
      <alignment horizontal="right" vertical="center" wrapText="1"/>
    </xf>
    <xf numFmtId="49" fontId="26" fillId="7" borderId="3" xfId="0" applyNumberFormat="1" applyFont="1" applyFill="1" applyBorder="1" applyAlignment="1">
      <alignment vertical="center" wrapText="1"/>
    </xf>
    <xf numFmtId="0" fontId="22" fillId="7" borderId="3" xfId="0" applyFont="1" applyFill="1" applyBorder="1">
      <alignment vertical="center"/>
    </xf>
    <xf numFmtId="49" fontId="22" fillId="7" borderId="3" xfId="0" applyNumberFormat="1" applyFont="1" applyFill="1" applyBorder="1" applyAlignment="1">
      <alignment vertical="center" wrapText="1"/>
    </xf>
    <xf numFmtId="49" fontId="22" fillId="5" borderId="3" xfId="1" applyNumberFormat="1" applyFont="1" applyFill="1" applyBorder="1" applyAlignment="1">
      <alignment horizontal="center" vertical="center"/>
    </xf>
    <xf numFmtId="183" fontId="29" fillId="5" borderId="3" xfId="1" applyNumberFormat="1" applyFont="1" applyFill="1" applyBorder="1" applyAlignment="1">
      <alignment horizontal="right" vertical="center" wrapText="1"/>
    </xf>
    <xf numFmtId="183" fontId="29" fillId="5" borderId="3" xfId="0" applyNumberFormat="1" applyFont="1" applyFill="1" applyBorder="1" applyAlignment="1">
      <alignment horizontal="right" vertical="center" wrapText="1"/>
    </xf>
    <xf numFmtId="183" fontId="29" fillId="5" borderId="3" xfId="1" applyNumberFormat="1" applyFont="1" applyFill="1" applyBorder="1" applyAlignment="1">
      <alignment horizontal="right" vertical="center"/>
    </xf>
    <xf numFmtId="192" fontId="39" fillId="0" borderId="0" xfId="28" applyNumberFormat="1" applyFont="1" applyAlignment="1">
      <alignment horizontal="right" vertical="center"/>
    </xf>
    <xf numFmtId="188" fontId="27" fillId="5" borderId="34" xfId="13" applyNumberFormat="1" applyFont="1" applyFill="1" applyBorder="1" applyAlignment="1">
      <alignment horizontal="center" vertical="center" wrapText="1"/>
    </xf>
    <xf numFmtId="49" fontId="22" fillId="7" borderId="3" xfId="31" applyNumberFormat="1" applyFont="1" applyFill="1" applyBorder="1" applyAlignment="1">
      <alignment horizontal="center" vertical="center" wrapText="1"/>
    </xf>
    <xf numFmtId="0" fontId="22" fillId="7" borderId="3" xfId="31" applyFont="1" applyFill="1" applyBorder="1" applyAlignment="1">
      <alignment horizontal="center" vertical="center"/>
    </xf>
    <xf numFmtId="0" fontId="26" fillId="7" borderId="3" xfId="31" applyFont="1" applyFill="1" applyBorder="1" applyAlignment="1">
      <alignment horizontal="center" vertical="center"/>
    </xf>
    <xf numFmtId="49" fontId="22" fillId="7" borderId="3" xfId="31" applyNumberFormat="1" applyFont="1" applyFill="1" applyBorder="1" applyAlignment="1">
      <alignment horizontal="center" vertical="center"/>
    </xf>
    <xf numFmtId="187" fontId="43" fillId="5" borderId="34" xfId="13" applyNumberFormat="1" applyFont="1" applyFill="1" applyBorder="1" applyAlignment="1">
      <alignment horizontal="right" vertical="center" wrapText="1"/>
    </xf>
    <xf numFmtId="176" fontId="43" fillId="5" borderId="34" xfId="13" applyFont="1" applyFill="1" applyBorder="1" applyAlignment="1">
      <alignment vertical="center"/>
    </xf>
    <xf numFmtId="176" fontId="43" fillId="5" borderId="34" xfId="13" applyFont="1" applyFill="1" applyBorder="1">
      <alignment vertical="center"/>
    </xf>
    <xf numFmtId="178" fontId="43" fillId="0" borderId="34" xfId="5" applyFont="1" applyFill="1" applyBorder="1" applyAlignment="1">
      <alignment vertical="center"/>
    </xf>
    <xf numFmtId="176" fontId="43" fillId="0" borderId="34" xfId="13" applyFont="1" applyFill="1" applyBorder="1" applyAlignment="1">
      <alignment vertical="center"/>
    </xf>
    <xf numFmtId="178" fontId="43" fillId="5" borderId="34" xfId="5" applyFont="1" applyFill="1" applyBorder="1" applyAlignment="1">
      <alignment vertical="center"/>
    </xf>
    <xf numFmtId="0" fontId="21" fillId="0" borderId="0" xfId="6" applyFont="1" applyAlignment="1">
      <alignment horizontal="center" vertical="center"/>
    </xf>
    <xf numFmtId="0" fontId="24" fillId="0" borderId="0" xfId="6" applyFont="1" applyAlignment="1">
      <alignment vertical="center"/>
    </xf>
    <xf numFmtId="0" fontId="23" fillId="0" borderId="0" xfId="6" applyFont="1" applyAlignment="1">
      <alignment vertical="center"/>
    </xf>
    <xf numFmtId="0" fontId="18" fillId="0" borderId="4" xfId="6" applyFont="1" applyBorder="1" applyAlignment="1">
      <alignment vertical="center"/>
    </xf>
    <xf numFmtId="0" fontId="18" fillId="0" borderId="5" xfId="6" applyFont="1" applyBorder="1" applyAlignment="1">
      <alignment vertical="center"/>
    </xf>
    <xf numFmtId="0" fontId="18" fillId="0" borderId="6" xfId="6" applyFont="1" applyBorder="1" applyAlignment="1">
      <alignment vertical="center"/>
    </xf>
    <xf numFmtId="0" fontId="18" fillId="0" borderId="4" xfId="6" applyFont="1" applyBorder="1" applyAlignment="1">
      <alignment vertical="center" wrapText="1"/>
    </xf>
    <xf numFmtId="0" fontId="18" fillId="0" borderId="5" xfId="6" applyFont="1" applyBorder="1" applyAlignment="1">
      <alignment vertical="center" wrapText="1"/>
    </xf>
    <xf numFmtId="0" fontId="18" fillId="0" borderId="6" xfId="6" applyFont="1" applyBorder="1" applyAlignment="1">
      <alignment vertical="center" wrapText="1"/>
    </xf>
    <xf numFmtId="0" fontId="26" fillId="0" borderId="0" xfId="0" applyFont="1" applyAlignment="1">
      <alignment horizontal="center" vertical="center"/>
    </xf>
    <xf numFmtId="0" fontId="22" fillId="0" borderId="3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6" fillId="0" borderId="30" xfId="0" applyFont="1" applyBorder="1" applyAlignment="1">
      <alignment horizontal="center" vertical="center"/>
    </xf>
    <xf numFmtId="0" fontId="26" fillId="9" borderId="4" xfId="0" applyFont="1" applyFill="1" applyBorder="1" applyAlignment="1">
      <alignment horizontal="center" vertical="center"/>
    </xf>
    <xf numFmtId="176" fontId="26" fillId="4" borderId="21" xfId="4" applyFont="1" applyFill="1" applyBorder="1" applyAlignment="1">
      <alignment horizontal="center" vertical="center"/>
    </xf>
    <xf numFmtId="178" fontId="26" fillId="4" borderId="21" xfId="5" applyFont="1" applyFill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26" fillId="4" borderId="21" xfId="3" applyFont="1" applyFill="1" applyBorder="1" applyAlignment="1">
      <alignment horizontal="center" vertical="center"/>
    </xf>
    <xf numFmtId="0" fontId="26" fillId="4" borderId="3" xfId="3" applyFont="1" applyFill="1" applyBorder="1" applyAlignment="1">
      <alignment horizontal="center" vertical="center"/>
    </xf>
    <xf numFmtId="0" fontId="26" fillId="4" borderId="21" xfId="3" applyFont="1" applyFill="1" applyBorder="1" applyAlignment="1">
      <alignment horizontal="center" vertical="center" wrapText="1"/>
    </xf>
    <xf numFmtId="188" fontId="36" fillId="5" borderId="36" xfId="13" applyNumberFormat="1" applyFont="1" applyFill="1" applyBorder="1" applyAlignment="1">
      <alignment vertical="center"/>
    </xf>
    <xf numFmtId="188" fontId="37" fillId="5" borderId="38" xfId="13" applyNumberFormat="1" applyFont="1" applyFill="1" applyBorder="1" applyAlignment="1">
      <alignment vertical="center"/>
    </xf>
    <xf numFmtId="0" fontId="34" fillId="0" borderId="33" xfId="33" applyFont="1" applyBorder="1" applyAlignment="1">
      <alignment horizontal="center" vertical="center"/>
    </xf>
    <xf numFmtId="0" fontId="36" fillId="0" borderId="34" xfId="34" quotePrefix="1" applyFont="1" applyBorder="1" applyAlignment="1">
      <alignment horizontal="center" vertical="center"/>
    </xf>
    <xf numFmtId="0" fontId="36" fillId="0" borderId="35" xfId="34" quotePrefix="1" applyFont="1" applyBorder="1" applyAlignment="1">
      <alignment horizontal="center" vertical="center"/>
    </xf>
    <xf numFmtId="0" fontId="36" fillId="0" borderId="39" xfId="34" quotePrefix="1" applyFont="1" applyBorder="1" applyAlignment="1">
      <alignment horizontal="center" vertical="center"/>
    </xf>
    <xf numFmtId="0" fontId="36" fillId="0" borderId="34" xfId="34" applyFont="1" applyBorder="1" applyAlignment="1">
      <alignment horizontal="center" vertical="center"/>
    </xf>
    <xf numFmtId="0" fontId="36" fillId="0" borderId="36" xfId="34" quotePrefix="1" applyFont="1" applyBorder="1" applyAlignment="1">
      <alignment horizontal="center" vertical="center"/>
    </xf>
    <xf numFmtId="0" fontId="36" fillId="0" borderId="37" xfId="34" quotePrefix="1" applyFont="1" applyBorder="1" applyAlignment="1">
      <alignment horizontal="center" vertical="center"/>
    </xf>
    <xf numFmtId="0" fontId="36" fillId="0" borderId="36" xfId="34" applyFont="1" applyBorder="1" applyAlignment="1">
      <alignment horizontal="center" vertical="center"/>
    </xf>
    <xf numFmtId="0" fontId="36" fillId="0" borderId="38" xfId="34" quotePrefix="1" applyFont="1" applyBorder="1" applyAlignment="1">
      <alignment horizontal="center" vertical="center"/>
    </xf>
  </cellXfs>
  <cellStyles count="37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 4 2" xfId="35" xr:uid="{E78DB5FF-DB49-4185-AC62-F483BE36726F}"/>
    <cellStyle name="쉼표 [0]_내역서(표준단가)_1" xfId="32" xr:uid="{36BDE060-8E41-4F46-818B-86B5A91C034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4 2 2" xfId="36" xr:uid="{887CCC98-5182-49B9-B16A-2AA9AC4B3C10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 7 5 2" xfId="34" xr:uid="{DA88C57A-C7A2-4C68-987E-07EB4F9F9441}"/>
    <cellStyle name="표준 7 6" xfId="33" xr:uid="{D097EE83-9EBF-4BE4-B922-1C5A2E164883}"/>
    <cellStyle name="표준_내역서(표준단가)" xfId="31" xr:uid="{97E9092B-102F-4E83-B29B-AA4C625260A2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K17" sqref="K17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83" t="s">
        <v>6</v>
      </c>
      <c r="B2" s="183"/>
      <c r="C2" s="183"/>
      <c r="D2" s="183"/>
      <c r="E2" s="183"/>
      <c r="F2" s="183"/>
      <c r="G2" s="183"/>
      <c r="H2" s="2"/>
    </row>
    <row r="3" spans="1:9" ht="14.25">
      <c r="A3" s="78"/>
      <c r="B3" s="78"/>
      <c r="C3" s="78"/>
      <c r="D3" s="78"/>
      <c r="E3" s="78"/>
      <c r="F3" s="78"/>
      <c r="G3" s="78"/>
      <c r="H3" s="78"/>
    </row>
    <row r="4" spans="1:9" ht="14.25">
      <c r="A4" s="78"/>
      <c r="B4" s="78"/>
      <c r="C4" s="78"/>
      <c r="D4" s="78"/>
      <c r="E4" s="78"/>
      <c r="H4" s="78"/>
    </row>
    <row r="5" spans="1:9" ht="27" customHeight="1">
      <c r="A5" s="79" t="s">
        <v>46</v>
      </c>
      <c r="B5" s="4"/>
      <c r="C5" s="5"/>
      <c r="D5" s="78"/>
      <c r="E5" s="78"/>
      <c r="F5" s="6" t="s">
        <v>37</v>
      </c>
      <c r="G5" s="7" t="s">
        <v>49</v>
      </c>
      <c r="H5" s="78"/>
    </row>
    <row r="6" spans="1:9" ht="27" customHeight="1">
      <c r="A6" s="78"/>
      <c r="B6" s="78"/>
      <c r="C6" s="78"/>
      <c r="D6" s="78"/>
      <c r="E6" s="78"/>
      <c r="F6" s="8" t="s">
        <v>40</v>
      </c>
      <c r="G6" s="9" t="s">
        <v>50</v>
      </c>
      <c r="H6" s="78"/>
    </row>
    <row r="7" spans="1:9" ht="27" customHeight="1">
      <c r="A7" s="189" t="s">
        <v>137</v>
      </c>
      <c r="B7" s="190"/>
      <c r="C7" s="191"/>
      <c r="D7" s="78"/>
      <c r="E7" s="10"/>
      <c r="F7" s="11" t="s">
        <v>41</v>
      </c>
      <c r="G7" s="9" t="s">
        <v>51</v>
      </c>
      <c r="H7" s="78"/>
    </row>
    <row r="8" spans="1:9" ht="27" customHeight="1">
      <c r="A8" s="78"/>
      <c r="B8" s="78"/>
      <c r="C8" s="78"/>
      <c r="D8" s="78"/>
      <c r="E8" s="78"/>
      <c r="F8" s="8" t="s">
        <v>42</v>
      </c>
      <c r="G8" s="9" t="s">
        <v>52</v>
      </c>
      <c r="H8" s="78"/>
    </row>
    <row r="9" spans="1:9" ht="27" customHeight="1">
      <c r="A9" s="186" t="s">
        <v>88</v>
      </c>
      <c r="B9" s="187"/>
      <c r="C9" s="188"/>
      <c r="D9" s="78"/>
      <c r="E9" s="78"/>
      <c r="F9" s="8" t="s">
        <v>43</v>
      </c>
      <c r="G9" s="9" t="s">
        <v>53</v>
      </c>
      <c r="H9" s="78"/>
    </row>
    <row r="10" spans="1:9" ht="27" customHeight="1">
      <c r="A10" s="78"/>
      <c r="B10" s="78"/>
      <c r="C10" s="78"/>
      <c r="D10" s="78"/>
      <c r="E10" s="78"/>
      <c r="F10" s="12" t="s">
        <v>38</v>
      </c>
      <c r="G10" s="13" t="s">
        <v>54</v>
      </c>
      <c r="H10" s="78"/>
      <c r="I10" s="78"/>
    </row>
    <row r="11" spans="1:9" ht="27" customHeight="1">
      <c r="A11" s="184"/>
      <c r="B11" s="185"/>
      <c r="C11" s="185"/>
      <c r="D11" s="78"/>
      <c r="E11" s="14"/>
      <c r="F11" s="15" t="s">
        <v>39</v>
      </c>
      <c r="G11" s="16" t="s">
        <v>55</v>
      </c>
      <c r="H11" s="14"/>
    </row>
    <row r="12" spans="1:9" ht="18.75" thickBot="1">
      <c r="A12" s="17" t="s">
        <v>7</v>
      </c>
      <c r="B12" s="17" t="str">
        <f>NUMBERSTRING(F31,1)</f>
        <v>삼백육십사만육천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78"/>
      <c r="B13" s="78"/>
      <c r="C13" s="78"/>
      <c r="D13" s="78"/>
      <c r="E13" s="78"/>
      <c r="F13" s="78"/>
      <c r="G13" s="78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'내역서(표준단가)'!K13</f>
        <v>945437.1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'내역서(표준단가)'!M13</f>
        <v>2183089.877107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'내역서(표준단가)'!O13+'내역서(표준단가)'!Q13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3128526.9771070001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07" t="s">
        <v>23</v>
      </c>
      <c r="C21" s="108" t="s">
        <v>84</v>
      </c>
      <c r="D21" s="109">
        <v>1</v>
      </c>
      <c r="E21" s="109" t="s">
        <v>24</v>
      </c>
      <c r="F21" s="110">
        <f>F17*4.75%</f>
        <v>103696.7691625825</v>
      </c>
      <c r="G21" s="35" t="s">
        <v>25</v>
      </c>
    </row>
    <row r="22" spans="1:7" ht="33" customHeight="1">
      <c r="A22" s="29"/>
      <c r="B22" s="111" t="s">
        <v>26</v>
      </c>
      <c r="C22" s="108" t="s">
        <v>85</v>
      </c>
      <c r="D22" s="112">
        <v>1</v>
      </c>
      <c r="E22" s="112" t="s">
        <v>24</v>
      </c>
      <c r="F22" s="113">
        <f>F17*3.595%</f>
        <v>78482.081081996657</v>
      </c>
      <c r="G22" s="44" t="s">
        <v>27</v>
      </c>
    </row>
    <row r="23" spans="1:7" ht="33" customHeight="1">
      <c r="A23" s="29"/>
      <c r="B23" s="42" t="s">
        <v>28</v>
      </c>
      <c r="C23" s="40" t="s">
        <v>47</v>
      </c>
      <c r="D23" s="30">
        <v>1</v>
      </c>
      <c r="E23" s="30" t="s">
        <v>24</v>
      </c>
      <c r="F23" s="43">
        <f>F22*12.95%</f>
        <v>10163.429500118567</v>
      </c>
      <c r="G23" s="35" t="s">
        <v>27</v>
      </c>
    </row>
    <row r="24" spans="1:7" ht="33" customHeight="1">
      <c r="A24" s="29"/>
      <c r="B24" s="42" t="s">
        <v>29</v>
      </c>
      <c r="C24" s="40" t="s">
        <v>45</v>
      </c>
      <c r="D24" s="30">
        <v>1</v>
      </c>
      <c r="E24" s="30" t="s">
        <v>24</v>
      </c>
      <c r="F24" s="43">
        <f>F17*1.01%</f>
        <v>22049.2077587807</v>
      </c>
      <c r="G24" s="35" t="s">
        <v>27</v>
      </c>
    </row>
    <row r="25" spans="1:7" ht="33" customHeight="1">
      <c r="A25" s="29"/>
      <c r="B25" s="42" t="s">
        <v>30</v>
      </c>
      <c r="C25" s="40" t="s">
        <v>48</v>
      </c>
      <c r="D25" s="30">
        <v>1</v>
      </c>
      <c r="E25" s="30" t="s">
        <v>24</v>
      </c>
      <c r="F25" s="43">
        <f>F17*3.56%</f>
        <v>77717.999625009194</v>
      </c>
      <c r="G25" s="35" t="s">
        <v>27</v>
      </c>
    </row>
    <row r="26" spans="1:7" ht="33" customHeight="1">
      <c r="A26" s="29"/>
      <c r="B26" s="42" t="s">
        <v>31</v>
      </c>
      <c r="C26" s="45" t="s">
        <v>77</v>
      </c>
      <c r="D26" s="30">
        <v>1</v>
      </c>
      <c r="E26" s="30" t="s">
        <v>24</v>
      </c>
      <c r="F26" s="43">
        <f>(F16+F17)*3.11%</f>
        <v>97297.188988027701</v>
      </c>
      <c r="G26" s="35" t="s">
        <v>25</v>
      </c>
    </row>
    <row r="27" spans="1:7" ht="33" customHeight="1">
      <c r="A27" s="29"/>
      <c r="B27" s="42" t="s">
        <v>35</v>
      </c>
      <c r="C27" s="45" t="s">
        <v>36</v>
      </c>
      <c r="D27" s="30">
        <v>1</v>
      </c>
      <c r="E27" s="30" t="s">
        <v>24</v>
      </c>
      <c r="F27" s="43">
        <f>SUM(F17+F21+F22+F23+F24+F25+F26)*5%</f>
        <v>128624.82766117575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518031.50377769105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3646558.4808846912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3646000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4">
    <mergeCell ref="A2:G2"/>
    <mergeCell ref="A11:C11"/>
    <mergeCell ref="A9:C9"/>
    <mergeCell ref="A7:C7"/>
  </mergeCells>
  <phoneticPr fontId="11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7"/>
  <sheetViews>
    <sheetView showGridLines="0" zoomScale="80" zoomScaleNormal="80" workbookViewId="0">
      <pane ySplit="4" topLeftCell="A5" activePane="bottomLeft" state="frozen"/>
      <selection pane="bottomLeft" activeCell="K18" sqref="K18"/>
    </sheetView>
  </sheetViews>
  <sheetFormatPr defaultColWidth="9" defaultRowHeight="38.1" customHeight="1"/>
  <cols>
    <col min="1" max="1" width="22.625" style="103" bestFit="1" customWidth="1"/>
    <col min="2" max="5" width="17.625" style="94" hidden="1" customWidth="1"/>
    <col min="6" max="6" width="42.625" style="90" customWidth="1"/>
    <col min="7" max="7" width="30.625" style="90" customWidth="1"/>
    <col min="8" max="8" width="12" style="94" bestFit="1" customWidth="1"/>
    <col min="9" max="9" width="6.625" style="94" customWidth="1"/>
    <col min="10" max="10" width="10.25" style="94" bestFit="1" customWidth="1"/>
    <col min="11" max="11" width="14.625" style="94" customWidth="1"/>
    <col min="12" max="12" width="9.875" style="94" customWidth="1"/>
    <col min="13" max="13" width="15" style="94" customWidth="1"/>
    <col min="14" max="14" width="6.375" style="94" customWidth="1"/>
    <col min="15" max="15" width="8.75" style="94" bestFit="1" customWidth="1"/>
    <col min="16" max="16" width="6.375" style="94" customWidth="1"/>
    <col min="17" max="17" width="8.75" style="94" bestFit="1" customWidth="1"/>
    <col min="18" max="18" width="14.75" style="94" customWidth="1"/>
    <col min="19" max="19" width="10.625" style="62" bestFit="1" customWidth="1"/>
    <col min="20" max="20" width="8.5" style="94" bestFit="1" customWidth="1"/>
    <col min="21" max="16384" width="9" style="94"/>
  </cols>
  <sheetData>
    <row r="1" spans="1:20" ht="19.899999999999999" customHeight="1">
      <c r="A1" s="192"/>
      <c r="B1" s="192"/>
      <c r="C1" s="192"/>
      <c r="D1" s="192"/>
      <c r="E1" s="192"/>
      <c r="J1" s="62"/>
      <c r="K1" s="93" t="s">
        <v>56</v>
      </c>
      <c r="M1" s="93" t="s">
        <v>56</v>
      </c>
      <c r="O1" s="93" t="s">
        <v>56</v>
      </c>
      <c r="Q1" s="93" t="s">
        <v>56</v>
      </c>
    </row>
    <row r="2" spans="1:20" ht="19.899999999999999" customHeight="1" thickBot="1">
      <c r="A2" s="192"/>
      <c r="B2" s="192"/>
      <c r="C2" s="192"/>
      <c r="D2" s="192"/>
      <c r="E2" s="192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95"/>
      <c r="B3" s="95" t="s">
        <v>57</v>
      </c>
      <c r="C3" s="96"/>
      <c r="D3" s="96"/>
      <c r="E3" s="96"/>
      <c r="F3" s="203" t="s">
        <v>58</v>
      </c>
      <c r="G3" s="203"/>
      <c r="H3" s="201" t="s">
        <v>59</v>
      </c>
      <c r="I3" s="201" t="s">
        <v>5</v>
      </c>
      <c r="J3" s="197" t="s">
        <v>60</v>
      </c>
      <c r="K3" s="197"/>
      <c r="L3" s="197" t="s">
        <v>61</v>
      </c>
      <c r="M3" s="197"/>
      <c r="N3" s="198" t="s">
        <v>62</v>
      </c>
      <c r="O3" s="198"/>
      <c r="P3" s="198" t="s">
        <v>63</v>
      </c>
      <c r="Q3" s="198"/>
      <c r="R3" s="199" t="s">
        <v>64</v>
      </c>
      <c r="S3" s="195" t="s">
        <v>65</v>
      </c>
      <c r="T3" s="193" t="s">
        <v>44</v>
      </c>
    </row>
    <row r="4" spans="1:20" ht="19.899999999999999" customHeight="1">
      <c r="A4" s="65" t="s">
        <v>66</v>
      </c>
      <c r="B4" s="66" t="s">
        <v>67</v>
      </c>
      <c r="C4" s="66" t="s">
        <v>68</v>
      </c>
      <c r="D4" s="66" t="s">
        <v>69</v>
      </c>
      <c r="E4" s="66" t="s">
        <v>70</v>
      </c>
      <c r="F4" s="91" t="s">
        <v>71</v>
      </c>
      <c r="G4" s="91" t="s">
        <v>72</v>
      </c>
      <c r="H4" s="202"/>
      <c r="I4" s="202"/>
      <c r="J4" s="67" t="s">
        <v>73</v>
      </c>
      <c r="K4" s="68" t="s">
        <v>74</v>
      </c>
      <c r="L4" s="67" t="s">
        <v>75</v>
      </c>
      <c r="M4" s="68" t="s">
        <v>74</v>
      </c>
      <c r="N4" s="68" t="s">
        <v>76</v>
      </c>
      <c r="O4" s="68" t="s">
        <v>74</v>
      </c>
      <c r="P4" s="68" t="s">
        <v>76</v>
      </c>
      <c r="Q4" s="68" t="s">
        <v>74</v>
      </c>
      <c r="R4" s="200"/>
      <c r="S4" s="196"/>
      <c r="T4" s="194"/>
    </row>
    <row r="5" spans="1:20" s="97" customFormat="1" ht="38.1" customHeight="1">
      <c r="A5" s="69" t="str">
        <f t="shared" ref="A5:A8" si="0">B5&amp;C5&amp;D5&amp;E5</f>
        <v>L002</v>
      </c>
      <c r="B5" s="173"/>
      <c r="C5" s="174"/>
      <c r="D5" s="175"/>
      <c r="E5" s="173" t="s">
        <v>141</v>
      </c>
      <c r="F5" s="81" t="s">
        <v>143</v>
      </c>
      <c r="G5" s="81" t="s">
        <v>142</v>
      </c>
      <c r="H5" s="87" t="s">
        <v>83</v>
      </c>
      <c r="I5" s="105">
        <v>1</v>
      </c>
      <c r="J5" s="83"/>
      <c r="K5" s="84">
        <f t="shared" ref="K5:K8" si="1">SUM(J5:J5)*I5*$K$2</f>
        <v>0</v>
      </c>
      <c r="L5" s="106">
        <v>171037</v>
      </c>
      <c r="M5" s="84">
        <f>I5*L5</f>
        <v>171037</v>
      </c>
      <c r="N5" s="85"/>
      <c r="O5" s="84">
        <f t="shared" ref="O5:O8" si="2">N5*I5*$O$2</f>
        <v>0</v>
      </c>
      <c r="P5" s="85"/>
      <c r="Q5" s="84">
        <f t="shared" ref="Q5:Q8" si="3">P5*I5*$Q$2</f>
        <v>0</v>
      </c>
      <c r="R5" s="71">
        <f t="shared" ref="R5:R8" si="4">SUM(K5+M5)+O5+Q5</f>
        <v>171037</v>
      </c>
      <c r="S5" s="72"/>
      <c r="T5" s="73"/>
    </row>
    <row r="6" spans="1:20" s="97" customFormat="1" ht="38.1" customHeight="1">
      <c r="A6" s="69" t="str">
        <f t="shared" si="0"/>
        <v>M020750510120102</v>
      </c>
      <c r="B6" s="173"/>
      <c r="C6" s="175"/>
      <c r="D6" s="174" t="s">
        <v>78</v>
      </c>
      <c r="E6" s="175"/>
      <c r="F6" s="81" t="s">
        <v>86</v>
      </c>
      <c r="G6" s="81" t="s">
        <v>87</v>
      </c>
      <c r="H6" s="87" t="s">
        <v>79</v>
      </c>
      <c r="I6" s="105">
        <v>57</v>
      </c>
      <c r="J6" s="114">
        <v>6400</v>
      </c>
      <c r="K6" s="84">
        <f t="shared" si="1"/>
        <v>304608</v>
      </c>
      <c r="L6" s="86"/>
      <c r="M6" s="84">
        <f t="shared" ref="M6:M8" si="5">(L6*I6)*$M$2</f>
        <v>0</v>
      </c>
      <c r="N6" s="85"/>
      <c r="O6" s="84">
        <f t="shared" si="2"/>
        <v>0</v>
      </c>
      <c r="P6" s="85"/>
      <c r="Q6" s="84">
        <f t="shared" si="3"/>
        <v>0</v>
      </c>
      <c r="R6" s="71">
        <f t="shared" si="4"/>
        <v>304608</v>
      </c>
      <c r="S6" s="72"/>
      <c r="T6" s="73"/>
    </row>
    <row r="7" spans="1:20" s="97" customFormat="1" ht="38.1" customHeight="1">
      <c r="A7" s="69" t="str">
        <f t="shared" si="0"/>
        <v>M020750510130102</v>
      </c>
      <c r="B7" s="161"/>
      <c r="C7" s="66"/>
      <c r="D7" s="117" t="s">
        <v>123</v>
      </c>
      <c r="E7" s="66"/>
      <c r="F7" s="80" t="s">
        <v>129</v>
      </c>
      <c r="G7" s="80" t="s">
        <v>124</v>
      </c>
      <c r="H7" s="118" t="s">
        <v>79</v>
      </c>
      <c r="I7" s="89">
        <v>57</v>
      </c>
      <c r="J7" s="170">
        <v>8000</v>
      </c>
      <c r="K7" s="84">
        <f t="shared" si="1"/>
        <v>380760</v>
      </c>
      <c r="L7" s="120"/>
      <c r="M7" s="84">
        <f t="shared" si="5"/>
        <v>0</v>
      </c>
      <c r="N7" s="85"/>
      <c r="O7" s="84">
        <f t="shared" si="2"/>
        <v>0</v>
      </c>
      <c r="P7" s="85"/>
      <c r="Q7" s="84">
        <f t="shared" si="3"/>
        <v>0</v>
      </c>
      <c r="R7" s="71">
        <f t="shared" si="4"/>
        <v>380760</v>
      </c>
      <c r="S7" s="89"/>
      <c r="T7" s="73"/>
    </row>
    <row r="8" spans="1:20" s="97" customFormat="1" ht="38.1" customHeight="1">
      <c r="A8" s="69" t="str">
        <f t="shared" si="0"/>
        <v>E00000803066470202</v>
      </c>
      <c r="B8" s="176"/>
      <c r="C8" s="174" t="s">
        <v>80</v>
      </c>
      <c r="D8" s="174"/>
      <c r="E8" s="176"/>
      <c r="F8" s="81" t="s">
        <v>81</v>
      </c>
      <c r="G8" s="81" t="s">
        <v>132</v>
      </c>
      <c r="H8" s="88" t="s">
        <v>82</v>
      </c>
      <c r="I8" s="105">
        <v>3.2570999999999999</v>
      </c>
      <c r="J8" s="115"/>
      <c r="K8" s="84">
        <f t="shared" si="1"/>
        <v>0</v>
      </c>
      <c r="L8" s="106">
        <v>681499</v>
      </c>
      <c r="M8" s="84">
        <f t="shared" si="5"/>
        <v>1853458.1780714998</v>
      </c>
      <c r="N8" s="85"/>
      <c r="O8" s="84">
        <f t="shared" si="2"/>
        <v>0</v>
      </c>
      <c r="P8" s="85"/>
      <c r="Q8" s="84">
        <f t="shared" si="3"/>
        <v>0</v>
      </c>
      <c r="R8" s="71">
        <f t="shared" si="4"/>
        <v>1853458.1780714998</v>
      </c>
      <c r="S8" s="72"/>
      <c r="T8" s="73"/>
    </row>
    <row r="9" spans="1:20" s="97" customFormat="1" ht="38.1" customHeight="1">
      <c r="A9" s="69" t="str">
        <f t="shared" ref="A9:A11" si="6">B9&amp;C9&amp;D9&amp;E9</f>
        <v>M020531910380101</v>
      </c>
      <c r="B9" s="161"/>
      <c r="C9" s="66"/>
      <c r="D9" s="117" t="s">
        <v>119</v>
      </c>
      <c r="E9" s="66"/>
      <c r="F9" s="80" t="s">
        <v>127</v>
      </c>
      <c r="G9" s="80" t="s">
        <v>120</v>
      </c>
      <c r="H9" s="118" t="s">
        <v>121</v>
      </c>
      <c r="I9" s="89">
        <v>46</v>
      </c>
      <c r="J9" s="168">
        <v>3510</v>
      </c>
      <c r="K9" s="84">
        <f t="shared" ref="K9:K11" si="7">SUM(J9:J9)*I9*$K$2</f>
        <v>134819.1</v>
      </c>
      <c r="L9" s="169"/>
      <c r="M9" s="84">
        <f t="shared" ref="M9:M10" si="8">(L9*I9)*$M$2</f>
        <v>0</v>
      </c>
      <c r="N9" s="85"/>
      <c r="O9" s="84">
        <f t="shared" ref="O9:O10" si="9">N9*I9*$O$2</f>
        <v>0</v>
      </c>
      <c r="P9" s="85"/>
      <c r="Q9" s="84">
        <f t="shared" ref="Q9:Q11" si="10">P9*I9*$Q$2</f>
        <v>0</v>
      </c>
      <c r="R9" s="162">
        <f t="shared" ref="R9:R11" si="11">SUM(K9+M9)+O9+Q9</f>
        <v>134819.1</v>
      </c>
      <c r="S9" s="89"/>
      <c r="T9" s="160"/>
    </row>
    <row r="10" spans="1:20" s="97" customFormat="1" ht="38.1" customHeight="1">
      <c r="A10" s="69" t="str">
        <f t="shared" si="6"/>
        <v>E00000803066520502</v>
      </c>
      <c r="B10" s="161"/>
      <c r="C10" s="117" t="s">
        <v>122</v>
      </c>
      <c r="D10" s="66"/>
      <c r="E10" s="66"/>
      <c r="F10" s="80" t="s">
        <v>128</v>
      </c>
      <c r="G10" s="80" t="s">
        <v>133</v>
      </c>
      <c r="H10" s="118" t="s">
        <v>82</v>
      </c>
      <c r="I10" s="89">
        <v>0.2787</v>
      </c>
      <c r="J10" s="122"/>
      <c r="K10" s="84">
        <f t="shared" si="7"/>
        <v>0</v>
      </c>
      <c r="L10" s="123">
        <v>681499</v>
      </c>
      <c r="M10" s="84">
        <f t="shared" si="8"/>
        <v>158594.6990355</v>
      </c>
      <c r="N10" s="85"/>
      <c r="O10" s="84">
        <f t="shared" si="9"/>
        <v>0</v>
      </c>
      <c r="P10" s="85"/>
      <c r="Q10" s="84">
        <f t="shared" si="10"/>
        <v>0</v>
      </c>
      <c r="R10" s="162">
        <f t="shared" si="11"/>
        <v>158594.6990355</v>
      </c>
      <c r="S10" s="89"/>
      <c r="T10" s="160"/>
    </row>
    <row r="11" spans="1:20" s="97" customFormat="1" ht="38.1" customHeight="1">
      <c r="A11" s="69" t="str">
        <f t="shared" si="6"/>
        <v>M020806810430101</v>
      </c>
      <c r="B11" s="164"/>
      <c r="C11" s="165"/>
      <c r="D11" s="117" t="s">
        <v>125</v>
      </c>
      <c r="E11" s="166"/>
      <c r="F11" s="80" t="s">
        <v>130</v>
      </c>
      <c r="G11" s="80" t="s">
        <v>131</v>
      </c>
      <c r="H11" s="167" t="s">
        <v>126</v>
      </c>
      <c r="I11" s="89">
        <v>1</v>
      </c>
      <c r="J11" s="168">
        <v>150000</v>
      </c>
      <c r="K11" s="84">
        <f t="shared" si="7"/>
        <v>125250</v>
      </c>
      <c r="L11" s="120"/>
      <c r="M11" s="84"/>
      <c r="N11" s="85"/>
      <c r="O11" s="84"/>
      <c r="P11" s="163"/>
      <c r="Q11" s="84">
        <f t="shared" si="10"/>
        <v>0</v>
      </c>
      <c r="R11" s="159">
        <f t="shared" si="11"/>
        <v>125250</v>
      </c>
      <c r="S11" s="89"/>
      <c r="T11" s="160"/>
    </row>
    <row r="12" spans="1:20" s="97" customFormat="1" ht="38.1" customHeight="1">
      <c r="A12" s="69"/>
      <c r="B12" s="116"/>
      <c r="C12" s="117"/>
      <c r="D12" s="117"/>
      <c r="E12" s="116"/>
      <c r="F12" s="80"/>
      <c r="G12" s="80"/>
      <c r="H12" s="118"/>
      <c r="I12" s="89"/>
      <c r="J12" s="119"/>
      <c r="K12" s="84"/>
      <c r="L12" s="120"/>
      <c r="M12" s="84"/>
      <c r="N12" s="85"/>
      <c r="O12" s="84"/>
      <c r="P12" s="85"/>
      <c r="Q12" s="84"/>
      <c r="R12" s="70"/>
      <c r="S12" s="121"/>
      <c r="T12" s="73"/>
    </row>
    <row r="13" spans="1:20" s="99" customFormat="1" ht="38.1" customHeight="1">
      <c r="A13" s="98"/>
      <c r="F13" s="92"/>
      <c r="G13" s="92"/>
      <c r="K13" s="100">
        <f>SUM(K5:K12)</f>
        <v>945437.1</v>
      </c>
      <c r="L13" s="101"/>
      <c r="M13" s="100">
        <f>SUM(M5:M12)</f>
        <v>2183089.877107</v>
      </c>
      <c r="N13" s="101"/>
      <c r="O13" s="100">
        <f>SUM(O5:O12)</f>
        <v>0</v>
      </c>
      <c r="P13" s="101"/>
      <c r="Q13" s="100">
        <f>SUM(Q5:Q12)</f>
        <v>0</v>
      </c>
      <c r="R13" s="102">
        <f>SUM(R5:R12)</f>
        <v>3128526.9771070001</v>
      </c>
      <c r="S13" s="74"/>
    </row>
    <row r="17" spans="13:13" ht="38.1" customHeight="1">
      <c r="M17" s="104"/>
    </row>
  </sheetData>
  <mergeCells count="12"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11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77BF-3EBB-4E81-9AA8-D3F168DD5A0F}">
  <sheetPr>
    <pageSetUpPr fitToPage="1"/>
  </sheetPr>
  <dimension ref="A1:O27"/>
  <sheetViews>
    <sheetView tabSelected="1" zoomScaleNormal="100" workbookViewId="0">
      <selection activeCell="P14" sqref="P14"/>
    </sheetView>
  </sheetViews>
  <sheetFormatPr defaultColWidth="9" defaultRowHeight="16.5"/>
  <cols>
    <col min="1" max="1" width="22.625" style="154" customWidth="1"/>
    <col min="2" max="2" width="27.625" style="154" customWidth="1"/>
    <col min="3" max="3" width="5.75" style="154" customWidth="1"/>
    <col min="4" max="4" width="5.25" style="154" customWidth="1"/>
    <col min="5" max="14" width="10.625" style="154" customWidth="1"/>
    <col min="15" max="16384" width="9" style="155"/>
  </cols>
  <sheetData>
    <row r="1" spans="1:15" s="125" customFormat="1" ht="26.25" customHeight="1">
      <c r="A1" s="206" t="s">
        <v>89</v>
      </c>
      <c r="B1" s="206"/>
      <c r="C1" s="206"/>
      <c r="D1" s="206"/>
      <c r="E1" s="206"/>
      <c r="F1" s="206"/>
      <c r="G1" s="206"/>
      <c r="H1" s="206"/>
      <c r="I1" s="206"/>
      <c r="J1" s="206"/>
      <c r="K1" s="206"/>
      <c r="L1" s="206"/>
      <c r="M1" s="206"/>
      <c r="N1" s="206"/>
    </row>
    <row r="2" spans="1:15" s="125" customFormat="1" ht="20.100000000000001" customHeight="1">
      <c r="A2" s="207" t="s">
        <v>90</v>
      </c>
      <c r="B2" s="207" t="s">
        <v>91</v>
      </c>
      <c r="C2" s="208" t="s">
        <v>59</v>
      </c>
      <c r="D2" s="208" t="s">
        <v>92</v>
      </c>
      <c r="E2" s="210" t="s">
        <v>93</v>
      </c>
      <c r="F2" s="207"/>
      <c r="G2" s="211" t="s">
        <v>94</v>
      </c>
      <c r="H2" s="212"/>
      <c r="I2" s="213" t="s">
        <v>95</v>
      </c>
      <c r="J2" s="212"/>
      <c r="K2" s="213" t="s">
        <v>96</v>
      </c>
      <c r="L2" s="212"/>
      <c r="M2" s="213" t="s">
        <v>97</v>
      </c>
      <c r="N2" s="214"/>
    </row>
    <row r="3" spans="1:15" s="125" customFormat="1" ht="20.100000000000001" customHeight="1">
      <c r="A3" s="207"/>
      <c r="B3" s="207"/>
      <c r="C3" s="209"/>
      <c r="D3" s="209"/>
      <c r="E3" s="126" t="s">
        <v>98</v>
      </c>
      <c r="F3" s="126" t="s">
        <v>99</v>
      </c>
      <c r="G3" s="127" t="s">
        <v>98</v>
      </c>
      <c r="H3" s="128" t="s">
        <v>99</v>
      </c>
      <c r="I3" s="127" t="s">
        <v>98</v>
      </c>
      <c r="J3" s="128" t="s">
        <v>99</v>
      </c>
      <c r="K3" s="127" t="s">
        <v>98</v>
      </c>
      <c r="L3" s="128" t="s">
        <v>99</v>
      </c>
      <c r="M3" s="127" t="s">
        <v>98</v>
      </c>
      <c r="N3" s="126" t="s">
        <v>99</v>
      </c>
    </row>
    <row r="4" spans="1:15" s="125" customFormat="1" ht="20.100000000000001" customHeight="1">
      <c r="A4" s="204" t="s">
        <v>138</v>
      </c>
      <c r="B4" s="205"/>
      <c r="C4" s="129"/>
      <c r="D4" s="129"/>
      <c r="E4" s="129"/>
      <c r="F4" s="129"/>
      <c r="G4" s="129"/>
      <c r="H4" s="129"/>
      <c r="I4" s="129"/>
      <c r="J4" s="129"/>
      <c r="K4" s="129"/>
      <c r="L4" s="129"/>
      <c r="M4" s="129"/>
      <c r="N4" s="130">
        <f>F4+H4+J4+L4</f>
        <v>0</v>
      </c>
    </row>
    <row r="5" spans="1:15" s="138" customFormat="1" ht="20.100000000000001" customHeight="1">
      <c r="A5" s="131" t="s">
        <v>100</v>
      </c>
      <c r="B5" s="172" t="s">
        <v>139</v>
      </c>
      <c r="C5" s="132" t="s">
        <v>140</v>
      </c>
      <c r="D5" s="133">
        <v>1</v>
      </c>
      <c r="E5" s="177"/>
      <c r="F5" s="178">
        <f t="shared" ref="F5:F26" si="0">D5*E5</f>
        <v>0</v>
      </c>
      <c r="G5" s="179">
        <v>171037</v>
      </c>
      <c r="H5" s="177">
        <f>D5*G5</f>
        <v>171037</v>
      </c>
      <c r="I5" s="134"/>
      <c r="J5" s="136"/>
      <c r="K5" s="134"/>
      <c r="L5" s="136"/>
      <c r="M5" s="137"/>
      <c r="N5" s="137">
        <f>F5+H5+J5+L5</f>
        <v>171037</v>
      </c>
    </row>
    <row r="6" spans="1:15" s="157" customFormat="1" ht="20.100000000000001" customHeight="1">
      <c r="A6" s="139" t="s">
        <v>114</v>
      </c>
      <c r="B6" s="158" t="s">
        <v>118</v>
      </c>
      <c r="C6" s="140"/>
      <c r="D6" s="156"/>
      <c r="E6" s="180"/>
      <c r="F6" s="181">
        <f t="shared" si="0"/>
        <v>0</v>
      </c>
      <c r="G6" s="178"/>
      <c r="H6" s="177"/>
      <c r="I6" s="141"/>
      <c r="J6" s="141"/>
      <c r="K6" s="141"/>
      <c r="L6" s="141"/>
      <c r="M6" s="140"/>
      <c r="N6" s="137">
        <f t="shared" ref="N6:N10" si="1">F6+H6+J6+L6</f>
        <v>0</v>
      </c>
    </row>
    <row r="7" spans="1:15" s="157" customFormat="1" ht="20.100000000000001" customHeight="1">
      <c r="A7" s="142" t="s">
        <v>101</v>
      </c>
      <c r="B7" s="143" t="s">
        <v>102</v>
      </c>
      <c r="C7" s="143" t="s">
        <v>103</v>
      </c>
      <c r="D7" s="156">
        <v>9</v>
      </c>
      <c r="E7" s="178">
        <v>5344</v>
      </c>
      <c r="F7" s="178">
        <f t="shared" si="0"/>
        <v>48096</v>
      </c>
      <c r="G7" s="178"/>
      <c r="H7" s="177"/>
      <c r="I7" s="135"/>
      <c r="J7" s="135"/>
      <c r="K7" s="135"/>
      <c r="L7" s="135"/>
      <c r="M7" s="137"/>
      <c r="N7" s="137">
        <f t="shared" si="1"/>
        <v>48096</v>
      </c>
      <c r="O7" s="171">
        <f>D7+D12+D17+D22</f>
        <v>57</v>
      </c>
    </row>
    <row r="8" spans="1:15" s="157" customFormat="1" ht="20.100000000000001" customHeight="1">
      <c r="A8" s="142" t="s">
        <v>104</v>
      </c>
      <c r="B8" s="143" t="s">
        <v>105</v>
      </c>
      <c r="C8" s="143" t="s">
        <v>103</v>
      </c>
      <c r="D8" s="156">
        <v>9</v>
      </c>
      <c r="E8" s="182">
        <v>6680</v>
      </c>
      <c r="F8" s="178">
        <f t="shared" si="0"/>
        <v>60120</v>
      </c>
      <c r="G8" s="178"/>
      <c r="H8" s="177">
        <f t="shared" ref="H8:H10" si="2">D8*G8</f>
        <v>0</v>
      </c>
      <c r="I8" s="135"/>
      <c r="J8" s="135"/>
      <c r="K8" s="135"/>
      <c r="L8" s="135"/>
      <c r="M8" s="137"/>
      <c r="N8" s="137">
        <f t="shared" si="1"/>
        <v>60120</v>
      </c>
      <c r="O8" s="171">
        <f>D8+D13+D18+D23</f>
        <v>57</v>
      </c>
    </row>
    <row r="9" spans="1:15" s="157" customFormat="1" ht="20.100000000000001" customHeight="1">
      <c r="A9" s="142" t="s">
        <v>106</v>
      </c>
      <c r="B9" s="145" t="s">
        <v>107</v>
      </c>
      <c r="C9" s="145" t="s">
        <v>103</v>
      </c>
      <c r="D9" s="156">
        <v>18</v>
      </c>
      <c r="E9" s="178"/>
      <c r="F9" s="178">
        <f t="shared" si="0"/>
        <v>0</v>
      </c>
      <c r="G9" s="178">
        <v>16218</v>
      </c>
      <c r="H9" s="177">
        <f t="shared" si="2"/>
        <v>291924</v>
      </c>
      <c r="I9" s="135"/>
      <c r="J9" s="135"/>
      <c r="K9" s="135"/>
      <c r="L9" s="135"/>
      <c r="M9" s="137"/>
      <c r="N9" s="137">
        <f t="shared" si="1"/>
        <v>291924</v>
      </c>
      <c r="O9" s="171">
        <f>D9+D14+D19+D24</f>
        <v>114</v>
      </c>
    </row>
    <row r="10" spans="1:15" s="157" customFormat="1" ht="20.100000000000001" customHeight="1">
      <c r="A10" s="142" t="s">
        <v>108</v>
      </c>
      <c r="B10" s="143" t="s">
        <v>109</v>
      </c>
      <c r="C10" s="140" t="s">
        <v>110</v>
      </c>
      <c r="D10" s="156">
        <v>10</v>
      </c>
      <c r="E10" s="182">
        <v>2931</v>
      </c>
      <c r="F10" s="178">
        <f t="shared" si="0"/>
        <v>29310</v>
      </c>
      <c r="G10" s="178">
        <v>3414</v>
      </c>
      <c r="H10" s="177">
        <f t="shared" si="2"/>
        <v>34140</v>
      </c>
      <c r="I10" s="135"/>
      <c r="J10" s="135"/>
      <c r="K10" s="135"/>
      <c r="L10" s="135"/>
      <c r="M10" s="137"/>
      <c r="N10" s="137">
        <f t="shared" si="1"/>
        <v>63450</v>
      </c>
      <c r="O10" s="171">
        <f>D10+D15+D20+D25</f>
        <v>46</v>
      </c>
    </row>
    <row r="11" spans="1:15" s="138" customFormat="1" ht="20.100000000000001" customHeight="1">
      <c r="A11" s="139" t="s">
        <v>115</v>
      </c>
      <c r="B11" s="158" t="s">
        <v>134</v>
      </c>
      <c r="C11" s="140"/>
      <c r="D11" s="133"/>
      <c r="E11" s="180"/>
      <c r="F11" s="181">
        <f t="shared" si="0"/>
        <v>0</v>
      </c>
      <c r="G11" s="178"/>
      <c r="H11" s="177"/>
      <c r="I11" s="141"/>
      <c r="J11" s="141"/>
      <c r="K11" s="141"/>
      <c r="L11" s="141"/>
      <c r="M11" s="140"/>
      <c r="N11" s="137">
        <f t="shared" ref="N11:N26" si="3">F11+H11+J11+L11</f>
        <v>0</v>
      </c>
    </row>
    <row r="12" spans="1:15" s="138" customFormat="1" ht="20.100000000000001" customHeight="1">
      <c r="A12" s="142" t="s">
        <v>101</v>
      </c>
      <c r="B12" s="143" t="s">
        <v>102</v>
      </c>
      <c r="C12" s="143" t="s">
        <v>103</v>
      </c>
      <c r="D12" s="133">
        <v>15</v>
      </c>
      <c r="E12" s="178">
        <v>5344</v>
      </c>
      <c r="F12" s="178">
        <f t="shared" ref="F12:F15" si="4">D12*E12</f>
        <v>80160</v>
      </c>
      <c r="G12" s="178"/>
      <c r="H12" s="177"/>
      <c r="I12" s="135"/>
      <c r="J12" s="135"/>
      <c r="K12" s="135"/>
      <c r="L12" s="135"/>
      <c r="M12" s="137"/>
      <c r="N12" s="137">
        <f t="shared" si="3"/>
        <v>80160</v>
      </c>
      <c r="O12" s="144"/>
    </row>
    <row r="13" spans="1:15" s="138" customFormat="1" ht="20.100000000000001" customHeight="1">
      <c r="A13" s="142" t="s">
        <v>104</v>
      </c>
      <c r="B13" s="143" t="s">
        <v>105</v>
      </c>
      <c r="C13" s="143" t="s">
        <v>103</v>
      </c>
      <c r="D13" s="133">
        <v>15</v>
      </c>
      <c r="E13" s="182">
        <v>6680</v>
      </c>
      <c r="F13" s="178">
        <f t="shared" si="4"/>
        <v>100200</v>
      </c>
      <c r="G13" s="178"/>
      <c r="H13" s="177">
        <f t="shared" ref="H13:H15" si="5">D13*G13</f>
        <v>0</v>
      </c>
      <c r="I13" s="135"/>
      <c r="J13" s="135"/>
      <c r="K13" s="135"/>
      <c r="L13" s="135"/>
      <c r="M13" s="137"/>
      <c r="N13" s="137">
        <f t="shared" si="3"/>
        <v>100200</v>
      </c>
      <c r="O13" s="144"/>
    </row>
    <row r="14" spans="1:15" s="138" customFormat="1" ht="20.100000000000001" customHeight="1">
      <c r="A14" s="142" t="s">
        <v>106</v>
      </c>
      <c r="B14" s="145" t="s">
        <v>107</v>
      </c>
      <c r="C14" s="145" t="s">
        <v>103</v>
      </c>
      <c r="D14" s="133">
        <v>30</v>
      </c>
      <c r="E14" s="178"/>
      <c r="F14" s="178">
        <f t="shared" si="4"/>
        <v>0</v>
      </c>
      <c r="G14" s="178">
        <v>16218</v>
      </c>
      <c r="H14" s="177">
        <f t="shared" si="5"/>
        <v>486540</v>
      </c>
      <c r="I14" s="135"/>
      <c r="J14" s="135"/>
      <c r="K14" s="135"/>
      <c r="L14" s="135"/>
      <c r="M14" s="137"/>
      <c r="N14" s="137">
        <f t="shared" si="3"/>
        <v>486540</v>
      </c>
      <c r="O14" s="144"/>
    </row>
    <row r="15" spans="1:15" s="138" customFormat="1" ht="20.100000000000001" customHeight="1">
      <c r="A15" s="142" t="s">
        <v>108</v>
      </c>
      <c r="B15" s="143" t="s">
        <v>109</v>
      </c>
      <c r="C15" s="140" t="s">
        <v>110</v>
      </c>
      <c r="D15" s="133">
        <v>12</v>
      </c>
      <c r="E15" s="182">
        <v>2931</v>
      </c>
      <c r="F15" s="178">
        <f t="shared" si="4"/>
        <v>35172</v>
      </c>
      <c r="G15" s="178">
        <v>3414</v>
      </c>
      <c r="H15" s="177">
        <f t="shared" si="5"/>
        <v>40968</v>
      </c>
      <c r="I15" s="135"/>
      <c r="J15" s="135"/>
      <c r="K15" s="135"/>
      <c r="L15" s="135"/>
      <c r="M15" s="137"/>
      <c r="N15" s="137">
        <f t="shared" si="3"/>
        <v>76140</v>
      </c>
      <c r="O15" s="144"/>
    </row>
    <row r="16" spans="1:15" s="138" customFormat="1" ht="20.100000000000001" customHeight="1">
      <c r="A16" s="139" t="s">
        <v>116</v>
      </c>
      <c r="B16" s="158" t="s">
        <v>135</v>
      </c>
      <c r="C16" s="140"/>
      <c r="D16" s="133"/>
      <c r="E16" s="180"/>
      <c r="F16" s="181">
        <f t="shared" si="0"/>
        <v>0</v>
      </c>
      <c r="G16" s="178"/>
      <c r="H16" s="177"/>
      <c r="I16" s="141"/>
      <c r="J16" s="141"/>
      <c r="K16" s="141"/>
      <c r="L16" s="141"/>
      <c r="M16" s="140"/>
      <c r="N16" s="137">
        <f t="shared" si="3"/>
        <v>0</v>
      </c>
    </row>
    <row r="17" spans="1:14" s="138" customFormat="1" ht="20.100000000000001" customHeight="1">
      <c r="A17" s="142" t="s">
        <v>101</v>
      </c>
      <c r="B17" s="143" t="s">
        <v>102</v>
      </c>
      <c r="C17" s="143" t="s">
        <v>103</v>
      </c>
      <c r="D17" s="133">
        <v>16</v>
      </c>
      <c r="E17" s="178">
        <v>5344</v>
      </c>
      <c r="F17" s="178">
        <f t="shared" ref="F17:F20" si="6">D17*E17</f>
        <v>85504</v>
      </c>
      <c r="G17" s="178"/>
      <c r="H17" s="177"/>
      <c r="I17" s="135"/>
      <c r="J17" s="135"/>
      <c r="K17" s="135"/>
      <c r="L17" s="135"/>
      <c r="M17" s="137"/>
      <c r="N17" s="137">
        <f t="shared" si="3"/>
        <v>85504</v>
      </c>
    </row>
    <row r="18" spans="1:14" s="138" customFormat="1" ht="20.100000000000001" customHeight="1">
      <c r="A18" s="142" t="s">
        <v>104</v>
      </c>
      <c r="B18" s="143" t="s">
        <v>105</v>
      </c>
      <c r="C18" s="143" t="s">
        <v>103</v>
      </c>
      <c r="D18" s="133">
        <v>16</v>
      </c>
      <c r="E18" s="182">
        <v>6680</v>
      </c>
      <c r="F18" s="178">
        <f t="shared" si="6"/>
        <v>106880</v>
      </c>
      <c r="G18" s="178"/>
      <c r="H18" s="177">
        <f t="shared" ref="H18:H20" si="7">D18*G18</f>
        <v>0</v>
      </c>
      <c r="I18" s="135"/>
      <c r="J18" s="135"/>
      <c r="K18" s="135"/>
      <c r="L18" s="135"/>
      <c r="M18" s="137"/>
      <c r="N18" s="137">
        <f t="shared" si="3"/>
        <v>106880</v>
      </c>
    </row>
    <row r="19" spans="1:14" s="138" customFormat="1" ht="20.100000000000001" customHeight="1">
      <c r="A19" s="142" t="s">
        <v>106</v>
      </c>
      <c r="B19" s="145" t="s">
        <v>107</v>
      </c>
      <c r="C19" s="145" t="s">
        <v>103</v>
      </c>
      <c r="D19" s="133">
        <v>32</v>
      </c>
      <c r="E19" s="178"/>
      <c r="F19" s="178">
        <f t="shared" si="6"/>
        <v>0</v>
      </c>
      <c r="G19" s="178">
        <v>16218</v>
      </c>
      <c r="H19" s="177">
        <f t="shared" si="7"/>
        <v>518976</v>
      </c>
      <c r="I19" s="135"/>
      <c r="J19" s="135"/>
      <c r="K19" s="135"/>
      <c r="L19" s="135"/>
      <c r="M19" s="137"/>
      <c r="N19" s="137">
        <f t="shared" si="3"/>
        <v>518976</v>
      </c>
    </row>
    <row r="20" spans="1:14" s="138" customFormat="1" ht="20.100000000000001" customHeight="1">
      <c r="A20" s="142" t="s">
        <v>108</v>
      </c>
      <c r="B20" s="143" t="s">
        <v>109</v>
      </c>
      <c r="C20" s="140" t="s">
        <v>110</v>
      </c>
      <c r="D20" s="133">
        <v>12</v>
      </c>
      <c r="E20" s="182">
        <v>2931</v>
      </c>
      <c r="F20" s="178">
        <f t="shared" si="6"/>
        <v>35172</v>
      </c>
      <c r="G20" s="178">
        <v>3414</v>
      </c>
      <c r="H20" s="177">
        <f t="shared" si="7"/>
        <v>40968</v>
      </c>
      <c r="I20" s="135"/>
      <c r="J20" s="135"/>
      <c r="K20" s="135"/>
      <c r="L20" s="135"/>
      <c r="M20" s="137"/>
      <c r="N20" s="137">
        <f t="shared" si="3"/>
        <v>76140</v>
      </c>
    </row>
    <row r="21" spans="1:14" s="138" customFormat="1" ht="20.100000000000001" customHeight="1">
      <c r="A21" s="139" t="s">
        <v>117</v>
      </c>
      <c r="B21" s="158" t="s">
        <v>136</v>
      </c>
      <c r="C21" s="140"/>
      <c r="D21" s="133"/>
      <c r="E21" s="180"/>
      <c r="F21" s="181">
        <f t="shared" si="0"/>
        <v>0</v>
      </c>
      <c r="G21" s="178"/>
      <c r="H21" s="177"/>
      <c r="I21" s="141"/>
      <c r="J21" s="141"/>
      <c r="K21" s="141"/>
      <c r="L21" s="141"/>
      <c r="M21" s="140"/>
      <c r="N21" s="137">
        <f t="shared" si="3"/>
        <v>0</v>
      </c>
    </row>
    <row r="22" spans="1:14" s="138" customFormat="1" ht="20.100000000000001" customHeight="1">
      <c r="A22" s="142" t="s">
        <v>101</v>
      </c>
      <c r="B22" s="143" t="s">
        <v>102</v>
      </c>
      <c r="C22" s="143" t="s">
        <v>103</v>
      </c>
      <c r="D22" s="133">
        <v>17</v>
      </c>
      <c r="E22" s="178">
        <v>5344</v>
      </c>
      <c r="F22" s="178">
        <f t="shared" ref="F22:F25" si="8">D22*E22</f>
        <v>90848</v>
      </c>
      <c r="G22" s="178"/>
      <c r="H22" s="177"/>
      <c r="I22" s="135"/>
      <c r="J22" s="135"/>
      <c r="K22" s="135"/>
      <c r="L22" s="135"/>
      <c r="M22" s="137"/>
      <c r="N22" s="137">
        <f t="shared" si="3"/>
        <v>90848</v>
      </c>
    </row>
    <row r="23" spans="1:14" s="138" customFormat="1" ht="20.100000000000001" customHeight="1">
      <c r="A23" s="142" t="s">
        <v>104</v>
      </c>
      <c r="B23" s="143" t="s">
        <v>105</v>
      </c>
      <c r="C23" s="143" t="s">
        <v>103</v>
      </c>
      <c r="D23" s="133">
        <v>17</v>
      </c>
      <c r="E23" s="182">
        <v>6680</v>
      </c>
      <c r="F23" s="178">
        <f t="shared" si="8"/>
        <v>113560</v>
      </c>
      <c r="G23" s="178"/>
      <c r="H23" s="177">
        <f t="shared" ref="H23:H25" si="9">D23*G23</f>
        <v>0</v>
      </c>
      <c r="I23" s="135"/>
      <c r="J23" s="135"/>
      <c r="K23" s="135"/>
      <c r="L23" s="135"/>
      <c r="M23" s="137"/>
      <c r="N23" s="137">
        <f t="shared" si="3"/>
        <v>113560</v>
      </c>
    </row>
    <row r="24" spans="1:14" s="138" customFormat="1" ht="20.100000000000001" customHeight="1">
      <c r="A24" s="142" t="s">
        <v>106</v>
      </c>
      <c r="B24" s="145" t="s">
        <v>107</v>
      </c>
      <c r="C24" s="145" t="s">
        <v>103</v>
      </c>
      <c r="D24" s="133">
        <v>34</v>
      </c>
      <c r="E24" s="178"/>
      <c r="F24" s="178">
        <f t="shared" si="8"/>
        <v>0</v>
      </c>
      <c r="G24" s="178">
        <v>16218</v>
      </c>
      <c r="H24" s="177">
        <f t="shared" si="9"/>
        <v>551412</v>
      </c>
      <c r="I24" s="135"/>
      <c r="J24" s="135"/>
      <c r="K24" s="135"/>
      <c r="L24" s="135"/>
      <c r="M24" s="137"/>
      <c r="N24" s="137">
        <f t="shared" si="3"/>
        <v>551412</v>
      </c>
    </row>
    <row r="25" spans="1:14" s="138" customFormat="1" ht="20.100000000000001" customHeight="1">
      <c r="A25" s="142" t="s">
        <v>108</v>
      </c>
      <c r="B25" s="143" t="s">
        <v>109</v>
      </c>
      <c r="C25" s="140" t="s">
        <v>110</v>
      </c>
      <c r="D25" s="133">
        <v>12</v>
      </c>
      <c r="E25" s="182">
        <v>2931</v>
      </c>
      <c r="F25" s="178">
        <f t="shared" si="8"/>
        <v>35172</v>
      </c>
      <c r="G25" s="178">
        <v>3414</v>
      </c>
      <c r="H25" s="177">
        <f t="shared" si="9"/>
        <v>40968</v>
      </c>
      <c r="I25" s="135"/>
      <c r="J25" s="135"/>
      <c r="K25" s="135"/>
      <c r="L25" s="135"/>
      <c r="M25" s="137"/>
      <c r="N25" s="137">
        <f t="shared" si="3"/>
        <v>76140</v>
      </c>
    </row>
    <row r="26" spans="1:14" s="138" customFormat="1" ht="20.100000000000001" customHeight="1">
      <c r="A26" s="139" t="s">
        <v>111</v>
      </c>
      <c r="B26" s="145" t="s">
        <v>112</v>
      </c>
      <c r="C26" s="145" t="s">
        <v>113</v>
      </c>
      <c r="D26" s="146">
        <v>1</v>
      </c>
      <c r="E26" s="135">
        <v>125250</v>
      </c>
      <c r="F26" s="135">
        <f t="shared" si="0"/>
        <v>125250</v>
      </c>
      <c r="G26" s="135"/>
      <c r="H26" s="134"/>
      <c r="I26" s="135"/>
      <c r="J26" s="135">
        <f>D26*I26</f>
        <v>0</v>
      </c>
      <c r="K26" s="135"/>
      <c r="L26" s="135"/>
      <c r="M26" s="137"/>
      <c r="N26" s="137">
        <f t="shared" si="3"/>
        <v>125250</v>
      </c>
    </row>
    <row r="27" spans="1:14" s="125" customFormat="1" ht="20.100000000000001" customHeight="1">
      <c r="A27" s="147" t="s">
        <v>97</v>
      </c>
      <c r="B27" s="148"/>
      <c r="C27" s="149"/>
      <c r="D27" s="150"/>
      <c r="E27" s="151"/>
      <c r="F27" s="152">
        <f>SUM(F5:F26)</f>
        <v>945444</v>
      </c>
      <c r="G27" s="151"/>
      <c r="H27" s="152">
        <f>SUM(H5:H26)</f>
        <v>2176933</v>
      </c>
      <c r="I27" s="151"/>
      <c r="J27" s="152">
        <f>SUM(J5:J26)</f>
        <v>0</v>
      </c>
      <c r="K27" s="151"/>
      <c r="L27" s="152">
        <f>SUM(L5:L26)</f>
        <v>0</v>
      </c>
      <c r="M27" s="153"/>
      <c r="N27" s="152">
        <f>SUM(N5:N26)</f>
        <v>3122377</v>
      </c>
    </row>
  </sheetData>
  <mergeCells count="11">
    <mergeCell ref="A4:B4"/>
    <mergeCell ref="A1:N1"/>
    <mergeCell ref="A2:A3"/>
    <mergeCell ref="B2:B3"/>
    <mergeCell ref="C2:C3"/>
    <mergeCell ref="D2:D3"/>
    <mergeCell ref="E2:F2"/>
    <mergeCell ref="G2:H2"/>
    <mergeCell ref="I2:J2"/>
    <mergeCell ref="K2:L2"/>
    <mergeCell ref="M2:N2"/>
  </mergeCells>
  <phoneticPr fontId="11" type="noConversion"/>
  <pageMargins left="0.7" right="0.7" top="0.75" bottom="0.75" header="0.3" footer="0.3"/>
  <pageSetup paperSize="9" scale="6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8"/>
  <sheetViews>
    <sheetView showGridLines="0" zoomScaleNormal="100" workbookViewId="0">
      <selection activeCell="M32" sqref="L30:M32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7.5" style="61" customWidth="1"/>
    <col min="7" max="16384" width="9" style="82"/>
  </cols>
  <sheetData>
    <row r="1" spans="1:6" ht="18" customHeight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</row>
    <row r="2" spans="1:6">
      <c r="A2" s="76" t="str">
        <f>'내역서(표준단가)'!A5</f>
        <v>L002</v>
      </c>
      <c r="B2" s="77">
        <f>'내역서(표준단가)'!B5</f>
        <v>0</v>
      </c>
      <c r="C2" s="77">
        <f>'내역서(표준단가)'!C5</f>
        <v>0</v>
      </c>
      <c r="D2" s="77">
        <f>'내역서(표준단가)'!D5</f>
        <v>0</v>
      </c>
      <c r="E2" s="77" t="str">
        <f>'내역서(표준단가)'!E5</f>
        <v>L002</v>
      </c>
      <c r="F2" s="124">
        <f>'내역서(표준단가)'!I5</f>
        <v>1</v>
      </c>
    </row>
    <row r="3" spans="1:6">
      <c r="A3" s="76" t="str">
        <f>'내역서(표준단가)'!A6</f>
        <v>M020750510120102</v>
      </c>
      <c r="B3" s="77">
        <f>'내역서(표준단가)'!B6</f>
        <v>0</v>
      </c>
      <c r="C3" s="77">
        <f>'내역서(표준단가)'!C6</f>
        <v>0</v>
      </c>
      <c r="D3" s="77" t="str">
        <f>'내역서(표준단가)'!D6</f>
        <v>M020750510120102</v>
      </c>
      <c r="E3" s="77">
        <f>'내역서(표준단가)'!E6</f>
        <v>0</v>
      </c>
      <c r="F3" s="124">
        <f>'내역서(표준단가)'!I6</f>
        <v>57</v>
      </c>
    </row>
    <row r="4" spans="1:6">
      <c r="A4" s="76" t="str">
        <f>'내역서(표준단가)'!A7</f>
        <v>M020750510130102</v>
      </c>
      <c r="B4" s="77">
        <f>'내역서(표준단가)'!B7</f>
        <v>0</v>
      </c>
      <c r="C4" s="77">
        <f>'내역서(표준단가)'!C7</f>
        <v>0</v>
      </c>
      <c r="D4" s="77" t="str">
        <f>'내역서(표준단가)'!D7</f>
        <v>M020750510130102</v>
      </c>
      <c r="E4" s="77">
        <f>'내역서(표준단가)'!E7</f>
        <v>0</v>
      </c>
      <c r="F4" s="124">
        <f>'내역서(표준단가)'!I7</f>
        <v>57</v>
      </c>
    </row>
    <row r="5" spans="1:6">
      <c r="A5" s="76" t="str">
        <f>'내역서(표준단가)'!A8</f>
        <v>E00000803066470202</v>
      </c>
      <c r="B5" s="77">
        <f>'내역서(표준단가)'!B8</f>
        <v>0</v>
      </c>
      <c r="C5" s="77" t="str">
        <f>'내역서(표준단가)'!C8</f>
        <v>E00000803066470202</v>
      </c>
      <c r="D5" s="77">
        <f>'내역서(표준단가)'!D8</f>
        <v>0</v>
      </c>
      <c r="E5" s="77">
        <f>'내역서(표준단가)'!E8</f>
        <v>0</v>
      </c>
      <c r="F5" s="124">
        <f>'내역서(표준단가)'!I8</f>
        <v>3.2570999999999999</v>
      </c>
    </row>
    <row r="6" spans="1:6">
      <c r="A6" s="76" t="str">
        <f>'내역서(표준단가)'!A9</f>
        <v>M020531910380101</v>
      </c>
      <c r="B6" s="77">
        <f>'내역서(표준단가)'!B9</f>
        <v>0</v>
      </c>
      <c r="C6" s="77">
        <f>'내역서(표준단가)'!C9</f>
        <v>0</v>
      </c>
      <c r="D6" s="77" t="str">
        <f>'내역서(표준단가)'!D9</f>
        <v>M020531910380101</v>
      </c>
      <c r="E6" s="77">
        <f>'내역서(표준단가)'!E9</f>
        <v>0</v>
      </c>
      <c r="F6" s="124">
        <f>'내역서(표준단가)'!I9</f>
        <v>46</v>
      </c>
    </row>
    <row r="7" spans="1:6">
      <c r="A7" s="76" t="str">
        <f>'내역서(표준단가)'!A10</f>
        <v>E00000803066520502</v>
      </c>
      <c r="B7" s="77">
        <f>'내역서(표준단가)'!B10</f>
        <v>0</v>
      </c>
      <c r="C7" s="77" t="str">
        <f>'내역서(표준단가)'!C10</f>
        <v>E00000803066520502</v>
      </c>
      <c r="D7" s="77">
        <f>'내역서(표준단가)'!D10</f>
        <v>0</v>
      </c>
      <c r="E7" s="77">
        <f>'내역서(표준단가)'!E10</f>
        <v>0</v>
      </c>
      <c r="F7" s="124">
        <f>'내역서(표준단가)'!I10</f>
        <v>0.2787</v>
      </c>
    </row>
    <row r="8" spans="1:6">
      <c r="A8" s="76" t="str">
        <f>'내역서(표준단가)'!A11</f>
        <v>M020806810430101</v>
      </c>
      <c r="B8" s="77">
        <f>'내역서(표준단가)'!B11</f>
        <v>0</v>
      </c>
      <c r="C8" s="77">
        <f>'내역서(표준단가)'!C11</f>
        <v>0</v>
      </c>
      <c r="D8" s="77" t="str">
        <f>'내역서(표준단가)'!D11</f>
        <v>M020806810430101</v>
      </c>
      <c r="E8" s="77">
        <f>'내역서(표준단가)'!E11</f>
        <v>0</v>
      </c>
      <c r="F8" s="124">
        <f>'내역서(표준단가)'!I11</f>
        <v>1</v>
      </c>
    </row>
  </sheetData>
  <phoneticPr fontId="1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갑지</vt:lpstr>
      <vt:lpstr>내역서(표준단가)</vt:lpstr>
      <vt:lpstr>상세내역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2026-01-20T04:07:00Z</dcterms:created>
  <dcterms:modified xsi:type="dcterms:W3CDTF">2026-04-06T01:34:11Z</dcterms:modified>
</cp:coreProperties>
</file>
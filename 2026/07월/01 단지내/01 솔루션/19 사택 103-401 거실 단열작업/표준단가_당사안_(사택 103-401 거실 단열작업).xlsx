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현재_통합_문서"/>
  <xr:revisionPtr revIDLastSave="0" documentId="13_ncr:1_{FCCB88EC-749F-4742-A05E-832634C1E5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6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6" l="1"/>
  <c r="H5" i="6"/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Q7" i="4"/>
  <c r="O7" i="4"/>
  <c r="M7" i="4"/>
  <c r="K7" i="4"/>
  <c r="A7" i="4"/>
  <c r="A4" i="1" s="1"/>
  <c r="Q11" i="4"/>
  <c r="K11" i="4"/>
  <c r="A11" i="4"/>
  <c r="A8" i="1" s="1"/>
  <c r="Q10" i="4"/>
  <c r="O10" i="4"/>
  <c r="M10" i="4"/>
  <c r="K10" i="4"/>
  <c r="A10" i="4"/>
  <c r="A7" i="1" s="1"/>
  <c r="Q9" i="4"/>
  <c r="O9" i="4"/>
  <c r="M9" i="4"/>
  <c r="K9" i="4"/>
  <c r="A9" i="4"/>
  <c r="A6" i="1" s="1"/>
  <c r="R7" i="4" l="1"/>
  <c r="R10" i="4"/>
  <c r="R11" i="4"/>
  <c r="R9" i="4"/>
  <c r="H10" i="6" l="1"/>
  <c r="F10" i="6"/>
  <c r="H9" i="6"/>
  <c r="F9" i="6"/>
  <c r="H8" i="6"/>
  <c r="F8" i="6"/>
  <c r="F7" i="6"/>
  <c r="N7" i="6" s="1"/>
  <c r="F6" i="6"/>
  <c r="N6" i="6" s="1"/>
  <c r="N8" i="6" l="1"/>
  <c r="N9" i="6"/>
  <c r="N10" i="6"/>
  <c r="L12" i="6"/>
  <c r="J11" i="6"/>
  <c r="J12" i="6" s="1"/>
  <c r="N4" i="6"/>
  <c r="F12" i="6" l="1"/>
  <c r="H12" i="6"/>
  <c r="N11" i="6"/>
  <c r="N5" i="6"/>
  <c r="N12" i="6" l="1"/>
  <c r="F2" i="1"/>
  <c r="E2" i="1"/>
  <c r="D2" i="1"/>
  <c r="C2" i="1"/>
  <c r="B2" i="1"/>
  <c r="Q8" i="4" l="1"/>
  <c r="O8" i="4"/>
  <c r="M8" i="4"/>
  <c r="K8" i="4"/>
  <c r="A8" i="4"/>
  <c r="A5" i="1" s="1"/>
  <c r="Q6" i="4"/>
  <c r="O6" i="4"/>
  <c r="M6" i="4"/>
  <c r="K6" i="4"/>
  <c r="A6" i="4"/>
  <c r="A3" i="1" s="1"/>
  <c r="Q5" i="4"/>
  <c r="O5" i="4"/>
  <c r="M5" i="4"/>
  <c r="K5" i="4"/>
  <c r="A5" i="4"/>
  <c r="A2" i="1" s="1"/>
  <c r="R6" i="4" l="1"/>
  <c r="R5" i="4"/>
  <c r="R8" i="4"/>
  <c r="Q13" i="4" l="1"/>
  <c r="M13" i="4"/>
  <c r="O13" i="4" l="1"/>
  <c r="R13" i="4" l="1"/>
  <c r="F18" i="5" l="1"/>
  <c r="K13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<sst xmlns="http://schemas.openxmlformats.org/spreadsheetml/2006/main" count="171" uniqueCount="138">
  <si>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</si>
  <si>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</si>
  <si>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</si>
  <si>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</si>
  <si>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</si>
  <si>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</si>
  <si>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</si>
  <si>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</si>
  <si>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</si>
  <si>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</si>
  <si>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</si>
  <si>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</si>
  <si>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</si>
  <si>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</si>
  <si>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</si>
  <si>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</si>
  <si>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</si>
  <si>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</si>
  <si>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</si>
  <si>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</si>
  <si>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</si>
  <si>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</si>
  <si>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</si>
  <si>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</si>
  <si>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</si>
  <si>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</si>
  <si>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</si>
  <si>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</si>
  <si>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</si>
  <si>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</si>
  <si>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</si>
  <si>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</si>
  <si>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</si>
  <si>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</si>
  <si>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</si>
  <si>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</si>
  <si>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</si>
  <si>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</si>
  <si>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</si>
  <si>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</si>
  <si>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</si>
  <si>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</si>
  <si>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</si>
  <si>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</si>
  <si>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</si>
  <si>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</si>
  <si>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</si>
  <si>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</si>
  <si>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</si>
  <si>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</si>
  <si>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</si>
  <si>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</si>
  <si>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</si>
  <si>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</si>
  <si>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</si>
  <si>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</si>
  <si>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</si>
  <si>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</si>
  <si>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</si>
  <si>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</si>
  <si>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</si>
  <si>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</si>
  <si>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</si>
  <si>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</si>
  <si>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</si>
  <si>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</si>
  <si>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</si>
  <si>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</si>
  <si>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</si>
  <si>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</si>
  <si>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</si>
  <si>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</si>
  <si>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</si>
  <si>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</si>
  <si>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</si>
  <si>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</si>
  <si>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</si>
  <si>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 (재료비+노무비)*3.11%</t>
    <phoneticPr fontId="19" type="noConversion"/>
  </si>
  <si>
    <t>M020750510120102</t>
  </si>
  <si>
    <t>매</t>
  </si>
  <si>
    <t>E00000803066470202</t>
  </si>
  <si>
    <t>석고판 설치(나사 고정)</t>
  </si>
  <si>
    <t>(일당)</t>
  </si>
  <si>
    <t>인</t>
  </si>
  <si>
    <t> 노무비*4.75%</t>
    <phoneticPr fontId="19" type="noConversion"/>
  </si>
  <si>
    <t> 노무비*3.595%</t>
    <phoneticPr fontId="19" type="noConversion"/>
  </si>
  <si>
    <r>
      <t xml:space="preserve">에너폴(태화론 TW-06, 6㎜×1M×50M단면-점착 대체), </t>
    </r>
    <r>
      <rPr>
        <sz val="10"/>
        <color rgb="FFFF0000"/>
        <rFont val="LG스마트체 Regular"/>
        <family val="3"/>
        <charset val="129"/>
      </rPr>
      <t xml:space="preserve">열반사 단열재 6t, </t>
    </r>
    <phoneticPr fontId="11" type="noConversion"/>
  </si>
  <si>
    <r>
      <rPr>
        <sz val="10"/>
        <color rgb="FFFF0000"/>
        <rFont val="LG스마트체 Regular"/>
        <family val="3"/>
        <charset val="129"/>
      </rPr>
      <t>(4.6m)*2.4=11.04㎡</t>
    </r>
    <r>
      <rPr>
        <sz val="10"/>
        <color rgb="FF000000"/>
        <rFont val="LG스마트체 Regular"/>
        <family val="3"/>
        <charset val="129"/>
      </rPr>
      <t>,  900 X 1800X40, 3호(비중0.020)</t>
    </r>
    <phoneticPr fontId="11" type="noConversion"/>
  </si>
  <si>
    <t>내 역 서</t>
    <phoneticPr fontId="19" type="noConversion"/>
  </si>
  <si>
    <t>품        명</t>
    <phoneticPr fontId="19" type="noConversion"/>
  </si>
  <si>
    <t>규      격</t>
  </si>
  <si>
    <t>수 량</t>
    <phoneticPr fontId="19" type="noConversion"/>
  </si>
  <si>
    <t xml:space="preserve">재    료   비   </t>
    <phoneticPr fontId="19" type="noConversion"/>
  </si>
  <si>
    <t>노   무   비</t>
    <phoneticPr fontId="19" type="noConversion"/>
  </si>
  <si>
    <t>기계경비</t>
    <phoneticPr fontId="19" type="noConversion"/>
  </si>
  <si>
    <t>기타경비</t>
    <phoneticPr fontId="19" type="noConversion"/>
  </si>
  <si>
    <t>합 계</t>
    <phoneticPr fontId="19" type="noConversion"/>
  </si>
  <si>
    <t>단   가</t>
    <phoneticPr fontId="19" type="noConversion"/>
  </si>
  <si>
    <t>금     액</t>
    <phoneticPr fontId="19" type="noConversion"/>
  </si>
  <si>
    <t>1.건축물 현장정리</t>
    <phoneticPr fontId="19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</si>
  <si>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</si>
  <si>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</si>
  <si>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</si>
  <si>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</si>
  <si>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</si>
  <si>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</si>
  <si>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</si>
  <si>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</si>
  <si>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</si>
  <si>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</si>
  <si>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혼합건설 폐기물, 운반비 포함</t>
    <phoneticPr fontId="13" type="noConversion"/>
  </si>
  <si>
    <t>TON</t>
    <phoneticPr fontId="13" type="noConversion"/>
  </si>
  <si>
    <t>2.거실벽</t>
    <phoneticPr fontId="13" type="noConversion"/>
  </si>
  <si>
    <t>(0.3+4.38*h:2.5)-(창호면적 1.6*2.3)=8.77</t>
    <phoneticPr fontId="11" type="noConversion"/>
  </si>
  <si>
    <t>M020531910380101</t>
  </si>
  <si>
    <t>100h, 2.5t</t>
  </si>
  <si>
    <t>m</t>
  </si>
  <si>
    <t>E00000803066520502</t>
  </si>
  <si>
    <t>M020750510130102</t>
  </si>
  <si>
    <t>900 X 1800X50, 3호(비중0.020)</t>
  </si>
  <si>
    <t>M020806810430101</t>
  </si>
  <si>
    <t>TON</t>
  </si>
  <si>
    <t>연질/러버베이스 적용 (합성수지류,걸레받이 대체)</t>
    <phoneticPr fontId="11" type="noConversion"/>
  </si>
  <si>
    <t>걸레받이 설치, 종합적산정보 389p</t>
    <phoneticPr fontId="11" type="noConversion"/>
  </si>
  <si>
    <t>에너폴(이보드, 1000*1000*13T, 대체)</t>
    <phoneticPr fontId="11" type="noConversion"/>
  </si>
  <si>
    <t>산업폐기물처리비=내부창호폐기물 적용(1세대)</t>
    <phoneticPr fontId="11" type="noConversion"/>
  </si>
  <si>
    <t>STEEL CONCORE PANEL 기준, (소운반비별도), 적용</t>
    <phoneticPr fontId="11" type="noConversion"/>
  </si>
  <si>
    <t>자재 반입 및 폐기물 반출 및 현장정리, 보통인부</t>
    <phoneticPr fontId="11" type="noConversion"/>
  </si>
  <si>
    <t>인</t>
    <phoneticPr fontId="19" type="noConversion"/>
  </si>
  <si>
    <t>L002</t>
    <phoneticPr fontId="11" type="noConversion"/>
  </si>
  <si>
    <t>보통인부, 시중노임단가</t>
    <phoneticPr fontId="11" type="noConversion"/>
  </si>
  <si>
    <t>자재 반입 및 폐기물 반출 및 현장정리</t>
    <phoneticPr fontId="11" type="noConversion"/>
  </si>
  <si>
    <t xml:space="preserve"> 공사명 : 사택 103-401 거실 단열작업</t>
    <phoneticPr fontId="17" type="noConversion"/>
  </si>
  <si>
    <t xml:space="preserve"> 견적일 : 2026년  04월  28일</t>
    <phoneticPr fontId="17" type="noConversion"/>
  </si>
  <si>
    <t>사택 103-401 거실 단열작업</t>
    <phoneticPr fontId="19" type="noConversion"/>
  </si>
  <si>
    <t>3.폐기물 처리</t>
    <phoneticPr fontId="13" type="noConversion"/>
  </si>
  <si>
    <t>바탕용(2겹) (시공량:24㎡),시공총량 18/일당35=0.5142</t>
    <phoneticPr fontId="11" type="noConversion"/>
  </si>
  <si>
    <t>중밀도섬유판(시공량 : 165m), 설치수량 10m, 10/165=0.0606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</si>
</sst>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;\-#,##0;"/>
    <numFmt numFmtId="184" formatCode="0.000"/>
    <numFmt numFmtId="185" formatCode="#,##0.000_ "/>
    <numFmt numFmtId="186" formatCode="0.00_ "/>
    <numFmt numFmtId="187" formatCode="#,##0_);[Red]\(#,##0\)"/>
    <numFmt numFmtId="188" formatCode="#,##0_ "/>
    <numFmt numFmtId="189" formatCode="&quot;₩&quot;#,##0"/>
    <numFmt numFmtId="190" formatCode="0.00_);[Red]\(0.00\)"/>
    <numFmt numFmtId="191" formatCode="0.0_);[Red]\(0.0\)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b/>
      <sz val="16"/>
      <name val="굴림"/>
      <family val="3"/>
      <charset val="129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FF0000"/>
      <name val="굴림"/>
      <family val="3"/>
      <charset val="129"/>
    </font>
    <font>
      <sz val="9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0" fillId="0" borderId="0"/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176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2">
    <xf numFmtId="0" fontId="0" fillId="0" borderId="0" xfId="0">
      <alignment vertical="center"/>
    </xf>
    <xf numFmtId="0" fontId="18" fillId="0" borderId="7" xfId="6" applyFont="1" applyBorder="1" applyAlignment="1">
      <alignment horizontal="right" vertical="center"/>
    </xf>
    <xf numFmtId="0" fontId="21" fillId="0" borderId="0" xfId="6" applyFont="1" applyAlignment="1">
      <alignment vertical="center"/>
    </xf>
    <xf numFmtId="0" fontId="22" fillId="0" borderId="0" xfId="3" applyFont="1"/>
    <xf numFmtId="0" fontId="23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6" fontId="18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6" fontId="18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8" fillId="0" borderId="0" xfId="10" applyFont="1"/>
    <xf numFmtId="181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2" fontId="26" fillId="3" borderId="0" xfId="2" applyNumberFormat="1" applyFont="1" applyFill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176" fontId="26" fillId="4" borderId="3" xfId="4" applyFont="1" applyFill="1" applyBorder="1" applyAlignment="1">
      <alignment horizontal="center" vertical="center"/>
    </xf>
    <xf numFmtId="178" fontId="26" fillId="4" borderId="3" xfId="5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176" fontId="22" fillId="0" borderId="3" xfId="1" applyFont="1" applyFill="1" applyBorder="1" applyAlignment="1">
      <alignment horizontal="center" vertical="center" wrapText="1"/>
    </xf>
    <xf numFmtId="176" fontId="22" fillId="5" borderId="3" xfId="1" applyFont="1" applyFill="1" applyBorder="1" applyAlignment="1">
      <alignment horizontal="center" vertical="center" wrapText="1"/>
    </xf>
    <xf numFmtId="9" fontId="27" fillId="0" borderId="3" xfId="0" applyNumberFormat="1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1" fontId="22" fillId="7" borderId="1" xfId="1" applyNumberFormat="1" applyFont="1" applyFill="1" applyBorder="1" applyAlignment="1">
      <alignment horizontal="center" vertical="center"/>
    </xf>
    <xf numFmtId="181" fontId="22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49" fontId="22" fillId="0" borderId="3" xfId="0" applyNumberFormat="1" applyFont="1" applyBorder="1" applyAlignment="1">
      <alignment horizontal="center" vertical="center" wrapText="1"/>
    </xf>
    <xf numFmtId="49" fontId="22" fillId="0" borderId="3" xfId="31" applyNumberFormat="1" applyFont="1" applyBorder="1" applyAlignment="1">
      <alignment horizontal="center" vertical="center" wrapText="1"/>
    </xf>
    <xf numFmtId="0" fontId="23" fillId="0" borderId="0" xfId="0" applyFont="1">
      <alignment vertical="center"/>
    </xf>
    <xf numFmtId="183" fontId="22" fillId="11" borderId="3" xfId="31" applyNumberFormat="1" applyFont="1" applyFill="1" applyBorder="1" applyAlignment="1">
      <alignment horizontal="right" vertical="center"/>
    </xf>
    <xf numFmtId="183" fontId="22" fillId="6" borderId="3" xfId="1" applyNumberFormat="1" applyFont="1" applyFill="1" applyBorder="1" applyAlignment="1">
      <alignment horizontal="right" vertical="center" wrapText="1"/>
    </xf>
    <xf numFmtId="183" fontId="22" fillId="0" borderId="3" xfId="1" applyNumberFormat="1" applyFont="1" applyFill="1" applyBorder="1" applyAlignment="1">
      <alignment horizontal="right" vertical="center" wrapText="1"/>
    </xf>
    <xf numFmtId="183" fontId="22" fillId="11" borderId="3" xfId="31" applyNumberFormat="1" applyFont="1" applyFill="1" applyBorder="1" applyAlignment="1">
      <alignment horizontal="right" vertical="center" wrapText="1"/>
    </xf>
    <xf numFmtId="49" fontId="22" fillId="11" borderId="3" xfId="31" applyNumberFormat="1" applyFont="1" applyFill="1" applyBorder="1" applyAlignment="1">
      <alignment horizontal="center" vertical="center"/>
    </xf>
    <xf numFmtId="49" fontId="22" fillId="11" borderId="3" xfId="31" applyNumberFormat="1" applyFont="1" applyFill="1" applyBorder="1" applyAlignment="1">
      <alignment horizontal="center" vertical="center" wrapText="1"/>
    </xf>
    <xf numFmtId="184" fontId="22" fillId="5" borderId="3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6" fillId="9" borderId="24" xfId="0" applyFont="1" applyFill="1" applyBorder="1">
      <alignment vertical="center"/>
    </xf>
    <xf numFmtId="0" fontId="26" fillId="9" borderId="21" xfId="0" applyFont="1" applyFill="1" applyBorder="1">
      <alignment vertical="center"/>
    </xf>
    <xf numFmtId="0" fontId="27" fillId="0" borderId="0" xfId="0" applyFont="1">
      <alignment vertical="center"/>
    </xf>
    <xf numFmtId="0" fontId="25" fillId="10" borderId="0" xfId="0" applyFont="1" applyFill="1">
      <alignment vertical="center"/>
    </xf>
    <xf numFmtId="0" fontId="25" fillId="0" borderId="0" xfId="0" applyFont="1">
      <alignment vertical="center"/>
    </xf>
    <xf numFmtId="176" fontId="18" fillId="10" borderId="0" xfId="0" applyNumberFormat="1" applyFont="1" applyFill="1">
      <alignment vertical="center"/>
    </xf>
    <xf numFmtId="0" fontId="18" fillId="0" borderId="0" xfId="0" applyFont="1">
      <alignment vertical="center"/>
    </xf>
    <xf numFmtId="176" fontId="18" fillId="0" borderId="0" xfId="0" applyNumberFormat="1" applyFont="1">
      <alignment vertical="center"/>
    </xf>
    <xf numFmtId="0" fontId="26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4" fontId="22" fillId="11" borderId="3" xfId="32" applyNumberFormat="1" applyFont="1" applyFill="1" applyBorder="1" applyAlignment="1">
      <alignment horizontal="center" vertical="center"/>
    </xf>
    <xf numFmtId="183" fontId="29" fillId="11" borderId="3" xfId="32" applyNumberFormat="1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0" fontId="31" fillId="0" borderId="15" xfId="6" applyFont="1" applyBorder="1" applyAlignment="1">
      <alignment vertical="center"/>
    </xf>
    <xf numFmtId="0" fontId="30" fillId="0" borderId="15" xfId="6" applyFont="1" applyBorder="1" applyAlignment="1">
      <alignment horizontal="center" vertical="center"/>
    </xf>
    <xf numFmtId="178" fontId="31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horizontal="center" vertical="center"/>
    </xf>
    <xf numFmtId="178" fontId="31" fillId="5" borderId="15" xfId="5" applyFont="1" applyFill="1" applyBorder="1" applyAlignment="1">
      <alignment horizontal="right" vertical="center"/>
    </xf>
    <xf numFmtId="183" fontId="29" fillId="5" borderId="3" xfId="32" applyNumberFormat="1" applyFont="1" applyFill="1" applyBorder="1" applyAlignment="1">
      <alignment horizontal="right" vertical="center"/>
    </xf>
    <xf numFmtId="183" fontId="22" fillId="11" borderId="3" xfId="32" applyNumberFormat="1" applyFont="1" applyFill="1" applyBorder="1" applyAlignment="1">
      <alignment horizontal="right" vertical="center" wrapText="1"/>
    </xf>
    <xf numFmtId="49" fontId="22" fillId="7" borderId="3" xfId="0" applyNumberFormat="1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49" fontId="22" fillId="5" borderId="3" xfId="0" applyNumberFormat="1" applyFont="1" applyFill="1" applyBorder="1" applyAlignment="1">
      <alignment horizontal="center" vertical="center"/>
    </xf>
    <xf numFmtId="176" fontId="32" fillId="5" borderId="3" xfId="1" applyFont="1" applyFill="1" applyBorder="1" applyAlignment="1">
      <alignment horizontal="center" vertical="center"/>
    </xf>
    <xf numFmtId="183" fontId="22" fillId="5" borderId="3" xfId="0" applyNumberFormat="1" applyFont="1" applyFill="1" applyBorder="1" applyAlignment="1">
      <alignment horizontal="right" vertical="center" wrapText="1"/>
    </xf>
    <xf numFmtId="185" fontId="22" fillId="0" borderId="3" xfId="1" applyNumberFormat="1" applyFont="1" applyFill="1" applyBorder="1" applyAlignment="1">
      <alignment horizontal="center" vertical="center"/>
    </xf>
    <xf numFmtId="183" fontId="22" fillId="5" borderId="3" xfId="0" applyNumberFormat="1" applyFont="1" applyFill="1" applyBorder="1" applyAlignment="1">
      <alignment horizontal="right" vertical="center"/>
    </xf>
    <xf numFmtId="176" fontId="33" fillId="5" borderId="3" xfId="1" applyFont="1" applyFill="1" applyBorder="1" applyAlignment="1">
      <alignment horizontal="right" vertical="center"/>
    </xf>
    <xf numFmtId="186" fontId="22" fillId="0" borderId="1" xfId="1" applyNumberFormat="1" applyFont="1" applyBorder="1" applyAlignment="1">
      <alignment horizontal="center" vertical="center"/>
    </xf>
    <xf numFmtId="0" fontId="35" fillId="0" borderId="0" xfId="34" applyFont="1" applyAlignment="1">
      <alignment horizontal="right" vertical="center"/>
    </xf>
    <xf numFmtId="0" fontId="36" fillId="0" borderId="34" xfId="34" quotePrefix="1" applyFont="1" applyBorder="1" applyAlignment="1">
      <alignment horizontal="center" vertical="center"/>
    </xf>
    <xf numFmtId="187" fontId="36" fillId="0" borderId="34" xfId="34" quotePrefix="1" applyNumberFormat="1" applyFont="1" applyBorder="1" applyAlignment="1">
      <alignment horizontal="center" vertical="center"/>
    </xf>
    <xf numFmtId="0" fontId="36" fillId="0" borderId="36" xfId="34" quotePrefix="1" applyFont="1" applyBorder="1" applyAlignment="1">
      <alignment horizontal="center" vertical="center"/>
    </xf>
    <xf numFmtId="176" fontId="38" fillId="5" borderId="34" xfId="13" applyFont="1" applyFill="1" applyBorder="1" applyAlignment="1">
      <alignment vertical="center"/>
    </xf>
    <xf numFmtId="176" fontId="38" fillId="5" borderId="34" xfId="13" applyFont="1" applyFill="1" applyBorder="1" applyAlignment="1">
      <alignment horizontal="center" vertical="center"/>
    </xf>
    <xf numFmtId="188" fontId="26" fillId="5" borderId="34" xfId="13" applyNumberFormat="1" applyFont="1" applyFill="1" applyBorder="1" applyAlignment="1">
      <alignment vertical="center"/>
    </xf>
    <xf numFmtId="0" fontId="27" fillId="5" borderId="34" xfId="34" applyFont="1" applyFill="1" applyBorder="1" applyAlignment="1">
      <alignment horizontal="center" vertical="center"/>
    </xf>
    <xf numFmtId="187" fontId="27" fillId="5" borderId="34" xfId="13" applyNumberFormat="1" applyFont="1" applyFill="1" applyBorder="1" applyAlignment="1">
      <alignment horizontal="right" vertical="center" wrapText="1"/>
    </xf>
    <xf numFmtId="176" fontId="27" fillId="5" borderId="34" xfId="13" applyFont="1" applyFill="1" applyBorder="1" applyAlignment="1">
      <alignment vertical="center"/>
    </xf>
    <xf numFmtId="187" fontId="27" fillId="5" borderId="34" xfId="34" applyNumberFormat="1" applyFont="1" applyFill="1" applyBorder="1" applyAlignment="1">
      <alignment horizontal="left" vertical="center" wrapText="1"/>
    </xf>
    <xf numFmtId="176" fontId="27" fillId="5" borderId="34" xfId="13" applyFont="1" applyFill="1" applyBorder="1" applyAlignment="1">
      <alignment horizontal="center" vertical="center"/>
    </xf>
    <xf numFmtId="0" fontId="39" fillId="0" borderId="0" xfId="34" applyFont="1" applyAlignment="1">
      <alignment horizontal="right" vertical="center"/>
    </xf>
    <xf numFmtId="0" fontId="26" fillId="5" borderId="34" xfId="3" applyFont="1" applyFill="1" applyBorder="1" applyAlignment="1">
      <alignment vertical="center"/>
    </xf>
    <xf numFmtId="176" fontId="27" fillId="0" borderId="34" xfId="13" applyFont="1" applyFill="1" applyBorder="1" applyAlignment="1">
      <alignment horizontal="center" vertical="center"/>
    </xf>
    <xf numFmtId="176" fontId="27" fillId="0" borderId="34" xfId="13" applyFont="1" applyFill="1" applyBorder="1" applyAlignment="1">
      <alignment vertical="center"/>
    </xf>
    <xf numFmtId="0" fontId="22" fillId="5" borderId="34" xfId="3" applyFont="1" applyFill="1" applyBorder="1" applyAlignment="1">
      <alignment vertical="center"/>
    </xf>
    <xf numFmtId="0" fontId="27" fillId="0" borderId="34" xfId="3" applyFont="1" applyBorder="1" applyAlignment="1">
      <alignment horizontal="center" vertical="center"/>
    </xf>
    <xf numFmtId="0" fontId="27" fillId="5" borderId="34" xfId="3" applyFont="1" applyFill="1" applyBorder="1" applyAlignment="1">
      <alignment horizontal="center" vertical="center"/>
    </xf>
    <xf numFmtId="0" fontId="27" fillId="5" borderId="34" xfId="35" applyNumberFormat="1" applyFont="1" applyFill="1" applyBorder="1" applyAlignment="1">
      <alignment horizontal="center" vertical="center"/>
    </xf>
    <xf numFmtId="188" fontId="36" fillId="10" borderId="36" xfId="13" applyNumberFormat="1" applyFont="1" applyFill="1" applyBorder="1" applyAlignment="1">
      <alignment horizontal="center" vertical="center"/>
    </xf>
    <xf numFmtId="189" fontId="37" fillId="10" borderId="34" xfId="13" applyNumberFormat="1" applyFont="1" applyFill="1" applyBorder="1" applyAlignment="1">
      <alignment horizontal="center" vertical="center"/>
    </xf>
    <xf numFmtId="0" fontId="37" fillId="10" borderId="34" xfId="34" applyFont="1" applyFill="1" applyBorder="1" applyAlignment="1">
      <alignment horizontal="center" vertical="center"/>
    </xf>
    <xf numFmtId="190" fontId="37" fillId="10" borderId="34" xfId="13" applyNumberFormat="1" applyFont="1" applyFill="1" applyBorder="1" applyAlignment="1">
      <alignment horizontal="center" vertical="center"/>
    </xf>
    <xf numFmtId="187" fontId="37" fillId="10" borderId="34" xfId="13" applyNumberFormat="1" applyFont="1" applyFill="1" applyBorder="1" applyAlignment="1">
      <alignment horizontal="right" vertical="center" wrapText="1"/>
    </xf>
    <xf numFmtId="187" fontId="37" fillId="10" borderId="34" xfId="13" applyNumberFormat="1" applyFont="1" applyFill="1" applyBorder="1" applyAlignment="1">
      <alignment vertical="center"/>
    </xf>
    <xf numFmtId="0" fontId="37" fillId="10" borderId="34" xfId="34" applyFont="1" applyFill="1" applyBorder="1" applyAlignment="1">
      <alignment horizontal="right" vertical="center"/>
    </xf>
    <xf numFmtId="0" fontId="40" fillId="0" borderId="0" xfId="36" applyFont="1">
      <alignment vertical="center"/>
    </xf>
    <xf numFmtId="0" fontId="41" fillId="0" borderId="0" xfId="0" applyFont="1">
      <alignment vertical="center"/>
    </xf>
    <xf numFmtId="191" fontId="27" fillId="5" borderId="34" xfId="13" applyNumberFormat="1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188" fontId="42" fillId="5" borderId="34" xfId="13" applyNumberFormat="1" applyFont="1" applyFill="1" applyBorder="1" applyAlignment="1">
      <alignment horizontal="center" vertical="center" wrapText="1"/>
    </xf>
    <xf numFmtId="176" fontId="22" fillId="0" borderId="3" xfId="1" applyFont="1" applyFill="1" applyBorder="1" applyAlignment="1">
      <alignment vertical="center" wrapText="1"/>
    </xf>
    <xf numFmtId="0" fontId="22" fillId="0" borderId="23" xfId="0" applyFont="1" applyBorder="1">
      <alignment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176" fontId="22" fillId="5" borderId="3" xfId="1" applyFont="1" applyFill="1" applyBorder="1" applyAlignment="1">
      <alignment vertical="center" wrapText="1"/>
    </xf>
    <xf numFmtId="183" fontId="22" fillId="5" borderId="3" xfId="1" applyNumberFormat="1" applyFont="1" applyFill="1" applyBorder="1" applyAlignment="1">
      <alignment horizontal="right" vertical="center" wrapText="1"/>
    </xf>
    <xf numFmtId="49" fontId="26" fillId="7" borderId="3" xfId="0" applyNumberFormat="1" applyFont="1" applyFill="1" applyBorder="1" applyAlignment="1">
      <alignment vertical="center" wrapText="1"/>
    </xf>
    <xf numFmtId="0" fontId="22" fillId="7" borderId="3" xfId="0" applyFont="1" applyFill="1" applyBorder="1">
      <alignment vertical="center"/>
    </xf>
    <xf numFmtId="49" fontId="22" fillId="7" borderId="3" xfId="0" applyNumberFormat="1" applyFont="1" applyFill="1" applyBorder="1" applyAlignment="1">
      <alignment vertical="center" wrapText="1"/>
    </xf>
    <xf numFmtId="49" fontId="22" fillId="5" borderId="3" xfId="1" applyNumberFormat="1" applyFont="1" applyFill="1" applyBorder="1" applyAlignment="1">
      <alignment horizontal="center" vertical="center"/>
    </xf>
    <xf numFmtId="183" fontId="29" fillId="5" borderId="3" xfId="1" applyNumberFormat="1" applyFont="1" applyFill="1" applyBorder="1" applyAlignment="1">
      <alignment horizontal="right" vertical="center" wrapText="1"/>
    </xf>
    <xf numFmtId="183" fontId="29" fillId="5" borderId="3" xfId="0" applyNumberFormat="1" applyFont="1" applyFill="1" applyBorder="1" applyAlignment="1">
      <alignment horizontal="right" vertical="center" wrapText="1"/>
    </xf>
    <xf numFmtId="183" fontId="29" fillId="5" borderId="3" xfId="1" applyNumberFormat="1" applyFont="1" applyFill="1" applyBorder="1" applyAlignment="1">
      <alignment horizontal="right" vertical="center"/>
    </xf>
    <xf numFmtId="188" fontId="27" fillId="5" borderId="34" xfId="13" applyNumberFormat="1" applyFont="1" applyFill="1" applyBorder="1" applyAlignment="1">
      <alignment horizontal="center" vertical="center" wrapText="1"/>
    </xf>
    <xf numFmtId="49" fontId="22" fillId="7" borderId="3" xfId="31" applyNumberFormat="1" applyFont="1" applyFill="1" applyBorder="1" applyAlignment="1">
      <alignment horizontal="center" vertical="center" wrapText="1"/>
    </xf>
    <xf numFmtId="0" fontId="22" fillId="7" borderId="3" xfId="31" applyFont="1" applyFill="1" applyBorder="1" applyAlignment="1">
      <alignment horizontal="center" vertical="center"/>
    </xf>
    <xf numFmtId="0" fontId="26" fillId="7" borderId="3" xfId="31" applyFont="1" applyFill="1" applyBorder="1" applyAlignment="1">
      <alignment horizontal="center" vertical="center"/>
    </xf>
    <xf numFmtId="49" fontId="22" fillId="7" borderId="3" xfId="31" applyNumberFormat="1" applyFont="1" applyFill="1" applyBorder="1" applyAlignment="1">
      <alignment horizontal="center" vertical="center"/>
    </xf>
    <xf numFmtId="187" fontId="43" fillId="5" borderId="34" xfId="13" applyNumberFormat="1" applyFont="1" applyFill="1" applyBorder="1" applyAlignment="1">
      <alignment horizontal="right" vertical="center" wrapText="1"/>
    </xf>
    <xf numFmtId="176" fontId="43" fillId="5" borderId="34" xfId="13" applyFont="1" applyFill="1" applyBorder="1" applyAlignment="1">
      <alignment vertical="center"/>
    </xf>
    <xf numFmtId="176" fontId="43" fillId="5" borderId="34" xfId="13" applyFont="1" applyFill="1" applyBorder="1">
      <alignment vertical="center"/>
    </xf>
    <xf numFmtId="178" fontId="43" fillId="0" borderId="34" xfId="5" applyFont="1" applyFill="1" applyBorder="1" applyAlignment="1">
      <alignment vertical="center"/>
    </xf>
    <xf numFmtId="176" fontId="43" fillId="0" borderId="34" xfId="13" applyFont="1" applyFill="1" applyBorder="1" applyAlignment="1">
      <alignment vertical="center"/>
    </xf>
    <xf numFmtId="178" fontId="43" fillId="5" borderId="34" xfId="5" applyFont="1" applyFill="1" applyBorder="1" applyAlignment="1">
      <alignment vertical="center"/>
    </xf>
    <xf numFmtId="0" fontId="21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176" fontId="26" fillId="4" borderId="21" xfId="4" applyFont="1" applyFill="1" applyBorder="1" applyAlignment="1">
      <alignment horizontal="center" vertical="center"/>
    </xf>
    <xf numFmtId="178" fontId="26" fillId="4" borderId="21" xfId="5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4" borderId="3" xfId="3" applyFont="1" applyFill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 wrapText="1"/>
    </xf>
    <xf numFmtId="188" fontId="36" fillId="5" borderId="36" xfId="13" applyNumberFormat="1" applyFont="1" applyFill="1" applyBorder="1" applyAlignment="1">
      <alignment vertical="center"/>
    </xf>
    <xf numFmtId="188" fontId="37" fillId="5" borderId="38" xfId="13" applyNumberFormat="1" applyFont="1" applyFill="1" applyBorder="1" applyAlignment="1">
      <alignment vertical="center"/>
    </xf>
    <xf numFmtId="0" fontId="34" fillId="0" borderId="33" xfId="33" applyFont="1" applyBorder="1" applyAlignment="1">
      <alignment horizontal="center" vertical="center"/>
    </xf>
    <xf numFmtId="0" fontId="36" fillId="0" borderId="34" xfId="34" quotePrefix="1" applyFont="1" applyBorder="1" applyAlignment="1">
      <alignment horizontal="center" vertical="center"/>
    </xf>
    <xf numFmtId="0" fontId="36" fillId="0" borderId="35" xfId="34" quotePrefix="1" applyFont="1" applyBorder="1" applyAlignment="1">
      <alignment horizontal="center" vertical="center"/>
    </xf>
    <xf numFmtId="0" fontId="36" fillId="0" borderId="39" xfId="34" quotePrefix="1" applyFont="1" applyBorder="1" applyAlignment="1">
      <alignment horizontal="center" vertical="center"/>
    </xf>
    <xf numFmtId="0" fontId="36" fillId="0" borderId="34" xfId="34" applyFont="1" applyBorder="1" applyAlignment="1">
      <alignment horizontal="center" vertical="center"/>
    </xf>
    <xf numFmtId="0" fontId="36" fillId="0" borderId="36" xfId="34" quotePrefix="1" applyFont="1" applyBorder="1" applyAlignment="1">
      <alignment horizontal="center" vertical="center"/>
    </xf>
    <xf numFmtId="0" fontId="36" fillId="0" borderId="37" xfId="34" quotePrefix="1" applyFont="1" applyBorder="1" applyAlignment="1">
      <alignment horizontal="center" vertical="center"/>
    </xf>
    <xf numFmtId="0" fontId="36" fillId="0" borderId="36" xfId="34" applyFont="1" applyBorder="1" applyAlignment="1">
      <alignment horizontal="center" vertical="center"/>
    </xf>
    <xf numFmtId="0" fontId="36" fillId="0" borderId="38" xfId="34" quotePrefix="1" applyFont="1" applyBorder="1" applyAlignment="1">
      <alignment horizontal="center" vertical="center"/>
    </xf>
  </cellXfs>
  <cellStyles count="37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 4 2" xfId="35" xr:uid="{E78DB5FF-DB49-4185-AC62-F483BE36726F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4 2 2" xfId="36" xr:uid="{887CCC98-5182-49B9-B16A-2AA9AC4B3C10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 7 5 2" xfId="34" xr:uid="{DA88C57A-C7A2-4C68-987E-07EB4F9F9441}"/>
    <cellStyle name="표준 7 6" xfId="33" xr:uid="{D097EE83-9EBF-4BE4-B922-1C5A2E164883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O16" sqref="O16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0" t="s">
        <v>6</v>
      </c>
      <c r="B2" s="180"/>
      <c r="C2" s="180"/>
      <c r="D2" s="180"/>
      <c r="E2" s="180"/>
      <c r="F2" s="180"/>
      <c r="G2" s="180"/>
      <c r="H2" s="2"/>
    </row>
    <row r="3" spans="1:9" ht="14.25">
      <c r="A3" s="78"/>
      <c r="B3" s="78"/>
      <c r="C3" s="78"/>
      <c r="D3" s="78"/>
      <c r="E3" s="78"/>
      <c r="F3" s="78"/>
      <c r="G3" s="78"/>
      <c r="H3" s="78"/>
    </row>
    <row r="4" spans="1:9" ht="14.25">
      <c r="A4" s="78"/>
      <c r="B4" s="78"/>
      <c r="C4" s="78"/>
      <c r="D4" s="78"/>
      <c r="E4" s="78"/>
      <c r="H4" s="78"/>
    </row>
    <row r="5" spans="1:9" ht="27" customHeight="1">
      <c r="A5" s="79" t="s">
        <v>46</v>
      </c>
      <c r="B5" s="4"/>
      <c r="C5" s="5"/>
      <c r="D5" s="78"/>
      <c r="E5" s="78"/>
      <c r="F5" s="6" t="s">
        <v>37</v>
      </c>
      <c r="G5" s="7" t="s">
        <v>49</v>
      </c>
      <c r="H5" s="78"/>
    </row>
    <row r="6" spans="1:9" ht="27" customHeight="1">
      <c r="A6" s="78"/>
      <c r="B6" s="78"/>
      <c r="C6" s="78"/>
      <c r="D6" s="78"/>
      <c r="E6" s="78"/>
      <c r="F6" s="8" t="s">
        <v>40</v>
      </c>
      <c r="G6" s="9" t="s">
        <v>50</v>
      </c>
      <c r="H6" s="78"/>
    </row>
    <row r="7" spans="1:9" ht="27" customHeight="1">
      <c r="A7" s="186" t="s">
        <v>132</v>
      </c>
      <c r="B7" s="187"/>
      <c r="C7" s="188"/>
      <c r="D7" s="78"/>
      <c r="E7" s="10"/>
      <c r="F7" s="11" t="s">
        <v>41</v>
      </c>
      <c r="G7" s="9" t="s">
        <v>51</v>
      </c>
      <c r="H7" s="78"/>
    </row>
    <row r="8" spans="1:9" ht="27" customHeight="1">
      <c r="A8" s="78"/>
      <c r="B8" s="78"/>
      <c r="C8" s="78"/>
      <c r="D8" s="78"/>
      <c r="E8" s="78"/>
      <c r="F8" s="8" t="s">
        <v>42</v>
      </c>
      <c r="G8" s="9" t="s">
        <v>52</v>
      </c>
      <c r="H8" s="78"/>
    </row>
    <row r="9" spans="1:9" ht="27" customHeight="1">
      <c r="A9" s="183" t="s">
        <v>133</v>
      </c>
      <c r="B9" s="184"/>
      <c r="C9" s="185"/>
      <c r="D9" s="78"/>
      <c r="E9" s="78"/>
      <c r="F9" s="8" t="s">
        <v>43</v>
      </c>
      <c r="G9" s="9" t="s">
        <v>53</v>
      </c>
      <c r="H9" s="78"/>
    </row>
    <row r="10" spans="1:9" ht="27" customHeight="1">
      <c r="A10" s="78"/>
      <c r="B10" s="78"/>
      <c r="C10" s="78"/>
      <c r="D10" s="78"/>
      <c r="E10" s="78"/>
      <c r="F10" s="12" t="s">
        <v>38</v>
      </c>
      <c r="G10" s="13" t="s">
        <v>54</v>
      </c>
      <c r="H10" s="78"/>
      <c r="I10" s="78"/>
    </row>
    <row r="11" spans="1:9" ht="27" customHeight="1">
      <c r="A11" s="181"/>
      <c r="B11" s="182"/>
      <c r="C11" s="182"/>
      <c r="D11" s="78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육십만구천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78"/>
      <c r="B13" s="78"/>
      <c r="C13" s="78"/>
      <c r="D13" s="78"/>
      <c r="E13" s="78"/>
      <c r="F13" s="78"/>
      <c r="G13" s="7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'내역서(표준단가)'!K13</f>
        <v>162574.5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'내역서(표준단가)'!M13</f>
        <v>361298.29704200005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523872.79704200005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07" t="s">
        <v>23</v>
      </c>
      <c r="C21" s="108" t="s">
        <v>84</v>
      </c>
      <c r="D21" s="109">
        <v>1</v>
      </c>
      <c r="E21" s="109" t="s">
        <v>24</v>
      </c>
      <c r="F21" s="110">
        <f>F17*4.75%</f>
        <v>17161.669109495004</v>
      </c>
      <c r="G21" s="35" t="s">
        <v>25</v>
      </c>
    </row>
    <row r="22" spans="1:7" ht="33" customHeight="1">
      <c r="A22" s="29"/>
      <c r="B22" s="111" t="s">
        <v>26</v>
      </c>
      <c r="C22" s="108" t="s">
        <v>85</v>
      </c>
      <c r="D22" s="112">
        <v>1</v>
      </c>
      <c r="E22" s="112" t="s">
        <v>24</v>
      </c>
      <c r="F22" s="113">
        <f>F17*3.595%</f>
        <v>12988.673778659902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1682.0332543364575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3649.1128001242005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12862.219374695202</v>
      </c>
      <c r="G25" s="35" t="s">
        <v>27</v>
      </c>
    </row>
    <row r="26" spans="1:7" ht="33" customHeight="1">
      <c r="A26" s="29"/>
      <c r="B26" s="42" t="s">
        <v>31</v>
      </c>
      <c r="C26" s="45" t="s">
        <v>77</v>
      </c>
      <c r="D26" s="30">
        <v>1</v>
      </c>
      <c r="E26" s="30" t="s">
        <v>24</v>
      </c>
      <c r="F26" s="43">
        <f>(F16+F17)*3.11%</f>
        <v>16292.443988006202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21296.722467365853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85932.874772682815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609805.67181468289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609000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7"/>
  <sheetViews>
    <sheetView showGridLines="0" zoomScale="80" zoomScaleNormal="80" workbookViewId="0">
      <pane ySplit="4" topLeftCell="A5" activePane="bottomLeft" state="frozen"/>
      <selection pane="bottomLeft" activeCell="H24" sqref="H24"/>
    </sheetView>
  </sheetViews>
  <sheetFormatPr defaultColWidth="9" defaultRowHeight="38.1" customHeight="1"/>
  <cols>
    <col min="1" max="1" width="22.625" style="103" bestFit="1" customWidth="1"/>
    <col min="2" max="5" width="17.625" style="94" hidden="1" customWidth="1"/>
    <col min="6" max="6" width="42.625" style="90" customWidth="1"/>
    <col min="7" max="7" width="30.625" style="90" customWidth="1"/>
    <col min="8" max="8" width="12" style="94" bestFit="1" customWidth="1"/>
    <col min="9" max="9" width="6.625" style="94" customWidth="1"/>
    <col min="10" max="10" width="10.25" style="94" bestFit="1" customWidth="1"/>
    <col min="11" max="11" width="14.625" style="94" customWidth="1"/>
    <col min="12" max="12" width="9.875" style="94" customWidth="1"/>
    <col min="13" max="13" width="15" style="94" customWidth="1"/>
    <col min="14" max="14" width="6.375" style="94" customWidth="1"/>
    <col min="15" max="15" width="8.75" style="94" bestFit="1" customWidth="1"/>
    <col min="16" max="16" width="6.375" style="94" customWidth="1"/>
    <col min="17" max="17" width="8.75" style="94" bestFit="1" customWidth="1"/>
    <col min="18" max="18" width="14.75" style="94" customWidth="1"/>
    <col min="19" max="19" width="10.625" style="62" bestFit="1" customWidth="1"/>
    <col min="20" max="20" width="8.5" style="94" bestFit="1" customWidth="1"/>
    <col min="21" max="16384" width="9" style="94"/>
  </cols>
  <sheetData>
    <row r="1" spans="1:20" ht="19.899999999999999" customHeight="1">
      <c r="A1" s="189"/>
      <c r="B1" s="189"/>
      <c r="C1" s="189"/>
      <c r="D1" s="189"/>
      <c r="E1" s="189"/>
      <c r="J1" s="62"/>
      <c r="K1" s="93" t="s">
        <v>56</v>
      </c>
      <c r="M1" s="93" t="s">
        <v>56</v>
      </c>
      <c r="O1" s="93" t="s">
        <v>56</v>
      </c>
      <c r="Q1" s="93" t="s">
        <v>56</v>
      </c>
    </row>
    <row r="2" spans="1:20" ht="19.899999999999999" customHeight="1" thickBot="1">
      <c r="A2" s="189"/>
      <c r="B2" s="189"/>
      <c r="C2" s="189"/>
      <c r="D2" s="189"/>
      <c r="E2" s="18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5"/>
      <c r="B3" s="95" t="s">
        <v>57</v>
      </c>
      <c r="C3" s="96"/>
      <c r="D3" s="96"/>
      <c r="E3" s="96"/>
      <c r="F3" s="200" t="s">
        <v>58</v>
      </c>
      <c r="G3" s="200"/>
      <c r="H3" s="198" t="s">
        <v>59</v>
      </c>
      <c r="I3" s="198" t="s">
        <v>5</v>
      </c>
      <c r="J3" s="194" t="s">
        <v>60</v>
      </c>
      <c r="K3" s="194"/>
      <c r="L3" s="194" t="s">
        <v>61</v>
      </c>
      <c r="M3" s="194"/>
      <c r="N3" s="195" t="s">
        <v>62</v>
      </c>
      <c r="O3" s="195"/>
      <c r="P3" s="195" t="s">
        <v>63</v>
      </c>
      <c r="Q3" s="195"/>
      <c r="R3" s="196" t="s">
        <v>64</v>
      </c>
      <c r="S3" s="192" t="s">
        <v>65</v>
      </c>
      <c r="T3" s="190" t="s">
        <v>44</v>
      </c>
    </row>
    <row r="4" spans="1:20" ht="19.899999999999999" customHeight="1">
      <c r="A4" s="65" t="s">
        <v>66</v>
      </c>
      <c r="B4" s="66" t="s">
        <v>67</v>
      </c>
      <c r="C4" s="66" t="s">
        <v>68</v>
      </c>
      <c r="D4" s="66" t="s">
        <v>69</v>
      </c>
      <c r="E4" s="66" t="s">
        <v>70</v>
      </c>
      <c r="F4" s="91" t="s">
        <v>71</v>
      </c>
      <c r="G4" s="91" t="s">
        <v>72</v>
      </c>
      <c r="H4" s="199"/>
      <c r="I4" s="199"/>
      <c r="J4" s="67" t="s">
        <v>73</v>
      </c>
      <c r="K4" s="68" t="s">
        <v>74</v>
      </c>
      <c r="L4" s="67" t="s">
        <v>75</v>
      </c>
      <c r="M4" s="68" t="s">
        <v>74</v>
      </c>
      <c r="N4" s="68" t="s">
        <v>76</v>
      </c>
      <c r="O4" s="68" t="s">
        <v>74</v>
      </c>
      <c r="P4" s="68" t="s">
        <v>76</v>
      </c>
      <c r="Q4" s="68" t="s">
        <v>74</v>
      </c>
      <c r="R4" s="197"/>
      <c r="S4" s="193"/>
      <c r="T4" s="191"/>
    </row>
    <row r="5" spans="1:20" s="97" customFormat="1" ht="38.1" customHeight="1">
      <c r="A5" s="69" t="str">
        <f t="shared" ref="A5:A8" si="0">B5&amp;C5&amp;D5&amp;E5</f>
        <v>L002</v>
      </c>
      <c r="B5" s="170"/>
      <c r="C5" s="171"/>
      <c r="D5" s="172"/>
      <c r="E5" s="170" t="s">
        <v>129</v>
      </c>
      <c r="F5" s="81" t="s">
        <v>131</v>
      </c>
      <c r="G5" s="81" t="s">
        <v>130</v>
      </c>
      <c r="H5" s="87" t="s">
        <v>83</v>
      </c>
      <c r="I5" s="105">
        <v>0.2</v>
      </c>
      <c r="J5" s="83"/>
      <c r="K5" s="84">
        <f t="shared" ref="K5:K8" si="1">SUM(J5:J5)*I5*$K$2</f>
        <v>0</v>
      </c>
      <c r="L5" s="106">
        <v>171037</v>
      </c>
      <c r="M5" s="84">
        <f>I5*L5</f>
        <v>34207.4</v>
      </c>
      <c r="N5" s="85"/>
      <c r="O5" s="84">
        <f t="shared" ref="O5:O8" si="2">N5*I5*$O$2</f>
        <v>0</v>
      </c>
      <c r="P5" s="85"/>
      <c r="Q5" s="84">
        <f t="shared" ref="Q5:Q8" si="3">P5*I5*$Q$2</f>
        <v>0</v>
      </c>
      <c r="R5" s="71">
        <f t="shared" ref="R5:R8" si="4">SUM(K5+M5)+O5+Q5</f>
        <v>34207.4</v>
      </c>
      <c r="S5" s="72"/>
      <c r="T5" s="73"/>
    </row>
    <row r="6" spans="1:20" s="97" customFormat="1" ht="38.1" customHeight="1">
      <c r="A6" s="69" t="str">
        <f t="shared" si="0"/>
        <v>M020750510120102</v>
      </c>
      <c r="B6" s="170"/>
      <c r="C6" s="172"/>
      <c r="D6" s="171" t="s">
        <v>78</v>
      </c>
      <c r="E6" s="172"/>
      <c r="F6" s="81" t="s">
        <v>86</v>
      </c>
      <c r="G6" s="81" t="s">
        <v>87</v>
      </c>
      <c r="H6" s="87" t="s">
        <v>79</v>
      </c>
      <c r="I6" s="105">
        <v>9</v>
      </c>
      <c r="J6" s="114">
        <v>6400</v>
      </c>
      <c r="K6" s="84">
        <f t="shared" si="1"/>
        <v>48096</v>
      </c>
      <c r="L6" s="86"/>
      <c r="M6" s="84">
        <f t="shared" ref="M6:M8" si="5">(L6*I6)*$M$2</f>
        <v>0</v>
      </c>
      <c r="N6" s="85"/>
      <c r="O6" s="84">
        <f t="shared" si="2"/>
        <v>0</v>
      </c>
      <c r="P6" s="85"/>
      <c r="Q6" s="84">
        <f t="shared" si="3"/>
        <v>0</v>
      </c>
      <c r="R6" s="71">
        <f t="shared" si="4"/>
        <v>48096</v>
      </c>
      <c r="S6" s="72"/>
      <c r="T6" s="73"/>
    </row>
    <row r="7" spans="1:20" s="97" customFormat="1" ht="38.1" customHeight="1">
      <c r="A7" s="69" t="str">
        <f t="shared" si="0"/>
        <v>M020750510130102</v>
      </c>
      <c r="B7" s="159"/>
      <c r="C7" s="66"/>
      <c r="D7" s="117" t="s">
        <v>118</v>
      </c>
      <c r="E7" s="66"/>
      <c r="F7" s="80" t="s">
        <v>124</v>
      </c>
      <c r="G7" s="80" t="s">
        <v>119</v>
      </c>
      <c r="H7" s="118" t="s">
        <v>79</v>
      </c>
      <c r="I7" s="89">
        <v>9</v>
      </c>
      <c r="J7" s="168">
        <v>8000</v>
      </c>
      <c r="K7" s="84">
        <f t="shared" si="1"/>
        <v>60120</v>
      </c>
      <c r="L7" s="120"/>
      <c r="M7" s="84">
        <f t="shared" si="5"/>
        <v>0</v>
      </c>
      <c r="N7" s="85"/>
      <c r="O7" s="84">
        <f t="shared" si="2"/>
        <v>0</v>
      </c>
      <c r="P7" s="85"/>
      <c r="Q7" s="84">
        <f t="shared" si="3"/>
        <v>0</v>
      </c>
      <c r="R7" s="71">
        <f t="shared" si="4"/>
        <v>60120</v>
      </c>
      <c r="S7" s="89"/>
      <c r="T7" s="73"/>
    </row>
    <row r="8" spans="1:20" s="97" customFormat="1" ht="38.1" customHeight="1">
      <c r="A8" s="69" t="str">
        <f t="shared" si="0"/>
        <v>E00000803066470202</v>
      </c>
      <c r="B8" s="173"/>
      <c r="C8" s="171" t="s">
        <v>80</v>
      </c>
      <c r="D8" s="171"/>
      <c r="E8" s="173"/>
      <c r="F8" s="81" t="s">
        <v>81</v>
      </c>
      <c r="G8" s="81" t="s">
        <v>136</v>
      </c>
      <c r="H8" s="88" t="s">
        <v>82</v>
      </c>
      <c r="I8" s="105">
        <v>0.51419999999999999</v>
      </c>
      <c r="J8" s="115"/>
      <c r="K8" s="84">
        <f t="shared" si="1"/>
        <v>0</v>
      </c>
      <c r="L8" s="106">
        <v>681499</v>
      </c>
      <c r="M8" s="84">
        <f t="shared" si="5"/>
        <v>292606.36614300002</v>
      </c>
      <c r="N8" s="85"/>
      <c r="O8" s="84">
        <f t="shared" si="2"/>
        <v>0</v>
      </c>
      <c r="P8" s="85"/>
      <c r="Q8" s="84">
        <f t="shared" si="3"/>
        <v>0</v>
      </c>
      <c r="R8" s="71">
        <f t="shared" si="4"/>
        <v>292606.36614300002</v>
      </c>
      <c r="S8" s="72"/>
      <c r="T8" s="73"/>
    </row>
    <row r="9" spans="1:20" s="97" customFormat="1" ht="38.1" customHeight="1">
      <c r="A9" s="69" t="str">
        <f t="shared" ref="A9:A11" si="6">B9&amp;C9&amp;D9&amp;E9</f>
        <v>M020531910380101</v>
      </c>
      <c r="B9" s="159"/>
      <c r="C9" s="66"/>
      <c r="D9" s="117" t="s">
        <v>114</v>
      </c>
      <c r="E9" s="66"/>
      <c r="F9" s="80" t="s">
        <v>122</v>
      </c>
      <c r="G9" s="80" t="s">
        <v>115</v>
      </c>
      <c r="H9" s="118" t="s">
        <v>116</v>
      </c>
      <c r="I9" s="89">
        <v>10</v>
      </c>
      <c r="J9" s="166">
        <v>3510</v>
      </c>
      <c r="K9" s="84">
        <f t="shared" ref="K9:K11" si="7">SUM(J9:J9)*I9*$K$2</f>
        <v>29308.5</v>
      </c>
      <c r="L9" s="167"/>
      <c r="M9" s="84">
        <f t="shared" ref="M9:M10" si="8">(L9*I9)*$M$2</f>
        <v>0</v>
      </c>
      <c r="N9" s="85"/>
      <c r="O9" s="84">
        <f t="shared" ref="O9:O10" si="9">N9*I9*$O$2</f>
        <v>0</v>
      </c>
      <c r="P9" s="85"/>
      <c r="Q9" s="84">
        <f t="shared" ref="Q9:Q11" si="10">P9*I9*$Q$2</f>
        <v>0</v>
      </c>
      <c r="R9" s="160">
        <f t="shared" ref="R9:R11" si="11">SUM(K9+M9)+O9+Q9</f>
        <v>29308.5</v>
      </c>
      <c r="S9" s="89"/>
      <c r="T9" s="158"/>
    </row>
    <row r="10" spans="1:20" s="97" customFormat="1" ht="38.1" customHeight="1">
      <c r="A10" s="69" t="str">
        <f t="shared" si="6"/>
        <v>E00000803066520502</v>
      </c>
      <c r="B10" s="159"/>
      <c r="C10" s="117" t="s">
        <v>117</v>
      </c>
      <c r="D10" s="66"/>
      <c r="E10" s="66"/>
      <c r="F10" s="80" t="s">
        <v>123</v>
      </c>
      <c r="G10" s="80" t="s">
        <v>137</v>
      </c>
      <c r="H10" s="118" t="s">
        <v>82</v>
      </c>
      <c r="I10" s="89">
        <v>6.0600000000000001E-2</v>
      </c>
      <c r="J10" s="122"/>
      <c r="K10" s="84">
        <f t="shared" si="7"/>
        <v>0</v>
      </c>
      <c r="L10" s="123">
        <v>681499</v>
      </c>
      <c r="M10" s="84">
        <f t="shared" si="8"/>
        <v>34484.530898999998</v>
      </c>
      <c r="N10" s="85"/>
      <c r="O10" s="84">
        <f t="shared" si="9"/>
        <v>0</v>
      </c>
      <c r="P10" s="85"/>
      <c r="Q10" s="84">
        <f t="shared" si="10"/>
        <v>0</v>
      </c>
      <c r="R10" s="160">
        <f t="shared" si="11"/>
        <v>34484.530898999998</v>
      </c>
      <c r="S10" s="89"/>
      <c r="T10" s="158"/>
    </row>
    <row r="11" spans="1:20" s="97" customFormat="1" ht="38.1" customHeight="1">
      <c r="A11" s="69" t="str">
        <f t="shared" si="6"/>
        <v>M020806810430101</v>
      </c>
      <c r="B11" s="162"/>
      <c r="C11" s="163"/>
      <c r="D11" s="117" t="s">
        <v>120</v>
      </c>
      <c r="E11" s="164"/>
      <c r="F11" s="80" t="s">
        <v>125</v>
      </c>
      <c r="G11" s="80" t="s">
        <v>126</v>
      </c>
      <c r="H11" s="165" t="s">
        <v>121</v>
      </c>
      <c r="I11" s="89">
        <v>0.2</v>
      </c>
      <c r="J11" s="166">
        <v>150000</v>
      </c>
      <c r="K11" s="84">
        <f t="shared" si="7"/>
        <v>25050</v>
      </c>
      <c r="L11" s="120"/>
      <c r="M11" s="84"/>
      <c r="N11" s="85"/>
      <c r="O11" s="84"/>
      <c r="P11" s="161"/>
      <c r="Q11" s="84">
        <f t="shared" si="10"/>
        <v>0</v>
      </c>
      <c r="R11" s="157">
        <f t="shared" si="11"/>
        <v>25050</v>
      </c>
      <c r="S11" s="89"/>
      <c r="T11" s="158"/>
    </row>
    <row r="12" spans="1:20" s="97" customFormat="1" ht="38.1" customHeight="1">
      <c r="A12" s="69"/>
      <c r="B12" s="116"/>
      <c r="C12" s="117"/>
      <c r="D12" s="117"/>
      <c r="E12" s="116"/>
      <c r="F12" s="80"/>
      <c r="G12" s="80"/>
      <c r="H12" s="118"/>
      <c r="I12" s="89"/>
      <c r="J12" s="119"/>
      <c r="K12" s="84"/>
      <c r="L12" s="120"/>
      <c r="M12" s="84"/>
      <c r="N12" s="85"/>
      <c r="O12" s="84"/>
      <c r="P12" s="85"/>
      <c r="Q12" s="84"/>
      <c r="R12" s="70"/>
      <c r="S12" s="121"/>
      <c r="T12" s="73"/>
    </row>
    <row r="13" spans="1:20" s="99" customFormat="1" ht="38.1" customHeight="1">
      <c r="A13" s="98"/>
      <c r="F13" s="92"/>
      <c r="G13" s="92"/>
      <c r="K13" s="100">
        <f>SUM(K5:K12)</f>
        <v>162574.5</v>
      </c>
      <c r="L13" s="101"/>
      <c r="M13" s="100">
        <f>SUM(M5:M12)</f>
        <v>361298.29704200005</v>
      </c>
      <c r="N13" s="101"/>
      <c r="O13" s="100">
        <f>SUM(O5:O12)</f>
        <v>0</v>
      </c>
      <c r="P13" s="101"/>
      <c r="Q13" s="100">
        <f>SUM(Q5:Q12)</f>
        <v>0</v>
      </c>
      <c r="R13" s="102">
        <f>SUM(R5:R12)</f>
        <v>523872.79704199999</v>
      </c>
      <c r="S13" s="74"/>
    </row>
    <row r="17" spans="13:13" ht="38.1" customHeight="1">
      <c r="M17" s="10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77BF-3EBB-4E81-9AA8-D3F168DD5A0F}">
  <sheetPr>
    <pageSetUpPr fitToPage="1"/>
  </sheetPr>
  <dimension ref="A1:N12"/>
  <sheetViews>
    <sheetView zoomScaleNormal="100" workbookViewId="0">
      <selection activeCell="J23" sqref="J23"/>
    </sheetView>
  </sheetViews>
  <sheetFormatPr defaultColWidth="9" defaultRowHeight="16.5"/>
  <cols>
    <col min="1" max="1" width="22.625" style="152" customWidth="1"/>
    <col min="2" max="2" width="27.625" style="152" customWidth="1"/>
    <col min="3" max="3" width="5.75" style="152" customWidth="1"/>
    <col min="4" max="4" width="5.25" style="152" customWidth="1"/>
    <col min="5" max="14" width="10.625" style="152" customWidth="1"/>
    <col min="15" max="16384" width="9" style="153"/>
  </cols>
  <sheetData>
    <row r="1" spans="1:14" s="125" customFormat="1" ht="26.25" customHeight="1">
      <c r="A1" s="203" t="s">
        <v>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</row>
    <row r="2" spans="1:14" s="125" customFormat="1" ht="20.100000000000001" customHeight="1">
      <c r="A2" s="204" t="s">
        <v>89</v>
      </c>
      <c r="B2" s="204" t="s">
        <v>90</v>
      </c>
      <c r="C2" s="205" t="s">
        <v>59</v>
      </c>
      <c r="D2" s="205" t="s">
        <v>91</v>
      </c>
      <c r="E2" s="207" t="s">
        <v>92</v>
      </c>
      <c r="F2" s="204"/>
      <c r="G2" s="208" t="s">
        <v>93</v>
      </c>
      <c r="H2" s="209"/>
      <c r="I2" s="210" t="s">
        <v>94</v>
      </c>
      <c r="J2" s="209"/>
      <c r="K2" s="210" t="s">
        <v>95</v>
      </c>
      <c r="L2" s="209"/>
      <c r="M2" s="210" t="s">
        <v>96</v>
      </c>
      <c r="N2" s="211"/>
    </row>
    <row r="3" spans="1:14" s="125" customFormat="1" ht="20.100000000000001" customHeight="1">
      <c r="A3" s="204"/>
      <c r="B3" s="204"/>
      <c r="C3" s="206"/>
      <c r="D3" s="206"/>
      <c r="E3" s="126" t="s">
        <v>97</v>
      </c>
      <c r="F3" s="126" t="s">
        <v>98</v>
      </c>
      <c r="G3" s="127" t="s">
        <v>97</v>
      </c>
      <c r="H3" s="128" t="s">
        <v>98</v>
      </c>
      <c r="I3" s="127" t="s">
        <v>97</v>
      </c>
      <c r="J3" s="128" t="s">
        <v>98</v>
      </c>
      <c r="K3" s="127" t="s">
        <v>97</v>
      </c>
      <c r="L3" s="128" t="s">
        <v>98</v>
      </c>
      <c r="M3" s="127" t="s">
        <v>97</v>
      </c>
      <c r="N3" s="126" t="s">
        <v>98</v>
      </c>
    </row>
    <row r="4" spans="1:14" s="125" customFormat="1" ht="20.100000000000001" customHeight="1">
      <c r="A4" s="201" t="s">
        <v>134</v>
      </c>
      <c r="B4" s="202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>
        <f>F4+H4+J4+L4</f>
        <v>0</v>
      </c>
    </row>
    <row r="5" spans="1:14" s="137" customFormat="1" ht="20.100000000000001" customHeight="1">
      <c r="A5" s="131" t="s">
        <v>99</v>
      </c>
      <c r="B5" s="169" t="s">
        <v>127</v>
      </c>
      <c r="C5" s="132" t="s">
        <v>128</v>
      </c>
      <c r="D5" s="144">
        <v>0.2</v>
      </c>
      <c r="E5" s="174"/>
      <c r="F5" s="175"/>
      <c r="G5" s="176">
        <v>171037</v>
      </c>
      <c r="H5" s="174">
        <f>D5*G5</f>
        <v>34207.4</v>
      </c>
      <c r="I5" s="133"/>
      <c r="J5" s="135"/>
      <c r="K5" s="133"/>
      <c r="L5" s="135"/>
      <c r="M5" s="136"/>
      <c r="N5" s="136">
        <f>F5+H5+J5+L5</f>
        <v>34207.4</v>
      </c>
    </row>
    <row r="6" spans="1:14" s="155" customFormat="1" ht="20.100000000000001" customHeight="1">
      <c r="A6" s="138" t="s">
        <v>112</v>
      </c>
      <c r="B6" s="156" t="s">
        <v>113</v>
      </c>
      <c r="C6" s="139"/>
      <c r="D6" s="154"/>
      <c r="E6" s="177"/>
      <c r="F6" s="178">
        <f t="shared" ref="F6:F10" si="0">D6*E6</f>
        <v>0</v>
      </c>
      <c r="G6" s="175"/>
      <c r="H6" s="174"/>
      <c r="I6" s="140"/>
      <c r="J6" s="140"/>
      <c r="K6" s="140"/>
      <c r="L6" s="140"/>
      <c r="M6" s="139"/>
      <c r="N6" s="136">
        <f t="shared" ref="N6:N10" si="1">F6+H6+J6+L6</f>
        <v>0</v>
      </c>
    </row>
    <row r="7" spans="1:14" s="155" customFormat="1" ht="20.100000000000001" customHeight="1">
      <c r="A7" s="141" t="s">
        <v>100</v>
      </c>
      <c r="B7" s="142" t="s">
        <v>101</v>
      </c>
      <c r="C7" s="142" t="s">
        <v>102</v>
      </c>
      <c r="D7" s="154">
        <v>9</v>
      </c>
      <c r="E7" s="175">
        <v>5344</v>
      </c>
      <c r="F7" s="175">
        <f t="shared" si="0"/>
        <v>48096</v>
      </c>
      <c r="G7" s="175"/>
      <c r="H7" s="174"/>
      <c r="I7" s="134"/>
      <c r="J7" s="134"/>
      <c r="K7" s="134"/>
      <c r="L7" s="134"/>
      <c r="M7" s="136"/>
      <c r="N7" s="136">
        <f t="shared" si="1"/>
        <v>48096</v>
      </c>
    </row>
    <row r="8" spans="1:14" s="155" customFormat="1" ht="20.100000000000001" customHeight="1">
      <c r="A8" s="141" t="s">
        <v>103</v>
      </c>
      <c r="B8" s="142" t="s">
        <v>104</v>
      </c>
      <c r="C8" s="142" t="s">
        <v>102</v>
      </c>
      <c r="D8" s="154">
        <v>9</v>
      </c>
      <c r="E8" s="179">
        <v>6680</v>
      </c>
      <c r="F8" s="175">
        <f t="shared" si="0"/>
        <v>60120</v>
      </c>
      <c r="G8" s="175"/>
      <c r="H8" s="174">
        <f t="shared" ref="H8:H10" si="2">D8*G8</f>
        <v>0</v>
      </c>
      <c r="I8" s="134"/>
      <c r="J8" s="134"/>
      <c r="K8" s="134"/>
      <c r="L8" s="134"/>
      <c r="M8" s="136"/>
      <c r="N8" s="136">
        <f t="shared" si="1"/>
        <v>60120</v>
      </c>
    </row>
    <row r="9" spans="1:14" s="155" customFormat="1" ht="20.100000000000001" customHeight="1">
      <c r="A9" s="141" t="s">
        <v>105</v>
      </c>
      <c r="B9" s="143" t="s">
        <v>106</v>
      </c>
      <c r="C9" s="143" t="s">
        <v>102</v>
      </c>
      <c r="D9" s="154">
        <v>18</v>
      </c>
      <c r="E9" s="175"/>
      <c r="F9" s="175">
        <f t="shared" si="0"/>
        <v>0</v>
      </c>
      <c r="G9" s="175">
        <v>16218</v>
      </c>
      <c r="H9" s="174">
        <f t="shared" si="2"/>
        <v>291924</v>
      </c>
      <c r="I9" s="134"/>
      <c r="J9" s="134"/>
      <c r="K9" s="134"/>
      <c r="L9" s="134"/>
      <c r="M9" s="136"/>
      <c r="N9" s="136">
        <f t="shared" si="1"/>
        <v>291924</v>
      </c>
    </row>
    <row r="10" spans="1:14" s="155" customFormat="1" ht="20.100000000000001" customHeight="1">
      <c r="A10" s="141" t="s">
        <v>107</v>
      </c>
      <c r="B10" s="142" t="s">
        <v>108</v>
      </c>
      <c r="C10" s="139" t="s">
        <v>109</v>
      </c>
      <c r="D10" s="154">
        <v>10</v>
      </c>
      <c r="E10" s="179">
        <v>2931</v>
      </c>
      <c r="F10" s="175">
        <f t="shared" si="0"/>
        <v>29310</v>
      </c>
      <c r="G10" s="175">
        <v>3414</v>
      </c>
      <c r="H10" s="174">
        <f t="shared" si="2"/>
        <v>34140</v>
      </c>
      <c r="I10" s="134"/>
      <c r="J10" s="134"/>
      <c r="K10" s="134"/>
      <c r="L10" s="134"/>
      <c r="M10" s="136"/>
      <c r="N10" s="136">
        <f t="shared" si="1"/>
        <v>63450</v>
      </c>
    </row>
    <row r="11" spans="1:14" s="137" customFormat="1" ht="20.100000000000001" customHeight="1">
      <c r="A11" s="138" t="s">
        <v>135</v>
      </c>
      <c r="B11" s="143" t="s">
        <v>110</v>
      </c>
      <c r="C11" s="143" t="s">
        <v>111</v>
      </c>
      <c r="D11" s="144">
        <v>0.2</v>
      </c>
      <c r="E11" s="134">
        <v>125250</v>
      </c>
      <c r="F11" s="134">
        <f>D11*E11</f>
        <v>25050</v>
      </c>
      <c r="G11" s="134"/>
      <c r="H11" s="133"/>
      <c r="I11" s="134"/>
      <c r="J11" s="134">
        <f>D5*I11</f>
        <v>0</v>
      </c>
      <c r="K11" s="134"/>
      <c r="L11" s="134"/>
      <c r="M11" s="136"/>
      <c r="N11" s="136">
        <f t="shared" ref="N11" si="3">F11+H11+J11+L11</f>
        <v>25050</v>
      </c>
    </row>
    <row r="12" spans="1:14" s="125" customFormat="1" ht="20.100000000000001" customHeight="1">
      <c r="A12" s="145" t="s">
        <v>96</v>
      </c>
      <c r="B12" s="146"/>
      <c r="C12" s="147"/>
      <c r="D12" s="148"/>
      <c r="E12" s="149"/>
      <c r="F12" s="150">
        <f>SUM(F5:F11)</f>
        <v>162576</v>
      </c>
      <c r="G12" s="149"/>
      <c r="H12" s="150">
        <f>SUM(H5:H11)</f>
        <v>360271.4</v>
      </c>
      <c r="I12" s="149"/>
      <c r="J12" s="150">
        <f>SUM(J5:J11)</f>
        <v>0</v>
      </c>
      <c r="K12" s="149"/>
      <c r="L12" s="150">
        <f>SUM(L5:L11)</f>
        <v>0</v>
      </c>
      <c r="M12" s="151"/>
      <c r="N12" s="150">
        <f>SUM(N5:N11)</f>
        <v>522847.4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8"/>
  <sheetViews>
    <sheetView showGridLines="0" zoomScaleNormal="100" workbookViewId="0">
      <selection activeCell="M32" sqref="L30:M32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2"/>
  </cols>
  <sheetData>
    <row r="1" spans="1:6" ht="18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>
      <c r="A2" s="76" t="str">
        <f>'내역서(표준단가)'!A5</f>
        <v>L002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L002</v>
      </c>
      <c r="F2" s="124">
        <f>'내역서(표준단가)'!I5</f>
        <v>0.2</v>
      </c>
    </row>
    <row r="3" spans="1:6">
      <c r="A3" s="76" t="str">
        <f>'내역서(표준단가)'!A6</f>
        <v>M020750510120102</v>
      </c>
      <c r="B3" s="77">
        <f>'내역서(표준단가)'!B6</f>
        <v>0</v>
      </c>
      <c r="C3" s="77">
        <f>'내역서(표준단가)'!C6</f>
        <v>0</v>
      </c>
      <c r="D3" s="77" t="str">
        <f>'내역서(표준단가)'!D6</f>
        <v>M020750510120102</v>
      </c>
      <c r="E3" s="77">
        <f>'내역서(표준단가)'!E6</f>
        <v>0</v>
      </c>
      <c r="F3" s="124">
        <f>'내역서(표준단가)'!I6</f>
        <v>9</v>
      </c>
    </row>
    <row r="4" spans="1:6">
      <c r="A4" s="76" t="str">
        <f>'내역서(표준단가)'!A7</f>
        <v>M020750510130102</v>
      </c>
      <c r="B4" s="77">
        <f>'내역서(표준단가)'!B7</f>
        <v>0</v>
      </c>
      <c r="C4" s="77">
        <f>'내역서(표준단가)'!C7</f>
        <v>0</v>
      </c>
      <c r="D4" s="77" t="str">
        <f>'내역서(표준단가)'!D7</f>
        <v>M020750510130102</v>
      </c>
      <c r="E4" s="77">
        <f>'내역서(표준단가)'!E7</f>
        <v>0</v>
      </c>
      <c r="F4" s="124">
        <f>'내역서(표준단가)'!I7</f>
        <v>9</v>
      </c>
    </row>
    <row r="5" spans="1:6">
      <c r="A5" s="76" t="str">
        <f>'내역서(표준단가)'!A8</f>
        <v>E00000803066470202</v>
      </c>
      <c r="B5" s="77">
        <f>'내역서(표준단가)'!B8</f>
        <v>0</v>
      </c>
      <c r="C5" s="77" t="str">
        <f>'내역서(표준단가)'!C8</f>
        <v>E00000803066470202</v>
      </c>
      <c r="D5" s="77">
        <f>'내역서(표준단가)'!D8</f>
        <v>0</v>
      </c>
      <c r="E5" s="77">
        <f>'내역서(표준단가)'!E8</f>
        <v>0</v>
      </c>
      <c r="F5" s="124">
        <f>'내역서(표준단가)'!I8</f>
        <v>0.51419999999999999</v>
      </c>
    </row>
    <row r="6" spans="1:6">
      <c r="A6" s="76" t="str">
        <f>'내역서(표준단가)'!A9</f>
        <v>M020531910380101</v>
      </c>
      <c r="B6" s="77">
        <f>'내역서(표준단가)'!B9</f>
        <v>0</v>
      </c>
      <c r="C6" s="77">
        <f>'내역서(표준단가)'!C9</f>
        <v>0</v>
      </c>
      <c r="D6" s="77" t="str">
        <f>'내역서(표준단가)'!D9</f>
        <v>M020531910380101</v>
      </c>
      <c r="E6" s="77">
        <f>'내역서(표준단가)'!E9</f>
        <v>0</v>
      </c>
      <c r="F6" s="124">
        <f>'내역서(표준단가)'!I9</f>
        <v>10</v>
      </c>
    </row>
    <row r="7" spans="1:6">
      <c r="A7" s="76" t="str">
        <f>'내역서(표준단가)'!A10</f>
        <v>E00000803066520502</v>
      </c>
      <c r="B7" s="77">
        <f>'내역서(표준단가)'!B10</f>
        <v>0</v>
      </c>
      <c r="C7" s="77" t="str">
        <f>'내역서(표준단가)'!C10</f>
        <v>E00000803066520502</v>
      </c>
      <c r="D7" s="77">
        <f>'내역서(표준단가)'!D10</f>
        <v>0</v>
      </c>
      <c r="E7" s="77">
        <f>'내역서(표준단가)'!E10</f>
        <v>0</v>
      </c>
      <c r="F7" s="124">
        <f>'내역서(표준단가)'!I10</f>
        <v>6.0600000000000001E-2</v>
      </c>
    </row>
    <row r="8" spans="1:6">
      <c r="A8" s="76" t="str">
        <f>'내역서(표준단가)'!A11</f>
        <v>M020806810430101</v>
      </c>
      <c r="B8" s="77">
        <f>'내역서(표준단가)'!B11</f>
        <v>0</v>
      </c>
      <c r="C8" s="77">
        <f>'내역서(표준단가)'!C11</f>
        <v>0</v>
      </c>
      <c r="D8" s="77" t="str">
        <f>'내역서(표준단가)'!D11</f>
        <v>M020806810430101</v>
      </c>
      <c r="E8" s="77">
        <f>'내역서(표준단가)'!E11</f>
        <v>0</v>
      </c>
      <c r="F8" s="124">
        <f>'내역서(표준단가)'!I11</f>
        <v>0.2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2026-05-28T08:14:57Z</dcterms:modified>
</cp:coreProperties>
</file>